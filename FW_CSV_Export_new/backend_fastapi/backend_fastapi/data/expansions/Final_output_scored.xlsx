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 Data" sheetId="1" r:id="rId1"/>
    <sheet name="Inputs" sheetId="2" r:id="rId2"/>
    <sheet name="Scoring_Config" sheetId="3" r:id="rId3"/>
    <sheet name="Application ID" sheetId="4" r:id="rId4"/>
  </sheet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<sst xmlns="http://schemas.openxmlformats.org/spreadsheetml/2006/main" count="83310" uniqueCount="9506">
  <si>
    <t>Source_File</t>
  </si>
  <si>
    <t>Name</t>
  </si>
  <si>
    <t>Location</t>
  </si>
  <si>
    <t>Tags</t>
  </si>
  <si>
    <t>Type</t>
  </si>
  <si>
    <t>Source Zone</t>
  </si>
  <si>
    <t>Source Address_original</t>
  </si>
  <si>
    <t>Source Address</t>
  </si>
  <si>
    <t>Source User</t>
  </si>
  <si>
    <t>Destination Zone</t>
  </si>
  <si>
    <t>Destination Address_original</t>
  </si>
  <si>
    <t>Destination Address</t>
  </si>
  <si>
    <t>Application_original</t>
  </si>
  <si>
    <t>Application</t>
  </si>
  <si>
    <t>Service_original</t>
  </si>
  <si>
    <t>Service</t>
  </si>
  <si>
    <t>Action</t>
  </si>
  <si>
    <t>Profile</t>
  </si>
  <si>
    <t>Options</t>
  </si>
  <si>
    <t>Rule Usage Rule Usage</t>
  </si>
  <si>
    <t>Rule Usage Description</t>
  </si>
  <si>
    <t>Rule Usage Apps Seen</t>
  </si>
  <si>
    <t>Days With No New Apps</t>
  </si>
  <si>
    <t>Modified</t>
  </si>
  <si>
    <t>Created</t>
  </si>
  <si>
    <t>Rule Usage First Hit</t>
  </si>
  <si>
    <t>Rule Usage Hit Count</t>
  </si>
  <si>
    <t>Rule Usage Last Hit</t>
  </si>
  <si>
    <t>Src_IsAny</t>
  </si>
  <si>
    <t>Src_CIDR_Le_16</t>
  </si>
  <si>
    <t>Src_CIDR_17_22</t>
  </si>
  <si>
    <t>Dst_IsAny</t>
  </si>
  <si>
    <t>Dst_CIDR_Le_16</t>
  </si>
  <si>
    <t>Dst_CIDR_17_22</t>
  </si>
  <si>
    <t>SrcZone_IsAny</t>
  </si>
  <si>
    <t>DstZone_IsAny</t>
  </si>
  <si>
    <t>Service_Any_OR_RangeGt1000</t>
  </si>
  <si>
    <t>App_Any_OR_RangeGt1000</t>
  </si>
  <si>
    <t>Service_Insecure_Match</t>
  </si>
  <si>
    <t>Risky_Inbound</t>
  </si>
  <si>
    <t>Risky_Outbound</t>
  </si>
  <si>
    <t>Rule_Usage_Scoring</t>
  </si>
  <si>
    <t>Rule_Usage_Description_Scoring</t>
  </si>
  <si>
    <t>Source_User_Scoring</t>
  </si>
  <si>
    <t>Profile_Scoring</t>
  </si>
  <si>
    <t>Options_Scoring</t>
  </si>
  <si>
    <t>Action_IsDenyOrDrop</t>
  </si>
  <si>
    <t>Migrate Insecure_AppID</t>
  </si>
  <si>
    <t>Migrate_Insecure</t>
  </si>
  <si>
    <t>Migrate_Other_ports</t>
  </si>
  <si>
    <t>Migrate_Other_ports_Score</t>
  </si>
  <si>
    <t>Score_Total</t>
  </si>
  <si>
    <t>DC_Policies_Export.csv</t>
  </si>
  <si>
    <t>ION_Policies_Export.csv</t>
  </si>
  <si>
    <t>NY_Policies_Export.csv</t>
  </si>
  <si>
    <t>SG_Policies_Export.csv</t>
  </si>
  <si>
    <t>Block_DMZ_to_Mgmt_VNC</t>
  </si>
  <si>
    <t>Allow_Guest_to_DMZ_SMTP</t>
  </si>
  <si>
    <t>Allow_Guest_to_DMZ_FTP</t>
  </si>
  <si>
    <t>Allow_Mgmt_to_Mgmt_DNS</t>
  </si>
  <si>
    <t>Allow_Internet_to_DMZ_IMAP</t>
  </si>
  <si>
    <t>Allow_DMZ_to_DMZ_POP3</t>
  </si>
  <si>
    <t>Allow_Internet_to_Mgmt_DNS</t>
  </si>
  <si>
    <t>Allow_DMZ_to_Mgmt_IMAP</t>
  </si>
  <si>
    <t>Allow_Guest_to_Trust_POP3</t>
  </si>
  <si>
    <t>Allow_DMZ_to_Mgmt_SSH</t>
  </si>
  <si>
    <t>Allow_Guest_to_Trust_ANY-App</t>
  </si>
  <si>
    <t>Allow_Trust_to_DMZ_LA_APP_ANY_AND_WEB</t>
  </si>
  <si>
    <t>Allow_Internet_to_Guest_HTTP</t>
  </si>
  <si>
    <t>Allow_Mgmt_to_Mgmt_SMTP</t>
  </si>
  <si>
    <t>Allow_Guest_to_Mgmt_DNS</t>
  </si>
  <si>
    <t>Allow_Trust_to_Guest_POP3</t>
  </si>
  <si>
    <t>Allow_Internet_to_Mgmt_SSH</t>
  </si>
  <si>
    <t>Block_Guest_to_Guest_LA_APP_ANY_AND_WEB</t>
  </si>
  <si>
    <t>Allow_Internet_to_Mgmt_RDP</t>
  </si>
  <si>
    <t>Allow_DMZ_to_Mgmt_HTTP</t>
  </si>
  <si>
    <t>Allow_Guest_to_Guest_POP3</t>
  </si>
  <si>
    <t>Allow_DMZ_to_Mgmt_FTP</t>
  </si>
  <si>
    <t>Allow_Trust_to_DMZ_HTTP</t>
  </si>
  <si>
    <t>Allow_Guest_to_Guest_Telnet</t>
  </si>
  <si>
    <t>Block_Guest_to_Mgmt_HTTP</t>
  </si>
  <si>
    <t>Allow_Guest_to_Guest_HTTP</t>
  </si>
  <si>
    <t>Allow_Trust_to_Mgmt_DNS</t>
  </si>
  <si>
    <t>Allow_Trust_to_Trust_HTTP</t>
  </si>
  <si>
    <t>Allow_Guest_to_DMZ_HTTP</t>
  </si>
  <si>
    <t>Allow_Mgmt_to_Trust_POP3</t>
  </si>
  <si>
    <t>Allow_DMZ_to_DMZ_FTP</t>
  </si>
  <si>
    <t>Allow_Mgmt_to_DMZ_LA_APP_ANY_AND_WEB</t>
  </si>
  <si>
    <t>Allow_Guest_to_Mgmt_HTTP</t>
  </si>
  <si>
    <t>Allow_Mgmt_to_Mgmt_HTTP</t>
  </si>
  <si>
    <t>Allow_Trust_to_Trust_FTP</t>
  </si>
  <si>
    <t>Allow_Internet_to_Trust_SMTP</t>
  </si>
  <si>
    <t>Allow_Internet_to_DMZ_HTTP</t>
  </si>
  <si>
    <t>Allow_Mgmt_to_Trust_HTTP</t>
  </si>
  <si>
    <t>Allow_Internet_to_Mgmt_SSL</t>
  </si>
  <si>
    <t>Allow_Trust_to_DMZ_IMAP</t>
  </si>
  <si>
    <t>Allow_Internet_to_Mgmt_ANY-App</t>
  </si>
  <si>
    <t>Allow_Internet_to_Guest_POP3</t>
  </si>
  <si>
    <t>Block_Mgmt_to_Trust_DNS</t>
  </si>
  <si>
    <t>Block_Mgmt_to_DMZ_VNC</t>
  </si>
  <si>
    <t>Allow_Mgmt_to_DMZ_SSH</t>
  </si>
  <si>
    <t>Block_DMZ_to_DMZ_Telnet</t>
  </si>
  <si>
    <t>Allow_Trust_to_Guest_HTTP</t>
  </si>
  <si>
    <t>Allow_Internet_to_Trust_ANY-App</t>
  </si>
  <si>
    <t>Allow_Mgmt_to_Trust_SMTP</t>
  </si>
  <si>
    <t>Allow_Internet_to_Trust_VNC</t>
  </si>
  <si>
    <t>Allow_Internet_to_Guest_IMAP</t>
  </si>
  <si>
    <t>Allow_Internet_to_DMZ_ANY-App</t>
  </si>
  <si>
    <t>Block_Trust_to_DMZ_IMAP</t>
  </si>
  <si>
    <t>Block_Guest_to_Guest_HTTP</t>
  </si>
  <si>
    <t>Allow_Mgmt_to_DMZ_RDP</t>
  </si>
  <si>
    <t>Allow_DMZ_to_Guest_SSH</t>
  </si>
  <si>
    <t>Block_Internet_to_Guest_SMTP</t>
  </si>
  <si>
    <t>Block_DMZ_to_DMZ_POP3</t>
  </si>
  <si>
    <t>Allow_Mgmt_to_Mgmt_IMAP</t>
  </si>
  <si>
    <t>Allow_Guest_to_Guest_SMTP</t>
  </si>
  <si>
    <t>Allow_DMZ_to_Mgmt_ANY-App</t>
  </si>
  <si>
    <t>Allow_Mgmt_to_DMZ_HTTP</t>
  </si>
  <si>
    <t>Allow_Guest_to_Mgmt_SSL</t>
  </si>
  <si>
    <t>Allow_DMZ_to_Mgmt_POP3</t>
  </si>
  <si>
    <t>Allow_Mgmt_to_Mgmt_LA_APP_ANY_AND_WEB</t>
  </si>
  <si>
    <t>Allow_Internet_to_Mgmt_LA_APP_ANY_AND_WEB</t>
  </si>
  <si>
    <t>Allow_Trust_to_Mgmt_Telnet</t>
  </si>
  <si>
    <t>Allow_Trust_to_Mgmt_SSL</t>
  </si>
  <si>
    <t>Allow_Internet_to_DMZ_SSL</t>
  </si>
  <si>
    <t>Block_Mgmt_to_Guest_POP3</t>
  </si>
  <si>
    <t>Allow_Guest_to_Guest_LA_APP_ANY_AND_WEB</t>
  </si>
  <si>
    <t>Allow_Mgmt_to_DMZ_IMAP</t>
  </si>
  <si>
    <t>Allow_DMZ_to_Trust_HTTP</t>
  </si>
  <si>
    <t>Allow_Internet_to_Trust_FTP</t>
  </si>
  <si>
    <t>Allow_Internet_to_DMZ_LA_APP_ANY_AND_WEB</t>
  </si>
  <si>
    <t>Allow_Internet_to_Guest_SMB</t>
  </si>
  <si>
    <t>Allow_Internet_to_DMZ_SSH</t>
  </si>
  <si>
    <t>Allow_Trust_to_Guest_FTP</t>
  </si>
  <si>
    <t>Allow_Guest_to_Guest_ANY-App</t>
  </si>
  <si>
    <t>Allow_Mgmt_to_Trust_ANY-App</t>
  </si>
  <si>
    <t>Allow_DMZ_to_Trust_SMTP</t>
  </si>
  <si>
    <t>Allow_Mgmt_to_Trust_DNS</t>
  </si>
  <si>
    <t>Allow_Trust_to_Trust_POP3</t>
  </si>
  <si>
    <t>Allow_Mgmt_to_Guest_LA_APP_ANY_AND_WEB</t>
  </si>
  <si>
    <t>Allow_Trust_to_Guest_SSL</t>
  </si>
  <si>
    <t>Allow_Guest_to_Mgmt_SSH</t>
  </si>
  <si>
    <t>Allow_Internet_to_Trust_HTTP</t>
  </si>
  <si>
    <t>Allow_Trust_to_DMZ_ANY-App</t>
  </si>
  <si>
    <t>Allow_Internet_to_DMZ_POP3</t>
  </si>
  <si>
    <t>Allow_Trust_to_Trust_Telnet</t>
  </si>
  <si>
    <t>Allow_DMZ_to_Trust_SSH</t>
  </si>
  <si>
    <t>Allow_Internet_to_Mgmt_HTTP</t>
  </si>
  <si>
    <t>Allow_Guest_to_Trust_HTTP</t>
  </si>
  <si>
    <t>Allow_Guest_to_DMZ_LA_APP_ANY_AND_WEB</t>
  </si>
  <si>
    <t>Allow_Guest_to_DMZ_SSL</t>
  </si>
  <si>
    <t>Allow_Internet_to_Trust_POP3</t>
  </si>
  <si>
    <t>Allow_DMZ_to_Guest_SMTP</t>
  </si>
  <si>
    <t>Block_Internet_to_DMZ_LON_APP_ANY_AND_WEB</t>
  </si>
  <si>
    <t>Allow_Trust_to_Trust_DNS</t>
  </si>
  <si>
    <t>Allow_Internet_to_Guest_DNS</t>
  </si>
  <si>
    <t>Allow_Mgmt_to_Mgmt_SSH</t>
  </si>
  <si>
    <t>Allow_Guest_to_Trust_LON_APP_ANY_AND_WEB</t>
  </si>
  <si>
    <t>Allow_Internet_to_Mgmt_Telnet</t>
  </si>
  <si>
    <t>Allow_Internet_to_Trust_SSH</t>
  </si>
  <si>
    <t>Allow_Trust_to_DMZ_SMTP</t>
  </si>
  <si>
    <t>Allow_Internet_to_Trust_DNS</t>
  </si>
  <si>
    <t>Allow_Guest_to_Mgmt_SMTP</t>
  </si>
  <si>
    <t>Allow_Trust_to_Mgmt_FTP</t>
  </si>
  <si>
    <t>Allow_Guest_to_Guest_FTP</t>
  </si>
  <si>
    <t>Allow_DMZ_to_DMZ_SMTP</t>
  </si>
  <si>
    <t>Allow_Guest_to_Guest_LON_APP_ANY_AND_WEB</t>
  </si>
  <si>
    <t>Allow_Guest_to_DMZ_ANY-App</t>
  </si>
  <si>
    <t>Allow_DMZ_to_Guest_HTTP</t>
  </si>
  <si>
    <t>Allow_Mgmt_to_Trust_FTP</t>
  </si>
  <si>
    <t>Allow_Mgmt_to_DMZ_DNS</t>
  </si>
  <si>
    <t>Block_Mgmt_to_Mgmt_HTTP</t>
  </si>
  <si>
    <t>Allow_Guest_to_Guest_IMAP</t>
  </si>
  <si>
    <t>Block_DMZ_to_Mgmt_ANY-App</t>
  </si>
  <si>
    <t>Allow_Mgmt_to_Trust_LON_APP_ANY_AND_WEB</t>
  </si>
  <si>
    <t>Block_Guest_to_DMZ_FTP</t>
  </si>
  <si>
    <t>Allow_Mgmt_to_Guest_LON_APP_ANY_AND_WEB</t>
  </si>
  <si>
    <t>Block_Trust_to_Mgmt_SSH</t>
  </si>
  <si>
    <t>Allow_Internet_to_Mgmt_LON_APP_ANY_AND_WEB</t>
  </si>
  <si>
    <t>Allow_Mgmt_to_Guest_DNS</t>
  </si>
  <si>
    <t>Block_DMZ_to_Trust_SSL</t>
  </si>
  <si>
    <t>Block_Internet_to_DMZ_SMTP</t>
  </si>
  <si>
    <t>Allow_Guest_to_Mgmt_ANY-App</t>
  </si>
  <si>
    <t>Allow_Internet_to_Guest_SSH</t>
  </si>
  <si>
    <t>Block_Guest_to_DMZ_HTTP</t>
  </si>
  <si>
    <t>Allow_Trust_to_DMZ_Telnet</t>
  </si>
  <si>
    <t>Allow_Guest_to_Trust_RDP</t>
  </si>
  <si>
    <t>Allow_Internet_to_Mgmt_SMTP</t>
  </si>
  <si>
    <t>Allow_DMZ_to_Trust_POP3</t>
  </si>
  <si>
    <t>Allow_Mgmt_to_Mgmt_FTP</t>
  </si>
  <si>
    <t>Block_Internet_to_Mgmt_DNS</t>
  </si>
  <si>
    <t>Allow_Internet_to_Guest_SMTP</t>
  </si>
  <si>
    <t>Allow_Mgmt_to_Trust_SSH</t>
  </si>
  <si>
    <t>Allow_Mgmt_to_DMZ_ANY-App</t>
  </si>
  <si>
    <t>Allow_DMZ_to_Mgmt_SSL</t>
  </si>
  <si>
    <t>Allow_Guest_to_Trust_SSL</t>
  </si>
  <si>
    <t>Allow_Trust_to_Mgmt_SSH</t>
  </si>
  <si>
    <t>Allow_Guest_to_Guest_VNC</t>
  </si>
  <si>
    <t>Allow_Mgmt_to_Guest_FTP</t>
  </si>
  <si>
    <t>Allow_Mgmt_to_Guest_IMAP</t>
  </si>
  <si>
    <t>Block_Mgmt_to_DMZ_HTTP</t>
  </si>
  <si>
    <t>Allow_DMZ_to_Trust_DNS</t>
  </si>
  <si>
    <t>Allow_Mgmt_to_DMZ_LON_APP_ANY_AND_WEB</t>
  </si>
  <si>
    <t>Allow_Internet_to_Guest_Telnet</t>
  </si>
  <si>
    <t>Block_Internet_to_Guest_DNS</t>
  </si>
  <si>
    <t>Block_Internet_to_DMZ_POP3</t>
  </si>
  <si>
    <t>Allow_Guest_to_Trust_SMB</t>
  </si>
  <si>
    <t>Allow_Internet_to_Trust_SSL</t>
  </si>
  <si>
    <t>Allow_DMZ_to_DMZ_SSH</t>
  </si>
  <si>
    <t>Allow_DMZ_to_Trust_VNC</t>
  </si>
  <si>
    <t>Allow_DMZ_to_Trust_ANY-App</t>
  </si>
  <si>
    <t>Allow_Internet_to_Trust_IMAP</t>
  </si>
  <si>
    <t>Allow_DMZ_to_Trust_SSL</t>
  </si>
  <si>
    <t>Allow_Internet_to_Mgmt_POP3</t>
  </si>
  <si>
    <t>Allow_Internet_to_Guest_FTP</t>
  </si>
  <si>
    <t>Block_Trust_to_DMZ_POP3</t>
  </si>
  <si>
    <t>Allow_Mgmt_to_Mgmt_LON_APP_ANY_AND_WEB</t>
  </si>
  <si>
    <t>Block_Trust_to_DMZ_VNC</t>
  </si>
  <si>
    <t>Allow_Mgmt_to_Mgmt_ANY-App</t>
  </si>
  <si>
    <t>Allow_Mgmt_to_DMZ_SNMP</t>
  </si>
  <si>
    <t>Allow_Trust_to_Guest_ANY-Port</t>
  </si>
  <si>
    <t>Block_Internet_to_Trust_HTTP</t>
  </si>
  <si>
    <t>Allow_Internet_to_Guest_Enterprise-Apps</t>
  </si>
  <si>
    <t>Allow_Mgmt_to_Trust_ANY-Port</t>
  </si>
  <si>
    <t>Block_Mgmt_to_Mgmt_ANY-Port</t>
  </si>
  <si>
    <t>Allow_Internet_to_Trust_ANY-Port</t>
  </si>
  <si>
    <t>Allow_DMZ_to_Guest_VNC</t>
  </si>
  <si>
    <t>Allow_Trust_to_Guest_DNS</t>
  </si>
  <si>
    <t>Allow_Internet_to_Trust_HTTPS</t>
  </si>
  <si>
    <t>Allow_Internet_to_Trust_SMB</t>
  </si>
  <si>
    <t>Block_Mgmt_to_Guest_ANY-App</t>
  </si>
  <si>
    <t>Allow_Trust_to_Mgmt_NTP</t>
  </si>
  <si>
    <t>Allow_DMZ_to_DMZ_MS-SQL</t>
  </si>
  <si>
    <t>Allow_Guest_to_Trust_ANY-Port</t>
  </si>
  <si>
    <t>Block_Mgmt_to_DMZ_MYSQL</t>
  </si>
  <si>
    <t>Allow_Internet_to_DMZ_NTP</t>
  </si>
  <si>
    <t>Block_Guest_to_Guest_ANY-Port</t>
  </si>
  <si>
    <t>Block_Internet_to_DMZ_HTTPS</t>
  </si>
  <si>
    <t>Allow_Mgmt_to_Guest_VNC</t>
  </si>
  <si>
    <t>Allow_Internet_to_Trust_Telnet</t>
  </si>
  <si>
    <t>Allow_Internet_to_DMZ_ANY-Port</t>
  </si>
  <si>
    <t>Block_Mgmt_to_Guest_NTP</t>
  </si>
  <si>
    <t>Allow_Guest_to_DMZ_SMB</t>
  </si>
  <si>
    <t>Allow_Internet_to_Trust_Enterprise-Apps</t>
  </si>
  <si>
    <t>Allow_DMZ_to_Guest_Telnet</t>
  </si>
  <si>
    <t>Block_Trust_to_Mgmt_Oracle</t>
  </si>
  <si>
    <t>Allow_Mgmt_to_DMZ_MYSQL</t>
  </si>
  <si>
    <t>Block_Internet_to_DMZ_ANY-App</t>
  </si>
  <si>
    <t>Allow_DMZ_to_DMZ_Enterprise-Apps</t>
  </si>
  <si>
    <t>Allow_Mgmt_to_DMZ_MSSQL</t>
  </si>
  <si>
    <t>Allow_Mgmt_to_Mgmt_ANY-Port</t>
  </si>
  <si>
    <t>Allow_Mgmt_to_DMZ_ANY-Port</t>
  </si>
  <si>
    <t>Block_Guest_to_Mgmt_Telnet</t>
  </si>
  <si>
    <t>Allow_Internet_to_Guest_RDP</t>
  </si>
  <si>
    <t>Allow_Trust_to_Mgmt_ANY-App</t>
  </si>
  <si>
    <t>Allow_Internet_to_Guest_HTTPS</t>
  </si>
  <si>
    <t>Allow_DMZ_to_Guest_Oracle</t>
  </si>
  <si>
    <t>Block_Internet_to_Trust_Telnet</t>
  </si>
  <si>
    <t>Allow_Internet_to_Guest_ANY-Port</t>
  </si>
  <si>
    <t>Block_Internet_to_Trust_Oracle</t>
  </si>
  <si>
    <t>Allow_DMZ_to_Guest_FTP</t>
  </si>
  <si>
    <t>Allow_Internet_to_DMZ_RDP</t>
  </si>
  <si>
    <t>Block_Internet_to_Trust_NTP</t>
  </si>
  <si>
    <t>Block_DMZ_to_Guest_HTTPS</t>
  </si>
  <si>
    <t>Allow_Guest_to_DMZ_Oracle</t>
  </si>
  <si>
    <t>Allow_Internet_to_Trust_RDP</t>
  </si>
  <si>
    <t>Allow_Internet_to_DMZ_DNS</t>
  </si>
  <si>
    <t>Block_Mgmt_to_Trust_RDP</t>
  </si>
  <si>
    <t>Block_Internet_to_Trust_ANY-Port</t>
  </si>
  <si>
    <t>Allow_DMZ_to_Guest_MSSQL</t>
  </si>
  <si>
    <t>Allow_Trust_to_DMZ_Legacy-Apps</t>
  </si>
  <si>
    <t>Allow_Mgmt_to_Guest_ANY-Port</t>
  </si>
  <si>
    <t>Block_Internet_to_DMZ_ANY-Port</t>
  </si>
  <si>
    <t>Block_Internet_to_Trust_ANY-App</t>
  </si>
  <si>
    <t>Block_Trust_to_Trust_VNC</t>
  </si>
  <si>
    <t>Allow_Mgmt_to_Guest_ANY-App</t>
  </si>
  <si>
    <t>Allow_any_to_Trust_ANY-App</t>
  </si>
  <si>
    <t>Allow_any_to_Guest_ANY-App</t>
  </si>
  <si>
    <t>Allow_Guest_to_any_FTP</t>
  </si>
  <si>
    <t>Allow_Guest_to_any_ANY-App</t>
  </si>
  <si>
    <t>Allow_Trust_to_Untrust_ANY-App</t>
  </si>
  <si>
    <t>Allow_Guest_to_Untrust_SSL</t>
  </si>
  <si>
    <t>Allow_Guest_to_Trust_FTP</t>
  </si>
  <si>
    <t>Block_Mgmt_to_Guest_IMAP</t>
  </si>
  <si>
    <t>Allow_Internet_to_Guest_SG_APP_ANY_AND_WEB</t>
  </si>
  <si>
    <t>Allow_Mgmt_to_Trust_RDP</t>
  </si>
  <si>
    <t>Allow_Guest_to_Trust_SG_APP_ANY_AND_WEB</t>
  </si>
  <si>
    <t>Allow_DMZ_to_DMZ_Telnet</t>
  </si>
  <si>
    <t>Block_Guest_to_DMZ_POP3</t>
  </si>
  <si>
    <t>Allow_Mgmt_to_Mgmt_RDP</t>
  </si>
  <si>
    <t>Block_Internet_to_DMZ_FTP</t>
  </si>
  <si>
    <t>Allow_Guest_to_Guest_SG_APP_ANY_AND_WEB</t>
  </si>
  <si>
    <t>Allow_DMZ_to_Trust_RDP</t>
  </si>
  <si>
    <t>Allow_Trust_to_Trust_SG_APP_ANY_AND_WEB</t>
  </si>
  <si>
    <t>Allow_Guest_to_DMZ_DNS</t>
  </si>
  <si>
    <t>Allow_Trust_to_DMZ_SSL</t>
  </si>
  <si>
    <t>Block_Internet_to_Mgmt_SSL</t>
  </si>
  <si>
    <t>Block_Guest_to_Guest_SMTP</t>
  </si>
  <si>
    <t>Allow_DMZ_to_Mgmt_RDP</t>
  </si>
  <si>
    <t>Allow_Guest_to_Trust_SMTP</t>
  </si>
  <si>
    <t>Allow_DMZ_to_DMZ_SSL</t>
  </si>
  <si>
    <t>Allow_Trust_to_Guest_SMTP</t>
  </si>
  <si>
    <t>Block_DMZ_to_Mgmt_SG_APP_ANY_AND_WEB</t>
  </si>
  <si>
    <t>Allow_Trust_to_Mgmt_IMAP</t>
  </si>
  <si>
    <t>Allow_Internet_to_Mgmt_IMAP</t>
  </si>
  <si>
    <t>Block_DMZ_to_DMZ_IMAP</t>
  </si>
  <si>
    <t>Allow_Trust_to_DMZ_POP3</t>
  </si>
  <si>
    <t>Allow_Guest_to_DMZ_SSH</t>
  </si>
  <si>
    <t>Block_Trust_to_Mgmt_SG_APP_ANY_AND_WEB</t>
  </si>
  <si>
    <t>Block_Guest_to_DMZ_SSH</t>
  </si>
  <si>
    <t>Allow_Trust_to_DMZ_SSH</t>
  </si>
  <si>
    <t>Allow_Mgmt_to_Guest_SG_APP_ANY_AND_WEB</t>
  </si>
  <si>
    <t>Allow_Trust_to_Trust_SSH</t>
  </si>
  <si>
    <t>Block_Trust_to_Mgmt_ANY-App</t>
  </si>
  <si>
    <t>Block_Guest_to_DMZ_SMTP</t>
  </si>
  <si>
    <t>Allow_Guest_to_Mgmt_RDP</t>
  </si>
  <si>
    <t>Block_Trust_to_Guest_FTP</t>
  </si>
  <si>
    <t>Allow_DMZ_to_DMZ_IMAP</t>
  </si>
  <si>
    <t>Block_Guest_to_DMZ_DNS</t>
  </si>
  <si>
    <t>Allow_Trust_to_DMZ_FTP</t>
  </si>
  <si>
    <t>Block_Guest_to_DMZ_SSL</t>
  </si>
  <si>
    <t>Block_DMZ_to_Mgmt_SSL</t>
  </si>
  <si>
    <t>Block_Mgmt_to_Mgmt_SG_APP_ANY_AND_WEB</t>
  </si>
  <si>
    <t>Allow_DMZ_to_Trust_SG_APP_ANY_AND_WEB</t>
  </si>
  <si>
    <t>Block_Mgmt_to_Trust_ANY-App</t>
  </si>
  <si>
    <t>Allow_Internet_to_Guest_SSL</t>
  </si>
  <si>
    <t>Block_DMZ_to_Guest_POP3</t>
  </si>
  <si>
    <t>Allow_Trust_to_Trust_ANY-App</t>
  </si>
  <si>
    <t>Allow_Mgmt_to_DMZ_POP3</t>
  </si>
  <si>
    <t>la-datacenterfw</t>
  </si>
  <si>
    <t>lon-edgefw</t>
  </si>
  <si>
    <t>ny-internetfw</t>
  </si>
  <si>
    <t>sg-cloudfw</t>
  </si>
  <si>
    <t>hipaa,migration</t>
  </si>
  <si>
    <t>prod,migration</t>
  </si>
  <si>
    <t>pci</t>
  </si>
  <si>
    <t>temp</t>
  </si>
  <si>
    <t>temp,dev</t>
  </si>
  <si>
    <t>dev,hipaa</t>
  </si>
  <si>
    <t>dev</t>
  </si>
  <si>
    <t>migration,pci</t>
  </si>
  <si>
    <t>temp,prod</t>
  </si>
  <si>
    <t>hipaa</t>
  </si>
  <si>
    <t>migration,prod</t>
  </si>
  <si>
    <t>pci,dev</t>
  </si>
  <si>
    <t>legacy</t>
  </si>
  <si>
    <t>prod,temp</t>
  </si>
  <si>
    <t>legacy,pci</t>
  </si>
  <si>
    <t>hipaa,pci</t>
  </si>
  <si>
    <t>hipaa,prod</t>
  </si>
  <si>
    <t>temp,hipaa</t>
  </si>
  <si>
    <t>prod,hipaa</t>
  </si>
  <si>
    <t>prod</t>
  </si>
  <si>
    <t>temp,legacy</t>
  </si>
  <si>
    <t>hipaa,temp</t>
  </si>
  <si>
    <t>pci,prod</t>
  </si>
  <si>
    <t>pci,hipaa</t>
  </si>
  <si>
    <t>migration</t>
  </si>
  <si>
    <t>migration,hipaa</t>
  </si>
  <si>
    <t>universal</t>
  </si>
  <si>
    <t>DMZ</t>
  </si>
  <si>
    <t>Untrust</t>
  </si>
  <si>
    <t>Guest</t>
  </si>
  <si>
    <t>Mgmt</t>
  </si>
  <si>
    <t>Trust</t>
  </si>
  <si>
    <t>any</t>
  </si>
  <si>
    <t>net-tier-10_1_3_0_24</t>
  </si>
  <si>
    <t>LA_All_Addresses</t>
  </si>
  <si>
    <t>legacy.la.corp</t>
  </si>
  <si>
    <t>srv-la-app05.corp.local</t>
  </si>
  <si>
    <t>srv-la-app07.corp.local</t>
  </si>
  <si>
    <t>10.1.3.0/24</t>
  </si>
  <si>
    <t>updates.la.vendor.local</t>
  </si>
  <si>
    <t>srv-la-app01.corp.local</t>
  </si>
  <si>
    <t>LA_Branch_3_Subnets</t>
  </si>
  <si>
    <t>10.190.44.10/32</t>
  </si>
  <si>
    <t>srv-la-app10.corp.local</t>
  </si>
  <si>
    <t>10.72.170.15/32</t>
  </si>
  <si>
    <t>10.247.26.17/32</t>
  </si>
  <si>
    <t>LA_External_Vendors</t>
  </si>
  <si>
    <t>LA_Anylike</t>
  </si>
  <si>
    <t>LA_Branch_1_Subnets</t>
  </si>
  <si>
    <t>10.130.246.26/32</t>
  </si>
  <si>
    <t>LA_Internal_Servers</t>
  </si>
  <si>
    <t>10.216.162.24/32</t>
  </si>
  <si>
    <t>LA_All_Branches</t>
  </si>
  <si>
    <t>10.1.9.0/24</t>
  </si>
  <si>
    <t>telemetry.la.iot</t>
  </si>
  <si>
    <t>srv-la-app09.corp.local</t>
  </si>
  <si>
    <t>LA_Corp_Internal</t>
  </si>
  <si>
    <t>net-tier-10_1_6_0_24</t>
  </si>
  <si>
    <t>srv-la-app06.corp.local</t>
  </si>
  <si>
    <t>10.143.171.21/32</t>
  </si>
  <si>
    <t>LA_Legacy</t>
  </si>
  <si>
    <t>LA_Legacy_Vendors</t>
  </si>
  <si>
    <t>10.210.34.12/32</t>
  </si>
  <si>
    <t>srv-la-app14.corp.local</t>
  </si>
  <si>
    <t>srv-la-app08.corp.local</t>
  </si>
  <si>
    <t>srv-la-app17.corp.local</t>
  </si>
  <si>
    <t>srv-la-app15.corp.local</t>
  </si>
  <si>
    <t>10.197.19.13/32</t>
  </si>
  <si>
    <t>LA_Internet_Tiers</t>
  </si>
  <si>
    <t>10.1.5.0/24</t>
  </si>
  <si>
    <t>net-tier-10_1_2_0_24</t>
  </si>
  <si>
    <t>10.230.156.23/32</t>
  </si>
  <si>
    <t>srv-la-app13.corp.local</t>
  </si>
  <si>
    <t>172.206.31.10/32</t>
  </si>
  <si>
    <t>srv-lon-app11.corp.local</t>
  </si>
  <si>
    <t>172.3.0.0/16</t>
  </si>
  <si>
    <t>LON_Legacy</t>
  </si>
  <si>
    <t>LON_Corp_Internal</t>
  </si>
  <si>
    <t>range-lon-segment</t>
  </si>
  <si>
    <t>LON_Legacy_Vendors</t>
  </si>
  <si>
    <t>srv-lon-app04.corp.local</t>
  </si>
  <si>
    <t>172.127.24.10-172.16.48.50</t>
  </si>
  <si>
    <t>net-tier-172_10_0_0_16</t>
  </si>
  <si>
    <t>172.147.161.17/32</t>
  </si>
  <si>
    <t>LON_All_Branches</t>
  </si>
  <si>
    <t>172.16.0.0/12</t>
  </si>
  <si>
    <t>172.200.49.16/32</t>
  </si>
  <si>
    <t>172.7.0.0/16</t>
  </si>
  <si>
    <t>172.247.244.14/32</t>
  </si>
  <si>
    <t>172.8.0.0/16</t>
  </si>
  <si>
    <t>LON_DMZ_Web</t>
  </si>
  <si>
    <t>net-tier-172_2_0_0_16</t>
  </si>
  <si>
    <t>172.15.144.24/32</t>
  </si>
  <si>
    <t>srv-lon-app16.corp.local</t>
  </si>
  <si>
    <t>172.221.12.29/32</t>
  </si>
  <si>
    <t>srv-lon-app08.corp.local</t>
  </si>
  <si>
    <t>net-tier-172_8_0_0_16</t>
  </si>
  <si>
    <t>172.205.156.22/32</t>
  </si>
  <si>
    <t>172.106.114.11/32</t>
  </si>
  <si>
    <t>172.208.60.15/32</t>
  </si>
  <si>
    <t>srv-lon-app02.corp.local</t>
  </si>
  <si>
    <t>updates.lon.vendor.local</t>
  </si>
  <si>
    <t>db.lon.corp.local</t>
  </si>
  <si>
    <t>srv-lon-app06.corp.local</t>
  </si>
  <si>
    <t>172.153.21.19/32</t>
  </si>
  <si>
    <t>172.6.0.0/16</t>
  </si>
  <si>
    <t>net-core-172.16.0.0_12</t>
  </si>
  <si>
    <t>LON_Branch_2_Subnets</t>
  </si>
  <si>
    <t>srv-lon-app13.corp.local</t>
  </si>
  <si>
    <t>net-tier-172_6_0_0_16</t>
  </si>
  <si>
    <t>172.203.101.13/32</t>
  </si>
  <si>
    <t>telemetry.lon.iot</t>
  </si>
  <si>
    <t>legacy.lon.corp</t>
  </si>
  <si>
    <t>172.157.100.27/32</t>
  </si>
  <si>
    <t>LON_External_Vendors</t>
  </si>
  <si>
    <t>172.239.153.12/32</t>
  </si>
  <si>
    <t>LON_Internet_Tiers</t>
  </si>
  <si>
    <t>net-tier-172_9_0_0_16</t>
  </si>
  <si>
    <t>net-tier-172_3_0_0_16</t>
  </si>
  <si>
    <t>LON_All_Addresses</t>
  </si>
  <si>
    <t>srv-app08.corp.local</t>
  </si>
  <si>
    <t>Internet_Facing_Tiers</t>
  </si>
  <si>
    <t>srv-app11.corp.local</t>
  </si>
  <si>
    <t>10.2.3.11/32</t>
  </si>
  <si>
    <t>Branch_2_Subnets</t>
  </si>
  <si>
    <t>10.3.0.10-10.3.0.50</t>
  </si>
  <si>
    <t>telemetry.iot.local</t>
  </si>
  <si>
    <t>net-dmz-10.1.8.0_24</t>
  </si>
  <si>
    <t>Legacy_Servers</t>
  </si>
  <si>
    <t>Branch_4_Subnets</t>
  </si>
  <si>
    <t>srv-app13.corp.local</t>
  </si>
  <si>
    <t>10.2.3.23/32</t>
  </si>
  <si>
    <t>Internal_Servers</t>
  </si>
  <si>
    <t>Anylike_Addresses</t>
  </si>
  <si>
    <t>172.16.5.10-172.16.5.200</t>
  </si>
  <si>
    <t>net-trust-172.16.0.0_12</t>
  </si>
  <si>
    <t>Corp_All_Addresses</t>
  </si>
  <si>
    <t>Branch_5_Subnets</t>
  </si>
  <si>
    <t>srv-app04.corp.local</t>
  </si>
  <si>
    <t>10.1.2.0/24</t>
  </si>
  <si>
    <t>10.2.3.26/32</t>
  </si>
  <si>
    <t>srv-app07.corp.local</t>
  </si>
  <si>
    <t>10.2.3.16/32</t>
  </si>
  <si>
    <t>10.2.3.21/32</t>
  </si>
  <si>
    <t>10.2.3.25/32</t>
  </si>
  <si>
    <t>Legacy_And_Vendors</t>
  </si>
  <si>
    <t>10.1.10.0/24</t>
  </si>
  <si>
    <t>10.2.3.12/32</t>
  </si>
  <si>
    <t>net-trust-192.168.0.0_16</t>
  </si>
  <si>
    <t>10.2.3.22/32</t>
  </si>
  <si>
    <t>srv-app12.corp.local</t>
  </si>
  <si>
    <t>10.1.1.0/24</t>
  </si>
  <si>
    <t>srv-app10.corp.local</t>
  </si>
  <si>
    <t>10.2.3.19/32</t>
  </si>
  <si>
    <t>DMZ_Web_Tier</t>
  </si>
  <si>
    <t>Corporate_All_Internal</t>
  </si>
  <si>
    <t>Branch_1_Subnets</t>
  </si>
  <si>
    <t>External_Vendors</t>
  </si>
  <si>
    <t>srv-app09.corp.local</t>
  </si>
  <si>
    <t>10.1.8.0/24</t>
  </si>
  <si>
    <t>srv-app17.corp.local</t>
  </si>
  <si>
    <t>legacy.intranet.corp</t>
  </si>
  <si>
    <t>SG_All_Addresses</t>
  </si>
  <si>
    <t>192.251.141.24/32</t>
  </si>
  <si>
    <t>SG_Corp_Internal</t>
  </si>
  <si>
    <t>192.137.77.27/32</t>
  </si>
  <si>
    <t>SG_All_Branches</t>
  </si>
  <si>
    <t>SG_Internet_Tiers</t>
  </si>
  <si>
    <t>192.10.0.0/16</t>
  </si>
  <si>
    <t>192.22.180.23/32</t>
  </si>
  <si>
    <t>legacy.sg.corp</t>
  </si>
  <si>
    <t>srv-sg-app15.corp.local</t>
  </si>
  <si>
    <t>192.251.160.13/32</t>
  </si>
  <si>
    <t>db.sg.corp.local</t>
  </si>
  <si>
    <t>telemetry.sg.iot</t>
  </si>
  <si>
    <t>SG_External_Vendors</t>
  </si>
  <si>
    <t>srv-sg-app02.corp.local</t>
  </si>
  <si>
    <t>192.56.101.11/32</t>
  </si>
  <si>
    <t>SG_Legacy_Vendors</t>
  </si>
  <si>
    <t>SG_Branch_2_Subnets</t>
  </si>
  <si>
    <t>192.8.0.0/16</t>
  </si>
  <si>
    <t>192.99.122.19/32</t>
  </si>
  <si>
    <t>192.190.83.26/32</t>
  </si>
  <si>
    <t>SG_Branch_3_Subnets</t>
  </si>
  <si>
    <t>192.136.216.12/32</t>
  </si>
  <si>
    <t>SG_Internal_Servers</t>
  </si>
  <si>
    <t>srv-sg-app20.corp.local</t>
  </si>
  <si>
    <t>srv-sg-app01.corp.local</t>
  </si>
  <si>
    <t>srv-sg-app12.corp.local</t>
  </si>
  <si>
    <t>SG_Anylike</t>
  </si>
  <si>
    <t>srv-sg-app16.corp.local</t>
  </si>
  <si>
    <t>srv-sg-app05.corp.local</t>
  </si>
  <si>
    <t>SG_Legacy</t>
  </si>
  <si>
    <t>192.149.19.17/32</t>
  </si>
  <si>
    <t>net-tier-192_8_0_0_16</t>
  </si>
  <si>
    <t>192.193.162.16/32</t>
  </si>
  <si>
    <t>192.6.0.0/16</t>
  </si>
  <si>
    <t>192.2.0.0/16</t>
  </si>
  <si>
    <t>net-tier-192_4_0_0_16</t>
  </si>
  <si>
    <t>srv-sg-app19.corp.local</t>
  </si>
  <si>
    <t>net-core-192.168.0.0_16</t>
  </si>
  <si>
    <t>net-tier-192_6_0_0_16</t>
  </si>
  <si>
    <t>192.3.0.0/16</t>
  </si>
  <si>
    <t>192.7.0.0/16</t>
  </si>
  <si>
    <t>srv-sg-app06.corp.local</t>
  </si>
  <si>
    <t>srv-sg-app08.corp.local</t>
  </si>
  <si>
    <t>10.1.1.0/24; 10.1.2.0/24; 10.1.3.0/24; 10.1.4.0/24; 10.1.5.0/24; 10.1.6.0/24; 10.1.7.0/24; 10.1.9.0/24;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any; db.la.corp.local; legacy.la.corp; telemetry.la.iot; updates.la.vendor.local</t>
  </si>
  <si>
    <t>10.156.103.14/32</t>
  </si>
  <si>
    <t>10.121.205.16/32</t>
  </si>
  <si>
    <t>10.170.252.10/32</t>
  </si>
  <si>
    <t>10.114.92.22/32; 10.156.103.14/32; 10.188.179.19/32; 10.215.129.28/32; 10.251.126.26/32; 10.81.174.25/32</t>
  </si>
  <si>
    <t>10.188.179.19/32</t>
  </si>
  <si>
    <t>telemetry.la.iot; updates.la.vendor.local</t>
  </si>
  <si>
    <t>10.1.1.0/24; 10.1.9.0/24; any; legacy.la.corp</t>
  </si>
  <si>
    <t>10.1.2.0/24; 10.6.235.24/32; telemetry.la.iot; updates.la.vendor.local</t>
  </si>
  <si>
    <t>10.11.186.18/32; 10.114.92.22/32; 10.121.205.16/32; 10.125.9.17/32; 10.134.26.11/32; 10.139.246.13/32; 10.141.126.23/32; 10.156.103.14/32; 10.170.252.10/32; 10.188.179.19/32; 10.189.74.21/32; 10.191.16.20/32; 10.215.129.28/32; 10.251.126.26/32; 10.253.36.12/32; 10.27.61.15/32; 10.6.235.24/32; 10.81.174.25/32; 10.9.208.29/32; 10.99.210.27/32</t>
  </si>
  <si>
    <t>10.1.2.0/24; 10.114.92.22/32; 10.132.57.10-10.205.119.50; 10.134.26.11/32; 10.141.126.23/32; 10.156.103.14/32; 10.188.179.19/32; 10.215.129.28/32; 10.251.126.26/32; 10.6.235.24/32; 10.81.174.25/32; db.la.corp.local; telemetry.la.iot; updates.la.vendor.local</t>
  </si>
  <si>
    <t>10.11.186.18/32</t>
  </si>
  <si>
    <t>10.1.2.0/24; 10.11.186.18/32; 10.114.92.22/32; 10.121.205.16/32; 10.125.9.17/32; 10.132.57.10-10.205.119.50; 10.134.26.11/32; 10.139.246.13/32; 10.141.126.23/32; 10.156.103.14/32; 10.170.252.10/32; 10.188.179.19/32; 10.189.74.21/32; 10.191.16.20/32; 10.215.129.28/32; 10.251.126.26/32; 10.253.36.12/32; 10.27.61.15/32; 10.6.235.24/32; 10.81.174.25/32; 10.9.208.29/32; 10.99.210.27/32; db.la.corp.local; telemetry.la.iot; updates.la.vendor.local</t>
  </si>
  <si>
    <t>10.1.6.0/24</t>
  </si>
  <si>
    <t>10.27.61.15/32</t>
  </si>
  <si>
    <t>10.1.7.0/24; 10.11.186.18/32; 10.156.103.14/32; 10.6.235.24/32; telemetry.la.iot</t>
  </si>
  <si>
    <t>10.1.1.0/24; 10.1.7.0/24; 10.1.9.0/24; 10.11.186.18/32; 10.156.103.14/32; 10.6.235.24/32; any; legacy.la.corp; telemetry.la.iot; updates.la.vendor.local</t>
  </si>
  <si>
    <t>10.141.126.23/32</t>
  </si>
  <si>
    <t>10.125.9.17/32</t>
  </si>
  <si>
    <t>10.251.126.26/32</t>
  </si>
  <si>
    <t>10.6.235.24/32</t>
  </si>
  <si>
    <t>10.1.1.0/24; 10.1.2.0/24; 10.1.3.0/24; 10.1.4.0/24; 10.1.5.0/24; 10.1.6.0/24; telemetry.la.iot; updates.la.vendor.local</t>
  </si>
  <si>
    <t>10.114.92.22/32</t>
  </si>
  <si>
    <t>172.229.148.20/32</t>
  </si>
  <si>
    <t>172.1.0.0/16; 172.106.231.12/32; 172.234.26.16/32; 172.90.121.15/32</t>
  </si>
  <si>
    <t>172.101.198.21/32; 172.106.231.12/32; 172.109.178.10-172.115.219.50;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172.8.0.0/16; 172.89.137.10/32; 172.9.0.0/16; 172.90.121.15/32; 172.97.47.14/32; db.lon.corp.local</t>
  </si>
  <si>
    <t>172.109.178.10-172.115.219.50</t>
  </si>
  <si>
    <t>172.1.0.0/16; 172.106.231.12/32; 172.229.148.20/32; 172.234.26.16/32; 172.90.121.15/32; any; db.lon.corp.local; legacy.lon.corp; telemetry.lon.iot; updates.lon.vendor.local</t>
  </si>
  <si>
    <t>172.192.117.13/32</t>
  </si>
  <si>
    <t>172.10.0.0/16</t>
  </si>
  <si>
    <t>172.109.178.10-172.115.219.50; 172.131.77.24/32; 172.138.126.19/32; 172.192.117.13/32; 172.197.143.27/32; 172.226.46.29/32; 172.8.0.0/16; 172.89.137.10/32; 172.9.0.0/16; 172.97.47.14/32; db.lon.corp.local</t>
  </si>
  <si>
    <t>172.1.0.0/16; 172.2.0.0/16; 172.3.0.0/16; 172.4.0.0/16; 172.5.0.0/16; 172.6.0.0/16</t>
  </si>
  <si>
    <t>172.2.0.0/16</t>
  </si>
  <si>
    <t>172.77.150.25/32</t>
  </si>
  <si>
    <t>172.158.3.17/32</t>
  </si>
  <si>
    <t>172.213.93.11/32</t>
  </si>
  <si>
    <t>172.90.121.15/32</t>
  </si>
  <si>
    <t>172.131.77.24/32; 172.197.143.27/32; 172.89.137.10/32; 172.97.47.14/32</t>
  </si>
  <si>
    <t>172.32.221.22/32</t>
  </si>
  <si>
    <t>telemetry.lon.iot; updates.lon.vendor.local</t>
  </si>
  <si>
    <t>172.1.0.0/16; 172.2.0.0/16; 172.3.0.0/16; 172.4.0.0/16; 172.5.0.0/16; 172.6.0.0/16; telemetry.lon.iot; updates.lon.vendor.local</t>
  </si>
  <si>
    <t>172.9.0.0/16</t>
  </si>
  <si>
    <t>172.1.0.0/16; 172.101.198.21/32; 172.106.231.12/32; 172.109.178.10-172.115.219.50; 172.11.251.26/32; 172.131.77.24/32; 172.136.114.28/32; 172.138.126.19/32; 172.158.3.17/32; 172.170.76.18/32; 172.192.117.13/32; 172.197.143.27/32; 172.2.0.0/16; 172.201.28.23/32; 172.213.93.11/32; 172.226.46.29/32; 172.229.148.20/32; 172.234.26.16/32; 172.3.0.0/16; 172.32.221.22/32; 172.4.0.0/16; 172.5.0.0/16; 172.6.0.0/16; 172.77.150.25/32; 172.8.0.0/16; 172.89.137.10/32; 172.9.0.0/16; 172.90.121.15/32; 172.97.47.14/32; any; db.lon.corp.local; legacy.lon.corp; telemetry.lon.iot; updates.lon.vendor.local</t>
  </si>
  <si>
    <t>10.2.3.17/32</t>
  </si>
  <si>
    <t>10.1.1.0/24; 10.1.2.0/24; 10.1.3.0/24; 10.1.4.0/24; 10.1.5.0/24; 10.1.6.0/24; telemetry.iot.local; updates.vendor.local</t>
  </si>
  <si>
    <t>10.2.3.20/32</t>
  </si>
  <si>
    <t>10.1.3.0/24; 10.1.9.0/24; 10.2.3.19/32</t>
  </si>
  <si>
    <t>10.1.1.0/24; 10.1.7.0/24; 10.2.3.25/32; 10.2.3.28/32; any</t>
  </si>
  <si>
    <t>10.2.3.27/32; 10.3.0.10-10.3.0.50; 198.18.0.0/15</t>
  </si>
  <si>
    <t>10.2.3.10/32; 10.2.3.11/32; 10.2.3.12/32; 10.2.3.13/32; 10.2.3.14/32; 10.2.3.15/32; 10.2.3.16/32; 10.2.3.17/32; 10.2.3.18/32; 10.2.3.19/32; 10.2.3.20/32; 10.2.3.21/32; 10.2.3.22/32; 10.2.3.23/32; 10.2.3.24/32; 10.2.3.25/32; 10.2.3.26/32; 10.2.3.27/32; 10.2.3.28/32; 10.2.3.29/32</t>
  </si>
  <si>
    <t>10.2.3.18/32; 10.2.3.19/32; 172.16.5.10-172.16.5.200; any</t>
  </si>
  <si>
    <t>10.1.1.0/24; 10.1.10.0/24; 10.1.2.0/24; 10.1.3.0/24; 10.1.4.0/24; 10.1.5.0/24; 10.1.6.0/24; 10.1.7.0/24;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172.16.5.10-172.16.5.200; 198.18.0.0/15; any; legacy.intranet.corp; telemetry.iot.local; updates.vendor.local</t>
  </si>
  <si>
    <t>10.1.10.0/24; 10.1.8.0/24; 172.16.0.0/12; telemetry.iot.local</t>
  </si>
  <si>
    <t>10.2.3.13/32</t>
  </si>
  <si>
    <t>10.1.1.0/24; 10.1.7.0/24; 10.2.3.18/32; 10.2.3.19/32; 10.2.3.25/32; 10.2.3.28/32; 172.16.5.10-172.16.5.200; any; telemetry.iot.local; updates.vendor.local</t>
  </si>
  <si>
    <t>192.168.0.0/16</t>
  </si>
  <si>
    <t>10.1.1.0/24; 10.1.2.0/24; 10.1.3.0/24; 10.1.4.0/24; 10.1.5.0/24; 10.1.6.0/24</t>
  </si>
  <si>
    <t>10.1.10.0/24; 10.1.2.0/24; 10.1.3.0/24; 10.1.8.0/24; 10.1.9.0/24; 10.2.3.10/32; 10.2.3.11/32; 10.2.3.12/32; 10.2.3.13/32; 10.2.3.14/32; 10.2.3.15/32; 10.2.3.16/32; 10.2.3.17/32; 10.2.3.18/32; 10.2.3.19/32; 10.2.3.20/32; 10.2.3.21/32; 10.2.3.22/32; 10.2.3.23/32; 10.2.3.24/32; 10.2.3.25/32; 10.2.3.26/32; 10.2.3.27/32; 10.2.3.28/32; 10.2.3.29/32; 10.3.0.10-10.3.0.50; 100.64.0.0/10; 172.16.0.0/12; 198.18.0.0/15; legacy.intranet.corp; telemetry.iot.local</t>
  </si>
  <si>
    <t>10.1.2.0/24; 10.2.3.19/32; 10.2.3.20/32; 198.18.0.0/15</t>
  </si>
  <si>
    <t>telemetry.iot.local; updates.vendor.local</t>
  </si>
  <si>
    <t>10.2.3.18/32</t>
  </si>
  <si>
    <t>192.0.2.28/32; 192.1.0.0/16; 192.10.0.0/16; 192.111.28.22/32; 192.143.51.12/32; 192.155.212.29/32; 192.166.71.21/32; 192.168.0.0/16; 192.176.52.16/32; 192.2.0.0/16; 192.203.155.20/32; 192.207.90.17/32; 192.222.185.15/32; 192.225.25.27/32; 192.238.100.26/32; 192.249.191.14/32; 192.250.28.18/32; 192.3.0.0/16; 192.4.0.0/16; 192.42.0.11/32; 192.5.0.0/16; 192.6.0.0/16; 192.65.217.10/32; 192.67.133.23/32; 192.7.0.0/16; 192.76.189.24/32; 192.82.10.19/32; 192.82.128.13/32; 192.9.0.0/16; 192.98.88.25/32; any; db.sg.corp.local; telemetry.sg.iot; updates.sg.vendor.local</t>
  </si>
  <si>
    <t>192.0.2.28/32; 192.10.0.0/16; 192.111.28.22/32; 192.143.51.12/32; 192.155.212.29/32; 192.166.71.21/32; 192.168.0.0/16; 192.176.52.16/32; 192.203.155.20/32; 192.207.90.17/32; 192.222.185.15/32; 192.225.25.27/32; 192.238.100.26/32; 192.249.191.14/32; 192.250.28.18/32; 192.3.0.0/16; 192.4.0.0/16; 192.42.0.11/32; 192.65.217.10/32; 192.67.133.23/32; 192.76.189.24/32; 192.82.10.19/32; 192.82.128.13/32; 192.9.0.0/16; 192.98.88.25/32; any; db.sg.corp.local</t>
  </si>
  <si>
    <t>192.10.0.0/16; 192.155.212.29/32; 192.168.0.0/16; 192.176.52.16/32; 192.249.191.14/32; 192.3.0.0/16; 192.4.0.0/16; 192.76.189.24/32; 192.82.128.13/32; 192.9.0.0/16; 192.98.88.25/32; any; db.sg.corp.local</t>
  </si>
  <si>
    <t>192.1.0.0/16; 192.2.0.0/16; 192.3.0.0/16; 192.4.0.0/16; 192.5.0.0/16; 192.6.0.0/16; telemetry.sg.iot; updates.sg.vendor.local</t>
  </si>
  <si>
    <t>192.76.189.24/32</t>
  </si>
  <si>
    <t>telemetry.sg.iot; updates.sg.vendor.local</t>
  </si>
  <si>
    <t>192.42.0.11/32</t>
  </si>
  <si>
    <t>192.143.51.12/32; 192.203.155.20/32; 192.207.90.17/32; 192.222.185.15/32; 192.250.28.18/32; 192.7.0.0/16; 192.9.0.0/16; 192.98.88.25/32; any; telemetry.sg.iot; updates.sg.vendor.local</t>
  </si>
  <si>
    <t>192.155.212.29/32; 192.168.0.0/16; 192.76.189.24/32; 192.98.88.25/32; any</t>
  </si>
  <si>
    <t>192.10.0.0/16; 192.249.191.14/32; 192.4.0.0/16; 192.9.0.0/16; db.sg.corp.local</t>
  </si>
  <si>
    <t>192.0.2.28/32; 192.111.28.22/32; 192.143.51.12/32; 192.155.212.29/32; 192.166.71.21/32; 192.176.52.16/32; 192.203.155.20/32; 192.207.90.17/32; 192.222.185.15/32; 192.225.25.27/32; 192.238.100.26/32; 192.249.191.14/32; 192.250.28.18/32; 192.42.0.11/32; 192.65.217.10/32; 192.67.133.23/32; 192.76.189.24/32; 192.82.10.19/32; 192.82.128.13/32; 192.98.88.25/32</t>
  </si>
  <si>
    <t>192.155.212.29/32</t>
  </si>
  <si>
    <t>192.65.217.10/32</t>
  </si>
  <si>
    <t>192.166.71.21/32</t>
  </si>
  <si>
    <t>192.143.51.12/32; 192.203.155.20/32; 192.250.28.18/32; 192.98.88.25/32; any</t>
  </si>
  <si>
    <t>192.98.88.25/32</t>
  </si>
  <si>
    <t>192.249.191.14/32</t>
  </si>
  <si>
    <t>192.207.90.17/32; 192.222.185.15/32; 192.7.0.0/16; 192.9.0.0/16</t>
  </si>
  <si>
    <t>192.4.0.0/16</t>
  </si>
  <si>
    <t>192.0.2.28/32</t>
  </si>
  <si>
    <t>192.222.185.15/32</t>
  </si>
  <si>
    <t>192.207.90.17/32</t>
  </si>
  <si>
    <t>domain\itops</t>
  </si>
  <si>
    <t>svc_batch</t>
  </si>
  <si>
    <t>svc_backup</t>
  </si>
  <si>
    <t>domain\finance</t>
  </si>
  <si>
    <t>10.85.27.28/32</t>
  </si>
  <si>
    <t>10.144.140.22/32</t>
  </si>
  <si>
    <t>LA_DMZ_Web</t>
  </si>
  <si>
    <t>10.197.110.27/32</t>
  </si>
  <si>
    <t>srv-la-app18.corp.local</t>
  </si>
  <si>
    <t>10.248.121.16/32</t>
  </si>
  <si>
    <t>srv-la-app19.corp.local</t>
  </si>
  <si>
    <t>srv-la-app03.corp.local</t>
  </si>
  <si>
    <t>srv-la-app16.corp.local</t>
  </si>
  <si>
    <t>net-tier-10_1_9_0_24</t>
  </si>
  <si>
    <t>10.18.135.11/32</t>
  </si>
  <si>
    <t>10.246.79.25/32</t>
  </si>
  <si>
    <t>net-tier-10_1_7_0_24</t>
  </si>
  <si>
    <t>23.0.0.0/8</t>
  </si>
  <si>
    <t>10.221.242.19/32</t>
  </si>
  <si>
    <t>srv-la-app11.corp.local</t>
  </si>
  <si>
    <t>net-tier-10_1_5_0_24</t>
  </si>
  <si>
    <t>srv-la-app02.corp.local</t>
  </si>
  <si>
    <t>db.la.corp.local</t>
  </si>
  <si>
    <t>srv-la-app20.corp.local</t>
  </si>
  <si>
    <t>10.0.0.0/8</t>
  </si>
  <si>
    <t>10.174.224.0/18</t>
  </si>
  <si>
    <t>10.15.0.0/19</t>
  </si>
  <si>
    <t>10.196.32.0/17</t>
  </si>
  <si>
    <t>10.171.112.0/19</t>
  </si>
  <si>
    <t>10.57.192.0/19</t>
  </si>
  <si>
    <t>10.26.64.0/18</t>
  </si>
  <si>
    <t>10.139.64.0/19</t>
  </si>
  <si>
    <t>10.234.0.0/21</t>
  </si>
  <si>
    <t>10.1.208.0/18</t>
  </si>
  <si>
    <t>10.35.32.0/21</t>
  </si>
  <si>
    <t>10.180.48.0/20</t>
  </si>
  <si>
    <t>10.157.80.0/20</t>
  </si>
  <si>
    <t>10.115.192.0/20</t>
  </si>
  <si>
    <t>10.244.224.0/19</t>
  </si>
  <si>
    <t>10.63.176.0/17</t>
  </si>
  <si>
    <t>10.238.176.0/20</t>
  </si>
  <si>
    <t>10.193.96.0/20</t>
  </si>
  <si>
    <t>10.223.96.0/17</t>
  </si>
  <si>
    <t>172.242.199.25/32</t>
  </si>
  <si>
    <t>srv-lon-app01.corp.local</t>
  </si>
  <si>
    <t>srv-lon-app19.corp.local</t>
  </si>
  <si>
    <t>LON_Internal_Servers</t>
  </si>
  <si>
    <t>srv-lon-app03.corp.local</t>
  </si>
  <si>
    <t>172.140.207.23/32</t>
  </si>
  <si>
    <t>net-tier-172_5_0_0_16</t>
  </si>
  <si>
    <t>srv-lon-app20.corp.local</t>
  </si>
  <si>
    <t>LON_Branch_3_Subnets</t>
  </si>
  <si>
    <t>LON_Branch_1_Subnets</t>
  </si>
  <si>
    <t>172.5.0.0/16</t>
  </si>
  <si>
    <t>srv-lon-app18.corp.local</t>
  </si>
  <si>
    <t>172.16.160.0/19</t>
  </si>
  <si>
    <t>172.77.208.0/19</t>
  </si>
  <si>
    <t>172.237.208.0/18</t>
  </si>
  <si>
    <t>172.251.208.0/18</t>
  </si>
  <si>
    <t>172.182.144.0/20</t>
  </si>
  <si>
    <t>172.148.48.0/20</t>
  </si>
  <si>
    <t>172.210.64.0/17</t>
  </si>
  <si>
    <t>172.3.32.0/19</t>
  </si>
  <si>
    <t>172.177.224.0/18</t>
  </si>
  <si>
    <t>172.217.0.0/20</t>
  </si>
  <si>
    <t>172.80.128.0/20</t>
  </si>
  <si>
    <t>172.172.128.0/17</t>
  </si>
  <si>
    <t>172.215.224.0/20</t>
  </si>
  <si>
    <t>8.8.8.8/32</t>
  </si>
  <si>
    <t>172.145.112.0/20</t>
  </si>
  <si>
    <t>172.22.0.0/17</t>
  </si>
  <si>
    <t>172.90.128.0/21</t>
  </si>
  <si>
    <t>172.190.192.0/19</t>
  </si>
  <si>
    <t>10.2.3.28/32</t>
  </si>
  <si>
    <t>srv-app15.corp.local</t>
  </si>
  <si>
    <t>srv-app02.corp.local</t>
  </si>
  <si>
    <t>All_Branch_Subnets</t>
  </si>
  <si>
    <t>net-dmz-10.1.9.0_24</t>
  </si>
  <si>
    <t>net-trust-100.64.0.0_10</t>
  </si>
  <si>
    <t>198.18.0.0/15</t>
  </si>
  <si>
    <t>updates.vendor.local</t>
  </si>
  <si>
    <t>10.2.3.29/32</t>
  </si>
  <si>
    <t>net-dmz-10.1.5.0_24</t>
  </si>
  <si>
    <t>db.corp.local</t>
  </si>
  <si>
    <t>10.1.4.0/24</t>
  </si>
  <si>
    <t>10.2.3.27/32</t>
  </si>
  <si>
    <t>range-branch-subnet-slice</t>
  </si>
  <si>
    <t>net-dmz-10.1.6.0_24</t>
  </si>
  <si>
    <t>net-dmz-10.1.10.0_24</t>
  </si>
  <si>
    <t>10.202.208.0/20</t>
  </si>
  <si>
    <t>10.39.32.0/17</t>
  </si>
  <si>
    <t>10.83.112.0/18</t>
  </si>
  <si>
    <t>Branch_3_Subnets</t>
  </si>
  <si>
    <t>13.107.42.12/32</t>
  </si>
  <si>
    <t>23.45.67.89/32</t>
  </si>
  <si>
    <t>192.50.60.14/32</t>
  </si>
  <si>
    <t>srv-sg-app17.corp.local</t>
  </si>
  <si>
    <t>SG_Branch_1_Subnets</t>
  </si>
  <si>
    <t>net-tier-192_9_0_0_16</t>
  </si>
  <si>
    <t>net-tier-192_3_0_0_16</t>
  </si>
  <si>
    <t>srv-sg-app13.corp.local</t>
  </si>
  <si>
    <t>192.83.179.28/32</t>
  </si>
  <si>
    <t>srv-sg-app14.corp.local</t>
  </si>
  <si>
    <t>SG_DMZ_Web</t>
  </si>
  <si>
    <t>192.176.190.25/32</t>
  </si>
  <si>
    <t>1.1.1.0/24</t>
  </si>
  <si>
    <t>192.216.80.0/18</t>
  </si>
  <si>
    <t>192.183.112.0/17</t>
  </si>
  <si>
    <t>192.166.176.0/19</t>
  </si>
  <si>
    <t>192.108.144.0/18</t>
  </si>
  <si>
    <t>192.79.176.0/19</t>
  </si>
  <si>
    <t>192.125.128.0/21</t>
  </si>
  <si>
    <t>192.66.160.0/19</t>
  </si>
  <si>
    <t>192.69.80.0/19</t>
  </si>
  <si>
    <t>192.59.16.0/18</t>
  </si>
  <si>
    <t>192.142.16.0/17</t>
  </si>
  <si>
    <t>192.252.144.0/17</t>
  </si>
  <si>
    <t>192.69.32.0/21</t>
  </si>
  <si>
    <t>192.144.176.0/21</t>
  </si>
  <si>
    <t>192.236.144.0/17</t>
  </si>
  <si>
    <t>10.99.210.27/32</t>
  </si>
  <si>
    <t>10.215.129.28/32</t>
  </si>
  <si>
    <t>10.253.36.12/32</t>
  </si>
  <si>
    <t>10.81.174.25/32</t>
  </si>
  <si>
    <t>10.1.7.0/24</t>
  </si>
  <si>
    <t>10.191.16.20/32</t>
  </si>
  <si>
    <t>10.134.26.11/32</t>
  </si>
  <si>
    <t>10.9.208.29/32</t>
  </si>
  <si>
    <t>172.89.137.10/32</t>
  </si>
  <si>
    <t>172.136.114.28/32</t>
  </si>
  <si>
    <t>172.101.198.21/32; 172.106.231.12/32; 172.11.251.26/32; 172.131.77.24/32; 172.136.114.28/32; 172.138.126.19/32; 172.158.3.17/32; 172.170.76.18/32; 172.192.117.13/32; 172.197.143.27/32; 172.201.28.23/32; 172.213.93.11/32; 172.226.46.29/32; 172.229.148.20/32; 172.234.26.16/32; 172.32.221.22/32; 172.77.150.25/32; 172.89.137.10/32; 172.90.121.15/32; 172.97.47.14/32</t>
  </si>
  <si>
    <t>172.106.231.12/32</t>
  </si>
  <si>
    <t>172.226.46.29/32</t>
  </si>
  <si>
    <t>172.109.178.10-172.115.219.50; 172.138.126.19/32; 172.192.117.13/32</t>
  </si>
  <si>
    <t>172.226.46.29/32; 172.8.0.0/16; 172.9.0.0/16; db.lon.corp.local</t>
  </si>
  <si>
    <t>172.197.143.27/32</t>
  </si>
  <si>
    <t>10.2.3.24/32</t>
  </si>
  <si>
    <t>10.1.10.0/24; 10.1.2.0/24; 10.1.3.0/24; 10.1.8.0/24; 10.1.9.0/24; 10.2.3.19/32; 10.2.3.20/32; 10.2.3.21/32; 10.2.3.27/32; 10.3.0.10-10.3.0.50; 100.64.0.0/10; 172.16.0.0/12; 198.18.0.0/15; legacy.intranet.corp; telemetry.iot.local</t>
  </si>
  <si>
    <t>100.64.0.0/10</t>
  </si>
  <si>
    <t>10.2.3.21/32; 100.64.0.0/10; legacy.intranet.corp</t>
  </si>
  <si>
    <t>192.238.100.26/32</t>
  </si>
  <si>
    <t>192.176.52.16/32; 192.3.0.0/16; 192.76.189.24/32; 192.82.128.13/32</t>
  </si>
  <si>
    <t>192.9.0.0/16</t>
  </si>
  <si>
    <t>192.111.28.22/32</t>
  </si>
  <si>
    <t>192.67.133.23/32</t>
  </si>
  <si>
    <t>192.1.0.0/16; 192.2.0.0/16; 192.3.0.0/16; 192.4.0.0/16; 192.5.0.0/16; 192.6.0.0/16</t>
  </si>
  <si>
    <t>LA_App_Any_And_Web</t>
  </si>
  <si>
    <t>imap</t>
  </si>
  <si>
    <t>dns</t>
  </si>
  <si>
    <t>pop3</t>
  </si>
  <si>
    <t>ssh</t>
  </si>
  <si>
    <t>smtp</t>
  </si>
  <si>
    <t>web-browsing</t>
  </si>
  <si>
    <t>ssl</t>
  </si>
  <si>
    <t>LON_App_Any_And_Web</t>
  </si>
  <si>
    <t>smb</t>
  </si>
  <si>
    <t>App_Any_And_Web</t>
  </si>
  <si>
    <t>App_Enterprise_Common</t>
  </si>
  <si>
    <t>vnc</t>
  </si>
  <si>
    <t>mysql</t>
  </si>
  <si>
    <t>ms-sql</t>
  </si>
  <si>
    <t>ftp</t>
  </si>
  <si>
    <t>App_Legacy_Risky</t>
  </si>
  <si>
    <t>github</t>
  </si>
  <si>
    <t>ntp</t>
  </si>
  <si>
    <t>rdp</t>
  </si>
  <si>
    <t>snmp</t>
  </si>
  <si>
    <t>unknown-tcp</t>
  </si>
  <si>
    <t>SG_App_Any_And_Web</t>
  </si>
  <si>
    <t>443,tcp; 80,tcp; any</t>
  </si>
  <si>
    <t>143,tcp</t>
  </si>
  <si>
    <t>110,tcp</t>
  </si>
  <si>
    <t>22,tcp</t>
  </si>
  <si>
    <t>80,tcp</t>
  </si>
  <si>
    <t>443,tcp</t>
  </si>
  <si>
    <t>dns; smtp; 22,tcp; 443,tcp; 80,tcp</t>
  </si>
  <si>
    <t>3306,tcp</t>
  </si>
  <si>
    <t>21,tcp</t>
  </si>
  <si>
    <t>21,tcp; unknown-tcp; vnc; rdp; smb</t>
  </si>
  <si>
    <t>vnc-tcp-5900</t>
  </si>
  <si>
    <t>telnet-tcp-23</t>
  </si>
  <si>
    <t>LA_FTP_All</t>
  </si>
  <si>
    <t>LA_Windows_RPC_NetBIOS</t>
  </si>
  <si>
    <t>LA_SNMP_Group</t>
  </si>
  <si>
    <t>netbios-ns-udp-137</t>
  </si>
  <si>
    <t>ms-rpc-udp-135</t>
  </si>
  <si>
    <t>backdoor-common-tcp-4444</t>
  </si>
  <si>
    <t>dns-udp-53</t>
  </si>
  <si>
    <t>ms-rpc-tcp-135</t>
  </si>
  <si>
    <t>netbios-ns-tcp-137</t>
  </si>
  <si>
    <t>https-tcp-443</t>
  </si>
  <si>
    <t>LA_Remote_Access_Insecure</t>
  </si>
  <si>
    <t>rdp-tcp-3389</t>
  </si>
  <si>
    <t>ntp-udp-123</t>
  </si>
  <si>
    <t>netbios-ssn-udp-139</t>
  </si>
  <si>
    <t>ftp-control-tcp-21</t>
  </si>
  <si>
    <t>tcp-any</t>
  </si>
  <si>
    <t>LA_Email_Legacy</t>
  </si>
  <si>
    <t>LA_Insecure_File_Sharing</t>
  </si>
  <si>
    <t>snmp-udp-161</t>
  </si>
  <si>
    <t>udp-any</t>
  </si>
  <si>
    <t>http-tcp-80</t>
  </si>
  <si>
    <t>ftp-bundle-tcp-20-21</t>
  </si>
  <si>
    <t>ftp-data-tcp-20</t>
  </si>
  <si>
    <t>LA_IRC_Backdoor_Suspect</t>
  </si>
  <si>
    <t>pop3-tcp-110</t>
  </si>
  <si>
    <t>netbios-ssn-tcp-139</t>
  </si>
  <si>
    <t>smb-tcp-445</t>
  </si>
  <si>
    <t>snmp-tcp-161</t>
  </si>
  <si>
    <t>socks-proxy-tcp-1080</t>
  </si>
  <si>
    <t>imap-alt-tcp-145</t>
  </si>
  <si>
    <t>service-any</t>
  </si>
  <si>
    <t>irc-tcp-6660-6669</t>
  </si>
  <si>
    <t>LON_Remote_Access_Insecure</t>
  </si>
  <si>
    <t>LON_IRC_Backdoor_Suspect</t>
  </si>
  <si>
    <t>LON_FTP_All</t>
  </si>
  <si>
    <t>LON_Windows_RPC_NetBIOS</t>
  </si>
  <si>
    <t>LON_Email_Legacy</t>
  </si>
  <si>
    <t>LON_SNMP_Group</t>
  </si>
  <si>
    <t>LON_Insecure_File_Sharing</t>
  </si>
  <si>
    <t>ftp-tcp-21</t>
  </si>
  <si>
    <t>tftp-udp-69</t>
  </si>
  <si>
    <t>Broad_Mixed_Services</t>
  </si>
  <si>
    <t>mssql-tcp-1433</t>
  </si>
  <si>
    <t>FTP_All</t>
  </si>
  <si>
    <t>oracledb-tcp-1521</t>
  </si>
  <si>
    <t>Insecure_File_Sharing</t>
  </si>
  <si>
    <t>SNMP_Group</t>
  </si>
  <si>
    <t>Email_Legacy</t>
  </si>
  <si>
    <t>Legacy_Remote_Access</t>
  </si>
  <si>
    <t>IRC_Backdoor_Suspect</t>
  </si>
  <si>
    <t>Windows_RPC_NetBIOS</t>
  </si>
  <si>
    <t>ftp-data-tcp-20-21</t>
  </si>
  <si>
    <t>r-services-tcp-512-514</t>
  </si>
  <si>
    <t>SG_FTP_All</t>
  </si>
  <si>
    <t>SG_Windows_RPC_NetBIOS</t>
  </si>
  <si>
    <t>SG_Email_Legacy</t>
  </si>
  <si>
    <t>SG_Insecure_File_Sharing</t>
  </si>
  <si>
    <t>SG_IRC_Backdoor_Suspect</t>
  </si>
  <si>
    <t>SG_Remote_Access_Insecure</t>
  </si>
  <si>
    <t>TCP/5900</t>
  </si>
  <si>
    <t>TCP/23</t>
  </si>
  <si>
    <t>TCP/20; TCP/21; TCP/20-21</t>
  </si>
  <si>
    <t>TCP/135; UDP/135; TCP/137; UDP/137; TCP/139; UDP/139</t>
  </si>
  <si>
    <t>TCP/161; UDP/161</t>
  </si>
  <si>
    <t>UDP/137</t>
  </si>
  <si>
    <t>UDP/135</t>
  </si>
  <si>
    <t>TCP/4444</t>
  </si>
  <si>
    <t>UDP/53</t>
  </si>
  <si>
    <t>TCP/135</t>
  </si>
  <si>
    <t>TCP/137</t>
  </si>
  <si>
    <t>TCP/443</t>
  </si>
  <si>
    <t>TCP/23; TCP/1080; TCP/3389; TCP/5900</t>
  </si>
  <si>
    <t>TCP/3389</t>
  </si>
  <si>
    <t>UDP/123</t>
  </si>
  <si>
    <t>UDP/139</t>
  </si>
  <si>
    <t>TCP/21</t>
  </si>
  <si>
    <t>TCP/0-65535</t>
  </si>
  <si>
    <t>TCP/110; TCP/145</t>
  </si>
  <si>
    <t>TCP/135; UDP/135; TCP/137; UDP/137; TCP/139; UDP/139; TCP/445</t>
  </si>
  <si>
    <t>UDP/161</t>
  </si>
  <si>
    <t>UDP/0-65535</t>
  </si>
  <si>
    <t>TCP/80</t>
  </si>
  <si>
    <t>TCP/20-21</t>
  </si>
  <si>
    <t>TCP/20</t>
  </si>
  <si>
    <t>TCP/4444; TCP/6660-6669</t>
  </si>
  <si>
    <t>TCP/110</t>
  </si>
  <si>
    <t>TCP/139</t>
  </si>
  <si>
    <t>TCP/445</t>
  </si>
  <si>
    <t>TCP/161</t>
  </si>
  <si>
    <t>TCP/1080</t>
  </si>
  <si>
    <t>TCP/145</t>
  </si>
  <si>
    <t>ANY/any</t>
  </si>
  <si>
    <t>TCP/6660-6669</t>
  </si>
  <si>
    <t>UDP/69</t>
  </si>
  <si>
    <t>TCP/80; UDP/53; UDP/69; TCP/512-514; TCP/23; TCP/0-65535</t>
  </si>
  <si>
    <t>TCP/1433</t>
  </si>
  <si>
    <t>TCP/20-21; TCP/20; TCP/21</t>
  </si>
  <si>
    <t>TCP/1521</t>
  </si>
  <si>
    <t>TCP/445; TCP/135; UDP/135; TCP/137; UDP/137; TCP/139; UDP/139</t>
  </si>
  <si>
    <t>TCP/23; TCP/3389; TCP/5900; TCP/1080</t>
  </si>
  <si>
    <t>TCP/512-514</t>
  </si>
  <si>
    <t>deny</t>
  </si>
  <si>
    <t>allow</t>
  </si>
  <si>
    <t>threat-prevention</t>
  </si>
  <si>
    <t>none</t>
  </si>
  <si>
    <t>best-practice</t>
  </si>
  <si>
    <t>antivirus</t>
  </si>
  <si>
    <t>default</t>
  </si>
  <si>
    <t>strict</t>
  </si>
  <si>
    <t>log at both ends</t>
  </si>
  <si>
    <t>Traffic log sent at session end</t>
  </si>
  <si>
    <t>Traffic log sent at session end; Log Forwarding Profile setting: Forward to Panorama</t>
  </si>
  <si>
    <t>Traffic log sent at start</t>
  </si>
  <si>
    <t>Traffic log sent at start; Log Forwarding Profile setting: Forward to Panorama</t>
  </si>
  <si>
    <t>9019</t>
  </si>
  <si>
    <t>1553</t>
  </si>
  <si>
    <t>0</t>
  </si>
  <si>
    <t>145</t>
  </si>
  <si>
    <t>171</t>
  </si>
  <si>
    <t>8325</t>
  </si>
  <si>
    <t>5811</t>
  </si>
  <si>
    <t>5937</t>
  </si>
  <si>
    <t>881</t>
  </si>
  <si>
    <t>14</t>
  </si>
  <si>
    <t>873</t>
  </si>
  <si>
    <t>246</t>
  </si>
  <si>
    <t>4751</t>
  </si>
  <si>
    <t>430</t>
  </si>
  <si>
    <t>8107</t>
  </si>
  <si>
    <t>9124</t>
  </si>
  <si>
    <t>8891</t>
  </si>
  <si>
    <t>9805</t>
  </si>
  <si>
    <t>1528</t>
  </si>
  <si>
    <t>46</t>
  </si>
  <si>
    <t>131</t>
  </si>
  <si>
    <t>157</t>
  </si>
  <si>
    <t>4174</t>
  </si>
  <si>
    <t>7277</t>
  </si>
  <si>
    <t>395</t>
  </si>
  <si>
    <t>7965</t>
  </si>
  <si>
    <t>6564</t>
  </si>
  <si>
    <t>492</t>
  </si>
  <si>
    <t>7127</t>
  </si>
  <si>
    <t>208</t>
  </si>
  <si>
    <t>9324</t>
  </si>
  <si>
    <t>221</t>
  </si>
  <si>
    <t>339</t>
  </si>
  <si>
    <t>2749</t>
  </si>
  <si>
    <t>7887</t>
  </si>
  <si>
    <t>2310</t>
  </si>
  <si>
    <t>105</t>
  </si>
  <si>
    <t>398</t>
  </si>
  <si>
    <t>152</t>
  </si>
  <si>
    <t>8198</t>
  </si>
  <si>
    <t>141</t>
  </si>
  <si>
    <t>3398</t>
  </si>
  <si>
    <t>593</t>
  </si>
  <si>
    <t>5534</t>
  </si>
  <si>
    <t>8582</t>
  </si>
  <si>
    <t>44</t>
  </si>
  <si>
    <t>104</t>
  </si>
  <si>
    <t>235</t>
  </si>
  <si>
    <t>32</t>
  </si>
  <si>
    <t>295</t>
  </si>
  <si>
    <t>2087</t>
  </si>
  <si>
    <t>3203</t>
  </si>
  <si>
    <t>9018</t>
  </si>
  <si>
    <t>72</t>
  </si>
  <si>
    <t>3207</t>
  </si>
  <si>
    <t>2442</t>
  </si>
  <si>
    <t>7016</t>
  </si>
  <si>
    <t>5281</t>
  </si>
  <si>
    <t>499</t>
  </si>
  <si>
    <t>119</t>
  </si>
  <si>
    <t>69</t>
  </si>
  <si>
    <t>4229</t>
  </si>
  <si>
    <t>9061</t>
  </si>
  <si>
    <t>6187</t>
  </si>
  <si>
    <t>910</t>
  </si>
  <si>
    <t>2321</t>
  </si>
  <si>
    <t>39</t>
  </si>
  <si>
    <t>8232</t>
  </si>
  <si>
    <t>363</t>
  </si>
  <si>
    <t>8167</t>
  </si>
  <si>
    <t>603</t>
  </si>
  <si>
    <t>2777</t>
  </si>
  <si>
    <t>448</t>
  </si>
  <si>
    <t>408</t>
  </si>
  <si>
    <t>3179</t>
  </si>
  <si>
    <t>473</t>
  </si>
  <si>
    <t>3496</t>
  </si>
  <si>
    <t>335</t>
  </si>
  <si>
    <t>53</t>
  </si>
  <si>
    <t>5884</t>
  </si>
  <si>
    <t>5965</t>
  </si>
  <si>
    <t>114</t>
  </si>
  <si>
    <t>1933</t>
  </si>
  <si>
    <t>924</t>
  </si>
  <si>
    <t>8401</t>
  </si>
  <si>
    <t>207</t>
  </si>
  <si>
    <t>8099</t>
  </si>
  <si>
    <t>2920</t>
  </si>
  <si>
    <t>51</t>
  </si>
  <si>
    <t>2339</t>
  </si>
  <si>
    <t>2919</t>
  </si>
  <si>
    <t>231</t>
  </si>
  <si>
    <t>5367</t>
  </si>
  <si>
    <t>20</t>
  </si>
  <si>
    <t>464</t>
  </si>
  <si>
    <t>140</t>
  </si>
  <si>
    <t>75</t>
  </si>
  <si>
    <t>58</t>
  </si>
  <si>
    <t>283</t>
  </si>
  <si>
    <t>452</t>
  </si>
  <si>
    <t>6361</t>
  </si>
  <si>
    <t>1237</t>
  </si>
  <si>
    <t>844</t>
  </si>
  <si>
    <t>8212</t>
  </si>
  <si>
    <t>7402</t>
  </si>
  <si>
    <t>1300</t>
  </si>
  <si>
    <t>4909</t>
  </si>
  <si>
    <t>1719</t>
  </si>
  <si>
    <t>147</t>
  </si>
  <si>
    <t>343</t>
  </si>
  <si>
    <t>47</t>
  </si>
  <si>
    <t>6702</t>
  </si>
  <si>
    <t>9402</t>
  </si>
  <si>
    <t>402</t>
  </si>
  <si>
    <t>8829</t>
  </si>
  <si>
    <t>294</t>
  </si>
  <si>
    <t>489</t>
  </si>
  <si>
    <t>436</t>
  </si>
  <si>
    <t>164</t>
  </si>
  <si>
    <t>7379</t>
  </si>
  <si>
    <t>3538</t>
  </si>
  <si>
    <t>8541</t>
  </si>
  <si>
    <t>1414</t>
  </si>
  <si>
    <t>229</t>
  </si>
  <si>
    <t>60</t>
  </si>
  <si>
    <t>268</t>
  </si>
  <si>
    <t>5861</t>
  </si>
  <si>
    <t>4137</t>
  </si>
  <si>
    <t>670</t>
  </si>
  <si>
    <t>126</t>
  </si>
  <si>
    <t>220</t>
  </si>
  <si>
    <t>316</t>
  </si>
  <si>
    <t>426</t>
  </si>
  <si>
    <t>8480</t>
  </si>
  <si>
    <t>1552</t>
  </si>
  <si>
    <t>487</t>
  </si>
  <si>
    <t>37</t>
  </si>
  <si>
    <t>7831</t>
  </si>
  <si>
    <t>2801</t>
  </si>
  <si>
    <t>2066</t>
  </si>
  <si>
    <t>272</t>
  </si>
  <si>
    <t>446</t>
  </si>
  <si>
    <t>52</t>
  </si>
  <si>
    <t>4823</t>
  </si>
  <si>
    <t>8118</t>
  </si>
  <si>
    <t>109</t>
  </si>
  <si>
    <t>9218</t>
  </si>
  <si>
    <t>1860</t>
  </si>
  <si>
    <t>9632</t>
  </si>
  <si>
    <t>918</t>
  </si>
  <si>
    <t>2687</t>
  </si>
  <si>
    <t>3777</t>
  </si>
  <si>
    <t>4225</t>
  </si>
  <si>
    <t>7857</t>
  </si>
  <si>
    <t>411</t>
  </si>
  <si>
    <t>4077</t>
  </si>
  <si>
    <t>7657</t>
  </si>
  <si>
    <t>2100</t>
  </si>
  <si>
    <t>4462</t>
  </si>
  <si>
    <t>6586</t>
  </si>
  <si>
    <t>263</t>
  </si>
  <si>
    <t>7209</t>
  </si>
  <si>
    <t>1187</t>
  </si>
  <si>
    <t>356</t>
  </si>
  <si>
    <t>8177</t>
  </si>
  <si>
    <t>1188</t>
  </si>
  <si>
    <t>179</t>
  </si>
  <si>
    <t>8298</t>
  </si>
  <si>
    <t>4005</t>
  </si>
  <si>
    <t>4596</t>
  </si>
  <si>
    <t>7273</t>
  </si>
  <si>
    <t>393</t>
  </si>
  <si>
    <t>192</t>
  </si>
  <si>
    <t>368</t>
  </si>
  <si>
    <t>495</t>
  </si>
  <si>
    <t>219</t>
  </si>
  <si>
    <t>313</t>
  </si>
  <si>
    <t>2991</t>
  </si>
  <si>
    <t>149</t>
  </si>
  <si>
    <t>4696</t>
  </si>
  <si>
    <t>5621</t>
  </si>
  <si>
    <t>1516</t>
  </si>
  <si>
    <t>7323</t>
  </si>
  <si>
    <t>184</t>
  </si>
  <si>
    <t>435</t>
  </si>
  <si>
    <t>183</t>
  </si>
  <si>
    <t>2439</t>
  </si>
  <si>
    <t>5154</t>
  </si>
  <si>
    <t>470</t>
  </si>
  <si>
    <t>1306</t>
  </si>
  <si>
    <t>7547</t>
  </si>
  <si>
    <t>6141</t>
  </si>
  <si>
    <t>196</t>
  </si>
  <si>
    <t>25</t>
  </si>
  <si>
    <t>387</t>
  </si>
  <si>
    <t>49</t>
  </si>
  <si>
    <t>191</t>
  </si>
  <si>
    <t>308</t>
  </si>
  <si>
    <t>4461</t>
  </si>
  <si>
    <t>1694</t>
  </si>
  <si>
    <t>462</t>
  </si>
  <si>
    <t>225</t>
  </si>
  <si>
    <t>378</t>
  </si>
  <si>
    <t>3443</t>
  </si>
  <si>
    <t>483</t>
  </si>
  <si>
    <t>222</t>
  </si>
  <si>
    <t>4667</t>
  </si>
  <si>
    <t>8688</t>
  </si>
  <si>
    <t>651</t>
  </si>
  <si>
    <t>103</t>
  </si>
  <si>
    <t>79</t>
  </si>
  <si>
    <t>5736</t>
  </si>
  <si>
    <t>1455</t>
  </si>
  <si>
    <t>3545</t>
  </si>
  <si>
    <t>5346</t>
  </si>
  <si>
    <t>2297</t>
  </si>
  <si>
    <t>30</t>
  </si>
  <si>
    <t>176</t>
  </si>
  <si>
    <t>298</t>
  </si>
  <si>
    <t>5731</t>
  </si>
  <si>
    <t>467</t>
  </si>
  <si>
    <t>252</t>
  </si>
  <si>
    <t>494</t>
  </si>
  <si>
    <t>261</t>
  </si>
  <si>
    <t>3502</t>
  </si>
  <si>
    <t>3861</t>
  </si>
  <si>
    <t>211</t>
  </si>
  <si>
    <t>Exception tracked in INC849758 pending remediation</t>
  </si>
  <si>
    <t>Legacy rule—owner unknown</t>
  </si>
  <si>
    <t>Temporary allow per INC540876 (expires in 30d)</t>
  </si>
  <si>
    <t>Temporary workaround—no ticket provided</t>
  </si>
  <si>
    <t>Change approved under INC779751</t>
  </si>
  <si>
    <t>Temporary allow per INC245015 (expires in 30d)</t>
  </si>
  <si>
    <t>Observed traffic baseline only</t>
  </si>
  <si>
    <t>Exception tracked in INC608123 pending remediation</t>
  </si>
  <si>
    <t>Exception tracked in INC423009 pending remediation</t>
  </si>
  <si>
    <t>Temporary allow per INC102810 (expires in 30d)</t>
  </si>
  <si>
    <t>Operational requirement documented in INC339709</t>
  </si>
  <si>
    <t>Temporary allow per INC486421 (expires in 30d)</t>
  </si>
  <si>
    <t>Temporary allow per INC478502 (expires in 30d)</t>
  </si>
  <si>
    <t>Created during migration; documentation missing</t>
  </si>
  <si>
    <t>Temporary allow per INC108663 (expires in 30d)</t>
  </si>
  <si>
    <t>Change approved under INC448803</t>
  </si>
  <si>
    <t>Operational requirement documented in INC176302</t>
  </si>
  <si>
    <t>Exception tracked in INC610487 pending remediation</t>
  </si>
  <si>
    <t>Temporary allow per INC494249 (expires in 30d)</t>
  </si>
  <si>
    <t>Temporary allow per INC118802 (expires in 30d)</t>
  </si>
  <si>
    <t>Change approved under INC793265</t>
  </si>
  <si>
    <t>Change approved under INC369130</t>
  </si>
  <si>
    <t>Temporary allow per INC258945 (expires in 30d)</t>
  </si>
  <si>
    <t>Operational requirement documented in INC303238</t>
  </si>
  <si>
    <t>Temporary allow per INC390791 (expires in 30d)</t>
  </si>
  <si>
    <t>Exception tracked in INC280705 pending remediation</t>
  </si>
  <si>
    <t>Exception tracked in INC839806 pending remediation</t>
  </si>
  <si>
    <t>Change approved under INC958397</t>
  </si>
  <si>
    <t>Temporary allow per INC401520 (expires in 30d)</t>
  </si>
  <si>
    <t>Exception tracked in INC306836 pending remediation</t>
  </si>
  <si>
    <t>Change approved under INC942257</t>
  </si>
  <si>
    <t>Change approved under INC709179</t>
  </si>
  <si>
    <t>Operational requirement documented in INC968973</t>
  </si>
  <si>
    <t>Operational requirement documented in INC801959</t>
  </si>
  <si>
    <t>Temporary allow per INC808293 (expires in 30d)</t>
  </si>
  <si>
    <t>Operational requirement documented in INC544725</t>
  </si>
  <si>
    <t>Change approved under INC892287</t>
  </si>
  <si>
    <t>Temporary allow per INC728376 (expires in 30d)</t>
  </si>
  <si>
    <t>Change approved under INC193095</t>
  </si>
  <si>
    <t>Change approved under INC598526</t>
  </si>
  <si>
    <t>Temporary allow per INC217813 (expires in 30d)</t>
  </si>
  <si>
    <t>Temporary allow per INC849749 (expires in 30d)</t>
  </si>
  <si>
    <t>Change approved under INC386605</t>
  </si>
  <si>
    <t>Change approved under INC748798</t>
  </si>
  <si>
    <t>Change approved under INC528945</t>
  </si>
  <si>
    <t>Operational requirement documented in INC836805</t>
  </si>
  <si>
    <t>Operational requirement documented in INC292722</t>
  </si>
  <si>
    <t>Exception tracked in INC461580 pending remediation</t>
  </si>
  <si>
    <t>Change approved under INC924513</t>
  </si>
  <si>
    <t>Change approved under INC264361</t>
  </si>
  <si>
    <t>Change approved under INC500896</t>
  </si>
  <si>
    <t>Change approved under INC884821</t>
  </si>
  <si>
    <t>Temporary allow per INC689096 (expires in 30d)</t>
  </si>
  <si>
    <t>Exception tracked in INC114615 pending remediation</t>
  </si>
  <si>
    <t>Operational requirement documented in INC917139</t>
  </si>
  <si>
    <t>Exception tracked in INC871958 pending remediation</t>
  </si>
  <si>
    <t>Operational requirement documented in INC763511</t>
  </si>
  <si>
    <t>Change approved under INC499044</t>
  </si>
  <si>
    <t>Change approved under INC757318</t>
  </si>
  <si>
    <t>Operational requirement documented in INC653080</t>
  </si>
  <si>
    <t>Operational requirement documented in INC455535</t>
  </si>
  <si>
    <t>Temporary allow per INC510883 (expires in 30d)</t>
  </si>
  <si>
    <t>Exception tracked in INC435064 pending remediation</t>
  </si>
  <si>
    <t>Temporary allow per INC638501 (expires in 30d)</t>
  </si>
  <si>
    <t>Change approved under INC415201</t>
  </si>
  <si>
    <t>Temporary allow per INC137748 (expires in 30d)</t>
  </si>
  <si>
    <t>Exception tracked in INC573982 pending remediation</t>
  </si>
  <si>
    <t>Temporary allow per INC346088 (expires in 30d)</t>
  </si>
  <si>
    <t>Exception tracked in INC449569 pending remediation</t>
  </si>
  <si>
    <t>Temporary allow per INC988596 (expires in 30d)</t>
  </si>
  <si>
    <t>Temporary allow per INC494343 (expires in 30d)</t>
  </si>
  <si>
    <t>Exception tracked in INC557613 pending remediation</t>
  </si>
  <si>
    <t>Change approved under INC212823</t>
  </si>
  <si>
    <t>Temporary allow per INC722168 (expires in 30d)</t>
  </si>
  <si>
    <t>Exception tracked in INC184437 pending remediation</t>
  </si>
  <si>
    <t>Exception tracked in INC969639 pending remediation</t>
  </si>
  <si>
    <t>Operational requirement documented in INC831024</t>
  </si>
  <si>
    <t>Temporary allow per INC451839 (expires in 30d)</t>
  </si>
  <si>
    <t>Operational requirement documented in INC279020</t>
  </si>
  <si>
    <t>Operational requirement documented in INC414273</t>
  </si>
  <si>
    <t>Change approved under INC865473</t>
  </si>
  <si>
    <t>Temporary allow per INC556420 (expires in 30d)</t>
  </si>
  <si>
    <t>Temporary allow per INC701401 (expires in 30d)</t>
  </si>
  <si>
    <t>Exception tracked in INC114851 pending remediation</t>
  </si>
  <si>
    <t>Change approved under INC225712</t>
  </si>
  <si>
    <t>Exception tracked in INC668303 pending remediation</t>
  </si>
  <si>
    <t>Change approved under INC225272</t>
  </si>
  <si>
    <t>Change approved under INC601292</t>
  </si>
  <si>
    <t>Temporary allow per INC752886 (expires in 30d)</t>
  </si>
  <si>
    <t>Change approved under INC731615</t>
  </si>
  <si>
    <t>Exception tracked in INC148568 pending remediation</t>
  </si>
  <si>
    <t>Exception tracked in INC393700 pending remediation</t>
  </si>
  <si>
    <t>Operational requirement documented in INC668426</t>
  </si>
  <si>
    <t>Exception tracked in INC942609 pending remediation</t>
  </si>
  <si>
    <t>Temporary allow per INC949734 (expires in 30d)</t>
  </si>
  <si>
    <t>Exception tracked in INC371756 pending remediation</t>
  </si>
  <si>
    <t>Change approved under INC375280</t>
  </si>
  <si>
    <t>Exception tracked in INC686557 pending remediation</t>
  </si>
  <si>
    <t>Exception tracked in INC502183 pending remediation</t>
  </si>
  <si>
    <t>Change approved under INC454161</t>
  </si>
  <si>
    <t>Operational requirement documented in INC898875</t>
  </si>
  <si>
    <t>Change approved under INC894079</t>
  </si>
  <si>
    <t>Operational requirement documented in INC742566</t>
  </si>
  <si>
    <t>Temporary allow per INC776986 (expires in 30d)</t>
  </si>
  <si>
    <t>Temporary allow per INC189491 (expires in 30d)</t>
  </si>
  <si>
    <t>Exception tracked in INC225644 pending remediation</t>
  </si>
  <si>
    <t>Temporary allow per INC678586 (expires in 30d)</t>
  </si>
  <si>
    <t>Change approved under INC902643</t>
  </si>
  <si>
    <t>Change approved under INC791701</t>
  </si>
  <si>
    <t>Operational requirement documented in INC776317</t>
  </si>
  <si>
    <t>Change approved under INC801330</t>
  </si>
  <si>
    <t>Exception tracked in INC548857 pending remediation</t>
  </si>
  <si>
    <t>Exception tracked in INC869301 pending remediation</t>
  </si>
  <si>
    <t>Temporary allow per INC776115 (expires in 30d)</t>
  </si>
  <si>
    <t>Operational requirement documented in INC261281</t>
  </si>
  <si>
    <t>Exception tracked in INC911839 pending remediation</t>
  </si>
  <si>
    <t>Exception tracked in INC605267 pending remediation</t>
  </si>
  <si>
    <t>Operational requirement documented in INC245403</t>
  </si>
  <si>
    <t>Change approved under INC346404</t>
  </si>
  <si>
    <t>Exception tracked in INC347535 pending remediation</t>
  </si>
  <si>
    <t>Change approved under INC119872</t>
  </si>
  <si>
    <t>Change approved under INC295061</t>
  </si>
  <si>
    <t>Operational requirement documented in INC482494</t>
  </si>
  <si>
    <t>Temporary allow per INC340940 (expires in 30d)</t>
  </si>
  <si>
    <t>Emergency change�ticket reference not recorded</t>
  </si>
  <si>
    <t>Exception tracked in INC249205 pending remediation</t>
  </si>
  <si>
    <t>Temporary allow per INC891784 (expires in 30d)</t>
  </si>
  <si>
    <t>Change approved under INC484392</t>
  </si>
  <si>
    <t>Operational requirement documented in INC261260</t>
  </si>
  <si>
    <t>Temporary allow per INC325344 (expires in 30d)</t>
  </si>
  <si>
    <t>Exception tracked in INC174502 pending remediation</t>
  </si>
  <si>
    <t>Temporary allow per INC226800 (expires in 30d)</t>
  </si>
  <si>
    <t>Change approved under INC702159</t>
  </si>
  <si>
    <t>Temporary allow per INC838605 (expires in 30d)</t>
  </si>
  <si>
    <t>Operational requirement documented in INC542634</t>
  </si>
  <si>
    <t>Temporary allow per INC417936 (expires in 30d)</t>
  </si>
  <si>
    <t>Change approved under INC941930</t>
  </si>
  <si>
    <t>Operational requirement documented in INC733379</t>
  </si>
  <si>
    <t>Legacy rule�owner unknown</t>
  </si>
  <si>
    <t>Operational requirement documented in INC521955</t>
  </si>
  <si>
    <t>Change approved under INC652680</t>
  </si>
  <si>
    <t>Change approved under INC407173</t>
  </si>
  <si>
    <t>Temporary workaround�no ticket provided</t>
  </si>
  <si>
    <t>Change approved under INC445201</t>
  </si>
  <si>
    <t>Temporary allow per INC120797 (expires in 30d)</t>
  </si>
  <si>
    <t>Temporary allow per INC568444 (expires in 30d)</t>
  </si>
  <si>
    <t>Temporary allow per INC809343 (expires in 30d)</t>
  </si>
  <si>
    <t>Temporary allow per INC127220 (expires in 30d)</t>
  </si>
  <si>
    <t>Change approved under INC430853</t>
  </si>
  <si>
    <t>Exception tracked in INC358756 pending remediation</t>
  </si>
  <si>
    <t>Change approved under INC214782</t>
  </si>
  <si>
    <t>Temporary allow per INC381303 (expires in 30d)</t>
  </si>
  <si>
    <t>Temporary allow per INC789798 (expires in 30d)</t>
  </si>
  <si>
    <t>Change approved under INC878623</t>
  </si>
  <si>
    <t>Exception tracked in INC964084 pending remediation</t>
  </si>
  <si>
    <t>Operational requirement documented in INC993149</t>
  </si>
  <si>
    <t>Operational requirement documented in INC298411</t>
  </si>
  <si>
    <t>Temporary allow per INC764667 (expires in 30d)</t>
  </si>
  <si>
    <t>Exception tracked in INC429551 pending remediation</t>
  </si>
  <si>
    <t>Temporary allow per INC186300 (expires in 30d)</t>
  </si>
  <si>
    <t>Change approved under INC535634</t>
  </si>
  <si>
    <t>Operational requirement documented in INC250789</t>
  </si>
  <si>
    <t>Change approved under INC551318</t>
  </si>
  <si>
    <t>Change approved under INC881465</t>
  </si>
  <si>
    <t>Operational requirement documented in INC356075</t>
  </si>
  <si>
    <t>Exception tracked in INC548259 pending remediation</t>
  </si>
  <si>
    <t>Operational requirement documented in INC158814</t>
  </si>
  <si>
    <t>Change approved under INC506762</t>
  </si>
  <si>
    <t>Operational requirement documented in INC841965</t>
  </si>
  <si>
    <t>Operational requirement documented in INC266459</t>
  </si>
  <si>
    <t>Exception tracked in INC912277 pending remediation</t>
  </si>
  <si>
    <t>Temporary allow per INC715081 (expires in 30d)</t>
  </si>
  <si>
    <t>Temporary allow per INC864439 (expires in 30d)</t>
  </si>
  <si>
    <t>Operational requirement documented in INC288260</t>
  </si>
  <si>
    <t>Temporary allow per INC757709 (expires in 30d)</t>
  </si>
  <si>
    <t>Change approved under INC565474</t>
  </si>
  <si>
    <t>Temporary allow per INC861305 (expires in 30d)</t>
  </si>
  <si>
    <t>Temporary allow per INC427062 (expires in 30d)</t>
  </si>
  <si>
    <t>Temporary allow per INC361029 (expires in 30d)</t>
  </si>
  <si>
    <t>Operational requirement documented in INC506659</t>
  </si>
  <si>
    <t>Change approved under INC232529</t>
  </si>
  <si>
    <t>Exception tracked in INC511043 pending remediation</t>
  </si>
  <si>
    <t>Operational requirement documented in INC984659</t>
  </si>
  <si>
    <t>Exception tracked in INC864508 pending remediation</t>
  </si>
  <si>
    <t>Change approved under INC132664</t>
  </si>
  <si>
    <t>Exception tracked in INC924569 pending remediation</t>
  </si>
  <si>
    <t>Exception tracked in INC186476 pending remediation</t>
  </si>
  <si>
    <t>Exception tracked in INC565316 pending remediation</t>
  </si>
  <si>
    <t>Exception tracked in INC169785 pending remediation</t>
  </si>
  <si>
    <t>Exception tracked in INC415619 pending remediation</t>
  </si>
  <si>
    <t>Operational requirement documented in INC959651</t>
  </si>
  <si>
    <t>Operational requirement documented in INC875449</t>
  </si>
  <si>
    <t>Change approved under INC397102</t>
  </si>
  <si>
    <t>Change approved under INC299765</t>
  </si>
  <si>
    <t>Operational requirement documented in INC689021</t>
  </si>
  <si>
    <t>Exception tracked in INC654635 pending remediation</t>
  </si>
  <si>
    <t>Temporary allow per INC456591 (expires in 30d)</t>
  </si>
  <si>
    <t>Change approved under INC713425</t>
  </si>
  <si>
    <t>Change approved under INC951441</t>
  </si>
  <si>
    <t>Temporary allow per INC431965 (expires in 30d)</t>
  </si>
  <si>
    <t>Change approved under INC242158</t>
  </si>
  <si>
    <t>Temporary allow per INC233895 (expires in 30d)</t>
  </si>
  <si>
    <t>Exception tracked in INC429242 pending remediation</t>
  </si>
  <si>
    <t>Temporary allow per INC210509 (expires in 30d)</t>
  </si>
  <si>
    <t>Change approved under INC485711</t>
  </si>
  <si>
    <t>Exception tracked in INC902687 pending remediation</t>
  </si>
  <si>
    <t>Operational requirement documented in INC665342</t>
  </si>
  <si>
    <t>Exception tracked in INC948821 pending remediation</t>
  </si>
  <si>
    <t>Change approved under INC174853</t>
  </si>
  <si>
    <t>Operational requirement documented in INC337003</t>
  </si>
  <si>
    <t>Operational requirement documented in INC356823</t>
  </si>
  <si>
    <t>Operational requirement documented in INC927162</t>
  </si>
  <si>
    <t>Temporary allow per INC921079 (expires in 30d)</t>
  </si>
  <si>
    <t>Temporary allow per INC336974 (expires in 30d)</t>
  </si>
  <si>
    <t>Temporary allow per INC820179 (expires in 30d)</t>
  </si>
  <si>
    <t>Change approved under INC569068</t>
  </si>
  <si>
    <t>Operational requirement documented in INC327841</t>
  </si>
  <si>
    <t>Change approved under INC126238</t>
  </si>
  <si>
    <t>Temporary allow per INC307839 (expires in 30d)</t>
  </si>
  <si>
    <t>Temporary allow per INC607417 (expires in 30d)</t>
  </si>
  <si>
    <t>Change approved under INC305026</t>
  </si>
  <si>
    <t>Change approved under INC182275</t>
  </si>
  <si>
    <t>Temporary allow per INC699828 (expires in 30d)</t>
  </si>
  <si>
    <t>Temporary allow per INC105027 (expires in 30d)</t>
  </si>
  <si>
    <t>Change approved under INC144712</t>
  </si>
  <si>
    <t>Operational requirement documented in INC534257</t>
  </si>
  <si>
    <t>Exception tracked in INC937812 pending remediation</t>
  </si>
  <si>
    <t>Temporary allow per INC944503 (expires in 30d)</t>
  </si>
  <si>
    <t>Change approved under INC326456</t>
  </si>
  <si>
    <t>Operational requirement documented in INC225580</t>
  </si>
  <si>
    <t>Operational requirement documented in INC866835</t>
  </si>
  <si>
    <t>Temporary allow per INC592459 (expires in 30d)</t>
  </si>
  <si>
    <t>Change approved under INC809427</t>
  </si>
  <si>
    <t>Change approved under INC983599</t>
  </si>
  <si>
    <t>Exception tracked in INC721757 pending remediation</t>
  </si>
  <si>
    <t>Change approved under INC512863</t>
  </si>
  <si>
    <t>Exception tracked in INC974479 pending remediation</t>
  </si>
  <si>
    <t>Exception tracked in INC136381 pending remediation</t>
  </si>
  <si>
    <t>Exception tracked in INC731032 pending remediation</t>
  </si>
  <si>
    <t>Operational requirement documented in INC403807</t>
  </si>
  <si>
    <t>Temporary allow per INC353928 (expires in 30d)</t>
  </si>
  <si>
    <t>Exception tracked in INC535823 pending remediation</t>
  </si>
  <si>
    <t>ftp, smb</t>
  </si>
  <si>
    <t>(none)</t>
  </si>
  <si>
    <t>rdp, vnc</t>
  </si>
  <si>
    <t>web-browsing, ssl</t>
  </si>
  <si>
    <t>156</t>
  </si>
  <si>
    <t>188</t>
  </si>
  <si>
    <t>68</t>
  </si>
  <si>
    <t>95</t>
  </si>
  <si>
    <t>166</t>
  </si>
  <si>
    <t>374</t>
  </si>
  <si>
    <t>373</t>
  </si>
  <si>
    <t>224</t>
  </si>
  <si>
    <t>307</t>
  </si>
  <si>
    <t>366</t>
  </si>
  <si>
    <t>148</t>
  </si>
  <si>
    <t>174</t>
  </si>
  <si>
    <t>85</t>
  </si>
  <si>
    <t>329</t>
  </si>
  <si>
    <t>27</t>
  </si>
  <si>
    <t>352</t>
  </si>
  <si>
    <t>133</t>
  </si>
  <si>
    <t>102</t>
  </si>
  <si>
    <t>127</t>
  </si>
  <si>
    <t>71</t>
  </si>
  <si>
    <t>255</t>
  </si>
  <si>
    <t>273</t>
  </si>
  <si>
    <t>323</t>
  </si>
  <si>
    <t>282</t>
  </si>
  <si>
    <t>309</t>
  </si>
  <si>
    <t>259</t>
  </si>
  <si>
    <t>12</t>
  </si>
  <si>
    <t>382</t>
  </si>
  <si>
    <t>121</t>
  </si>
  <si>
    <t>347</t>
  </si>
  <si>
    <t>333</t>
  </si>
  <si>
    <t>350</t>
  </si>
  <si>
    <t>209</t>
  </si>
  <si>
    <t>195</t>
  </si>
  <si>
    <t>288</t>
  </si>
  <si>
    <t>236</t>
  </si>
  <si>
    <t>286</t>
  </si>
  <si>
    <t>26</t>
  </si>
  <si>
    <t>348</t>
  </si>
  <si>
    <t>279</t>
  </si>
  <si>
    <t>234</t>
  </si>
  <si>
    <t>310</t>
  </si>
  <si>
    <t>266</t>
  </si>
  <si>
    <t>73</t>
  </si>
  <si>
    <t>199</t>
  </si>
  <si>
    <t>125</t>
  </si>
  <si>
    <t>232</t>
  </si>
  <si>
    <t>285</t>
  </si>
  <si>
    <t>301</t>
  </si>
  <si>
    <t>324</t>
  </si>
  <si>
    <t>332</t>
  </si>
  <si>
    <t>88</t>
  </si>
  <si>
    <t>84</t>
  </si>
  <si>
    <t>201</t>
  </si>
  <si>
    <t>187</t>
  </si>
  <si>
    <t>203</t>
  </si>
  <si>
    <t>215</t>
  </si>
  <si>
    <t>218</t>
  </si>
  <si>
    <t>200</t>
  </si>
  <si>
    <t>40</t>
  </si>
  <si>
    <t>59</t>
  </si>
  <si>
    <t>312</t>
  </si>
  <si>
    <t>28</t>
  </si>
  <si>
    <t>330</t>
  </si>
  <si>
    <t>331</t>
  </si>
  <si>
    <t>130</t>
  </si>
  <si>
    <t>248</t>
  </si>
  <si>
    <t>146</t>
  </si>
  <si>
    <t>42</t>
  </si>
  <si>
    <t>160</t>
  </si>
  <si>
    <t>123</t>
  </si>
  <si>
    <t>334</t>
  </si>
  <si>
    <t>233</t>
  </si>
  <si>
    <t>48</t>
  </si>
  <si>
    <t>213</t>
  </si>
  <si>
    <t>274</t>
  </si>
  <si>
    <t>41</t>
  </si>
  <si>
    <t>135</t>
  </si>
  <si>
    <t>311</t>
  </si>
  <si>
    <t>322</t>
  </si>
  <si>
    <t>359</t>
  </si>
  <si>
    <t>90</t>
  </si>
  <si>
    <t>66</t>
  </si>
  <si>
    <t>210</t>
  </si>
  <si>
    <t>70</t>
  </si>
  <si>
    <t>247</t>
  </si>
  <si>
    <t>175</t>
  </si>
  <si>
    <t>23</t>
  </si>
  <si>
    <t>212</t>
  </si>
  <si>
    <t>349</t>
  </si>
  <si>
    <t>238</t>
  </si>
  <si>
    <t>376</t>
  </si>
  <si>
    <t>96</t>
  </si>
  <si>
    <t>115</t>
  </si>
  <si>
    <t>136</t>
  </si>
  <si>
    <t>81</t>
  </si>
  <si>
    <t>45</t>
  </si>
  <si>
    <t>354</t>
  </si>
  <si>
    <t>178</t>
  </si>
  <si>
    <t>107</t>
  </si>
  <si>
    <t>321</t>
  </si>
  <si>
    <t>163</t>
  </si>
  <si>
    <t>306</t>
  </si>
  <si>
    <t>56</t>
  </si>
  <si>
    <t>275</t>
  </si>
  <si>
    <t>139</t>
  </si>
  <si>
    <t>358</t>
  </si>
  <si>
    <t>371</t>
  </si>
  <si>
    <t>124</t>
  </si>
  <si>
    <t>24</t>
  </si>
  <si>
    <t>341</t>
  </si>
  <si>
    <t>6</t>
  </si>
  <si>
    <t>256</t>
  </si>
  <si>
    <t>242</t>
  </si>
  <si>
    <t>38</t>
  </si>
  <si>
    <t>400</t>
  </si>
  <si>
    <t>16</t>
  </si>
  <si>
    <t>240</t>
  </si>
  <si>
    <t>7</t>
  </si>
  <si>
    <t>19</t>
  </si>
  <si>
    <t>325</t>
  </si>
  <si>
    <t>168</t>
  </si>
  <si>
    <t>173</t>
  </si>
  <si>
    <t>158</t>
  </si>
  <si>
    <t>264</t>
  </si>
  <si>
    <t>97</t>
  </si>
  <si>
    <t>278</t>
  </si>
  <si>
    <t>337</t>
  </si>
  <si>
    <t>327</t>
  </si>
  <si>
    <t>4</t>
  </si>
  <si>
    <t>214</t>
  </si>
  <si>
    <t>304</t>
  </si>
  <si>
    <t>267</t>
  </si>
  <si>
    <t>181</t>
  </si>
  <si>
    <t>67</t>
  </si>
  <si>
    <t>87</t>
  </si>
  <si>
    <t>186</t>
  </si>
  <si>
    <t>223</t>
  </si>
  <si>
    <t>360</t>
  </si>
  <si>
    <t>336</t>
  </si>
  <si>
    <t>64</t>
  </si>
  <si>
    <t>167</t>
  </si>
  <si>
    <t>383</t>
  </si>
  <si>
    <t>50</t>
  </si>
  <si>
    <t>132</t>
  </si>
  <si>
    <t>299</t>
  </si>
  <si>
    <t>249</t>
  </si>
  <si>
    <t>228</t>
  </si>
  <si>
    <t>338</t>
  </si>
  <si>
    <t>253</t>
  </si>
  <si>
    <t>244</t>
  </si>
  <si>
    <t>305</t>
  </si>
  <si>
    <t>143</t>
  </si>
  <si>
    <t>384</t>
  </si>
  <si>
    <t>230</t>
  </si>
  <si>
    <t>180</t>
  </si>
  <si>
    <t>78</t>
  </si>
  <si>
    <t>111</t>
  </si>
  <si>
    <t>296</t>
  </si>
  <si>
    <t>346</t>
  </si>
  <si>
    <t>129</t>
  </si>
  <si>
    <t>202</t>
  </si>
  <si>
    <t>63</t>
  </si>
  <si>
    <t>361</t>
  </si>
  <si>
    <t>227</t>
  </si>
  <si>
    <t>21</t>
  </si>
  <si>
    <t>101</t>
  </si>
  <si>
    <t>189</t>
  </si>
  <si>
    <t>357</t>
  </si>
  <si>
    <t>154</t>
  </si>
  <si>
    <t>390</t>
  </si>
  <si>
    <t>8</t>
  </si>
  <si>
    <t>117</t>
  </si>
  <si>
    <t>277</t>
  </si>
  <si>
    <t>33</t>
  </si>
  <si>
    <t>245</t>
  </si>
  <si>
    <t>80</t>
  </si>
  <si>
    <t>375</t>
  </si>
  <si>
    <t>194</t>
  </si>
  <si>
    <t>36</t>
  </si>
  <si>
    <t>153</t>
  </si>
  <si>
    <t>205</t>
  </si>
  <si>
    <t>250</t>
  </si>
  <si>
    <t>385</t>
  </si>
  <si>
    <t>367</t>
  </si>
  <si>
    <t>392</t>
  </si>
  <si>
    <t>345</t>
  </si>
  <si>
    <t>216</t>
  </si>
  <si>
    <t>379</t>
  </si>
  <si>
    <t>291</t>
  </si>
  <si>
    <t>353</t>
  </si>
  <si>
    <t>399</t>
  </si>
  <si>
    <t>365</t>
  </si>
  <si>
    <t>239</t>
  </si>
  <si>
    <t>271</t>
  </si>
  <si>
    <t>241</t>
  </si>
  <si>
    <t>35</t>
  </si>
  <si>
    <t>5</t>
  </si>
  <si>
    <t>77</t>
  </si>
  <si>
    <t>92</t>
  </si>
  <si>
    <t>260</t>
  </si>
  <si>
    <t>254</t>
  </si>
  <si>
    <t>159</t>
  </si>
  <si>
    <t>13</t>
  </si>
  <si>
    <t>99</t>
  </si>
  <si>
    <t>340</t>
  </si>
  <si>
    <t>243</t>
  </si>
  <si>
    <t>297</t>
  </si>
  <si>
    <t>391</t>
  </si>
  <si>
    <t>314</t>
  </si>
  <si>
    <t>290</t>
  </si>
  <si>
    <t>100</t>
  </si>
  <si>
    <t>197</t>
  </si>
  <si>
    <t>31</t>
  </si>
  <si>
    <t>76</t>
  </si>
  <si>
    <t>17</t>
  </si>
  <si>
    <t>2025-06-28 01:07:58</t>
  </si>
  <si>
    <t>2025-03-29 21:09:58</t>
  </si>
  <si>
    <t>2025-05-06 16:14:58</t>
  </si>
  <si>
    <t>2025-09-13 21:21:58</t>
  </si>
  <si>
    <t>2025-07-28 04:56:58</t>
  </si>
  <si>
    <t>2025-05-28 03:05:58</t>
  </si>
  <si>
    <t>2025-08-04 05:23:58</t>
  </si>
  <si>
    <t>2024-12-18 10:39:58</t>
  </si>
  <si>
    <t>2025-10-21 22:34:58</t>
  </si>
  <si>
    <t>2025-01-04 06:37:58</t>
  </si>
  <si>
    <t>2025-04-09 08:34:58</t>
  </si>
  <si>
    <t>2025-10-18 20:25:58</t>
  </si>
  <si>
    <t>2024-11-20 22:04:58</t>
  </si>
  <si>
    <t>2025-04-06 05:44:58</t>
  </si>
  <si>
    <t>2025-06-22 00:16:58</t>
  </si>
  <si>
    <t>2025-05-25 13:54:58</t>
  </si>
  <si>
    <t>2025-01-14 12:21:58</t>
  </si>
  <si>
    <t>2025-01-06 11:30:58</t>
  </si>
  <si>
    <t>2025-07-20 12:53:58</t>
  </si>
  <si>
    <t>2025-02-27 04:06:58</t>
  </si>
  <si>
    <t>2025-10-26 02:25:58</t>
  </si>
  <si>
    <t>2024-12-26 12:47:58</t>
  </si>
  <si>
    <t>2024-11-15 06:33:58</t>
  </si>
  <si>
    <t>2024-11-28 21:59:58</t>
  </si>
  <si>
    <t>2025-09-19 14:45:58</t>
  </si>
  <si>
    <t>2025-03-13 23:53:58</t>
  </si>
  <si>
    <t>2024-12-27 22:20:58</t>
  </si>
  <si>
    <t>2025-01-21 15:04:58</t>
  </si>
  <si>
    <t>2025-04-08 01:53:58</t>
  </si>
  <si>
    <t>2025-01-30 23:36:58</t>
  </si>
  <si>
    <t>2025-08-22 05:13:58</t>
  </si>
  <si>
    <t>2024-12-26 03:24:58</t>
  </si>
  <si>
    <t>2025-10-07 05:12:58</t>
  </si>
  <si>
    <t>2024-12-30 16:34:58</t>
  </si>
  <si>
    <t>2025-08-27 08:05:58</t>
  </si>
  <si>
    <t>2024-12-04 10:45:58</t>
  </si>
  <si>
    <t>2024-12-30 10:05:58</t>
  </si>
  <si>
    <t>2025-08-09 18:22:58</t>
  </si>
  <si>
    <t>2025-08-22 14:45:58</t>
  </si>
  <si>
    <t>2025-09-03 13:18:58</t>
  </si>
  <si>
    <t>2025-01-30 19:01:58</t>
  </si>
  <si>
    <t>2025-03-12 20:34:58</t>
  </si>
  <si>
    <t>2025-06-11 18:53:58</t>
  </si>
  <si>
    <t>2025-10-06 23:46:58</t>
  </si>
  <si>
    <t>2025-08-07 21:29:58</t>
  </si>
  <si>
    <t>2025-09-25 12:57:58</t>
  </si>
  <si>
    <t>2025-09-11 01:43:58</t>
  </si>
  <si>
    <t>2025-11-01 06:14:58</t>
  </si>
  <si>
    <t>2025-08-02 11:28:58</t>
  </si>
  <si>
    <t>2024-12-24 17:06:58</t>
  </si>
  <si>
    <t>2025-10-08 07:35:58</t>
  </si>
  <si>
    <t>2024-12-15 00:16:58</t>
  </si>
  <si>
    <t>2025-07-17 21:45:58</t>
  </si>
  <si>
    <t>2025-08-25 01:10:58</t>
  </si>
  <si>
    <t>2025-07-30 00:25:58</t>
  </si>
  <si>
    <t>2025-09-30 14:16:58</t>
  </si>
  <si>
    <t>2025-11-03 04:34:58</t>
  </si>
  <si>
    <t>2025-03-05 18:19:58</t>
  </si>
  <si>
    <t>2025-08-26 16:34:58</t>
  </si>
  <si>
    <t>2025-08-16 20:47:58</t>
  </si>
  <si>
    <t>2025-04-11 09:06:58</t>
  </si>
  <si>
    <t>2025-06-29 17:15:58</t>
  </si>
  <si>
    <t>2025-05-09 05:30:58</t>
  </si>
  <si>
    <t>2024-12-06 00:21:58</t>
  </si>
  <si>
    <t>2025-06-27 23:50:58</t>
  </si>
  <si>
    <t>2025-09-03 13:51:58</t>
  </si>
  <si>
    <t>2025-01-01 19:08:58</t>
  </si>
  <si>
    <t>2025-02-01 23:39:58</t>
  </si>
  <si>
    <t>2024-11-17 00:29:58</t>
  </si>
  <si>
    <t>2025-04-23 15:31:58</t>
  </si>
  <si>
    <t>2025-10-20 04:06:58</t>
  </si>
  <si>
    <t>2025-10-27 20:34:58</t>
  </si>
  <si>
    <t>2025-02-27 23:19:58</t>
  </si>
  <si>
    <t>2025-05-17 09:22:58</t>
  </si>
  <si>
    <t>2025-03-10 13:01:58</t>
  </si>
  <si>
    <t>2025-01-30 07:03:58</t>
  </si>
  <si>
    <t>2025-05-01 01:56:58</t>
  </si>
  <si>
    <t>2024-12-13 17:23:58</t>
  </si>
  <si>
    <t>2024-12-15 14:49:58</t>
  </si>
  <si>
    <t>2025-04-18 11:28:58</t>
  </si>
  <si>
    <t>2025-10-25 20:19:58</t>
  </si>
  <si>
    <t>2024-12-28 13:19:58</t>
  </si>
  <si>
    <t>2025-02-22 10:03:58</t>
  </si>
  <si>
    <t>2025-10-09 16:23:58</t>
  </si>
  <si>
    <t>2025-01-28 19:49:58</t>
  </si>
  <si>
    <t>2025-08-20 21:10:58</t>
  </si>
  <si>
    <t>2024-12-31 16:00:58</t>
  </si>
  <si>
    <t>2025-02-17 18:58:58</t>
  </si>
  <si>
    <t>2025-09-11 14:37:58</t>
  </si>
  <si>
    <t>2025-03-20 23:17:58</t>
  </si>
  <si>
    <t>2025-09-13 19:33:58</t>
  </si>
  <si>
    <t>2025-05-23 09:09:58</t>
  </si>
  <si>
    <t>2024-11-27 23:32:58</t>
  </si>
  <si>
    <t>2025-01-30 02:27:58</t>
  </si>
  <si>
    <t>2024-12-22 02:18:58</t>
  </si>
  <si>
    <t>2024-11-29 16:54:58</t>
  </si>
  <si>
    <t>2025-06-30 21:10:58</t>
  </si>
  <si>
    <t>2025-02-22 09:06:58</t>
  </si>
  <si>
    <t>2025-01-11 06:26:58</t>
  </si>
  <si>
    <t>2025-05-06 06:27:58</t>
  </si>
  <si>
    <t>2024-11-06 22:41:58</t>
  </si>
  <si>
    <t>2025-02-14 19:34:58</t>
  </si>
  <si>
    <t>2025-09-28 15:20:58</t>
  </si>
  <si>
    <t>2025-01-18 12:54:58</t>
  </si>
  <si>
    <t>2024-12-10 06:04:58</t>
  </si>
  <si>
    <t>2025-05-04 01:42:58</t>
  </si>
  <si>
    <t>2025-09-26 22:17:58</t>
  </si>
  <si>
    <t>2025-09-24 23:26:58</t>
  </si>
  <si>
    <t>2024-12-28 16:27:58</t>
  </si>
  <si>
    <t>2025-08-06 03:06:58</t>
  </si>
  <si>
    <t>2025-09-09 12:51:58</t>
  </si>
  <si>
    <t>2025-08-29 17:51:58</t>
  </si>
  <si>
    <t>2025-03-23 14:08:58</t>
  </si>
  <si>
    <t>2025-09-07 06:22:58</t>
  </si>
  <si>
    <t>2025-03-20 16:54:58</t>
  </si>
  <si>
    <t>2025-03-23 11:19:58</t>
  </si>
  <si>
    <t>2024-11-25 02:48:58</t>
  </si>
  <si>
    <t>2025-10-07 05:10:58</t>
  </si>
  <si>
    <t>2025-07-29 19:18:58</t>
  </si>
  <si>
    <t>2025-10-06 09:32:58</t>
  </si>
  <si>
    <t>2025-03-30 00:26:58</t>
  </si>
  <si>
    <t>2025-06-02 21:37:58</t>
  </si>
  <si>
    <t>2025-08-06 10:10:58</t>
  </si>
  <si>
    <t>2025-07-25 15:37:58</t>
  </si>
  <si>
    <t>2025-05-14 09:23:58</t>
  </si>
  <si>
    <t>2025-09-08 00:19:58</t>
  </si>
  <si>
    <t>2025-07-11 06:42:58</t>
  </si>
  <si>
    <t>2025-10-07 19:59:58</t>
  </si>
  <si>
    <t>2025-02-24 04:17:58</t>
  </si>
  <si>
    <t>2025-01-01 12:45:58</t>
  </si>
  <si>
    <t>2025-01-01 21:06:58</t>
  </si>
  <si>
    <t>2025-09-03 17:43:58</t>
  </si>
  <si>
    <t>2025-01-07 16:31:58</t>
  </si>
  <si>
    <t>2024-11-07 00:21:58</t>
  </si>
  <si>
    <t>2025-01-12 06:55:58</t>
  </si>
  <si>
    <t>2025-05-31 15:23:58</t>
  </si>
  <si>
    <t>2025-08-14 09:38:58</t>
  </si>
  <si>
    <t>2025-05-02 07:33:58</t>
  </si>
  <si>
    <t>2025-09-27 23:43:58</t>
  </si>
  <si>
    <t>2025-08-12 15:17:58</t>
  </si>
  <si>
    <t>2025-02-22 14:53:58</t>
  </si>
  <si>
    <t>2025-07-31 19:27:58</t>
  </si>
  <si>
    <t>2025-03-06 17:10:58</t>
  </si>
  <si>
    <t>2025-02-14 09:17:58</t>
  </si>
  <si>
    <t>2025-06-17 11:47:58</t>
  </si>
  <si>
    <t>2025-05-13 14:58:58</t>
  </si>
  <si>
    <t>2025-05-03 04:12:58</t>
  </si>
  <si>
    <t>2025-08-27 22:08:58</t>
  </si>
  <si>
    <t>2025-04-22 17:37:58</t>
  </si>
  <si>
    <t>2025-10-17 10:36:58</t>
  </si>
  <si>
    <t>2025-01-26 14:05:58</t>
  </si>
  <si>
    <t>2025-08-28 21:23:58</t>
  </si>
  <si>
    <t>2025-10-27 01:33:58</t>
  </si>
  <si>
    <t>2025-08-31 23:57:58</t>
  </si>
  <si>
    <t>2025-06-03 18:43:58</t>
  </si>
  <si>
    <t>2025-07-08 16:45:58</t>
  </si>
  <si>
    <t>2025-02-27 05:21:58</t>
  </si>
  <si>
    <t>2025-01-25 18:30:58</t>
  </si>
  <si>
    <t>2025-08-14 00:50:58</t>
  </si>
  <si>
    <t>2024-11-21 05:04:58</t>
  </si>
  <si>
    <t>2025-04-23 21:26:58</t>
  </si>
  <si>
    <t>2025-05-10 05:30:58</t>
  </si>
  <si>
    <t>2025-08-22 22:03:58</t>
  </si>
  <si>
    <t>2025-10-01 04:47:58</t>
  </si>
  <si>
    <t>2025-03-23 04:13:58</t>
  </si>
  <si>
    <t>2025-02-21 04:50:58</t>
  </si>
  <si>
    <t>2025-09-18 02:20:58</t>
  </si>
  <si>
    <t>2025-08-25 09:03:58</t>
  </si>
  <si>
    <t>2025-09-30 08:07:58</t>
  </si>
  <si>
    <t>2025-09-11 18:20:58</t>
  </si>
  <si>
    <t>2025-02-22 13:05:58</t>
  </si>
  <si>
    <t>2025-05-23 20:37:58</t>
  </si>
  <si>
    <t>2025-10-06 00:03:58</t>
  </si>
  <si>
    <t>2025-04-22 17:58:58</t>
  </si>
  <si>
    <t>2025-10-12 08:29:58</t>
  </si>
  <si>
    <t>2024-12-12 13:00:58</t>
  </si>
  <si>
    <t>2025-09-25 21:54:58</t>
  </si>
  <si>
    <t>2025-10-20 21:46:58</t>
  </si>
  <si>
    <t>2025-04-10 01:41:58</t>
  </si>
  <si>
    <t>2025-07-21 12:51:58</t>
  </si>
  <si>
    <t>2025-03-20 20:06:58</t>
  </si>
  <si>
    <t>2024-12-03 21:11:58</t>
  </si>
  <si>
    <t>2025-04-12 00:18:58</t>
  </si>
  <si>
    <t>2025-07-16 19:37:58</t>
  </si>
  <si>
    <t>2025-11-06 01:37:58</t>
  </si>
  <si>
    <t>2024-12-21 15:09:58</t>
  </si>
  <si>
    <t>2025-05-14 08:54:58</t>
  </si>
  <si>
    <t>2025-06-30 01:56:58</t>
  </si>
  <si>
    <t>2024-12-12 22:09:58</t>
  </si>
  <si>
    <t>2025-08-04 08:41:58</t>
  </si>
  <si>
    <t>2025-03-24 20:49:58</t>
  </si>
  <si>
    <t>2025-09-15 16:15:58</t>
  </si>
  <si>
    <t>2025-06-29 22:14:58</t>
  </si>
  <si>
    <t>2025-03-12 00:14:58</t>
  </si>
  <si>
    <t>2024-11-17 11:01:58</t>
  </si>
  <si>
    <t>2025-09-14 03:15:58</t>
  </si>
  <si>
    <t>2025-07-17 09:52:58</t>
  </si>
  <si>
    <t>2025-04-15 22:53:58</t>
  </si>
  <si>
    <t>2025-03-11 00:06:58</t>
  </si>
  <si>
    <t>2025-06-05 02:42:58</t>
  </si>
  <si>
    <t>2025-03-02 16:06:58</t>
  </si>
  <si>
    <t>2025-06-01 10:37:58</t>
  </si>
  <si>
    <t>2025-01-24 07:22:58</t>
  </si>
  <si>
    <t>2025-10-04 09:14:58</t>
  </si>
  <si>
    <t>2024-12-25 09:35:58</t>
  </si>
  <si>
    <t>2025-08-05 20:25:58</t>
  </si>
  <si>
    <t>2025-06-28 13:08:58</t>
  </si>
  <si>
    <t>2025-03-03 21:12:58</t>
  </si>
  <si>
    <t>2025-11-04 18:55:58</t>
  </si>
  <si>
    <t>2024-11-09 23:46:58</t>
  </si>
  <si>
    <t>2025-02-18 01:31:58</t>
  </si>
  <si>
    <t>2025-02-18 19:42:58</t>
  </si>
  <si>
    <t>2024-11-12 03:45:58</t>
  </si>
  <si>
    <t>2025-04-10 18:37:58</t>
  </si>
  <si>
    <t>2025-04-01 15:07:58</t>
  </si>
  <si>
    <t>2025-03-28 17:44:58</t>
  </si>
  <si>
    <t>2025-08-15 11:30:58</t>
  </si>
  <si>
    <t>2025-10-22 02:35:58</t>
  </si>
  <si>
    <t>2025-08-02 07:46:58</t>
  </si>
  <si>
    <t>2025-03-30 04:39:58</t>
  </si>
  <si>
    <t>2024-11-05 20:52:58</t>
  </si>
  <si>
    <t>2025-03-04 08:37:58</t>
  </si>
  <si>
    <t>2025-05-29 13:04:58</t>
  </si>
  <si>
    <t>2025-02-21 19:51:58</t>
  </si>
  <si>
    <t>2025-02-14 10:55:58</t>
  </si>
  <si>
    <t>2025-05-31 16:11:58</t>
  </si>
  <si>
    <t>2024-12-07 13:06:58</t>
  </si>
  <si>
    <t>2025-09-16 14:28:58</t>
  </si>
  <si>
    <t>2024-11-05 21:14:58</t>
  </si>
  <si>
    <t>2025-02-01 06:57:58</t>
  </si>
  <si>
    <t>2025-04-07 03:46:58</t>
  </si>
  <si>
    <t>2025-07-12 15:25:58</t>
  </si>
  <si>
    <t>2025-03-19 22:23:58</t>
  </si>
  <si>
    <t>2025-07-22 02:29:58</t>
  </si>
  <si>
    <t>2025-06-06 16:21:58</t>
  </si>
  <si>
    <t>2025-01-13 11:24:58</t>
  </si>
  <si>
    <t>2025-05-30 17:57:58</t>
  </si>
  <si>
    <t>2025-07-19 05:55:58</t>
  </si>
  <si>
    <t>2024-11-21 22:50:58</t>
  </si>
  <si>
    <t>2025-07-01 21:31:58</t>
  </si>
  <si>
    <t>5/18/2025 1:17</t>
  </si>
  <si>
    <t>12/8/2024 13:45</t>
  </si>
  <si>
    <t>10/25/2025 14:08</t>
  </si>
  <si>
    <t>11/18/2024 21:08</t>
  </si>
  <si>
    <t>9/2/2025 7:31</t>
  </si>
  <si>
    <t>1/4/2025 4:00</t>
  </si>
  <si>
    <t>4/24/2025 15:29</t>
  </si>
  <si>
    <t>3/22/2025 16:35</t>
  </si>
  <si>
    <t>6/10/2025 9:30</t>
  </si>
  <si>
    <t>9/23/2025 13:01</t>
  </si>
  <si>
    <t>1/19/2025 11:06</t>
  </si>
  <si>
    <t>12/21/2024 21:38</t>
  </si>
  <si>
    <t>5/21/2025 13:45</t>
  </si>
  <si>
    <t>2/10/2025 3:52</t>
  </si>
  <si>
    <t>4/23/2025 9:42</t>
  </si>
  <si>
    <t>6/15/2025 7:51</t>
  </si>
  <si>
    <t>3/31/2025 23:36</t>
  </si>
  <si>
    <t>5/14/2025 2:15</t>
  </si>
  <si>
    <t>2/13/2025 10:21</t>
  </si>
  <si>
    <t>5/26/2025 19:13</t>
  </si>
  <si>
    <t>4/29/2025 22:47</t>
  </si>
  <si>
    <t>5/4/2025 7:44</t>
  </si>
  <si>
    <t>4/7/2025 20:01</t>
  </si>
  <si>
    <t>2/24/2025 4:14</t>
  </si>
  <si>
    <t>8/22/2025 17:33</t>
  </si>
  <si>
    <t>9/14/2025 4:50</t>
  </si>
  <si>
    <t>11/28/2024 21:27</t>
  </si>
  <si>
    <t>6/6/2025 10:41</t>
  </si>
  <si>
    <t>8/27/2025 1:37</t>
  </si>
  <si>
    <t>8/13/2025 3:40</t>
  </si>
  <si>
    <t>1/8/2025 9:37</t>
  </si>
  <si>
    <t>4/10/2025 2:59</t>
  </si>
  <si>
    <t>3/11/2025 22:47</t>
  </si>
  <si>
    <t>7/24/2025 9:01</t>
  </si>
  <si>
    <t>9/30/2025 3:06</t>
  </si>
  <si>
    <t>12/17/2024 3:09</t>
  </si>
  <si>
    <t>1/18/2025 9:30</t>
  </si>
  <si>
    <t>3/19/2025 1:05</t>
  </si>
  <si>
    <t>7/13/2025 19:25</t>
  </si>
  <si>
    <t>3/24/2025 22:00</t>
  </si>
  <si>
    <t>12/24/2024 1:06</t>
  </si>
  <si>
    <t>10/29/2025 22:22</t>
  </si>
  <si>
    <t>10/1/2025 13:57</t>
  </si>
  <si>
    <t>1/1/2025 7:50</t>
  </si>
  <si>
    <t>2/18/2025 4:37</t>
  </si>
  <si>
    <t>3/31/2025 12:31</t>
  </si>
  <si>
    <t>6/8/2025 3:16</t>
  </si>
  <si>
    <t>11/17/2024 5:14</t>
  </si>
  <si>
    <t>1/7/2025 14:17</t>
  </si>
  <si>
    <t>5/27/2025 23:45</t>
  </si>
  <si>
    <t>7/24/2025 7:24</t>
  </si>
  <si>
    <t>8/29/2025 1:47</t>
  </si>
  <si>
    <t>4/24/2025 10:16</t>
  </si>
  <si>
    <t>3/2/2025 23:04</t>
  </si>
  <si>
    <t>10/29/2024 23:12</t>
  </si>
  <si>
    <t>5/17/2025 7:07</t>
  </si>
  <si>
    <t>5/14/2025 14:53</t>
  </si>
  <si>
    <t>6/7/2025 3:58</t>
  </si>
  <si>
    <t>7/12/2025 4:42</t>
  </si>
  <si>
    <t>8/9/2025 10:15</t>
  </si>
  <si>
    <t>3/26/2025 15:58</t>
  </si>
  <si>
    <t>12/27/2024 20:26</t>
  </si>
  <si>
    <t>1/27/2025 10:33</t>
  </si>
  <si>
    <t>4/24/2025 15:45</t>
  </si>
  <si>
    <t>8/16/2025 20:08</t>
  </si>
  <si>
    <t>1/2/2025 14:38</t>
  </si>
  <si>
    <t>12/21/2024 3:29</t>
  </si>
  <si>
    <t>3/9/2025 21:42</t>
  </si>
  <si>
    <t>12/1/2024 15:49</t>
  </si>
  <si>
    <t>9/10/2025 4:52</t>
  </si>
  <si>
    <t>1/2/2025 17:30</t>
  </si>
  <si>
    <t>3/28/2025 13:01</t>
  </si>
  <si>
    <t>12/11/2024 3:00</t>
  </si>
  <si>
    <t>9/3/2025 16:38</t>
  </si>
  <si>
    <t>8/23/2025 3:23</t>
  </si>
  <si>
    <t>7/4/2025 14:05</t>
  </si>
  <si>
    <t>8/17/2025 19:03</t>
  </si>
  <si>
    <t>5/13/2025 5:24</t>
  </si>
  <si>
    <t>4/28/2025 12:14</t>
  </si>
  <si>
    <t>7/13/2025 0:00</t>
  </si>
  <si>
    <t>6/16/2025 15:23</t>
  </si>
  <si>
    <t>10/21/2025 3:07</t>
  </si>
  <si>
    <t>8/15/2025 19:19</t>
  </si>
  <si>
    <t>2/20/2025 8:01</t>
  </si>
  <si>
    <t>5/3/2025 5:36</t>
  </si>
  <si>
    <t>6/6/2025 18:59</t>
  </si>
  <si>
    <t>6/6/2025 3:20</t>
  </si>
  <si>
    <t>5/6/2025 18:59</t>
  </si>
  <si>
    <t>5/25/2025 15:43</t>
  </si>
  <si>
    <t>8/3/2025 7:13</t>
  </si>
  <si>
    <t>9/9/2025 11:48</t>
  </si>
  <si>
    <t>4/22/2025 19:00</t>
  </si>
  <si>
    <t>8/27/2025 13:54</t>
  </si>
  <si>
    <t>12/2/2024 16:50</t>
  </si>
  <si>
    <t>1/7/2025 8:16</t>
  </si>
  <si>
    <t>9/15/2025 9:08</t>
  </si>
  <si>
    <t>4/28/2025 2:57</t>
  </si>
  <si>
    <t>1/28/2025 2:29</t>
  </si>
  <si>
    <t>12/16/2024 21:45</t>
  </si>
  <si>
    <t>4/26/2025 18:15</t>
  </si>
  <si>
    <t>11/20/2024 6:23</t>
  </si>
  <si>
    <t>10/19/2025 14:11</t>
  </si>
  <si>
    <t>3/21/2025 12:15</t>
  </si>
  <si>
    <t>1/18/2025 21:17</t>
  </si>
  <si>
    <t>2/19/2025 10:59</t>
  </si>
  <si>
    <t>2/18/2025 7:08</t>
  </si>
  <si>
    <t>2/5/2025 12:20</t>
  </si>
  <si>
    <t>7/18/2025 10:19</t>
  </si>
  <si>
    <t>1/10/2025 14:29</t>
  </si>
  <si>
    <t>5/9/2025 3:29</t>
  </si>
  <si>
    <t>9/29/2025 0:23</t>
  </si>
  <si>
    <t>10/14/2025 4:10</t>
  </si>
  <si>
    <t>8/25/2025 5:18</t>
  </si>
  <si>
    <t>9/16/2025 4:56</t>
  </si>
  <si>
    <t>6/19/2025 12:13</t>
  </si>
  <si>
    <t>3/22/2025 21:51</t>
  </si>
  <si>
    <t>2/7/2025 4:24</t>
  </si>
  <si>
    <t>2/14/2025 21:14</t>
  </si>
  <si>
    <t>8/17/2025 5:51</t>
  </si>
  <si>
    <t>5/20/2025 18:26</t>
  </si>
  <si>
    <t>9/20/2025 23:22</t>
  </si>
  <si>
    <t>2/26/2025 8:35</t>
  </si>
  <si>
    <t>2/18/2025 16:23</t>
  </si>
  <si>
    <t>10/29/2025 13:45</t>
  </si>
  <si>
    <t>4/12/2025 22:06</t>
  </si>
  <si>
    <t>5/18/2025 11:19</t>
  </si>
  <si>
    <t>3/22/2025 6:16</t>
  </si>
  <si>
    <t>6/7/2025 1:46</t>
  </si>
  <si>
    <t>2/12/2025 0:15</t>
  </si>
  <si>
    <t>4/18/2025 2:45</t>
  </si>
  <si>
    <t>2/28/2025 22:46</t>
  </si>
  <si>
    <t>5/12/2025 9:04</t>
  </si>
  <si>
    <t>10/12/2025 13:26</t>
  </si>
  <si>
    <t>7/24/2025 9:50</t>
  </si>
  <si>
    <t>3/9/2025 13:58</t>
  </si>
  <si>
    <t>11/18/2024 18:36</t>
  </si>
  <si>
    <t>11/24/2024 11:45</t>
  </si>
  <si>
    <t>9/22/2025 11:10</t>
  </si>
  <si>
    <t>5/6/2025 22:05</t>
  </si>
  <si>
    <t>9/29/2025 15:50</t>
  </si>
  <si>
    <t>1/28/2025 6:42</t>
  </si>
  <si>
    <t>5/3/2025 8:58</t>
  </si>
  <si>
    <t>3/10/2025 17:47</t>
  </si>
  <si>
    <t>4/28/2025 18:11</t>
  </si>
  <si>
    <t>12/6/2024 1:31</t>
  </si>
  <si>
    <t>11/20/2024 16:46</t>
  </si>
  <si>
    <t>1/2/2025 22:06</t>
  </si>
  <si>
    <t>4/26/2025 17:51</t>
  </si>
  <si>
    <t>9/26/2025 5:54</t>
  </si>
  <si>
    <t>1/11/2025 14:41</t>
  </si>
  <si>
    <t>1/4/2025 2:53</t>
  </si>
  <si>
    <t>12/1/2024 18:11</t>
  </si>
  <si>
    <t>7/22/2025 10:38</t>
  </si>
  <si>
    <t>5/27/2025 0:10</t>
  </si>
  <si>
    <t>2/14/2025 14:00</t>
  </si>
  <si>
    <t>9/10/2025 1:41</t>
  </si>
  <si>
    <t>11/21/2024 16:34</t>
  </si>
  <si>
    <t>7/16/2025 23:23</t>
  </si>
  <si>
    <t>9/29/2025 18:54</t>
  </si>
  <si>
    <t>8/23/2025 6:11</t>
  </si>
  <si>
    <t>6/1/2025 15:49</t>
  </si>
  <si>
    <t>10/7/2025 9:48</t>
  </si>
  <si>
    <t>8/13/2025 22:12</t>
  </si>
  <si>
    <t>9/27/2025 17:36</t>
  </si>
  <si>
    <t>9/27/2025 1:52</t>
  </si>
  <si>
    <t>7/4/2025 13:06</t>
  </si>
  <si>
    <t>1/23/2025 2:59</t>
  </si>
  <si>
    <t>4/20/2025 21:05</t>
  </si>
  <si>
    <t>2/24/2025 14:46</t>
  </si>
  <si>
    <t>9/24/2025 14:38</t>
  </si>
  <si>
    <t>10/23/2025 22:08</t>
  </si>
  <si>
    <t>7/31/2025 10:53</t>
  </si>
  <si>
    <t>10/25/2025 9:16</t>
  </si>
  <si>
    <t>2/27/2025 22:07</t>
  </si>
  <si>
    <t>4/27/2025 6:06</t>
  </si>
  <si>
    <t>12/12/2024 4:15</t>
  </si>
  <si>
    <t>11/6/2025 12:43</t>
  </si>
  <si>
    <t>11/12/2024 0:06</t>
  </si>
  <si>
    <t>7/13/2025 8:29</t>
  </si>
  <si>
    <t>6/22/2025 6:52</t>
  </si>
  <si>
    <t>4/10/2025 8:34</t>
  </si>
  <si>
    <t>3/21/2025 1:25</t>
  </si>
  <si>
    <t>3/24/2025 3:42</t>
  </si>
  <si>
    <t>7/24/2025 19:00</t>
  </si>
  <si>
    <t>6/9/2025 13:35</t>
  </si>
  <si>
    <t>2/21/2025 7:03</t>
  </si>
  <si>
    <t>3/15/2025 11:51</t>
  </si>
  <si>
    <t>11/11/2024 18:42</t>
  </si>
  <si>
    <t>8/27/2025 10:23</t>
  </si>
  <si>
    <t>7/23/2025 21:28</t>
  </si>
  <si>
    <t>2/12/2025 11:08</t>
  </si>
  <si>
    <t>4/3/2025 18:24</t>
  </si>
  <si>
    <t>8/15/2025 14:20</t>
  </si>
  <si>
    <t>11/26/2024 18:12</t>
  </si>
  <si>
    <t>4/21/2025 6:47</t>
  </si>
  <si>
    <t>4/30/2025 0:38</t>
  </si>
  <si>
    <t>10/25/2025 21:55</t>
  </si>
  <si>
    <t>8/26/2025 21:29</t>
  </si>
  <si>
    <t>3/12/2025 8:43</t>
  </si>
  <si>
    <t>11/17/2024 3:08</t>
  </si>
  <si>
    <t>4/6/2025 11:04</t>
  </si>
  <si>
    <t>2/17/2025 17:39</t>
  </si>
  <si>
    <t>3/6/2025 14:37</t>
  </si>
  <si>
    <t>8/12/2025 3:00</t>
  </si>
  <si>
    <t>12/6/2024 14:21</t>
  </si>
  <si>
    <t>10/19/2025 2:26</t>
  </si>
  <si>
    <t>5/25/2025 21:18</t>
  </si>
  <si>
    <t>3/9/2025 15:37</t>
  </si>
  <si>
    <t>11/11/2024 23:25</t>
  </si>
  <si>
    <t>5/1/2025 4:07</t>
  </si>
  <si>
    <t>6/14/2025 21:06</t>
  </si>
  <si>
    <t>8/16/2025 7:45</t>
  </si>
  <si>
    <t>5/9/2025 14:08</t>
  </si>
  <si>
    <t>7/20/2025 1:27</t>
  </si>
  <si>
    <t>3/11/2025 20:05</t>
  </si>
  <si>
    <t>5/18/2025 4:25</t>
  </si>
  <si>
    <t>8/7/2025 16:36</t>
  </si>
  <si>
    <t>6/20/2025 15:51</t>
  </si>
  <si>
    <t>10/3/2025 6:29</t>
  </si>
  <si>
    <t>1/31/2025 5:02</t>
  </si>
  <si>
    <t>3/26/2025 7:19</t>
  </si>
  <si>
    <t>11/22/2024 15:01</t>
  </si>
  <si>
    <t>6/25/2025 0:41</t>
  </si>
  <si>
    <t>9/17/2025 11:20</t>
  </si>
  <si>
    <t>7/8/2025 21:57</t>
  </si>
  <si>
    <t>9/17/2025 20:11</t>
  </si>
  <si>
    <t>8/12/2025 5:36</t>
  </si>
  <si>
    <t>2/26/2025 12:25</t>
  </si>
  <si>
    <t>2/21/2025 10:52</t>
  </si>
  <si>
    <t>2022-07-05 01:07:58</t>
  </si>
  <si>
    <t>2022-05-26 21:09:58</t>
  </si>
  <si>
    <t>2024-05-13 16:14:58</t>
  </si>
  <si>
    <t>2025-07-12 21:21:58</t>
  </si>
  <si>
    <t>2023-12-01 04:56:58</t>
  </si>
  <si>
    <t>2023-11-23 03:05:58</t>
  </si>
  <si>
    <t>2023-03-12 05:23:58</t>
  </si>
  <si>
    <t>2024-01-15 10:39:58</t>
  </si>
  <si>
    <t>2022-09-24 22:34:58</t>
  </si>
  <si>
    <t>2023-02-09 06:37:58</t>
  </si>
  <si>
    <t>2022-05-13 08:34:58</t>
  </si>
  <si>
    <t>2025-04-01 20:25:58</t>
  </si>
  <si>
    <t>2024-09-26 22:04:58</t>
  </si>
  <si>
    <t>2022-12-20 05:44:58</t>
  </si>
  <si>
    <t>2023-03-23 00:16:58</t>
  </si>
  <si>
    <t>2023-05-23 13:54:58</t>
  </si>
  <si>
    <t>2023-01-03 12:21:58</t>
  </si>
  <si>
    <t>2024-05-05 11:30:58</t>
  </si>
  <si>
    <t>2023-02-26 12:53:58</t>
  </si>
  <si>
    <t>2022-06-22 04:06:58</t>
  </si>
  <si>
    <t>2023-09-22 02:25:58</t>
  </si>
  <si>
    <t>2022-12-07 12:47:58</t>
  </si>
  <si>
    <t>2024-01-09 06:33:58</t>
  </si>
  <si>
    <t>2022-03-06 21:59:58</t>
  </si>
  <si>
    <t>2023-07-31 14:45:58</t>
  </si>
  <si>
    <t>2022-05-31 23:53:58</t>
  </si>
  <si>
    <t>2024-03-05 22:20:58</t>
  </si>
  <si>
    <t>2023-08-07 15:04:58</t>
  </si>
  <si>
    <t>2022-03-05 01:53:58</t>
  </si>
  <si>
    <t>2024-04-30 23:36:58</t>
  </si>
  <si>
    <t>2023-04-28 05:13:58</t>
  </si>
  <si>
    <t>2022-09-02 03:24:58</t>
  </si>
  <si>
    <t>2025-08-10 05:12:58</t>
  </si>
  <si>
    <t>2022-08-18 16:34:58</t>
  </si>
  <si>
    <t>2023-01-10 08:05:58</t>
  </si>
  <si>
    <t>2021-09-25 10:45:58</t>
  </si>
  <si>
    <t>2022-08-22 10:05:58</t>
  </si>
  <si>
    <t>2024-11-30 18:22:58</t>
  </si>
  <si>
    <t>2025-06-03 14:45:58</t>
  </si>
  <si>
    <t>2022-05-25 13:18:58</t>
  </si>
  <si>
    <t>2022-01-01 19:01:58</t>
  </si>
  <si>
    <t>2024-01-02 20:34:58</t>
  </si>
  <si>
    <t>2023-08-30 18:53:58</t>
  </si>
  <si>
    <t>2025-04-14 23:46:58</t>
  </si>
  <si>
    <t>2023-11-28 21:29:58</t>
  </si>
  <si>
    <t>2024-02-15 12:57:58</t>
  </si>
  <si>
    <t>2022-09-04 01:43:58</t>
  </si>
  <si>
    <t>2022-07-22 06:14:58</t>
  </si>
  <si>
    <t>2023-02-28 11:28:58</t>
  </si>
  <si>
    <t>2023-01-22 17:06:58</t>
  </si>
  <si>
    <t>2022-09-17 07:35:58</t>
  </si>
  <si>
    <t>2021-10-07 00:16:58</t>
  </si>
  <si>
    <t>2023-06-28 21:45:58</t>
  </si>
  <si>
    <t>2024-08-09 01:10:58</t>
  </si>
  <si>
    <t>2023-01-04 00:25:58</t>
  </si>
  <si>
    <t>2023-02-08 14:16:58</t>
  </si>
  <si>
    <t>2023-01-22 04:34:58</t>
  </si>
  <si>
    <t>2022-02-07 18:19:58</t>
  </si>
  <si>
    <t>2023-06-02 16:34:58</t>
  </si>
  <si>
    <t>2024-12-10 20:47:58</t>
  </si>
  <si>
    <t>2023-09-11 09:06:58</t>
  </si>
  <si>
    <t>2025-02-14 17:15:58</t>
  </si>
  <si>
    <t>2022-10-18 05:30:58</t>
  </si>
  <si>
    <t>2023-06-09 00:21:58</t>
  </si>
  <si>
    <t>2022-08-13 23:50:58</t>
  </si>
  <si>
    <t>2023-05-08 13:51:58</t>
  </si>
  <si>
    <t>2023-11-14 19:08:58</t>
  </si>
  <si>
    <t>2023-04-20 23:39:58</t>
  </si>
  <si>
    <t>2023-10-04 00:29:58</t>
  </si>
  <si>
    <t>2023-02-10 15:31:58</t>
  </si>
  <si>
    <t>2024-10-10 04:06:58</t>
  </si>
  <si>
    <t>2025-04-02 20:34:58</t>
  </si>
  <si>
    <t>2024-09-26 23:19:58</t>
  </si>
  <si>
    <t>2023-04-11 09:22:58</t>
  </si>
  <si>
    <t>2024-08-16 13:01:58</t>
  </si>
  <si>
    <t>2022-06-18 07:03:58</t>
  </si>
  <si>
    <t>2023-01-18 01:56:58</t>
  </si>
  <si>
    <t>2023-09-11 17:23:58</t>
  </si>
  <si>
    <t>2023-07-29 14:49:58</t>
  </si>
  <si>
    <t>2024-05-26 11:28:58</t>
  </si>
  <si>
    <t>2022-09-06 20:19:58</t>
  </si>
  <si>
    <t>2023-08-11 13:19:58</t>
  </si>
  <si>
    <t>2021-11-29 10:03:58</t>
  </si>
  <si>
    <t>2024-04-21 16:23:58</t>
  </si>
  <si>
    <t>2024-12-23 19:49:58</t>
  </si>
  <si>
    <t>2024-01-07 21:10:58</t>
  </si>
  <si>
    <t>2023-11-29 16:00:58</t>
  </si>
  <si>
    <t>2023-11-17 18:58:58</t>
  </si>
  <si>
    <t>2023-11-05 14:37:58</t>
  </si>
  <si>
    <t>2024-12-27 23:17:58</t>
  </si>
  <si>
    <t>2022-09-08 19:33:58</t>
  </si>
  <si>
    <t>2023-02-28 09:09:58</t>
  </si>
  <si>
    <t>2022-03-24 23:32:58</t>
  </si>
  <si>
    <t>2023-03-09 02:27:58</t>
  </si>
  <si>
    <t>2022-07-25 02:18:58</t>
  </si>
  <si>
    <t>2023-04-06 16:54:58</t>
  </si>
  <si>
    <t>2024-11-22 21:10:58</t>
  </si>
  <si>
    <t>2024-01-31 09:06:58</t>
  </si>
  <si>
    <t>2023-12-06 06:26:58</t>
  </si>
  <si>
    <t>2023-10-28 06:27:58</t>
  </si>
  <si>
    <t>2024-05-20 22:41:58</t>
  </si>
  <si>
    <t>2023-02-28 19:34:58</t>
  </si>
  <si>
    <t>2023-04-13 15:20:58</t>
  </si>
  <si>
    <t>2022-01-10 12:54:58</t>
  </si>
  <si>
    <t>2021-09-07 06:04:58</t>
  </si>
  <si>
    <t>2022-05-20 01:42:58</t>
  </si>
  <si>
    <t>2023-06-24 22:17:58</t>
  </si>
  <si>
    <t>2024-10-15 23:26:58</t>
  </si>
  <si>
    <t>2021-11-25 16:27:58</t>
  </si>
  <si>
    <t>2022-04-25 03:06:58</t>
  </si>
  <si>
    <t>2022-10-09 12:51:58</t>
  </si>
  <si>
    <t>2022-11-04 17:51:58</t>
  </si>
  <si>
    <t>2024-07-16 14:08:58</t>
  </si>
  <si>
    <t>2022-08-05 06:22:58</t>
  </si>
  <si>
    <t>2023-06-23 16:54:58</t>
  </si>
  <si>
    <t>2025-02-16 11:19:58</t>
  </si>
  <si>
    <t>2021-10-08 02:48:58</t>
  </si>
  <si>
    <t>2022-08-18 05:10:58</t>
  </si>
  <si>
    <t>2023-12-20 19:18:58</t>
  </si>
  <si>
    <t>2023-12-05 09:32:58</t>
  </si>
  <si>
    <t>2022-06-12 00:26:58</t>
  </si>
  <si>
    <t>2022-05-10 21:37:58</t>
  </si>
  <si>
    <t>2022-12-03 10:10:58</t>
  </si>
  <si>
    <t>2024-09-25 15:37:58</t>
  </si>
  <si>
    <t>2023-05-17 09:23:58</t>
  </si>
  <si>
    <t>2023-09-30 00:19:58</t>
  </si>
  <si>
    <t>2022-06-07 06:42:58</t>
  </si>
  <si>
    <t>2022-09-30 19:59:58</t>
  </si>
  <si>
    <t>2023-12-20 04:17:58</t>
  </si>
  <si>
    <t>2024-05-09 12:45:58</t>
  </si>
  <si>
    <t>2022-01-11 21:06:58</t>
  </si>
  <si>
    <t>2024-02-09 17:43:58</t>
  </si>
  <si>
    <t>2023-02-08 16:31:58</t>
  </si>
  <si>
    <t>2022-02-24 00:21:58</t>
  </si>
  <si>
    <t>2023-09-18 06:55:58</t>
  </si>
  <si>
    <t>2023-01-31 15:23:58</t>
  </si>
  <si>
    <t>2024-11-01 09:38:58</t>
  </si>
  <si>
    <t>2023-08-25 07:33:58</t>
  </si>
  <si>
    <t>2024-03-28 23:43:58</t>
  </si>
  <si>
    <t>2022-08-14 15:17:58</t>
  </si>
  <si>
    <t>2022-02-19 14:53:58</t>
  </si>
  <si>
    <t>2024-03-31 19:27:58</t>
  </si>
  <si>
    <t>2022-12-07 17:10:58</t>
  </si>
  <si>
    <t>2023-08-08 09:17:58</t>
  </si>
  <si>
    <t>2025-04-23 11:47:58</t>
  </si>
  <si>
    <t>2022-03-20 14:58:58</t>
  </si>
  <si>
    <t>2023-03-18 04:12:58</t>
  </si>
  <si>
    <t>2024-07-13 22:08:58</t>
  </si>
  <si>
    <t>2022-02-15 17:37:58</t>
  </si>
  <si>
    <t>2024-11-15 10:36:58</t>
  </si>
  <si>
    <t>2021-11-10 14:05:58</t>
  </si>
  <si>
    <t>2022-09-25 21:23:58</t>
  </si>
  <si>
    <t>2023-04-26 01:33:58</t>
  </si>
  <si>
    <t>2024-02-27 23:57:58</t>
  </si>
  <si>
    <t>2022-11-01 18:43:58</t>
  </si>
  <si>
    <t>2024-11-15 16:45:58</t>
  </si>
  <si>
    <t>2024-06-01 05:21:58</t>
  </si>
  <si>
    <t>2023-11-11 18:30:58</t>
  </si>
  <si>
    <t>2022-05-24 00:50:58</t>
  </si>
  <si>
    <t>2024-08-05 05:04:58</t>
  </si>
  <si>
    <t>2022-07-08 21:26:58</t>
  </si>
  <si>
    <t>2023-03-29 05:30:58</t>
  </si>
  <si>
    <t>2025-01-12 22:03:58</t>
  </si>
  <si>
    <t>2025-08-17 04:47:58</t>
  </si>
  <si>
    <t>2024-02-13 04:13:58</t>
  </si>
  <si>
    <t>2021-12-15 04:50:58</t>
  </si>
  <si>
    <t>2023-07-03 02:20:58</t>
  </si>
  <si>
    <t>2025-07-07 09:03:58</t>
  </si>
  <si>
    <t>2024-09-13 08:07:58</t>
  </si>
  <si>
    <t>2024-09-04 18:20:58</t>
  </si>
  <si>
    <t>2023-08-02 13:05:58</t>
  </si>
  <si>
    <t>2023-06-14 20:37:58</t>
  </si>
  <si>
    <t>2024-10-17 00:03:58</t>
  </si>
  <si>
    <t>2022-11-30 17:58:58</t>
  </si>
  <si>
    <t>2025-05-02 08:29:58</t>
  </si>
  <si>
    <t>2021-10-01 13:00:58</t>
  </si>
  <si>
    <t>2022-12-26 21:54:58</t>
  </si>
  <si>
    <t>2023-11-16 21:46:58</t>
  </si>
  <si>
    <t>2023-12-27 01:41:58</t>
  </si>
  <si>
    <t>2023-01-09 12:51:58</t>
  </si>
  <si>
    <t>2022-11-11 20:06:58</t>
  </si>
  <si>
    <t>2022-12-26 21:11:58</t>
  </si>
  <si>
    <t>2024-12-05 00:18:58</t>
  </si>
  <si>
    <t>2022-04-16 19:37:58</t>
  </si>
  <si>
    <t>2024-05-17 01:37:58</t>
  </si>
  <si>
    <t>2023-04-23 15:09:58</t>
  </si>
  <si>
    <t>2022-05-31 08:54:58</t>
  </si>
  <si>
    <t>2022-10-15 01:56:58</t>
  </si>
  <si>
    <t>2023-10-16 22:09:58</t>
  </si>
  <si>
    <t>2025-02-03 08:41:58</t>
  </si>
  <si>
    <t>2023-08-05 20:49:58</t>
  </si>
  <si>
    <t>2024-08-28 16:15:58</t>
  </si>
  <si>
    <t>2024-04-24 22:14:58</t>
  </si>
  <si>
    <t>2024-02-08 00:14:58</t>
  </si>
  <si>
    <t>2023-05-23 11:01:58</t>
  </si>
  <si>
    <t>2023-01-08 03:15:58</t>
  </si>
  <si>
    <t>2024-09-10 09:52:58</t>
  </si>
  <si>
    <t>2024-03-04 22:53:58</t>
  </si>
  <si>
    <t>2022-04-11 00:06:58</t>
  </si>
  <si>
    <t>2024-06-07 02:42:58</t>
  </si>
  <si>
    <t>2024-03-22 16:06:58</t>
  </si>
  <si>
    <t>2022-02-23 10:37:58</t>
  </si>
  <si>
    <t>2022-01-22 07:22:58</t>
  </si>
  <si>
    <t>2024-05-06 09:14:58</t>
  </si>
  <si>
    <t>2022-08-22 09:35:58</t>
  </si>
  <si>
    <t>2024-10-27 20:25:58</t>
  </si>
  <si>
    <t>2022-06-02 13:08:58</t>
  </si>
  <si>
    <t>2023-03-25 21:12:58</t>
  </si>
  <si>
    <t>2023-11-11 18:55:58</t>
  </si>
  <si>
    <t>2024-05-25 23:46:58</t>
  </si>
  <si>
    <t>2023-12-14 01:31:58</t>
  </si>
  <si>
    <t>2024-09-05 19:42:58</t>
  </si>
  <si>
    <t>2024-02-10 03:45:58</t>
  </si>
  <si>
    <t>2023-12-16 18:37:58</t>
  </si>
  <si>
    <t>2023-02-05 15:07:58</t>
  </si>
  <si>
    <t>2023-08-09 17:44:58</t>
  </si>
  <si>
    <t>2023-04-06 11:30:58</t>
  </si>
  <si>
    <t>2023-08-24 02:35:58</t>
  </si>
  <si>
    <t>2024-09-29 07:46:58</t>
  </si>
  <si>
    <t>2024-12-25 04:39:58</t>
  </si>
  <si>
    <t>2022-06-19 20:52:58</t>
  </si>
  <si>
    <t>2022-02-13 08:37:58</t>
  </si>
  <si>
    <t>2025-03-04 13:04:58</t>
  </si>
  <si>
    <t>2022-07-31 19:51:58</t>
  </si>
  <si>
    <t>2023-09-09 10:55:58</t>
  </si>
  <si>
    <t>2023-04-30 16:11:58</t>
  </si>
  <si>
    <t>2023-07-15 13:06:58</t>
  </si>
  <si>
    <t>2023-03-03 14:28:58</t>
  </si>
  <si>
    <t>2022-04-21 21:14:58</t>
  </si>
  <si>
    <t>2024-10-04 06:57:58</t>
  </si>
  <si>
    <t>2022-09-16 03:46:58</t>
  </si>
  <si>
    <t>2024-11-13 15:25:58</t>
  </si>
  <si>
    <t>2024-04-19 22:23:58</t>
  </si>
  <si>
    <t>2022-06-24 02:29:58</t>
  </si>
  <si>
    <t>2022-11-26 16:21:58</t>
  </si>
  <si>
    <t>2024-04-18 11:24:58</t>
  </si>
  <si>
    <t>2023-07-11 17:57:58</t>
  </si>
  <si>
    <t>2022-11-15 05:55:58</t>
  </si>
  <si>
    <t>2023-01-01 22:50:58</t>
  </si>
  <si>
    <t>2025-03-19 21:31:58</t>
  </si>
  <si>
    <t>8/18/2024 1:17</t>
  </si>
  <si>
    <t>6/11/2024 13:45</t>
  </si>
  <si>
    <t>3/16/2025 14:08</t>
  </si>
  <si>
    <t>2/6/2024 21:08</t>
  </si>
  <si>
    <t>8/19/2024 7:31</t>
  </si>
  <si>
    <t>12/4/2023 4:00</t>
  </si>
  <si>
    <t>2/24/2025 15:29</t>
  </si>
  <si>
    <t>1/9/2024 16:35</t>
  </si>
  <si>
    <t>5/11/2025 9:30</t>
  </si>
  <si>
    <t>9/18/2025 13:01</t>
  </si>
  <si>
    <t>9/28/2024 11:06</t>
  </si>
  <si>
    <t>6/1/2024 21:38</t>
  </si>
  <si>
    <t>9/30/2024 13:45</t>
  </si>
  <si>
    <t>11/9/2024 3:52</t>
  </si>
  <si>
    <t>5/11/2024 9:42</t>
  </si>
  <si>
    <t>7/26/2024 7:51</t>
  </si>
  <si>
    <t>4/14/2024 23:36</t>
  </si>
  <si>
    <t>4/21/2025 2:15</t>
  </si>
  <si>
    <t>9/30/2024 10:21</t>
  </si>
  <si>
    <t>2/23/2024 19:13</t>
  </si>
  <si>
    <t>3/27/2025 22:47</t>
  </si>
  <si>
    <t>1/15/2025 7:44</t>
  </si>
  <si>
    <t>3/6/2024 20:01</t>
  </si>
  <si>
    <t>1/31/2024 4:14</t>
  </si>
  <si>
    <t>6/18/2024 17:33</t>
  </si>
  <si>
    <t>7/22/2025 4:50</t>
  </si>
  <si>
    <t>4/6/2024 21:27</t>
  </si>
  <si>
    <t>3/24/2024 10:41</t>
  </si>
  <si>
    <t>11/28/2024 1:37</t>
  </si>
  <si>
    <t>2/7/2025 3:40</t>
  </si>
  <si>
    <t>7/31/2024 9:37</t>
  </si>
  <si>
    <t>10/21/2024 2:59</t>
  </si>
  <si>
    <t>8/2/2024 22:47</t>
  </si>
  <si>
    <t>9/7/2024 9:01</t>
  </si>
  <si>
    <t>12/5/2024 3:06</t>
  </si>
  <si>
    <t>9/3/2024 3:09</t>
  </si>
  <si>
    <t>10/3/2023 9:30</t>
  </si>
  <si>
    <t>11/20/2024 1:05</t>
  </si>
  <si>
    <t>4/27/2024 19:25</t>
  </si>
  <si>
    <t>1/21/2025 22:00</t>
  </si>
  <si>
    <t>7/3/2024 1:06</t>
  </si>
  <si>
    <t>5/27/2025 22:22</t>
  </si>
  <si>
    <t>8/19/2024 13:57</t>
  </si>
  <si>
    <t>2/26/2024 7:50</t>
  </si>
  <si>
    <t>7/1/2024 4:37</t>
  </si>
  <si>
    <t>1/23/2025 12:31</t>
  </si>
  <si>
    <t>2/3/2025 3:16</t>
  </si>
  <si>
    <t>3/23/2024 5:14</t>
  </si>
  <si>
    <t>4/25/2024 14:17</t>
  </si>
  <si>
    <t>1/24/2024 23:45</t>
  </si>
  <si>
    <t>8/30/2024 7:24</t>
  </si>
  <si>
    <t>8/14/2025 1:47</t>
  </si>
  <si>
    <t>1/4/2024 10:16</t>
  </si>
  <si>
    <t>7/2/2024 23:04</t>
  </si>
  <si>
    <t>11/23/2023 23:12</t>
  </si>
  <si>
    <t>12/12/2024 7:07</t>
  </si>
  <si>
    <t>9/21/2024 14:53</t>
  </si>
  <si>
    <t>4/6/2024 3:58</t>
  </si>
  <si>
    <t>4/5/2025 4:42</t>
  </si>
  <si>
    <t>11/30/2024 10:15</t>
  </si>
  <si>
    <t>8/31/2024 15:58</t>
  </si>
  <si>
    <t>6/30/2024 20:26</t>
  </si>
  <si>
    <t>7/3/2024 10:33</t>
  </si>
  <si>
    <t>7/17/2024 15:45</t>
  </si>
  <si>
    <t>4/28/2025 20:08</t>
  </si>
  <si>
    <t>11/11/2023 14:38</t>
  </si>
  <si>
    <t>1/13/2024 3:29</t>
  </si>
  <si>
    <t>7/6/2024 21:42</t>
  </si>
  <si>
    <t>9/4/2023 15:49</t>
  </si>
  <si>
    <t>8/6/2024 4:52</t>
  </si>
  <si>
    <t>9/1/2023 17:30</t>
  </si>
  <si>
    <t>5/10/2024 13:01</t>
  </si>
  <si>
    <t>10/24/2023 3:00</t>
  </si>
  <si>
    <t>11/14/2024 16:38</t>
  </si>
  <si>
    <t>4/12/2025 3:23</t>
  </si>
  <si>
    <t>6/5/2024 14:05</t>
  </si>
  <si>
    <t>12/2/2024 19:03</t>
  </si>
  <si>
    <t>1/28/2024 5:24</t>
  </si>
  <si>
    <t>9/26/2024 12:14</t>
  </si>
  <si>
    <t>6/12/2025 0:00</t>
  </si>
  <si>
    <t>9/5/2024 15:23</t>
  </si>
  <si>
    <t>5/1/2025 3:07</t>
  </si>
  <si>
    <t>6/13/2025 19:19</t>
  </si>
  <si>
    <t>5/29/2024 8:01</t>
  </si>
  <si>
    <t>3/14/2024 5:36</t>
  </si>
  <si>
    <t>8/12/2024 18:59</t>
  </si>
  <si>
    <t>2/25/2025 3:20</t>
  </si>
  <si>
    <t>1/18/2024 18:59</t>
  </si>
  <si>
    <t>6/21/2024 15:43</t>
  </si>
  <si>
    <t>7/27/2024 7:13</t>
  </si>
  <si>
    <t>12/12/2024 11:48</t>
  </si>
  <si>
    <t>8/24/2024 19:00</t>
  </si>
  <si>
    <t>5/9/2025 13:54</t>
  </si>
  <si>
    <t>3/11/2024 16:50</t>
  </si>
  <si>
    <t>7/23/2024 8:16</t>
  </si>
  <si>
    <t>8/8/2024 9:08</t>
  </si>
  <si>
    <t>3/14/2025 2:57</t>
  </si>
  <si>
    <t>12/13/2023 2:29</t>
  </si>
  <si>
    <t>9/11/2024 21:45</t>
  </si>
  <si>
    <t>9/27/2024 18:15</t>
  </si>
  <si>
    <t>4/9/2024 6:23</t>
  </si>
  <si>
    <t>8/15/2025 14:11</t>
  </si>
  <si>
    <t>7/17/2024 12:15</t>
  </si>
  <si>
    <t>12/20/2024 21:17</t>
  </si>
  <si>
    <t>12/28/2024 10:59</t>
  </si>
  <si>
    <t>11/15/2024 7:08</t>
  </si>
  <si>
    <t>5/6/2024 12:20</t>
  </si>
  <si>
    <t>1/31/2025 10:19</t>
  </si>
  <si>
    <t>9/16/2024 14:29</t>
  </si>
  <si>
    <t>6/15/2024 3:29</t>
  </si>
  <si>
    <t>3/29/2024 0:23</t>
  </si>
  <si>
    <t>8/18/2025 4:10</t>
  </si>
  <si>
    <t>8/10/2022 5:18</t>
  </si>
  <si>
    <t>7/21/2025 4:56</t>
  </si>
  <si>
    <t>10/14/2024 12:13</t>
  </si>
  <si>
    <t>7/17/2023 21:51</t>
  </si>
  <si>
    <t>2/7/2023 4:24</t>
  </si>
  <si>
    <t>5/26/2023 21:14</t>
  </si>
  <si>
    <t>3/27/2025 5:51</t>
  </si>
  <si>
    <t>1/29/2024 18:26</t>
  </si>
  <si>
    <t>7/11/2024 23:22</t>
  </si>
  <si>
    <t>1/11/2022 8:35</t>
  </si>
  <si>
    <t>4/11/2022 16:23</t>
  </si>
  <si>
    <t>9/21/2023 13:45</t>
  </si>
  <si>
    <t>3/26/2022 22:06</t>
  </si>
  <si>
    <t>6/23/2023 11:19</t>
  </si>
  <si>
    <t>4/27/2023 6:16</t>
  </si>
  <si>
    <t>12/16/2023 1:46</t>
  </si>
  <si>
    <t>8/31/2022 0:15</t>
  </si>
  <si>
    <t>10/23/2024 2:45</t>
  </si>
  <si>
    <t>12/25/2021 22:46</t>
  </si>
  <si>
    <t>2/25/2025 9:04</t>
  </si>
  <si>
    <t>4/8/2024 13:26</t>
  </si>
  <si>
    <t>4/26/2022 9:50</t>
  </si>
  <si>
    <t>6/27/2024 13:58</t>
  </si>
  <si>
    <t>10/19/2024 18:36</t>
  </si>
  <si>
    <t>9/10/2023 11:45</t>
  </si>
  <si>
    <t>6/24/2022 11:10</t>
  </si>
  <si>
    <t>2/1/2022 22:05</t>
  </si>
  <si>
    <t>10/30/2024 15:50</t>
  </si>
  <si>
    <t>12/2/2023 6:42</t>
  </si>
  <si>
    <t>4/20/2022 8:58</t>
  </si>
  <si>
    <t>1/10/2023 17:47</t>
  </si>
  <si>
    <t>3/23/2022 18:11</t>
  </si>
  <si>
    <t>3/4/2023 1:31</t>
  </si>
  <si>
    <t>7/30/2022 16:46</t>
  </si>
  <si>
    <t>2/17/2022 22:06</t>
  </si>
  <si>
    <t>10/31/2024 17:51</t>
  </si>
  <si>
    <t>6/15/2023 5:54</t>
  </si>
  <si>
    <t>1/9/2022 14:41</t>
  </si>
  <si>
    <t>9/11/2023 2:53</t>
  </si>
  <si>
    <t>11/8/2022 18:11</t>
  </si>
  <si>
    <t>5/8/2023 10:38</t>
  </si>
  <si>
    <t>12/14/2022 0:10</t>
  </si>
  <si>
    <t>10/4/2023 14:00</t>
  </si>
  <si>
    <t>7/15/2023 1:41</t>
  </si>
  <si>
    <t>9/23/2024 16:34</t>
  </si>
  <si>
    <t>7/13/2024 23:23</t>
  </si>
  <si>
    <t>7/12/2024 18:54</t>
  </si>
  <si>
    <t>7/10/2022 6:11</t>
  </si>
  <si>
    <t>10/17/2022 15:49</t>
  </si>
  <si>
    <t>9/11/2023 9:48</t>
  </si>
  <si>
    <t>11/27/2022 22:12</t>
  </si>
  <si>
    <t>3/30/2024 17:36</t>
  </si>
  <si>
    <t>5/30/2025 1:52</t>
  </si>
  <si>
    <t>5/20/2023 13:06</t>
  </si>
  <si>
    <t>11/28/2022 2:59</t>
  </si>
  <si>
    <t>2/11/2023 21:05</t>
  </si>
  <si>
    <t>12/5/2023 14:46</t>
  </si>
  <si>
    <t>3/16/2023 14:38</t>
  </si>
  <si>
    <t>11/11/2023 22:08</t>
  </si>
  <si>
    <t>2/24/2024 10:53</t>
  </si>
  <si>
    <t>9/19/2024 9:16</t>
  </si>
  <si>
    <t>6/29/2023 22:07</t>
  </si>
  <si>
    <t>2/1/2023 6:06</t>
  </si>
  <si>
    <t>12/30/2022 4:15</t>
  </si>
  <si>
    <t>6/22/2025 12:43</t>
  </si>
  <si>
    <t>1/12/2023 0:06</t>
  </si>
  <si>
    <t>9/24/2024 8:29</t>
  </si>
  <si>
    <t>12/2/2024 6:52</t>
  </si>
  <si>
    <t>12/1/2022 8:34</t>
  </si>
  <si>
    <t>6/2/2022 1:25</t>
  </si>
  <si>
    <t>12/25/2021 3:42</t>
  </si>
  <si>
    <t>4/6/2025 19:00</t>
  </si>
  <si>
    <t>5/18/2022 13:35</t>
  </si>
  <si>
    <t>8/9/2023 7:03</t>
  </si>
  <si>
    <t>3/9/2023 11:51</t>
  </si>
  <si>
    <t>9/29/2023 18:42</t>
  </si>
  <si>
    <t>9/12/2024 10:23</t>
  </si>
  <si>
    <t>6/30/2024 21:28</t>
  </si>
  <si>
    <t>3/11/2024 11:08</t>
  </si>
  <si>
    <t>6/25/2024 18:24</t>
  </si>
  <si>
    <t>4/14/2025 14:20</t>
  </si>
  <si>
    <t>3/26/2024 18:12</t>
  </si>
  <si>
    <t>2/6/2024 6:47</t>
  </si>
  <si>
    <t>11/8/2022 0:38</t>
  </si>
  <si>
    <t>7/23/2024 21:55</t>
  </si>
  <si>
    <t>12/7/2022 21:29</t>
  </si>
  <si>
    <t>9/20/2024 8:43</t>
  </si>
  <si>
    <t>12/11/2022 3:08</t>
  </si>
  <si>
    <t>6/4/2022 11:04</t>
  </si>
  <si>
    <t>4/24/2022 17:39</t>
  </si>
  <si>
    <t>7/27/2024 14:37</t>
  </si>
  <si>
    <t>5/19/2022 3:00</t>
  </si>
  <si>
    <t>4/6/2024 14:21</t>
  </si>
  <si>
    <t>3/9/2025 2:26</t>
  </si>
  <si>
    <t>1/5/2023 21:18</t>
  </si>
  <si>
    <t>9/16/2023 15:37</t>
  </si>
  <si>
    <t>10/12/2024 23:25</t>
  </si>
  <si>
    <t>2/17/2025 4:07</t>
  </si>
  <si>
    <t>4/29/2023 21:06</t>
  </si>
  <si>
    <t>7/28/2023 7:45</t>
  </si>
  <si>
    <t>2/2/2024 14:08</t>
  </si>
  <si>
    <t>10/27/2023 1:27</t>
  </si>
  <si>
    <t>9/1/2024 20:05</t>
  </si>
  <si>
    <t>6/13/2024 4:25</t>
  </si>
  <si>
    <t>10/8/2023 16:36</t>
  </si>
  <si>
    <t>1/8/2023 15:51</t>
  </si>
  <si>
    <t>8/29/2022 6:29</t>
  </si>
  <si>
    <t>4/3/2022 5:02</t>
  </si>
  <si>
    <t>10/8/2024 7:19</t>
  </si>
  <si>
    <t>6/9/2022 15:01</t>
  </si>
  <si>
    <t>1/3/2023 0:41</t>
  </si>
  <si>
    <t>4/7/2023 11:20</t>
  </si>
  <si>
    <t>1/14/2025 21:57</t>
  </si>
  <si>
    <t>4/18/2023 20:11</t>
  </si>
  <si>
    <t>12/14/2023 5:36</t>
  </si>
  <si>
    <t>9/15/2023 12:25</t>
  </si>
  <si>
    <t>5/19/2022 10:52</t>
  </si>
  <si>
    <t>7056</t>
  </si>
  <si>
    <t>6932</t>
  </si>
  <si>
    <t>2731</t>
  </si>
  <si>
    <t>5208</t>
  </si>
  <si>
    <t>403</t>
  </si>
  <si>
    <t>2313</t>
  </si>
  <si>
    <t>7221</t>
  </si>
  <si>
    <t>7930</t>
  </si>
  <si>
    <t>735</t>
  </si>
  <si>
    <t>4220</t>
  </si>
  <si>
    <t>9297</t>
  </si>
  <si>
    <t>364</t>
  </si>
  <si>
    <t>4723</t>
  </si>
  <si>
    <t>5996</t>
  </si>
  <si>
    <t>122</t>
  </si>
  <si>
    <t>8737</t>
  </si>
  <si>
    <t>9880</t>
  </si>
  <si>
    <t>493</t>
  </si>
  <si>
    <t>8402</t>
  </si>
  <si>
    <t>381</t>
  </si>
  <si>
    <t>456</t>
  </si>
  <si>
    <t>8843</t>
  </si>
  <si>
    <t>1862</t>
  </si>
  <si>
    <t>4965</t>
  </si>
  <si>
    <t>193</t>
  </si>
  <si>
    <t>4777</t>
  </si>
  <si>
    <t>388</t>
  </si>
  <si>
    <t>9429</t>
  </si>
  <si>
    <t>482</t>
  </si>
  <si>
    <t>1318</t>
  </si>
  <si>
    <t>8407</t>
  </si>
  <si>
    <t>5697</t>
  </si>
  <si>
    <t>6485</t>
  </si>
  <si>
    <t>409</t>
  </si>
  <si>
    <t>441</t>
  </si>
  <si>
    <t>9439</t>
  </si>
  <si>
    <t>1650</t>
  </si>
  <si>
    <t>474</t>
  </si>
  <si>
    <t>4143</t>
  </si>
  <si>
    <t>1536</t>
  </si>
  <si>
    <t>5140</t>
  </si>
  <si>
    <t>4371</t>
  </si>
  <si>
    <t>86</t>
  </si>
  <si>
    <t>3922</t>
  </si>
  <si>
    <t>1836</t>
  </si>
  <si>
    <t>4933</t>
  </si>
  <si>
    <t>2121</t>
  </si>
  <si>
    <t>4763</t>
  </si>
  <si>
    <t>False,0</t>
  </si>
  <si>
    <t>True,25</t>
  </si>
  <si>
    <t>True,15</t>
  </si>
  <si>
    <t>True,5</t>
  </si>
  <si>
    <t>True,20</t>
  </si>
  <si>
    <t>True,10</t>
  </si>
  <si>
    <t>True,-10</t>
  </si>
  <si>
    <t>True,0</t>
  </si>
  <si>
    <t>443</t>
  </si>
  <si>
    <t>22</t>
  </si>
  <si>
    <t>3306</t>
  </si>
  <si>
    <t>10</t>
  </si>
  <si>
    <t>-10</t>
  </si>
  <si>
    <t>15</t>
  </si>
  <si>
    <t>65</t>
  </si>
  <si>
    <t>55</t>
  </si>
  <si>
    <t>110</t>
  </si>
  <si>
    <t>120</t>
  </si>
  <si>
    <t>-5</t>
  </si>
  <si>
    <t>150</t>
  </si>
  <si>
    <t>input_path</t>
  </si>
  <si>
    <t>sheet</t>
  </si>
  <si>
    <t>separator</t>
  </si>
  <si>
    <t>C:\Users\mahi\Desktop\FW_CSV_Export_new\FW_CSV_Export_new\backend_fastapi\backend_fastapi\data\expansions\Final_output_curated.xlsx</t>
  </si>
  <si>
    <t>rules_curated</t>
  </si>
  <si>
    <t xml:space="preserve">; </t>
  </si>
  <si>
    <t>Scoring_Category</t>
  </si>
  <si>
    <t>Description</t>
  </si>
  <si>
    <t>Points</t>
  </si>
  <si>
    <t>Enabled</t>
  </si>
  <si>
    <t>Migrate_Other_Ports</t>
  </si>
  <si>
    <t>Source is 'any'</t>
  </si>
  <si>
    <t>Source CIDR ≤ /16</t>
  </si>
  <si>
    <t>Source CIDR /17-/22</t>
  </si>
  <si>
    <t>Destination is 'any'</t>
  </si>
  <si>
    <t>Destination CIDR ≤ /16</t>
  </si>
  <si>
    <t>Destination CIDR /17-/22</t>
  </si>
  <si>
    <t>Source Zone is 'any'</t>
  </si>
  <si>
    <t>Destination Zone is 'any'</t>
  </si>
  <si>
    <t>Service is 'any' or &gt;1000 ports</t>
  </si>
  <si>
    <t>Application is 'any' or &gt;1000 ports</t>
  </si>
  <si>
    <t>Broad service AND insecure overlap</t>
  </si>
  <si>
    <t>Insecure + public src IP + risky src zone</t>
  </si>
  <si>
    <t>Insecure + public dst IP + risky dst zone</t>
  </si>
  <si>
    <t>Rule usage scoring (Unused=5, Partially Used=2, Used=0)</t>
  </si>
  <si>
    <t>Rule usage description scoring (5 points if no INC/CHG/RITM/TASK, 0 points if contains ticket)</t>
  </si>
  <si>
    <t>Source User scoring (-10 points if not [Disabled]/any, 0 points otherwise)</t>
  </si>
  <si>
    <t>Profile scoring (none/blank=5, other=0)</t>
  </si>
  <si>
    <t>Any insecure service port maps to App-ID (Applicatin ID sheet)</t>
  </si>
  <si>
    <t>Non-insecure service ports found in Application ID catalog that map to App in rule</t>
  </si>
  <si>
    <t>Options scoring (none/blank=5, other=0)</t>
  </si>
  <si>
    <t>Yes</t>
  </si>
  <si>
    <t>Tip: Toggle Enabled or change Points to update Score_Total dynamically.</t>
  </si>
  <si>
    <t>Category</t>
  </si>
  <si>
    <t>Subcategory</t>
  </si>
  <si>
    <t>Risk</t>
  </si>
  <si>
    <t>Technology</t>
  </si>
  <si>
    <t>Standard Ports</t>
  </si>
  <si>
    <t>100bao</t>
  </si>
  <si>
    <t>iec-60870-5-104</t>
  </si>
  <si>
    <t>104apci-supervisory</t>
  </si>
  <si>
    <t>104apci-unnumbered</t>
  </si>
  <si>
    <t>104apci-unnumbered-startdt-act</t>
  </si>
  <si>
    <t>104apci-unnumbered-startdt-con</t>
  </si>
  <si>
    <t>104apci-unnumbered-stopdt-act</t>
  </si>
  <si>
    <t>104apci-unnumbered-stopdt-con</t>
  </si>
  <si>
    <t>104apci-unnumbered-test-act</t>
  </si>
  <si>
    <t>104apci-unnumbered-test-con</t>
  </si>
  <si>
    <t>104asdu-file-transfer</t>
  </si>
  <si>
    <t>104asdu-file-transfer-type120</t>
  </si>
  <si>
    <t>104asdu-file-transfer-type121</t>
  </si>
  <si>
    <t>104asdu-file-transfer-type122</t>
  </si>
  <si>
    <t>104asdu-file-transfer-type123</t>
  </si>
  <si>
    <t>104asdu-file-transfer-type124</t>
  </si>
  <si>
    <t>104asdu-file-transfer-type125</t>
  </si>
  <si>
    <t>104asdu-file-transfer-type126</t>
  </si>
  <si>
    <t>104asdu-file-transfer-type127</t>
  </si>
  <si>
    <t>104asdu-param-control</t>
  </si>
  <si>
    <t>104asdu-param-control-type110</t>
  </si>
  <si>
    <t>104asdu-param-control-type111</t>
  </si>
  <si>
    <t>104asdu-param-control-type112</t>
  </si>
  <si>
    <t>104asdu-param-control-type113</t>
  </si>
  <si>
    <t>104asdu-process-control</t>
  </si>
  <si>
    <t>104asdu-process-control-type45</t>
  </si>
  <si>
    <t>104asdu-process-control-type46</t>
  </si>
  <si>
    <t>104asdu-process-control-type47</t>
  </si>
  <si>
    <t>104asdu-process-control-type48</t>
  </si>
  <si>
    <t>104asdu-process-control-type49</t>
  </si>
  <si>
    <t>104asdu-process-control-type50</t>
  </si>
  <si>
    <t>104asdu-process-control-type51</t>
  </si>
  <si>
    <t>104asdu-process-control-type58</t>
  </si>
  <si>
    <t>104asdu-process-control-type59</t>
  </si>
  <si>
    <t>104asdu-process-control-type60</t>
  </si>
  <si>
    <t>104asdu-process-control-type61</t>
  </si>
  <si>
    <t>104asdu-process-control-type62</t>
  </si>
  <si>
    <t>104asdu-process-control-type63</t>
  </si>
  <si>
    <t>104asdu-process-control-type64</t>
  </si>
  <si>
    <t>104asdu-process-monitor</t>
  </si>
  <si>
    <t>104asdu-process-monitor-type1</t>
  </si>
  <si>
    <t>104asdu-process-monitor-type10</t>
  </si>
  <si>
    <t>104asdu-process-monitor-type11</t>
  </si>
  <si>
    <t>104asdu-process-monitor-type12</t>
  </si>
  <si>
    <t>104asdu-process-monitor-type13</t>
  </si>
  <si>
    <t>104asdu-process-monitor-type14</t>
  </si>
  <si>
    <t>104asdu-process-monitor-type15</t>
  </si>
  <si>
    <t>104asdu-process-monitor-type16</t>
  </si>
  <si>
    <t>104asdu-process-monitor-type17</t>
  </si>
  <si>
    <t>104asdu-process-monitor-type18</t>
  </si>
  <si>
    <t>104asdu-process-monitor-type19</t>
  </si>
  <si>
    <t>104asdu-process-monitor-type2</t>
  </si>
  <si>
    <t>104asdu-process-monitor-type20</t>
  </si>
  <si>
    <t>104asdu-process-monitor-type21</t>
  </si>
  <si>
    <t>104asdu-process-monitor-type3</t>
  </si>
  <si>
    <t>104asdu-process-monitor-type30</t>
  </si>
  <si>
    <t>104asdu-process-monitor-type31</t>
  </si>
  <si>
    <t>104asdu-process-monitor-type32</t>
  </si>
  <si>
    <t>104asdu-process-monitor-type33</t>
  </si>
  <si>
    <t>104asdu-process-monitor-type34</t>
  </si>
  <si>
    <t>104asdu-process-monitor-type35</t>
  </si>
  <si>
    <t>104asdu-process-monitor-type36</t>
  </si>
  <si>
    <t>104asdu-process-monitor-type37</t>
  </si>
  <si>
    <t>104asdu-process-monitor-type38</t>
  </si>
  <si>
    <t>104asdu-process-monitor-type39</t>
  </si>
  <si>
    <t>104asdu-process-monitor-type4</t>
  </si>
  <si>
    <t>104asdu-process-monitor-type40</t>
  </si>
  <si>
    <t>104asdu-process-monitor-type5</t>
  </si>
  <si>
    <t>104asdu-process-monitor-type6</t>
  </si>
  <si>
    <t>104asdu-process-monitor-type7</t>
  </si>
  <si>
    <t>104asdu-process-monitor-type8</t>
  </si>
  <si>
    <t>104asdu-process-monitor-type9</t>
  </si>
  <si>
    <t>104asdu-system-control</t>
  </si>
  <si>
    <t>104asdu-system-control-type100</t>
  </si>
  <si>
    <t>104asdu-system-control-type101</t>
  </si>
  <si>
    <t>104asdu-system-control-type102</t>
  </si>
  <si>
    <t>104asdu-system-control-type103</t>
  </si>
  <si>
    <t>104asdu-system-control-type104</t>
  </si>
  <si>
    <t>104asdu-system-control-type105</t>
  </si>
  <si>
    <t>104asdu-system-control-type106</t>
  </si>
  <si>
    <t>104asdu-system-control-type107</t>
  </si>
  <si>
    <t>104asdu-system-monitor</t>
  </si>
  <si>
    <t>104asdu-system-monitor-type70</t>
  </si>
  <si>
    <t>iec-60870-5-104-base</t>
  </si>
  <si>
    <t>1c-enterprise</t>
  </si>
  <si>
    <t>1und1-mail</t>
  </si>
  <si>
    <t>24sevenoffice</t>
  </si>
  <si>
    <t>2ch</t>
  </si>
  <si>
    <t>2ch-base</t>
  </si>
  <si>
    <t>2ch-posting</t>
  </si>
  <si>
    <t>360-safeguard-update</t>
  </si>
  <si>
    <t>3pc</t>
  </si>
  <si>
    <t>4shared</t>
  </si>
  <si>
    <t>4sync</t>
  </si>
  <si>
    <t>51.com</t>
  </si>
  <si>
    <t>51.com-base</t>
  </si>
  <si>
    <t>51.com-bbs</t>
  </si>
  <si>
    <t>51.com-games</t>
  </si>
  <si>
    <t>51.com-mail</t>
  </si>
  <si>
    <t>51.com-music</t>
  </si>
  <si>
    <t>51.com-posting</t>
  </si>
  <si>
    <t>51.com-webdisk</t>
  </si>
  <si>
    <t>7shifts</t>
  </si>
  <si>
    <t>8x8</t>
  </si>
  <si>
    <t>abb-cls</t>
  </si>
  <si>
    <t>abb-iac</t>
  </si>
  <si>
    <t>abb-netconfig</t>
  </si>
  <si>
    <t>abb-network-manager</t>
  </si>
  <si>
    <t>abb-rnrp</t>
  </si>
  <si>
    <t>abb-rp570</t>
  </si>
  <si>
    <t>abb-show-remote-system</t>
  </si>
  <si>
    <t>abbott-poca</t>
  </si>
  <si>
    <t>abbott-rals-http</t>
  </si>
  <si>
    <t>abbott-ralsui</t>
  </si>
  <si>
    <t>abbott-serial</t>
  </si>
  <si>
    <t>abiomed-remote-link</t>
  </si>
  <si>
    <t>absolute-manage</t>
  </si>
  <si>
    <t>accellion</t>
  </si>
  <si>
    <t>accelo</t>
  </si>
  <si>
    <t>access-grid</t>
  </si>
  <si>
    <t>acellus</t>
  </si>
  <si>
    <t>acme-protocol</t>
  </si>
  <si>
    <t>acronis-cloud-backup</t>
  </si>
  <si>
    <t>acronis-snapdeploy</t>
  </si>
  <si>
    <t>active-directory</t>
  </si>
  <si>
    <t>active-directory-base</t>
  </si>
  <si>
    <t>ms-dc-replication</t>
  </si>
  <si>
    <t>ms-directory-service-setup</t>
  </si>
  <si>
    <t>activenet</t>
  </si>
  <si>
    <t>activesync</t>
  </si>
  <si>
    <t>ad-selfservice</t>
  </si>
  <si>
    <t>adam-event-trigger</t>
  </si>
  <si>
    <t>adam-net-utility</t>
  </si>
  <si>
    <t>addp</t>
  </si>
  <si>
    <t>addp-base</t>
  </si>
  <si>
    <t>addp-dhcp-network-config-req</t>
  </si>
  <si>
    <t>addp-dhcp-network-config-resp</t>
  </si>
  <si>
    <t>addp-discovery-request</t>
  </si>
  <si>
    <t>addp-discovery-response</t>
  </si>
  <si>
    <t>addp-reboot-request</t>
  </si>
  <si>
    <t>addp-reboot-response</t>
  </si>
  <si>
    <t>addp-static-network-config-req</t>
  </si>
  <si>
    <t>addp-static-network-config-resp</t>
  </si>
  <si>
    <t>adnstream</t>
  </si>
  <si>
    <t>adobe-cloud</t>
  </si>
  <si>
    <t>adobe-connectnow</t>
  </si>
  <si>
    <t>adobe-connectnow-base</t>
  </si>
  <si>
    <t>adobe-connectnow-file-transfer</t>
  </si>
  <si>
    <t>adobe-connectnow-remote-control</t>
  </si>
  <si>
    <t>adobe-cq</t>
  </si>
  <si>
    <t>adobe-creative-cloud</t>
  </si>
  <si>
    <t>adobe-creative-cloud-base</t>
  </si>
  <si>
    <t>adobe-creative-cloud-uploading</t>
  </si>
  <si>
    <t>adobe-echosign</t>
  </si>
  <si>
    <t>adobe-express</t>
  </si>
  <si>
    <t>adobe-express-base</t>
  </si>
  <si>
    <t>adobe-express-download</t>
  </si>
  <si>
    <t>adobe-express-post</t>
  </si>
  <si>
    <t>adobe-express-upload</t>
  </si>
  <si>
    <t>adobe-firefly</t>
  </si>
  <si>
    <t>adobe-firefly-base</t>
  </si>
  <si>
    <t>adobe-firefly-download</t>
  </si>
  <si>
    <t>adobe-firefly-post</t>
  </si>
  <si>
    <t>adobe-firefly-upload</t>
  </si>
  <si>
    <t>adobe-flash-socketpolicy-server</t>
  </si>
  <si>
    <t>adobe-media-player</t>
  </si>
  <si>
    <t>adobe-connect</t>
  </si>
  <si>
    <t>adobe-meeting</t>
  </si>
  <si>
    <t>adobe-meeting-desktop-sharing</t>
  </si>
  <si>
    <t>adobe-meeting-file-transfer</t>
  </si>
  <si>
    <t>adobe-meeting-remote-control</t>
  </si>
  <si>
    <t>adobe-meeting-uploading</t>
  </si>
  <si>
    <t>adobe-online-office</t>
  </si>
  <si>
    <t>adobe-update</t>
  </si>
  <si>
    <t>adrive</t>
  </si>
  <si>
    <t>advantech-adam-ascii</t>
  </si>
  <si>
    <t>aeroadmin</t>
  </si>
  <si>
    <t>aerofs</t>
  </si>
  <si>
    <t>aerospike</t>
  </si>
  <si>
    <t>afaria</t>
  </si>
  <si>
    <t>afp</t>
  </si>
  <si>
    <t>afreeca</t>
  </si>
  <si>
    <t>afs</t>
  </si>
  <si>
    <t>afterschool</t>
  </si>
  <si>
    <t>agiloft</t>
  </si>
  <si>
    <t>agora-streaming</t>
  </si>
  <si>
    <t>ai-wordsmith</t>
  </si>
  <si>
    <t>ai-wordsmith-base</t>
  </si>
  <si>
    <t>ai-wordsmith-delete</t>
  </si>
  <si>
    <t>ai-wordsmith-move</t>
  </si>
  <si>
    <t>ai-wordsmith-save</t>
  </si>
  <si>
    <t>ai-wordsmith-upload</t>
  </si>
  <si>
    <t>aible</t>
  </si>
  <si>
    <t>aible-base</t>
  </si>
  <si>
    <t>aible-upload</t>
  </si>
  <si>
    <t>aim</t>
  </si>
  <si>
    <t>aim-audio</t>
  </si>
  <si>
    <t>aim-base</t>
  </si>
  <si>
    <t>aim-file-transfer</t>
  </si>
  <si>
    <t>aim-video</t>
  </si>
  <si>
    <t>aim-express</t>
  </si>
  <si>
    <t>aim-express-base</t>
  </si>
  <si>
    <t>aim-express-file-transfer</t>
  </si>
  <si>
    <t>aim-mail</t>
  </si>
  <si>
    <t>aiosfoundation-openagi</t>
  </si>
  <si>
    <t>aiosfoundation-openagi-base</t>
  </si>
  <si>
    <t>aiosfoundation-openagi-download</t>
  </si>
  <si>
    <t>aiosfoundation-openagi-upload</t>
  </si>
  <si>
    <t>air-video</t>
  </si>
  <si>
    <t>airaim</t>
  </si>
  <si>
    <t>airdroid</t>
  </si>
  <si>
    <t>airtable</t>
  </si>
  <si>
    <t>airtable-base</t>
  </si>
  <si>
    <t>airtable-downloading</t>
  </si>
  <si>
    <t>airtable-editing</t>
  </si>
  <si>
    <t>airtable-posting</t>
  </si>
  <si>
    <t>airtable-sharing</t>
  </si>
  <si>
    <t>airtable-uploading</t>
  </si>
  <si>
    <t>airtime</t>
  </si>
  <si>
    <t>airwatch</t>
  </si>
  <si>
    <t>akamai-client</t>
  </si>
  <si>
    <t>aladdin</t>
  </si>
  <si>
    <t>alaris-dcmp</t>
  </si>
  <si>
    <t>alfresco</t>
  </si>
  <si>
    <t>ali-wangwang</t>
  </si>
  <si>
    <t>ali-wangwang-audio-video</t>
  </si>
  <si>
    <t>ali-wangwang-base</t>
  </si>
  <si>
    <t>ali-wangwang-file-transfer</t>
  </si>
  <si>
    <t>ali-wangwang-remote-control</t>
  </si>
  <si>
    <t>alipay</t>
  </si>
  <si>
    <t>alisoft</t>
  </si>
  <si>
    <t>all-slots-casino</t>
  </si>
  <si>
    <t>allpeers</t>
  </si>
  <si>
    <t>alpemix</t>
  </si>
  <si>
    <t>alpha-anywhere</t>
  </si>
  <si>
    <t>altamont-outbox-burner-id</t>
  </si>
  <si>
    <t>alteryx</t>
  </si>
  <si>
    <t>alteryx-aidin</t>
  </si>
  <si>
    <t>alteryx-aidin-create</t>
  </si>
  <si>
    <t>alteryx-aidin-delete</t>
  </si>
  <si>
    <t>alteryx-base</t>
  </si>
  <si>
    <t>altiris</t>
  </si>
  <si>
    <t>amazon-alexa</t>
  </si>
  <si>
    <t>amazon-aws-console</t>
  </si>
  <si>
    <t>amazon-bedrock</t>
  </si>
  <si>
    <t>amazon-bedrock-base</t>
  </si>
  <si>
    <t>amazon-bedrock-delete</t>
  </si>
  <si>
    <t>amazon-bedrock-upload</t>
  </si>
  <si>
    <t>amazon-chime</t>
  </si>
  <si>
    <t>amazon-chime-base</t>
  </si>
  <si>
    <t>amazon-chime-conferencing</t>
  </si>
  <si>
    <t>amazon-chime-instant-messaging</t>
  </si>
  <si>
    <t>amazon-chime-screen-sharing</t>
  </si>
  <si>
    <t>amazon-cloud-drive</t>
  </si>
  <si>
    <t>amazon-cloud-drive-base</t>
  </si>
  <si>
    <t>amazon-cloud-drive-uploading</t>
  </si>
  <si>
    <t>amazon-cloud-player</t>
  </si>
  <si>
    <t>amazon-codewhisperer</t>
  </si>
  <si>
    <t>amazon-cognito</t>
  </si>
  <si>
    <t>amazon-cognito-base</t>
  </si>
  <si>
    <t>amazon-cognito-delete</t>
  </si>
  <si>
    <t>amazon-cognito-download</t>
  </si>
  <si>
    <t>amazon-echo</t>
  </si>
  <si>
    <t>amazon-echo-conntest</t>
  </si>
  <si>
    <t>amazon-fire-tablet-conntest</t>
  </si>
  <si>
    <t>amazon-fire-tv-conntest</t>
  </si>
  <si>
    <t>amazon-instant-video</t>
  </si>
  <si>
    <t>amazon-luna</t>
  </si>
  <si>
    <t>amazon-music</t>
  </si>
  <si>
    <t>amazon-music-base</t>
  </si>
  <si>
    <t>amazon-music-streaming</t>
  </si>
  <si>
    <t>amazon-nova-reel</t>
  </si>
  <si>
    <t>amazon-polly</t>
  </si>
  <si>
    <t>amazon-polly-base</t>
  </si>
  <si>
    <t>amazon-polly-delete</t>
  </si>
  <si>
    <t>amazon-polly-upload</t>
  </si>
  <si>
    <t>amazon-prime-video</t>
  </si>
  <si>
    <t>amazon-q</t>
  </si>
  <si>
    <t>amazon-redshift</t>
  </si>
  <si>
    <t>amazon-sagemaker</t>
  </si>
  <si>
    <t>amazon-sagemaker-base</t>
  </si>
  <si>
    <t>amazon-sagemaker-create</t>
  </si>
  <si>
    <t>amazon-sagemaker-delete</t>
  </si>
  <si>
    <t>amazon-sagemaker-gndtru-create</t>
  </si>
  <si>
    <t>amazon-sagemaker-gndtru-delete</t>
  </si>
  <si>
    <t>amazon-sagemaker-groundtruth</t>
  </si>
  <si>
    <t>amazon-titan</t>
  </si>
  <si>
    <t>amazon-titan-base</t>
  </si>
  <si>
    <t>amazon-titan-embed</t>
  </si>
  <si>
    <t>amazon-titan-image</t>
  </si>
  <si>
    <t>amazon-titan-text</t>
  </si>
  <si>
    <t>amazon-transcribe</t>
  </si>
  <si>
    <t>amazon-transcribe-base</t>
  </si>
  <si>
    <t>amazon-transcribe-create</t>
  </si>
  <si>
    <t>amazon-transcribe-delete</t>
  </si>
  <si>
    <t>amazon-transcribe-edit</t>
  </si>
  <si>
    <t>amazon-transcribe-live</t>
  </si>
  <si>
    <t>amazon-unbox</t>
  </si>
  <si>
    <t>amazon-workspace</t>
  </si>
  <si>
    <t>ameba-blog-posting</t>
  </si>
  <si>
    <t>ameba-now</t>
  </si>
  <si>
    <t>ameba-now-base</t>
  </si>
  <si>
    <t>ameba-now-posting</t>
  </si>
  <si>
    <t>ammyy-admin</t>
  </si>
  <si>
    <t>amqp</t>
  </si>
  <si>
    <t>amx-icsp</t>
  </si>
  <si>
    <t>andover-continuum</t>
  </si>
  <si>
    <t>android-market</t>
  </si>
  <si>
    <t>anthropic-api</t>
  </si>
  <si>
    <t>anthropic-api-base</t>
  </si>
  <si>
    <t>anthropic-api-post</t>
  </si>
  <si>
    <t>ants-p2p</t>
  </si>
  <si>
    <t>any-0hop-protocol</t>
  </si>
  <si>
    <t>anydesk</t>
  </si>
  <si>
    <t>anyplace-remote-control</t>
  </si>
  <si>
    <t>anysupport</t>
  </si>
  <si>
    <t>anyterm</t>
  </si>
  <si>
    <t>anyword</t>
  </si>
  <si>
    <t>anyword-base</t>
  </si>
  <si>
    <t>anyword-delete</t>
  </si>
  <si>
    <t>anyword-upload</t>
  </si>
  <si>
    <t>aol-messageboard-posting</t>
  </si>
  <si>
    <t>aol-proxy</t>
  </si>
  <si>
    <t>aomei-anyviewer</t>
  </si>
  <si>
    <t>apache-activemq-openwire</t>
  </si>
  <si>
    <t>apache-guacamole</t>
  </si>
  <si>
    <t>apache-jserv</t>
  </si>
  <si>
    <t>apache-solr</t>
  </si>
  <si>
    <t>apache-zookeeper</t>
  </si>
  <si>
    <t>apc-powerchute</t>
  </si>
  <si>
    <t>aperio-eslide-manager</t>
  </si>
  <si>
    <t>apex-legends</t>
  </si>
  <si>
    <t>aporeto</t>
  </si>
  <si>
    <t>appcelerator</t>
  </si>
  <si>
    <t>appdynamics</t>
  </si>
  <si>
    <t>appetize.io</t>
  </si>
  <si>
    <t>appguru</t>
  </si>
  <si>
    <t>apple-airplay</t>
  </si>
  <si>
    <t>apple-airport</t>
  </si>
  <si>
    <t>apple-appstore</t>
  </si>
  <si>
    <t>apple-game-center</t>
  </si>
  <si>
    <t>apple-location-service</t>
  </si>
  <si>
    <t>apple-maps</t>
  </si>
  <si>
    <t>apple-push-notifications</t>
  </si>
  <si>
    <t>apple-remote-desktop</t>
  </si>
  <si>
    <t>apple-siri</t>
  </si>
  <si>
    <t>apple-update</t>
  </si>
  <si>
    <t>apple-vpp</t>
  </si>
  <si>
    <t>applejuice</t>
  </si>
  <si>
    <t>appletvplus</t>
  </si>
  <si>
    <t>appneta</t>
  </si>
  <si>
    <t>appogee</t>
  </si>
  <si>
    <t>appointy</t>
  </si>
  <si>
    <t>apptivo</t>
  </si>
  <si>
    <t>apt-get</t>
  </si>
  <si>
    <t>arcgis</t>
  </si>
  <si>
    <t>arcgis-base</t>
  </si>
  <si>
    <t>arcgis-uploading</t>
  </si>
  <si>
    <t>arcserve</t>
  </si>
  <si>
    <t>ares</t>
  </si>
  <si>
    <t>argus</t>
  </si>
  <si>
    <t>ariba-by-sap</t>
  </si>
  <si>
    <t>ariel</t>
  </si>
  <si>
    <t>aris</t>
  </si>
  <si>
    <t>aruba-papi</t>
  </si>
  <si>
    <t>as2</t>
  </si>
  <si>
    <t>asana</t>
  </si>
  <si>
    <t>asana-base</t>
  </si>
  <si>
    <t>asana-downloading</t>
  </si>
  <si>
    <t>asana-uploading</t>
  </si>
  <si>
    <t>asf-streaming</t>
  </si>
  <si>
    <t>ask.fm</t>
  </si>
  <si>
    <t>aspentech-cim-io</t>
  </si>
  <si>
    <t>asproxy</t>
  </si>
  <si>
    <t>assa-abloy-r3</t>
  </si>
  <si>
    <t>assembla</t>
  </si>
  <si>
    <t>assembla-base</t>
  </si>
  <si>
    <t>assembla-uploading</t>
  </si>
  <si>
    <t>asterisk-iax</t>
  </si>
  <si>
    <t>asus-webstorage</t>
  </si>
  <si>
    <t>atempo-tina</t>
  </si>
  <si>
    <t>atera</t>
  </si>
  <si>
    <t>atera-base</t>
  </si>
  <si>
    <t>atera-delete</t>
  </si>
  <si>
    <t>atera-download</t>
  </si>
  <si>
    <t>atera-logout</t>
  </si>
  <si>
    <t>atlas-copco-toolstalk-fms</t>
  </si>
  <si>
    <t>atlas-copco-toolstalk2</t>
  </si>
  <si>
    <t>atlassian-bamboo-cloud</t>
  </si>
  <si>
    <t>atmail</t>
  </si>
  <si>
    <t>atom</t>
  </si>
  <si>
    <t>att-connect</t>
  </si>
  <si>
    <t>att-locker</t>
  </si>
  <si>
    <t>att-office-at-hand</t>
  </si>
  <si>
    <t>audiosonic</t>
  </si>
  <si>
    <t>audiosonic-base</t>
  </si>
  <si>
    <t>audiosonic-create</t>
  </si>
  <si>
    <t>audiosonic-delete</t>
  </si>
  <si>
    <t>audiosonic-download</t>
  </si>
  <si>
    <t>authentic8-silo</t>
  </si>
  <si>
    <t>autobahn</t>
  </si>
  <si>
    <t>autodesk360</t>
  </si>
  <si>
    <t>autodesk360-base</t>
  </si>
  <si>
    <t>autodesk360-uploading</t>
  </si>
  <si>
    <t>ava-aware</t>
  </si>
  <si>
    <t>avamar</t>
  </si>
  <si>
    <t>avast-av-update</t>
  </si>
  <si>
    <t>avaya-phone-ping</t>
  </si>
  <si>
    <t>avaya-spaces</t>
  </si>
  <si>
    <t>avaya-webalive</t>
  </si>
  <si>
    <t>avaya-webalive-base</t>
  </si>
  <si>
    <t>avaya-webalive-desktop-sharing</t>
  </si>
  <si>
    <t>avaya-webalive-file-transfer</t>
  </si>
  <si>
    <t>avaya-webalive-voice</t>
  </si>
  <si>
    <t>avg-update</t>
  </si>
  <si>
    <t>avid-isis</t>
  </si>
  <si>
    <t>avid-nexis</t>
  </si>
  <si>
    <t>avira-antivir-update</t>
  </si>
  <si>
    <t>avocent</t>
  </si>
  <si>
    <t>avocent-vsp</t>
  </si>
  <si>
    <t>avoidr</t>
  </si>
  <si>
    <t>awesun</t>
  </si>
  <si>
    <t>aws-iot</t>
  </si>
  <si>
    <t>aws-workdocs</t>
  </si>
  <si>
    <t>ax.25</t>
  </si>
  <si>
    <t>axifile</t>
  </si>
  <si>
    <t>axis-camera-station-web-client</t>
  </si>
  <si>
    <t>windows-azure</t>
  </si>
  <si>
    <t>azure-ai-services</t>
  </si>
  <si>
    <t>azure-ai-services-post</t>
  </si>
  <si>
    <t>azure-ai-services-upload</t>
  </si>
  <si>
    <t>azure-log-analytics</t>
  </si>
  <si>
    <t>azure-openai-api</t>
  </si>
  <si>
    <t>azure-openai-encrypted</t>
  </si>
  <si>
    <t>azure-openai-studio</t>
  </si>
  <si>
    <t>windows-azure-base</t>
  </si>
  <si>
    <t>windows-azure-service-updates</t>
  </si>
  <si>
    <t>windows-azure-uploading</t>
  </si>
  <si>
    <t>azure-custom-speech</t>
  </si>
  <si>
    <t>azure-custom-speech-base</t>
  </si>
  <si>
    <t>azure-custom-speech-download</t>
  </si>
  <si>
    <t>azure-custom-speech-upload</t>
  </si>
  <si>
    <t>azure-govt-cloud-blob</t>
  </si>
  <si>
    <t>azure-govt-cloud-file</t>
  </si>
  <si>
    <t>azure-govt-cloud-storage</t>
  </si>
  <si>
    <t>azure-govt-cloud-table</t>
  </si>
  <si>
    <t>azure-govt-key-vault</t>
  </si>
  <si>
    <t>azure-iot</t>
  </si>
  <si>
    <t>azureus</t>
  </si>
  <si>
    <t>babelgum</t>
  </si>
  <si>
    <t>babylon</t>
  </si>
  <si>
    <t>backblaze-backup</t>
  </si>
  <si>
    <t>backpack-editing</t>
  </si>
  <si>
    <t>backup-exec</t>
  </si>
  <si>
    <t>backweb</t>
  </si>
  <si>
    <t>bacnet</t>
  </si>
  <si>
    <t>bacnet-abort</t>
  </si>
  <si>
    <t>bacnet-ack-alarm</t>
  </si>
  <si>
    <t>bacnet-add-list-element</t>
  </si>
  <si>
    <t>bacnet-atomic-read-file</t>
  </si>
  <si>
    <t>bacnet-atomic-write-file</t>
  </si>
  <si>
    <t>bacnet-authenticate</t>
  </si>
  <si>
    <t>bacnet-base</t>
  </si>
  <si>
    <t>bacnet-complex-ack</t>
  </si>
  <si>
    <t>bacnet-confirmed-cov-notify</t>
  </si>
  <si>
    <t>bacnet-confirmed-event-notify</t>
  </si>
  <si>
    <t>bacnet-confirmed-private-xfer</t>
  </si>
  <si>
    <t>bacnet-confirmed-text-message</t>
  </si>
  <si>
    <t>bacnet-create-object</t>
  </si>
  <si>
    <t>bacnet-delete-object</t>
  </si>
  <si>
    <t>bacnet-device-comm-control</t>
  </si>
  <si>
    <t>bacnet-disconnect-conn-to-nw</t>
  </si>
  <si>
    <t>bacnet-error</t>
  </si>
  <si>
    <t>bacnet-error-ack-alarm</t>
  </si>
  <si>
    <t>bacnet-error-add-list-element</t>
  </si>
  <si>
    <t>bacnet-error-atomic-read-file</t>
  </si>
  <si>
    <t>bacnet-error-atomic-write-file</t>
  </si>
  <si>
    <t>bacnet-error-conf-cov-notify</t>
  </si>
  <si>
    <t>bacnet-error-conf-event-notif</t>
  </si>
  <si>
    <t>bacnet-error-conf-private-trf</t>
  </si>
  <si>
    <t>bacnet-error-conf-text-mssg</t>
  </si>
  <si>
    <t>bacnet-error-delete-object</t>
  </si>
  <si>
    <t>bacnet-error-device-comm-cntrl</t>
  </si>
  <si>
    <t>bacnet-error-get-alarm-summary</t>
  </si>
  <si>
    <t>bacnet-error-get-enrollment-sum</t>
  </si>
  <si>
    <t>bacnet-error-get-event-info</t>
  </si>
  <si>
    <t>bacnet-error-life-safety-oper</t>
  </si>
  <si>
    <t>bacnet-error-read-property</t>
  </si>
  <si>
    <t>bacnet-error-read-property-cond</t>
  </si>
  <si>
    <t>bacnet-error-read-property-mul</t>
  </si>
  <si>
    <t>bacnet-error-read-range</t>
  </si>
  <si>
    <t>bacnet-error-reinitialize-dev</t>
  </si>
  <si>
    <t>bacnet-error-remove-list-elem</t>
  </si>
  <si>
    <t>bacnet-error-request-key</t>
  </si>
  <si>
    <t>bacnet-error-subscribe-cov</t>
  </si>
  <si>
    <t>bacnet-error-subscribe-cov-prop</t>
  </si>
  <si>
    <t>bacnet-error-vt-data</t>
  </si>
  <si>
    <t>bacnet-error-vt-open</t>
  </si>
  <si>
    <t>bacnet-error-write-prop-mult</t>
  </si>
  <si>
    <t>bacnet-establish-conn-to-nw</t>
  </si>
  <si>
    <t>bacnet-get-alarm-summary</t>
  </si>
  <si>
    <t>bacnet-get-enrollment-summary</t>
  </si>
  <si>
    <t>bacnet-get-event-information</t>
  </si>
  <si>
    <t>bacnet-i-am</t>
  </si>
  <si>
    <t>bacnet-i-am-router-to-network</t>
  </si>
  <si>
    <t>bacnet-i-could-be-router-to-nw</t>
  </si>
  <si>
    <t>bacnet-i-have</t>
  </si>
  <si>
    <t>bacnet-init-routing-table-ack</t>
  </si>
  <si>
    <t>bacnet-initialize-routing-table</t>
  </si>
  <si>
    <t>bacnet-life-safety-operation</t>
  </si>
  <si>
    <t>bacnet-network-number-is</t>
  </si>
  <si>
    <t>bacnet-read-prop-conditional</t>
  </si>
  <si>
    <t>bacnet-read-prop-multiple</t>
  </si>
  <si>
    <t>bacnet-read-property</t>
  </si>
  <si>
    <t>bacnet-read-range</t>
  </si>
  <si>
    <t>bacnet-reinitialize-device</t>
  </si>
  <si>
    <t>bacnet-reject</t>
  </si>
  <si>
    <t>bacnet-reject-msg-to-network</t>
  </si>
  <si>
    <t>bacnet-remove-list-element</t>
  </si>
  <si>
    <t>bacnet-request-key</t>
  </si>
  <si>
    <t>bacnet-router-available-to-nw</t>
  </si>
  <si>
    <t>bacnet-router-busy-to-network</t>
  </si>
  <si>
    <t>bacnet-segment-ack</t>
  </si>
  <si>
    <t>bacnet-simple-ack</t>
  </si>
  <si>
    <t>bacnet-subscribe-cov</t>
  </si>
  <si>
    <t>bacnet-subscribe-cov-property</t>
  </si>
  <si>
    <t>bacnet-time-synchronization</t>
  </si>
  <si>
    <t>bacnet-unconfirmed-cov-notif</t>
  </si>
  <si>
    <t>bacnet-unconfirmed-event-notif</t>
  </si>
  <si>
    <t>bacnet-unconfirmed-private-txfr</t>
  </si>
  <si>
    <t>bacnet-unconfirmed-text-message</t>
  </si>
  <si>
    <t>bacnet-utc-time-synchronization</t>
  </si>
  <si>
    <t>bacnet-vt-close</t>
  </si>
  <si>
    <t>bacnet-vt-data</t>
  </si>
  <si>
    <t>bacnet-vt-open</t>
  </si>
  <si>
    <t>bacnet-what-is-network-number</t>
  </si>
  <si>
    <t>bacnet-who-has</t>
  </si>
  <si>
    <t>bacnet-who-has-access-credent</t>
  </si>
  <si>
    <t>bacnet-who-has-access-door</t>
  </si>
  <si>
    <t>bacnet-who-has-access-point</t>
  </si>
  <si>
    <t>bacnet-who-has-access-right</t>
  </si>
  <si>
    <t>bacnet-who-has-access-user</t>
  </si>
  <si>
    <t>bacnet-who-has-access-zone</t>
  </si>
  <si>
    <t>bacnet-who-has-accumulator</t>
  </si>
  <si>
    <t>bacnet-who-has-analog-input</t>
  </si>
  <si>
    <t>bacnet-who-has-analog-output</t>
  </si>
  <si>
    <t>bacnet-who-has-analog-value</t>
  </si>
  <si>
    <t>bacnet-who-has-averaging</t>
  </si>
  <si>
    <t>bacnet-who-has-binary-input</t>
  </si>
  <si>
    <t>bacnet-who-has-binary-output</t>
  </si>
  <si>
    <t>bacnet-who-has-binary-value</t>
  </si>
  <si>
    <t>bacnet-who-has-bitstring-value</t>
  </si>
  <si>
    <t>bacnet-who-has-calendar</t>
  </si>
  <si>
    <t>bacnet-who-has-command</t>
  </si>
  <si>
    <t>bacnet-who-has-cred-data-input</t>
  </si>
  <si>
    <t>bacnet-who-has-date-pattern-val</t>
  </si>
  <si>
    <t>bacnet-who-has-date-value</t>
  </si>
  <si>
    <t>bacnet-who-has-device</t>
  </si>
  <si>
    <t>bacnet-who-has-event-enrollment</t>
  </si>
  <si>
    <t>bacnet-who-has-event-log</t>
  </si>
  <si>
    <t>bacnet-who-has-global-group</t>
  </si>
  <si>
    <t>bacnet-who-has-group</t>
  </si>
  <si>
    <t>bacnet-who-has-integer-value</t>
  </si>
  <si>
    <t>bacnet-who-has-large-analog-val</t>
  </si>
  <si>
    <t>bacnet-who-has-life-safety-pt</t>
  </si>
  <si>
    <t>bacnet-who-has-life-safety-zone</t>
  </si>
  <si>
    <t>bacnet-who-has-multi-state-in</t>
  </si>
  <si>
    <t>bacnet-who-has-multi-state-out</t>
  </si>
  <si>
    <t>bacnet-who-has-multi-state-val</t>
  </si>
  <si>
    <t>bacnet-who-has-network-security</t>
  </si>
  <si>
    <t>bacnet-who-has-notification-cls</t>
  </si>
  <si>
    <t>bacnet-who-has-octatestring-val</t>
  </si>
  <si>
    <t>bacnet-who-has-pulse-converter</t>
  </si>
  <si>
    <t>bacnet-who-has-schedule</t>
  </si>
  <si>
    <t>bacnet-who-has-structured-view</t>
  </si>
  <si>
    <t>bacnet-who-has-time-pattern-val</t>
  </si>
  <si>
    <t>bacnet-who-has-time-value</t>
  </si>
  <si>
    <t>bacnet-who-has-trend-log</t>
  </si>
  <si>
    <t>bacnet-who-has-trend-log-mul</t>
  </si>
  <si>
    <t>bacnet-who-is</t>
  </si>
  <si>
    <t>bacnet-who-is-router-to-network</t>
  </si>
  <si>
    <t>bacnet-write-prop-multiple</t>
  </si>
  <si>
    <t>bacnet-write-property</t>
  </si>
  <si>
    <t>bacula</t>
  </si>
  <si>
    <t>badongo</t>
  </si>
  <si>
    <t>badoo</t>
  </si>
  <si>
    <t>baidu-hi</t>
  </si>
  <si>
    <t>baidu-hi-audio-video</t>
  </si>
  <si>
    <t>baidu-hi-base</t>
  </si>
  <si>
    <t>baidu-hi-file-transfer</t>
  </si>
  <si>
    <t>baidu-hi-games</t>
  </si>
  <si>
    <t>baidu-ime</t>
  </si>
  <si>
    <t>baidu-webmessenger</t>
  </si>
  <si>
    <t>balbix</t>
  </si>
  <si>
    <t>balluff-optical-sensorapp</t>
  </si>
  <si>
    <t>bananatag</t>
  </si>
  <si>
    <t>baofeng</t>
  </si>
  <si>
    <t>barracuda-backup</t>
  </si>
  <si>
    <t>base-crm</t>
  </si>
  <si>
    <t>basecamp</t>
  </si>
  <si>
    <t>basecamp-base</t>
  </si>
  <si>
    <t>basecamp-downloading</t>
  </si>
  <si>
    <t>basecamp-uploading</t>
  </si>
  <si>
    <t>batchbook</t>
  </si>
  <si>
    <t>battle.net</t>
  </si>
  <si>
    <t>battlefield2</t>
  </si>
  <si>
    <t>baxter-sigma-xml</t>
  </si>
  <si>
    <t>bbc-iplayer</t>
  </si>
  <si>
    <t>bbc-streaming</t>
  </si>
  <si>
    <t>bbcp</t>
  </si>
  <si>
    <t>bbn-rcc-mon</t>
  </si>
  <si>
    <t>bbraun-dosetrac</t>
  </si>
  <si>
    <t>bbraun-space</t>
  </si>
  <si>
    <t>beaconmedaes-broadcast</t>
  </si>
  <si>
    <t>beampro-telepresence</t>
  </si>
  <si>
    <t>beamyourscreen</t>
  </si>
  <si>
    <t>beats-music</t>
  </si>
  <si>
    <t>beautiful</t>
  </si>
  <si>
    <t>beautiful-base</t>
  </si>
  <si>
    <t>beautiful-copy</t>
  </si>
  <si>
    <t>beautiful-delete</t>
  </si>
  <si>
    <t>beautiful-download</t>
  </si>
  <si>
    <t>beautiful-move</t>
  </si>
  <si>
    <t>beautiful-share</t>
  </si>
  <si>
    <t>beautiful-upload</t>
  </si>
  <si>
    <t>bebo</t>
  </si>
  <si>
    <t>bebo-base</t>
  </si>
  <si>
    <t>bebo-mail</t>
  </si>
  <si>
    <t>bebo-posting</t>
  </si>
  <si>
    <t>beckhoff-device-discovery</t>
  </si>
  <si>
    <t>beckman-coulter-proservice</t>
  </si>
  <si>
    <t>beijer-ix-hmi</t>
  </si>
  <si>
    <t>beinsync</t>
  </si>
  <si>
    <t>benchmark</t>
  </si>
  <si>
    <t>bet365</t>
  </si>
  <si>
    <t>betternetvpn</t>
  </si>
  <si>
    <t>between-messenger</t>
  </si>
  <si>
    <t>beyond-trust-remote-support</t>
  </si>
  <si>
    <t>bfcp</t>
  </si>
  <si>
    <t>bfd</t>
  </si>
  <si>
    <t>bgp</t>
  </si>
  <si>
    <t>big-brother</t>
  </si>
  <si>
    <t>bigbluebutton</t>
  </si>
  <si>
    <t>bigupload</t>
  </si>
  <si>
    <t>bime</t>
  </si>
  <si>
    <t>bing-ai</t>
  </si>
  <si>
    <t>bing-ai-base</t>
  </si>
  <si>
    <t>bing-ai-uploading</t>
  </si>
  <si>
    <t>bing-maps</t>
  </si>
  <si>
    <t>biofire-filmarray</t>
  </si>
  <si>
    <t>biomerieux-hostcom</t>
  </si>
  <si>
    <t>biomerieux-virtuo</t>
  </si>
  <si>
    <t>bit9-parity</t>
  </si>
  <si>
    <t>bitbucket</t>
  </si>
  <si>
    <t>bitbucket-atlassian-intel</t>
  </si>
  <si>
    <t>bitbucket-base</t>
  </si>
  <si>
    <t>bitbucket-uploading</t>
  </si>
  <si>
    <t>bitcasa</t>
  </si>
  <si>
    <t>bitcoin</t>
  </si>
  <si>
    <t>bitdefender</t>
  </si>
  <si>
    <t>bito</t>
  </si>
  <si>
    <t>bito-base</t>
  </si>
  <si>
    <t>bito-invite</t>
  </si>
  <si>
    <t>bito-share</t>
  </si>
  <si>
    <t>bitrix24</t>
  </si>
  <si>
    <t>bittorrent</t>
  </si>
  <si>
    <t>bittorrent-sync</t>
  </si>
  <si>
    <t>bkper</t>
  </si>
  <si>
    <t>blackberry</t>
  </si>
  <si>
    <t>blackboard</t>
  </si>
  <si>
    <t>blackboard-collaborate</t>
  </si>
  <si>
    <t>blancai-recruiter</t>
  </si>
  <si>
    <t>blancai-recruiter-base</t>
  </si>
  <si>
    <t>blancai-recruiter-delete</t>
  </si>
  <si>
    <t>blancai-recruiter-download</t>
  </si>
  <si>
    <t>blancai-recruiter-upload</t>
  </si>
  <si>
    <t>blin</t>
  </si>
  <si>
    <t>blind</t>
  </si>
  <si>
    <t>blog-posting</t>
  </si>
  <si>
    <t>blogger-blog-posting</t>
  </si>
  <si>
    <t>blokus</t>
  </si>
  <si>
    <t>blooket</t>
  </si>
  <si>
    <t>bloomberg-professional</t>
  </si>
  <si>
    <t>bluecoat-adn</t>
  </si>
  <si>
    <t>bluecoat-auth-agent</t>
  </si>
  <si>
    <t>bluejeans</t>
  </si>
  <si>
    <t>bluejeans-base</t>
  </si>
  <si>
    <t>bluejeans-downloading</t>
  </si>
  <si>
    <t>bluejeans-uploading</t>
  </si>
  <si>
    <t>bluexp</t>
  </si>
  <si>
    <t>bmc-bco-best1</t>
  </si>
  <si>
    <t>bna</t>
  </si>
  <si>
    <t>boldchat-logmein</t>
  </si>
  <si>
    <t>bomberclone</t>
  </si>
  <si>
    <t>bomgar</t>
  </si>
  <si>
    <t>bonpoo</t>
  </si>
  <si>
    <t>boomerang</t>
  </si>
  <si>
    <t>bosch-rcp-plus</t>
  </si>
  <si>
    <t>boxnet</t>
  </si>
  <si>
    <t>boxnet-base</t>
  </si>
  <si>
    <t>boxnet-consumer-access</t>
  </si>
  <si>
    <t>boxnet-copy</t>
  </si>
  <si>
    <t>boxnet-create</t>
  </si>
  <si>
    <t>boxnet-delete</t>
  </si>
  <si>
    <t>boxnet-downloading</t>
  </si>
  <si>
    <t>boxnet-editing</t>
  </si>
  <si>
    <t>boxnet-enterprise-access</t>
  </si>
  <si>
    <t>boxnet-move</t>
  </si>
  <si>
    <t>boxnet-sharing</t>
  </si>
  <si>
    <t>boxnet-unshare</t>
  </si>
  <si>
    <t>boxnet-uploading</t>
  </si>
  <si>
    <t>br-ansl</t>
  </si>
  <si>
    <t>br-ina</t>
  </si>
  <si>
    <t>br-sat-mon</t>
  </si>
  <si>
    <t>br-sdm</t>
  </si>
  <si>
    <t>brass</t>
  </si>
  <si>
    <t>brightcloud</t>
  </si>
  <si>
    <t>brightcove</t>
  </si>
  <si>
    <t>brightsign-media-player</t>
  </si>
  <si>
    <t>brighttalk</t>
  </si>
  <si>
    <t>browsec</t>
  </si>
  <si>
    <t>browserbase</t>
  </si>
  <si>
    <t>browserstack</t>
  </si>
  <si>
    <t>bubbly</t>
  </si>
  <si>
    <t>buddybuddy</t>
  </si>
  <si>
    <t>buddybuddy-base</t>
  </si>
  <si>
    <t>buddybuddy-file-transfer</t>
  </si>
  <si>
    <t>bugzilla</t>
  </si>
  <si>
    <t>buzzsaw</t>
  </si>
  <si>
    <t>bypass</t>
  </si>
  <si>
    <t>bypassthat</t>
  </si>
  <si>
    <t>bzflag</t>
  </si>
  <si>
    <t>ieee-c37.118-synchrophasor</t>
  </si>
  <si>
    <t>c37.118-cmd-frame-data-tx-off</t>
  </si>
  <si>
    <t>c37.118-cmd-frame-data-tx-on</t>
  </si>
  <si>
    <t>c37.118-cmd-frame-extended-frm</t>
  </si>
  <si>
    <t>c37.118-cmd-frame-send-cfg-1</t>
  </si>
  <si>
    <t>c37.118-cmd-frame-send-cfg-2</t>
  </si>
  <si>
    <t>c37.118-cmd-frame-send-hdr-frm</t>
  </si>
  <si>
    <t>c37.118-command-frame</t>
  </si>
  <si>
    <t>c37.118-configuration-frame-1</t>
  </si>
  <si>
    <t>c37.118-configuration-frame-2</t>
  </si>
  <si>
    <t>c37.118-data-frame</t>
  </si>
  <si>
    <t>c37.118-header-frame</t>
  </si>
  <si>
    <t>ieee-c37.118-synchrophasor-base</t>
  </si>
  <si>
    <t>c9-trader</t>
  </si>
  <si>
    <t>ca-mq-service</t>
  </si>
  <si>
    <t>ca-nimsoft-monitor</t>
  </si>
  <si>
    <t>ca-sdm</t>
  </si>
  <si>
    <t>cadwell-cadlink</t>
  </si>
  <si>
    <t>caihong</t>
  </si>
  <si>
    <t>cakehr</t>
  </si>
  <si>
    <t>calameo</t>
  </si>
  <si>
    <t>calendly</t>
  </si>
  <si>
    <t>call-of-duty</t>
  </si>
  <si>
    <t>callidus</t>
  </si>
  <si>
    <t>callpilot</t>
  </si>
  <si>
    <t>camfrog</t>
  </si>
  <si>
    <t>camo-proxy</t>
  </si>
  <si>
    <t>camos</t>
  </si>
  <si>
    <t>campfire</t>
  </si>
  <si>
    <t>canon-bjnp</t>
  </si>
  <si>
    <t>canva</t>
  </si>
  <si>
    <t>canva-base</t>
  </si>
  <si>
    <t>canva-downloading</t>
  </si>
  <si>
    <t>canva-magic-studio</t>
  </si>
  <si>
    <t>canva-magic-studio-download</t>
  </si>
  <si>
    <t>canva-magic-studio-post</t>
  </si>
  <si>
    <t>canva-text-to-image</t>
  </si>
  <si>
    <t>canva-uploading</t>
  </si>
  <si>
    <t>canvas</t>
  </si>
  <si>
    <t>capsule</t>
  </si>
  <si>
    <t>capsule-mdip-axon</t>
  </si>
  <si>
    <t>capsule-mdip-vpn</t>
  </si>
  <si>
    <t>capsule-neuron</t>
  </si>
  <si>
    <t>capwap</t>
  </si>
  <si>
    <t>carbonite</t>
  </si>
  <si>
    <t>carbonite-base</t>
  </si>
  <si>
    <t>carbonite-downloading</t>
  </si>
  <si>
    <t>carbonite-uploading</t>
  </si>
  <si>
    <t>cardinalhealth-wavemark</t>
  </si>
  <si>
    <t>carefx</t>
  </si>
  <si>
    <t>carestream</t>
  </si>
  <si>
    <t>cassandra</t>
  </si>
  <si>
    <t>catapult</t>
  </si>
  <si>
    <t>cbs-video</t>
  </si>
  <si>
    <t>cbt</t>
  </si>
  <si>
    <t>cc-link</t>
  </si>
  <si>
    <t>cddb</t>
  </si>
  <si>
    <t>cellcrypt</t>
  </si>
  <si>
    <t>celoxis</t>
  </si>
  <si>
    <t>centrak-star-heartbeat</t>
  </si>
  <si>
    <t>centreli</t>
  </si>
  <si>
    <t>centriccrm</t>
  </si>
  <si>
    <t>centurion</t>
  </si>
  <si>
    <t>cerner</t>
  </si>
  <si>
    <t>cerner-device-connectivity</t>
  </si>
  <si>
    <t>cerner-ibus-cas</t>
  </si>
  <si>
    <t>certegra-hub</t>
  </si>
  <si>
    <t>certeon-acelera</t>
  </si>
  <si>
    <t>certify</t>
  </si>
  <si>
    <t>cftp</t>
  </si>
  <si>
    <t>cgi-irc</t>
  </si>
  <si>
    <t>cgiproxy</t>
  </si>
  <si>
    <t>channel4</t>
  </si>
  <si>
    <t>chaos</t>
  </si>
  <si>
    <t>character-ai</t>
  </si>
  <si>
    <t>character-ai-base</t>
  </si>
  <si>
    <t>character-ai-posting</t>
  </si>
  <si>
    <t>character-ai-uploading</t>
  </si>
  <si>
    <t>chargen</t>
  </si>
  <si>
    <t>chatango</t>
  </si>
  <si>
    <t>chatbot</t>
  </si>
  <si>
    <t>chatbot-base</t>
  </si>
  <si>
    <t>chatbot-copy</t>
  </si>
  <si>
    <t>chatbot-create</t>
  </si>
  <si>
    <t>chatbot-delete</t>
  </si>
  <si>
    <t>chatbot-download</t>
  </si>
  <si>
    <t>chatbot-edit</t>
  </si>
  <si>
    <t>chatbot-post</t>
  </si>
  <si>
    <t>chatbot-upload</t>
  </si>
  <si>
    <t>chaton</t>
  </si>
  <si>
    <t>chatroulette</t>
  </si>
  <si>
    <t>chatsonic</t>
  </si>
  <si>
    <t>checkmarket</t>
  </si>
  <si>
    <t>checkmarket-base</t>
  </si>
  <si>
    <t>checkmarket-uploading</t>
  </si>
  <si>
    <t>checkmk</t>
  </si>
  <si>
    <t>checkpoint-client-auth</t>
  </si>
  <si>
    <t>checkpoint-cpd</t>
  </si>
  <si>
    <t>checkpoint-cpmi</t>
  </si>
  <si>
    <t>checkpoint-logging</t>
  </si>
  <si>
    <t>checkpoint-rdp</t>
  </si>
  <si>
    <t>checkpoint-vpn</t>
  </si>
  <si>
    <t>chikka-messenger</t>
  </si>
  <si>
    <t>chinaren</t>
  </si>
  <si>
    <t>chinaren-apps</t>
  </si>
  <si>
    <t>chinaren-base</t>
  </si>
  <si>
    <t>chinaren-chat</t>
  </si>
  <si>
    <t>chinaren-mail</t>
  </si>
  <si>
    <t>chinaren-posting</t>
  </si>
  <si>
    <t>chisel</t>
  </si>
  <si>
    <t>chrome-remote-desktop</t>
  </si>
  <si>
    <t>cinemagram</t>
  </si>
  <si>
    <t>cip-ethernet-ip</t>
  </si>
  <si>
    <t>cip-ethernet-ip-base</t>
  </si>
  <si>
    <t>cip-ethernet-ip-changed-prop</t>
  </si>
  <si>
    <t>cip-ethernet-ip-disable-io</t>
  </si>
  <si>
    <t>cip-ethernet-ip-disable-sfc</t>
  </si>
  <si>
    <t>cip-ethernet-ip-download</t>
  </si>
  <si>
    <t>cip-ethernet-ip-enable-io</t>
  </si>
  <si>
    <t>cip-ethernet-ip-enable-sfc</t>
  </si>
  <si>
    <t>cip-ethernet-ip-list-identity</t>
  </si>
  <si>
    <t>cip-ethernet-ip-misc</t>
  </si>
  <si>
    <t>cip-ethernet-ip-offline</t>
  </si>
  <si>
    <t>cip-ethernet-ip-online</t>
  </si>
  <si>
    <t>cip-ethernet-ip-prg-mode</t>
  </si>
  <si>
    <t>cip-ethernet-ip-read-mod-write</t>
  </si>
  <si>
    <t>cip-ethernet-ip-read-tag</t>
  </si>
  <si>
    <t>cip-ethernet-ip-read-tag-frag</t>
  </si>
  <si>
    <t>cip-ethernet-ip-reg-session</t>
  </si>
  <si>
    <t>cip-ethernet-ip-rename</t>
  </si>
  <si>
    <t>cip-ethernet-ip-run</t>
  </si>
  <si>
    <t>cip-ethernet-ip-run-mode</t>
  </si>
  <si>
    <t>cip-ethernet-ip-send-rr-data</t>
  </si>
  <si>
    <t>cip-ethernet-ip-send-unit-data</t>
  </si>
  <si>
    <t>cip-ethernet-ip-stop</t>
  </si>
  <si>
    <t>cip-ethernet-ip-test-mode</t>
  </si>
  <si>
    <t>cip-ethernet-ip-upload</t>
  </si>
  <si>
    <t>cip-ethernet-ip-write-tag</t>
  </si>
  <si>
    <t>cip-ethernet-ip-write-tag-frag</t>
  </si>
  <si>
    <t>pccc-cip</t>
  </si>
  <si>
    <t>pccc-cip-apply-port-config</t>
  </si>
  <si>
    <t>pccc-cip-change-mode</t>
  </si>
  <si>
    <t>pccc-cip-diag-status</t>
  </si>
  <si>
    <t>pccc-cip-download-completed</t>
  </si>
  <si>
    <t>pccc-cip-echo</t>
  </si>
  <si>
    <t>pccc-cip-get-edit-res</t>
  </si>
  <si>
    <t>pccc-cip-prot-typed-log-read</t>
  </si>
  <si>
    <t>pccc-cip-prot-typed-log-write</t>
  </si>
  <si>
    <t>pccc-cip-ret-edit-res</t>
  </si>
  <si>
    <t>circumventor</t>
  </si>
  <si>
    <t>cisco-drp</t>
  </si>
  <si>
    <t>cisco-nac</t>
  </si>
  <si>
    <t>cisco-rtmt</t>
  </si>
  <si>
    <t>cisco-spark</t>
  </si>
  <si>
    <t>cisco-spark-audio-video</t>
  </si>
  <si>
    <t>cisco-spark-base</t>
  </si>
  <si>
    <t>cisco-spark-file-transfer</t>
  </si>
  <si>
    <t>cisco-sxp</t>
  </si>
  <si>
    <t>cisco-umbrella-dnscrypt</t>
  </si>
  <si>
    <t>cisco-viptela-ipsec-esp</t>
  </si>
  <si>
    <t>cisco-wlc-mobility</t>
  </si>
  <si>
    <t>cisco-wlc-rrm</t>
  </si>
  <si>
    <t>ciscovpn</t>
  </si>
  <si>
    <t>citect-scada</t>
  </si>
  <si>
    <t>citrix</t>
  </si>
  <si>
    <t>citrix-director</t>
  </si>
  <si>
    <t>citrix-jedi</t>
  </si>
  <si>
    <t>citrix-license-server</t>
  </si>
  <si>
    <t>citrix-provisioning</t>
  </si>
  <si>
    <t>citrix-xenmobile</t>
  </si>
  <si>
    <t>claid</t>
  </si>
  <si>
    <t>claid-base</t>
  </si>
  <si>
    <t>claid-download</t>
  </si>
  <si>
    <t>claid-upload</t>
  </si>
  <si>
    <t>clarizen</t>
  </si>
  <si>
    <t>clash-of-clans</t>
  </si>
  <si>
    <t>classdojo</t>
  </si>
  <si>
    <t>classin</t>
  </si>
  <si>
    <t>classmates</t>
  </si>
  <si>
    <t>claude</t>
  </si>
  <si>
    <t>claude-base</t>
  </si>
  <si>
    <t>claude-delete</t>
  </si>
  <si>
    <t>claude-edit</t>
  </si>
  <si>
    <t>claude-post</t>
  </si>
  <si>
    <t>claude-upload</t>
  </si>
  <si>
    <t>clearslide</t>
  </si>
  <si>
    <t>clearspace</t>
  </si>
  <si>
    <t>clicktools</t>
  </si>
  <si>
    <t>clickview</t>
  </si>
  <si>
    <t>clip2net</t>
  </si>
  <si>
    <t>clockwise</t>
  </si>
  <si>
    <t>clockwise-base</t>
  </si>
  <si>
    <t>clockwise-create</t>
  </si>
  <si>
    <t>clockwise-delete</t>
  </si>
  <si>
    <t>clockwise-edit</t>
  </si>
  <si>
    <t>clockwise-invite</t>
  </si>
  <si>
    <t>clockwise-post</t>
  </si>
  <si>
    <t>close.io</t>
  </si>
  <si>
    <t>cloud9</t>
  </si>
  <si>
    <t>cloudapp</t>
  </si>
  <si>
    <t>cloudapp-base</t>
  </si>
  <si>
    <t>cloudapp-uploading</t>
  </si>
  <si>
    <t>cloudcherry</t>
  </si>
  <si>
    <t>cloudflare-warp</t>
  </si>
  <si>
    <t>cloudforge</t>
  </si>
  <si>
    <t>cloudforge-base</t>
  </si>
  <si>
    <t>cloudforge-uploading</t>
  </si>
  <si>
    <t>cloudinary</t>
  </si>
  <si>
    <t>cloudinary-base</t>
  </si>
  <si>
    <t>cloudinary-uploading</t>
  </si>
  <si>
    <t>cloudmark-desktop</t>
  </si>
  <si>
    <t>cloudme</t>
  </si>
  <si>
    <t>cloudon</t>
  </si>
  <si>
    <t>cloudshare</t>
  </si>
  <si>
    <t>cloudsigma</t>
  </si>
  <si>
    <t>cloudup</t>
  </si>
  <si>
    <t>clubbox</t>
  </si>
  <si>
    <t>clubcooee</t>
  </si>
  <si>
    <t>clubhouse</t>
  </si>
  <si>
    <t>cn-ip</t>
  </si>
  <si>
    <t>cn-ip-acknowledge</t>
  </si>
  <si>
    <t>cn-ip-base</t>
  </si>
  <si>
    <t>cn-ip-channel-membership</t>
  </si>
  <si>
    <t>cn-ip-channel-membership-req</t>
  </si>
  <si>
    <t>cn-ip-channel-routing</t>
  </si>
  <si>
    <t>cn-ip-channel-routing-req</t>
  </si>
  <si>
    <t>cn-ip-data-packet</t>
  </si>
  <si>
    <t>cn-ip-device-config-req</t>
  </si>
  <si>
    <t>cn-ip-device-configuration</t>
  </si>
  <si>
    <t>cn-ip-device-registration</t>
  </si>
  <si>
    <t>cn-ip-heartbeat-req</t>
  </si>
  <si>
    <t>cn-ip-heartbeat-rsp</t>
  </si>
  <si>
    <t>cn-ip-segment</t>
  </si>
  <si>
    <t>cn-ip-send-list</t>
  </si>
  <si>
    <t>cn-ip-send-list-req</t>
  </si>
  <si>
    <t>cnn-video</t>
  </si>
  <si>
    <t>coap</t>
  </si>
  <si>
    <t>coap-base</t>
  </si>
  <si>
    <t>coap-delete-request</t>
  </si>
  <si>
    <t>coap-get-request</t>
  </si>
  <si>
    <t>coap-post-request</t>
  </si>
  <si>
    <t>coap-put-request</t>
  </si>
  <si>
    <t>cobas-link</t>
  </si>
  <si>
    <t>cochat</t>
  </si>
  <si>
    <t>codegen</t>
  </si>
  <si>
    <t>codeium</t>
  </si>
  <si>
    <t>codesys-gateway</t>
  </si>
  <si>
    <t>codesys-runtime</t>
  </si>
  <si>
    <t>codium-ai</t>
  </si>
  <si>
    <t>cognex-insight-discovery</t>
  </si>
  <si>
    <t>cognex-insight-explorer</t>
  </si>
  <si>
    <t>cohere.ai</t>
  </si>
  <si>
    <t>cohere.ai-base</t>
  </si>
  <si>
    <t>cohere.ai-delete</t>
  </si>
  <si>
    <t>cohere.ai-upload</t>
  </si>
  <si>
    <t>cohesity</t>
  </si>
  <si>
    <t>coinbase</t>
  </si>
  <si>
    <t>coinhave</t>
  </si>
  <si>
    <t>coinhive</t>
  </si>
  <si>
    <t>coinimp</t>
  </si>
  <si>
    <t>coinnebula</t>
  </si>
  <si>
    <t>collectd</t>
  </si>
  <si>
    <t>comcast-webmail</t>
  </si>
  <si>
    <t>commvault</t>
  </si>
  <si>
    <t>comodo-itsm</t>
  </si>
  <si>
    <t>compaq-peer</t>
  </si>
  <si>
    <t>compass</t>
  </si>
  <si>
    <t>computrace</t>
  </si>
  <si>
    <t>compx-lockview</t>
  </si>
  <si>
    <t>concur</t>
  </si>
  <si>
    <t>concur-base</t>
  </si>
  <si>
    <t>concur-downloading</t>
  </si>
  <si>
    <t>concur-editing</t>
  </si>
  <si>
    <t>concur-uploading</t>
  </si>
  <si>
    <t>condor</t>
  </si>
  <si>
    <t>confluence</t>
  </si>
  <si>
    <t>confluence-atlassian-intel</t>
  </si>
  <si>
    <t>confluence-base</t>
  </si>
  <si>
    <t>confluence-downloading</t>
  </si>
  <si>
    <t>confluence-editing</t>
  </si>
  <si>
    <t>confluence-posting</t>
  </si>
  <si>
    <t>confluence-sharing</t>
  </si>
  <si>
    <t>confluence-uploading</t>
  </si>
  <si>
    <t>confluent</t>
  </si>
  <si>
    <t>constant-contact</t>
  </si>
  <si>
    <t>continue</t>
  </si>
  <si>
    <t>control-m</t>
  </si>
  <si>
    <t>controledge-builder</t>
  </si>
  <si>
    <t>controledge-builder-discovery</t>
  </si>
  <si>
    <t>convo</t>
  </si>
  <si>
    <t>convo-base</t>
  </si>
  <si>
    <t>convo-chat</t>
  </si>
  <si>
    <t>convo-uploading</t>
  </si>
  <si>
    <t>convoq</t>
  </si>
  <si>
    <t>conx-meeting</t>
  </si>
  <si>
    <t>cooltalk</t>
  </si>
  <si>
    <t>copy.ai</t>
  </si>
  <si>
    <t>copy.ai-base</t>
  </si>
  <si>
    <t>copy.ai-copy</t>
  </si>
  <si>
    <t>copy.ai-create</t>
  </si>
  <si>
    <t>copy.ai-delete</t>
  </si>
  <si>
    <t>copy.ai-edit</t>
  </si>
  <si>
    <t>copy.ai-move</t>
  </si>
  <si>
    <t>copy.ai-post</t>
  </si>
  <si>
    <t>copy.ai-share</t>
  </si>
  <si>
    <t>copysmith</t>
  </si>
  <si>
    <t>coralcdn-user</t>
  </si>
  <si>
    <t>corba</t>
  </si>
  <si>
    <t>cortex-xdr</t>
  </si>
  <si>
    <t>cortex-xdr-agent-scan</t>
  </si>
  <si>
    <t>cotap</t>
  </si>
  <si>
    <t>cotp</t>
  </si>
  <si>
    <t>couchbase-server</t>
  </si>
  <si>
    <t>coveo</t>
  </si>
  <si>
    <t>coveo-base</t>
  </si>
  <si>
    <t>coveo-delete</t>
  </si>
  <si>
    <t>coveo-download</t>
  </si>
  <si>
    <t>coveo-logout</t>
  </si>
  <si>
    <t>coveo-share</t>
  </si>
  <si>
    <t>coveo-upload</t>
  </si>
  <si>
    <t>coverity</t>
  </si>
  <si>
    <t>cox-webmail</t>
  </si>
  <si>
    <t>cphb</t>
  </si>
  <si>
    <t>cpnx</t>
  </si>
  <si>
    <t>cpolar</t>
  </si>
  <si>
    <t>cpq-wbem</t>
  </si>
  <si>
    <t>crashplan</t>
  </si>
  <si>
    <t>crave</t>
  </si>
  <si>
    <t>creo-model-manager</t>
  </si>
  <si>
    <t>crestron-cip</t>
  </si>
  <si>
    <t>crewai</t>
  </si>
  <si>
    <t>crossloop</t>
  </si>
  <si>
    <t>crowdsignal</t>
  </si>
  <si>
    <t>crowdsignal-base</t>
  </si>
  <si>
    <t>crowdsignal-uploading</t>
  </si>
  <si>
    <t>crowdstrike</t>
  </si>
  <si>
    <t>crtp</t>
  </si>
  <si>
    <t>crucible</t>
  </si>
  <si>
    <t>crudp</t>
  </si>
  <si>
    <t>crypto-loot</t>
  </si>
  <si>
    <t>cryptocat</t>
  </si>
  <si>
    <t>ctc-binary-protocol</t>
  </si>
  <si>
    <t>cti-camp</t>
  </si>
  <si>
    <t>cti-camp-base</t>
  </si>
  <si>
    <t>cti-camp-command-error</t>
  </si>
  <si>
    <t>cti-camp-memory-exchange</t>
  </si>
  <si>
    <t>cti-camp-protocol-error</t>
  </si>
  <si>
    <t>cti-camp-read-data</t>
  </si>
  <si>
    <t>cti-camp-task-code-message</t>
  </si>
  <si>
    <t>cti-camp-write-data</t>
  </si>
  <si>
    <t>cubby</t>
  </si>
  <si>
    <t>cubrid</t>
  </si>
  <si>
    <t>cups</t>
  </si>
  <si>
    <t>cvs</t>
  </si>
  <si>
    <t>cvsup</t>
  </si>
  <si>
    <t>cyber-ark-vault</t>
  </si>
  <si>
    <t>cyberghost-vpn</t>
  </si>
  <si>
    <t>cygnet-scada</t>
  </si>
  <si>
    <t>cylance</t>
  </si>
  <si>
    <t>cyph</t>
  </si>
  <si>
    <t>cyph-audio-video</t>
  </si>
  <si>
    <t>cyph-base</t>
  </si>
  <si>
    <t>cyph-file-transfer</t>
  </si>
  <si>
    <t>cyworld</t>
  </si>
  <si>
    <t>d2d-data-transfer</t>
  </si>
  <si>
    <t>daap</t>
  </si>
  <si>
    <t>dabbledb</t>
  </si>
  <si>
    <t>dahua-p2p</t>
  </si>
  <si>
    <t>dailymotion</t>
  </si>
  <si>
    <t>dameware-mini-remote</t>
  </si>
  <si>
    <t>dapulse</t>
  </si>
  <si>
    <t>data-bin</t>
  </si>
  <si>
    <t>datadog</t>
  </si>
  <si>
    <t>datagame</t>
  </si>
  <si>
    <t>datagame-base</t>
  </si>
  <si>
    <t>datagame-uploading</t>
  </si>
  <si>
    <t>datto-backupify</t>
  </si>
  <si>
    <t>daum</t>
  </si>
  <si>
    <t>daum-blog-posting</t>
  </si>
  <si>
    <t>daum-cafe-posting</t>
  </si>
  <si>
    <t>daum-cloud</t>
  </si>
  <si>
    <t>daum-mail</t>
  </si>
  <si>
    <t>daum-mypeople</t>
  </si>
  <si>
    <t>daum-touch</t>
  </si>
  <si>
    <t>daum-tvpot</t>
  </si>
  <si>
    <t>daytime</t>
  </si>
  <si>
    <t>dazhihui</t>
  </si>
  <si>
    <t>db2</t>
  </si>
  <si>
    <t>dc-universe-online</t>
  </si>
  <si>
    <t>dcc-antispam</t>
  </si>
  <si>
    <t>dccp</t>
  </si>
  <si>
    <t>dcinside</t>
  </si>
  <si>
    <t>dcinside-base</t>
  </si>
  <si>
    <t>dcinside-posting</t>
  </si>
  <si>
    <t>dclink</t>
  </si>
  <si>
    <t>dcn-meas</t>
  </si>
  <si>
    <t>ddp</t>
  </si>
  <si>
    <t>ddx</t>
  </si>
  <si>
    <t>dealio-toolbar</t>
  </si>
  <si>
    <t>deepl</t>
  </si>
  <si>
    <t>deepl-base</t>
  </si>
  <si>
    <t>deepl-translator</t>
  </si>
  <si>
    <t>deepl-translator-delete</t>
  </si>
  <si>
    <t>deepl-translator-download</t>
  </si>
  <si>
    <t>deepl-translator-edit</t>
  </si>
  <si>
    <t>deepl-translator-upload</t>
  </si>
  <si>
    <t>deepl-write</t>
  </si>
  <si>
    <t>deeplink-cloud</t>
  </si>
  <si>
    <t>deepminer</t>
  </si>
  <si>
    <t>deepseek-api</t>
  </si>
  <si>
    <t>deepseek-chat</t>
  </si>
  <si>
    <t>deepseek-platform</t>
  </si>
  <si>
    <t>deezer</t>
  </si>
  <si>
    <t>dell-drac</t>
  </si>
  <si>
    <t>dell-update</t>
  </si>
  <si>
    <t>dell-wyse-device-manager</t>
  </si>
  <si>
    <t>delta-dcisoft-discovery</t>
  </si>
  <si>
    <t>delta-hmi</t>
  </si>
  <si>
    <t>delta-hmi-discovery</t>
  </si>
  <si>
    <t>demonsaw</t>
  </si>
  <si>
    <t>depositfiles</t>
  </si>
  <si>
    <t>deskmetrics</t>
  </si>
  <si>
    <t>desknets</t>
  </si>
  <si>
    <t>deskshare</t>
  </si>
  <si>
    <t>desktop-central</t>
  </si>
  <si>
    <t>desktoptwo</t>
  </si>
  <si>
    <t>desoutter-cvi</t>
  </si>
  <si>
    <t>df1</t>
  </si>
  <si>
    <t>df1-base</t>
  </si>
  <si>
    <t>df1-bit-write</t>
  </si>
  <si>
    <t>df1-close-file</t>
  </si>
  <si>
    <t>df1-diagnostic-status</t>
  </si>
  <si>
    <t>df1-disable-forces</t>
  </si>
  <si>
    <t>df1-disable-outputs</t>
  </si>
  <si>
    <t>df1-download-all-request</t>
  </si>
  <si>
    <t>df1-download-completed</t>
  </si>
  <si>
    <t>df1-download-request</t>
  </si>
  <si>
    <t>df1-echo</t>
  </si>
  <si>
    <t>df1-enable-outputs</t>
  </si>
  <si>
    <t>df1-enable-plc-scanning</t>
  </si>
  <si>
    <t>df1-enter-download-mode</t>
  </si>
  <si>
    <t>df1-enter-upload-mode</t>
  </si>
  <si>
    <t>df1-exit-download-upload-mode</t>
  </si>
  <si>
    <t>df1-file-read</t>
  </si>
  <si>
    <t>df1-file-write</t>
  </si>
  <si>
    <t>df1-initialize-memory</t>
  </si>
  <si>
    <t>df1-modify-plc2-compati-file</t>
  </si>
  <si>
    <t>df1-open-file</t>
  </si>
  <si>
    <t>df1-physical-read-plc-3</t>
  </si>
  <si>
    <t>df1-physical-write-plc-3</t>
  </si>
  <si>
    <t>df1-pro-typed-read-3addr</t>
  </si>
  <si>
    <t>df1-pro-typed-write-3addr</t>
  </si>
  <si>
    <t>df1-protected-typed-file-read</t>
  </si>
  <si>
    <t>df1-protected-typed-file-write</t>
  </si>
  <si>
    <t>df1-read-bytes-physical</t>
  </si>
  <si>
    <t>df1-read-diagnostic-counters</t>
  </si>
  <si>
    <t>df1-read-link-parameters</t>
  </si>
  <si>
    <t>df1-read-modify-write</t>
  </si>
  <si>
    <t>df1-read-modify-write-n</t>
  </si>
  <si>
    <t>df1-read-section-size</t>
  </si>
  <si>
    <t>df1-reset-diagnostic-counters</t>
  </si>
  <si>
    <t>df1-restart-request</t>
  </si>
  <si>
    <t>df1-set-cpu-mode</t>
  </si>
  <si>
    <t>df1-set-data-table-size</t>
  </si>
  <si>
    <t>df1-set-enqs</t>
  </si>
  <si>
    <t>df1-set-link-parameters</t>
  </si>
  <si>
    <t>df1-set-naks</t>
  </si>
  <si>
    <t>df1-set-timeout</t>
  </si>
  <si>
    <t>df1-set-variables</t>
  </si>
  <si>
    <t>df1-shutdown</t>
  </si>
  <si>
    <t>df1-typed-read</t>
  </si>
  <si>
    <t>df1-typed-write</t>
  </si>
  <si>
    <t>df1-upload</t>
  </si>
  <si>
    <t>df1-upload-all-request</t>
  </si>
  <si>
    <t>df1-upload-completed</t>
  </si>
  <si>
    <t>df1-word-range-read</t>
  </si>
  <si>
    <t>df1-word-range-write</t>
  </si>
  <si>
    <t>df1-write-bytes-physical</t>
  </si>
  <si>
    <t>dfs</t>
  </si>
  <si>
    <t>dgp</t>
  </si>
  <si>
    <t>dhcp</t>
  </si>
  <si>
    <t>dhcpv6</t>
  </si>
  <si>
    <t>dhl-easylog</t>
  </si>
  <si>
    <t>dialpad</t>
  </si>
  <si>
    <t>diameter</t>
  </si>
  <si>
    <t>diameter-base</t>
  </si>
  <si>
    <t>diameter-over-sctp</t>
  </si>
  <si>
    <t>dicom</t>
  </si>
  <si>
    <t>digg-posting</t>
  </si>
  <si>
    <t>diino</t>
  </si>
  <si>
    <t>dimdim</t>
  </si>
  <si>
    <t>dingtalk</t>
  </si>
  <si>
    <t>dingtalk-base</t>
  </si>
  <si>
    <t>dingtalk-file-transfer</t>
  </si>
  <si>
    <t>diodeo</t>
  </si>
  <si>
    <t>direct-connect</t>
  </si>
  <si>
    <t>directv</t>
  </si>
  <si>
    <t>ieee-1278-dis</t>
  </si>
  <si>
    <t>dis-receiver</t>
  </si>
  <si>
    <t>dis-signal</t>
  </si>
  <si>
    <t>dis-signal-afiwc-iads-comm-link</t>
  </si>
  <si>
    <t>dis-signal-asterix</t>
  </si>
  <si>
    <t>dis-signal-cursor-on-target</t>
  </si>
  <si>
    <t>dis-signal-enhanced-sincgars</t>
  </si>
  <si>
    <t>dis-signal-f22-ifdl</t>
  </si>
  <si>
    <t>dis-signal-f35-madl</t>
  </si>
  <si>
    <t>dis-signal-l-band-satcom</t>
  </si>
  <si>
    <t>dis-signal-link-16-edr</t>
  </si>
  <si>
    <t>dis-signal-link-16-std-fmt</t>
  </si>
  <si>
    <t>dis-signal-link-22</t>
  </si>
  <si>
    <t>dis-signal-net-data-load</t>
  </si>
  <si>
    <t>dis-signal-tsaf-comm-link</t>
  </si>
  <si>
    <t>dis-transmitter</t>
  </si>
  <si>
    <t>dis-transmitter-data-link</t>
  </si>
  <si>
    <t>dis-transmitter-dme</t>
  </si>
  <si>
    <t>dis-transmitter-eplrs-sadl-trm</t>
  </si>
  <si>
    <t>dis-transmitter-f22-ifdl</t>
  </si>
  <si>
    <t>dis-transmitter-f35-madl</t>
  </si>
  <si>
    <t>dis-transmitter-gps</t>
  </si>
  <si>
    <t>dis-transmitter-ibs-terminal</t>
  </si>
  <si>
    <t>dis-transmitter-ils-glideslope</t>
  </si>
  <si>
    <t>dis-transmitter-ils-imb</t>
  </si>
  <si>
    <t>dis-transmitter-ils-localizer</t>
  </si>
  <si>
    <t>dis-transmitter-ils-middle-mrkr</t>
  </si>
  <si>
    <t>dis-transmitter-ils-outer-mrkr</t>
  </si>
  <si>
    <t>dis-transmitter-ils-receiver</t>
  </si>
  <si>
    <t>dis-transmitter-l-band-satcom</t>
  </si>
  <si>
    <t>dis-transmitter-link-11-term</t>
  </si>
  <si>
    <t>dis-transmitter-link-11b-term</t>
  </si>
  <si>
    <t>dis-transmitter-link-16-term</t>
  </si>
  <si>
    <t>dis-transmitter-ndb-dme</t>
  </si>
  <si>
    <t>dis-transmitter-ndb-receiver</t>
  </si>
  <si>
    <t>dis-transmitter-ndb-trans</t>
  </si>
  <si>
    <t>dis-transmitter-other</t>
  </si>
  <si>
    <t>dis-transmitter-sincgars-term</t>
  </si>
  <si>
    <t>dis-transmitter-tacan-receiver</t>
  </si>
  <si>
    <t>dis-transmitter-tacan-trans</t>
  </si>
  <si>
    <t>dis-transmitter-tacan-trans-rcv</t>
  </si>
  <si>
    <t>dis-transmitter-voice</t>
  </si>
  <si>
    <t>dis-transmitter-voice-data-link</t>
  </si>
  <si>
    <t>dis-transmitter-vor-dme</t>
  </si>
  <si>
    <t>dis-transmitter-vor-ils-rcvr</t>
  </si>
  <si>
    <t>dis-transmitter-vor-trans</t>
  </si>
  <si>
    <t>dis-transmitter-vortac-trans</t>
  </si>
  <si>
    <t>ieee-1278-dis-base</t>
  </si>
  <si>
    <t>discard</t>
  </si>
  <si>
    <t>disco</t>
  </si>
  <si>
    <t>discord</t>
  </si>
  <si>
    <t>disneyplus</t>
  </si>
  <si>
    <t>disqus</t>
  </si>
  <si>
    <t>distcc</t>
  </si>
  <si>
    <t>divshare</t>
  </si>
  <si>
    <t>dl-free</t>
  </si>
  <si>
    <t>dlms</t>
  </si>
  <si>
    <t>dlms-base</t>
  </si>
  <si>
    <t>dlms-get-request</t>
  </si>
  <si>
    <t>dlms-get-response</t>
  </si>
  <si>
    <t>dlms-init-req-high-level-auth</t>
  </si>
  <si>
    <t>dlms-init-req-low-level-auth</t>
  </si>
  <si>
    <t>dlms-init-req-no-auth</t>
  </si>
  <si>
    <t>dlms-init-response</t>
  </si>
  <si>
    <t>dlms-set-request</t>
  </si>
  <si>
    <t>dlms-set-response</t>
  </si>
  <si>
    <t>dnf</t>
  </si>
  <si>
    <t>dnp3</t>
  </si>
  <si>
    <t>dnp3-abort-file</t>
  </si>
  <si>
    <t>dnp3-assign-class</t>
  </si>
  <si>
    <t>dnp3-authenticate-file</t>
  </si>
  <si>
    <t>dnp3-base</t>
  </si>
  <si>
    <t>dnp3-close-file</t>
  </si>
  <si>
    <t>dnp3-cold-restart</t>
  </si>
  <si>
    <t>dnp3-confirm</t>
  </si>
  <si>
    <t>dnp3-delay-measurement</t>
  </si>
  <si>
    <t>dnp3-delete-file</t>
  </si>
  <si>
    <t>dnp3-direct-operate</t>
  </si>
  <si>
    <t>dnp3-direct-operate-no-resp</t>
  </si>
  <si>
    <t>dnp3-disable-unsolicited</t>
  </si>
  <si>
    <t>dnp3-enable-unsolicited</t>
  </si>
  <si>
    <t>dnp3-freeze</t>
  </si>
  <si>
    <t>dnp3-freeze-at-time</t>
  </si>
  <si>
    <t>dnp3-freeze-at-time-no-resp</t>
  </si>
  <si>
    <t>dnp3-freeze-clear</t>
  </si>
  <si>
    <t>dnp3-freeze-clear-no-resp</t>
  </si>
  <si>
    <t>dnp3-freeze-no-resp</t>
  </si>
  <si>
    <t>dnp3-get-file-information</t>
  </si>
  <si>
    <t>dnp3-initialize-application</t>
  </si>
  <si>
    <t>dnp3-initialize-data</t>
  </si>
  <si>
    <t>dnp3-open-file</t>
  </si>
  <si>
    <t>dnp3-operate</t>
  </si>
  <si>
    <t>dnp3-read</t>
  </si>
  <si>
    <t>dnp3-record-current-time</t>
  </si>
  <si>
    <t>dnp3-save-configuration</t>
  </si>
  <si>
    <t>dnp3-select</t>
  </si>
  <si>
    <t>dnp3-start-application</t>
  </si>
  <si>
    <t>dnp3-stop-application</t>
  </si>
  <si>
    <t>dnp3-unsolicited-message</t>
  </si>
  <si>
    <t>dnp3-warm-restart</t>
  </si>
  <si>
    <t>dnp3-write</t>
  </si>
  <si>
    <t>dns-base</t>
  </si>
  <si>
    <t>dns-non-rfc</t>
  </si>
  <si>
    <t>dns-over-https</t>
  </si>
  <si>
    <t>dns-over-tls</t>
  </si>
  <si>
    <t>dnscrypt</t>
  </si>
  <si>
    <t>dobimigrate</t>
  </si>
  <si>
    <t>dochub</t>
  </si>
  <si>
    <t>dochub-base</t>
  </si>
  <si>
    <t>dochub-uploading</t>
  </si>
  <si>
    <t>docsend</t>
  </si>
  <si>
    <t>docstoc</t>
  </si>
  <si>
    <t>docstoc-base</t>
  </si>
  <si>
    <t>docstoc-uploading</t>
  </si>
  <si>
    <t>docusign</t>
  </si>
  <si>
    <t>docusign-base</t>
  </si>
  <si>
    <t>docusign-consumer-access</t>
  </si>
  <si>
    <t>docusign-create</t>
  </si>
  <si>
    <t>docusign-delete</t>
  </si>
  <si>
    <t>docusign-downloading</t>
  </si>
  <si>
    <t>docusign-editing</t>
  </si>
  <si>
    <t>docusign-enterprise-access</t>
  </si>
  <si>
    <t>docusign-uploading</t>
  </si>
  <si>
    <t>docuware</t>
  </si>
  <si>
    <t>dontcensorme</t>
  </si>
  <si>
    <t>doof</t>
  </si>
  <si>
    <t>doshow</t>
  </si>
  <si>
    <t>dostupest</t>
  </si>
  <si>
    <t>dotmac</t>
  </si>
  <si>
    <t>dotvpn</t>
  </si>
  <si>
    <t>double-take-availability</t>
  </si>
  <si>
    <t>draeger-pm</t>
  </si>
  <si>
    <t>draugiem</t>
  </si>
  <si>
    <t>draw.io</t>
  </si>
  <si>
    <t>draw.io-base</t>
  </si>
  <si>
    <t>draw.io-cloud</t>
  </si>
  <si>
    <t>drda</t>
  </si>
  <si>
    <t>drivehq</t>
  </si>
  <si>
    <t>droidvpn</t>
  </si>
  <si>
    <t>drop.io</t>
  </si>
  <si>
    <t>dropboks</t>
  </si>
  <si>
    <t>dropbox</t>
  </si>
  <si>
    <t>dropbox-admin-console</t>
  </si>
  <si>
    <t>dropbox-admin-console-delete</t>
  </si>
  <si>
    <t>dropbox-base</t>
  </si>
  <si>
    <t>dropbox-delete</t>
  </si>
  <si>
    <t>dropbox-downloading</t>
  </si>
  <si>
    <t>dropbox-editing</t>
  </si>
  <si>
    <t>dropbox-invite</t>
  </si>
  <si>
    <t>dropbox-lansync-discovery</t>
  </si>
  <si>
    <t>dropbox-paper</t>
  </si>
  <si>
    <t>dropbox-personal-uploading</t>
  </si>
  <si>
    <t>dropbox-posting</t>
  </si>
  <si>
    <t>dropbox-sharing</t>
  </si>
  <si>
    <t>dropbox-unshare</t>
  </si>
  <si>
    <t>dropbox-uploading</t>
  </si>
  <si>
    <t>dropcam</t>
  </si>
  <si>
    <t>droplr</t>
  </si>
  <si>
    <t>droplr-base</t>
  </si>
  <si>
    <t>droplr-uploading</t>
  </si>
  <si>
    <t>dropsend</t>
  </si>
  <si>
    <t>druva-insync</t>
  </si>
  <si>
    <t>druva-phoenix</t>
  </si>
  <si>
    <t>dsr</t>
  </si>
  <si>
    <t>dstv</t>
  </si>
  <si>
    <t>dtls</t>
  </si>
  <si>
    <t>duosecurity</t>
  </si>
  <si>
    <t>dust</t>
  </si>
  <si>
    <t>dws-remote-control</t>
  </si>
  <si>
    <t>dynamicintranet</t>
  </si>
  <si>
    <t>dynatrace-app-monitoring</t>
  </si>
  <si>
    <t>e-signlive</t>
  </si>
  <si>
    <t>ea-fifa</t>
  </si>
  <si>
    <t>earthcam</t>
  </si>
  <si>
    <t>easy-share</t>
  </si>
  <si>
    <t>eatlime</t>
  </si>
  <si>
    <t>ebay-desktop</t>
  </si>
  <si>
    <t>ebuddy</t>
  </si>
  <si>
    <t>echo</t>
  </si>
  <si>
    <t>echonet-lite</t>
  </si>
  <si>
    <t>echonet-lite-ac</t>
  </si>
  <si>
    <t>echonet-lite-ac-get</t>
  </si>
  <si>
    <t>echonet-lite-ac-get-res</t>
  </si>
  <si>
    <t>echonet-lite-ac-get-sna</t>
  </si>
  <si>
    <t>echonet-lite-ac-inf</t>
  </si>
  <si>
    <t>echonet-lite-ac-inf-req</t>
  </si>
  <si>
    <t>echonet-lite-ac-inf-sna</t>
  </si>
  <si>
    <t>echonet-lite-ac-infc</t>
  </si>
  <si>
    <t>echonet-lite-ac-infc-res</t>
  </si>
  <si>
    <t>echonet-lite-ac-set-res</t>
  </si>
  <si>
    <t>echonet-lite-ac-setc</t>
  </si>
  <si>
    <t>echonet-lite-ac-setc-sna</t>
  </si>
  <si>
    <t>echonet-lite-ac-setget</t>
  </si>
  <si>
    <t>echonet-lite-ac-setget-res</t>
  </si>
  <si>
    <t>echonet-lite-ac-setget-sna</t>
  </si>
  <si>
    <t>echonet-lite-ac-seti</t>
  </si>
  <si>
    <t>echonet-lite-ac-seti-sna</t>
  </si>
  <si>
    <t>echonet-lite-arbitrary</t>
  </si>
  <si>
    <t>echonet-lite-av</t>
  </si>
  <si>
    <t>echonet-lite-av-get</t>
  </si>
  <si>
    <t>echonet-lite-av-get-res</t>
  </si>
  <si>
    <t>echonet-lite-av-get-sna</t>
  </si>
  <si>
    <t>echonet-lite-av-inf</t>
  </si>
  <si>
    <t>echonet-lite-av-inf-req</t>
  </si>
  <si>
    <t>echonet-lite-av-inf-sna</t>
  </si>
  <si>
    <t>echonet-lite-av-infc</t>
  </si>
  <si>
    <t>echonet-lite-av-infc-res</t>
  </si>
  <si>
    <t>echonet-lite-av-set-res</t>
  </si>
  <si>
    <t>echonet-lite-av-setc</t>
  </si>
  <si>
    <t>echonet-lite-av-setc-sna</t>
  </si>
  <si>
    <t>echonet-lite-av-setget</t>
  </si>
  <si>
    <t>echonet-lite-av-setget-res</t>
  </si>
  <si>
    <t>echonet-lite-av-setget-sna</t>
  </si>
  <si>
    <t>echonet-lite-av-seti</t>
  </si>
  <si>
    <t>echonet-lite-av-seti-sna</t>
  </si>
  <si>
    <t>echonet-lite-base</t>
  </si>
  <si>
    <t>echonet-lite-control</t>
  </si>
  <si>
    <t>echonet-lite-control-get</t>
  </si>
  <si>
    <t>echonet-lite-control-get-res</t>
  </si>
  <si>
    <t>echonet-lite-control-get-sna</t>
  </si>
  <si>
    <t>echonet-lite-control-inf</t>
  </si>
  <si>
    <t>echonet-lite-control-inf-req</t>
  </si>
  <si>
    <t>echonet-lite-control-inf-sna</t>
  </si>
  <si>
    <t>echonet-lite-control-infc</t>
  </si>
  <si>
    <t>echonet-lite-control-infc-res</t>
  </si>
  <si>
    <t>echonet-lite-control-set-res</t>
  </si>
  <si>
    <t>echonet-lite-control-setc</t>
  </si>
  <si>
    <t>echonet-lite-control-setc-sna</t>
  </si>
  <si>
    <t>echonet-lite-control-setget</t>
  </si>
  <si>
    <t>echonet-lite-control-setget-res</t>
  </si>
  <si>
    <t>echonet-lite-control-setget-sna</t>
  </si>
  <si>
    <t>echonet-lite-control-seti</t>
  </si>
  <si>
    <t>echonet-lite-control-seti-sna</t>
  </si>
  <si>
    <t>echonet-lite-cooking</t>
  </si>
  <si>
    <t>echonet-lite-cooking-get</t>
  </si>
  <si>
    <t>echonet-lite-cooking-get-res</t>
  </si>
  <si>
    <t>echonet-lite-cooking-get-sna</t>
  </si>
  <si>
    <t>echonet-lite-cooking-inf</t>
  </si>
  <si>
    <t>echonet-lite-cooking-inf-req</t>
  </si>
  <si>
    <t>echonet-lite-cooking-inf-sna</t>
  </si>
  <si>
    <t>echonet-lite-cooking-infc</t>
  </si>
  <si>
    <t>echonet-lite-cooking-infc-res</t>
  </si>
  <si>
    <t>echonet-lite-cooking-set-res</t>
  </si>
  <si>
    <t>echonet-lite-cooking-setc</t>
  </si>
  <si>
    <t>echonet-lite-cooking-setc-sna</t>
  </si>
  <si>
    <t>echonet-lite-cooking-setget</t>
  </si>
  <si>
    <t>echonet-lite-cooking-setget-res</t>
  </si>
  <si>
    <t>echonet-lite-cooking-setget-sna</t>
  </si>
  <si>
    <t>echonet-lite-cooking-seti</t>
  </si>
  <si>
    <t>echonet-lite-cooking-seti-sna</t>
  </si>
  <si>
    <t>echonet-lite-health</t>
  </si>
  <si>
    <t>echonet-lite-health-get</t>
  </si>
  <si>
    <t>echonet-lite-health-get-res</t>
  </si>
  <si>
    <t>echonet-lite-health-get-sna</t>
  </si>
  <si>
    <t>echonet-lite-health-inf</t>
  </si>
  <si>
    <t>echonet-lite-health-inf-req</t>
  </si>
  <si>
    <t>echonet-lite-health-inf-sna</t>
  </si>
  <si>
    <t>echonet-lite-health-infc</t>
  </si>
  <si>
    <t>echonet-lite-health-infc-res</t>
  </si>
  <si>
    <t>echonet-lite-health-set-res</t>
  </si>
  <si>
    <t>echonet-lite-health-setc</t>
  </si>
  <si>
    <t>echonet-lite-health-setc-sna</t>
  </si>
  <si>
    <t>echonet-lite-health-setget</t>
  </si>
  <si>
    <t>echonet-lite-health-setget-res</t>
  </si>
  <si>
    <t>echonet-lite-health-setget-sna</t>
  </si>
  <si>
    <t>echonet-lite-health-seti</t>
  </si>
  <si>
    <t>echonet-lite-health-seti-sna</t>
  </si>
  <si>
    <t>echonet-lite-housing</t>
  </si>
  <si>
    <t>echonet-lite-housing-get</t>
  </si>
  <si>
    <t>echonet-lite-housing-get-res</t>
  </si>
  <si>
    <t>echonet-lite-housing-get-sna</t>
  </si>
  <si>
    <t>echonet-lite-housing-inf</t>
  </si>
  <si>
    <t>echonet-lite-housing-inf-req</t>
  </si>
  <si>
    <t>echonet-lite-housing-inf-sna</t>
  </si>
  <si>
    <t>echonet-lite-housing-infc</t>
  </si>
  <si>
    <t>echonet-lite-housing-infc-res</t>
  </si>
  <si>
    <t>echonet-lite-housing-set-res</t>
  </si>
  <si>
    <t>echonet-lite-housing-setc</t>
  </si>
  <si>
    <t>echonet-lite-housing-setc-sna</t>
  </si>
  <si>
    <t>echonet-lite-housing-setget</t>
  </si>
  <si>
    <t>echonet-lite-housing-setget-res</t>
  </si>
  <si>
    <t>echonet-lite-housing-setget-sna</t>
  </si>
  <si>
    <t>echonet-lite-housing-seti</t>
  </si>
  <si>
    <t>echonet-lite-housing-seti-sna</t>
  </si>
  <si>
    <t>echonet-lite-profile</t>
  </si>
  <si>
    <t>echonet-lite-profile-get</t>
  </si>
  <si>
    <t>echonet-lite-profile-get-res</t>
  </si>
  <si>
    <t>echonet-lite-profile-get-sna</t>
  </si>
  <si>
    <t>echonet-lite-profile-inf</t>
  </si>
  <si>
    <t>echonet-lite-profile-inf-req</t>
  </si>
  <si>
    <t>echonet-lite-profile-inf-sna</t>
  </si>
  <si>
    <t>echonet-lite-profile-infc</t>
  </si>
  <si>
    <t>echonet-lite-profile-infc-res</t>
  </si>
  <si>
    <t>echonet-lite-profile-set-res</t>
  </si>
  <si>
    <t>echonet-lite-profile-setc</t>
  </si>
  <si>
    <t>echonet-lite-profile-setc-sna</t>
  </si>
  <si>
    <t>echonet-lite-profile-setget</t>
  </si>
  <si>
    <t>echonet-lite-profile-setget-res</t>
  </si>
  <si>
    <t>echonet-lite-profile-setget-sna</t>
  </si>
  <si>
    <t>echonet-lite-profile-seti</t>
  </si>
  <si>
    <t>echonet-lite-profile-seti-sna</t>
  </si>
  <si>
    <t>echonet-lite-sensor</t>
  </si>
  <si>
    <t>echonet-lite-sensor-get</t>
  </si>
  <si>
    <t>echonet-lite-sensor-get-res</t>
  </si>
  <si>
    <t>echonet-lite-sensor-get-sna</t>
  </si>
  <si>
    <t>echonet-lite-sensor-inf</t>
  </si>
  <si>
    <t>echonet-lite-sensor-inf-req</t>
  </si>
  <si>
    <t>echonet-lite-sensor-inf-sna</t>
  </si>
  <si>
    <t>echonet-lite-sensor-infc</t>
  </si>
  <si>
    <t>echonet-lite-sensor-infc-res</t>
  </si>
  <si>
    <t>echonet-lite-sensor-set-res</t>
  </si>
  <si>
    <t>echonet-lite-sensor-setc</t>
  </si>
  <si>
    <t>echonet-lite-sensor-setc-sna</t>
  </si>
  <si>
    <t>echonet-lite-sensor-setget</t>
  </si>
  <si>
    <t>echonet-lite-sensor-setget-res</t>
  </si>
  <si>
    <t>echonet-lite-sensor-setget-sna</t>
  </si>
  <si>
    <t>echonet-lite-sensor-seti</t>
  </si>
  <si>
    <t>echonet-lite-sensor-seti-sna</t>
  </si>
  <si>
    <t>echonet-lite-specified</t>
  </si>
  <si>
    <t>echoware</t>
  </si>
  <si>
    <t>ecmwf-mars</t>
  </si>
  <si>
    <t>ecount-erp</t>
  </si>
  <si>
    <t>ed137</t>
  </si>
  <si>
    <t>ed137-base</t>
  </si>
  <si>
    <t>ed137-ptt-off-squ-off</t>
  </si>
  <si>
    <t>ed137-ptt-off-squ-on</t>
  </si>
  <si>
    <t>ed137-ptt-on-squ-off</t>
  </si>
  <si>
    <t>ed137-ptt-on-squ-on</t>
  </si>
  <si>
    <t>editgrid</t>
  </si>
  <si>
    <t>efolder</t>
  </si>
  <si>
    <t>efriend</t>
  </si>
  <si>
    <t>egloos-blog-posting</t>
  </si>
  <si>
    <t>egnyte</t>
  </si>
  <si>
    <t>egnyte-base</t>
  </si>
  <si>
    <t>egnyte-copy</t>
  </si>
  <si>
    <t>egnyte-create</t>
  </si>
  <si>
    <t>egnyte-delete</t>
  </si>
  <si>
    <t>egnyte-downloading</t>
  </si>
  <si>
    <t>egnyte-editing</t>
  </si>
  <si>
    <t>egnyte-invite</t>
  </si>
  <si>
    <t>egnyte-move</t>
  </si>
  <si>
    <t>egnyte-posting</t>
  </si>
  <si>
    <t>egnyte-sharing</t>
  </si>
  <si>
    <t>egnyte-uploading</t>
  </si>
  <si>
    <t>egp</t>
  </si>
  <si>
    <t>eigrp</t>
  </si>
  <si>
    <t>eiq-sec-analyzer</t>
  </si>
  <si>
    <t>eklogin</t>
  </si>
  <si>
    <t>elaiapp</t>
  </si>
  <si>
    <t>elaiapp-base</t>
  </si>
  <si>
    <t>elaiapp-delete</t>
  </si>
  <si>
    <t>elaiapp-download</t>
  </si>
  <si>
    <t>elaiapp-upload</t>
  </si>
  <si>
    <t>elastic-search</t>
  </si>
  <si>
    <t>elcom-90</t>
  </si>
  <si>
    <t>electric-commander</t>
  </si>
  <si>
    <t>elevenlabs</t>
  </si>
  <si>
    <t>elevenlabs-base</t>
  </si>
  <si>
    <t>elevenlabs-delete</t>
  </si>
  <si>
    <t>elevenlabs-download</t>
  </si>
  <si>
    <t>elevenlabs-post</t>
  </si>
  <si>
    <t>elevenlabs-upload</t>
  </si>
  <si>
    <t>eli-link</t>
  </si>
  <si>
    <t>elluminate</t>
  </si>
  <si>
    <t>emailmeform</t>
  </si>
  <si>
    <t>emailmeform-base</t>
  </si>
  <si>
    <t>emailmeform-uploading</t>
  </si>
  <si>
    <t>emc-data-domain</t>
  </si>
  <si>
    <t>emc-documentum-webtop</t>
  </si>
  <si>
    <t>emc-networker</t>
  </si>
  <si>
    <t>emc-recoverpoint</t>
  </si>
  <si>
    <t>emc-smartpackets</t>
  </si>
  <si>
    <t>emcon</t>
  </si>
  <si>
    <t>emerson-bsap</t>
  </si>
  <si>
    <t>emerson-delta-v</t>
  </si>
  <si>
    <t>emerson-delta-v-base</t>
  </si>
  <si>
    <t>emerson-delta-v-commission</t>
  </si>
  <si>
    <t>emerson-delta-v-decommission</t>
  </si>
  <si>
    <t>emerson-ecmp</t>
  </si>
  <si>
    <t>emerson-movicon</t>
  </si>
  <si>
    <t>emule</t>
  </si>
  <si>
    <t>enalyzer</t>
  </si>
  <si>
    <t>enalyzer-base</t>
  </si>
  <si>
    <t>enalyzer-uploading</t>
  </si>
  <si>
    <t>encap</t>
  </si>
  <si>
    <t>endnote</t>
  </si>
  <si>
    <t>engineyard</t>
  </si>
  <si>
    <t>enhanced-file-transfer</t>
  </si>
  <si>
    <t>enovate-pulseconnect</t>
  </si>
  <si>
    <t>epeachtree</t>
  </si>
  <si>
    <t>epic</t>
  </si>
  <si>
    <t>epmd</t>
  </si>
  <si>
    <t>ericom-connect</t>
  </si>
  <si>
    <t>eroom-host</t>
  </si>
  <si>
    <t>eroom-net</t>
  </si>
  <si>
    <t>erpag</t>
  </si>
  <si>
    <t>eset-remote-admin</t>
  </si>
  <si>
    <t>eset-update</t>
  </si>
  <si>
    <t>esignal</t>
  </si>
  <si>
    <t>esii-terminal</t>
  </si>
  <si>
    <t>esnips</t>
  </si>
  <si>
    <t>espn-go</t>
  </si>
  <si>
    <t>estos-procall</t>
  </si>
  <si>
    <t>esurveyspro</t>
  </si>
  <si>
    <t>esurveyspro-base</t>
  </si>
  <si>
    <t>esurveyspro-uploading</t>
  </si>
  <si>
    <t>etelos-crm</t>
  </si>
  <si>
    <t>ether-s-bus</t>
  </si>
  <si>
    <t>ether-s-i-o</t>
  </si>
  <si>
    <t>ethercat</t>
  </si>
  <si>
    <t>ethercat-base</t>
  </si>
  <si>
    <t>ethercat-device-protocol</t>
  </si>
  <si>
    <t>ethercat-mailbox-data</t>
  </si>
  <si>
    <t>ethercat-process-data</t>
  </si>
  <si>
    <t>etherip</t>
  </si>
  <si>
    <t>ethernet-powerlink</t>
  </si>
  <si>
    <t>evalandgo</t>
  </si>
  <si>
    <t>evalandgo-base</t>
  </si>
  <si>
    <t>evalandgo-uploading</t>
  </si>
  <si>
    <t>evalesco-sysorb</t>
  </si>
  <si>
    <t>evault</t>
  </si>
  <si>
    <t>eve-online</t>
  </si>
  <si>
    <t>eventbrite</t>
  </si>
  <si>
    <t>evercontact</t>
  </si>
  <si>
    <t>evernote</t>
  </si>
  <si>
    <t>evernote-base</t>
  </si>
  <si>
    <t>evernote-downloading</t>
  </si>
  <si>
    <t>evernote-editing</t>
  </si>
  <si>
    <t>evernote-posting</t>
  </si>
  <si>
    <t>evernote-sharing</t>
  </si>
  <si>
    <t>evernote-uploading</t>
  </si>
  <si>
    <t>evony</t>
  </si>
  <si>
    <t>ewon-discovery</t>
  </si>
  <si>
    <t>ewon-firmware-update</t>
  </si>
  <si>
    <t>ewon-talk2m-access</t>
  </si>
  <si>
    <t>ewon-talk2m-access-client</t>
  </si>
  <si>
    <t>ewon-talk2m-access-device</t>
  </si>
  <si>
    <t>ewon-talk2m-vpn</t>
  </si>
  <si>
    <t>ewon-web-server</t>
  </si>
  <si>
    <t>exacqvision</t>
  </si>
  <si>
    <t>excel-messenger</t>
  </si>
  <si>
    <t>exor-hmi-discovery</t>
  </si>
  <si>
    <t>exor-hmi-webserver</t>
  </si>
  <si>
    <t>exp</t>
  </si>
  <si>
    <t>eyejot</t>
  </si>
  <si>
    <t>ezee-ifeedback</t>
  </si>
  <si>
    <t>ezee-ifeedback-base</t>
  </si>
  <si>
    <t>ezee-ifeedback-uploading</t>
  </si>
  <si>
    <t>ezhelp</t>
  </si>
  <si>
    <t>ezpeer</t>
  </si>
  <si>
    <t>f-secure-updater</t>
  </si>
  <si>
    <t>facebook</t>
  </si>
  <si>
    <t>facebook-apps</t>
  </si>
  <si>
    <t>facebook-base</t>
  </si>
  <si>
    <t>facebook-chat</t>
  </si>
  <si>
    <t>facebook-code</t>
  </si>
  <si>
    <t>facebook-delete</t>
  </si>
  <si>
    <t>facebook-downloading</t>
  </si>
  <si>
    <t>facebook-file-sharing</t>
  </si>
  <si>
    <t>facebook-games</t>
  </si>
  <si>
    <t>facebook-invite</t>
  </si>
  <si>
    <t>facebook-posting</t>
  </si>
  <si>
    <t>facebook-reactions</t>
  </si>
  <si>
    <t>facebook-rooms</t>
  </si>
  <si>
    <t>facebook-social-plugin</t>
  </si>
  <si>
    <t>facebook-uploading</t>
  </si>
  <si>
    <t>facebook-video</t>
  </si>
  <si>
    <t>facebook-voice</t>
  </si>
  <si>
    <t>facebook-mail</t>
  </si>
  <si>
    <t>facetime</t>
  </si>
  <si>
    <t>factorytalk-assetcentre</t>
  </si>
  <si>
    <t>factorytalk-assetcentre-agent</t>
  </si>
  <si>
    <t>factset</t>
  </si>
  <si>
    <t>fanuc-focas</t>
  </si>
  <si>
    <t>fanuc-focas-axis-names</t>
  </si>
  <si>
    <t>fanuc-focas-axis-names-absolute</t>
  </si>
  <si>
    <t>fanuc-focas-base</t>
  </si>
  <si>
    <t>fanuc-focas-ctrl-axis0-spndl1</t>
  </si>
  <si>
    <t>fanuc-focas-get-time-date</t>
  </si>
  <si>
    <t>fanuc-focas-read-act-feedrate</t>
  </si>
  <si>
    <t>fanuc-focas-read-act-spindlespd</t>
  </si>
  <si>
    <t>fanuc-focas-read-act-spndlspd-l</t>
  </si>
  <si>
    <t>fanuc-focas-read-alarm</t>
  </si>
  <si>
    <t>fanuc-focas-read-alarm-info</t>
  </si>
  <si>
    <t>fanuc-focas-read-cncparam</t>
  </si>
  <si>
    <t>fanuc-focas-read-cncparam-p3</t>
  </si>
  <si>
    <t>fanuc-focas-read-current-dir</t>
  </si>
  <si>
    <t>fanuc-focas-read-diag</t>
  </si>
  <si>
    <t>fanuc-focas-read-diag-info</t>
  </si>
  <si>
    <t>fanuc-focas-read-dir-entries</t>
  </si>
  <si>
    <t>fanuc-focas-read-dir-entry-cnt</t>
  </si>
  <si>
    <t>fanuc-focas-read-gcode</t>
  </si>
  <si>
    <t>fanuc-focas-read-gcode-30i</t>
  </si>
  <si>
    <t>fanuc-focas-read-macro</t>
  </si>
  <si>
    <t>fanuc-focas-read-macro-double</t>
  </si>
  <si>
    <t>fanuc-focas-read-main-prgm-name</t>
  </si>
  <si>
    <t>fanuc-focas-read-mdi</t>
  </si>
  <si>
    <t>fanuc-focas-read-param-info</t>
  </si>
  <si>
    <t>fanuc-focas-read-pmc</t>
  </si>
  <si>
    <t>fanuc-focas-read-position</t>
  </si>
  <si>
    <t>fanuc-focas-read-prgum-main-run</t>
  </si>
  <si>
    <t>fanuc-focas-read-seqnum</t>
  </si>
  <si>
    <t>fanuc-focas-read-signal-names</t>
  </si>
  <si>
    <t>fanuc-focas-rewind</t>
  </si>
  <si>
    <t>fanuc-focas-servo-load-max</t>
  </si>
  <si>
    <t>fanuc-focas-set-macro</t>
  </si>
  <si>
    <t>fanuc-focas-set-time-date</t>
  </si>
  <si>
    <t>fanuc-focas-spindle-names</t>
  </si>
  <si>
    <t>fanuc-focas-sysinfo</t>
  </si>
  <si>
    <t>fasp</t>
  </si>
  <si>
    <t>fastmail</t>
  </si>
  <si>
    <t>fasttrack</t>
  </si>
  <si>
    <t>fastviewer</t>
  </si>
  <si>
    <t>fc2-blog-posting</t>
  </si>
  <si>
    <t>fcc-speed-test</t>
  </si>
  <si>
    <t>fcip</t>
  </si>
  <si>
    <t>feedier</t>
  </si>
  <si>
    <t>feedier-base</t>
  </si>
  <si>
    <t>feedier-uploading</t>
  </si>
  <si>
    <t>feidian</t>
  </si>
  <si>
    <t>festo-way-protocol</t>
  </si>
  <si>
    <t>fetch.io</t>
  </si>
  <si>
    <t>fetion</t>
  </si>
  <si>
    <t>fetion-audio-video</t>
  </si>
  <si>
    <t>fetion-base</t>
  </si>
  <si>
    <t>fetion-file-transfer</t>
  </si>
  <si>
    <t>fibre-channel</t>
  </si>
  <si>
    <t>fidelity-active-trader-pro</t>
  </si>
  <si>
    <t>figma</t>
  </si>
  <si>
    <t>figma-base</t>
  </si>
  <si>
    <t>figma-figjam-ai</t>
  </si>
  <si>
    <t>file-host</t>
  </si>
  <si>
    <t>file.io</t>
  </si>
  <si>
    <t>fileapp</t>
  </si>
  <si>
    <t>filecatalyst-direct</t>
  </si>
  <si>
    <t>filedropper</t>
  </si>
  <si>
    <t>filegenius</t>
  </si>
  <si>
    <t>filegenius-base</t>
  </si>
  <si>
    <t>filegenius-downloading</t>
  </si>
  <si>
    <t>filegenius-uploading</t>
  </si>
  <si>
    <t>fileguri</t>
  </si>
  <si>
    <t>filemail</t>
  </si>
  <si>
    <t>filemaker-anouncement</t>
  </si>
  <si>
    <t>filemaker-pro</t>
  </si>
  <si>
    <t>filer.cx</t>
  </si>
  <si>
    <t>files.to</t>
  </si>
  <si>
    <t>filesanywhere</t>
  </si>
  <si>
    <t>fileserve</t>
  </si>
  <si>
    <t>filesonic</t>
  </si>
  <si>
    <t>filestack</t>
  </si>
  <si>
    <t>filestack-base</t>
  </si>
  <si>
    <t>filestack-downloading</t>
  </si>
  <si>
    <t>filestack-uploading</t>
  </si>
  <si>
    <t>filestube</t>
  </si>
  <si>
    <t>fileswire</t>
  </si>
  <si>
    <t>filmora</t>
  </si>
  <si>
    <t>filmora-base</t>
  </si>
  <si>
    <t>filmora-copy</t>
  </si>
  <si>
    <t>filmora-create</t>
  </si>
  <si>
    <t>filmora-delete</t>
  </si>
  <si>
    <t>filmora-download</t>
  </si>
  <si>
    <t>filmora-edit</t>
  </si>
  <si>
    <t>filmora-move</t>
  </si>
  <si>
    <t>filmora-upload</t>
  </si>
  <si>
    <t>finch</t>
  </si>
  <si>
    <t>finchat</t>
  </si>
  <si>
    <t>finger</t>
  </si>
  <si>
    <t>fire</t>
  </si>
  <si>
    <t>firebase-cloud-messaging</t>
  </si>
  <si>
    <t>fireflies.ai</t>
  </si>
  <si>
    <t>fireflies.ai-base</t>
  </si>
  <si>
    <t>fireflies.ai-delete</t>
  </si>
  <si>
    <t>fireflies.ai-download</t>
  </si>
  <si>
    <t>fireflies.ai-upload</t>
  </si>
  <si>
    <t>firefox-hello</t>
  </si>
  <si>
    <t>firefox-send</t>
  </si>
  <si>
    <t>firefox-update</t>
  </si>
  <si>
    <t>firephoenix</t>
  </si>
  <si>
    <t>firestorage</t>
  </si>
  <si>
    <t>firmex</t>
  </si>
  <si>
    <t>firmex-base</t>
  </si>
  <si>
    <t>firmex-downloading</t>
  </si>
  <si>
    <t>firmex-uploading</t>
  </si>
  <si>
    <t>firstclass</t>
  </si>
  <si>
    <t>fix</t>
  </si>
  <si>
    <t>fizz</t>
  </si>
  <si>
    <t>fl-net</t>
  </si>
  <si>
    <t>fl-net-base</t>
  </si>
  <si>
    <t>fl-net-byte-block-read</t>
  </si>
  <si>
    <t>fl-net-byte-block-write</t>
  </si>
  <si>
    <t>fl-net-config-param-setting</t>
  </si>
  <si>
    <t>fl-net-cyclic</t>
  </si>
  <si>
    <t>fl-net-gen-purpose-log-end</t>
  </si>
  <si>
    <t>fl-net-gen-purpose-log-start</t>
  </si>
  <si>
    <t>fl-net-io-allocation-read</t>
  </si>
  <si>
    <t>fl-net-io-allocation-setting</t>
  </si>
  <si>
    <t>fl-net-log-data-clear</t>
  </si>
  <si>
    <t>fl-net-log-data-read</t>
  </si>
  <si>
    <t>fl-net-message-return</t>
  </si>
  <si>
    <t>fl-net-network-param-read</t>
  </si>
  <si>
    <t>fl-net-network-param-write</t>
  </si>
  <si>
    <t>fl-net-node-reset</t>
  </si>
  <si>
    <t>fl-net-operation</t>
  </si>
  <si>
    <t>fl-net-participating-node-read</t>
  </si>
  <si>
    <t>fl-net-participation-request</t>
  </si>
  <si>
    <t>fl-net-profile-read</t>
  </si>
  <si>
    <t>fl-net-self-node-mgmt-read</t>
  </si>
  <si>
    <t>fl-net-self-node-setting-read</t>
  </si>
  <si>
    <t>fl-net-solicitation</t>
  </si>
  <si>
    <t>fl-net-stop</t>
  </si>
  <si>
    <t>fl-net-token</t>
  </si>
  <si>
    <t>fl-net-token-retention-end</t>
  </si>
  <si>
    <t>fl-net-token-retention-start</t>
  </si>
  <si>
    <t>fl-net-transparent-message</t>
  </si>
  <si>
    <t>fl-net-trigger</t>
  </si>
  <si>
    <t>fl-net-vendor-message</t>
  </si>
  <si>
    <t>fl-net-word-block-read</t>
  </si>
  <si>
    <t>fl-net-word-block-write</t>
  </si>
  <si>
    <t>flash</t>
  </si>
  <si>
    <t>flashget</t>
  </si>
  <si>
    <t>fleetdeck</t>
  </si>
  <si>
    <t>flexnet-installanywhere</t>
  </si>
  <si>
    <t>flexnet-publisher</t>
  </si>
  <si>
    <t>flickr</t>
  </si>
  <si>
    <t>flickr-base</t>
  </si>
  <si>
    <t>flickr-uploading</t>
  </si>
  <si>
    <t>flipgrid</t>
  </si>
  <si>
    <t>flixster</t>
  </si>
  <si>
    <t>flixwagon</t>
  </si>
  <si>
    <t>flixwagon-base</t>
  </si>
  <si>
    <t>flixwagon-broadcasting</t>
  </si>
  <si>
    <t>flixwagon-downloading</t>
  </si>
  <si>
    <t>flixwagon-posting</t>
  </si>
  <si>
    <t>flixwagon-sharing</t>
  </si>
  <si>
    <t>flock</t>
  </si>
  <si>
    <t>flowiseai</t>
  </si>
  <si>
    <t>fluentstream</t>
  </si>
  <si>
    <t>flumotion</t>
  </si>
  <si>
    <t>fluxiom</t>
  </si>
  <si>
    <t>fly-proxy</t>
  </si>
  <si>
    <t>fmtp</t>
  </si>
  <si>
    <t>fogbugz</t>
  </si>
  <si>
    <t>foldera</t>
  </si>
  <si>
    <t>folderfort</t>
  </si>
  <si>
    <t>foldershare</t>
  </si>
  <si>
    <t>folding-at-home</t>
  </si>
  <si>
    <t>foonz</t>
  </si>
  <si>
    <t>forticlient-update</t>
  </si>
  <si>
    <t>fortiguard-webfilter</t>
  </si>
  <si>
    <t>fortnite</t>
  </si>
  <si>
    <t>forward</t>
  </si>
  <si>
    <t>fotki</t>
  </si>
  <si>
    <t>fotoweb</t>
  </si>
  <si>
    <t>foundation-fieldbus</t>
  </si>
  <si>
    <t>foursquare</t>
  </si>
  <si>
    <t>foxt-boks-servercontrol</t>
  </si>
  <si>
    <t>foxy</t>
  </si>
  <si>
    <t>franklin-electric-tsa</t>
  </si>
  <si>
    <t>free-conference</t>
  </si>
  <si>
    <t>free-conference-base</t>
  </si>
  <si>
    <t>free-conference-file-sharing</t>
  </si>
  <si>
    <t>free-conference-call</t>
  </si>
  <si>
    <t>free-conference-call-base</t>
  </si>
  <si>
    <t>free-conference-call-uploading</t>
  </si>
  <si>
    <t>freecast</t>
  </si>
  <si>
    <t>freedome</t>
  </si>
  <si>
    <t>freeetv</t>
  </si>
  <si>
    <t>freegate</t>
  </si>
  <si>
    <t>freenet</t>
  </si>
  <si>
    <t>freepp-mobile</t>
  </si>
  <si>
    <t>freshbooks</t>
  </si>
  <si>
    <t>freshdesk</t>
  </si>
  <si>
    <t>freshsales</t>
  </si>
  <si>
    <t>friendfeed</t>
  </si>
  <si>
    <t>friendster</t>
  </si>
  <si>
    <t>friendvox</t>
  </si>
  <si>
    <t>fring</t>
  </si>
  <si>
    <t>front</t>
  </si>
  <si>
    <t>frozenway</t>
  </si>
  <si>
    <t>frp-proxy</t>
  </si>
  <si>
    <t>fs2you</t>
  </si>
  <si>
    <t>fufox</t>
  </si>
  <si>
    <t>functionfox</t>
  </si>
  <si>
    <t>funshion</t>
  </si>
  <si>
    <t>futuramo-visualticket</t>
  </si>
  <si>
    <t>futuramo-visualticket-base</t>
  </si>
  <si>
    <t>futuramo-visualticket-uploading</t>
  </si>
  <si>
    <t>fuze-meeting</t>
  </si>
  <si>
    <t>fuze-meeting-base</t>
  </si>
  <si>
    <t>fuze-meeting-desktop-sharing</t>
  </si>
  <si>
    <t>fuze-meeting-file-sharing</t>
  </si>
  <si>
    <t>g-net-meetnow</t>
  </si>
  <si>
    <t>g.ho.st</t>
  </si>
  <si>
    <t>gadu-gadu</t>
  </si>
  <si>
    <t>galaxy-gateway-service</t>
  </si>
  <si>
    <t>gamespy</t>
  </si>
  <si>
    <t>gameviewer</t>
  </si>
  <si>
    <t>garena</t>
  </si>
  <si>
    <t>garmin-nmea-sentence</t>
  </si>
  <si>
    <t>gat</t>
  </si>
  <si>
    <t>gatherplace</t>
  </si>
  <si>
    <t>gatherplace-base</t>
  </si>
  <si>
    <t>gatherplace-desktop-sharing</t>
  </si>
  <si>
    <t>gb2pp</t>
  </si>
  <si>
    <t>gb2pp-base</t>
  </si>
  <si>
    <t>gb2pp-ptt-off</t>
  </si>
  <si>
    <t>gb2pp-ptt-on</t>
  </si>
  <si>
    <t>gb2pp-tone-off</t>
  </si>
  <si>
    <t>gb2pp-tone-on</t>
  </si>
  <si>
    <t>gbridge</t>
  </si>
  <si>
    <t>gdbremote</t>
  </si>
  <si>
    <t>gds-db</t>
  </si>
  <si>
    <t>ge-carescape-alarm</t>
  </si>
  <si>
    <t>ge-carescape-time-update</t>
  </si>
  <si>
    <t>ge-cic-xml</t>
  </si>
  <si>
    <t>ge-dcp</t>
  </si>
  <si>
    <t>ge-ecg-serial</t>
  </si>
  <si>
    <t>ge-egd</t>
  </si>
  <si>
    <t>ge-eterra-isd</t>
  </si>
  <si>
    <t>ge-eterra-scada</t>
  </si>
  <si>
    <t>ge-hilltop</t>
  </si>
  <si>
    <t>ge-historian</t>
  </si>
  <si>
    <t>ge-muse-rest-api</t>
  </si>
  <si>
    <t>ge-netmsgsender</t>
  </si>
  <si>
    <t>ge-rwhat</t>
  </si>
  <si>
    <t>ge-srtp</t>
  </si>
  <si>
    <t>ge-srtp-base</t>
  </si>
  <si>
    <t>ge-srtp-change-cpu-privilege</t>
  </si>
  <si>
    <t>ge-srtp-clear-fault-table</t>
  </si>
  <si>
    <t>ge-srtp-get-control-program</t>
  </si>
  <si>
    <t>ge-srtp-get-controller-info</t>
  </si>
  <si>
    <t>ge-srtp-get-fault-table</t>
  </si>
  <si>
    <t>ge-srtp-get-plc-time</t>
  </si>
  <si>
    <t>ge-srtp-plc-short-status-req</t>
  </si>
  <si>
    <t>ge-srtp-program-load</t>
  </si>
  <si>
    <t>ge-srtp-program-store</t>
  </si>
  <si>
    <t>ge-srtp-programmer-logon</t>
  </si>
  <si>
    <t>ge-srtp-read-program-mem</t>
  </si>
  <si>
    <t>ge-srtp-read-sys-mem</t>
  </si>
  <si>
    <t>ge-srtp-read-task-mem</t>
  </si>
  <si>
    <t>ge-srtp-set-control-id</t>
  </si>
  <si>
    <t>ge-srtp-set-plc</t>
  </si>
  <si>
    <t>ge-srtp-set-plc-start</t>
  </si>
  <si>
    <t>ge-srtp-set-plc-stop</t>
  </si>
  <si>
    <t>ge-srtp-set-plc-time</t>
  </si>
  <si>
    <t>ge-srtp-toggle-force-sys-mem</t>
  </si>
  <si>
    <t>ge-srtp-write-program-blk-mem</t>
  </si>
  <si>
    <t>ge-srtp-write-sys-mem</t>
  </si>
  <si>
    <t>ge-srtp-write-task-mem</t>
  </si>
  <si>
    <t>ge-tramscope</t>
  </si>
  <si>
    <t>geforce-now</t>
  </si>
  <si>
    <t>gehc-dms-tcp</t>
  </si>
  <si>
    <t>gemnet</t>
  </si>
  <si>
    <t>generic-p2p</t>
  </si>
  <si>
    <t>genesys</t>
  </si>
  <si>
    <t>genesys-base</t>
  </si>
  <si>
    <t>genesys-desktop-sharing</t>
  </si>
  <si>
    <t>genesys-interaction-server</t>
  </si>
  <si>
    <t>geneve</t>
  </si>
  <si>
    <t>ggp</t>
  </si>
  <si>
    <t>ghostsurf</t>
  </si>
  <si>
    <t>ghostwriter</t>
  </si>
  <si>
    <t>gifboom</t>
  </si>
  <si>
    <t>gigafile</t>
  </si>
  <si>
    <t>gigaup</t>
  </si>
  <si>
    <t>giphy</t>
  </si>
  <si>
    <t>giphy-base</t>
  </si>
  <si>
    <t>giphy-creating</t>
  </si>
  <si>
    <t>giphy-downloading</t>
  </si>
  <si>
    <t>giphy-uploading</t>
  </si>
  <si>
    <t>gist</t>
  </si>
  <si>
    <t>gist-downloading</t>
  </si>
  <si>
    <t>gist-editing</t>
  </si>
  <si>
    <t>gist-posting</t>
  </si>
  <si>
    <t>gist-uploading</t>
  </si>
  <si>
    <t>github-base</t>
  </si>
  <si>
    <t>github-copilot</t>
  </si>
  <si>
    <t>github-copilot-business</t>
  </si>
  <si>
    <t>github-copilot-chat</t>
  </si>
  <si>
    <t>github-copilot-chat-business</t>
  </si>
  <si>
    <t>github-downloading</t>
  </si>
  <si>
    <t>github-editing</t>
  </si>
  <si>
    <t>github-pages</t>
  </si>
  <si>
    <t>github-posting</t>
  </si>
  <si>
    <t>github-uploading</t>
  </si>
  <si>
    <t>git</t>
  </si>
  <si>
    <t>git-base</t>
  </si>
  <si>
    <t>git-uploading</t>
  </si>
  <si>
    <t>gitbook</t>
  </si>
  <si>
    <t>gitbook-base</t>
  </si>
  <si>
    <t>gitbook-downloading</t>
  </si>
  <si>
    <t>gitbook-uploading</t>
  </si>
  <si>
    <t>gitlab</t>
  </si>
  <si>
    <t>gitlab-base</t>
  </si>
  <si>
    <t>gitlab-duo</t>
  </si>
  <si>
    <t>gitlab-uploading</t>
  </si>
  <si>
    <t>gitpod</t>
  </si>
  <si>
    <t>gizmo</t>
  </si>
  <si>
    <t>gkrellm</t>
  </si>
  <si>
    <t>glassdoor</t>
  </si>
  <si>
    <t>glassdoor-base</t>
  </si>
  <si>
    <t>glassdoor-downloading</t>
  </si>
  <si>
    <t>glassdoor-editing</t>
  </si>
  <si>
    <t>glassdoor-posting</t>
  </si>
  <si>
    <t>glassdoor-uploading</t>
  </si>
  <si>
    <t>glide</t>
  </si>
  <si>
    <t>glip</t>
  </si>
  <si>
    <t>globalmeet</t>
  </si>
  <si>
    <t>globalmeet-base</t>
  </si>
  <si>
    <t>globalmeet-file-transfer</t>
  </si>
  <si>
    <t>globoplay</t>
  </si>
  <si>
    <t>globus</t>
  </si>
  <si>
    <t>glusterfs</t>
  </si>
  <si>
    <t>glype-proxy</t>
  </si>
  <si>
    <t>gmail</t>
  </si>
  <si>
    <t>gmail-base</t>
  </si>
  <si>
    <t>gmail-call-phone</t>
  </si>
  <si>
    <t>gmail-chat</t>
  </si>
  <si>
    <t>gmail-downloading</t>
  </si>
  <si>
    <t>gmail-enterprise</t>
  </si>
  <si>
    <t>gmail-posting</t>
  </si>
  <si>
    <t>gmail-send</t>
  </si>
  <si>
    <t>gmail-uploading</t>
  </si>
  <si>
    <t>gmail-video-chat</t>
  </si>
  <si>
    <t>gmail-drive</t>
  </si>
  <si>
    <t>gmtp</t>
  </si>
  <si>
    <t>gmx-mail</t>
  </si>
  <si>
    <t>gnu-httptunnel</t>
  </si>
  <si>
    <t>gnunet</t>
  </si>
  <si>
    <t>gnutella</t>
  </si>
  <si>
    <t>goagent</t>
  </si>
  <si>
    <t>goanywhere</t>
  </si>
  <si>
    <t>goboogy</t>
  </si>
  <si>
    <t>gofile.io</t>
  </si>
  <si>
    <t>gogobox</t>
  </si>
  <si>
    <t>gomeetnow</t>
  </si>
  <si>
    <t>good-direct-connect</t>
  </si>
  <si>
    <t>good-for-enterprise</t>
  </si>
  <si>
    <t>gooddata</t>
  </si>
  <si>
    <t>goodsync</t>
  </si>
  <si>
    <t>google-admin</t>
  </si>
  <si>
    <t>google-admin-base</t>
  </si>
  <si>
    <t>google-admin-create</t>
  </si>
  <si>
    <t>google-admin-delete</t>
  </si>
  <si>
    <t>google-admin-download</t>
  </si>
  <si>
    <t>google-admin-upload</t>
  </si>
  <si>
    <t>google-analytics</t>
  </si>
  <si>
    <t>google-app-engine</t>
  </si>
  <si>
    <t>google-app-engine-uploading</t>
  </si>
  <si>
    <t>google-app-script</t>
  </si>
  <si>
    <t>google-app-script-add</t>
  </si>
  <si>
    <t>google-app-script-base</t>
  </si>
  <si>
    <t>google-app-script-delete</t>
  </si>
  <si>
    <t>google-app-script-deploy</t>
  </si>
  <si>
    <t>google-app-script-share</t>
  </si>
  <si>
    <t>google-bard</t>
  </si>
  <si>
    <t>google-bard-base</t>
  </si>
  <si>
    <t>google-bard-uploading</t>
  </si>
  <si>
    <t>google-gemini</t>
  </si>
  <si>
    <t>google-gemini-delete</t>
  </si>
  <si>
    <t>google-gemini-downloading</t>
  </si>
  <si>
    <t>google-gemini-editing</t>
  </si>
  <si>
    <t>google-gemini-posting</t>
  </si>
  <si>
    <t>google-gemini-uploading</t>
  </si>
  <si>
    <t>google-base</t>
  </si>
  <si>
    <t>google-buzz</t>
  </si>
  <si>
    <t>google-c-engine</t>
  </si>
  <si>
    <t>google-c-engine-base</t>
  </si>
  <si>
    <t>google-c-engine-create</t>
  </si>
  <si>
    <t>google-c-engine-delete</t>
  </si>
  <si>
    <t>google-c-engine-edit</t>
  </si>
  <si>
    <t>google-cache</t>
  </si>
  <si>
    <t>google-calendar</t>
  </si>
  <si>
    <t>google-calendar-base</t>
  </si>
  <si>
    <t>google-calendar-enterprise</t>
  </si>
  <si>
    <t>google-calendar-posting</t>
  </si>
  <si>
    <t>google-chat</t>
  </si>
  <si>
    <t>google-chat-base</t>
  </si>
  <si>
    <t>google-chat-create</t>
  </si>
  <si>
    <t>google-chat-delete</t>
  </si>
  <si>
    <t>google-chat-download</t>
  </si>
  <si>
    <t>google-chat-edit</t>
  </si>
  <si>
    <t>google-chat-invite</t>
  </si>
  <si>
    <t>google-chat-post</t>
  </si>
  <si>
    <t>google-chat-upload</t>
  </si>
  <si>
    <t>google-classroom</t>
  </si>
  <si>
    <t>google-cloud-console</t>
  </si>
  <si>
    <t>google-cloud-messaging</t>
  </si>
  <si>
    <t>google-cloud-print</t>
  </si>
  <si>
    <t>google-cloud-search</t>
  </si>
  <si>
    <t>google-cloud-speech-to-text</t>
  </si>
  <si>
    <t>google-cloud-storage</t>
  </si>
  <si>
    <t>google-cloud-storage-base</t>
  </si>
  <si>
    <t>google-cloud-storage-download</t>
  </si>
  <si>
    <t>google-cloud-storage-editing</t>
  </si>
  <si>
    <t>google-cloud-storage-sharing</t>
  </si>
  <si>
    <t>google-cloud-storage-upload</t>
  </si>
  <si>
    <t>google-contacts</t>
  </si>
  <si>
    <t>google-contacts-base</t>
  </si>
  <si>
    <t>google-contacts-create</t>
  </si>
  <si>
    <t>google-contacts-delete</t>
  </si>
  <si>
    <t>google-contacts-download</t>
  </si>
  <si>
    <t>google-contacts-edit</t>
  </si>
  <si>
    <t>google-contacts-upload</t>
  </si>
  <si>
    <t>google-desktop</t>
  </si>
  <si>
    <t>google-docs</t>
  </si>
  <si>
    <t>google-docs-base</t>
  </si>
  <si>
    <t>google-docs-copy</t>
  </si>
  <si>
    <t>google-docs-create</t>
  </si>
  <si>
    <t>google-docs-delete</t>
  </si>
  <si>
    <t>google-docs-downloading</t>
  </si>
  <si>
    <t>google-docs-editing</t>
  </si>
  <si>
    <t>google-docs-enterprise</t>
  </si>
  <si>
    <t>google-docs-posting</t>
  </si>
  <si>
    <t>google-docs-rename</t>
  </si>
  <si>
    <t>google-docs-send</t>
  </si>
  <si>
    <t>google-docs-sharing</t>
  </si>
  <si>
    <t>google-docs-uploading</t>
  </si>
  <si>
    <t>google-doodle-games</t>
  </si>
  <si>
    <t>google-drive-web</t>
  </si>
  <si>
    <t>google-drive-web-base</t>
  </si>
  <si>
    <t>google-drive-web-copy</t>
  </si>
  <si>
    <t>google-drive-web-create</t>
  </si>
  <si>
    <t>google-drive-web-delete</t>
  </si>
  <si>
    <t>google-drive-web-download</t>
  </si>
  <si>
    <t>google-drive-web-edit</t>
  </si>
  <si>
    <t>google-drive-web-move</t>
  </si>
  <si>
    <t>google-drive-web-rename</t>
  </si>
  <si>
    <t>google-drive-web-restore</t>
  </si>
  <si>
    <t>google-drive-web-share</t>
  </si>
  <si>
    <t>google-drive-web-unshare</t>
  </si>
  <si>
    <t>google-drive-web-update</t>
  </si>
  <si>
    <t>google-drive-web-upload</t>
  </si>
  <si>
    <t>google-duo</t>
  </si>
  <si>
    <t>google-earth</t>
  </si>
  <si>
    <t>google-expeditions</t>
  </si>
  <si>
    <t>google-finance-posting</t>
  </si>
  <si>
    <t>google-forms</t>
  </si>
  <si>
    <t>google-forms-base</t>
  </si>
  <si>
    <t>google-forms-create</t>
  </si>
  <si>
    <t>google-forms-delete</t>
  </si>
  <si>
    <t>google-forms-download</t>
  </si>
  <si>
    <t>google-forms-edit</t>
  </si>
  <si>
    <t>google-forms-share</t>
  </si>
  <si>
    <t>google-forms-upload</t>
  </si>
  <si>
    <t>google-gemini-models</t>
  </si>
  <si>
    <t>google-groups</t>
  </si>
  <si>
    <t>google-hangouts</t>
  </si>
  <si>
    <t>google-hangouts-audio-video</t>
  </si>
  <si>
    <t>google-hangouts-base</t>
  </si>
  <si>
    <t>google-hangouts-chat</t>
  </si>
  <si>
    <t>google-keep</t>
  </si>
  <si>
    <t>google-keep-base</t>
  </si>
  <si>
    <t>google-keep-create</t>
  </si>
  <si>
    <t>google-keep-delete</t>
  </si>
  <si>
    <t>google-keep-edit</t>
  </si>
  <si>
    <t>google-keep-share</t>
  </si>
  <si>
    <t>google-keep-upload</t>
  </si>
  <si>
    <t>google-lively</t>
  </si>
  <si>
    <t>google-location-service</t>
  </si>
  <si>
    <t>google-maps</t>
  </si>
  <si>
    <t>google-meet</t>
  </si>
  <si>
    <t>google-meet-base</t>
  </si>
  <si>
    <t>google-meet-create</t>
  </si>
  <si>
    <t>google-meet-invite</t>
  </si>
  <si>
    <t>google-meet-join</t>
  </si>
  <si>
    <t>google-meet-post</t>
  </si>
  <si>
    <t>google-meet-record</t>
  </si>
  <si>
    <t>google-messages</t>
  </si>
  <si>
    <t>google-music</t>
  </si>
  <si>
    <t>google-palm2</t>
  </si>
  <si>
    <t>google-photos</t>
  </si>
  <si>
    <t>google-photos-base</t>
  </si>
  <si>
    <t>google-photos-downloading</t>
  </si>
  <si>
    <t>google-photos-sharing</t>
  </si>
  <si>
    <t>google-photos-uploading</t>
  </si>
  <si>
    <t>google-picasa</t>
  </si>
  <si>
    <t>google-play</t>
  </si>
  <si>
    <t>google-plus</t>
  </si>
  <si>
    <t>google-plus-base</t>
  </si>
  <si>
    <t>google-plus-posting</t>
  </si>
  <si>
    <t>google-plus-email</t>
  </si>
  <si>
    <t>google-safebrowsing</t>
  </si>
  <si>
    <t>google-sheets</t>
  </si>
  <si>
    <t>google-sheets-base</t>
  </si>
  <si>
    <t>google-sheets-copy</t>
  </si>
  <si>
    <t>google-sheets-create</t>
  </si>
  <si>
    <t>google-sheets-delete</t>
  </si>
  <si>
    <t>google-sheets-download</t>
  </si>
  <si>
    <t>google-sheets-edit</t>
  </si>
  <si>
    <t>google-sheets-rename</t>
  </si>
  <si>
    <t>google-sheets-share</t>
  </si>
  <si>
    <t>google-sheets-upload</t>
  </si>
  <si>
    <t>google-sites</t>
  </si>
  <si>
    <t>google-sites-base</t>
  </si>
  <si>
    <t>google-sites-create</t>
  </si>
  <si>
    <t>google-sites-delete</t>
  </si>
  <si>
    <t>google-sites-edit</t>
  </si>
  <si>
    <t>google-sites-publish</t>
  </si>
  <si>
    <t>google-sites-share</t>
  </si>
  <si>
    <t>google-slides</t>
  </si>
  <si>
    <t>google-slides-base</t>
  </si>
  <si>
    <t>google-slides-copy</t>
  </si>
  <si>
    <t>google-slides-create</t>
  </si>
  <si>
    <t>google-slides-delete</t>
  </si>
  <si>
    <t>google-slides-download</t>
  </si>
  <si>
    <t>google-slides-edit</t>
  </si>
  <si>
    <t>google-slides-post</t>
  </si>
  <si>
    <t>google-slides-rename</t>
  </si>
  <si>
    <t>google-slides-share</t>
  </si>
  <si>
    <t>google-slides-upload</t>
  </si>
  <si>
    <t>google-spaces</t>
  </si>
  <si>
    <t>google-spaces-base</t>
  </si>
  <si>
    <t>google-spaces-posting</t>
  </si>
  <si>
    <t>google-surveys</t>
  </si>
  <si>
    <t>google-surveys-base</t>
  </si>
  <si>
    <t>google-surveys-uploading</t>
  </si>
  <si>
    <t>google-talk</t>
  </si>
  <si>
    <t>google-talk-base</t>
  </si>
  <si>
    <t>gtalk-file-transfer</t>
  </si>
  <si>
    <t>gtalk-voice</t>
  </si>
  <si>
    <t>google-talk-gadget</t>
  </si>
  <si>
    <t>google-toolbar</t>
  </si>
  <si>
    <t>google-translate</t>
  </si>
  <si>
    <t>google-translate-auto</t>
  </si>
  <si>
    <t>google-translate-base</t>
  </si>
  <si>
    <t>google-translate-manual</t>
  </si>
  <si>
    <t>google-update</t>
  </si>
  <si>
    <t>google-vault</t>
  </si>
  <si>
    <t>google-vertex-ai</t>
  </si>
  <si>
    <t>google-vertex-ai-base</t>
  </si>
  <si>
    <t>google-vertex-ai-create</t>
  </si>
  <si>
    <t>google-vertex-ai-delete</t>
  </si>
  <si>
    <t>google-vertex-ai-post</t>
  </si>
  <si>
    <t>google-vertex-ai-upload</t>
  </si>
  <si>
    <t>google-video</t>
  </si>
  <si>
    <t>google-video-base</t>
  </si>
  <si>
    <t>google-video-enterprise</t>
  </si>
  <si>
    <t>google-voice-actions</t>
  </si>
  <si>
    <t>google-wave</t>
  </si>
  <si>
    <t>google-workspace-duet-ai</t>
  </si>
  <si>
    <t>gopher</t>
  </si>
  <si>
    <t>gotoassist</t>
  </si>
  <si>
    <t>gotodevice</t>
  </si>
  <si>
    <t>gotohttp</t>
  </si>
  <si>
    <t>gotomeeting</t>
  </si>
  <si>
    <t>gotomeeting-base</t>
  </si>
  <si>
    <t>gotomeeting-screen-sharing</t>
  </si>
  <si>
    <t>gotomypc</t>
  </si>
  <si>
    <t>gotomypc-base</t>
  </si>
  <si>
    <t>gotomypc-desktop-sharing</t>
  </si>
  <si>
    <t>gotomypc-file-transfer</t>
  </si>
  <si>
    <t>gotomypc-printing</t>
  </si>
  <si>
    <t>gotomypc-remote-control</t>
  </si>
  <si>
    <t>gotowebinar</t>
  </si>
  <si>
    <t>gotowebinar-base</t>
  </si>
  <si>
    <t>gotowebinar-downloading</t>
  </si>
  <si>
    <t>gotowebinar-uploading</t>
  </si>
  <si>
    <t>goverlan</t>
  </si>
  <si>
    <t>gpass</t>
  </si>
  <si>
    <t>gpass-proxy</t>
  </si>
  <si>
    <t>gpsgate</t>
  </si>
  <si>
    <t>gqueues</t>
  </si>
  <si>
    <t>quic</t>
  </si>
  <si>
    <t>gquic</t>
  </si>
  <si>
    <t>quic-base</t>
  </si>
  <si>
    <t>graboid-video</t>
  </si>
  <si>
    <t>grammarly</t>
  </si>
  <si>
    <t>graphite</t>
  </si>
  <si>
    <t>gravotech</t>
  </si>
  <si>
    <t>gre</t>
  </si>
  <si>
    <t>gridftp</t>
  </si>
  <si>
    <t>groove-music</t>
  </si>
  <si>
    <t>grooveshark</t>
  </si>
  <si>
    <t>groupmax</t>
  </si>
  <si>
    <t>groupwise</t>
  </si>
  <si>
    <t>grpc</t>
  </si>
  <si>
    <t>gtp</t>
  </si>
  <si>
    <t>gtp-base</t>
  </si>
  <si>
    <t>gtp-prime</t>
  </si>
  <si>
    <t>gtp-u</t>
  </si>
  <si>
    <t>gtpv0</t>
  </si>
  <si>
    <t>gtpv1-c</t>
  </si>
  <si>
    <t>gtpv2-c</t>
  </si>
  <si>
    <t>gtunnel</t>
  </si>
  <si>
    <t>guardster</t>
  </si>
  <si>
    <t>guildwars</t>
  </si>
  <si>
    <t>guldmann-clm-hoist</t>
  </si>
  <si>
    <t>gvcp</t>
  </si>
  <si>
    <t>gyao</t>
  </si>
  <si>
    <t>h.225</t>
  </si>
  <si>
    <t>h.245</t>
  </si>
  <si>
    <t>h.248</t>
  </si>
  <si>
    <t>h.323</t>
  </si>
  <si>
    <t>ha-tunnel-plus</t>
  </si>
  <si>
    <t>hadoop</t>
  </si>
  <si>
    <t>hadoop-mapreduce</t>
  </si>
  <si>
    <t>hbase</t>
  </si>
  <si>
    <t>hdfs</t>
  </si>
  <si>
    <t>haivision-srt</t>
  </si>
  <si>
    <t>hamachi</t>
  </si>
  <si>
    <t>hamicloud</t>
  </si>
  <si>
    <t>hangame</t>
  </si>
  <si>
    <t>hart-ip</t>
  </si>
  <si>
    <t>hart-ip-base</t>
  </si>
  <si>
    <t>hart-ip-read-dev-stat</t>
  </si>
  <si>
    <t>hart-ip-read-dev-var</t>
  </si>
  <si>
    <t>hart-ip-read-device-info</t>
  </si>
  <si>
    <t>hart-ip-read-dyn-var</t>
  </si>
  <si>
    <t>hart-ip-read-dyn-var-class</t>
  </si>
  <si>
    <t>hart-ip-read-final-num</t>
  </si>
  <si>
    <t>hart-ip-read-long-tag</t>
  </si>
  <si>
    <t>hart-ip-read-long-tag-id</t>
  </si>
  <si>
    <t>hart-ip-read-loop</t>
  </si>
  <si>
    <t>hart-ip-read-loop-config</t>
  </si>
  <si>
    <t>hart-ip-read-msg</t>
  </si>
  <si>
    <t>hart-ip-read-pri-var</t>
  </si>
  <si>
    <t>hart-ip-read-pri-var-trans</t>
  </si>
  <si>
    <t>hart-ip-read-tag</t>
  </si>
  <si>
    <t>hart-ip-read-tag-uniq-id</t>
  </si>
  <si>
    <t>hart-ip-read-uniq-id</t>
  </si>
  <si>
    <t>hart-ip-reset-config</t>
  </si>
  <si>
    <t>hart-ip-write-final-num</t>
  </si>
  <si>
    <t>hart-ip-write-long-tag</t>
  </si>
  <si>
    <t>hart-ip-write-message</t>
  </si>
  <si>
    <t>hart-ip-write-polling</t>
  </si>
  <si>
    <t>hart-ip-write-tag</t>
  </si>
  <si>
    <t>harvest</t>
  </si>
  <si>
    <t>hashicorp-consul</t>
  </si>
  <si>
    <t>hashicorp-vault</t>
  </si>
  <si>
    <t>hbo</t>
  </si>
  <si>
    <t>hdlc-over-tcp</t>
  </si>
  <si>
    <t>helprace</t>
  </si>
  <si>
    <t>helpscout</t>
  </si>
  <si>
    <t>helpu</t>
  </si>
  <si>
    <t>helpwire</t>
  </si>
  <si>
    <t>heroix-longitude</t>
  </si>
  <si>
    <t>hexatech-vpn</t>
  </si>
  <si>
    <t>hi5</t>
  </si>
  <si>
    <t>highrise</t>
  </si>
  <si>
    <t>hightail</t>
  </si>
  <si>
    <t>hightail-base</t>
  </si>
  <si>
    <t>hightail-copy</t>
  </si>
  <si>
    <t>hightail-create</t>
  </si>
  <si>
    <t>hightail-delete</t>
  </si>
  <si>
    <t>hightail-download</t>
  </si>
  <si>
    <t>hightail-invite</t>
  </si>
  <si>
    <t>hightail-post</t>
  </si>
  <si>
    <t>hightail-send</t>
  </si>
  <si>
    <t>hightail-uploading</t>
  </si>
  <si>
    <t>hikvision-http</t>
  </si>
  <si>
    <t>hikvision-svr</t>
  </si>
  <si>
    <t>hill-rom-nurse-call</t>
  </si>
  <si>
    <t>hinet-webmail</t>
  </si>
  <si>
    <t>hip</t>
  </si>
  <si>
    <t>hipchat</t>
  </si>
  <si>
    <t>hipchat-audio-video</t>
  </si>
  <si>
    <t>hipchat-base</t>
  </si>
  <si>
    <t>hipchat-downloading</t>
  </si>
  <si>
    <t>hipchat-editing</t>
  </si>
  <si>
    <t>hipchat-file-transfer</t>
  </si>
  <si>
    <t>hipchat-posting</t>
  </si>
  <si>
    <t>hipchat-sharing</t>
  </si>
  <si>
    <t>hipchat-uploading</t>
  </si>
  <si>
    <t>hired</t>
  </si>
  <si>
    <t>hired-base</t>
  </si>
  <si>
    <t>hired-logout</t>
  </si>
  <si>
    <t>hired-share</t>
  </si>
  <si>
    <t>hired-upload</t>
  </si>
  <si>
    <t>hitachi-spc</t>
  </si>
  <si>
    <t>hl7</t>
  </si>
  <si>
    <t>hlls</t>
  </si>
  <si>
    <t>hmp</t>
  </si>
  <si>
    <t>hms-anybus-web</t>
  </si>
  <si>
    <t>hola-unblocker</t>
  </si>
  <si>
    <t>home-assistant</t>
  </si>
  <si>
    <t>homepipe</t>
  </si>
  <si>
    <t>honeywell-ceentcomm</t>
  </si>
  <si>
    <t>honeywell-ceentcomm-discovery</t>
  </si>
  <si>
    <t>honeywell-experion-pks-srp</t>
  </si>
  <si>
    <t>honeywell-fte</t>
  </si>
  <si>
    <t>honeywell-pro-watch</t>
  </si>
  <si>
    <t>honeywell-softmaster</t>
  </si>
  <si>
    <t>honeywell-softmaster-base</t>
  </si>
  <si>
    <t>honeywell-softmaster-debug</t>
  </si>
  <si>
    <t>honeywell-softmaster-reset</t>
  </si>
  <si>
    <t>honeywell-softmaster-run</t>
  </si>
  <si>
    <t>honeywell-softmaster-stop</t>
  </si>
  <si>
    <t>honeywell-softmaster-discovery</t>
  </si>
  <si>
    <t>hong-kong-toolbar</t>
  </si>
  <si>
    <t>hootsuite</t>
  </si>
  <si>
    <t>hootsuite-base</t>
  </si>
  <si>
    <t>hootsuite-posting</t>
  </si>
  <si>
    <t>hootsuite-sharing</t>
  </si>
  <si>
    <t>hootsuite-uploading</t>
  </si>
  <si>
    <t>hopopt</t>
  </si>
  <si>
    <t>hopster</t>
  </si>
  <si>
    <t>horde</t>
  </si>
  <si>
    <t>hospira-mednet-xml</t>
  </si>
  <si>
    <t>hosproxy</t>
  </si>
  <si>
    <t>host</t>
  </si>
  <si>
    <t>hotfile</t>
  </si>
  <si>
    <t>hotline</t>
  </si>
  <si>
    <t>hotmail</t>
  </si>
  <si>
    <t>hotspot-shield</t>
  </si>
  <si>
    <t>houseparty</t>
  </si>
  <si>
    <t>hovrs</t>
  </si>
  <si>
    <t>howardforums-posting</t>
  </si>
  <si>
    <t>hp-data-protector</t>
  </si>
  <si>
    <t>hp-eprint-service</t>
  </si>
  <si>
    <t>hp-ilo</t>
  </si>
  <si>
    <t>hp-jetdirect</t>
  </si>
  <si>
    <t>hp-printer-websrv-check-update</t>
  </si>
  <si>
    <t>hp-quickdrop</t>
  </si>
  <si>
    <t>hp-rgs</t>
  </si>
  <si>
    <t>hp-update</t>
  </si>
  <si>
    <t>hp-virtual-rooms</t>
  </si>
  <si>
    <t>hpe-bsa</t>
  </si>
  <si>
    <t>hsrp</t>
  </si>
  <si>
    <t>http-audio</t>
  </si>
  <si>
    <t>http-nsri</t>
  </si>
  <si>
    <t>http-proxy</t>
  </si>
  <si>
    <t>http-tunnel</t>
  </si>
  <si>
    <t>http-video</t>
  </si>
  <si>
    <t>http2-5gc</t>
  </si>
  <si>
    <t>httport</t>
  </si>
  <si>
    <t>huawei-dbank</t>
  </si>
  <si>
    <t>hubspot</t>
  </si>
  <si>
    <t>hubspot-ai</t>
  </si>
  <si>
    <t>hubspot-base</t>
  </si>
  <si>
    <t>hubspot-chatspot</t>
  </si>
  <si>
    <t>huddle</t>
  </si>
  <si>
    <t>huddle-base</t>
  </si>
  <si>
    <t>huddle-uploading</t>
  </si>
  <si>
    <t>huggingface</t>
  </si>
  <si>
    <t>huggingchat</t>
  </si>
  <si>
    <t>huggingchat-create</t>
  </si>
  <si>
    <t>huggingchat-delete</t>
  </si>
  <si>
    <t>huggingface-base</t>
  </si>
  <si>
    <t>huggingface-download</t>
  </si>
  <si>
    <t>huggingface-transformers-agents</t>
  </si>
  <si>
    <t>huggingface-upload</t>
  </si>
  <si>
    <t>hulft</t>
  </si>
  <si>
    <t>hulu</t>
  </si>
  <si>
    <t>hulu-base</t>
  </si>
  <si>
    <t>hulu-posting</t>
  </si>
  <si>
    <t>humanloop</t>
  </si>
  <si>
    <t>humanloop-base</t>
  </si>
  <si>
    <t>humanloop-delete</t>
  </si>
  <si>
    <t>humanloop-download</t>
  </si>
  <si>
    <t>humanloop-upload</t>
  </si>
  <si>
    <t>hushmail</t>
  </si>
  <si>
    <t>hypotenuse-ai</t>
  </si>
  <si>
    <t>hypotenuse-ai-base</t>
  </si>
  <si>
    <t>hypotenuse-ai-delete</t>
  </si>
  <si>
    <t>hypotenuse-ai-download</t>
  </si>
  <si>
    <t>hypotenuse-ai-upload</t>
  </si>
  <si>
    <t>hyves</t>
  </si>
  <si>
    <t>hyves-base</t>
  </si>
  <si>
    <t>hyves-chat</t>
  </si>
  <si>
    <t>hyves-games</t>
  </si>
  <si>
    <t>hyves-mail</t>
  </si>
  <si>
    <t>hyves-music</t>
  </si>
  <si>
    <t>i-nlsp</t>
  </si>
  <si>
    <t>i2p</t>
  </si>
  <si>
    <t>i4-remote</t>
  </si>
  <si>
    <t>iatp</t>
  </si>
  <si>
    <t>ibackup</t>
  </si>
  <si>
    <t>ibm-bigfix</t>
  </si>
  <si>
    <t>ibm-clearcase</t>
  </si>
  <si>
    <t>ibm-clearquest</t>
  </si>
  <si>
    <t>ibm-connect-direct</t>
  </si>
  <si>
    <t>ibm-control-center</t>
  </si>
  <si>
    <t>ibm-director</t>
  </si>
  <si>
    <t>ibm-mobile-connect</t>
  </si>
  <si>
    <t>ibm-rmc</t>
  </si>
  <si>
    <t>ibm-soliddb</t>
  </si>
  <si>
    <t>ibm-spectrum-lsf</t>
  </si>
  <si>
    <t>ibm-spectrum-scale</t>
  </si>
  <si>
    <t>ibm-websphere-mq</t>
  </si>
  <si>
    <t>icap</t>
  </si>
  <si>
    <t>iccp</t>
  </si>
  <si>
    <t>iccp-base</t>
  </si>
  <si>
    <t>iccp-define-named-type</t>
  </si>
  <si>
    <t>iccp-define-named-variable</t>
  </si>
  <si>
    <t>iccp-define-named-variable-list</t>
  </si>
  <si>
    <t>iccp-define-scattered-access</t>
  </si>
  <si>
    <t>iccp-define-semaphore</t>
  </si>
  <si>
    <t>iccp-delete-named-type</t>
  </si>
  <si>
    <t>iccp-delete-named-variable-list</t>
  </si>
  <si>
    <t>iccp-delete-semaphore</t>
  </si>
  <si>
    <t>iccp-delete-variable-access</t>
  </si>
  <si>
    <t>iccp-download-segment</t>
  </si>
  <si>
    <t>iccp-get-name-list</t>
  </si>
  <si>
    <t>iccp-get-named-type-attr</t>
  </si>
  <si>
    <t>iccp-get-named-var-list-attr</t>
  </si>
  <si>
    <t>iccp-get-scattered-access-attr</t>
  </si>
  <si>
    <t>iccp-get-variable-access-attr</t>
  </si>
  <si>
    <t>iccp-identity</t>
  </si>
  <si>
    <t>iccp-initiate-download-seq</t>
  </si>
  <si>
    <t>iccp-initiate-upload-seq</t>
  </si>
  <si>
    <t>iccp-input</t>
  </si>
  <si>
    <t>iccp-output</t>
  </si>
  <si>
    <t>iccp-read</t>
  </si>
  <si>
    <t>iccp-relinquish-control</t>
  </si>
  <si>
    <t>iccp-rename</t>
  </si>
  <si>
    <t>iccp-report-pool-sem-status</t>
  </si>
  <si>
    <t>iccp-report-sem-entry-status</t>
  </si>
  <si>
    <t>iccp-report-semaphore-status</t>
  </si>
  <si>
    <t>iccp-status</t>
  </si>
  <si>
    <t>iccp-take-control</t>
  </si>
  <si>
    <t>iccp-terminate-download-seq</t>
  </si>
  <si>
    <t>iccp-write</t>
  </si>
  <si>
    <t>icecast</t>
  </si>
  <si>
    <t>ichat-av</t>
  </si>
  <si>
    <t>icloud</t>
  </si>
  <si>
    <t>icloud-base</t>
  </si>
  <si>
    <t>icloud-downloading</t>
  </si>
  <si>
    <t>icloud-mail</t>
  </si>
  <si>
    <t>icloud-uploading</t>
  </si>
  <si>
    <t>icmp</t>
  </si>
  <si>
    <t>icmpsh</t>
  </si>
  <si>
    <t>icq</t>
  </si>
  <si>
    <t>icq2go</t>
  </si>
  <si>
    <t>idal-ftp-server</t>
  </si>
  <si>
    <t>idal-webserver</t>
  </si>
  <si>
    <t>idpr</t>
  </si>
  <si>
    <t>idpr-cmtp</t>
  </si>
  <si>
    <t>idrp</t>
  </si>
  <si>
    <t>iec-61850</t>
  </si>
  <si>
    <t>iec-61850-base</t>
  </si>
  <si>
    <t>iec-61850-delete-named-var-list</t>
  </si>
  <si>
    <t>iec-61850-getdatadir</t>
  </si>
  <si>
    <t>ieee-ptp</t>
  </si>
  <si>
    <t>ifile.it</t>
  </si>
  <si>
    <t>ifix</t>
  </si>
  <si>
    <t>ifm-vision-assistant</t>
  </si>
  <si>
    <t>ifm-vision-discovery</t>
  </si>
  <si>
    <t>ifmp</t>
  </si>
  <si>
    <t>ifolder</t>
  </si>
  <si>
    <t>igel</t>
  </si>
  <si>
    <t>igel-base</t>
  </si>
  <si>
    <t>igel-online-check</t>
  </si>
  <si>
    <t>igloo-software</t>
  </si>
  <si>
    <t>igmp</t>
  </si>
  <si>
    <t>ignition-gateway-discovery</t>
  </si>
  <si>
    <t>igp</t>
  </si>
  <si>
    <t>iheartradio</t>
  </si>
  <si>
    <t>ipsec</t>
  </si>
  <si>
    <t>ike</t>
  </si>
  <si>
    <t>ipsec-ah</t>
  </si>
  <si>
    <t>ipsec-esp</t>
  </si>
  <si>
    <t>ipsec-esp-udp</t>
  </si>
  <si>
    <t>il</t>
  </si>
  <si>
    <t>ilohamail</t>
  </si>
  <si>
    <t>iloveim</t>
  </si>
  <si>
    <t>im-plus</t>
  </si>
  <si>
    <t>imagenow</t>
  </si>
  <si>
    <t>ime-actia-vci</t>
  </si>
  <si>
    <t>imeem</t>
  </si>
  <si>
    <t>imeet</t>
  </si>
  <si>
    <t>imeet-base</t>
  </si>
  <si>
    <t>imeet-file-transfer</t>
  </si>
  <si>
    <t>imesh</t>
  </si>
  <si>
    <t>imgur</t>
  </si>
  <si>
    <t>imgur-base</t>
  </si>
  <si>
    <t>imgur-uploading</t>
  </si>
  <si>
    <t>imhaha</t>
  </si>
  <si>
    <t>imo</t>
  </si>
  <si>
    <t>imvu</t>
  </si>
  <si>
    <t>infoblox-grid</t>
  </si>
  <si>
    <t>infoprint</t>
  </si>
  <si>
    <t>infor-erp-ln</t>
  </si>
  <si>
    <t>inforeach</t>
  </si>
  <si>
    <t>informatica-cloud</t>
  </si>
  <si>
    <t>informix</t>
  </si>
  <si>
    <t>infront</t>
  </si>
  <si>
    <t>infusionsoft</t>
  </si>
  <si>
    <t>ingenico-pos</t>
  </si>
  <si>
    <t>innovative</t>
  </si>
  <si>
    <t>insightly-crm</t>
  </si>
  <si>
    <t>instagram</t>
  </si>
  <si>
    <t>instagram-base</t>
  </si>
  <si>
    <t>instagram-create</t>
  </si>
  <si>
    <t>instagram-delete</t>
  </si>
  <si>
    <t>instagram-edit</t>
  </si>
  <si>
    <t>instagram-post</t>
  </si>
  <si>
    <t>instagram-upload</t>
  </si>
  <si>
    <t>instan-t</t>
  </si>
  <si>
    <t>instan-t-base</t>
  </si>
  <si>
    <t>instan-t-file-transfer</t>
  </si>
  <si>
    <t>instan-t-webmessenger</t>
  </si>
  <si>
    <t>intacct</t>
  </si>
  <si>
    <t>interactive-brokers</t>
  </si>
  <si>
    <t>intercall</t>
  </si>
  <si>
    <t>intersystems-cache</t>
  </si>
  <si>
    <t>intervals</t>
  </si>
  <si>
    <t>intuit-quickbase</t>
  </si>
  <si>
    <t>intuitive-davinci-onsite</t>
  </si>
  <si>
    <t>invil-messenger</t>
  </si>
  <si>
    <t>ip-in-ip</t>
  </si>
  <si>
    <t>ip-messenger</t>
  </si>
  <si>
    <t>ip-messenger-base</t>
  </si>
  <si>
    <t>ip-messenger-file-transfer</t>
  </si>
  <si>
    <t>ipa-polling-scrub-ex</t>
  </si>
  <si>
    <t>ipa-scrub-eralexservice</t>
  </si>
  <si>
    <t>ipcomp</t>
  </si>
  <si>
    <t>ipcv</t>
  </si>
  <si>
    <t>iperf</t>
  </si>
  <si>
    <t>ipfs</t>
  </si>
  <si>
    <t>ipip</t>
  </si>
  <si>
    <t>ipl</t>
  </si>
  <si>
    <t>iplt</t>
  </si>
  <si>
    <t>ipp</t>
  </si>
  <si>
    <t>ippc</t>
  </si>
  <si>
    <t>ipv6</t>
  </si>
  <si>
    <t>ipv6-frag</t>
  </si>
  <si>
    <t>ipv6-icmp</t>
  </si>
  <si>
    <t>ipv6-icmp-base</t>
  </si>
  <si>
    <t>ping6</t>
  </si>
  <si>
    <t>ipv6-nonxt</t>
  </si>
  <si>
    <t>ipv6-opts</t>
  </si>
  <si>
    <t>ipv6-route</t>
  </si>
  <si>
    <t>ipvanish</t>
  </si>
  <si>
    <t>ipx-in-ip</t>
  </si>
  <si>
    <t>iqiyi</t>
  </si>
  <si>
    <t>irc</t>
  </si>
  <si>
    <t>irc-base</t>
  </si>
  <si>
    <t>irc-dcc-chat</t>
  </si>
  <si>
    <t>irc-dcc-file-transfer</t>
  </si>
  <si>
    <t>irc-dcc-whiteboard</t>
  </si>
  <si>
    <t>irig-106</t>
  </si>
  <si>
    <t>irods</t>
  </si>
  <si>
    <t>ironmountain-connected</t>
  </si>
  <si>
    <t>irtp</t>
  </si>
  <si>
    <t>isatap</t>
  </si>
  <si>
    <t>iscsi</t>
  </si>
  <si>
    <t>isilon-synciq</t>
  </si>
  <si>
    <t>isis</t>
  </si>
  <si>
    <t>isl-light</t>
  </si>
  <si>
    <t>iso-8583</t>
  </si>
  <si>
    <t>iso-ip</t>
  </si>
  <si>
    <t>iso-tp4</t>
  </si>
  <si>
    <t>issuu</t>
  </si>
  <si>
    <t>issuu-base</t>
  </si>
  <si>
    <t>issuu-uploading</t>
  </si>
  <si>
    <t>italkbb-chinese-tv</t>
  </si>
  <si>
    <t>itarian</t>
  </si>
  <si>
    <t>itunes</t>
  </si>
  <si>
    <t>itunes-appstore</t>
  </si>
  <si>
    <t>itunes-base</t>
  </si>
  <si>
    <t>itunes-mediastore</t>
  </si>
  <si>
    <t>itv-player</t>
  </si>
  <si>
    <t>itwin</t>
  </si>
  <si>
    <t>ivef</t>
  </si>
  <si>
    <t>ixload</t>
  </si>
  <si>
    <t>jabber</t>
  </si>
  <si>
    <t>jamf</t>
  </si>
  <si>
    <t>jamsscheduler</t>
  </si>
  <si>
    <t>jandi</t>
  </si>
  <si>
    <t>jango</t>
  </si>
  <si>
    <t>jap</t>
  </si>
  <si>
    <t>jasper-ai</t>
  </si>
  <si>
    <t>jasper-ai-base</t>
  </si>
  <si>
    <t>jasper-ai-create</t>
  </si>
  <si>
    <t>jasper-ai-delete</t>
  </si>
  <si>
    <t>jasper-ai-download</t>
  </si>
  <si>
    <t>jasper-ai-uploading</t>
  </si>
  <si>
    <t>jaspersoft</t>
  </si>
  <si>
    <t>java-update</t>
  </si>
  <si>
    <t>jdi-onlinebackupstorage</t>
  </si>
  <si>
    <t>jenkins</t>
  </si>
  <si>
    <t>jepptech-updates</t>
  </si>
  <si>
    <t>jfrog-artifactory</t>
  </si>
  <si>
    <t>jiomeet</t>
  </si>
  <si>
    <t>jiomeet-base</t>
  </si>
  <si>
    <t>jiomeet-chat</t>
  </si>
  <si>
    <t>jiomeet-downloading</t>
  </si>
  <si>
    <t>jiomeet-screen-sharing</t>
  </si>
  <si>
    <t>jiomeet-uploading</t>
  </si>
  <si>
    <t>jira</t>
  </si>
  <si>
    <t>jira-atlassian-intel</t>
  </si>
  <si>
    <t>jira-base</t>
  </si>
  <si>
    <t>jira-create</t>
  </si>
  <si>
    <t>jira-delete</t>
  </si>
  <si>
    <t>jira-downloading</t>
  </si>
  <si>
    <t>jira-editing</t>
  </si>
  <si>
    <t>jira-posting</t>
  </si>
  <si>
    <t>jira-share</t>
  </si>
  <si>
    <t>jira-uploading</t>
  </si>
  <si>
    <t>jmux</t>
  </si>
  <si>
    <t>jnet</t>
  </si>
  <si>
    <t>jobvite</t>
  </si>
  <si>
    <t>johnson-controls-metasys</t>
  </si>
  <si>
    <t>join-me</t>
  </si>
  <si>
    <t>join-me-base</t>
  </si>
  <si>
    <t>join-me-file-transfer</t>
  </si>
  <si>
    <t>joost</t>
  </si>
  <si>
    <t>jotspot-editing</t>
  </si>
  <si>
    <t>jsecoin</t>
  </si>
  <si>
    <t>json-rpc</t>
  </si>
  <si>
    <t>jubii</t>
  </si>
  <si>
    <t>jumpdesktop</t>
  </si>
  <si>
    <t>jumpshare</t>
  </si>
  <si>
    <t>jumpshare-base</t>
  </si>
  <si>
    <t>jumpshare-uploading</t>
  </si>
  <si>
    <t>jungledisk</t>
  </si>
  <si>
    <t>juniper-nsm</t>
  </si>
  <si>
    <t>justin.tv</t>
  </si>
  <si>
    <t>jxta</t>
  </si>
  <si>
    <t>kace</t>
  </si>
  <si>
    <t>kafka</t>
  </si>
  <si>
    <t>kahootz</t>
  </si>
  <si>
    <t>kaixin</t>
  </si>
  <si>
    <t>kaixin-base</t>
  </si>
  <si>
    <t>kaixin-chat</t>
  </si>
  <si>
    <t>kaixin-mail</t>
  </si>
  <si>
    <t>kaixin001</t>
  </si>
  <si>
    <t>kaixin001-base</t>
  </si>
  <si>
    <t>kaixin001-mail</t>
  </si>
  <si>
    <t>kakaomap</t>
  </si>
  <si>
    <t>kakaotalk</t>
  </si>
  <si>
    <t>kakaotalk-audio-chat</t>
  </si>
  <si>
    <t>kakaotalk-base</t>
  </si>
  <si>
    <t>kakaotalk-file-transfer</t>
  </si>
  <si>
    <t>kakaotv</t>
  </si>
  <si>
    <t>kaltura</t>
  </si>
  <si>
    <t>kaltura-base</t>
  </si>
  <si>
    <t>kaltura-mediaspace-downloading</t>
  </si>
  <si>
    <t>kaltura-mediaspace-posting</t>
  </si>
  <si>
    <t>kaltura-mediaspace-sharing</t>
  </si>
  <si>
    <t>kaltura-mediaspace-uploading</t>
  </si>
  <si>
    <t>kami</t>
  </si>
  <si>
    <t>kanban-tool</t>
  </si>
  <si>
    <t>kanbanize</t>
  </si>
  <si>
    <t>kaseya</t>
  </si>
  <si>
    <t>kaspersky</t>
  </si>
  <si>
    <t>kaspersky-ksn</t>
  </si>
  <si>
    <t>kaspersky-netagent</t>
  </si>
  <si>
    <t>kayako</t>
  </si>
  <si>
    <t>kazaa</t>
  </si>
  <si>
    <t>keek</t>
  </si>
  <si>
    <t>kerberos</t>
  </si>
  <si>
    <t>kerio-vpn</t>
  </si>
  <si>
    <t>keybase</t>
  </si>
  <si>
    <t>keyence-autoid-network-nav</t>
  </si>
  <si>
    <t>keyence-kv-studio</t>
  </si>
  <si>
    <t>keyence-kv-studio-discovery</t>
  </si>
  <si>
    <t>keyence-vision-sensor</t>
  </si>
  <si>
    <t>keyence-vision-system</t>
  </si>
  <si>
    <t>keyholetv</t>
  </si>
  <si>
    <t>keynote</t>
  </si>
  <si>
    <t>keynote-base</t>
  </si>
  <si>
    <t>keynote-uploading</t>
  </si>
  <si>
    <t>khan-academy</t>
  </si>
  <si>
    <t>khelpdesk-remote-control</t>
  </si>
  <si>
    <t>kik</t>
  </si>
  <si>
    <t>kino</t>
  </si>
  <si>
    <t>kintone</t>
  </si>
  <si>
    <t>kissflow</t>
  </si>
  <si>
    <t>kiwoom-hts</t>
  </si>
  <si>
    <t>kixie</t>
  </si>
  <si>
    <t>kkbox</t>
  </si>
  <si>
    <t>klogin</t>
  </si>
  <si>
    <t>knight-online</t>
  </si>
  <si>
    <t>knxnet-ip</t>
  </si>
  <si>
    <t>knxnet-ip-base</t>
  </si>
  <si>
    <t>knxnet-ip-configuration-request</t>
  </si>
  <si>
    <t>knxnet-ip-connect-request</t>
  </si>
  <si>
    <t>knxnet-ip-connection-state-req</t>
  </si>
  <si>
    <t>knxnet-ip-description-request</t>
  </si>
  <si>
    <t>knxnet-ip-disconnect-request</t>
  </si>
  <si>
    <t>knxnet-ip-search-request</t>
  </si>
  <si>
    <t>knxnet-ip-tunnelling-request</t>
  </si>
  <si>
    <t>kontiki</t>
  </si>
  <si>
    <t>koolim</t>
  </si>
  <si>
    <t>korea-webmail</t>
  </si>
  <si>
    <t>kproxy</t>
  </si>
  <si>
    <t>krisp</t>
  </si>
  <si>
    <t>krisp-base</t>
  </si>
  <si>
    <t>krisp-delete</t>
  </si>
  <si>
    <t>krisp-share</t>
  </si>
  <si>
    <t>kryptolan</t>
  </si>
  <si>
    <t>kt-ucloud</t>
  </si>
  <si>
    <t>ku6</t>
  </si>
  <si>
    <t>kuaishou</t>
  </si>
  <si>
    <t>kugoo</t>
  </si>
  <si>
    <t>kugou</t>
  </si>
  <si>
    <t>kuka-roboter-dev-info-service</t>
  </si>
  <si>
    <t>kwiksurveys</t>
  </si>
  <si>
    <t>kwiksurveys-base</t>
  </si>
  <si>
    <t>kwiksurveys-uploading</t>
  </si>
  <si>
    <t>l2tp</t>
  </si>
  <si>
    <t>labnol-proxy</t>
  </si>
  <si>
    <t>laconica</t>
  </si>
  <si>
    <t>laiwang</t>
  </si>
  <si>
    <t>laiwang-base</t>
  </si>
  <si>
    <t>laiwang-file-transfer</t>
  </si>
  <si>
    <t>lan</t>
  </si>
  <si>
    <t>landesk</t>
  </si>
  <si>
    <t>landesk-base</t>
  </si>
  <si>
    <t>landesk-inventory</t>
  </si>
  <si>
    <t>lanschool</t>
  </si>
  <si>
    <t>lantern</t>
  </si>
  <si>
    <t>larp</t>
  </si>
  <si>
    <t>last.fm</t>
  </si>
  <si>
    <t>lastpass</t>
  </si>
  <si>
    <t>lawson-m3</t>
  </si>
  <si>
    <t>ldap</t>
  </si>
  <si>
    <t>leaf-1</t>
  </si>
  <si>
    <t>leaf-2</t>
  </si>
  <si>
    <t>league-of-legends</t>
  </si>
  <si>
    <t>leankit</t>
  </si>
  <si>
    <t>leapfile</t>
  </si>
  <si>
    <t>learnosity</t>
  </si>
  <si>
    <t>lemon8</t>
  </si>
  <si>
    <t>lenel-isc</t>
  </si>
  <si>
    <t>letv</t>
  </si>
  <si>
    <t>level</t>
  </si>
  <si>
    <t>lexmark-hbn3</t>
  </si>
  <si>
    <t>lg-uplus-neturo</t>
  </si>
  <si>
    <t>libero-video</t>
  </si>
  <si>
    <t>lifecam</t>
  </si>
  <si>
    <t>lifesize</t>
  </si>
  <si>
    <t>lightning.ai</t>
  </si>
  <si>
    <t>lightning.ai-base</t>
  </si>
  <si>
    <t>lightning.ai-delete</t>
  </si>
  <si>
    <t>lightning.ai-download</t>
  </si>
  <si>
    <t>lightning.ai-upload</t>
  </si>
  <si>
    <t>limelight</t>
  </si>
  <si>
    <t>limesurvey</t>
  </si>
  <si>
    <t>limesurvey-base</t>
  </si>
  <si>
    <t>limesurvey-uploading</t>
  </si>
  <si>
    <t>lineage</t>
  </si>
  <si>
    <t>linkedin</t>
  </si>
  <si>
    <t>linkedin-apps</t>
  </si>
  <si>
    <t>linkedin-base</t>
  </si>
  <si>
    <t>linkedin-delete</t>
  </si>
  <si>
    <t>linkedin-downloading</t>
  </si>
  <si>
    <t>linkedin-editing</t>
  </si>
  <si>
    <t>linkedin-intro</t>
  </si>
  <si>
    <t>linkedin-learning</t>
  </si>
  <si>
    <t>linkedin-learning-downloading</t>
  </si>
  <si>
    <t>linkedin-learning-editing</t>
  </si>
  <si>
    <t>linkedin-learning-posting</t>
  </si>
  <si>
    <t>linkedin-learning-video</t>
  </si>
  <si>
    <t>linkedin-mail</t>
  </si>
  <si>
    <t>linkedin-posting</t>
  </si>
  <si>
    <t>linkedin-reactions</t>
  </si>
  <si>
    <t>linkedin-uploading</t>
  </si>
  <si>
    <t>lionschat</t>
  </si>
  <si>
    <t>lis2a2</t>
  </si>
  <si>
    <t>litecoin</t>
  </si>
  <si>
    <t>litemanager</t>
  </si>
  <si>
    <t>little-fighter</t>
  </si>
  <si>
    <t>live-meeting</t>
  </si>
  <si>
    <t>live-mesh</t>
  </si>
  <si>
    <t>live-mesh-base</t>
  </si>
  <si>
    <t>live-mesh-remote-desktop</t>
  </si>
  <si>
    <t>live-mesh-sync</t>
  </si>
  <si>
    <t>live365</t>
  </si>
  <si>
    <t>livejournal</t>
  </si>
  <si>
    <t>livelink</t>
  </si>
  <si>
    <t>livenewschat</t>
  </si>
  <si>
    <t>liveperson</t>
  </si>
  <si>
    <t>livestation</t>
  </si>
  <si>
    <t>livestream</t>
  </si>
  <si>
    <t>llmnr</t>
  </si>
  <si>
    <t>localtunnel</t>
  </si>
  <si>
    <t>logentries</t>
  </si>
  <si>
    <t>logitech-webcam</t>
  </si>
  <si>
    <t>loglogic</t>
  </si>
  <si>
    <t>logmein</t>
  </si>
  <si>
    <t>logmeinrescue</t>
  </si>
  <si>
    <t>lokalisten</t>
  </si>
  <si>
    <t>lontalk</t>
  </si>
  <si>
    <t>lontalk-apdu</t>
  </si>
  <si>
    <t>lontalk-auth-pdu</t>
  </si>
  <si>
    <t>lontalk-base</t>
  </si>
  <si>
    <t>lontalk-spdu</t>
  </si>
  <si>
    <t>lontalk-tpdu</t>
  </si>
  <si>
    <t>lookout</t>
  </si>
  <si>
    <t>loomio</t>
  </si>
  <si>
    <t>lotus-notes</t>
  </si>
  <si>
    <t>lotus-notes-admin</t>
  </si>
  <si>
    <t>lotus-notes-base</t>
  </si>
  <si>
    <t>lotus-sametime</t>
  </si>
  <si>
    <t>lotuslive</t>
  </si>
  <si>
    <t>lotuslive-base</t>
  </si>
  <si>
    <t>lotuslive-file-sharing</t>
  </si>
  <si>
    <t>lotuslive-inotes</t>
  </si>
  <si>
    <t>lotuslive-meeting</t>
  </si>
  <si>
    <t>lotuslive-meeting-apps-sharing</t>
  </si>
  <si>
    <t>lotuslive-meeting-file-sharing</t>
  </si>
  <si>
    <t>lovable</t>
  </si>
  <si>
    <t>lpd</t>
  </si>
  <si>
    <t>lrs-output-management</t>
  </si>
  <si>
    <t>lsi-raid-management</t>
  </si>
  <si>
    <t>lucidchart</t>
  </si>
  <si>
    <t>lucidpress</t>
  </si>
  <si>
    <t>lucidpress-base</t>
  </si>
  <si>
    <t>lucidpress-editing</t>
  </si>
  <si>
    <t>luxriot-evo</t>
  </si>
  <si>
    <t>lwapp</t>
  </si>
  <si>
    <t>m3ua</t>
  </si>
  <si>
    <t>mabber</t>
  </si>
  <si>
    <t>magfs</t>
  </si>
  <si>
    <t>magicjack</t>
  </si>
  <si>
    <t>magister</t>
  </si>
  <si>
    <t>mail.com</t>
  </si>
  <si>
    <t>mail.ru-agent</t>
  </si>
  <si>
    <t>mail.ru-agent-base</t>
  </si>
  <si>
    <t>mail.ru-agent-file-transfer</t>
  </si>
  <si>
    <t>mail.ru</t>
  </si>
  <si>
    <t>mail.ru-base</t>
  </si>
  <si>
    <t>mail.ru-games</t>
  </si>
  <si>
    <t>mail.ru-mail</t>
  </si>
  <si>
    <t>mail.ru-moimir</t>
  </si>
  <si>
    <t>mail.ru-webagent</t>
  </si>
  <si>
    <t>mailchimp</t>
  </si>
  <si>
    <t>malwarebytes</t>
  </si>
  <si>
    <t>manageengine-remote</t>
  </si>
  <si>
    <t>manageengine-remote-base</t>
  </si>
  <si>
    <t>manageengine-remote-download</t>
  </si>
  <si>
    <t>manageengine-remote-logout</t>
  </si>
  <si>
    <t>manageengine-remote-upload</t>
  </si>
  <si>
    <t>manet</t>
  </si>
  <si>
    <t>manolito</t>
  </si>
  <si>
    <t>mapi-over-http</t>
  </si>
  <si>
    <t>maplestory</t>
  </si>
  <si>
    <t>market-q</t>
  </si>
  <si>
    <t>marklogic-xdbc</t>
  </si>
  <si>
    <t>masimo</t>
  </si>
  <si>
    <t>masimo-v4</t>
  </si>
  <si>
    <t>mastodon</t>
  </si>
  <si>
    <t>matlab</t>
  </si>
  <si>
    <t>matrikon-tunneller</t>
  </si>
  <si>
    <t>matrix</t>
  </si>
  <si>
    <t>maxdb</t>
  </si>
  <si>
    <t>maytech</t>
  </si>
  <si>
    <t>maytech-base</t>
  </si>
  <si>
    <t>maytech-downloading</t>
  </si>
  <si>
    <t>maytech-share</t>
  </si>
  <si>
    <t>maytech-uploading</t>
  </si>
  <si>
    <t>mcafee</t>
  </si>
  <si>
    <t>mcafee-endpoint-encryption</t>
  </si>
  <si>
    <t>mcafee-epo-admin</t>
  </si>
  <si>
    <t>mcafee-move-av</t>
  </si>
  <si>
    <t>mcafee-update</t>
  </si>
  <si>
    <t>mcidas-x</t>
  </si>
  <si>
    <t>me2day</t>
  </si>
  <si>
    <t>meabox</t>
  </si>
  <si>
    <t>mediafire</t>
  </si>
  <si>
    <t>mediamax</t>
  </si>
  <si>
    <t>mediawiki-editing</t>
  </si>
  <si>
    <t>medium-im</t>
  </si>
  <si>
    <t>medtox-scan-reader</t>
  </si>
  <si>
    <t>meebo</t>
  </si>
  <si>
    <t>meebo-base</t>
  </si>
  <si>
    <t>meebo-file-transfer</t>
  </si>
  <si>
    <t>meebo-repeater</t>
  </si>
  <si>
    <t>meebome</t>
  </si>
  <si>
    <t>meerkat</t>
  </si>
  <si>
    <t>meetgeek</t>
  </si>
  <si>
    <t>meetgeek-base</t>
  </si>
  <si>
    <t>meetgeek-create</t>
  </si>
  <si>
    <t>meetgeek-delete</t>
  </si>
  <si>
    <t>meetgeek-download</t>
  </si>
  <si>
    <t>meetgeek-edit</t>
  </si>
  <si>
    <t>meetgeek-share</t>
  </si>
  <si>
    <t>meetgeek-upload</t>
  </si>
  <si>
    <t>meeting-maker</t>
  </si>
  <si>
    <t>meetro</t>
  </si>
  <si>
    <t>meetup</t>
  </si>
  <si>
    <t>meetup-base</t>
  </si>
  <si>
    <t>meetup-email</t>
  </si>
  <si>
    <t>meetup-forum</t>
  </si>
  <si>
    <t>meevee</t>
  </si>
  <si>
    <t>mega</t>
  </si>
  <si>
    <t>mega-base</t>
  </si>
  <si>
    <t>megachat</t>
  </si>
  <si>
    <t>megaproxy</t>
  </si>
  <si>
    <t>megashare</t>
  </si>
  <si>
    <t>megashares</t>
  </si>
  <si>
    <t>megaupload</t>
  </si>
  <si>
    <t>megavideo</t>
  </si>
  <si>
    <t>meinvz</t>
  </si>
  <si>
    <t>mekusharim</t>
  </si>
  <si>
    <t>meldium</t>
  </si>
  <si>
    <t>member365</t>
  </si>
  <si>
    <t>memcached</t>
  </si>
  <si>
    <t>mendeley</t>
  </si>
  <si>
    <t>mendeley-base</t>
  </si>
  <si>
    <t>mendeley-uploading</t>
  </si>
  <si>
    <t>meraki-cloud-controller</t>
  </si>
  <si>
    <t>mercurial</t>
  </si>
  <si>
    <t>mercurial-base</t>
  </si>
  <si>
    <t>mercurial-uploading</t>
  </si>
  <si>
    <t>merge-cardio</t>
  </si>
  <si>
    <t>merit-inp</t>
  </si>
  <si>
    <t>mersive-solstice-pod</t>
  </si>
  <si>
    <t>meru-l3-ap-comm</t>
  </si>
  <si>
    <t>meru-l3-ap-data</t>
  </si>
  <si>
    <t>meru-l3-ap-discovery</t>
  </si>
  <si>
    <t>messengerfx</t>
  </si>
  <si>
    <t>meta4</t>
  </si>
  <si>
    <t>metacafe</t>
  </si>
  <si>
    <t>metatrader</t>
  </si>
  <si>
    <t>mfe-nsp</t>
  </si>
  <si>
    <t>mgcp</t>
  </si>
  <si>
    <t>mgoon</t>
  </si>
  <si>
    <t>mibbit</t>
  </si>
  <si>
    <t>micp</t>
  </si>
  <si>
    <t>micros</t>
  </si>
  <si>
    <t>microsoft-dynamics-crm</t>
  </si>
  <si>
    <t>ms-office365</t>
  </si>
  <si>
    <t>microsoft-excel</t>
  </si>
  <si>
    <t>ms-copilot-studio</t>
  </si>
  <si>
    <t>ms-copilot-studio-create</t>
  </si>
  <si>
    <t>ms-copilot-studio-delete</t>
  </si>
  <si>
    <t>ms-copilot-studio-download</t>
  </si>
  <si>
    <t>ms-copilot-studio-post</t>
  </si>
  <si>
    <t>ms-copilot-studio-upload</t>
  </si>
  <si>
    <t>ms-lync-online</t>
  </si>
  <si>
    <t>ms-lync-online-apps-sharing</t>
  </si>
  <si>
    <t>ms-lync-online-file-transfer</t>
  </si>
  <si>
    <t>ms-office365-base</t>
  </si>
  <si>
    <t>ms-office365-copilot</t>
  </si>
  <si>
    <t>ms-office365-copilot-delete</t>
  </si>
  <si>
    <t>ms-office365-copilot-edit</t>
  </si>
  <si>
    <t>ms-office365-copilot-upload</t>
  </si>
  <si>
    <t>ms-onedrive-business</t>
  </si>
  <si>
    <t>ms-onedrive-business-create</t>
  </si>
  <si>
    <t>ms-onedrive-business-delete</t>
  </si>
  <si>
    <t>ms-onedrive-business-download</t>
  </si>
  <si>
    <t>ms-onedrive-business-share</t>
  </si>
  <si>
    <t>ms-onedrive-business-upload</t>
  </si>
  <si>
    <t>ms-outlook-delete</t>
  </si>
  <si>
    <t>ms-outlook-downloading</t>
  </si>
  <si>
    <t>ms-outlook-edit</t>
  </si>
  <si>
    <t>ms-outlook-move</t>
  </si>
  <si>
    <t>ms-outlook-personal-uploading</t>
  </si>
  <si>
    <t>ms-outlook-send</t>
  </si>
  <si>
    <t>ms-outlook-uploading</t>
  </si>
  <si>
    <t>ms-powerapps</t>
  </si>
  <si>
    <t>ms-powerapps-copy</t>
  </si>
  <si>
    <t>ms-powerapps-create</t>
  </si>
  <si>
    <t>ms-powerapps-delete</t>
  </si>
  <si>
    <t>ms-powerapps-download</t>
  </si>
  <si>
    <t>ms-powerapps-edit</t>
  </si>
  <si>
    <t>ms-powerapps-post</t>
  </si>
  <si>
    <t>ms-powerapps-share</t>
  </si>
  <si>
    <t>ms-powerbi</t>
  </si>
  <si>
    <t>ms-powerbi-downloading</t>
  </si>
  <si>
    <t>ms-powerbi-uploading</t>
  </si>
  <si>
    <t>ms-powerpoint-online</t>
  </si>
  <si>
    <t>ms-powerpoint-online-uploading</t>
  </si>
  <si>
    <t>ms-teams</t>
  </si>
  <si>
    <t>ms-teams-audio-video</t>
  </si>
  <si>
    <t>ms-teams-create</t>
  </si>
  <si>
    <t>ms-teams-delete</t>
  </si>
  <si>
    <t>ms-teams-downloading</t>
  </si>
  <si>
    <t>ms-teams-editing</t>
  </si>
  <si>
    <t>ms-teams-invite</t>
  </si>
  <si>
    <t>ms-teams-join</t>
  </si>
  <si>
    <t>ms-teams-live-event</t>
  </si>
  <si>
    <t>ms-teams-posting</t>
  </si>
  <si>
    <t>ms-teams-sharing</t>
  </si>
  <si>
    <t>ms-teams-uploading</t>
  </si>
  <si>
    <t>office-on-demand</t>
  </si>
  <si>
    <t>outlook-web-online</t>
  </si>
  <si>
    <t>sharepoint-online</t>
  </si>
  <si>
    <t>sharepoint-online-create</t>
  </si>
  <si>
    <t>sharepoint-online-delete</t>
  </si>
  <si>
    <t>sharepoint-online-downloading</t>
  </si>
  <si>
    <t>sharepoint-online-editing</t>
  </si>
  <si>
    <t>sharepoint-online-post</t>
  </si>
  <si>
    <t>sharepoint-online-sharing</t>
  </si>
  <si>
    <t>sharepoint-online-uploading</t>
  </si>
  <si>
    <t>visual-studio-live-share</t>
  </si>
  <si>
    <t>visual-studio-live-share-relay</t>
  </si>
  <si>
    <t>microsoft-intune</t>
  </si>
  <si>
    <t>mightytext</t>
  </si>
  <si>
    <t>mikogo</t>
  </si>
  <si>
    <t>milestone-xprotect</t>
  </si>
  <si>
    <t>millenium-ils</t>
  </si>
  <si>
    <t>mimacs</t>
  </si>
  <si>
    <t>minacs-verint-recording</t>
  </si>
  <si>
    <t>mindmeister</t>
  </si>
  <si>
    <t>mindray-anesthesia</t>
  </si>
  <si>
    <t>mindray-diap</t>
  </si>
  <si>
    <t>mindray-md2</t>
  </si>
  <si>
    <t>mindray-pds-tcp-echo</t>
  </si>
  <si>
    <t>mindray-pds-udp-discover</t>
  </si>
  <si>
    <t>mindray-tm</t>
  </si>
  <si>
    <t>minecraft</t>
  </si>
  <si>
    <t>mineralt</t>
  </si>
  <si>
    <t>minus</t>
  </si>
  <si>
    <t>miro</t>
  </si>
  <si>
    <t>mirth-connect</t>
  </si>
  <si>
    <t>misslee</t>
  </si>
  <si>
    <t>mitsubishi-hmi</t>
  </si>
  <si>
    <t>mitsubishi-hmi-discovery</t>
  </si>
  <si>
    <t>mitsubishi-melsec</t>
  </si>
  <si>
    <t>mitsubishi-melsec-base</t>
  </si>
  <si>
    <t>mitsubishi-melsec-batch-blk-rd</t>
  </si>
  <si>
    <t>mitsubishi-melsec-batch-blk-rw</t>
  </si>
  <si>
    <t>mitsubishi-melsec-batch-read</t>
  </si>
  <si>
    <t>mitsubishi-melsec-batch-write</t>
  </si>
  <si>
    <t>mitsubishi-melsec-clear-error</t>
  </si>
  <si>
    <t>mitsubishi-melsec-close-file</t>
  </si>
  <si>
    <t>mitsubishi-melsec-copy-file</t>
  </si>
  <si>
    <t>mitsubishi-melsec-create-file</t>
  </si>
  <si>
    <t>mitsubishi-melsec-delete-file</t>
  </si>
  <si>
    <t>mitsubishi-melsec-entry-mon-dev</t>
  </si>
  <si>
    <t>mitsubishi-melsec-intel-func-rd</t>
  </si>
  <si>
    <t>mitsubishi-melsec-intel-func-wr</t>
  </si>
  <si>
    <t>mitsubishi-melsec-latch-clear</t>
  </si>
  <si>
    <t>mitsubishi-melsec-lbl-array-rd</t>
  </si>
  <si>
    <t>mitsubishi-melsec-lbl-array-wr</t>
  </si>
  <si>
    <t>mitsubishi-melsec-lbl-random-rd</t>
  </si>
  <si>
    <t>mitsubishi-melsec-lbl-random-wr</t>
  </si>
  <si>
    <t>mitsubishi-melsec-lock-passwd</t>
  </si>
  <si>
    <t>mitsubishi-melsec-loopback-test</t>
  </si>
  <si>
    <t>mitsubishi-melsec-mem-batch-rd</t>
  </si>
  <si>
    <t>mitsubishi-melsec-mem-batch-wr</t>
  </si>
  <si>
    <t>mitsubishi-melsec-mod-file-attr</t>
  </si>
  <si>
    <t>mitsubishi-melsec-mod-file-date</t>
  </si>
  <si>
    <t>mitsubishi-melsec-open-file</t>
  </si>
  <si>
    <t>mitsubishi-melsec-random-read</t>
  </si>
  <si>
    <t>mitsubishi-melsec-random-write</t>
  </si>
  <si>
    <t>mitsubishi-melsec-rd-file-list</t>
  </si>
  <si>
    <t>mitsubishi-melsec-read-file</t>
  </si>
  <si>
    <t>mitsubishi-melsec-read-model</t>
  </si>
  <si>
    <t>mitsubishi-melsec-read-mon-dev</t>
  </si>
  <si>
    <t>mitsubishi-melsec-remote-passwd</t>
  </si>
  <si>
    <t>mitsubishi-melsec-remote-pause</t>
  </si>
  <si>
    <t>mitsubishi-melsec-remote-reset</t>
  </si>
  <si>
    <t>mitsubishi-melsec-remote-run</t>
  </si>
  <si>
    <t>mitsubishi-melsec-remote-stop</t>
  </si>
  <si>
    <t>mitsubishi-melsec-search-file</t>
  </si>
  <si>
    <t>mitsubishi-melsec-write-file</t>
  </si>
  <si>
    <t>mitsubishi-melsec-webserver</t>
  </si>
  <si>
    <t>mitsubishi-melsoft</t>
  </si>
  <si>
    <t>mitsubishi-rt-toolbox</t>
  </si>
  <si>
    <t>mixi</t>
  </si>
  <si>
    <t>mixi-base</t>
  </si>
  <si>
    <t>mixi-posting</t>
  </si>
  <si>
    <t>mlb.tv</t>
  </si>
  <si>
    <t>mms</t>
  </si>
  <si>
    <t>mms-ics</t>
  </si>
  <si>
    <t>mms-ics-ack-event-notification</t>
  </si>
  <si>
    <t>mms-ics-additional-service</t>
  </si>
  <si>
    <t>mms-ics-alter-event-cond-monit</t>
  </si>
  <si>
    <t>mms-ics-alter-event-enroll</t>
  </si>
  <si>
    <t>mms-ics-base</t>
  </si>
  <si>
    <t>mms-ics-cancel</t>
  </si>
  <si>
    <t>mms-ics-conclude</t>
  </si>
  <si>
    <t>mms-ics-create-journal</t>
  </si>
  <si>
    <t>mms-ics-create-prog-invocation</t>
  </si>
  <si>
    <t>mms-ics-define-event-action</t>
  </si>
  <si>
    <t>mms-ics-define-event-condition</t>
  </si>
  <si>
    <t>mms-ics-define-event-enroll</t>
  </si>
  <si>
    <t>mms-ics-define-named-type</t>
  </si>
  <si>
    <t>mms-ics-define-named-var-list</t>
  </si>
  <si>
    <t>mms-ics-define-named-variable</t>
  </si>
  <si>
    <t>mms-ics-define-scattered-access</t>
  </si>
  <si>
    <t>mms-ics-define-semaphore</t>
  </si>
  <si>
    <t>mms-ics-delete-domain</t>
  </si>
  <si>
    <t>mms-ics-delete-event-action</t>
  </si>
  <si>
    <t>mms-ics-delete-event-condition</t>
  </si>
  <si>
    <t>mms-ics-delete-event-enroll</t>
  </si>
  <si>
    <t>mms-ics-delete-journal</t>
  </si>
  <si>
    <t>mms-ics-delete-named-type</t>
  </si>
  <si>
    <t>mms-ics-delete-named-var-list</t>
  </si>
  <si>
    <t>mms-ics-delete-prog-invocation</t>
  </si>
  <si>
    <t>mms-ics-delete-semaphore</t>
  </si>
  <si>
    <t>mms-ics-delete-var-access</t>
  </si>
  <si>
    <t>mms-ics-download-segment</t>
  </si>
  <si>
    <t>mms-ics-eventnotification</t>
  </si>
  <si>
    <t>mms-ics-file-close</t>
  </si>
  <si>
    <t>mms-ics-file-delete</t>
  </si>
  <si>
    <t>mms-ics-file-directory</t>
  </si>
  <si>
    <t>mms-ics-file-open</t>
  </si>
  <si>
    <t>mms-ics-file-read</t>
  </si>
  <si>
    <t>mms-ics-file-rename</t>
  </si>
  <si>
    <t>mms-ics-get-alarm-enroll-sum</t>
  </si>
  <si>
    <t>mms-ics-get-alarm-summary</t>
  </si>
  <si>
    <t>mms-ics-get-capability-list</t>
  </si>
  <si>
    <t>mms-ics-get-domain-attribute</t>
  </si>
  <si>
    <t>mms-ics-get-event-action-attr</t>
  </si>
  <si>
    <t>mms-ics-get-event-cond-attr</t>
  </si>
  <si>
    <t>mms-ics-get-event-enroll-attr</t>
  </si>
  <si>
    <t>mms-ics-get-name-list</t>
  </si>
  <si>
    <t>mms-ics-get-named-type-attr</t>
  </si>
  <si>
    <t>mms-ics-get-named-var-list-attr</t>
  </si>
  <si>
    <t>mms-ics-get-prog-invo-attr</t>
  </si>
  <si>
    <t>mms-ics-get-scatt-access-att</t>
  </si>
  <si>
    <t>mms-ics-get-var-access-attri</t>
  </si>
  <si>
    <t>mms-ics-identity</t>
  </si>
  <si>
    <t>mms-ics-informationreport</t>
  </si>
  <si>
    <t>mms-ics-initial-download-seq</t>
  </si>
  <si>
    <t>mms-ics-initialize-journal</t>
  </si>
  <si>
    <t>mms-ics-initiate-upload-seq</t>
  </si>
  <si>
    <t>mms-ics-input</t>
  </si>
  <si>
    <t>mms-ics-kill</t>
  </si>
  <si>
    <t>mms-ics-load-domain-content</t>
  </si>
  <si>
    <t>mms-ics-obtain-file</t>
  </si>
  <si>
    <t>mms-ics-output</t>
  </si>
  <si>
    <t>mms-ics-read</t>
  </si>
  <si>
    <t>mms-ics-read-journal</t>
  </si>
  <si>
    <t>mms-ics-relinquish-control</t>
  </si>
  <si>
    <t>mms-ics-rename</t>
  </si>
  <si>
    <t>mms-ics-rep-event-action-stat</t>
  </si>
  <si>
    <t>mms-ics-rep-event-enroll-stat</t>
  </si>
  <si>
    <t>mms-ics-report-event-cond-stat</t>
  </si>
  <si>
    <t>mms-ics-report-journal-status</t>
  </si>
  <si>
    <t>mms-ics-report-pool-sema-stat</t>
  </si>
  <si>
    <t>mms-ics-report-sema-entry-stat</t>
  </si>
  <si>
    <t>mms-ics-report-sema-status</t>
  </si>
  <si>
    <t>mms-ics-request-domain-download</t>
  </si>
  <si>
    <t>mms-ics-request-domain-upload</t>
  </si>
  <si>
    <t>mms-ics-reset</t>
  </si>
  <si>
    <t>mms-ics-resume</t>
  </si>
  <si>
    <t>mms-ics-start</t>
  </si>
  <si>
    <t>mms-ics-status</t>
  </si>
  <si>
    <t>mms-ics-stop</t>
  </si>
  <si>
    <t>mms-ics-store-domain-content</t>
  </si>
  <si>
    <t>mms-ics-take-control</t>
  </si>
  <si>
    <t>mms-ics-terminate-download-seq</t>
  </si>
  <si>
    <t>mms-ics-terminate-upload-seq</t>
  </si>
  <si>
    <t>mms-ics-trigger-event</t>
  </si>
  <si>
    <t>mms-ics-unsolicitedstatus</t>
  </si>
  <si>
    <t>mms-ics-upload-segment</t>
  </si>
  <si>
    <t>mms-ics-write</t>
  </si>
  <si>
    <t>mms-ics-write-journal</t>
  </si>
  <si>
    <t>mobile</t>
  </si>
  <si>
    <t>mobile-me</t>
  </si>
  <si>
    <t>mobilehdr</t>
  </si>
  <si>
    <t>mobility-xe</t>
  </si>
  <si>
    <t>mocha-rdp</t>
  </si>
  <si>
    <t>modbus</t>
  </si>
  <si>
    <t>modbus-base</t>
  </si>
  <si>
    <t>modbus-diagnostics</t>
  </si>
  <si>
    <t>modbus-encapsulated-transport</t>
  </si>
  <si>
    <t>modbus-mask-write-register</t>
  </si>
  <si>
    <t>modbus-read-coils</t>
  </si>
  <si>
    <t>modbus-read-discrete-inputs</t>
  </si>
  <si>
    <t>modbus-read-fifo-queue</t>
  </si>
  <si>
    <t>modbus-read-file-record</t>
  </si>
  <si>
    <t>modbus-read-holding-registers</t>
  </si>
  <si>
    <t>modbus-read-input-registers</t>
  </si>
  <si>
    <t>modbus-read-write-register</t>
  </si>
  <si>
    <t>modbus-report-slave-id</t>
  </si>
  <si>
    <t>modbus-write-file-record</t>
  </si>
  <si>
    <t>modbus-write-multiple-coils</t>
  </si>
  <si>
    <t>modbus-write-multiple-registers</t>
  </si>
  <si>
    <t>modbus-write-single-coil</t>
  </si>
  <si>
    <t>modbus-write-single-register</t>
  </si>
  <si>
    <t>mogulus</t>
  </si>
  <si>
    <t>moinmoin-editing</t>
  </si>
  <si>
    <t>monday</t>
  </si>
  <si>
    <t>mongodb</t>
  </si>
  <si>
    <t>mongodb-atlas</t>
  </si>
  <si>
    <t>mongodb-base</t>
  </si>
  <si>
    <t>moodle</t>
  </si>
  <si>
    <t>morningstar-posting</t>
  </si>
  <si>
    <t>mosh</t>
  </si>
  <si>
    <t>motleyfool-posting</t>
  </si>
  <si>
    <t>mount</t>
  </si>
  <si>
    <t>move-networks</t>
  </si>
  <si>
    <t>moxa-configuration</t>
  </si>
  <si>
    <t>moxa-discovery</t>
  </si>
  <si>
    <t>moxtra</t>
  </si>
  <si>
    <t>mozy</t>
  </si>
  <si>
    <t>mpeg-ts</t>
  </si>
  <si>
    <t>mpls-in-ip</t>
  </si>
  <si>
    <t>mqtt</t>
  </si>
  <si>
    <t>mqtt-base</t>
  </si>
  <si>
    <t>mqtt-connect</t>
  </si>
  <si>
    <t>mqtt-disconnect</t>
  </si>
  <si>
    <t>mqtt-publish-message</t>
  </si>
  <si>
    <t>mqtt-subscribe</t>
  </si>
  <si>
    <t>mqtt-unsubscribe</t>
  </si>
  <si>
    <t>ms-delve</t>
  </si>
  <si>
    <t>ms-dev-tunnels</t>
  </si>
  <si>
    <t>ms-dpm</t>
  </si>
  <si>
    <t>ms-ds-smb</t>
  </si>
  <si>
    <t>ms-ds-smb-base</t>
  </si>
  <si>
    <t>ms-ds-smbv1</t>
  </si>
  <si>
    <t>ms-ds-smbv2</t>
  </si>
  <si>
    <t>ms-ds-smbv3</t>
  </si>
  <si>
    <t>ms-dtc</t>
  </si>
  <si>
    <t>msrpc</t>
  </si>
  <si>
    <t>ms-event-log</t>
  </si>
  <si>
    <t>ms-local-security-management</t>
  </si>
  <si>
    <t>ms-local-user-management</t>
  </si>
  <si>
    <t>ms-remote-registry</t>
  </si>
  <si>
    <t>ms-scheduler</t>
  </si>
  <si>
    <t>ms-wmi</t>
  </si>
  <si>
    <t>ms-workstation-service</t>
  </si>
  <si>
    <t>msrpc-base</t>
  </si>
  <si>
    <t>ms-exchange</t>
  </si>
  <si>
    <t>ms-exchange-admin-center</t>
  </si>
  <si>
    <t>ms-exchange-mrs</t>
  </si>
  <si>
    <t>ms-firewall-storage</t>
  </si>
  <si>
    <t>ms-frs</t>
  </si>
  <si>
    <t>ms-groove</t>
  </si>
  <si>
    <t>ms-hyper-v-vm-connect</t>
  </si>
  <si>
    <t>ms-iis</t>
  </si>
  <si>
    <t>ms-isa-fw-client</t>
  </si>
  <si>
    <t>ms-kms</t>
  </si>
  <si>
    <t>ms-lync</t>
  </si>
  <si>
    <t>ms-lync-apps-sharing</t>
  </si>
  <si>
    <t>ms-lync-audio</t>
  </si>
  <si>
    <t>ms-lync-base</t>
  </si>
  <si>
    <t>ms-lync-content-sharing</t>
  </si>
  <si>
    <t>ms-lync-file-transfer</t>
  </si>
  <si>
    <t>ms-lync-video</t>
  </si>
  <si>
    <t>ms-mice</t>
  </si>
  <si>
    <t>ms-netlogon</t>
  </si>
  <si>
    <t>ms-nrtp</t>
  </si>
  <si>
    <t>ms-ocs</t>
  </si>
  <si>
    <t>ms-ocs-audio</t>
  </si>
  <si>
    <t>ms-ocs-file-transfer</t>
  </si>
  <si>
    <t>ms-ocs-video</t>
  </si>
  <si>
    <t>ms-onedrive</t>
  </si>
  <si>
    <t>ms-onedrive-base</t>
  </si>
  <si>
    <t>ms-onedrive-downloading</t>
  </si>
  <si>
    <t>ms-onedrive-share</t>
  </si>
  <si>
    <t>ms-onedrive-uploading</t>
  </si>
  <si>
    <t>ms-onenote</t>
  </si>
  <si>
    <t>ms-onenote-base</t>
  </si>
  <si>
    <t>ms-onenote-downloading</t>
  </si>
  <si>
    <t>ms-onenote-uploading</t>
  </si>
  <si>
    <t>ms-product-activation</t>
  </si>
  <si>
    <t>ms-quick-assist</t>
  </si>
  <si>
    <t>ms-rdp</t>
  </si>
  <si>
    <t>ms-scom</t>
  </si>
  <si>
    <t>ms-service-controller</t>
  </si>
  <si>
    <t>ms-sms</t>
  </si>
  <si>
    <t>ms-spynet</t>
  </si>
  <si>
    <t>ms-sql-analysis-service</t>
  </si>
  <si>
    <t>ms-sstp</t>
  </si>
  <si>
    <t>ms-store</t>
  </si>
  <si>
    <t>ms-update</t>
  </si>
  <si>
    <t>ms-update-optimization-p2p</t>
  </si>
  <si>
    <t>ms-virtualserver</t>
  </si>
  <si>
    <t>ms-visual-studio-dev-tunnel</t>
  </si>
  <si>
    <t>ms-visual-studio-remote-tunnel</t>
  </si>
  <si>
    <t>ms-visual-studio-tfs</t>
  </si>
  <si>
    <t>ms-visual-studio-tfs-base</t>
  </si>
  <si>
    <t>ms-visual-studio-tfs-download</t>
  </si>
  <si>
    <t>ms-visual-studio-tfs-upload</t>
  </si>
  <si>
    <t>ms-win-dns</t>
  </si>
  <si>
    <t>ms-wins</t>
  </si>
  <si>
    <t>msa-fieldserver-mgr</t>
  </si>
  <si>
    <t>msdp</t>
  </si>
  <si>
    <t>msn</t>
  </si>
  <si>
    <t>msn-base</t>
  </si>
  <si>
    <t>msn-file-transfer</t>
  </si>
  <si>
    <t>msn-video</t>
  </si>
  <si>
    <t>msn-voice</t>
  </si>
  <si>
    <t>msn-money-posting</t>
  </si>
  <si>
    <t>msn-toolbar</t>
  </si>
  <si>
    <t>msn-webmessenger</t>
  </si>
  <si>
    <t>msn2go</t>
  </si>
  <si>
    <t>msnshell</t>
  </si>
  <si>
    <t>mssql-db</t>
  </si>
  <si>
    <t>mssql-db-base</t>
  </si>
  <si>
    <t>mssql-db-encrypted</t>
  </si>
  <si>
    <t>mssql-db-unencrypted</t>
  </si>
  <si>
    <t>mssql-mon</t>
  </si>
  <si>
    <t>mtconnect</t>
  </si>
  <si>
    <t>mtp</t>
  </si>
  <si>
    <t>mud</t>
  </si>
  <si>
    <t>mult-ip</t>
  </si>
  <si>
    <t>munin</t>
  </si>
  <si>
    <t>mural</t>
  </si>
  <si>
    <t>mural-base</t>
  </si>
  <si>
    <t>mural-uploading</t>
  </si>
  <si>
    <t>murf</t>
  </si>
  <si>
    <t>murf-base</t>
  </si>
  <si>
    <t>murf-copy</t>
  </si>
  <si>
    <t>murf-create</t>
  </si>
  <si>
    <t>murf-delete</t>
  </si>
  <si>
    <t>murf-download</t>
  </si>
  <si>
    <t>murf-edit</t>
  </si>
  <si>
    <t>murf-move</t>
  </si>
  <si>
    <t>murf-share</t>
  </si>
  <si>
    <t>murf-upload</t>
  </si>
  <si>
    <t>murrelektronik-io-webserver</t>
  </si>
  <si>
    <t>musical.ly</t>
  </si>
  <si>
    <t>mute</t>
  </si>
  <si>
    <t>mux</t>
  </si>
  <si>
    <t>mycase</t>
  </si>
  <si>
    <t>mydownloader</t>
  </si>
  <si>
    <t>mygreenpc</t>
  </si>
  <si>
    <t>mymarkets</t>
  </si>
  <si>
    <t>myownconference</t>
  </si>
  <si>
    <t>myspace</t>
  </si>
  <si>
    <t>myspace-base</t>
  </si>
  <si>
    <t>myspace-im</t>
  </si>
  <si>
    <t>myspace-mail</t>
  </si>
  <si>
    <t>myspace-posting</t>
  </si>
  <si>
    <t>myspace-video</t>
  </si>
  <si>
    <t>nagios</t>
  </si>
  <si>
    <t>nakido-flag</t>
  </si>
  <si>
    <t>napster</t>
  </si>
  <si>
    <t>narp</t>
  </si>
  <si>
    <t>nasuni</t>
  </si>
  <si>
    <t>nate-mail</t>
  </si>
  <si>
    <t>nate-video</t>
  </si>
  <si>
    <t>nateon-im</t>
  </si>
  <si>
    <t>nateon-audio-video</t>
  </si>
  <si>
    <t>nateon-desktop-sharing</t>
  </si>
  <si>
    <t>nateon-file-transfer</t>
  </si>
  <si>
    <t>nateon-im-base</t>
  </si>
  <si>
    <t>nats-io</t>
  </si>
  <si>
    <t>naver-blog-posting</t>
  </si>
  <si>
    <t>naver-line</t>
  </si>
  <si>
    <t>naver-mail</t>
  </si>
  <si>
    <t>naver-ndrive</t>
  </si>
  <si>
    <t>naver-streaming</t>
  </si>
  <si>
    <t>nbc-video</t>
  </si>
  <si>
    <t>ncipher-impath</t>
  </si>
  <si>
    <t>ncp</t>
  </si>
  <si>
    <t>ncpurple</t>
  </si>
  <si>
    <t>ndmp</t>
  </si>
  <si>
    <t>nefsis</t>
  </si>
  <si>
    <t>neokast</t>
  </si>
  <si>
    <t>neonet</t>
  </si>
  <si>
    <t>neptune</t>
  </si>
  <si>
    <t>nerohut</t>
  </si>
  <si>
    <t>net-c-x</t>
  </si>
  <si>
    <t>net.tcp</t>
  </si>
  <si>
    <t>net.tcp-deployment-service</t>
  </si>
  <si>
    <t>net.tcp-device-info-service</t>
  </si>
  <si>
    <t>net2phone</t>
  </si>
  <si>
    <t>netbackup</t>
  </si>
  <si>
    <t>netbios-dg</t>
  </si>
  <si>
    <t>netbios-ns</t>
  </si>
  <si>
    <t>netbios-ss</t>
  </si>
  <si>
    <t>netblt</t>
  </si>
  <si>
    <t>netbotz</t>
  </si>
  <si>
    <t>netease-mail</t>
  </si>
  <si>
    <t>netease-webdisk</t>
  </si>
  <si>
    <t>netease-webdisk-base</t>
  </si>
  <si>
    <t>netease-webdisk-downloading</t>
  </si>
  <si>
    <t>netease-webdisk-uploading</t>
  </si>
  <si>
    <t>netezza</t>
  </si>
  <si>
    <t>netflix</t>
  </si>
  <si>
    <t>netflix-base</t>
  </si>
  <si>
    <t>netflix-streaming</t>
  </si>
  <si>
    <t>netflow</t>
  </si>
  <si>
    <t>netfolder</t>
  </si>
  <si>
    <t>netload</t>
  </si>
  <si>
    <t>netlog</t>
  </si>
  <si>
    <t>netmeeting</t>
  </si>
  <si>
    <t>netop-on-demand</t>
  </si>
  <si>
    <t>netop-remote-control</t>
  </si>
  <si>
    <t>nets</t>
  </si>
  <si>
    <t>netspoke</t>
  </si>
  <si>
    <t>netsuite</t>
  </si>
  <si>
    <t>netsupport-manager</t>
  </si>
  <si>
    <t>netvault-backup</t>
  </si>
  <si>
    <t>netviewer</t>
  </si>
  <si>
    <t>netvmg-traceroute</t>
  </si>
  <si>
    <t>netware-remote-console</t>
  </si>
  <si>
    <t>new-relic</t>
  </si>
  <si>
    <t>newrow</t>
  </si>
  <si>
    <t>newton-mail</t>
  </si>
  <si>
    <t>neximatic</t>
  </si>
  <si>
    <t>nexon-launcher</t>
  </si>
  <si>
    <t>nextmedia-video</t>
  </si>
  <si>
    <t>nfl-streaming</t>
  </si>
  <si>
    <t>nfs</t>
  </si>
  <si>
    <t>ngap</t>
  </si>
  <si>
    <t>ngrok</t>
  </si>
  <si>
    <t>niagara-fox</t>
  </si>
  <si>
    <t>nice</t>
  </si>
  <si>
    <t>niconico-douga</t>
  </si>
  <si>
    <t>nidec-ct-discovery-protocol</t>
  </si>
  <si>
    <t>nihon-kohden-patient-monitoring</t>
  </si>
  <si>
    <t>nim</t>
  </si>
  <si>
    <t>nimbuzz</t>
  </si>
  <si>
    <t>nimsh</t>
  </si>
  <si>
    <t>ning</t>
  </si>
  <si>
    <t>ning-apps</t>
  </si>
  <si>
    <t>ning-base</t>
  </si>
  <si>
    <t>ning-mail</t>
  </si>
  <si>
    <t>ning-posting</t>
  </si>
  <si>
    <t>ninjaone</t>
  </si>
  <si>
    <t>nintendo-conntest</t>
  </si>
  <si>
    <t>nintendo-wfc</t>
  </si>
  <si>
    <t>nlpcloud</t>
  </si>
  <si>
    <t>nlpcloud-api</t>
  </si>
  <si>
    <t>nlpcloud-base</t>
  </si>
  <si>
    <t>nlpcloud-delete</t>
  </si>
  <si>
    <t>nlpcloud-post</t>
  </si>
  <si>
    <t>nlpcloud-share</t>
  </si>
  <si>
    <t>nmea-sentence</t>
  </si>
  <si>
    <t>nntp</t>
  </si>
  <si>
    <t>nokia-here-maps</t>
  </si>
  <si>
    <t>nomachine</t>
  </si>
  <si>
    <t>nomadesk</t>
  </si>
  <si>
    <t>nordvpn</t>
  </si>
  <si>
    <t>norton-av-broadcast</t>
  </si>
  <si>
    <t>norton-zone</t>
  </si>
  <si>
    <t>noteworthy</t>
  </si>
  <si>
    <t>noteworthy-admin</t>
  </si>
  <si>
    <t>noteworthy-base</t>
  </si>
  <si>
    <t>notion</t>
  </si>
  <si>
    <t>notion-ai</t>
  </si>
  <si>
    <t>notion-base</t>
  </si>
  <si>
    <t>notion-delete</t>
  </si>
  <si>
    <t>notion-download</t>
  </si>
  <si>
    <t>notion-logout</t>
  </si>
  <si>
    <t>notion-upload</t>
  </si>
  <si>
    <t>notta-ai</t>
  </si>
  <si>
    <t>notta-ai-base</t>
  </si>
  <si>
    <t>notta-ai-create</t>
  </si>
  <si>
    <t>notta-ai-delete</t>
  </si>
  <si>
    <t>notta-ai-download</t>
  </si>
  <si>
    <t>notta-ai-edit</t>
  </si>
  <si>
    <t>notta-ai-move</t>
  </si>
  <si>
    <t>notta-ai-share</t>
  </si>
  <si>
    <t>novell-filr</t>
  </si>
  <si>
    <t>now-tv</t>
  </si>
  <si>
    <t>now-tv-base</t>
  </si>
  <si>
    <t>now-tv-streaming</t>
  </si>
  <si>
    <t>nsfnet-igp</t>
  </si>
  <si>
    <t>ntcip-ftp</t>
  </si>
  <si>
    <t>ntcip-sfmp</t>
  </si>
  <si>
    <t>ntcip-snmp</t>
  </si>
  <si>
    <t>ntcip-snmp-trap</t>
  </si>
  <si>
    <t>ntcip-stmp</t>
  </si>
  <si>
    <t>ntcip-tftp</t>
  </si>
  <si>
    <t>ntp-base</t>
  </si>
  <si>
    <t>ntp-non-rfc</t>
  </si>
  <si>
    <t>ntr-support</t>
  </si>
  <si>
    <t>nurgo-brainsoup</t>
  </si>
  <si>
    <t>nutanix</t>
  </si>
  <si>
    <t>nvgre</t>
  </si>
  <si>
    <t>nvp-ii</t>
  </si>
  <si>
    <t>oasys-scada</t>
  </si>
  <si>
    <t>ocpp</t>
  </si>
  <si>
    <t>ocsp</t>
  </si>
  <si>
    <t>octopus</t>
  </si>
  <si>
    <t>octopz</t>
  </si>
  <si>
    <t>octoshape</t>
  </si>
  <si>
    <t>odnoklassniki</t>
  </si>
  <si>
    <t>odnoklassniki-apps</t>
  </si>
  <si>
    <t>odnoklassniki-base</t>
  </si>
  <si>
    <t>odnoklassniki-messaging</t>
  </si>
  <si>
    <t>odrive</t>
  </si>
  <si>
    <t>office-live</t>
  </si>
  <si>
    <t>office365-consumer-access</t>
  </si>
  <si>
    <t>office365-enterprise-access</t>
  </si>
  <si>
    <t>officehard</t>
  </si>
  <si>
    <t>okta</t>
  </si>
  <si>
    <t>okurin</t>
  </si>
  <si>
    <t>olympus-endoworks</t>
  </si>
  <si>
    <t>omegle</t>
  </si>
  <si>
    <t>omnicell-dispensers</t>
  </si>
  <si>
    <t>omnidrive</t>
  </si>
  <si>
    <t>omron-fins</t>
  </si>
  <si>
    <t>omron-fins-access-right-acq</t>
  </si>
  <si>
    <t>omron-fins-access-right-facq</t>
  </si>
  <si>
    <t>omron-fins-access-right-release</t>
  </si>
  <si>
    <t>omron-fins-base</t>
  </si>
  <si>
    <t>omron-fins-clock-read</t>
  </si>
  <si>
    <t>omron-fins-clock-write</t>
  </si>
  <si>
    <t>omron-fins-connection-data-read</t>
  </si>
  <si>
    <t>omron-fins-controller-data-read</t>
  </si>
  <si>
    <t>omron-fins-controller-stat-read</t>
  </si>
  <si>
    <t>omron-fins-cycle-time-read</t>
  </si>
  <si>
    <t>omron-fins-data-link-tbl-read</t>
  </si>
  <si>
    <t>omron-fins-data-link-tbl-write</t>
  </si>
  <si>
    <t>omron-fins-error-clear</t>
  </si>
  <si>
    <t>omron-fins-error-log-clear</t>
  </si>
  <si>
    <t>omron-fins-file-copy</t>
  </si>
  <si>
    <t>omron-fins-file-data-check</t>
  </si>
  <si>
    <t>omron-fins-file-delete</t>
  </si>
  <si>
    <t>omron-fins-file-name-change</t>
  </si>
  <si>
    <t>omron-fins-file-name-read</t>
  </si>
  <si>
    <t>omron-fins-forced-set-cancel</t>
  </si>
  <si>
    <t>omron-fins-forced-set-reset</t>
  </si>
  <si>
    <t>omron-fins-mem-area-file-trans</t>
  </si>
  <si>
    <t>omron-fins-mem-area-fill</t>
  </si>
  <si>
    <t>omron-fins-mem-area-read</t>
  </si>
  <si>
    <t>omron-fins-mem-area-transfer</t>
  </si>
  <si>
    <t>omron-fins-mem-area-write</t>
  </si>
  <si>
    <t>omron-fins-mem-card-format</t>
  </si>
  <si>
    <t>omron-fins-message-clear</t>
  </si>
  <si>
    <t>omron-fins-message-read</t>
  </si>
  <si>
    <t>omron-fins-mult-mem-area-read</t>
  </si>
  <si>
    <t>omron-fins-para-area-file-trans</t>
  </si>
  <si>
    <t>omron-fins-param-area-clear</t>
  </si>
  <si>
    <t>omron-fins-param-area-read</t>
  </si>
  <si>
    <t>omron-fins-param-area-write</t>
  </si>
  <si>
    <t>omron-fins-prog-area-clear</t>
  </si>
  <si>
    <t>omron-fins-prog-area-file-trans</t>
  </si>
  <si>
    <t>omron-fins-prog-area-prot-clr</t>
  </si>
  <si>
    <t>omron-fins-prog-area-protect</t>
  </si>
  <si>
    <t>omron-fins-prog-area-read</t>
  </si>
  <si>
    <t>omron-fins-prog-area-write</t>
  </si>
  <si>
    <t>omron-fins-run</t>
  </si>
  <si>
    <t>omron-fins-single-file-read</t>
  </si>
  <si>
    <t>omron-fins-single-file-write</t>
  </si>
  <si>
    <t>omron-fins-stop</t>
  </si>
  <si>
    <t>omron-fins-volume-label</t>
  </si>
  <si>
    <t>omron-hmi-webserver</t>
  </si>
  <si>
    <t>omron-vision</t>
  </si>
  <si>
    <t>omron-vision-discovery</t>
  </si>
  <si>
    <t>onehub</t>
  </si>
  <si>
    <t>onehub-base</t>
  </si>
  <si>
    <t>onehub-downloading</t>
  </si>
  <si>
    <t>onehub-uploading</t>
  </si>
  <si>
    <t>onelogin</t>
  </si>
  <si>
    <t>onepagecrm</t>
  </si>
  <si>
    <t>oneup</t>
  </si>
  <si>
    <t>onlive</t>
  </si>
  <si>
    <t>ontv</t>
  </si>
  <si>
    <t>onvif</t>
  </si>
  <si>
    <t>oovoo</t>
  </si>
  <si>
    <t>ooyala</t>
  </si>
  <si>
    <t>opc-ae</t>
  </si>
  <si>
    <t>opc-ae-area-browser</t>
  </si>
  <si>
    <t>opc-ae-base</t>
  </si>
  <si>
    <t>opc-ae-server</t>
  </si>
  <si>
    <t>opc-ae-server2</t>
  </si>
  <si>
    <t>opc-ae-sink</t>
  </si>
  <si>
    <t>opc-ae-sub-mgt</t>
  </si>
  <si>
    <t>opc-ae-sub-mgt2</t>
  </si>
  <si>
    <t>opc</t>
  </si>
  <si>
    <t>opc-base</t>
  </si>
  <si>
    <t>opc-ua-acknowledge</t>
  </si>
  <si>
    <t>opc-ua-activate-session-req</t>
  </si>
  <si>
    <t>opc-ua-add-nodes-req</t>
  </si>
  <si>
    <t>opc-ua-add-references-req</t>
  </si>
  <si>
    <t>opc-ua-browse-next-req</t>
  </si>
  <si>
    <t>opc-ua-browse-req</t>
  </si>
  <si>
    <t>opc-ua-call-method-req</t>
  </si>
  <si>
    <t>opc-ua-call-req</t>
  </si>
  <si>
    <t>opc-ua-cancel-req</t>
  </si>
  <si>
    <t>opc-ua-close</t>
  </si>
  <si>
    <t>opc-ua-close-secure-channel-req</t>
  </si>
  <si>
    <t>opc-ua-close-session-req</t>
  </si>
  <si>
    <t>opc-ua-create-session-req</t>
  </si>
  <si>
    <t>opc-ua-create-subscription-req</t>
  </si>
  <si>
    <t>opc-ua-delete-nodes-req</t>
  </si>
  <si>
    <t>opc-ua-delete-references-req</t>
  </si>
  <si>
    <t>opc-ua-delete-subscriptions-req</t>
  </si>
  <si>
    <t>opc-ua-error</t>
  </si>
  <si>
    <t>opc-ua-find-server-req</t>
  </si>
  <si>
    <t>opc-ua-get-endpoints-req</t>
  </si>
  <si>
    <t>opc-ua-hello</t>
  </si>
  <si>
    <t>opc-ua-history-read-req</t>
  </si>
  <si>
    <t>opc-ua-history-update-req</t>
  </si>
  <si>
    <t>opc-ua-open</t>
  </si>
  <si>
    <t>opc-ua-open-secure-channel-req</t>
  </si>
  <si>
    <t>opc-ua-publish-req</t>
  </si>
  <si>
    <t>opc-ua-query-first-req</t>
  </si>
  <si>
    <t>opc-ua-query-next-req</t>
  </si>
  <si>
    <t>opc-ua-read-req</t>
  </si>
  <si>
    <t>opc-ua-register-nodes-req</t>
  </si>
  <si>
    <t>opc-ua-register-servers-req</t>
  </si>
  <si>
    <t>opc-ua-republish-req</t>
  </si>
  <si>
    <t>opc-ua-set-monitoring-mode-req</t>
  </si>
  <si>
    <t>opc-ua-set-publishing-mode-req</t>
  </si>
  <si>
    <t>opc-ua-set-triggering-req</t>
  </si>
  <si>
    <t>opc-ua-unregister-node-req</t>
  </si>
  <si>
    <t>opc-ua-write-req</t>
  </si>
  <si>
    <t>opc-da</t>
  </si>
  <si>
    <t>opc-hda</t>
  </si>
  <si>
    <t>opc-hda-async-annotations</t>
  </si>
  <si>
    <t>opc-hda-async-read</t>
  </si>
  <si>
    <t>opc-hda-async-update</t>
  </si>
  <si>
    <t>opc-hda-auto-browser</t>
  </si>
  <si>
    <t>opc-hda-auto-entry</t>
  </si>
  <si>
    <t>opc-hda-auto-history</t>
  </si>
  <si>
    <t>opc-hda-auto-iopc-item-events</t>
  </si>
  <si>
    <t>opc-hda-auto-iopc-items</t>
  </si>
  <si>
    <t>opc-hda-auto-iopc-server</t>
  </si>
  <si>
    <t>opc-hda-auto-iopc-server-events</t>
  </si>
  <si>
    <t>opc-hda-auto-item</t>
  </si>
  <si>
    <t>opc-hda-auto-items</t>
  </si>
  <si>
    <t>opc-hda-auto-server</t>
  </si>
  <si>
    <t>opc-hda-auto-value</t>
  </si>
  <si>
    <t>opc-hda-base</t>
  </si>
  <si>
    <t>opc-hda-browser</t>
  </si>
  <si>
    <t>opc-hda-data-callback</t>
  </si>
  <si>
    <t>opc-hda-playback</t>
  </si>
  <si>
    <t>opc-hda-server</t>
  </si>
  <si>
    <t>opc-hda-sync-annotations</t>
  </si>
  <si>
    <t>opc-hda-sync-read</t>
  </si>
  <si>
    <t>opc-hda-sync-update</t>
  </si>
  <si>
    <t>open-vpn</t>
  </si>
  <si>
    <t>open-webmail</t>
  </si>
  <si>
    <t>openadr</t>
  </si>
  <si>
    <t>openadr-base</t>
  </si>
  <si>
    <t>openadr-cancel-opt</t>
  </si>
  <si>
    <t>openadr-cancel-party-reg</t>
  </si>
  <si>
    <t>openadr-cancel-report</t>
  </si>
  <si>
    <t>openadr-canceled-opt</t>
  </si>
  <si>
    <t>openadr-canceled-party-reg</t>
  </si>
  <si>
    <t>openadr-canceled-report</t>
  </si>
  <si>
    <t>openadr-create-opt</t>
  </si>
  <si>
    <t>openadr-create-party-reg</t>
  </si>
  <si>
    <t>openadr-create-report</t>
  </si>
  <si>
    <t>openadr-created-event</t>
  </si>
  <si>
    <t>openadr-created-opt</t>
  </si>
  <si>
    <t>openadr-created-party-reg</t>
  </si>
  <si>
    <t>openadr-created-report</t>
  </si>
  <si>
    <t>openadr-distribute-event</t>
  </si>
  <si>
    <t>openadr-poll</t>
  </si>
  <si>
    <t>openadr-query-registration</t>
  </si>
  <si>
    <t>openadr-register-report</t>
  </si>
  <si>
    <t>openadr-registered-report</t>
  </si>
  <si>
    <t>openadr-request-event</t>
  </si>
  <si>
    <t>openadr-request-reregistration</t>
  </si>
  <si>
    <t>openadr-response</t>
  </si>
  <si>
    <t>openadr-update-report</t>
  </si>
  <si>
    <t>openadr-updated-report</t>
  </si>
  <si>
    <t>openai</t>
  </si>
  <si>
    <t>openai-academy</t>
  </si>
  <si>
    <t>openai-api</t>
  </si>
  <si>
    <t>openai-api-delete</t>
  </si>
  <si>
    <t>openai-api-download</t>
  </si>
  <si>
    <t>openai-api-upload</t>
  </si>
  <si>
    <t>openai-base</t>
  </si>
  <si>
    <t>openai-chatgpt</t>
  </si>
  <si>
    <t>openai-chatgpt-download</t>
  </si>
  <si>
    <t>openai-chatgpt-uploading</t>
  </si>
  <si>
    <t>openai-dalle</t>
  </si>
  <si>
    <t>openai-dalle-downloading</t>
  </si>
  <si>
    <t>openai-dalle-uploading</t>
  </si>
  <si>
    <t>openai-sora</t>
  </si>
  <si>
    <t>openai-sora-download</t>
  </si>
  <si>
    <t>openai-sora-post</t>
  </si>
  <si>
    <t>openai-sora-upload</t>
  </si>
  <si>
    <t>opendoor</t>
  </si>
  <si>
    <t>openft</t>
  </si>
  <si>
    <t>openmeetings</t>
  </si>
  <si>
    <t>openomy</t>
  </si>
  <si>
    <t>opentext-enterprise-connect</t>
  </si>
  <si>
    <t>opentun</t>
  </si>
  <si>
    <t>opera-mini</t>
  </si>
  <si>
    <t>opera-vpn</t>
  </si>
  <si>
    <t>optimum-webmail</t>
  </si>
  <si>
    <t>opto22-pac-control</t>
  </si>
  <si>
    <t>optommp</t>
  </si>
  <si>
    <t>optomux</t>
  </si>
  <si>
    <t>oracle</t>
  </si>
  <si>
    <t>oracle-alp</t>
  </si>
  <si>
    <t>oracle-bi</t>
  </si>
  <si>
    <t>oracle-crm-ondemand</t>
  </si>
  <si>
    <t>oracle-eloqua</t>
  </si>
  <si>
    <t>oracle-essbase</t>
  </si>
  <si>
    <t>oracle-forms</t>
  </si>
  <si>
    <t>oracle-ipm</t>
  </si>
  <si>
    <t>oray-phtunnel</t>
  </si>
  <si>
    <t>orb</t>
  </si>
  <si>
    <t>oridus-nettouch</t>
  </si>
  <si>
    <t>origin</t>
  </si>
  <si>
    <t>orion-rhapsody</t>
  </si>
  <si>
    <t>orkut</t>
  </si>
  <si>
    <t>orsiso</t>
  </si>
  <si>
    <t>osisoft-pi</t>
  </si>
  <si>
    <t>osisoft-pi-base</t>
  </si>
  <si>
    <t>osisoft-pi-v1</t>
  </si>
  <si>
    <t>osisoft-pi-v3</t>
  </si>
  <si>
    <t>osisoft-pi-v3-encrypted</t>
  </si>
  <si>
    <t>ospf</t>
  </si>
  <si>
    <t>ospfigp</t>
  </si>
  <si>
    <t>ossec</t>
  </si>
  <si>
    <t>otter.ai</t>
  </si>
  <si>
    <t>otter.ai-base</t>
  </si>
  <si>
    <t>otter.ai-delete</t>
  </si>
  <si>
    <t>otter.ai-download</t>
  </si>
  <si>
    <t>otter.ai-logout</t>
  </si>
  <si>
    <t>otter.ai-share</t>
  </si>
  <si>
    <t>otter.ai-upload</t>
  </si>
  <si>
    <t>outblaze-mail</t>
  </si>
  <si>
    <t>outlook-web</t>
  </si>
  <si>
    <t>ovation</t>
  </si>
  <si>
    <t>overwatch</t>
  </si>
  <si>
    <t>ovo-logger</t>
  </si>
  <si>
    <t>owncloud</t>
  </si>
  <si>
    <t>owncloud-base</t>
  </si>
  <si>
    <t>owncloud-deleting</t>
  </si>
  <si>
    <t>owncloud-downloading</t>
  </si>
  <si>
    <t>owncloud-editing</t>
  </si>
  <si>
    <t>owncloud-posting</t>
  </si>
  <si>
    <t>owncloud-sharing</t>
  </si>
  <si>
    <t>owncloud-uploading</t>
  </si>
  <si>
    <t>p10</t>
  </si>
  <si>
    <t>packer</t>
  </si>
  <si>
    <t>packetix-vpn</t>
  </si>
  <si>
    <t>pagekite</t>
  </si>
  <si>
    <t>pagerduty</t>
  </si>
  <si>
    <t>pagerduty-base</t>
  </si>
  <si>
    <t>pagerduty-runbook-ai</t>
  </si>
  <si>
    <t>pages</t>
  </si>
  <si>
    <t>pages-base</t>
  </si>
  <si>
    <t>pages-uploading</t>
  </si>
  <si>
    <t>paloalto-ace</t>
  </si>
  <si>
    <t>paloalto-ace-kcs</t>
  </si>
  <si>
    <t>paloalto-aperture</t>
  </si>
  <si>
    <t>paloalto-aurl-idl</t>
  </si>
  <si>
    <t>paloalto-autofocus</t>
  </si>
  <si>
    <t>paloalto-cloud-identity</t>
  </si>
  <si>
    <t>paloalto-device-telemetry</t>
  </si>
  <si>
    <t>paloalto-directory-sync</t>
  </si>
  <si>
    <t>paloalto-dlp-service</t>
  </si>
  <si>
    <t>paloalto-dns-security</t>
  </si>
  <si>
    <t>paloalto-gp-mfa-notification</t>
  </si>
  <si>
    <t>paloalto-iot-security</t>
  </si>
  <si>
    <t>paloalto-logging-service</t>
  </si>
  <si>
    <t>paloalto-pa-acs</t>
  </si>
  <si>
    <t>paloalto-prisma-sdwan</t>
  </si>
  <si>
    <t>paloalto-prisma-sdwan-base</t>
  </si>
  <si>
    <t>paloalto-prisma-sdwan-control</t>
  </si>
  <si>
    <t>paloalto-shared-services</t>
  </si>
  <si>
    <t>paloalto-suppt-case</t>
  </si>
  <si>
    <t>paloalto-suppt-case-base</t>
  </si>
  <si>
    <t>paloalto-suppt-case-downloading</t>
  </si>
  <si>
    <t>paloalto-suppt-case-uploading</t>
  </si>
  <si>
    <t>paloalto-terminal-svcs-agent</t>
  </si>
  <si>
    <t>paloalto-traps</t>
  </si>
  <si>
    <t>paloalto-updates</t>
  </si>
  <si>
    <t>paloalto-user-context</t>
  </si>
  <si>
    <t>paloalto-userid-agent</t>
  </si>
  <si>
    <t>paloalto-wildfire-cloud</t>
  </si>
  <si>
    <t>paloalto-zero-touch-provision</t>
  </si>
  <si>
    <t>paloalto-ztna-agent</t>
  </si>
  <si>
    <t>palringo</t>
  </si>
  <si>
    <t>paltalk</t>
  </si>
  <si>
    <t>paltalk-base</t>
  </si>
  <si>
    <t>paltalk-file-transfer</t>
  </si>
  <si>
    <t>paltalk-superim</t>
  </si>
  <si>
    <t>paltalk-express</t>
  </si>
  <si>
    <t>pan-db-cloud</t>
  </si>
  <si>
    <t>panasonic-camera-setup</t>
  </si>
  <si>
    <t>panasonic-configurator-wd</t>
  </si>
  <si>
    <t>panasonic-discovery</t>
  </si>
  <si>
    <t>panasonic-mewtocol</t>
  </si>
  <si>
    <t>panasonic-mewtocol-base</t>
  </si>
  <si>
    <t>panasonic-mewtocol-com-exrt</t>
  </si>
  <si>
    <t>panasonic-mewtocol-com-mc</t>
  </si>
  <si>
    <t>panasonic-mewtocol-com-md</t>
  </si>
  <si>
    <t>panasonic-mewtocol-com-mg</t>
  </si>
  <si>
    <t>panasonic-mewtocol-com-rd</t>
  </si>
  <si>
    <t>panasonic-mewtocol-com-rm-prgm</t>
  </si>
  <si>
    <t>panasonic-mewtocol-com-rm-run</t>
  </si>
  <si>
    <t>panasonic-mewtocol-com-rt</t>
  </si>
  <si>
    <t>panasonic-mewtocol-com-wc</t>
  </si>
  <si>
    <t>panasonic-mewtocol-com-wd</t>
  </si>
  <si>
    <t>panda-update</t>
  </si>
  <si>
    <t>pando</t>
  </si>
  <si>
    <t>pandora</t>
  </si>
  <si>
    <t>pandora-tv</t>
  </si>
  <si>
    <t>panorama</t>
  </si>
  <si>
    <t>panorama-interconnect</t>
  </si>
  <si>
    <t>panos-global-protect</t>
  </si>
  <si>
    <t>panos-web-interface</t>
  </si>
  <si>
    <t>papercut</t>
  </si>
  <si>
    <t>paradise-paintball</t>
  </si>
  <si>
    <t>parallels-access</t>
  </si>
  <si>
    <t>paramount-plus</t>
  </si>
  <si>
    <t>paran-mail</t>
  </si>
  <si>
    <t>paran-u2</t>
  </si>
  <si>
    <t>parim</t>
  </si>
  <si>
    <t>parler</t>
  </si>
  <si>
    <t>parsec-for-teams</t>
  </si>
  <si>
    <t>party-poker</t>
  </si>
  <si>
    <t>pastebin</t>
  </si>
  <si>
    <t>pastebin-base</t>
  </si>
  <si>
    <t>pastebin-posting</t>
  </si>
  <si>
    <t>path</t>
  </si>
  <si>
    <t>pathview</t>
  </si>
  <si>
    <t>pbwiki-editing</t>
  </si>
  <si>
    <t>pc-worx</t>
  </si>
  <si>
    <t>pcanywhere</t>
  </si>
  <si>
    <t>pcanywhere-base</t>
  </si>
  <si>
    <t>pcanywhere-file-transfer</t>
  </si>
  <si>
    <t>pcanywhere-remote-control</t>
  </si>
  <si>
    <t>pcloud</t>
  </si>
  <si>
    <t>pcloud-base</t>
  </si>
  <si>
    <t>pcloud-delete</t>
  </si>
  <si>
    <t>pcloud-download</t>
  </si>
  <si>
    <t>pcloud-readonly</t>
  </si>
  <si>
    <t>pcloud-upload</t>
  </si>
  <si>
    <t>pcoip</t>
  </si>
  <si>
    <t>pcvisit</t>
  </si>
  <si>
    <t>pdffiller</t>
  </si>
  <si>
    <t>pdffiller-base</t>
  </si>
  <si>
    <t>pdffiller-uploading</t>
  </si>
  <si>
    <t>peercast</t>
  </si>
  <si>
    <t>peerenabler</t>
  </si>
  <si>
    <t>peerguardian</t>
  </si>
  <si>
    <t>pentaho</t>
  </si>
  <si>
    <t>perfect-dark</t>
  </si>
  <si>
    <t>perforce</t>
  </si>
  <si>
    <t>periscope</t>
  </si>
  <si>
    <t>perplexity-ai</t>
  </si>
  <si>
    <t>perplexity-ai-base</t>
  </si>
  <si>
    <t>perplexity-ai-download</t>
  </si>
  <si>
    <t>perplexity-ai-post</t>
  </si>
  <si>
    <t>perplexity-ai-upload</t>
  </si>
  <si>
    <t>pevco-pts</t>
  </si>
  <si>
    <t>pfcp</t>
  </si>
  <si>
    <t>pgm</t>
  </si>
  <si>
    <t>pharos</t>
  </si>
  <si>
    <t>philips-ecg</t>
  </si>
  <si>
    <t>philips-isite</t>
  </si>
  <si>
    <t>philips-pic</t>
  </si>
  <si>
    <t>philips-pm</t>
  </si>
  <si>
    <t>philips-pm-axon</t>
  </si>
  <si>
    <t>philo</t>
  </si>
  <si>
    <t>phoenix-contact-hmi-discovery</t>
  </si>
  <si>
    <t>phoenix-contact-webserver</t>
  </si>
  <si>
    <t>phonemypc</t>
  </si>
  <si>
    <t>photobucket</t>
  </si>
  <si>
    <t>photosonic</t>
  </si>
  <si>
    <t>photosonic-base</t>
  </si>
  <si>
    <t>photosonic-create</t>
  </si>
  <si>
    <t>phproxy</t>
  </si>
  <si>
    <t>phpwiki-editing</t>
  </si>
  <si>
    <t>phweet</t>
  </si>
  <si>
    <t>pichat</t>
  </si>
  <si>
    <t>pim</t>
  </si>
  <si>
    <t>pinecone</t>
  </si>
  <si>
    <t>pinecone-base</t>
  </si>
  <si>
    <t>pinecone-create</t>
  </si>
  <si>
    <t>pinecone-delete</t>
  </si>
  <si>
    <t>pinecone-upload</t>
  </si>
  <si>
    <t>ping</t>
  </si>
  <si>
    <t>ping-tunnel</t>
  </si>
  <si>
    <t>pingfu</t>
  </si>
  <si>
    <t>pingone</t>
  </si>
  <si>
    <t>pinterest</t>
  </si>
  <si>
    <t>pinterest-base</t>
  </si>
  <si>
    <t>pinterest-messaging</t>
  </si>
  <si>
    <t>pinterest-posting</t>
  </si>
  <si>
    <t>pinterest-uploading</t>
  </si>
  <si>
    <t>pipe</t>
  </si>
  <si>
    <t>pipedrive</t>
  </si>
  <si>
    <t>pipelinedeals</t>
  </si>
  <si>
    <t>pitchengine</t>
  </si>
  <si>
    <t>pitney-bowes-connect-plus</t>
  </si>
  <si>
    <t>pivotaltracker</t>
  </si>
  <si>
    <t>pivotaltracker-base</t>
  </si>
  <si>
    <t>pivotaltracker-downloading</t>
  </si>
  <si>
    <t>pivotaltracker-uploading</t>
  </si>
  <si>
    <t>pixeldrain</t>
  </si>
  <si>
    <t>pkix-cmp</t>
  </si>
  <si>
    <t>plaxo</t>
  </si>
  <si>
    <t>play.ht</t>
  </si>
  <si>
    <t>play.ht-base</t>
  </si>
  <si>
    <t>play.ht-delete</t>
  </si>
  <si>
    <t>play.ht-download</t>
  </si>
  <si>
    <t>play.ht-post</t>
  </si>
  <si>
    <t>play.ht-upload</t>
  </si>
  <si>
    <t>playstation-network</t>
  </si>
  <si>
    <t>playstation-now</t>
  </si>
  <si>
    <t>plex</t>
  </si>
  <si>
    <t>plugoo-widget</t>
  </si>
  <si>
    <t>pluralsight</t>
  </si>
  <si>
    <t>plurk</t>
  </si>
  <si>
    <t>pna</t>
  </si>
  <si>
    <t>pnni</t>
  </si>
  <si>
    <t>pnrp</t>
  </si>
  <si>
    <t>pocket-controller</t>
  </si>
  <si>
    <t>pocketcloud</t>
  </si>
  <si>
    <t>poco</t>
  </si>
  <si>
    <t>poct1-a</t>
  </si>
  <si>
    <t>podio</t>
  </si>
  <si>
    <t>pogo</t>
  </si>
  <si>
    <t>pointsix-manager-protocol</t>
  </si>
  <si>
    <t>poker-stars</t>
  </si>
  <si>
    <t>popcorn-time</t>
  </si>
  <si>
    <t>popo-im</t>
  </si>
  <si>
    <t>portmapper</t>
  </si>
  <si>
    <t>postgres</t>
  </si>
  <si>
    <t>postscript-pdl</t>
  </si>
  <si>
    <t>powerbroker</t>
  </si>
  <si>
    <t>pownce</t>
  </si>
  <si>
    <t>powow</t>
  </si>
  <si>
    <t>powow-base</t>
  </si>
  <si>
    <t>powow-file-transfer</t>
  </si>
  <si>
    <t>powtoon</t>
  </si>
  <si>
    <t>powtoon-base</t>
  </si>
  <si>
    <t>powtoon-uploading</t>
  </si>
  <si>
    <t>pp-accelerator</t>
  </si>
  <si>
    <t>ppi-media</t>
  </si>
  <si>
    <t>pplive</t>
  </si>
  <si>
    <t>ppstream</t>
  </si>
  <si>
    <t>pptp</t>
  </si>
  <si>
    <t>prezi</t>
  </si>
  <si>
    <t>prezi-base</t>
  </si>
  <si>
    <t>prezi-posting</t>
  </si>
  <si>
    <t>prezi-uploading</t>
  </si>
  <si>
    <t>primex-clock-connection</t>
  </si>
  <si>
    <t>primex-clock-discovery</t>
  </si>
  <si>
    <t>print-over-ms-smb</t>
  </si>
  <si>
    <t>prisma-cloud-compute-defender</t>
  </si>
  <si>
    <t>private-enc</t>
  </si>
  <si>
    <t>privax</t>
  </si>
  <si>
    <t>prm</t>
  </si>
  <si>
    <t>pro-face-hmi-discovery</t>
  </si>
  <si>
    <t>proconos</t>
  </si>
  <si>
    <t>productplan</t>
  </si>
  <si>
    <t>profinet</t>
  </si>
  <si>
    <t>progress-openedge</t>
  </si>
  <si>
    <t>projectplace</t>
  </si>
  <si>
    <t>projectwise</t>
  </si>
  <si>
    <t>promethean-screenshare</t>
  </si>
  <si>
    <t>proofhq</t>
  </si>
  <si>
    <t>proofhub</t>
  </si>
  <si>
    <t>proofhub-base</t>
  </si>
  <si>
    <t>proofhub-file-transfer</t>
  </si>
  <si>
    <t>propalms</t>
  </si>
  <si>
    <t>proprofs-poll-maker</t>
  </si>
  <si>
    <t>proprofs-poll-maker-base</t>
  </si>
  <si>
    <t>proprofs-poll-maker-uploading</t>
  </si>
  <si>
    <t>proprofs-survey-maker</t>
  </si>
  <si>
    <t>proprofs-survey-maker-base</t>
  </si>
  <si>
    <t>proprofs-survey-maker-uploading</t>
  </si>
  <si>
    <t>proton</t>
  </si>
  <si>
    <t>proton-base</t>
  </si>
  <si>
    <t>protonmail</t>
  </si>
  <si>
    <t>proxeasy</t>
  </si>
  <si>
    <t>proxono</t>
  </si>
  <si>
    <t>proxylocal</t>
  </si>
  <si>
    <t>psexec</t>
  </si>
  <si>
    <t>psiphon</t>
  </si>
  <si>
    <t>ptp</t>
  </si>
  <si>
    <t>pubg</t>
  </si>
  <si>
    <t>pubnub</t>
  </si>
  <si>
    <t>puffin</t>
  </si>
  <si>
    <t>pullbbang-video</t>
  </si>
  <si>
    <t>pulseway</t>
  </si>
  <si>
    <t>pup</t>
  </si>
  <si>
    <t>purple-p3</t>
  </si>
  <si>
    <t>pushbullet</t>
  </si>
  <si>
    <t>putlocker</t>
  </si>
  <si>
    <t>pvp</t>
  </si>
  <si>
    <t>pythagora-gpt-pilot</t>
  </si>
  <si>
    <t>python-easy-install</t>
  </si>
  <si>
    <t>pyxis</t>
  </si>
  <si>
    <t>qdown</t>
  </si>
  <si>
    <t>qianlong</t>
  </si>
  <si>
    <t>qik</t>
  </si>
  <si>
    <t>qik-base</t>
  </si>
  <si>
    <t>qik-posting</t>
  </si>
  <si>
    <t>qik-sharing</t>
  </si>
  <si>
    <t>qik-uploading</t>
  </si>
  <si>
    <t>qik-video-chatting</t>
  </si>
  <si>
    <t>qik-viewing</t>
  </si>
  <si>
    <t>qliksense-cloud</t>
  </si>
  <si>
    <t>qliksense-cloud-base</t>
  </si>
  <si>
    <t>qliksense-cloud-downloading</t>
  </si>
  <si>
    <t>qliksense-cloud-editing</t>
  </si>
  <si>
    <t>qliksense-cloud-sharing</t>
  </si>
  <si>
    <t>qliksense-cloud-uploading</t>
  </si>
  <si>
    <t>qlikview</t>
  </si>
  <si>
    <t>qnx</t>
  </si>
  <si>
    <t>qpoint-survey</t>
  </si>
  <si>
    <t>qpoint-survey-base</t>
  </si>
  <si>
    <t>qpoint-survey-uploading</t>
  </si>
  <si>
    <t>qq</t>
  </si>
  <si>
    <t>qq-audio-video</t>
  </si>
  <si>
    <t>qq-base</t>
  </si>
  <si>
    <t>qq-file-transfer</t>
  </si>
  <si>
    <t>qq-rdp</t>
  </si>
  <si>
    <t>qq-download</t>
  </si>
  <si>
    <t>qq-games</t>
  </si>
  <si>
    <t>qq-mail</t>
  </si>
  <si>
    <t>qqlive</t>
  </si>
  <si>
    <t>qqmusic</t>
  </si>
  <si>
    <t>quake</t>
  </si>
  <si>
    <t>qualys-agent</t>
  </si>
  <si>
    <t>quantum-edge-tms</t>
  </si>
  <si>
    <t>questionpro</t>
  </si>
  <si>
    <t>questionpro-base</t>
  </si>
  <si>
    <t>questionpro-uploading</t>
  </si>
  <si>
    <t>quickoffice-pro</t>
  </si>
  <si>
    <t>quicktapsurvey</t>
  </si>
  <si>
    <t>quicktapsurvey-base</t>
  </si>
  <si>
    <t>quicktapsurvey-uploading</t>
  </si>
  <si>
    <t>quip</t>
  </si>
  <si>
    <t>quip-base</t>
  </si>
  <si>
    <t>quip-downloading</t>
  </si>
  <si>
    <t>quip-editing</t>
  </si>
  <si>
    <t>quip-posting</t>
  </si>
  <si>
    <t>quip-sharing</t>
  </si>
  <si>
    <t>quip-uploading</t>
  </si>
  <si>
    <t>quora</t>
  </si>
  <si>
    <t>quora-base</t>
  </si>
  <si>
    <t>quora-posting</t>
  </si>
  <si>
    <t>quora-uploading</t>
  </si>
  <si>
    <t>qvod</t>
  </si>
  <si>
    <t>r-exec</t>
  </si>
  <si>
    <t>r-goose</t>
  </si>
  <si>
    <t>r-services</t>
  </si>
  <si>
    <t>r-sv</t>
  </si>
  <si>
    <t>rabbit</t>
  </si>
  <si>
    <t>rabbitmq</t>
  </si>
  <si>
    <t>radiometer-aqure</t>
  </si>
  <si>
    <t>radiometer-aqure-tcp</t>
  </si>
  <si>
    <t>radius</t>
  </si>
  <si>
    <t>radius-dynamic-authorization</t>
  </si>
  <si>
    <t>radiusim</t>
  </si>
  <si>
    <t>radmin</t>
  </si>
  <si>
    <t>ragingbull-posting</t>
  </si>
  <si>
    <t>rainbow</t>
  </si>
  <si>
    <t>rally-software</t>
  </si>
  <si>
    <t>rally-software-base</t>
  </si>
  <si>
    <t>rally-software-downloading</t>
  </si>
  <si>
    <t>rally-software-editing</t>
  </si>
  <si>
    <t>rally-software-sharing</t>
  </si>
  <si>
    <t>rally-software-uploading</t>
  </si>
  <si>
    <t>rals-istat-status</t>
  </si>
  <si>
    <t>rammerhead-proxy</t>
  </si>
  <si>
    <t>rapid7-insight-idr</t>
  </si>
  <si>
    <t>rapidshare</t>
  </si>
  <si>
    <t>rauland-borg-nurse-call</t>
  </si>
  <si>
    <t>raylink</t>
  </si>
  <si>
    <t>raymond-iwarehouse</t>
  </si>
  <si>
    <t>razor</t>
  </si>
  <si>
    <t>rclone</t>
  </si>
  <si>
    <t>rdio</t>
  </si>
  <si>
    <t>rdmplus</t>
  </si>
  <si>
    <t>rdp2tcp</t>
  </si>
  <si>
    <t>rdsci-datatron-ext</t>
  </si>
  <si>
    <t>rdt</t>
  </si>
  <si>
    <t>readytalk</t>
  </si>
  <si>
    <t>readytalk-base</t>
  </si>
  <si>
    <t>readytalk-chat</t>
  </si>
  <si>
    <t>readytalk-desktop-sharing</t>
  </si>
  <si>
    <t>realtimeboard</t>
  </si>
  <si>
    <t>realtunnel</t>
  </si>
  <si>
    <t>rebtel</t>
  </si>
  <si>
    <t>reclaim.ai</t>
  </si>
  <si>
    <t>reclaim.ai-base</t>
  </si>
  <si>
    <t>reclaim.ai-create</t>
  </si>
  <si>
    <t>reclaim.ai-delete</t>
  </si>
  <si>
    <t>recruitee</t>
  </si>
  <si>
    <t>recurly</t>
  </si>
  <si>
    <t>redbooth</t>
  </si>
  <si>
    <t>redbox-instant</t>
  </si>
  <si>
    <t>reddit</t>
  </si>
  <si>
    <t>reddit-base</t>
  </si>
  <si>
    <t>reddit-create</t>
  </si>
  <si>
    <t>reddit-delete</t>
  </si>
  <si>
    <t>reddit-edit</t>
  </si>
  <si>
    <t>reddit-posting</t>
  </si>
  <si>
    <t>reddit-send</t>
  </si>
  <si>
    <t>reddit-upload</t>
  </si>
  <si>
    <t>rediffbol</t>
  </si>
  <si>
    <t>rediffbol-audio-video</t>
  </si>
  <si>
    <t>rediffbol-base</t>
  </si>
  <si>
    <t>rediffbol-file-transfer</t>
  </si>
  <si>
    <t>redis</t>
  </si>
  <si>
    <t>redlion-crimson</t>
  </si>
  <si>
    <t>reduh</t>
  </si>
  <si>
    <t>refinitiv-messenger</t>
  </si>
  <si>
    <t>regie.ai</t>
  </si>
  <si>
    <t>regie.ai-base</t>
  </si>
  <si>
    <t>regie.ai-copy</t>
  </si>
  <si>
    <t>regie.ai-create</t>
  </si>
  <si>
    <t>regie.ai-delete</t>
  </si>
  <si>
    <t>regie.ai-download</t>
  </si>
  <si>
    <t>regie.ai-move</t>
  </si>
  <si>
    <t>regie.ai-share</t>
  </si>
  <si>
    <t>regie.ai-upload</t>
  </si>
  <si>
    <t>regnum</t>
  </si>
  <si>
    <t>relenta</t>
  </si>
  <si>
    <t>reliable-data</t>
  </si>
  <si>
    <t>relp</t>
  </si>
  <si>
    <t>remobo</t>
  </si>
  <si>
    <t>remotecall</t>
  </si>
  <si>
    <t>remotepc</t>
  </si>
  <si>
    <t>remoteview</t>
  </si>
  <si>
    <t>remotix</t>
  </si>
  <si>
    <t>renren</t>
  </si>
  <si>
    <t>renren-apps</t>
  </si>
  <si>
    <t>renren-base</t>
  </si>
  <si>
    <t>renren-chat</t>
  </si>
  <si>
    <t>renren-mail</t>
  </si>
  <si>
    <t>renren-music</t>
  </si>
  <si>
    <t>renren-posting</t>
  </si>
  <si>
    <t>renren-im</t>
  </si>
  <si>
    <t>replicate</t>
  </si>
  <si>
    <t>replicate-base</t>
  </si>
  <si>
    <t>replicate-download</t>
  </si>
  <si>
    <t>replicate-upload</t>
  </si>
  <si>
    <t>reputada</t>
  </si>
  <si>
    <t>reputada-base</t>
  </si>
  <si>
    <t>reputada-uploading</t>
  </si>
  <si>
    <t>res-automation-manager</t>
  </si>
  <si>
    <t>reserved</t>
  </si>
  <si>
    <t>resilio</t>
  </si>
  <si>
    <t>respondent</t>
  </si>
  <si>
    <t>respondent-base</t>
  </si>
  <si>
    <t>respondent-uploading</t>
  </si>
  <si>
    <t>response-cx</t>
  </si>
  <si>
    <t>response-cx-base</t>
  </si>
  <si>
    <t>response-cx-create</t>
  </si>
  <si>
    <t>response-cx-post</t>
  </si>
  <si>
    <t>response-cx-upload</t>
  </si>
  <si>
    <t>retroshare</t>
  </si>
  <si>
    <t>retrospect-backup</t>
  </si>
  <si>
    <t>retune</t>
  </si>
  <si>
    <t>retune-base</t>
  </si>
  <si>
    <t>retune-uploading</t>
  </si>
  <si>
    <t>reuters-data-service</t>
  </si>
  <si>
    <t>rezgo</t>
  </si>
  <si>
    <t>rfideas-ethernet-241</t>
  </si>
  <si>
    <t>rftap</t>
  </si>
  <si>
    <t>rhapsody</t>
  </si>
  <si>
    <t>rift</t>
  </si>
  <si>
    <t>rightscale</t>
  </si>
  <si>
    <t>ring</t>
  </si>
  <si>
    <t>ringcentral</t>
  </si>
  <si>
    <t>ringcentral-base</t>
  </si>
  <si>
    <t>ringsense</t>
  </si>
  <si>
    <t>ringsense-create</t>
  </si>
  <si>
    <t>ringsense-delete</t>
  </si>
  <si>
    <t>ringsense-download</t>
  </si>
  <si>
    <t>ringsense-edit</t>
  </si>
  <si>
    <t>ringsense-move</t>
  </si>
  <si>
    <t>ringsense-send</t>
  </si>
  <si>
    <t>ringsense-share</t>
  </si>
  <si>
    <t>rip</t>
  </si>
  <si>
    <t>ripng</t>
  </si>
  <si>
    <t>riverbed-rios</t>
  </si>
  <si>
    <t>riverbed-steelhead-mobile</t>
  </si>
  <si>
    <t>riverbed-steelhead-saas</t>
  </si>
  <si>
    <t>rlogin</t>
  </si>
  <si>
    <t>rmcp</t>
  </si>
  <si>
    <t>rmi-iiop</t>
  </si>
  <si>
    <t>rmi-iiop-base</t>
  </si>
  <si>
    <t>rmi-ossp</t>
  </si>
  <si>
    <t>rmi-ossp-gemnet</t>
  </si>
  <si>
    <t>roblox</t>
  </si>
  <si>
    <t>roboform</t>
  </si>
  <si>
    <t>roc</t>
  </si>
  <si>
    <t>rocket-league</t>
  </si>
  <si>
    <t>rockwell-eweb</t>
  </si>
  <si>
    <t>rockwell-factorytalk</t>
  </si>
  <si>
    <t>rockwell-factorytalk-viewpoint</t>
  </si>
  <si>
    <t>rohc</t>
  </si>
  <si>
    <t>roma-md</t>
  </si>
  <si>
    <t>roundcube</t>
  </si>
  <si>
    <t>rover</t>
  </si>
  <si>
    <t>rpc</t>
  </si>
  <si>
    <t>rpc-over-http</t>
  </si>
  <si>
    <t>rping</t>
  </si>
  <si>
    <t>rsa-securid-mfa-api</t>
  </si>
  <si>
    <t>rsa-security-analytics</t>
  </si>
  <si>
    <t>rsh</t>
  </si>
  <si>
    <t>rss</t>
  </si>
  <si>
    <t>rstatd</t>
  </si>
  <si>
    <t>rsvp</t>
  </si>
  <si>
    <t>rsvp-e2e-ignore</t>
  </si>
  <si>
    <t>rsync</t>
  </si>
  <si>
    <t>rtcm-sc104</t>
  </si>
  <si>
    <t>rtcp</t>
  </si>
  <si>
    <t>rtmfp</t>
  </si>
  <si>
    <t>rtmp</t>
  </si>
  <si>
    <t>rtmpe</t>
  </si>
  <si>
    <t>rtmpt</t>
  </si>
  <si>
    <t>rtp</t>
  </si>
  <si>
    <t>rtp-audio</t>
  </si>
  <si>
    <t>rtp-base</t>
  </si>
  <si>
    <t>rtp-video</t>
  </si>
  <si>
    <t>rtps</t>
  </si>
  <si>
    <t>rtsp</t>
  </si>
  <si>
    <t>ruckus</t>
  </si>
  <si>
    <t>rudesktop-remote-desktop</t>
  </si>
  <si>
    <t>runescape</t>
  </si>
  <si>
    <t>runway-app</t>
  </si>
  <si>
    <t>runway-app-base</t>
  </si>
  <si>
    <t>runway-app-create</t>
  </si>
  <si>
    <t>runway-app-delete</t>
  </si>
  <si>
    <t>runway-app-download</t>
  </si>
  <si>
    <t>runway-app-edit</t>
  </si>
  <si>
    <t>runway-app-move</t>
  </si>
  <si>
    <t>runway-app-share</t>
  </si>
  <si>
    <t>runway-app-upload</t>
  </si>
  <si>
    <t>rusers</t>
  </si>
  <si>
    <t>rustdesk-remote-desktop</t>
  </si>
  <si>
    <t>rvd</t>
  </si>
  <si>
    <t>rwho</t>
  </si>
  <si>
    <t>rypple</t>
  </si>
  <si>
    <t>s1ap</t>
  </si>
  <si>
    <t>saasu</t>
  </si>
  <si>
    <t>saba-centra-meeting</t>
  </si>
  <si>
    <t>safetynet-p-rtfn</t>
  </si>
  <si>
    <t>safetynet-p-rtfn-base</t>
  </si>
  <si>
    <t>safetynet-p-rtfn-cdc</t>
  </si>
  <si>
    <t>safetynet-p-rtfn-cdc-shb</t>
  </si>
  <si>
    <t>safetynet-p-rtfn-cms-alive</t>
  </si>
  <si>
    <t>safetynet-p-rtfn-cms-scan-req</t>
  </si>
  <si>
    <t>safetynet-p-rtfn-cms-scan-rsp</t>
  </si>
  <si>
    <t>safetynet-p-rtfn-cms-sub-ack</t>
  </si>
  <si>
    <t>safetynet-p-rtfn-cms-sub-req</t>
  </si>
  <si>
    <t>safetynet-p-rtfn-cms-unpub</t>
  </si>
  <si>
    <t>safetynet-p-rtfn-cms-unsub</t>
  </si>
  <si>
    <t>safetynet-p-rtfn-msc-abort</t>
  </si>
  <si>
    <t>safetynet-p-rtfn-msc-ack</t>
  </si>
  <si>
    <t>safetynet-p-rtfn-msc-init</t>
  </si>
  <si>
    <t>safetynet-p-rtfn-msc-init-fast</t>
  </si>
  <si>
    <t>safetynet-p-rtfn-msc-send</t>
  </si>
  <si>
    <t>safetynet-p-rtfn-msc-send-last</t>
  </si>
  <si>
    <t>sakai</t>
  </si>
  <si>
    <t>salesforce</t>
  </si>
  <si>
    <t>salesforce-agentforce</t>
  </si>
  <si>
    <t>salesforce-base</t>
  </si>
  <si>
    <t>salesforce-chatter</t>
  </si>
  <si>
    <t>salesforce-create</t>
  </si>
  <si>
    <t>salesforce-delete</t>
  </si>
  <si>
    <t>salesforce-downloading</t>
  </si>
  <si>
    <t>salesforce-editing</t>
  </si>
  <si>
    <t>salesforce-posting</t>
  </si>
  <si>
    <t>salesforce-sharing</t>
  </si>
  <si>
    <t>salesforce-uploading</t>
  </si>
  <si>
    <t>salesforce-desk</t>
  </si>
  <si>
    <t>saltstack</t>
  </si>
  <si>
    <t>samanage</t>
  </si>
  <si>
    <t>samepage</t>
  </si>
  <si>
    <t>samsung-tizen-push</t>
  </si>
  <si>
    <t>samsung-updates</t>
  </si>
  <si>
    <t>sap</t>
  </si>
  <si>
    <t>sap-hana</t>
  </si>
  <si>
    <t>sap-jam</t>
  </si>
  <si>
    <t>sap-jam-base</t>
  </si>
  <si>
    <t>sap-jam-uploading</t>
  </si>
  <si>
    <t>sapling.ai</t>
  </si>
  <si>
    <t>sapling.ai-base</t>
  </si>
  <si>
    <t>sapling.ai-download</t>
  </si>
  <si>
    <t>sapling.ai-upload</t>
  </si>
  <si>
    <t>sat-expak</t>
  </si>
  <si>
    <t>sat-mon</t>
  </si>
  <si>
    <t>saxopress</t>
  </si>
  <si>
    <t>sbs-netv</t>
  </si>
  <si>
    <t>scc-sp</t>
  </si>
  <si>
    <t>sccp</t>
  </si>
  <si>
    <t>scep</t>
  </si>
  <si>
    <t>scheduleonce</t>
  </si>
  <si>
    <t>schmedley</t>
  </si>
  <si>
    <t>schneider-auto-servers-tcp</t>
  </si>
  <si>
    <t>schneider-ecostruxure-dpws</t>
  </si>
  <si>
    <t>schneider-ion</t>
  </si>
  <si>
    <t>scitools-icarus</t>
  </si>
  <si>
    <t>scotty</t>
  </si>
  <si>
    <t>scps</t>
  </si>
  <si>
    <t>screenbeam-receiver</t>
  </si>
  <si>
    <t>screencast</t>
  </si>
  <si>
    <t>screencast-base</t>
  </si>
  <si>
    <t>screencast-uploading</t>
  </si>
  <si>
    <t>screenconnect</t>
  </si>
  <si>
    <t>scribd</t>
  </si>
  <si>
    <t>scribd-base</t>
  </si>
  <si>
    <t>scribd-downloading</t>
  </si>
  <si>
    <t>scribd-uploading</t>
  </si>
  <si>
    <t>sctp</t>
  </si>
  <si>
    <t>sdrp</t>
  </si>
  <si>
    <t>seamless-phenom</t>
  </si>
  <si>
    <t>second-life</t>
  </si>
  <si>
    <t>second-life-base</t>
  </si>
  <si>
    <t>second-life-voice-chat</t>
  </si>
  <si>
    <t>secret</t>
  </si>
  <si>
    <t>secs-gem</t>
  </si>
  <si>
    <t>secure-access</t>
  </si>
  <si>
    <t>secure-access-sync</t>
  </si>
  <si>
    <t>secure-data-space</t>
  </si>
  <si>
    <t>secure-data-space-base</t>
  </si>
  <si>
    <t>secure-data-space-downloading</t>
  </si>
  <si>
    <t>secure-data-space-editing</t>
  </si>
  <si>
    <t>secure-data-space-posting</t>
  </si>
  <si>
    <t>secure-data-space-sharing</t>
  </si>
  <si>
    <t>secure-data-space-uploading</t>
  </si>
  <si>
    <t>secure-vmtp</t>
  </si>
  <si>
    <t>securedocs</t>
  </si>
  <si>
    <t>securemeeting</t>
  </si>
  <si>
    <t>secureserver-mail</t>
  </si>
  <si>
    <t>securid</t>
  </si>
  <si>
    <t>security-kiss</t>
  </si>
  <si>
    <t>seeqpod</t>
  </si>
  <si>
    <t>seesmic</t>
  </si>
  <si>
    <t>sel-acselerator-rtac</t>
  </si>
  <si>
    <t>sel-fast-messaging</t>
  </si>
  <si>
    <t>sembly</t>
  </si>
  <si>
    <t>sembly-base</t>
  </si>
  <si>
    <t>sembly-delete</t>
  </si>
  <si>
    <t>sembly-download</t>
  </si>
  <si>
    <t>sembly-share</t>
  </si>
  <si>
    <t>sembly-upload</t>
  </si>
  <si>
    <t>send-anywhere</t>
  </si>
  <si>
    <t>send-to-phone</t>
  </si>
  <si>
    <t>sendgrid</t>
  </si>
  <si>
    <t>sendoid</t>
  </si>
  <si>
    <t>sendspace</t>
  </si>
  <si>
    <t>sendthisfile</t>
  </si>
  <si>
    <t>sendthisfile-base</t>
  </si>
  <si>
    <t>sendthisfile-uploading</t>
  </si>
  <si>
    <t>sennheiser-mobileconnect</t>
  </si>
  <si>
    <t>sentillion</t>
  </si>
  <si>
    <t>sentinelone</t>
  </si>
  <si>
    <t>serial-over-lan</t>
  </si>
  <si>
    <t>service-now</t>
  </si>
  <si>
    <t>service-now-ai-agents</t>
  </si>
  <si>
    <t>service-now-base</t>
  </si>
  <si>
    <t>service-now-downloading</t>
  </si>
  <si>
    <t>service-now-editing</t>
  </si>
  <si>
    <t>service-now-posting</t>
  </si>
  <si>
    <t>service-now-sharing</t>
  </si>
  <si>
    <t>service-now-uploading</t>
  </si>
  <si>
    <t>session-announcement-protocol</t>
  </si>
  <si>
    <t>setupvpn</t>
  </si>
  <si>
    <t>seven-email</t>
  </si>
  <si>
    <t>sew-eurodrive-smlp</t>
  </si>
  <si>
    <t>sfax</t>
  </si>
  <si>
    <t>sflow</t>
  </si>
  <si>
    <t>shahid</t>
  </si>
  <si>
    <t>share-p2p</t>
  </si>
  <si>
    <t>sharebase.to</t>
  </si>
  <si>
    <t>sharebox</t>
  </si>
  <si>
    <t>sharefile</t>
  </si>
  <si>
    <t>sharefile-base</t>
  </si>
  <si>
    <t>sharefile-downloading</t>
  </si>
  <si>
    <t>sharefile-editing</t>
  </si>
  <si>
    <t>sharefile-uploading</t>
  </si>
  <si>
    <t>sharepoint</t>
  </si>
  <si>
    <t>sharepoint-admin</t>
  </si>
  <si>
    <t>sharepoint-base</t>
  </si>
  <si>
    <t>sharepoint-blog-posting</t>
  </si>
  <si>
    <t>sharepoint-calendar</t>
  </si>
  <si>
    <t>sharepoint-wiki</t>
  </si>
  <si>
    <t>sharepoint-documents</t>
  </si>
  <si>
    <t>sharevault</t>
  </si>
  <si>
    <t>sharevault-base</t>
  </si>
  <si>
    <t>sharevault-file-transfer</t>
  </si>
  <si>
    <t>shavlik-netchk</t>
  </si>
  <si>
    <t>shim6</t>
  </si>
  <si>
    <t>shinhanalpha-login</t>
  </si>
  <si>
    <t>shipstation</t>
  </si>
  <si>
    <t>shodan</t>
  </si>
  <si>
    <t>shoebox</t>
  </si>
  <si>
    <t>shoutcast</t>
  </si>
  <si>
    <t>showmax</t>
  </si>
  <si>
    <t>showmax-base</t>
  </si>
  <si>
    <t>showmax-streaming</t>
  </si>
  <si>
    <t>showmypc</t>
  </si>
  <si>
    <t>showtime</t>
  </si>
  <si>
    <t>shutterfly</t>
  </si>
  <si>
    <t>sick-cola2</t>
  </si>
  <si>
    <t>sick-safety-discovery</t>
  </si>
  <si>
    <t>sick-sopas-cola-a</t>
  </si>
  <si>
    <t>sick-sopas-webserver</t>
  </si>
  <si>
    <t>siebel-crm</t>
  </si>
  <si>
    <t>siemens-dx-informatics</t>
  </si>
  <si>
    <t>siemens-epoc</t>
  </si>
  <si>
    <t>siemens-epoc-acknowledge</t>
  </si>
  <si>
    <t>siemens-epoc-base</t>
  </si>
  <si>
    <t>siemens-epoc-get-auto-sw-updt</t>
  </si>
  <si>
    <t>siemens-epoc-get-configuration</t>
  </si>
  <si>
    <t>siemens-epoc-get-epocal-config</t>
  </si>
  <si>
    <t>siemens-epoc-get-evad</t>
  </si>
  <si>
    <t>siemens-epoc-get-operator-list</t>
  </si>
  <si>
    <t>siemens-epoc-get-physician-list</t>
  </si>
  <si>
    <t>siemens-epoc-get-sw-update-info</t>
  </si>
  <si>
    <t>siemens-epoc-get-testcard-lot</t>
  </si>
  <si>
    <t>siemens-epoc-get-time</t>
  </si>
  <si>
    <t>siemens-epoc-handshake</t>
  </si>
  <si>
    <t>siemens-epoc-reader-info</t>
  </si>
  <si>
    <t>siemens-epoc-save-eqc</t>
  </si>
  <si>
    <t>siemens-epoc-save-packet</t>
  </si>
  <si>
    <t>siemens-epoc-save-test</t>
  </si>
  <si>
    <t>siemens-factorylink</t>
  </si>
  <si>
    <t>siemens-hmi-wincc</t>
  </si>
  <si>
    <t>siemens-logo-discovery</t>
  </si>
  <si>
    <t>siemens-logo-soft-comfort</t>
  </si>
  <si>
    <t>siemens-logo-web-server</t>
  </si>
  <si>
    <t>siemens-p2</t>
  </si>
  <si>
    <t>siemens-plc-webserver</t>
  </si>
  <si>
    <t>siemens-s7</t>
  </si>
  <si>
    <t>siemens-s7-base</t>
  </si>
  <si>
    <t>siemens-s7-check-password-set</t>
  </si>
  <si>
    <t>siemens-s7-download-program</t>
  </si>
  <si>
    <t>siemens-s7-force</t>
  </si>
  <si>
    <t>siemens-s7-get-block-info</t>
  </si>
  <si>
    <t>siemens-s7-list-blocks</t>
  </si>
  <si>
    <t>siemens-s7-list-blocks-type</t>
  </si>
  <si>
    <t>siemens-s7-message-service</t>
  </si>
  <si>
    <t>siemens-s7-modify-variable</t>
  </si>
  <si>
    <t>siemens-s7-read</t>
  </si>
  <si>
    <t>siemens-s7-set-clock</t>
  </si>
  <si>
    <t>siemens-s7-setup-communication</t>
  </si>
  <si>
    <t>siemens-s7-start</t>
  </si>
  <si>
    <t>siemens-s7-status-controller</t>
  </si>
  <si>
    <t>siemens-s7-stop</t>
  </si>
  <si>
    <t>siemens-s7-upload-program</t>
  </si>
  <si>
    <t>siemens-s7-warm-restart</t>
  </si>
  <si>
    <t>siemens-s7-write</t>
  </si>
  <si>
    <t>siemens-s7-comm-plus</t>
  </si>
  <si>
    <t>siemens-s7-comm-plus-base</t>
  </si>
  <si>
    <t>siemens-s7-comm-plus-create-ob</t>
  </si>
  <si>
    <t>siemens-s7-comm-plus-delete-ob</t>
  </si>
  <si>
    <t>siemens-s7-comm-plus-download</t>
  </si>
  <si>
    <t>siemens-s7-comm-plus-end-seq</t>
  </si>
  <si>
    <t>siemens-s7-comm-plus-explore</t>
  </si>
  <si>
    <t>siemens-s7-comm-plus-get-link</t>
  </si>
  <si>
    <t>siemens-s7-comm-plus-get-mtvar</t>
  </si>
  <si>
    <t>siemens-s7-comm-plus-get-vsstr</t>
  </si>
  <si>
    <t>siemens-s7-comm-plus-invoke</t>
  </si>
  <si>
    <t>siemens-s7-comm-plus-run-cpu</t>
  </si>
  <si>
    <t>siemens-s7-comm-plus-set-mtvar</t>
  </si>
  <si>
    <t>siemens-s7-comm-plus-set-time</t>
  </si>
  <si>
    <t>siemens-s7-comm-plus-set-var</t>
  </si>
  <si>
    <t>siemens-s7-comm-plus-stop-cpu</t>
  </si>
  <si>
    <t>siemens-s7-comm-plus-upload</t>
  </si>
  <si>
    <t>sightspeed</t>
  </si>
  <si>
    <t>signal</t>
  </si>
  <si>
    <t>signal-base</t>
  </si>
  <si>
    <t>signal-file-transfer</t>
  </si>
  <si>
    <t>signiant</t>
  </si>
  <si>
    <t>signiant-base</t>
  </si>
  <si>
    <t>signiant-uploading</t>
  </si>
  <si>
    <t>signnow</t>
  </si>
  <si>
    <t>silent-circle</t>
  </si>
  <si>
    <t>silex-webserver</t>
  </si>
  <si>
    <t>silverlake-axis-sibs</t>
  </si>
  <si>
    <t>silverlight</t>
  </si>
  <si>
    <t>silverpeak-edgeconnect</t>
  </si>
  <si>
    <t>simatic-logon</t>
  </si>
  <si>
    <t>simatic-logon-base</t>
  </si>
  <si>
    <t>simatic-logon-encrypted-login</t>
  </si>
  <si>
    <t>simatic-logon-unencrypted-login</t>
  </si>
  <si>
    <t>simple-im</t>
  </si>
  <si>
    <t>simplehelp</t>
  </si>
  <si>
    <t>simplenote</t>
  </si>
  <si>
    <t>simplified</t>
  </si>
  <si>
    <t>simplified-base</t>
  </si>
  <si>
    <t>simplified-delete</t>
  </si>
  <si>
    <t>simplified-download</t>
  </si>
  <si>
    <t>simplified-post</t>
  </si>
  <si>
    <t>simplified-upload</t>
  </si>
  <si>
    <t>simplify</t>
  </si>
  <si>
    <t>simplite-msn</t>
  </si>
  <si>
    <t>sina-uc</t>
  </si>
  <si>
    <t>sina-uc-audio-video</t>
  </si>
  <si>
    <t>sina-uc-base</t>
  </si>
  <si>
    <t>sina-uc-file-transfer</t>
  </si>
  <si>
    <t>sina-uc-remote-control</t>
  </si>
  <si>
    <t>sina-uc-web-disk</t>
  </si>
  <si>
    <t>sina-webuc</t>
  </si>
  <si>
    <t>sina-weibo</t>
  </si>
  <si>
    <t>sina-weibo-base</t>
  </si>
  <si>
    <t>sina-weibo-posting</t>
  </si>
  <si>
    <t>sinec-h1</t>
  </si>
  <si>
    <t>sip</t>
  </si>
  <si>
    <t>sip-application</t>
  </si>
  <si>
    <t>sip-message</t>
  </si>
  <si>
    <t>sip-trunk</t>
  </si>
  <si>
    <t>sip-trunk-nat</t>
  </si>
  <si>
    <t>sip2-for-ils</t>
  </si>
  <si>
    <t>sipcli</t>
  </si>
  <si>
    <t>sipviaheader-nat</t>
  </si>
  <si>
    <t>siteminder</t>
  </si>
  <si>
    <t>siteworx-gateway</t>
  </si>
  <si>
    <t>skip</t>
  </si>
  <si>
    <t>sky-player</t>
  </si>
  <si>
    <t>skydrive</t>
  </si>
  <si>
    <t>skydrive-base</t>
  </si>
  <si>
    <t>skydrive-uploading</t>
  </si>
  <si>
    <t>skydur</t>
  </si>
  <si>
    <t>skype</t>
  </si>
  <si>
    <t>skype-probe</t>
  </si>
  <si>
    <t>skytap</t>
  </si>
  <si>
    <t>slack</t>
  </si>
  <si>
    <t>slack-ai</t>
  </si>
  <si>
    <t>slack-base</t>
  </si>
  <si>
    <t>slack-call</t>
  </si>
  <si>
    <t>slack-create</t>
  </si>
  <si>
    <t>slack-delete</t>
  </si>
  <si>
    <t>slack-downloading</t>
  </si>
  <si>
    <t>slack-editing</t>
  </si>
  <si>
    <t>slack-file-transfer</t>
  </si>
  <si>
    <t>slack-invite</t>
  </si>
  <si>
    <t>slack-join</t>
  </si>
  <si>
    <t>slack-login</t>
  </si>
  <si>
    <t>slack-post</t>
  </si>
  <si>
    <t>slack-sharing</t>
  </si>
  <si>
    <t>slack-unshare</t>
  </si>
  <si>
    <t>slack-uploading</t>
  </si>
  <si>
    <t>slacker</t>
  </si>
  <si>
    <t>slemma</t>
  </si>
  <si>
    <t>sliderocket</t>
  </si>
  <si>
    <t>slidesai</t>
  </si>
  <si>
    <t>slideshare</t>
  </si>
  <si>
    <t>slideshare-base</t>
  </si>
  <si>
    <t>slideshare-uploading</t>
  </si>
  <si>
    <t>sling</t>
  </si>
  <si>
    <t>slp</t>
  </si>
  <si>
    <t>sm</t>
  </si>
  <si>
    <t>smallpdf</t>
  </si>
  <si>
    <t>smallpdf-base</t>
  </si>
  <si>
    <t>smallpdf-uploading</t>
  </si>
  <si>
    <t>smart-bridgit</t>
  </si>
  <si>
    <t>smartsheet</t>
  </si>
  <si>
    <t>smartsheet-base</t>
  </si>
  <si>
    <t>smartsheet-downloading</t>
  </si>
  <si>
    <t>smartsheet-editing</t>
  </si>
  <si>
    <t>smartsheet-sharing</t>
  </si>
  <si>
    <t>smartsheet-uploading</t>
  </si>
  <si>
    <t>smash</t>
  </si>
  <si>
    <t>smilebox</t>
  </si>
  <si>
    <t>smiths-pharmguard</t>
  </si>
  <si>
    <t>smp</t>
  </si>
  <si>
    <t>smpp</t>
  </si>
  <si>
    <t>smtp-base</t>
  </si>
  <si>
    <t>smtp-non-rfc</t>
  </si>
  <si>
    <t>smtp-starttls</t>
  </si>
  <si>
    <t>smugmug</t>
  </si>
  <si>
    <t>snapchat</t>
  </si>
  <si>
    <t>snapfish</t>
  </si>
  <si>
    <t>snapmirror</t>
  </si>
  <si>
    <t>snaprevise</t>
  </si>
  <si>
    <t>snare-server</t>
  </si>
  <si>
    <t>snmp-base</t>
  </si>
  <si>
    <t>snmpv1</t>
  </si>
  <si>
    <t>snmpv1-get-next-request</t>
  </si>
  <si>
    <t>snmpv1-get-request</t>
  </si>
  <si>
    <t>snmpv1-set-request</t>
  </si>
  <si>
    <t>snmpv2</t>
  </si>
  <si>
    <t>snmpv2-get-bulk-request</t>
  </si>
  <si>
    <t>snmpv2-get-next-request</t>
  </si>
  <si>
    <t>snmpv2-get-request</t>
  </si>
  <si>
    <t>snmpv2-set-request</t>
  </si>
  <si>
    <t>snmpv3</t>
  </si>
  <si>
    <t>snmpv3-get-bulk-request</t>
  </si>
  <si>
    <t>snmpv3-get-next-request</t>
  </si>
  <si>
    <t>snmpv3-get-request</t>
  </si>
  <si>
    <t>snmpv3-set-request</t>
  </si>
  <si>
    <t>snmp-trap</t>
  </si>
  <si>
    <t>snp</t>
  </si>
  <si>
    <t>snpp</t>
  </si>
  <si>
    <t>soap</t>
  </si>
  <si>
    <t>socialcam</t>
  </si>
  <si>
    <t>socialtext-editing</t>
  </si>
  <si>
    <t>socialtv</t>
  </si>
  <si>
    <t>socks</t>
  </si>
  <si>
    <t>socks2http</t>
  </si>
  <si>
    <t>socratic</t>
  </si>
  <si>
    <t>socratic-base</t>
  </si>
  <si>
    <t>socratic-uploading</t>
  </si>
  <si>
    <t>sodapdf</t>
  </si>
  <si>
    <t>sodapdf-base</t>
  </si>
  <si>
    <t>sodapdf-uploading</t>
  </si>
  <si>
    <t>softether</t>
  </si>
  <si>
    <t>softros-messenger</t>
  </si>
  <si>
    <t>softros-messenger-base</t>
  </si>
  <si>
    <t>softros-messenger-file-transfer</t>
  </si>
  <si>
    <t>sohu-video</t>
  </si>
  <si>
    <t>solarwinds</t>
  </si>
  <si>
    <t>solarwinds-agent</t>
  </si>
  <si>
    <t>solarwinds-base</t>
  </si>
  <si>
    <t>solarwinds-msp-anywhere</t>
  </si>
  <si>
    <t>solarwinds-npm</t>
  </si>
  <si>
    <t>solarwinds-rmm</t>
  </si>
  <si>
    <t>solarwinds-sam</t>
  </si>
  <si>
    <t>solarwinds-loggly</t>
  </si>
  <si>
    <t>solarwinds-loggly-base</t>
  </si>
  <si>
    <t>solarwinds-loggly-logout</t>
  </si>
  <si>
    <t>solidfiles</t>
  </si>
  <si>
    <t>solvequotes</t>
  </si>
  <si>
    <t>sonarqube</t>
  </si>
  <si>
    <t>sopcast</t>
  </si>
  <si>
    <t>sophos-live-protection</t>
  </si>
  <si>
    <t>sophos-rms</t>
  </si>
  <si>
    <t>sophos-update</t>
  </si>
  <si>
    <t>soribada</t>
  </si>
  <si>
    <t>sosbackup</t>
  </si>
  <si>
    <t>soti-mobicontrol</t>
  </si>
  <si>
    <t>soulseek</t>
  </si>
  <si>
    <t>soundcloud</t>
  </si>
  <si>
    <t>soundcloud-base</t>
  </si>
  <si>
    <t>soundcloud-uploading</t>
  </si>
  <si>
    <t>source-engine</t>
  </si>
  <si>
    <t>sourcefire-fireamp</t>
  </si>
  <si>
    <t>sourceforge</t>
  </si>
  <si>
    <t>sourceforge-base</t>
  </si>
  <si>
    <t>sourceforge-downloading</t>
  </si>
  <si>
    <t>sourceforge-file-transfer</t>
  </si>
  <si>
    <t>sourceforge-uploading</t>
  </si>
  <si>
    <t>sourcegraph</t>
  </si>
  <si>
    <t>sourcegraph-base</t>
  </si>
  <si>
    <t>sourcegraph-cody</t>
  </si>
  <si>
    <t>sourcegraph-cody-create</t>
  </si>
  <si>
    <t>sourcegraph-cody-delete</t>
  </si>
  <si>
    <t>sourcegraph-cody-edit</t>
  </si>
  <si>
    <t>sourcegraph-cody-post</t>
  </si>
  <si>
    <t>spacelabs-central-pm</t>
  </si>
  <si>
    <t>spamfighter</t>
  </si>
  <si>
    <t>spanning</t>
  </si>
  <si>
    <t>spark</t>
  </si>
  <si>
    <t>spark-im</t>
  </si>
  <si>
    <t>spark-im-base</t>
  </si>
  <si>
    <t>spark-im-file-transfer</t>
  </si>
  <si>
    <t>spector360</t>
  </si>
  <si>
    <t>spectrum-tv</t>
  </si>
  <si>
    <t>speedtest</t>
  </si>
  <si>
    <t>speedvpn</t>
  </si>
  <si>
    <t>spideroak</t>
  </si>
  <si>
    <t>spinoco</t>
  </si>
  <si>
    <t>spirent</t>
  </si>
  <si>
    <t>splashtop-remote</t>
  </si>
  <si>
    <t>splunk</t>
  </si>
  <si>
    <t>spotflux</t>
  </si>
  <si>
    <t>spotify</t>
  </si>
  <si>
    <t>spotnet</t>
  </si>
  <si>
    <t>springcm</t>
  </si>
  <si>
    <t>sprite-rpc</t>
  </si>
  <si>
    <t>sproutsocial</t>
  </si>
  <si>
    <t>sps</t>
  </si>
  <si>
    <t>square</t>
  </si>
  <si>
    <t>square-d-discovery</t>
  </si>
  <si>
    <t>squirrelmail</t>
  </si>
  <si>
    <t>srp</t>
  </si>
  <si>
    <t>srvdir</t>
  </si>
  <si>
    <t>ss7-cap</t>
  </si>
  <si>
    <t>ss7-inap</t>
  </si>
  <si>
    <t>ss7-map</t>
  </si>
  <si>
    <t>ss7-map-css-callingparty</t>
  </si>
  <si>
    <t>ss7-map-eir-callingparty</t>
  </si>
  <si>
    <t>ss7-map-ggsn-callingparty</t>
  </si>
  <si>
    <t>ss7-map-gmlc-callingparty</t>
  </si>
  <si>
    <t>ss7-map-gsmscf-callingparty</t>
  </si>
  <si>
    <t>ss7-map-hlr-callingparty</t>
  </si>
  <si>
    <t>ss7-map-msc-callingparty</t>
  </si>
  <si>
    <t>ss7-map-sgsn-callingparty</t>
  </si>
  <si>
    <t>ss7-map-siwf-callingparty</t>
  </si>
  <si>
    <t>ss7-map-vlr-callingparty</t>
  </si>
  <si>
    <t>ss7-sccp</t>
  </si>
  <si>
    <t>sscopmce</t>
  </si>
  <si>
    <t>ssdp</t>
  </si>
  <si>
    <t>ssh-tunnel</t>
  </si>
  <si>
    <t>st</t>
  </si>
  <si>
    <t>stackoverflow</t>
  </si>
  <si>
    <t>stackoverflow-base</t>
  </si>
  <si>
    <t>stackoverflow-team</t>
  </si>
  <si>
    <t>stagevu</t>
  </si>
  <si>
    <t>stanag-4406</t>
  </si>
  <si>
    <t>stanag-5066</t>
  </si>
  <si>
    <t>starcraft</t>
  </si>
  <si>
    <t>starleaf</t>
  </si>
  <si>
    <t>startmail</t>
  </si>
  <si>
    <t>starz</t>
  </si>
  <si>
    <t>statsd</t>
  </si>
  <si>
    <t>stealthnet</t>
  </si>
  <si>
    <t>steam</t>
  </si>
  <si>
    <t>steekr</t>
  </si>
  <si>
    <t>steganos-vpn</t>
  </si>
  <si>
    <t>stickam</t>
  </si>
  <si>
    <t>stockstar</t>
  </si>
  <si>
    <t>stocktwits</t>
  </si>
  <si>
    <t>stocktwits-base</t>
  </si>
  <si>
    <t>stocktwits-posting</t>
  </si>
  <si>
    <t>stomp</t>
  </si>
  <si>
    <t>storage.to</t>
  </si>
  <si>
    <t>storify</t>
  </si>
  <si>
    <t>storify-base</t>
  </si>
  <si>
    <t>storify-posting</t>
  </si>
  <si>
    <t>storix</t>
  </si>
  <si>
    <t>stowaway</t>
  </si>
  <si>
    <t>stp</t>
  </si>
  <si>
    <t>stratasys-uprint</t>
  </si>
  <si>
    <t>stratum-mining-protocol</t>
  </si>
  <si>
    <t>streak</t>
  </si>
  <si>
    <t>streamaudio</t>
  </si>
  <si>
    <t>streambox</t>
  </si>
  <si>
    <t>streampix</t>
  </si>
  <si>
    <t>streamtime</t>
  </si>
  <si>
    <t>streamyard</t>
  </si>
  <si>
    <t>streetchat</t>
  </si>
  <si>
    <t>stretchoid-scanning</t>
  </si>
  <si>
    <t>strongvpn</t>
  </si>
  <si>
    <t>stryker-axeda-gateway</t>
  </si>
  <si>
    <t>stryker-or-hub-heartbeat</t>
  </si>
  <si>
    <t>stryker-sewsi</t>
  </si>
  <si>
    <t>studivz</t>
  </si>
  <si>
    <t>stumbleupon</t>
  </si>
  <si>
    <t>stun</t>
  </si>
  <si>
    <t>sua</t>
  </si>
  <si>
    <t>subspace</t>
  </si>
  <si>
    <t>subversion</t>
  </si>
  <si>
    <t>subversion-base</t>
  </si>
  <si>
    <t>subversion-uploading</t>
  </si>
  <si>
    <t>successfactors</t>
  </si>
  <si>
    <t>sugar-crm</t>
  </si>
  <si>
    <t>sugarsync</t>
  </si>
  <si>
    <t>suit-conference</t>
  </si>
  <si>
    <t>suitelink</t>
  </si>
  <si>
    <t>sumo-logic</t>
  </si>
  <si>
    <t>sun-nd</t>
  </si>
  <si>
    <t>sunlogin-remote-control</t>
  </si>
  <si>
    <t>support-board</t>
  </si>
  <si>
    <t>supremo</t>
  </si>
  <si>
    <t>suresome</t>
  </si>
  <si>
    <t>surrogafier</t>
  </si>
  <si>
    <t>surveylegend</t>
  </si>
  <si>
    <t>surveylegend-base</t>
  </si>
  <si>
    <t>surveylegend-uploading</t>
  </si>
  <si>
    <t>surveymonkey</t>
  </si>
  <si>
    <t>surveymonkey-base</t>
  </si>
  <si>
    <t>surveymonkey-downloading</t>
  </si>
  <si>
    <t>surveymonkey-editing</t>
  </si>
  <si>
    <t>surveymonkey-sharing</t>
  </si>
  <si>
    <t>surveymonkey-uploading</t>
  </si>
  <si>
    <t>surveysparrow</t>
  </si>
  <si>
    <t>surveysparrow-base</t>
  </si>
  <si>
    <t>surveysparrow-uploading</t>
  </si>
  <si>
    <t>sutisurvey</t>
  </si>
  <si>
    <t>sutisurvey-base</t>
  </si>
  <si>
    <t>sutisurvey-uploading</t>
  </si>
  <si>
    <t>svtplay</t>
  </si>
  <si>
    <t>swapper</t>
  </si>
  <si>
    <t>sway</t>
  </si>
  <si>
    <t>swiftmq</t>
  </si>
  <si>
    <t>swimm</t>
  </si>
  <si>
    <t>swipe</t>
  </si>
  <si>
    <t>swisslog-pts</t>
  </si>
  <si>
    <t>swisstransfer</t>
  </si>
  <si>
    <t>swyx-cds</t>
  </si>
  <si>
    <t>sybase</t>
  </si>
  <si>
    <t>symantec-av-update</t>
  </si>
  <si>
    <t>symantec-endpoint-manager</t>
  </si>
  <si>
    <t>symantec-syst-center</t>
  </si>
  <si>
    <t>symbee-connect</t>
  </si>
  <si>
    <t>symphony</t>
  </si>
  <si>
    <t>sync</t>
  </si>
  <si>
    <t>syncplicity</t>
  </si>
  <si>
    <t>syncplicity-base</t>
  </si>
  <si>
    <t>syncplicity-downloading</t>
  </si>
  <si>
    <t>syncplicity-sharing</t>
  </si>
  <si>
    <t>syncplicity-uploading</t>
  </si>
  <si>
    <t>synergy</t>
  </si>
  <si>
    <t>syngo-dynamics-portal</t>
  </si>
  <si>
    <t>synology-cloudstation</t>
  </si>
  <si>
    <t>synology-dsm</t>
  </si>
  <si>
    <t>synthesia</t>
  </si>
  <si>
    <t>synthesia-base</t>
  </si>
  <si>
    <t>synthesia-create</t>
  </si>
  <si>
    <t>synthesia-delete</t>
  </si>
  <si>
    <t>synthesia-download</t>
  </si>
  <si>
    <t>synthesia-edit</t>
  </si>
  <si>
    <t>synthesia-invite</t>
  </si>
  <si>
    <t>synthesia-move</t>
  </si>
  <si>
    <t>synthesia-upload</t>
  </si>
  <si>
    <t>syslog</t>
  </si>
  <si>
    <t>t-online-mail</t>
  </si>
  <si>
    <t>t.120</t>
  </si>
  <si>
    <t>t.38</t>
  </si>
  <si>
    <t>t3</t>
  </si>
  <si>
    <t>tableau</t>
  </si>
  <si>
    <t>tableau-ai</t>
  </si>
  <si>
    <t>tableau-base</t>
  </si>
  <si>
    <t>tableau-downloading</t>
  </si>
  <si>
    <t>tableau-editing</t>
  </si>
  <si>
    <t>tableau-uploading</t>
  </si>
  <si>
    <t>tableau-public</t>
  </si>
  <si>
    <t>tabnine</t>
  </si>
  <si>
    <t>tacacs</t>
  </si>
  <si>
    <t>tacacs-plus</t>
  </si>
  <si>
    <t>tachy-messenger</t>
  </si>
  <si>
    <t>tagoo</t>
  </si>
  <si>
    <t>tailscale</t>
  </si>
  <si>
    <t>taku-file-bin</t>
  </si>
  <si>
    <t>tales-runner</t>
  </si>
  <si>
    <t>talkbox</t>
  </si>
  <si>
    <t>tango</t>
  </si>
  <si>
    <t>tanium</t>
  </si>
  <si>
    <t>taobao</t>
  </si>
  <si>
    <t>target-communication-framework</t>
  </si>
  <si>
    <t>tavily</t>
  </si>
  <si>
    <t>tcf</t>
  </si>
  <si>
    <t>tcp-over-dns</t>
  </si>
  <si>
    <t>teachertube</t>
  </si>
  <si>
    <t>tealeaf</t>
  </si>
  <si>
    <t>teamcenter</t>
  </si>
  <si>
    <t>teamdrive</t>
  </si>
  <si>
    <t>teamdrive-base</t>
  </si>
  <si>
    <t>teamdrive-uploading</t>
  </si>
  <si>
    <t>teamsound</t>
  </si>
  <si>
    <t>teamspeak</t>
  </si>
  <si>
    <t>teamup-calendar</t>
  </si>
  <si>
    <t>teamup-calendar-base</t>
  </si>
  <si>
    <t>teamup-calendar-uploading</t>
  </si>
  <si>
    <t>teamviewer</t>
  </si>
  <si>
    <t>teamviewer-base</t>
  </si>
  <si>
    <t>teamviewer-remote-control</t>
  </si>
  <si>
    <t>teamviewer-sharing</t>
  </si>
  <si>
    <t>teamviewer-web</t>
  </si>
  <si>
    <t>techinline</t>
  </si>
  <si>
    <t>telegram</t>
  </si>
  <si>
    <t>telegram-audio-video</t>
  </si>
  <si>
    <t>telegram-base</t>
  </si>
  <si>
    <t>telenet-webmail</t>
  </si>
  <si>
    <t>telex</t>
  </si>
  <si>
    <t>telnet</t>
  </si>
  <si>
    <t>temenos-t24</t>
  </si>
  <si>
    <t>temptrak</t>
  </si>
  <si>
    <t>tenable-nessus</t>
  </si>
  <si>
    <t>tenable-security-center</t>
  </si>
  <si>
    <t>tenable.io</t>
  </si>
  <si>
    <t>tencent-meeting</t>
  </si>
  <si>
    <t>tencent-video</t>
  </si>
  <si>
    <t>teradata</t>
  </si>
  <si>
    <t>terarecon-intuition-thin-client</t>
  </si>
  <si>
    <t>teredo</t>
  </si>
  <si>
    <t>terraria</t>
  </si>
  <si>
    <t>tesla</t>
  </si>
  <si>
    <t>tesla-car-app</t>
  </si>
  <si>
    <t>tettra</t>
  </si>
  <si>
    <t>tettra-base</t>
  </si>
  <si>
    <t>tettra-download</t>
  </si>
  <si>
    <t>tettra-upload</t>
  </si>
  <si>
    <t>textnow</t>
  </si>
  <si>
    <t>tftp</t>
  </si>
  <si>
    <t>tgx-remote-desktop</t>
  </si>
  <si>
    <t>thecircle</t>
  </si>
  <si>
    <t>thinkfree</t>
  </si>
  <si>
    <t>thinmanager-configuration</t>
  </si>
  <si>
    <t>thoughtspot</t>
  </si>
  <si>
    <t>thoughtspot-base</t>
  </si>
  <si>
    <t>thoughtspot-delete</t>
  </si>
  <si>
    <t>thoughtspot-download</t>
  </si>
  <si>
    <t>thoughtspot-upload</t>
  </si>
  <si>
    <t>thousandeyes</t>
  </si>
  <si>
    <t>threema</t>
  </si>
  <si>
    <t>thunder-vpn</t>
  </si>
  <si>
    <t>thundertix</t>
  </si>
  <si>
    <t>thwapr</t>
  </si>
  <si>
    <t>thwapr-base</t>
  </si>
  <si>
    <t>thwapr-sharing</t>
  </si>
  <si>
    <t>thwapr-uploading</t>
  </si>
  <si>
    <t>tibbr</t>
  </si>
  <si>
    <t>tibero</t>
  </si>
  <si>
    <t>tidal</t>
  </si>
  <si>
    <t>tidaltv</t>
  </si>
  <si>
    <t>tidb</t>
  </si>
  <si>
    <t>tigertext</t>
  </si>
  <si>
    <t>tikiwiki-editing</t>
  </si>
  <si>
    <t>tiktok</t>
  </si>
  <si>
    <t>tiktok-base</t>
  </si>
  <si>
    <t>tiktok-posting</t>
  </si>
  <si>
    <t>tiktok-uploading</t>
  </si>
  <si>
    <t>timbuktu</t>
  </si>
  <si>
    <t>time</t>
  </si>
  <si>
    <t>tinder</t>
  </si>
  <si>
    <t>tinyvpn</t>
  </si>
  <si>
    <t>tiscali-mail</t>
  </si>
  <si>
    <t>tistory-blog-posting</t>
  </si>
  <si>
    <t>titanize</t>
  </si>
  <si>
    <t>tivoli-network-monitoring</t>
  </si>
  <si>
    <t>tivoli-storage-manager</t>
  </si>
  <si>
    <t>tlsp</t>
  </si>
  <si>
    <t>tocnet-ecau-connect</t>
  </si>
  <si>
    <t>tocnet-scau-connect</t>
  </si>
  <si>
    <t>tokbox</t>
  </si>
  <si>
    <t>tonghuashun</t>
  </si>
  <si>
    <t>toolsnet-open-protocol</t>
  </si>
  <si>
    <t>topcon-receiver</t>
  </si>
  <si>
    <t>tor</t>
  </si>
  <si>
    <t>tor2web</t>
  </si>
  <si>
    <t>torch-browser</t>
  </si>
  <si>
    <t>torch-browser-base</t>
  </si>
  <si>
    <t>torch-browser-games</t>
  </si>
  <si>
    <t>torch-browser-music</t>
  </si>
  <si>
    <t>toshiba-tec-pcl</t>
  </si>
  <si>
    <t>totodisk</t>
  </si>
  <si>
    <t>totoexpress</t>
  </si>
  <si>
    <t>touchdown</t>
  </si>
  <si>
    <t>tp-plus-plus</t>
  </si>
  <si>
    <t>traceroute</t>
  </si>
  <si>
    <t>traceroute6</t>
  </si>
  <si>
    <t>track-it</t>
  </si>
  <si>
    <t>tradestation</t>
  </si>
  <si>
    <t>tradogram</t>
  </si>
  <si>
    <t>trakstar</t>
  </si>
  <si>
    <t>transferbigfiles</t>
  </si>
  <si>
    <t>transferxl</t>
  </si>
  <si>
    <t>transferxl-base</t>
  </si>
  <si>
    <t>transferxl-delete</t>
  </si>
  <si>
    <t>transferxl-download</t>
  </si>
  <si>
    <t>transferxl-upload</t>
  </si>
  <si>
    <t>traps-management-service</t>
  </si>
  <si>
    <t>trello</t>
  </si>
  <si>
    <t>trello-atlassian-intel</t>
  </si>
  <si>
    <t>trello-base</t>
  </si>
  <si>
    <t>trello-downloading</t>
  </si>
  <si>
    <t>trello-editing</t>
  </si>
  <si>
    <t>trello-uploading</t>
  </si>
  <si>
    <t>trendmicro</t>
  </si>
  <si>
    <t>trendmicro-earthagent</t>
  </si>
  <si>
    <t>trendmicro-officescan</t>
  </si>
  <si>
    <t>trendmicro-safesync</t>
  </si>
  <si>
    <t>tresorit</t>
  </si>
  <si>
    <t>tresorit-base</t>
  </si>
  <si>
    <t>tresorit-downloading</t>
  </si>
  <si>
    <t>tresorit-uploading</t>
  </si>
  <si>
    <t>trillian</t>
  </si>
  <si>
    <t>trinoo</t>
  </si>
  <si>
    <t>trippy</t>
  </si>
  <si>
    <t>tristation</t>
  </si>
  <si>
    <t>tristation-base</t>
  </si>
  <si>
    <t>tristation-connect-req</t>
  </si>
  <si>
    <t>tristation-connect-rsp</t>
  </si>
  <si>
    <t>tristation-disconnect-req</t>
  </si>
  <si>
    <t>tristation-get-cp-status-req</t>
  </si>
  <si>
    <t>tristation-get-cp-status-rsp</t>
  </si>
  <si>
    <t>tristation-run-program</t>
  </si>
  <si>
    <t>trueshare</t>
  </si>
  <si>
    <t>trunk-1</t>
  </si>
  <si>
    <t>trunk-2</t>
  </si>
  <si>
    <t>tsaa</t>
  </si>
  <si>
    <t>tsp</t>
  </si>
  <si>
    <t>tsunami</t>
  </si>
  <si>
    <t>ttp</t>
  </si>
  <si>
    <t>tubes</t>
  </si>
  <si>
    <t>tubitv</t>
  </si>
  <si>
    <t>tudou</t>
  </si>
  <si>
    <t>tudou-speedup</t>
  </si>
  <si>
    <t>tuenti</t>
  </si>
  <si>
    <t>tumblr</t>
  </si>
  <si>
    <t>tumblr-base</t>
  </si>
  <si>
    <t>tumblr-posting</t>
  </si>
  <si>
    <t>tunein</t>
  </si>
  <si>
    <t>tunnelbear</t>
  </si>
  <si>
    <t>turboshare</t>
  </si>
  <si>
    <t>turboupload</t>
  </si>
  <si>
    <t>turkcell-bip</t>
  </si>
  <si>
    <t>turnitin</t>
  </si>
  <si>
    <t>tv4play</t>
  </si>
  <si>
    <t>tvants</t>
  </si>
  <si>
    <t>tvb-video</t>
  </si>
  <si>
    <t>tvtonic</t>
  </si>
  <si>
    <t>tvu</t>
  </si>
  <si>
    <t>twig</t>
  </si>
  <si>
    <t>twilio</t>
  </si>
  <si>
    <t>twincat</t>
  </si>
  <si>
    <t>twincat-ads-add-dev-notify</t>
  </si>
  <si>
    <t>twincat-ads-del-dev-notify</t>
  </si>
  <si>
    <t>twincat-ads-dev-notify</t>
  </si>
  <si>
    <t>twincat-ads-read</t>
  </si>
  <si>
    <t>twincat-ads-read-dev-info</t>
  </si>
  <si>
    <t>twincat-ads-read-state</t>
  </si>
  <si>
    <t>twincat-ads-read-write</t>
  </si>
  <si>
    <t>twincat-ads-write</t>
  </si>
  <si>
    <t>twincat-ads-write-control</t>
  </si>
  <si>
    <t>twincat-base</t>
  </si>
  <si>
    <t>twingate</t>
  </si>
  <si>
    <t>twitch</t>
  </si>
  <si>
    <t>twitpic</t>
  </si>
  <si>
    <t>twitter</t>
  </si>
  <si>
    <t>twitter-base</t>
  </si>
  <si>
    <t>twitter-delete</t>
  </si>
  <si>
    <t>twitter-editing</t>
  </si>
  <si>
    <t>twitter-messaging</t>
  </si>
  <si>
    <t>twitter-posting</t>
  </si>
  <si>
    <t>twitter-reactions</t>
  </si>
  <si>
    <t>twitter-uploading</t>
  </si>
  <si>
    <t>xai-grok</t>
  </si>
  <si>
    <t>xai-grok-download</t>
  </si>
  <si>
    <t>xai-grok-post</t>
  </si>
  <si>
    <t>xai-grok-upload</t>
  </si>
  <si>
    <t>twtkr</t>
  </si>
  <si>
    <t>txp</t>
  </si>
  <si>
    <t>tyco-access</t>
  </si>
  <si>
    <t>u-meeting</t>
  </si>
  <si>
    <t>uaudp</t>
  </si>
  <si>
    <t>uberconference</t>
  </si>
  <si>
    <t>ubisoft-uplay</t>
  </si>
  <si>
    <t>ubuntu-one</t>
  </si>
  <si>
    <t>uc-yun</t>
  </si>
  <si>
    <t>uc-yun-base</t>
  </si>
  <si>
    <t>uc-yun-downloading</t>
  </si>
  <si>
    <t>uc-yun-uploading</t>
  </si>
  <si>
    <t>udemy</t>
  </si>
  <si>
    <t>udemy-base</t>
  </si>
  <si>
    <t>udemy-business</t>
  </si>
  <si>
    <t>udplite</t>
  </si>
  <si>
    <t>ufile</t>
  </si>
  <si>
    <t>ultrahook</t>
  </si>
  <si>
    <t>ultrasurf</t>
  </si>
  <si>
    <t>ultraviewer</t>
  </si>
  <si>
    <t>umas</t>
  </si>
  <si>
    <t>umas-base</t>
  </si>
  <si>
    <t>umas-coils-registers-read</t>
  </si>
  <si>
    <t>umas-coils-registers-write</t>
  </si>
  <si>
    <t>umas-download-block</t>
  </si>
  <si>
    <t>umas-init-comm</t>
  </si>
  <si>
    <t>umas-initialize-download</t>
  </si>
  <si>
    <t>umas-initialize-upload</t>
  </si>
  <si>
    <t>umas-io-object-write</t>
  </si>
  <si>
    <t>umas-memory-block-read</t>
  </si>
  <si>
    <t>umas-memory-block-write</t>
  </si>
  <si>
    <t>umas-monitor-bits-read</t>
  </si>
  <si>
    <t>umas-monitor-bits-write</t>
  </si>
  <si>
    <t>umas-monitor-words-read</t>
  </si>
  <si>
    <t>umas-monitor-words-write</t>
  </si>
  <si>
    <t>umas-plc-reservation-release</t>
  </si>
  <si>
    <t>umas-plc-reservation-take</t>
  </si>
  <si>
    <t>umas-plc-start</t>
  </si>
  <si>
    <t>umas-plc-stop</t>
  </si>
  <si>
    <t>umas-read-card-info</t>
  </si>
  <si>
    <t>umas-read-id</t>
  </si>
  <si>
    <t>umas-repeat-request</t>
  </si>
  <si>
    <t>umas-sd-backup-make</t>
  </si>
  <si>
    <t>umas-sd-backup-remove</t>
  </si>
  <si>
    <t>umas-sd-backup-restore</t>
  </si>
  <si>
    <t>umas-upload-block</t>
  </si>
  <si>
    <t>umas-variables-read</t>
  </si>
  <si>
    <t>umas-variables-write</t>
  </si>
  <si>
    <t>unassigned-ip-prot</t>
  </si>
  <si>
    <t>uniflow</t>
  </si>
  <si>
    <t>union-procedure-call</t>
  </si>
  <si>
    <t>unistim</t>
  </si>
  <si>
    <t>unisys-stealth</t>
  </si>
  <si>
    <t>unitrends</t>
  </si>
  <si>
    <t>unitronics-pcom</t>
  </si>
  <si>
    <t>unitronics-pcom-base</t>
  </si>
  <si>
    <t>unitronics-pcom-check-password</t>
  </si>
  <si>
    <t>unitronics-pcom-error</t>
  </si>
  <si>
    <t>unitronics-pcom-find-resources</t>
  </si>
  <si>
    <t>unitronics-pcom-flush-memory</t>
  </si>
  <si>
    <t>unitronics-pcom-get-plc-id</t>
  </si>
  <si>
    <t>unitronics-pcom-get-plc-name</t>
  </si>
  <si>
    <t>unitronics-pcom-get-plc-unit-id</t>
  </si>
  <si>
    <t>unitronics-pcom-get-plc-version</t>
  </si>
  <si>
    <t>unitronics-pcom-read-bits</t>
  </si>
  <si>
    <t>unitronics-pcom-read-data</t>
  </si>
  <si>
    <t>unitronics-pcom-read-int</t>
  </si>
  <si>
    <t>unitronics-pcom-read-memory</t>
  </si>
  <si>
    <t>unitronics-pcom-read-operand</t>
  </si>
  <si>
    <t>unitronics-pcom-read-rtc</t>
  </si>
  <si>
    <t>unitronics-pcom-reset-password</t>
  </si>
  <si>
    <t>unitronics-pcom-set-bits</t>
  </si>
  <si>
    <t>unitronics-pcom-set-rtc</t>
  </si>
  <si>
    <t>unitronics-pcom-write-data</t>
  </si>
  <si>
    <t>unitronics-pcom-write-int</t>
  </si>
  <si>
    <t>unitronics-pcom-write-memory</t>
  </si>
  <si>
    <t>universal-data-mover</t>
  </si>
  <si>
    <t>unknown-p2p</t>
  </si>
  <si>
    <t>unknown-udp</t>
  </si>
  <si>
    <t>unreal</t>
  </si>
  <si>
    <t>unyte</t>
  </si>
  <si>
    <t>uploading</t>
  </si>
  <si>
    <t>uploadmachine</t>
  </si>
  <si>
    <t>uploadmirrors</t>
  </si>
  <si>
    <t>upnp</t>
  </si>
  <si>
    <t>usejump</t>
  </si>
  <si>
    <t>usermin</t>
  </si>
  <si>
    <t>userplane</t>
  </si>
  <si>
    <t>ustream</t>
  </si>
  <si>
    <t>uti</t>
  </si>
  <si>
    <t>uucp</t>
  </si>
  <si>
    <t>uusee</t>
  </si>
  <si>
    <t>vagaa</t>
  </si>
  <si>
    <t>vagrant</t>
  </si>
  <si>
    <t>vakaka</t>
  </si>
  <si>
    <t>vbulletin-posting</t>
  </si>
  <si>
    <t>veeam</t>
  </si>
  <si>
    <t>veeam-agent-linux</t>
  </si>
  <si>
    <t>veeam-agent-windows</t>
  </si>
  <si>
    <t>veeam-cloud-connect</t>
  </si>
  <si>
    <t>veetle</t>
  </si>
  <si>
    <t>velpic</t>
  </si>
  <si>
    <t>ventrilo</t>
  </si>
  <si>
    <t>veohtv</t>
  </si>
  <si>
    <t>verisk</t>
  </si>
  <si>
    <t>verizon-network-extender</t>
  </si>
  <si>
    <t>verizon-wsync</t>
  </si>
  <si>
    <t>vertica</t>
  </si>
  <si>
    <t>vevo</t>
  </si>
  <si>
    <t>via3</t>
  </si>
  <si>
    <t>viadeo</t>
  </si>
  <si>
    <t>viber</t>
  </si>
  <si>
    <t>viber-base</t>
  </si>
  <si>
    <t>viber-downloading</t>
  </si>
  <si>
    <t>viber-uploading</t>
  </si>
  <si>
    <t>viber-voice</t>
  </si>
  <si>
    <t>viddy</t>
  </si>
  <si>
    <t>vidsoft</t>
  </si>
  <si>
    <t>vidyo</t>
  </si>
  <si>
    <t>vimeo</t>
  </si>
  <si>
    <t>vimeo-base</t>
  </si>
  <si>
    <t>vimeo-create</t>
  </si>
  <si>
    <t>vimeo-delete</t>
  </si>
  <si>
    <t>vimeo-download</t>
  </si>
  <si>
    <t>vimeo-uploading</t>
  </si>
  <si>
    <t>vine</t>
  </si>
  <si>
    <t>vine-base</t>
  </si>
  <si>
    <t>vine-posting</t>
  </si>
  <si>
    <t>vines</t>
  </si>
  <si>
    <t>vipnet-vpn</t>
  </si>
  <si>
    <t>virustotal</t>
  </si>
  <si>
    <t>virustotal-api-uploading</t>
  </si>
  <si>
    <t>virustotal-base</t>
  </si>
  <si>
    <t>virustotal-web-uploading</t>
  </si>
  <si>
    <t>visa</t>
  </si>
  <si>
    <t>visme</t>
  </si>
  <si>
    <t>visme-base</t>
  </si>
  <si>
    <t>visme-uploading</t>
  </si>
  <si>
    <t>vkontakte</t>
  </si>
  <si>
    <t>vkontakte-base</t>
  </si>
  <si>
    <t>vkontakte-chat</t>
  </si>
  <si>
    <t>vkontakte-mail</t>
  </si>
  <si>
    <t>vmtp</t>
  </si>
  <si>
    <t>vmware</t>
  </si>
  <si>
    <t>vmware-blast-extreme</t>
  </si>
  <si>
    <t>vmware-carbon-black</t>
  </si>
  <si>
    <t>vmware-update</t>
  </si>
  <si>
    <t>vmware-view</t>
  </si>
  <si>
    <t>vmware-vmotion</t>
  </si>
  <si>
    <t>vmware-vsphere-web-client</t>
  </si>
  <si>
    <t>vnc-base</t>
  </si>
  <si>
    <t>vnc-chat</t>
  </si>
  <si>
    <t>vnc-clipboard</t>
  </si>
  <si>
    <t>vnc-encrypted</t>
  </si>
  <si>
    <t>vnc-filetransfer</t>
  </si>
  <si>
    <t>vnc-print</t>
  </si>
  <si>
    <t>vnc-http</t>
  </si>
  <si>
    <t>vnn</t>
  </si>
  <si>
    <t>vocera-badge</t>
  </si>
  <si>
    <t>voddler</t>
  </si>
  <si>
    <t>voiceflow</t>
  </si>
  <si>
    <t>voiceflow-base</t>
  </si>
  <si>
    <t>voiceflow-download</t>
  </si>
  <si>
    <t>voiceflow-upload</t>
  </si>
  <si>
    <t>vpnmaster</t>
  </si>
  <si>
    <t>vqp</t>
  </si>
  <si>
    <t>vrrp</t>
  </si>
  <si>
    <t>vsco</t>
  </si>
  <si>
    <t>vsee</t>
  </si>
  <si>
    <t>vtun</t>
  </si>
  <si>
    <t>vtunnel</t>
  </si>
  <si>
    <t>vudu</t>
  </si>
  <si>
    <t>vxlan</t>
  </si>
  <si>
    <t>vyew</t>
  </si>
  <si>
    <t>vyprvpn</t>
  </si>
  <si>
    <t>vzochat</t>
  </si>
  <si>
    <t>wallcooler-vpn</t>
  </si>
  <si>
    <t>war-rock</t>
  </si>
  <si>
    <t>war2glory</t>
  </si>
  <si>
    <t>warcraft</t>
  </si>
  <si>
    <t>warez-p2p</t>
  </si>
  <si>
    <t>wargaming.net</t>
  </si>
  <si>
    <t>wasabi</t>
  </si>
  <si>
    <t>watch-abc</t>
  </si>
  <si>
    <t>watchdox</t>
  </si>
  <si>
    <t>watchdox-base</t>
  </si>
  <si>
    <t>watchdox-downloading</t>
  </si>
  <si>
    <t>watchdox-editing</t>
  </si>
  <si>
    <t>watchdox-sharing</t>
  </si>
  <si>
    <t>watchdox-uploading</t>
  </si>
  <si>
    <t>waze</t>
  </si>
  <si>
    <t>wazuh-agent</t>
  </si>
  <si>
    <t>wb-expak</t>
  </si>
  <si>
    <t>wb-mon</t>
  </si>
  <si>
    <t>wccp</t>
  </si>
  <si>
    <t>we-dancing-online</t>
  </si>
  <si>
    <t>weather-desktop</t>
  </si>
  <si>
    <t>web-crawler</t>
  </si>
  <si>
    <t>web-de-mail</t>
  </si>
  <si>
    <t>webaim</t>
  </si>
  <si>
    <t>webalo</t>
  </si>
  <si>
    <t>webcatalog</t>
  </si>
  <si>
    <t>webconnect</t>
  </si>
  <si>
    <t>webdav</t>
  </si>
  <si>
    <t>webex</t>
  </si>
  <si>
    <t>webex-base</t>
  </si>
  <si>
    <t>webex-chat</t>
  </si>
  <si>
    <t>webex-desktop-sharing</t>
  </si>
  <si>
    <t>webex-downloading</t>
  </si>
  <si>
    <t>webex-file-sharing</t>
  </si>
  <si>
    <t>webex-join</t>
  </si>
  <si>
    <t>webex-uploading</t>
  </si>
  <si>
    <t>webex-whiteboard</t>
  </si>
  <si>
    <t>webex-connect</t>
  </si>
  <si>
    <t>webex-weboffice</t>
  </si>
  <si>
    <t>webhard</t>
  </si>
  <si>
    <t>webhr</t>
  </si>
  <si>
    <t>webmine</t>
  </si>
  <si>
    <t>webot</t>
  </si>
  <si>
    <t>webqq</t>
  </si>
  <si>
    <t>webrdp</t>
  </si>
  <si>
    <t>webroot-secureanywhere</t>
  </si>
  <si>
    <t>websense</t>
  </si>
  <si>
    <t>webshots</t>
  </si>
  <si>
    <t>websocket</t>
  </si>
  <si>
    <t>wechat</t>
  </si>
  <si>
    <t>wechat-audio-video</t>
  </si>
  <si>
    <t>wechat-base</t>
  </si>
  <si>
    <t>wechat-file-transfer</t>
  </si>
  <si>
    <t>wechat-video</t>
  </si>
  <si>
    <t>weekdone</t>
  </si>
  <si>
    <t>weights-and-biases</t>
  </si>
  <si>
    <t>weights-and-biases-base</t>
  </si>
  <si>
    <t>weights-and-biases-download</t>
  </si>
  <si>
    <t>weights-and-biases-upload</t>
  </si>
  <si>
    <t>weiyun</t>
  </si>
  <si>
    <t>weiyun-base</t>
  </si>
  <si>
    <t>weiyun-downloading</t>
  </si>
  <si>
    <t>weiyun-uploading</t>
  </si>
  <si>
    <t>weiyun-file-transfer</t>
  </si>
  <si>
    <t>welch-allyn-device-discovery</t>
  </si>
  <si>
    <t>welch-allyn-vsm</t>
  </si>
  <si>
    <t>wesp</t>
  </si>
  <si>
    <t>westcom-nc</t>
  </si>
  <si>
    <t>wetpaint-editing</t>
  </si>
  <si>
    <t>wetransfer</t>
  </si>
  <si>
    <t>wetransfer-base</t>
  </si>
  <si>
    <t>wetransfer-downloading</t>
  </si>
  <si>
    <t>wetransfer-uploading</t>
  </si>
  <si>
    <t>whatsapp</t>
  </si>
  <si>
    <t>whatsapp-base</t>
  </si>
  <si>
    <t>whatsapp-file-transfer</t>
  </si>
  <si>
    <t>whatsapp-voice</t>
  </si>
  <si>
    <t>whatsapp-web</t>
  </si>
  <si>
    <t>wheniwork</t>
  </si>
  <si>
    <t>whereby</t>
  </si>
  <si>
    <t>whisper</t>
  </si>
  <si>
    <t>whois</t>
  </si>
  <si>
    <t>wibu-codemeter</t>
  </si>
  <si>
    <t>wickr</t>
  </si>
  <si>
    <t>wiiconnect24</t>
  </si>
  <si>
    <t>wikidot-editing</t>
  </si>
  <si>
    <t>wikispaces-editing</t>
  </si>
  <si>
    <t>wildmetrix</t>
  </si>
  <si>
    <t>winamax</t>
  </si>
  <si>
    <t>winamp-remote</t>
  </si>
  <si>
    <t>winbox</t>
  </si>
  <si>
    <t>windows-defender-atp</t>
  </si>
  <si>
    <t>windows-defender-atp-base</t>
  </si>
  <si>
    <t>windows-defender-atp-endpoint</t>
  </si>
  <si>
    <t>windows-defender-atp-portal</t>
  </si>
  <si>
    <t>windows-push-notifications</t>
  </si>
  <si>
    <t>windows-remote-management</t>
  </si>
  <si>
    <t>wink</t>
  </si>
  <si>
    <t>winmx</t>
  </si>
  <si>
    <t>winny</t>
  </si>
  <si>
    <t>wins</t>
  </si>
  <si>
    <t>wire</t>
  </si>
  <si>
    <t>wiredrive</t>
  </si>
  <si>
    <t>wiredrive-base</t>
  </si>
  <si>
    <t>wiredrive-uploading</t>
  </si>
  <si>
    <t>wireguard</t>
  </si>
  <si>
    <t>wisestamp</t>
  </si>
  <si>
    <t>wixi</t>
  </si>
  <si>
    <t>wlccp</t>
  </si>
  <si>
    <t>wolfenstein</t>
  </si>
  <si>
    <t>wonderchat</t>
  </si>
  <si>
    <t>wonderchat-base</t>
  </si>
  <si>
    <t>wonderchat-create</t>
  </si>
  <si>
    <t>wonderchat-delete</t>
  </si>
  <si>
    <t>wonderchat-download</t>
  </si>
  <si>
    <t>wonderchat-upload</t>
  </si>
  <si>
    <t>woofiles</t>
  </si>
  <si>
    <t>woome</t>
  </si>
  <si>
    <t>wordfast</t>
  </si>
  <si>
    <t>workable</t>
  </si>
  <si>
    <t>workday</t>
  </si>
  <si>
    <t>workday-base</t>
  </si>
  <si>
    <t>workday-downloading</t>
  </si>
  <si>
    <t>workday-editing</t>
  </si>
  <si>
    <t>workday-uploading</t>
  </si>
  <si>
    <t>workplace</t>
  </si>
  <si>
    <t>workplace-base</t>
  </si>
  <si>
    <t>workplace-downloading</t>
  </si>
  <si>
    <t>workplace-uploading</t>
  </si>
  <si>
    <t>worldofwarcraft</t>
  </si>
  <si>
    <t>wrike</t>
  </si>
  <si>
    <t>writeboard</t>
  </si>
  <si>
    <t>writesonic-ai-article-writer</t>
  </si>
  <si>
    <t>writesonic</t>
  </si>
  <si>
    <t>writesonic-base</t>
  </si>
  <si>
    <t>writesonic-create</t>
  </si>
  <si>
    <t>writesonic-delete</t>
  </si>
  <si>
    <t>writesonic-edit</t>
  </si>
  <si>
    <t>writesonic-seo</t>
  </si>
  <si>
    <t>writesonic-seo-base</t>
  </si>
  <si>
    <t>writesonic-seo-create</t>
  </si>
  <si>
    <t>writesonic-seo-upload</t>
  </si>
  <si>
    <t>ws-discovery</t>
  </si>
  <si>
    <t>wsn</t>
  </si>
  <si>
    <t>wuala</t>
  </si>
  <si>
    <t>wufoo</t>
  </si>
  <si>
    <t>wwe-network</t>
  </si>
  <si>
    <t>wyze</t>
  </si>
  <si>
    <t>x-font-server</t>
  </si>
  <si>
    <t>x.400</t>
  </si>
  <si>
    <t>x1-mobile</t>
  </si>
  <si>
    <t>x11</t>
  </si>
  <si>
    <t>xbox-live</t>
  </si>
  <si>
    <t>xdmcp</t>
  </si>
  <si>
    <t>xdrive</t>
  </si>
  <si>
    <t>xero</t>
  </si>
  <si>
    <t>xfinity-tv</t>
  </si>
  <si>
    <t>xfire</t>
  </si>
  <si>
    <t>xing</t>
  </si>
  <si>
    <t>xm-radio</t>
  </si>
  <si>
    <t>xnet</t>
  </si>
  <si>
    <t>xns-idp</t>
  </si>
  <si>
    <t>xobni</t>
  </si>
  <si>
    <t>xtp</t>
  </si>
  <si>
    <t>xunlei</t>
  </si>
  <si>
    <t>xunlei-kankan</t>
  </si>
  <si>
    <t>xware-xtrm</t>
  </si>
  <si>
    <t>yahoo-blog-posting</t>
  </si>
  <si>
    <t>yahoo-box</t>
  </si>
  <si>
    <t>yahoo-calendar</t>
  </si>
  <si>
    <t>yahoo-douga</t>
  </si>
  <si>
    <t>yahoo-im</t>
  </si>
  <si>
    <t>yahoo-file-transfer</t>
  </si>
  <si>
    <t>yahoo-im-base</t>
  </si>
  <si>
    <t>yahoo-voice</t>
  </si>
  <si>
    <t>yahoo-webcam</t>
  </si>
  <si>
    <t>yahoo-finance-posting</t>
  </si>
  <si>
    <t>yahoo-mail</t>
  </si>
  <si>
    <t>yahoo-mail-base</t>
  </si>
  <si>
    <t>yahoo-mail-create</t>
  </si>
  <si>
    <t>yahoo-mail-delete</t>
  </si>
  <si>
    <t>yahoo-mail-downloading</t>
  </si>
  <si>
    <t>yahoo-mail-posting</t>
  </si>
  <si>
    <t>yahoo-mail-rename</t>
  </si>
  <si>
    <t>yahoo-mail-send</t>
  </si>
  <si>
    <t>yahoo-mail-uploading</t>
  </si>
  <si>
    <t>yahoo-notepad</t>
  </si>
  <si>
    <t>yahoo-toolbar</t>
  </si>
  <si>
    <t>yahoo-web-analytics</t>
  </si>
  <si>
    <t>yahoo-webmessenger</t>
  </si>
  <si>
    <t>yammer</t>
  </si>
  <si>
    <t>yammer-base</t>
  </si>
  <si>
    <t>yammer-create</t>
  </si>
  <si>
    <t>yammer-delete</t>
  </si>
  <si>
    <t>yammer-downloading</t>
  </si>
  <si>
    <t>yammer-editing</t>
  </si>
  <si>
    <t>yammer-invite</t>
  </si>
  <si>
    <t>yammer-move</t>
  </si>
  <si>
    <t>yammer-post</t>
  </si>
  <si>
    <t>yammer-sharing</t>
  </si>
  <si>
    <t>yammer-uploading</t>
  </si>
  <si>
    <t>yandex-disk</t>
  </si>
  <si>
    <t>yandex-mail</t>
  </si>
  <si>
    <t>yandex-maps</t>
  </si>
  <si>
    <t>yandex-speechkit</t>
  </si>
  <si>
    <t>yantra</t>
  </si>
  <si>
    <t>yarn-chat-text-stories</t>
  </si>
  <si>
    <t>yaskawa-drivewizard-net-scan</t>
  </si>
  <si>
    <t>yelp</t>
  </si>
  <si>
    <t>yelp-base</t>
  </si>
  <si>
    <t>yelp-editing</t>
  </si>
  <si>
    <t>yelp-posting</t>
  </si>
  <si>
    <t>yelp-sharing</t>
  </si>
  <si>
    <t>yelp-uploading</t>
  </si>
  <si>
    <t>yik-yak</t>
  </si>
  <si>
    <t>yodlee</t>
  </si>
  <si>
    <t>yoics</t>
  </si>
  <si>
    <t>yokogawa-fast-tools-hse</t>
  </si>
  <si>
    <t>yokogawa-vnetip</t>
  </si>
  <si>
    <t>yoomba</t>
  </si>
  <si>
    <t>yoono</t>
  </si>
  <si>
    <t>yosemite-backup</t>
  </si>
  <si>
    <t>youku</t>
  </si>
  <si>
    <t>youku-base</t>
  </si>
  <si>
    <t>youku-uploading</t>
  </si>
  <si>
    <t>your-freedom</t>
  </si>
  <si>
    <t>yourfilehost</t>
  </si>
  <si>
    <t>yourminis</t>
  </si>
  <si>
    <t>youseemore</t>
  </si>
  <si>
    <t>yousendit</t>
  </si>
  <si>
    <t>yousendit-base</t>
  </si>
  <si>
    <t>yousendit-uploading</t>
  </si>
  <si>
    <t>youtube</t>
  </si>
  <si>
    <t>youtube-base</t>
  </si>
  <si>
    <t>youtube-livechat-posting</t>
  </si>
  <si>
    <t>youtube-livechat-viewing</t>
  </si>
  <si>
    <t>youtube-posting</t>
  </si>
  <si>
    <t>youtube-safety-mode</t>
  </si>
  <si>
    <t>youtube-streaming</t>
  </si>
  <si>
    <t>youtube-tv</t>
  </si>
  <si>
    <t>youtube-tv-streaming</t>
  </si>
  <si>
    <t>youtube-uploading</t>
  </si>
  <si>
    <t>ypserv</t>
  </si>
  <si>
    <t>yugma</t>
  </si>
  <si>
    <t>yum</t>
  </si>
  <si>
    <t>yunpan</t>
  </si>
  <si>
    <t>yunpan-base</t>
  </si>
  <si>
    <t>yunpan-downloading</t>
  </si>
  <si>
    <t>yunpan-uploading</t>
  </si>
  <si>
    <t>yunpan360</t>
  </si>
  <si>
    <t>yunpan360-base</t>
  </si>
  <si>
    <t>yunpan360-file-transfer</t>
  </si>
  <si>
    <t>yuuguu</t>
  </si>
  <si>
    <t>yy-voice</t>
  </si>
  <si>
    <t>yy-voice-base</t>
  </si>
  <si>
    <t>yy-voice-file-transfer</t>
  </si>
  <si>
    <t>yy-voice-games</t>
  </si>
  <si>
    <t>zabbix</t>
  </si>
  <si>
    <t>zalo</t>
  </si>
  <si>
    <t>zalo-audio-video</t>
  </si>
  <si>
    <t>zalo-base</t>
  </si>
  <si>
    <t>zamzar</t>
  </si>
  <si>
    <t>zango</t>
  </si>
  <si>
    <t>zas-communicator</t>
  </si>
  <si>
    <t>zbigz</t>
  </si>
  <si>
    <t>zello</t>
  </si>
  <si>
    <t>zelune</t>
  </si>
  <si>
    <t>zenbe</t>
  </si>
  <si>
    <t>zendesk</t>
  </si>
  <si>
    <t>zendesk-ai</t>
  </si>
  <si>
    <t>zendesk-ai-post</t>
  </si>
  <si>
    <t>zendesk-ai-upload</t>
  </si>
  <si>
    <t>zendesk-base</t>
  </si>
  <si>
    <t>zendesk-downloading</t>
  </si>
  <si>
    <t>zendesk-editing</t>
  </si>
  <si>
    <t>zendesk-uploading</t>
  </si>
  <si>
    <t>zenefits</t>
  </si>
  <si>
    <t>zenefits-base</t>
  </si>
  <si>
    <t>zenefits-downloading</t>
  </si>
  <si>
    <t>zenefits-editing</t>
  </si>
  <si>
    <t>zenefits-uploading</t>
  </si>
  <si>
    <t>zenmate</t>
  </si>
  <si>
    <t>zerotier</t>
  </si>
  <si>
    <t>zerto-virtual-replication</t>
  </si>
  <si>
    <t>zettahost</t>
  </si>
  <si>
    <t>zettahost-base</t>
  </si>
  <si>
    <t>zettahost-uploading</t>
  </si>
  <si>
    <t>zimbra</t>
  </si>
  <si>
    <t>zippyshare</t>
  </si>
  <si>
    <t>zipshare</t>
  </si>
  <si>
    <t>zmaap</t>
  </si>
  <si>
    <t>zoho-accounts</t>
  </si>
  <si>
    <t>zoho-accounts-base</t>
  </si>
  <si>
    <t>zoho-accounts-create</t>
  </si>
  <si>
    <t>zoho-accounts-delete</t>
  </si>
  <si>
    <t>zoho-accounts-edit</t>
  </si>
  <si>
    <t>zoho-assist</t>
  </si>
  <si>
    <t>zoho-assist-base</t>
  </si>
  <si>
    <t>zoho-assist-delete</t>
  </si>
  <si>
    <t>zoho-crm</t>
  </si>
  <si>
    <t>zoho-db</t>
  </si>
  <si>
    <t>zoho-im</t>
  </si>
  <si>
    <t>zoho-mail</t>
  </si>
  <si>
    <t>zoho-meeting</t>
  </si>
  <si>
    <t>zoho-notebook</t>
  </si>
  <si>
    <t>zoho-people</t>
  </si>
  <si>
    <t>zoho-planner</t>
  </si>
  <si>
    <t>zoho-share</t>
  </si>
  <si>
    <t>zoho-sheet</t>
  </si>
  <si>
    <t>zoho-show</t>
  </si>
  <si>
    <t>zoho-show-base</t>
  </si>
  <si>
    <t>zoho-show-uploading</t>
  </si>
  <si>
    <t>zoho-survey</t>
  </si>
  <si>
    <t>zoho-survey-base</t>
  </si>
  <si>
    <t>zoho-survey-uploading</t>
  </si>
  <si>
    <t>zoho-wiki</t>
  </si>
  <si>
    <t>zoho-writer</t>
  </si>
  <si>
    <t>zoho-writer-base</t>
  </si>
  <si>
    <t>zoho-writer-uploading</t>
  </si>
  <si>
    <t>zoll-server</t>
  </si>
  <si>
    <t>zoom</t>
  </si>
  <si>
    <t>zoom-base</t>
  </si>
  <si>
    <t>zoom-delete</t>
  </si>
  <si>
    <t>zoom-downloading</t>
  </si>
  <si>
    <t>zoom-meeting</t>
  </si>
  <si>
    <t>zoom-phone</t>
  </si>
  <si>
    <t>zoom-record</t>
  </si>
  <si>
    <t>zoom-sharing</t>
  </si>
  <si>
    <t>zoom-uploading</t>
  </si>
  <si>
    <t>zoominfo</t>
  </si>
  <si>
    <t>zpl</t>
  </si>
  <si>
    <t>zscaler-internet-access</t>
  </si>
  <si>
    <t>zscaler-private-access</t>
  </si>
  <si>
    <t>zshare</t>
  </si>
  <si>
    <t>zumodrive</t>
  </si>
  <si>
    <t>zwiki-editing</t>
  </si>
  <si>
    <t>zynga-games</t>
  </si>
  <si>
    <t>[Web App]</t>
  </si>
  <si>
    <t>[Posting],[Web App]</t>
  </si>
  <si>
    <t>[Enterprise VoIP],[Web App]</t>
  </si>
  <si>
    <t>[eLearning],[Web App]</t>
  </si>
  <si>
    <t>[Uploading],[Web App]</t>
  </si>
  <si>
    <t>[Generative AI],[Web App]</t>
  </si>
  <si>
    <t>[Downloading],[Generative AI],[Web App]</t>
  </si>
  <si>
    <t>[Generative AI],[Posting],[Web App]</t>
  </si>
  <si>
    <t>[Generative AI],[Uploading],[Web App]</t>
  </si>
  <si>
    <t>[Enterprise VoIP],[Sharing],[Web App]</t>
  </si>
  <si>
    <t>[Enterprise VoIP],[Uploading],[Web App]</t>
  </si>
  <si>
    <t>[Deleting],[Generative AI],[Web App]</t>
  </si>
  <si>
    <t>[Downloading],[Web App]</t>
  </si>
  <si>
    <t>[Editing],[Web App]</t>
  </si>
  <si>
    <t>[Sharing],[Web App]</t>
  </si>
  <si>
    <t>[Amazon Web Services],[Web App]</t>
  </si>
  <si>
    <t>[Amazon Web Services],[Generative AI],[Web App]</t>
  </si>
  <si>
    <t>[Amazon Web Services],[Deleting],[Generative AI],[Web App]</t>
  </si>
  <si>
    <t>[Amazon Web Services],[Generative AI],[Uploading],[Web App]</t>
  </si>
  <si>
    <t>[Amazon Web Services],[Sharing],[Web App]</t>
  </si>
  <si>
    <t>[Amazon Web Services],[Deleting],[Web App]</t>
  </si>
  <si>
    <t>[Amazon Web Services],[Downloading],[Web App]</t>
  </si>
  <si>
    <t>[Entertainment Video],[Web App]</t>
  </si>
  <si>
    <t>[Amazon Web Services]</t>
  </si>
  <si>
    <t>[Amazon Web Services],[Downloading],[Generative AI],[Web App]</t>
  </si>
  <si>
    <t>[Amazon Web Services],[Editing],[Generative AI],[Web App]</t>
  </si>
  <si>
    <t>[Proxy Avoidance]</t>
  </si>
  <si>
    <t>[Deleting],[Web App]</t>
  </si>
  <si>
    <t>[Enterprise VoIP]</t>
  </si>
  <si>
    <t>[Generative AI],[Microsoft Azure],[Web App]</t>
  </si>
  <si>
    <t>[Generative AI],[Microsoft Azure],[Posting],[Web App]</t>
  </si>
  <si>
    <t>[Generative AI],[Microsoft Azure],[Uploading],[Web App]</t>
  </si>
  <si>
    <t>[Web App],[Microsoft Azure]</t>
  </si>
  <si>
    <t>[Microsoft Azure],[Web App]</t>
  </si>
  <si>
    <t>[Microsoft Azure],[Uploading],[Web App]</t>
  </si>
  <si>
    <t>[Downloading],[Generative AI],[Microsoft Azure],[Web App]</t>
  </si>
  <si>
    <t>[Generative AI],[Sharing],[Web App]</t>
  </si>
  <si>
    <t>[Downloading],[Enterprise VoIP],[Web App]</t>
  </si>
  <si>
    <t>[Editing],[Generative AI],[Web App]</t>
  </si>
  <si>
    <t>[Downloading]</t>
  </si>
  <si>
    <t>[Uploading]</t>
  </si>
  <si>
    <t>[Posting]</t>
  </si>
  <si>
    <t>[Palo Alto Networks],[Web App]</t>
  </si>
  <si>
    <t>[Palo Alto Networks]</t>
  </si>
  <si>
    <t>[Non-RFC Compliant]</t>
  </si>
  <si>
    <t>[G Suite],[Web App]</t>
  </si>
  <si>
    <t>[Downloading],[G Suite],[Web App]</t>
  </si>
  <si>
    <t>[G Suite],[Posting],[Web App]</t>
  </si>
  <si>
    <t>[G Suite],[Uploading],[Web App]</t>
  </si>
  <si>
    <t>[Deleting],[G Suite],[Web App]</t>
  </si>
  <si>
    <t>[DLP App Exclusion],[Web App]</t>
  </si>
  <si>
    <t>[Google Cloud Platform],[Web App]</t>
  </si>
  <si>
    <t>[Google Cloud Platform],[Uploading],[Web App]</t>
  </si>
  <si>
    <t>[G Suite],[Sharing],[Web App]</t>
  </si>
  <si>
    <t>[G Suite],[Generative AI],[Web App]</t>
  </si>
  <si>
    <t>[Deleting],[G Suite],[Generative AI],[Web App]</t>
  </si>
  <si>
    <t>[Downloading],[G Suite],[Generative AI],[Web App]</t>
  </si>
  <si>
    <t>[Editing],[G Suite],[Generative AI],[Web App]</t>
  </si>
  <si>
    <t>[G Suite],[Generative AI],[Posting],[Web App]</t>
  </si>
  <si>
    <t>[G Suite],[Generative AI],[Uploading],[Web App]</t>
  </si>
  <si>
    <t>[DLP App Exclusion],[G Suite],[Web App]</t>
  </si>
  <si>
    <t>[Deleting],[Google Cloud Platform],[Web App]</t>
  </si>
  <si>
    <t>[Editing],[Google Cloud Platform],[Web App]</t>
  </si>
  <si>
    <t>[Editing],[G Suite],[Web App]</t>
  </si>
  <si>
    <t>[Downloading],[Google Cloud Platform],[Web App]</t>
  </si>
  <si>
    <t>[Google Cloud Platform],[Sharing],[Web App]</t>
  </si>
  <si>
    <t>[Enterprise VoIP],[G Suite],[Web App]</t>
  </si>
  <si>
    <t>[Enterprise VoIP],[G Suite],[Posting],[Web App]</t>
  </si>
  <si>
    <t>[Generative AI],[Google Cloud Platform],[Web App]</t>
  </si>
  <si>
    <t>[Generative AI],[Google Cloud Platform],[Posting],[Web App]</t>
  </si>
  <si>
    <t>[Generative AI],[Google Cloud Platform],[Uploading],[Web App]</t>
  </si>
  <si>
    <t>[Office 365],[Web App]</t>
  </si>
  <si>
    <t>[eLearning]</t>
  </si>
  <si>
    <t>[Downloading],[eLearning],[Web App]</t>
  </si>
  <si>
    <t>[Editing],[eLearning],[Web App]</t>
  </si>
  <si>
    <t>[eLearning],[Posting],[Web App]</t>
  </si>
  <si>
    <t>[Office 365],[Sharing],[Web App]</t>
  </si>
  <si>
    <t>[Generative AI],[Office 365],[Web App]</t>
  </si>
  <si>
    <t>[Deleting],[Generative AI],[Office 365],[Web App]</t>
  </si>
  <si>
    <t>[Editing],[Generative AI],[Office 365],[Web App]</t>
  </si>
  <si>
    <t>[Generative AI],[Office 365],[Uploading],[Web App]</t>
  </si>
  <si>
    <t>[Deleting],[Office 365],[Web App]</t>
  </si>
  <si>
    <t>[Downloading],[Office 365],[Web App]</t>
  </si>
  <si>
    <t>[Office 365],[Uploading],[Web App]</t>
  </si>
  <si>
    <t>[Editing],[Office 365],[Web App]</t>
  </si>
  <si>
    <t>[Office 365],[Posting],[Web App]</t>
  </si>
  <si>
    <t>[Downloading],[Generative AI],[Office 365],[Web App]</t>
  </si>
  <si>
    <t>[Generative AI],[Office 365],[Posting],[Web App]</t>
  </si>
  <si>
    <t>[Generative AI],[Office 365],[Sharing],[Web App]</t>
  </si>
  <si>
    <t>[Enterprise VoIP],[Office 365],[Web App]</t>
  </si>
  <si>
    <t>[DLP App Exclusion],[Enterprise VoIP],[Office 365],[Web App]</t>
  </si>
  <si>
    <t>[Deleting],[Enterprise VoIP],[Office 365],[Web App]</t>
  </si>
  <si>
    <t>[Downloading],[Enterprise VoIP],[Office 365],[Web App]</t>
  </si>
  <si>
    <t>[Editing],[Enterprise VoIP],[Office 365],[Web App]</t>
  </si>
  <si>
    <t>[Enterprise VoIP],[Office 365],[Posting],[Web App]</t>
  </si>
  <si>
    <t>[Enterprise VoIP],[Office 365],[Sharing],[Web App]</t>
  </si>
  <si>
    <t>[Enterprise VoIP],[Office 365],[Uploading],[Web App]</t>
  </si>
  <si>
    <t>[Proxy Avoidance],[Web App]</t>
  </si>
  <si>
    <t>[Downloading],[Palo Alto Networks],[Web App]</t>
  </si>
  <si>
    <t>[Palo Alto Networks],[Uploading],[Web App]</t>
  </si>
  <si>
    <t>[DLP App Exclusion],[Palo Alto Networks],[Web App]</t>
  </si>
  <si>
    <t>[Enterprise VoIP],[Generative AI],[Web App]</t>
  </si>
  <si>
    <t>[Deleting],[Enterprise VoIP],[Generative AI],[Web App]</t>
  </si>
  <si>
    <t>[Downloading],[Enterprise VoIP],[Generative AI],[Web App]</t>
  </si>
  <si>
    <t>[Editing],[Enterprise VoIP],[Generative AI],[Web App]</t>
  </si>
  <si>
    <t>[Enterprise VoIP],[Generative AI],[Sharing],[Web App]</t>
  </si>
  <si>
    <t>[Generative AI],[Salesforce],[Web App]</t>
  </si>
  <si>
    <t>[Salesforce],[Web App]</t>
  </si>
  <si>
    <t>[Deleting],[Salesforce],[Web App]</t>
  </si>
  <si>
    <t>[Downloading],[Salesforce],[Web App]</t>
  </si>
  <si>
    <t>[Editing],[Salesforce],[Web App]</t>
  </si>
  <si>
    <t>[Posting],[Salesforce],[Web App]</t>
  </si>
  <si>
    <t>[Salesforce],[Sharing],[Web App]</t>
  </si>
  <si>
    <t>[Salesforce],[Uploading],[Web App]</t>
  </si>
  <si>
    <t>[Deleting],[DLP App Exclusion],[Web App]</t>
  </si>
  <si>
    <t>[DLP App Exclusion],[Downloading],[Web App]</t>
  </si>
  <si>
    <t>[DLP App Exclusion],[Entertainment Video],[Web App]</t>
  </si>
  <si>
    <t>[DLP App Exclusion],[Enterprise VoIP],[Web App]</t>
  </si>
  <si>
    <t>[Deleting],[DLP App Exclusion],[Enterprise VoIP],[Web App]</t>
  </si>
  <si>
    <t>general-internet</t>
  </si>
  <si>
    <t>&amp;nbsp;</t>
  </si>
  <si>
    <t>business-systems</t>
  </si>
  <si>
    <t>saas</t>
  </si>
  <si>
    <t>collaboration</t>
  </si>
  <si>
    <t>networking</t>
  </si>
  <si>
    <t>media</t>
  </si>
  <si>
    <t>unknown</t>
  </si>
  <si>
    <t>file-sharing</t>
  </si>
  <si>
    <t>ics-protocols</t>
  </si>
  <si>
    <t>management</t>
  </si>
  <si>
    <t>erp-crm</t>
  </si>
  <si>
    <t>email</t>
  </si>
  <si>
    <t>social-networking</t>
  </si>
  <si>
    <t>web-posting</t>
  </si>
  <si>
    <t>software-update</t>
  </si>
  <si>
    <t>ip-protocol</t>
  </si>
  <si>
    <t>gaming</t>
  </si>
  <si>
    <t>audio-streaming</t>
  </si>
  <si>
    <t>voip-video</t>
  </si>
  <si>
    <t>routing</t>
  </si>
  <si>
    <t>medical</t>
  </si>
  <si>
    <t>general-business</t>
  </si>
  <si>
    <t>internet-utility</t>
  </si>
  <si>
    <t>storage-backup</t>
  </si>
  <si>
    <t>auth-service</t>
  </si>
  <si>
    <t>infrastructure</t>
  </si>
  <si>
    <t>photo-video</t>
  </si>
  <si>
    <t>internet-conferencing</t>
  </si>
  <si>
    <t>remote-access</t>
  </si>
  <si>
    <t>office-programs</t>
  </si>
  <si>
    <t>artificial-intelligence</t>
  </si>
  <si>
    <t>database</t>
  </si>
  <si>
    <t>instant-messaging</t>
  </si>
  <si>
    <t>social-business</t>
  </si>
  <si>
    <t>software-development</t>
  </si>
  <si>
    <t>analytics</t>
  </si>
  <si>
    <t>security</t>
  </si>
  <si>
    <t>proxy</t>
  </si>
  <si>
    <t>encrypted-tunnel</t>
  </si>
  <si>
    <t>design</t>
  </si>
  <si>
    <t>supply-chain-logistics</t>
  </si>
  <si>
    <t>it-infrastructure</t>
  </si>
  <si>
    <t>content-management</t>
  </si>
  <si>
    <t>vertical-industry</t>
  </si>
  <si>
    <t>hr</t>
  </si>
  <si>
    <t>marketing</t>
  </si>
  <si>
    <t>iot-management</t>
  </si>
  <si>
    <t>it-management</t>
  </si>
  <si>
    <t>customer-service</t>
  </si>
  <si>
    <t>data-privacy</t>
  </si>
  <si>
    <t>development</t>
  </si>
  <si>
    <t>2</t>
  </si>
  <si>
    <t>1</t>
  </si>
  <si>
    <t>3</t>
  </si>
  <si>
    <t>peer-to-peer</t>
  </si>
  <si>
    <t>client-server</t>
  </si>
  <si>
    <t>browser-based</t>
  </si>
  <si>
    <t>network-protocol</t>
  </si>
  <si>
    <t>11300,3468,6346,tcp</t>
  </si>
  <si>
    <t>2404,tcp</t>
  </si>
  <si>
    <t>dynamic,tcp</t>
  </si>
  <si>
    <t>1541,1560-1591,tcp</t>
  </si>
  <si>
    <t>443,80,tcp</t>
  </si>
  <si>
    <t>80,8090,dynamic,tcp,udp</t>
  </si>
  <si>
    <t>80,dynamic,tcp</t>
  </si>
  <si>
    <t>443,5199,5222,636,80,8243,8343,8443,tcp,udp</t>
  </si>
  <si>
    <t>2757,udp</t>
  </si>
  <si>
    <t>24576,udp</t>
  </si>
  <si>
    <t>2236,2242,6202,6204,6209,6217,6251,6452,6454,6459,6467,6541,6661-6666,tcp,udp</t>
  </si>
  <si>
    <t>2423,udp</t>
  </si>
  <si>
    <t>dynamic,tcp,udp</t>
  </si>
  <si>
    <t>147,udp</t>
  </si>
  <si>
    <t>6004,tcp</t>
  </si>
  <si>
    <t>3002,3004,tcp</t>
  </si>
  <si>
    <t>20000,20200,80,8000,dynamic,tcp,udp</t>
  </si>
  <si>
    <t>443,44445,55556,tcp</t>
  </si>
  <si>
    <t>9876,dynamic,tcp,udp</t>
  </si>
  <si>
    <t>1025-5000,123,135,137,138,139,2535,389,445,464,49152-65535,5722,636,88,9389,tcp,udp</t>
  </si>
  <si>
    <t>80,8888,tcp</t>
  </si>
  <si>
    <t>8168,udp</t>
  </si>
  <si>
    <t>5048,5050,udp</t>
  </si>
  <si>
    <t>dynamic,udp</t>
  </si>
  <si>
    <t>1935,443,80,tcp</t>
  </si>
  <si>
    <t>1935,tcp</t>
  </si>
  <si>
    <t>4502,4503,tcp</t>
  </si>
  <si>
    <t>1025,udp</t>
  </si>
  <si>
    <t>443,5665,8080,tcp</t>
  </si>
  <si>
    <t>29438,3478,443,4433,5222,80,8084,8888,tcp</t>
  </si>
  <si>
    <t>3000,tcp</t>
  </si>
  <si>
    <t>3007,443,80,tcp</t>
  </si>
  <si>
    <t>548,tcp,udp</t>
  </si>
  <si>
    <t>1935,443,80,8000-8150,tcp</t>
  </si>
  <si>
    <t>7000-7009,7021,udp</t>
  </si>
  <si>
    <t>4001-4030,8130,8443,udp</t>
  </si>
  <si>
    <t>443,5190-5199,80,tcp</t>
  </si>
  <si>
    <t>1935,dynamic,tcp,udp</t>
  </si>
  <si>
    <t>110,143,25,443,587,80,993,tcp</t>
  </si>
  <si>
    <t>443,80,8090,8765,8888,8889,9000,9081,9088,9096,9100,9200,9990,9991,tcp</t>
  </si>
  <si>
    <t>5000,tcp</t>
  </si>
  <si>
    <t>3613,tcp</t>
  </si>
  <si>
    <t>80,dynamic,tcp,udp</t>
  </si>
  <si>
    <t>443,dynamic,tcp,udp</t>
  </si>
  <si>
    <t>443,446,80,tcp</t>
  </si>
  <si>
    <t>402,tcp</t>
  </si>
  <si>
    <t>443,7200,80,tcp,udp</t>
  </si>
  <si>
    <t>3478,443,80,tcp,udp</t>
  </si>
  <si>
    <t>5439,tcp</t>
  </si>
  <si>
    <t>80,8443,tcp</t>
  </si>
  <si>
    <t>4172,4195,443,tcp,udp</t>
  </si>
  <si>
    <t>443,5931,80,8080,tcp</t>
  </si>
  <si>
    <t>5671,5672,tcp</t>
  </si>
  <si>
    <t>1319,tcp</t>
  </si>
  <si>
    <t>33487,udp</t>
  </si>
  <si>
    <t>443,6667,80,dynamic,tcp,udp</t>
  </si>
  <si>
    <t>443,6568,7070,80,tcp</t>
  </si>
  <si>
    <t>5279,5280,5281,80,tcp</t>
  </si>
  <si>
    <t>443,80,8080,tcp</t>
  </si>
  <si>
    <t>5190,5192,80,tcp</t>
  </si>
  <si>
    <t>30192,30193,30196,80,tcp,udp</t>
  </si>
  <si>
    <t>61616,tcp</t>
  </si>
  <si>
    <t>443,8080,tcp</t>
  </si>
  <si>
    <t>8009,8010,tcp</t>
  </si>
  <si>
    <t>443,7574,80,8983,8984,tcp</t>
  </si>
  <si>
    <t>2181,2888,3181,3888,4181,tcp</t>
  </si>
  <si>
    <t>2260,3052,tcp,udp</t>
  </si>
  <si>
    <t>86,tcp</t>
  </si>
  <si>
    <t>443,80,dynamic,tcp,udp</t>
  </si>
  <si>
    <t>192,udp</t>
  </si>
  <si>
    <t>443,80,dynamic,tcp</t>
  </si>
  <si>
    <t>2195,2196,2197,443,5223,tcp</t>
  </si>
  <si>
    <t>3283,5900,tcp,udp</t>
  </si>
  <si>
    <t>443,5228,tcp</t>
  </si>
  <si>
    <t>9022,9851,tcp,udp</t>
  </si>
  <si>
    <t>3239,443,45056-65535,80,8080,tcp,udp</t>
  </si>
  <si>
    <t>443,6080,6443,80,8399,tcp</t>
  </si>
  <si>
    <t>111,139,445,6050,tcp,udp</t>
  </si>
  <si>
    <t>25,80,tcp</t>
  </si>
  <si>
    <t>8209,8211,udp</t>
  </si>
  <si>
    <t>4080,443,5443,80,tcp</t>
  </si>
  <si>
    <t>443,80,9977,tcp</t>
  </si>
  <si>
    <t>2571,tcp</t>
  </si>
  <si>
    <t>4569,udp</t>
  </si>
  <si>
    <t>2525,2526,tcp,udp</t>
  </si>
  <si>
    <t>7070,tcp</t>
  </si>
  <si>
    <t>9016,tcp</t>
  </si>
  <si>
    <t>27000,28001,28002,29000,30001,30002,30003,7778,7779,8181,8444,8543,8580,8778-8781,9443,tcp</t>
  </si>
  <si>
    <t>16384-32787,2048-3329,udp</t>
  </si>
  <si>
    <t>2379,7878,dynamic,tcp,udp</t>
  </si>
  <si>
    <t>2379,udp</t>
  </si>
  <si>
    <t>3000-5399,3434,tcp,udp</t>
  </si>
  <si>
    <t>7238-7245,tcp</t>
  </si>
  <si>
    <t>3211,3448,3449,3502,3871,tcp</t>
  </si>
  <si>
    <t>2068,tcp</t>
  </si>
  <si>
    <t>443,80,8443,tcp</t>
  </si>
  <si>
    <t>9352,tcp</t>
  </si>
  <si>
    <t>443,5671,80,8883,tcp</t>
  </si>
  <si>
    <t>370,377,udp</t>
  </si>
  <si>
    <t>47808,udp</t>
  </si>
  <si>
    <t>47808,tcp,udp</t>
  </si>
  <si>
    <t>9101,9102,9103,tcp</t>
  </si>
  <si>
    <t>2400,2500,443,6453,80,dynamic,tcp,udp</t>
  </si>
  <si>
    <t>443,5120-5129,80,8000,tcp</t>
  </si>
  <si>
    <t>1119,443,80,tcp</t>
  </si>
  <si>
    <t>1935,443,554,80,tcp</t>
  </si>
  <si>
    <t>5031-5039,tcp</t>
  </si>
  <si>
    <t>4000,4080,tcp</t>
  </si>
  <si>
    <t>55987,udp</t>
  </si>
  <si>
    <t>443,6868,6871,tcp,udp</t>
  </si>
  <si>
    <t>48899,udp</t>
  </si>
  <si>
    <t>9999,tcp,udp</t>
  </si>
  <si>
    <t>443,5683,80,tcp</t>
  </si>
  <si>
    <t>3784,3785,4784,udp</t>
  </si>
  <si>
    <t>179,tcp,udp</t>
  </si>
  <si>
    <t>1984,1985,tcp</t>
  </si>
  <si>
    <t>21,80,tcp</t>
  </si>
  <si>
    <t>8181,tcp</t>
  </si>
  <si>
    <t>41002,443,tcp</t>
  </si>
  <si>
    <t>18333,3333,8332,8333,tcp</t>
  </si>
  <si>
    <t>17600-17800,3101,3102,4101,443,tcp,udp</t>
  </si>
  <si>
    <t>443,48129-48137,80,8001-8299,tcp,udp</t>
  </si>
  <si>
    <t>3034,3035,tcp</t>
  </si>
  <si>
    <t>16101,443,80,tcp</t>
  </si>
  <si>
    <t>443,5000,5061,80,dynamic,tcp,udp</t>
  </si>
  <si>
    <t>6767,tcp</t>
  </si>
  <si>
    <t>11000,udp</t>
  </si>
  <si>
    <t>11169,tcp</t>
  </si>
  <si>
    <t>11159,udp</t>
  </si>
  <si>
    <t>2503,2504,tcp</t>
  </si>
  <si>
    <t>443,5154,80,tcp,udp</t>
  </si>
  <si>
    <t>4712,dynamic,tcp,udp</t>
  </si>
  <si>
    <t>4105,tcp</t>
  </si>
  <si>
    <t>48000-48050,tcp</t>
  </si>
  <si>
    <t>2100,2100-2115,tcp,udp</t>
  </si>
  <si>
    <t>62002,tcp</t>
  </si>
  <si>
    <t>443,80,8000,dynamic,tcp,udp</t>
  </si>
  <si>
    <t>28959-28962,udp</t>
  </si>
  <si>
    <t>3541,tcp</t>
  </si>
  <si>
    <t>8611-8614,tcp,udp</t>
  </si>
  <si>
    <t>2101-2108,tcp</t>
  </si>
  <si>
    <t>443,udp</t>
  </si>
  <si>
    <t>5246,5247,udp</t>
  </si>
  <si>
    <t>443,80,8031,tcp</t>
  </si>
  <si>
    <t>104,2104,22104,tcp</t>
  </si>
  <si>
    <t>61620,61621,7000,7199,8888,9042,9160,tcp</t>
  </si>
  <si>
    <t>30303-30304,5001-5009,tcp,udp</t>
  </si>
  <si>
    <t>61450,61451,udp</t>
  </si>
  <si>
    <t>8880,tcp</t>
  </si>
  <si>
    <t>443,7380,tcp,udp</t>
  </si>
  <si>
    <t>6128,udp</t>
  </si>
  <si>
    <t>25552,25553,25554,25555,tcp</t>
  </si>
  <si>
    <t>1415,80,tcp</t>
  </si>
  <si>
    <t>2630,2631,tcp</t>
  </si>
  <si>
    <t>19,tcp,udp</t>
  </si>
  <si>
    <t>443,5223,80,tcp</t>
  </si>
  <si>
    <t>1935,1937,443,80,8080,8081,dynamic,tcp,udp</t>
  </si>
  <si>
    <t>900,tcp</t>
  </si>
  <si>
    <t>18191,18192,18208,tcp</t>
  </si>
  <si>
    <t>18190,tcp</t>
  </si>
  <si>
    <t>257,tcp</t>
  </si>
  <si>
    <t>259,udp</t>
  </si>
  <si>
    <t>5222,80,tcp</t>
  </si>
  <si>
    <t>2222,44818,tcp,udp</t>
  </si>
  <si>
    <t>44818,tcp,udp</t>
  </si>
  <si>
    <t>44818,tcp</t>
  </si>
  <si>
    <t>1974,udp</t>
  </si>
  <si>
    <t>8905,8906,udp</t>
  </si>
  <si>
    <t>1090,1099,tcp</t>
  </si>
  <si>
    <t>33434,50000-53000,5004,9000,tcp,udp</t>
  </si>
  <si>
    <t>443,5004,80,tcp</t>
  </si>
  <si>
    <t>443,53,5353,tcp,udp</t>
  </si>
  <si>
    <t>12346-12445,udp</t>
  </si>
  <si>
    <t>16666,udp</t>
  </si>
  <si>
    <t>12134,12135,udp</t>
  </si>
  <si>
    <t>10000,2512,443,4500,500,62514-62524,tcp,udp</t>
  </si>
  <si>
    <t>2080,2082,2084-2085,tcp</t>
  </si>
  <si>
    <t>1494,1604,2512,2513,2598,3010,443,80,8080,tcp,udp</t>
  </si>
  <si>
    <t>443,80,8200,tcp,udp</t>
  </si>
  <si>
    <t>27000,7279,tcp</t>
  </si>
  <si>
    <t>443,80,9339,tcp</t>
  </si>
  <si>
    <t>443,80,9053,9054,tcp</t>
  </si>
  <si>
    <t>443,5063,80,tcp</t>
  </si>
  <si>
    <t>1701,2408,443,4500,500,7844,tcp,udp</t>
  </si>
  <si>
    <t>2703,443,80,tcp</t>
  </si>
  <si>
    <t>2004,443,80,8000-8499,tcp</t>
  </si>
  <si>
    <t>1863,3724,443,80,tcp</t>
  </si>
  <si>
    <t>1628,1629,udp</t>
  </si>
  <si>
    <t>5683,udp</t>
  </si>
  <si>
    <t>443,80,8085,tcp</t>
  </si>
  <si>
    <t>1217,tcp</t>
  </si>
  <si>
    <t>11740,1740-1743,tcp,udp</t>
  </si>
  <si>
    <t>1069,udp</t>
  </si>
  <si>
    <t>1069,tcp</t>
  </si>
  <si>
    <t>11111,tcp</t>
  </si>
  <si>
    <t>25826,udp</t>
  </si>
  <si>
    <t>443,80,993,995,tcp</t>
  </si>
  <si>
    <t>4308,tcp</t>
  </si>
  <si>
    <t>9600-9700,dynamic,tcp,udp</t>
  </si>
  <si>
    <t>2181,2182,443,7770-7774,80,8081-8083,8090,9021,9092,tcp</t>
  </si>
  <si>
    <t>7005,7006,tcp</t>
  </si>
  <si>
    <t>41103,tcp</t>
  </si>
  <si>
    <t>24558,9050,udp</t>
  </si>
  <si>
    <t>6499,tcp</t>
  </si>
  <si>
    <t>683,900,tcp</t>
  </si>
  <si>
    <t>443,4443,80,tcp</t>
  </si>
  <si>
    <t>2301,udp</t>
  </si>
  <si>
    <t>4282,4285,4287,443,tcp</t>
  </si>
  <si>
    <t>9899,tcp</t>
  </si>
  <si>
    <t>41794,tcp,udp</t>
  </si>
  <si>
    <t>8060,tcp</t>
  </si>
  <si>
    <t>443,5222,tcp</t>
  </si>
  <si>
    <t>6000,tcp</t>
  </si>
  <si>
    <t>1505,4450,tcp,udp</t>
  </si>
  <si>
    <t>1523,30000-30040,33000-33040,8001,8002,tcp</t>
  </si>
  <si>
    <t>631,udp</t>
  </si>
  <si>
    <t>2401,tcp,udp</t>
  </si>
  <si>
    <t>5999,tcp</t>
  </si>
  <si>
    <t>1858,tcp</t>
  </si>
  <si>
    <t>9388,tcp</t>
  </si>
  <si>
    <t>35000,37777,tcp</t>
  </si>
  <si>
    <t>139,6129,6132,6133,tcp</t>
  </si>
  <si>
    <t>4280,443,80,tcp</t>
  </si>
  <si>
    <t>443,80,9000-9008,dynamic,tcp,udp</t>
  </si>
  <si>
    <t>13,tcp,udp</t>
  </si>
  <si>
    <t>50000,60000,tcp</t>
  </si>
  <si>
    <t>15081,443,80,dynamic,tcp,udp</t>
  </si>
  <si>
    <t>6277,udp</t>
  </si>
  <si>
    <t>6305,6800,tcp</t>
  </si>
  <si>
    <t>443,80,9950,9951,dynamic,tcp,udp</t>
  </si>
  <si>
    <t>443,5900,tcp</t>
  </si>
  <si>
    <t>21,443,80,tcp</t>
  </si>
  <si>
    <t>20006,udp</t>
  </si>
  <si>
    <t>12346,tcp</t>
  </si>
  <si>
    <t>12346,12347,udp</t>
  </si>
  <si>
    <t>52300,tcp</t>
  </si>
  <si>
    <t>443,5222,80,tcp</t>
  </si>
  <si>
    <t>67,68,tcp,udp</t>
  </si>
  <si>
    <t>546,547,udp</t>
  </si>
  <si>
    <t>2638,tcp</t>
  </si>
  <si>
    <t>443,7060,80,tcp,udp</t>
  </si>
  <si>
    <t>3868,tcp</t>
  </si>
  <si>
    <t>104,11112,2761,2762,tcp</t>
  </si>
  <si>
    <t>any,tcp</t>
  </si>
  <si>
    <t>3000,udp</t>
  </si>
  <si>
    <t>9,tcp,udp</t>
  </si>
  <si>
    <t>3632,tcp</t>
  </si>
  <si>
    <t>20000,tcp</t>
  </si>
  <si>
    <t>20000,tcp,udp</t>
  </si>
  <si>
    <t>53,5353,tcp,udp</t>
  </si>
  <si>
    <t>853,tcp</t>
  </si>
  <si>
    <t>443,53,tcp,udp</t>
  </si>
  <si>
    <t>1970,1971,tcp</t>
  </si>
  <si>
    <t>443,80,9000,9001,tcp</t>
  </si>
  <si>
    <t>10010,20000,443,80,dynamic,tcp,udp</t>
  </si>
  <si>
    <t>443,6320,6325,80,tcp</t>
  </si>
  <si>
    <t>1950,tcp</t>
  </si>
  <si>
    <t>18000-19000,443,80,tcp</t>
  </si>
  <si>
    <t>55000,tcp</t>
  </si>
  <si>
    <t>dynamic,icmp,tcp,udp</t>
  </si>
  <si>
    <t>17500,443,80,tcp,udp</t>
  </si>
  <si>
    <t>17500,udp</t>
  </si>
  <si>
    <t>1443,1935,443,80,tcp</t>
  </si>
  <si>
    <t>17502,17503,17504,3659,443,80,8099,tcp,udp</t>
  </si>
  <si>
    <t>7,tcp,udp</t>
  </si>
  <si>
    <t>3610,udp</t>
  </si>
  <si>
    <t>1328,tcp</t>
  </si>
  <si>
    <t>443,80,8462,8472,tcp</t>
  </si>
  <si>
    <t>2001,5674,tcp</t>
  </si>
  <si>
    <t>2105,tcp</t>
  </si>
  <si>
    <t>9200-9300,tcp</t>
  </si>
  <si>
    <t>5997,tcp</t>
  </si>
  <si>
    <t>7800,tcp</t>
  </si>
  <si>
    <t>5101,tcp</t>
  </si>
  <si>
    <t>2051,tcp</t>
  </si>
  <si>
    <t>5085,8888,tcp</t>
  </si>
  <si>
    <t>3218,tcp</t>
  </si>
  <si>
    <t>1234,udp</t>
  </si>
  <si>
    <t>18507,18510,udp</t>
  </si>
  <si>
    <t>6160,tcp</t>
  </si>
  <si>
    <t>10651,tcp</t>
  </si>
  <si>
    <t>210,443,7090,80,tcp</t>
  </si>
  <si>
    <t>4369,tcp</t>
  </si>
  <si>
    <t>8080,tcp</t>
  </si>
  <si>
    <t>2221-2225,2846,443,80,tcp</t>
  </si>
  <si>
    <t>2221,80,tcp</t>
  </si>
  <si>
    <t>2189,2190,2192,2193,2194,2196,443,80,tcp</t>
  </si>
  <si>
    <t>712,7222,tcp</t>
  </si>
  <si>
    <t>5050,udp</t>
  </si>
  <si>
    <t>6060,udp</t>
  </si>
  <si>
    <t>34980,udp</t>
  </si>
  <si>
    <t>3819,udp</t>
  </si>
  <si>
    <t>3241,80,tcp</t>
  </si>
  <si>
    <t>12547,2546,2547,2548,443,80,8021,8031,808,8086,8087,809,tcp</t>
  </si>
  <si>
    <t>26000,443,80,dynamic,tcp,udp</t>
  </si>
  <si>
    <t>1507,udp</t>
  </si>
  <si>
    <t>1194,udp</t>
  </si>
  <si>
    <t>22609,443,80,tcp</t>
  </si>
  <si>
    <t>990-991,udp</t>
  </si>
  <si>
    <t>443,80,tcp,udp</t>
  </si>
  <si>
    <t>4080,443,5223,80,dynamic,tcp,udp</t>
  </si>
  <si>
    <t>7002-7004,tcp</t>
  </si>
  <si>
    <t>443,6671,6672,6681,tcp</t>
  </si>
  <si>
    <t>8193,tcp</t>
  </si>
  <si>
    <t>22,33001,33001-33500,tcp,udp</t>
  </si>
  <si>
    <t>1214,tcp,udp</t>
  </si>
  <si>
    <t>443,5000,80,tcp</t>
  </si>
  <si>
    <t>6000,dynamic,tcp,udp</t>
  </si>
  <si>
    <t>3225,tcp,udp</t>
  </si>
  <si>
    <t>443,53125,80,tcp,udp</t>
  </si>
  <si>
    <t>990,udp</t>
  </si>
  <si>
    <t>2121,tcp</t>
  </si>
  <si>
    <t>28001,udp</t>
  </si>
  <si>
    <t>20,21,80,dynamic,tcp</t>
  </si>
  <si>
    <t>79,tcp,udp</t>
  </si>
  <si>
    <t>8000,udp</t>
  </si>
  <si>
    <t>443,510,80,tcp</t>
  </si>
  <si>
    <t>55000-55004,55004,tcp,udp</t>
  </si>
  <si>
    <t>1337,443,5060,53,80,tcp,udp</t>
  </si>
  <si>
    <t>744,tcp,udp</t>
  </si>
  <si>
    <t>27000-27009,27500,27501,2984,443,5280,6457,7279,8090,tcp</t>
  </si>
  <si>
    <t>443,80,82,86,tcp</t>
  </si>
  <si>
    <t>443,80,993,tcp</t>
  </si>
  <si>
    <t>443,80,8089,tcp</t>
  </si>
  <si>
    <t>36330,443,80,8080,tcp</t>
  </si>
  <si>
    <t>53,8888,udp</t>
  </si>
  <si>
    <t>3622,1089-1091,tcp,udp</t>
  </si>
  <si>
    <t>6500,6501,6502,6503,6600,6601,6602,tcp,udp</t>
  </si>
  <si>
    <t>443,5040-5060,80,dynamic,tcp,udp</t>
  </si>
  <si>
    <t>1664,1667,443,80,tcp,udp</t>
  </si>
  <si>
    <t>7000,tcp,udp</t>
  </si>
  <si>
    <t>3128,80,tcp,udp</t>
  </si>
  <si>
    <t>443,dynamic,tcp</t>
  </si>
  <si>
    <t>4002,tcp</t>
  </si>
  <si>
    <t>29900,80,tcp</t>
  </si>
  <si>
    <t>1513,1514,6788,6789,7456,80,8687,9100,9200,tcp,udp</t>
  </si>
  <si>
    <t>443,4569,80,tcp,udp</t>
  </si>
  <si>
    <t>8002,tcp</t>
  </si>
  <si>
    <t>2159,40000,tcp</t>
  </si>
  <si>
    <t>3050,tcp</t>
  </si>
  <si>
    <t>7001,udp</t>
  </si>
  <si>
    <t>2000,udp</t>
  </si>
  <si>
    <t>7777,tcp</t>
  </si>
  <si>
    <t>9240,tcp</t>
  </si>
  <si>
    <t>18246,udp</t>
  </si>
  <si>
    <t>9544,tcp</t>
  </si>
  <si>
    <t>5022,tcp</t>
  </si>
  <si>
    <t>14000,tcp</t>
  </si>
  <si>
    <t>8100,tcp</t>
  </si>
  <si>
    <t>50000,tcp</t>
  </si>
  <si>
    <t>7000,udp</t>
  </si>
  <si>
    <t>18245,tcp</t>
  </si>
  <si>
    <t>9001,tcp</t>
  </si>
  <si>
    <t>5872,tcp</t>
  </si>
  <si>
    <t>3000,3420,4421,tcp</t>
  </si>
  <si>
    <t>6081,udp</t>
  </si>
  <si>
    <t>8888,tcp</t>
  </si>
  <si>
    <t>22,443,80,9418,tcp</t>
  </si>
  <si>
    <t>443,80,9418,tcp</t>
  </si>
  <si>
    <t>22,443,80,tcp</t>
  </si>
  <si>
    <t>19150,tcp</t>
  </si>
  <si>
    <t>2223,443,80,tcp</t>
  </si>
  <si>
    <t>24007,24008,49152-49156,tcp</t>
  </si>
  <si>
    <t>443,465,587,80,993,995,tcp</t>
  </si>
  <si>
    <t>19525,dynamic,udp</t>
  </si>
  <si>
    <t>19525,dynamic,tcp,udp</t>
  </si>
  <si>
    <t>2086,80,tcp,udp</t>
  </si>
  <si>
    <t>443,80,8000,8001,9000,9001,tcp</t>
  </si>
  <si>
    <t>5325,tcp,udp</t>
  </si>
  <si>
    <t>443,80,8001-8499,tcp</t>
  </si>
  <si>
    <t>443,80,8889,tcp,udp</t>
  </si>
  <si>
    <t>17533,tcp</t>
  </si>
  <si>
    <t>12000,15000,443,49152,80,tcp,udp</t>
  </si>
  <si>
    <t>33333,33338,33339,443,80,tcp,udp</t>
  </si>
  <si>
    <t>443,5222-5224,5228,5229,80,tcp</t>
  </si>
  <si>
    <t>443,5228,5229,5230,tcp</t>
  </si>
  <si>
    <t>19305,443,tcp,udp</t>
  </si>
  <si>
    <t>19302-19309,443,80,tcp,udp</t>
  </si>
  <si>
    <t>3128,8182,tcp,udp</t>
  </si>
  <si>
    <t>19305,443,80,tcp,udp</t>
  </si>
  <si>
    <t>443,5228,80,tcp,udp</t>
  </si>
  <si>
    <t>443,tcp,udp</t>
  </si>
  <si>
    <t>443,5222,5223,5228,80,tcp</t>
  </si>
  <si>
    <t>14259,443,tcp</t>
  </si>
  <si>
    <t>70,tcp</t>
  </si>
  <si>
    <t>443,80,8200,tcp</t>
  </si>
  <si>
    <t>2217,tcp,udp</t>
  </si>
  <si>
    <t>1853,443,80,8200,tcp,udp</t>
  </si>
  <si>
    <t>443,8200,tcp</t>
  </si>
  <si>
    <t>21158,443,80,tcp</t>
  </si>
  <si>
    <t>80,8080,tcp</t>
  </si>
  <si>
    <t>30175,443,80,8080,tcp</t>
  </si>
  <si>
    <t>443,80,udp</t>
  </si>
  <si>
    <t>119,443,80,tcp</t>
  </si>
  <si>
    <t>55555,tcp</t>
  </si>
  <si>
    <t>1677,tcp</t>
  </si>
  <si>
    <t>2123,2152,3386,tcp,udp</t>
  </si>
  <si>
    <t>3386,tcp,udp</t>
  </si>
  <si>
    <t>2152,udp</t>
  </si>
  <si>
    <t>2123,udp</t>
  </si>
  <si>
    <t>5222,tcp</t>
  </si>
  <si>
    <t>6112,6600,80,tcp</t>
  </si>
  <si>
    <t>3956,udp</t>
  </si>
  <si>
    <t>1719,1720,tcp,udp</t>
  </si>
  <si>
    <t>1720,1731,tcp</t>
  </si>
  <si>
    <t>3128,443,80,8080,8081,8789,8799,8888,tcp</t>
  </si>
  <si>
    <t>50030,50060,8021,8023,9290,tcp</t>
  </si>
  <si>
    <t>60000,60020,tcp</t>
  </si>
  <si>
    <t>50010,50020,50070,50075,50090,50105,50470,50475,8020,8022,9000,tcp</t>
  </si>
  <si>
    <t>10080,12975,17771,tcp,udp</t>
  </si>
  <si>
    <t>5094,dynamic,tcp,udp</t>
  </si>
  <si>
    <t>8300,8301,8302,8500,tcp,udp</t>
  </si>
  <si>
    <t>8200,tcp</t>
  </si>
  <si>
    <t>443,5016,80,tcp</t>
  </si>
  <si>
    <t>7220,7223,7229,tcp</t>
  </si>
  <si>
    <t>443,80,9444,dynamic,tcp,udp</t>
  </si>
  <si>
    <t>8000,tcp</t>
  </si>
  <si>
    <t>50010,tcp</t>
  </si>
  <si>
    <t>10500,udp</t>
  </si>
  <si>
    <t>443,540,541,udp</t>
  </si>
  <si>
    <t>443,5222,5223,80,dynamic,tcp,udp</t>
  </si>
  <si>
    <t>20016,tcp</t>
  </si>
  <si>
    <t>12289,12291,tcp,udp</t>
  </si>
  <si>
    <t>443,6851,6861,80,tcp</t>
  </si>
  <si>
    <t>55553,tcp</t>
  </si>
  <si>
    <t>12321,udp</t>
  </si>
  <si>
    <t>51967,udp</t>
  </si>
  <si>
    <t>47837,51966,udp</t>
  </si>
  <si>
    <t>3001,tcp</t>
  </si>
  <si>
    <t>2002,tcp</t>
  </si>
  <si>
    <t>2007,udp</t>
  </si>
  <si>
    <t>443,80,9000,9200,tcp,udp</t>
  </si>
  <si>
    <t>25,tcp</t>
  </si>
  <si>
    <t>5500-5503,tcp</t>
  </si>
  <si>
    <t>443,80,995,tcp</t>
  </si>
  <si>
    <t>10002,443,tcp</t>
  </si>
  <si>
    <t>17988,17990,623,tcp</t>
  </si>
  <si>
    <t>9100,tcp</t>
  </si>
  <si>
    <t>9930,udp</t>
  </si>
  <si>
    <t>42966,tcp,udp</t>
  </si>
  <si>
    <t>443,5228,80,tcp</t>
  </si>
  <si>
    <t>1002,3001,tcp</t>
  </si>
  <si>
    <t>1985,udp</t>
  </si>
  <si>
    <t>1080,3128,443,80,8000,8080,tcp</t>
  </si>
  <si>
    <t>3180,80,tcp</t>
  </si>
  <si>
    <t>52311,80,tcp,udp</t>
  </si>
  <si>
    <t>371,udp</t>
  </si>
  <si>
    <t>1363,1364,tcp</t>
  </si>
  <si>
    <t>1363,tcp</t>
  </si>
  <si>
    <t>2033,tcp</t>
  </si>
  <si>
    <t>8889,udp</t>
  </si>
  <si>
    <t>657,tcp,udp</t>
  </si>
  <si>
    <t>6878,6879,6880,6881,6882,6891,7869,tcp,udp</t>
  </si>
  <si>
    <t>1191,tcp</t>
  </si>
  <si>
    <t>102,tcp</t>
  </si>
  <si>
    <t>443,80,8000,tcp</t>
  </si>
  <si>
    <t>443,587,80,993,tcp</t>
  </si>
  <si>
    <t>5190-5199,tcp</t>
  </si>
  <si>
    <t>319,320,udp</t>
  </si>
  <si>
    <t>2010,tcp</t>
  </si>
  <si>
    <t>3321,udp</t>
  </si>
  <si>
    <t>30001,30005,8443,tcp,udp</t>
  </si>
  <si>
    <t>30005,tcp,udp</t>
  </si>
  <si>
    <t>4445-4446,udp</t>
  </si>
  <si>
    <t>1935,3690,443,80,tcp</t>
  </si>
  <si>
    <t>500,tcp,udp</t>
  </si>
  <si>
    <t>4500,4501,udp</t>
  </si>
  <si>
    <t>6000,7200,tcp</t>
  </si>
  <si>
    <t>1863,4000-4999,443,4661,4662,4665,4671,4672,6346-6351,80,tcp,udp</t>
  </si>
  <si>
    <t>443,5223,5228,dynamic,tcp,udp</t>
  </si>
  <si>
    <t>1194,2114,udp</t>
  </si>
  <si>
    <t>7150,tcp</t>
  </si>
  <si>
    <t>443,7780,tcp</t>
  </si>
  <si>
    <t>12890,1935,443,80,tcp</t>
  </si>
  <si>
    <t>9212,9213,9219,9300-9399,tcp</t>
  </si>
  <si>
    <t>4000,443,80,tcp</t>
  </si>
  <si>
    <t>1972,4002,57772,tcp,udp</t>
  </si>
  <si>
    <t>2080,443,444,5930,5931,5932,80,tcp</t>
  </si>
  <si>
    <t>5001,5201,tcp,udp</t>
  </si>
  <si>
    <t>631,tcp,udp</t>
  </si>
  <si>
    <t>1194,3074,443,4500,500,tcp,udp</t>
  </si>
  <si>
    <t>443,80,8020,8080,tcp,udp</t>
  </si>
  <si>
    <t>6665-6669,tcp</t>
  </si>
  <si>
    <t>1247,tcp</t>
  </si>
  <si>
    <t>16384,tcp</t>
  </si>
  <si>
    <t>3260,tcp</t>
  </si>
  <si>
    <t>5667,tcp</t>
  </si>
  <si>
    <t>443,7615,80,tcp</t>
  </si>
  <si>
    <t>8583,tcp</t>
  </si>
  <si>
    <t>443,8123,tcp</t>
  </si>
  <si>
    <t>7821,7822,8043,8044,tcp</t>
  </si>
  <si>
    <t>443,5222,5223,5269,5270,8080,tcp</t>
  </si>
  <si>
    <t>2773,3773,77,773,tcp</t>
  </si>
  <si>
    <t>6544,80,tcp</t>
  </si>
  <si>
    <t>1984,80,tcp</t>
  </si>
  <si>
    <t>443,80,8081,tcp</t>
  </si>
  <si>
    <t>3000,443,80,tcp</t>
  </si>
  <si>
    <t>443,52230,80,tcp</t>
  </si>
  <si>
    <t>9092,9093,tcp</t>
  </si>
  <si>
    <t>443,444,80,tcp</t>
  </si>
  <si>
    <t>443,5721,5722,80,tcp</t>
  </si>
  <si>
    <t>11111,13000,13001,13111,14000,14001,15000,443,9876,tcp,udp</t>
  </si>
  <si>
    <t>1214,1903,tcp</t>
  </si>
  <si>
    <t>464,749,750,754,88,tcp,udp</t>
  </si>
  <si>
    <t>4090,tcp,udp</t>
  </si>
  <si>
    <t>9013,9015,tcp,udp</t>
  </si>
  <si>
    <t>8500,tcp</t>
  </si>
  <si>
    <t>8500,udp</t>
  </si>
  <si>
    <t>63000,tcp</t>
  </si>
  <si>
    <t>8502,tcp</t>
  </si>
  <si>
    <t>443,5222,5223,80,tcp</t>
  </si>
  <si>
    <t>15311,443,80,tcp</t>
  </si>
  <si>
    <t>543,tcp</t>
  </si>
  <si>
    <t>15100,443,80,tcp</t>
  </si>
  <si>
    <t>3671,udp</t>
  </si>
  <si>
    <t>49003,tcp</t>
  </si>
  <si>
    <t>1250,443,80,9535,9594,9595,tcp,udp</t>
  </si>
  <si>
    <t>5007,tcp</t>
  </si>
  <si>
    <t>3268,3269,389,636,tcp,udp</t>
  </si>
  <si>
    <t>9100,tcp,udp</t>
  </si>
  <si>
    <t>2000,2003,2009,2106,7777,80,tcp</t>
  </si>
  <si>
    <t>143,443,587,tcp</t>
  </si>
  <si>
    <t>9333,tcp</t>
  </si>
  <si>
    <t>25651,5650,5651,tcp</t>
  </si>
  <si>
    <t>12345,tcp</t>
  </si>
  <si>
    <t>3478,443,80,8000-8100,8057,tcp</t>
  </si>
  <si>
    <t>33701,443,80,tcp</t>
  </si>
  <si>
    <t>1935,443,6660,80,tcp</t>
  </si>
  <si>
    <t>5355,tcp,udp</t>
  </si>
  <si>
    <t>11965,4514,5514,tcp</t>
  </si>
  <si>
    <t>1152,1153,443,80,tcp,udp</t>
  </si>
  <si>
    <t>1152,1153,443,80,dynamic,tcp,udp</t>
  </si>
  <si>
    <t>1628,udp</t>
  </si>
  <si>
    <t>1352,139,443,80,tcp,udp</t>
  </si>
  <si>
    <t>1533,443,80,tcp</t>
  </si>
  <si>
    <t>515,tcp</t>
  </si>
  <si>
    <t>5500,tcp</t>
  </si>
  <si>
    <t>2463,tcp</t>
  </si>
  <si>
    <t>60554,8080,8083,tcp</t>
  </si>
  <si>
    <t>12222,12223,udp</t>
  </si>
  <si>
    <t>443,5070,80,tcp,udp</t>
  </si>
  <si>
    <t>2041,2042,443,80,tcp</t>
  </si>
  <si>
    <t>10999,2041,443,80,843,tcp</t>
  </si>
  <si>
    <t>18625,41169,41170,tcp,udp</t>
  </si>
  <si>
    <t>443,80,8484,8585-8591,8787-8788,8791,tcp</t>
  </si>
  <si>
    <t>4201,tcp</t>
  </si>
  <si>
    <t>21379,tcp</t>
  </si>
  <si>
    <t>7210,tcp</t>
  </si>
  <si>
    <t>3025,tcp</t>
  </si>
  <si>
    <t>5555,5556,tcp</t>
  </si>
  <si>
    <t>443,80,8081,8082,8443,8444,tcp</t>
  </si>
  <si>
    <t>9053,tcp</t>
  </si>
  <si>
    <t>80,8801,tcp</t>
  </si>
  <si>
    <t>112,tcp</t>
  </si>
  <si>
    <t>3128,443,80,tcp,udp</t>
  </si>
  <si>
    <t>1723,80,800,89,tcp</t>
  </si>
  <si>
    <t>11211,tcp,udp</t>
  </si>
  <si>
    <t>30001,32768-61000,443,7351,7734,7752,80,9350-9381,993,tcp,udp</t>
  </si>
  <si>
    <t>53100-53102,tcp</t>
  </si>
  <si>
    <t>5000,udp</t>
  </si>
  <si>
    <t>9393,udp</t>
  </si>
  <si>
    <t>9292,udp</t>
  </si>
  <si>
    <t>1950,443,80,tcp</t>
  </si>
  <si>
    <t>2427,2428,2727,tcp,udp</t>
  </si>
  <si>
    <t>5000-5100,6023,6024,6025,6050,7300,tcp</t>
  </si>
  <si>
    <t>25,443,587,80,993,995,tcp</t>
  </si>
  <si>
    <t>7563,80,tcp</t>
  </si>
  <si>
    <t>4600, 80,2000,tcp</t>
  </si>
  <si>
    <t>4001,tcp</t>
  </si>
  <si>
    <t>4601,tcp</t>
  </si>
  <si>
    <t>4600,udp</t>
  </si>
  <si>
    <t>6678,9999,tcp,udp</t>
  </si>
  <si>
    <t>25565,443,80,tcp</t>
  </si>
  <si>
    <t>443,5500,5530,6004,80,tcp</t>
  </si>
  <si>
    <t>5015,tcp</t>
  </si>
  <si>
    <t>49153,udp</t>
  </si>
  <si>
    <t>5006,5007,5009,tcp,udp</t>
  </si>
  <si>
    <t>10001,tcp</t>
  </si>
  <si>
    <t>1755,tcp</t>
  </si>
  <si>
    <t>443,5223,80,993,tcp</t>
  </si>
  <si>
    <t>5008,udp</t>
  </si>
  <si>
    <t>3389,tcp</t>
  </si>
  <si>
    <t>4001,4002,502,tcp,udp</t>
  </si>
  <si>
    <t>502,tcp</t>
  </si>
  <si>
    <t>1935,80,tcp</t>
  </si>
  <si>
    <t>27015-27017,443,80,tcp</t>
  </si>
  <si>
    <t>27017,tcp</t>
  </si>
  <si>
    <t>60000-61000,udp</t>
  </si>
  <si>
    <t>4900,tcp</t>
  </si>
  <si>
    <t>4800,udp</t>
  </si>
  <si>
    <t>1883,8883,8884,tcp</t>
  </si>
  <si>
    <t>1883,1884,8883,tcp</t>
  </si>
  <si>
    <t>5718,5719,tcp</t>
  </si>
  <si>
    <t>139,445,tcp,udp</t>
  </si>
  <si>
    <t>443,80,808,dynamic,tcp</t>
  </si>
  <si>
    <t>2171,2172,2173,tcp</t>
  </si>
  <si>
    <t>2492,443,80,tcp</t>
  </si>
  <si>
    <t>2179,tcp</t>
  </si>
  <si>
    <t>1745,tcp</t>
  </si>
  <si>
    <t>1688,tcp</t>
  </si>
  <si>
    <t>443,8057,tcp</t>
  </si>
  <si>
    <t>7250,tcp</t>
  </si>
  <si>
    <t>1025-5000,135,137,138,139,445,49152-65535,tcp,udp</t>
  </si>
  <si>
    <t>5060,5061,8057,dynamic,tcp,udp</t>
  </si>
  <si>
    <t>6891,tcp</t>
  </si>
  <si>
    <t>3389,tcp,udp</t>
  </si>
  <si>
    <t>1270,51909,5723,5724,tcp</t>
  </si>
  <si>
    <t>10123,2701,2702,2703,2704,443,80,8530,8531,tcp,udp</t>
  </si>
  <si>
    <t>2382-2383,tcp</t>
  </si>
  <si>
    <t>443,80,8530,8531,tcp</t>
  </si>
  <si>
    <t>7680,tcp</t>
  </si>
  <si>
    <t>1024,443,5900,80,tcp</t>
  </si>
  <si>
    <t>639,tcp</t>
  </si>
  <si>
    <t>1863,443,7001,80,tcp,udp</t>
  </si>
  <si>
    <t>1025-65535,1863,443,tcp,udp</t>
  </si>
  <si>
    <t>1863,80,dynamic,tcp,udp</t>
  </si>
  <si>
    <t>1863,tcp</t>
  </si>
  <si>
    <t>1433,tcp,udp</t>
  </si>
  <si>
    <t>1434,udp</t>
  </si>
  <si>
    <t>46871,46872,46873,46874,tcp,udp</t>
  </si>
  <si>
    <t>4949,tcp</t>
  </si>
  <si>
    <t>4901,tcp</t>
  </si>
  <si>
    <t>443,80,8500-8600,tcp</t>
  </si>
  <si>
    <t>5004,80,tcp</t>
  </si>
  <si>
    <t>443,5004,7000-7010,80,tcp</t>
  </si>
  <si>
    <t>4222,tcp</t>
  </si>
  <si>
    <t>443,5223,5242,80,9418,dynamic,tcp,udp</t>
  </si>
  <si>
    <t>11907,443,80,tcp</t>
  </si>
  <si>
    <t>9005,9004,tcp</t>
  </si>
  <si>
    <t>524,tcp,udp</t>
  </si>
  <si>
    <t>443,6600,80,tcp</t>
  </si>
  <si>
    <t>10000,1025-5000,tcp</t>
  </si>
  <si>
    <t>1270,22,23,37000,443,80,tcp</t>
  </si>
  <si>
    <t>4661,4662,4665,4671,4672,6346-6351,6881-6999,tcp,udp</t>
  </si>
  <si>
    <t>771,tcp</t>
  </si>
  <si>
    <t>9000,tcp</t>
  </si>
  <si>
    <t>10082,10102,13722,13724,13782,1556,tcp</t>
  </si>
  <si>
    <t>138,udp</t>
  </si>
  <si>
    <t>137,tcp,udp</t>
  </si>
  <si>
    <t>139,tcp</t>
  </si>
  <si>
    <t>5480,tcp</t>
  </si>
  <si>
    <t>389,tcp</t>
  </si>
  <si>
    <t>443,6502,80,tcp,udp</t>
  </si>
  <si>
    <t>9670,tcp</t>
  </si>
  <si>
    <t>5405,tcp</t>
  </si>
  <si>
    <t>20031-20106,dynamic,tcp,udp</t>
  </si>
  <si>
    <t>2000,2377,443,80,tcp</t>
  </si>
  <si>
    <t>33435,udp</t>
  </si>
  <si>
    <t>2049,tcp,udp</t>
  </si>
  <si>
    <t>1911,4911,tcp</t>
  </si>
  <si>
    <t>2001,62070,62122,62124,62130,tcp</t>
  </si>
  <si>
    <t>1935,2525-2899,443,80,tcp</t>
  </si>
  <si>
    <t>7022,udp</t>
  </si>
  <si>
    <t>8300,8301,udp</t>
  </si>
  <si>
    <t>1022,1058,tcp</t>
  </si>
  <si>
    <t>3901,tcp</t>
  </si>
  <si>
    <t>443,7075,80,tcp</t>
  </si>
  <si>
    <t>27901,443,80,tcp,udp</t>
  </si>
  <si>
    <t>119,tcp</t>
  </si>
  <si>
    <t>38293,udp</t>
  </si>
  <si>
    <t>8443,8649,9443,tcp,udp</t>
  </si>
  <si>
    <t>161,dynamic,tcp,udp</t>
  </si>
  <si>
    <t>162,dynamic,tcp,udp</t>
  </si>
  <si>
    <t>123,tcp,udp</t>
  </si>
  <si>
    <t>110,11438,21,443,80,tcp</t>
  </si>
  <si>
    <t>5050,5065,tcp,udp</t>
  </si>
  <si>
    <t>443,80,8247,tcp,udp</t>
  </si>
  <si>
    <t>1365,443,80,dynamic,tcp,udp</t>
  </si>
  <si>
    <t>1801,4000,tcp</t>
  </si>
  <si>
    <t>9600,tcp,udp</t>
  </si>
  <si>
    <t>9900,tcp</t>
  </si>
  <si>
    <t>9700-9707,udp</t>
  </si>
  <si>
    <t>1194,443,tcp,udp</t>
  </si>
  <si>
    <t>1215,1216,tcp,udp</t>
  </si>
  <si>
    <t>1935,443,5080,80,tcp</t>
  </si>
  <si>
    <t>1876,20014,2080,tcp</t>
  </si>
  <si>
    <t>1194,443,8443,tcp,udp</t>
  </si>
  <si>
    <t>1080,443,80,tcp</t>
  </si>
  <si>
    <t>22001,tcp</t>
  </si>
  <si>
    <t>2001,tcp,udp</t>
  </si>
  <si>
    <t>1521,tcp</t>
  </si>
  <si>
    <t>7009,7011,dynamic,tcp,udp</t>
  </si>
  <si>
    <t>9703,9704,tcp</t>
  </si>
  <si>
    <t>1423,32768-33768,tcp</t>
  </si>
  <si>
    <t>1829,tcp</t>
  </si>
  <si>
    <t>443,6060,6061,6064,80,tcp,udp</t>
  </si>
  <si>
    <t>443,80,85,86,tcp</t>
  </si>
  <si>
    <t>4104,443,80,tcp</t>
  </si>
  <si>
    <t>5450,tcp</t>
  </si>
  <si>
    <t>1514,udp</t>
  </si>
  <si>
    <t>3724,443,80,dynamic,tcp,udp</t>
  </si>
  <si>
    <t>6666,udp</t>
  </si>
  <si>
    <t>443,8888,992,tcp</t>
  </si>
  <si>
    <t>22,2222,25565,3000,443,4545,5222,5223,5269,5760,6667,79,80,8000,8080,8081,843,9292,tcp</t>
  </si>
  <si>
    <t>10443,443,80,tcp</t>
  </si>
  <si>
    <t>4501,udp</t>
  </si>
  <si>
    <t>3978,444,tcp</t>
  </si>
  <si>
    <t>5009,tcp</t>
  </si>
  <si>
    <t>2125,443,80,tcp</t>
  </si>
  <si>
    <t>28443,443,tcp</t>
  </si>
  <si>
    <t>2009,5006,5007,tcp</t>
  </si>
  <si>
    <t>12345,38535,443,80,8080,tcp</t>
  </si>
  <si>
    <t>1935,443,80,dynamic,tcp</t>
  </si>
  <si>
    <t>10669,10670,udp</t>
  </si>
  <si>
    <t>9090,udp</t>
  </si>
  <si>
    <t>32769-32772,tcp</t>
  </si>
  <si>
    <t>28260,28270,28443,28769,3978,49160,49190,tcp</t>
  </si>
  <si>
    <t>44443,tcp</t>
  </si>
  <si>
    <t>9191,9192,tcp</t>
  </si>
  <si>
    <t>5055,5155,udp</t>
  </si>
  <si>
    <t>443,80,9000-9010,tcp</t>
  </si>
  <si>
    <t>1962,41100,tcp</t>
  </si>
  <si>
    <t>22,5631,5632,65301,tcp,udp</t>
  </si>
  <si>
    <t>5631,tcp</t>
  </si>
  <si>
    <t>4172,50002,55000,tcp,udp</t>
  </si>
  <si>
    <t>16501,17501,443,80,tcp</t>
  </si>
  <si>
    <t>3529-3533,tcp,udp</t>
  </si>
  <si>
    <t>443,80,8080,8088,9080,tcp</t>
  </si>
  <si>
    <t>1666,tcp</t>
  </si>
  <si>
    <t>8805,udp</t>
  </si>
  <si>
    <t>2351,tcp</t>
  </si>
  <si>
    <t>8050,tcp</t>
  </si>
  <si>
    <t>1732,24000,24005,24006,24008,24010,55555,55557,udp</t>
  </si>
  <si>
    <t>80,829,tcp</t>
  </si>
  <si>
    <t>3478,3479,3480,443,5223,80,8080,tcp,udp</t>
  </si>
  <si>
    <t>2053,443,80,tcp,udp</t>
  </si>
  <si>
    <t>32400,443,80,tcp</t>
  </si>
  <si>
    <t>443,80,9031,tcp</t>
  </si>
  <si>
    <t>3540,udp</t>
  </si>
  <si>
    <t>5491,5492,5493,tcp</t>
  </si>
  <si>
    <t>3389,443,5222,5228,dynamic,tcp,udp</t>
  </si>
  <si>
    <t>2881,5354,8094,tcp,udp</t>
  </si>
  <si>
    <t>443,6000,6010,80,dynamic,tcp,udp</t>
  </si>
  <si>
    <t>111,tcp,udp</t>
  </si>
  <si>
    <t>5434-5439,5432,tcp</t>
  </si>
  <si>
    <t>24345,24346,24347,24350,tcp</t>
  </si>
  <si>
    <t>13901,8080,tcp</t>
  </si>
  <si>
    <t>1723,tcp</t>
  </si>
  <si>
    <t>1600,tcp</t>
  </si>
  <si>
    <t>1600,udp</t>
  </si>
  <si>
    <t>20547,tcp</t>
  </si>
  <si>
    <t>34964,udp</t>
  </si>
  <si>
    <t>1025-5000,50100,9001,tcp</t>
  </si>
  <si>
    <t>5800,tcp</t>
  </si>
  <si>
    <t>443,8080,8443,dynamic,tcp,udp</t>
  </si>
  <si>
    <t>3389,443,4660,80,tcp</t>
  </si>
  <si>
    <t>443,80,8282,tcp</t>
  </si>
  <si>
    <t>135,445,tcp</t>
  </si>
  <si>
    <t>9000,9010,tcp</t>
  </si>
  <si>
    <t>443,80,8000,8080,dynamic,tcp,udp</t>
  </si>
  <si>
    <t>12000,443,80,tcp</t>
  </si>
  <si>
    <t>27650,28004,udp</t>
  </si>
  <si>
    <t>4242,443,80,tcp</t>
  </si>
  <si>
    <t>512,tcp</t>
  </si>
  <si>
    <t>102,udp</t>
  </si>
  <si>
    <t>512,514,tcp</t>
  </si>
  <si>
    <t>9338,tcp</t>
  </si>
  <si>
    <t>1645,1646,1812,1813,udp</t>
  </si>
  <si>
    <t>1700,3799,udp</t>
  </si>
  <si>
    <t>4899,tcp</t>
  </si>
  <si>
    <t>4509,tcp</t>
  </si>
  <si>
    <t>5003,tcp,udp</t>
  </si>
  <si>
    <t>2703,tcp</t>
  </si>
  <si>
    <t>1935,443,80,8080,tcp</t>
  </si>
  <si>
    <t>443,6100-6110,80,tcp</t>
  </si>
  <si>
    <t>6970,tcp</t>
  </si>
  <si>
    <t>444,80,dynamic,tcp,udp</t>
  </si>
  <si>
    <t>1863,443,80,tcp</t>
  </si>
  <si>
    <t>26379,6379,6380,tcp</t>
  </si>
  <si>
    <t>789,tcp</t>
  </si>
  <si>
    <t>47300,48000,48001,80,dynamic,tcp,udp</t>
  </si>
  <si>
    <t>443,80,9660,tcp</t>
  </si>
  <si>
    <t>443,80,9021,dynamic,tcp,udp</t>
  </si>
  <si>
    <t>25553,443,80,tcp</t>
  </si>
  <si>
    <t>3163,tcp</t>
  </si>
  <si>
    <t>11578,7812,tcp,udp</t>
  </si>
  <si>
    <t>80,8101,tcp</t>
  </si>
  <si>
    <t>52001,udp</t>
  </si>
  <si>
    <t>15063,15064,443,5001,6970,7076,7077,9078,9079,9998,9999,tcp,udp</t>
  </si>
  <si>
    <t>443,5060-5091,5096,5097,5099,80,8083,tcp,udp</t>
  </si>
  <si>
    <t>520,udp</t>
  </si>
  <si>
    <t>521,udp</t>
  </si>
  <si>
    <t>7870,tcp</t>
  </si>
  <si>
    <t>9545,udp</t>
  </si>
  <si>
    <t>221,513,tcp,udp</t>
  </si>
  <si>
    <t>623,udp</t>
  </si>
  <si>
    <t>1098-1099,tcp</t>
  </si>
  <si>
    <t>1098,tcp</t>
  </si>
  <si>
    <t>4000,tcp</t>
  </si>
  <si>
    <t>12000-65000,3478-3479,433,443,5060,5062,5222,6250,80,dynamic,tcp,udp</t>
  </si>
  <si>
    <t>1332,49281,tcp</t>
  </si>
  <si>
    <t>9131,tcp</t>
  </si>
  <si>
    <t>50005,tcp</t>
  </si>
  <si>
    <t>514,tcp</t>
  </si>
  <si>
    <t>873,tcp,udp</t>
  </si>
  <si>
    <t>2101,tcp</t>
  </si>
  <si>
    <t>554,tcp,udp</t>
  </si>
  <si>
    <t>43594,443,80,tcp</t>
  </si>
  <si>
    <t>21116,21117,21119,443,80,tcp,udp</t>
  </si>
  <si>
    <t>513,tcp,udp</t>
  </si>
  <si>
    <t>40000,udp</t>
  </si>
  <si>
    <t>4309,443,80,tcp</t>
  </si>
  <si>
    <t>4505,4506,tcp</t>
  </si>
  <si>
    <t>443,5223,tcp</t>
  </si>
  <si>
    <t>3200-3299,3300-3399,3600-3699,443,4800-4899,50000-59914,80,8000-8001,8010,8080,8100-8199,8443,tcp</t>
  </si>
  <si>
    <t>30013-39915,tcp</t>
  </si>
  <si>
    <t>2000,tcp</t>
  </si>
  <si>
    <t>4444,tcp</t>
  </si>
  <si>
    <t>5357,tcp</t>
  </si>
  <si>
    <t>7700,tcp</t>
  </si>
  <si>
    <t>443,80,8040,8041,tcp</t>
  </si>
  <si>
    <t>12043,12046,13000-13050,21002,443,80,tcp,udp</t>
  </si>
  <si>
    <t>12000-17000,3478,3479,5060,5062,udp</t>
  </si>
  <si>
    <t>5000,5001,tcp</t>
  </si>
  <si>
    <t>4800-4920,4803,4804,tcp,udp</t>
  </si>
  <si>
    <t>5500,udp</t>
  </si>
  <si>
    <t>1217,15453,443,5432,5433,80,tcp</t>
  </si>
  <si>
    <t>5201-5220,tcp</t>
  </si>
  <si>
    <t>3200-3400,8005,tcp,udp</t>
  </si>
  <si>
    <t>2617,80,tcp</t>
  </si>
  <si>
    <t>16994,tcp</t>
  </si>
  <si>
    <t>9875,tcp,udp</t>
  </si>
  <si>
    <t>300,tcp,udp</t>
  </si>
  <si>
    <t>6343,udp</t>
  </si>
  <si>
    <t>443,80,8000,8001,tcp,udp</t>
  </si>
  <si>
    <t>2122,tcp</t>
  </si>
  <si>
    <t>30718-30719,udp</t>
  </si>
  <si>
    <t>2111-2112,tcp</t>
  </si>
  <si>
    <t>20001,tcp</t>
  </si>
  <si>
    <t>7580,tcp</t>
  </si>
  <si>
    <t>2308,5002,50523,tcp</t>
  </si>
  <si>
    <t>10006,udp</t>
  </si>
  <si>
    <t>8443,tcp</t>
  </si>
  <si>
    <t>5033,tcp</t>
  </si>
  <si>
    <t>31337,443,dynamic,tcp,udp</t>
  </si>
  <si>
    <t>443,49221,49221-49321,80,8080,tcp,udp</t>
  </si>
  <si>
    <t>443,49221,49221-49321,80,tcp,udp</t>
  </si>
  <si>
    <t>443,5061,80,tcp</t>
  </si>
  <si>
    <t>12000,12001,udp</t>
  </si>
  <si>
    <t>16389,tcp</t>
  </si>
  <si>
    <t>15330-15400,443,80,dynamic,tcp,udp</t>
  </si>
  <si>
    <t>1863,80,tcp</t>
  </si>
  <si>
    <t>443,5222,80,9000,dynamic,tcp,udp</t>
  </si>
  <si>
    <t>8001,dynamic,udp</t>
  </si>
  <si>
    <t>5060,tcp,udp</t>
  </si>
  <si>
    <t>5060,udp</t>
  </si>
  <si>
    <t>44441,44442,44443,tcp</t>
  </si>
  <si>
    <t>443,8444,tcp</t>
  </si>
  <si>
    <t>22466,443,80,8090,tcp,udp</t>
  </si>
  <si>
    <t>443,5001,80,tcp</t>
  </si>
  <si>
    <t>427,tcp,udp</t>
  </si>
  <si>
    <t>443,80,9901-9920,9933,tcp,udp</t>
  </si>
  <si>
    <t>1588,tcp</t>
  </si>
  <si>
    <t>2775,tcp</t>
  </si>
  <si>
    <t>25,587,tcp</t>
  </si>
  <si>
    <t>10566,11104,11105,tcp</t>
  </si>
  <si>
    <t>161,tcp,udp</t>
  </si>
  <si>
    <t>162,tcp,udp</t>
  </si>
  <si>
    <t>444,tcp</t>
  </si>
  <si>
    <t>1080,tcp</t>
  </si>
  <si>
    <t>19771,dynamic,tcp,udp</t>
  </si>
  <si>
    <t>19880,tcp</t>
  </si>
  <si>
    <t>17778,tcp</t>
  </si>
  <si>
    <t>17774,17778,443,80,tcp</t>
  </si>
  <si>
    <t>7658,tcp</t>
  </si>
  <si>
    <t>443,9000,tcp</t>
  </si>
  <si>
    <t>443,53,80,tcp,udp</t>
  </si>
  <si>
    <t>8192,8194,tcp</t>
  </si>
  <si>
    <t>139,443,80,tcp</t>
  </si>
  <si>
    <t>5493-5495,5497,tcp</t>
  </si>
  <si>
    <t>2230-2250,tcp</t>
  </si>
  <si>
    <t>3690,443,80,9418,tcp</t>
  </si>
  <si>
    <t>51375,udp</t>
  </si>
  <si>
    <t>2409,443,5000,80,tcp,udp</t>
  </si>
  <si>
    <t>5222,5223,tcp</t>
  </si>
  <si>
    <t>5222,5223,7777,tcp</t>
  </si>
  <si>
    <t>443,5060,80,8080,tcp</t>
  </si>
  <si>
    <t>443,6783,6784,6785,80,tcp</t>
  </si>
  <si>
    <t>8000,8004,8089,9887,9989,9997,9998,tcp</t>
  </si>
  <si>
    <t>57621,80,dynamic,tcp,udp</t>
  </si>
  <si>
    <t>59,udp</t>
  </si>
  <si>
    <t>1900,tcp,udp</t>
  </si>
  <si>
    <t>5066,tcp</t>
  </si>
  <si>
    <t>1119,dynamic,tcp,udp</t>
  </si>
  <si>
    <t>1194,123,24704,3478,443,500,80,tcp,udp</t>
  </si>
  <si>
    <t>8125,udp</t>
  </si>
  <si>
    <t>443,6097,80,tcp</t>
  </si>
  <si>
    <t>27000-27036,27014-27050,3478,4379-4380,443,80,tcp,udp</t>
  </si>
  <si>
    <t>1194,443,80,tcp,udp</t>
  </si>
  <si>
    <t>443,80,8080,8888,tcp</t>
  </si>
  <si>
    <t>5026,5027,80,8080,tcp</t>
  </si>
  <si>
    <t>53742,tcp</t>
  </si>
  <si>
    <t>1770,2051,2060,udp</t>
  </si>
  <si>
    <t>443,4672,80,tcp,udp</t>
  </si>
  <si>
    <t>1639,tcp</t>
  </si>
  <si>
    <t>3478,tcp,udp</t>
  </si>
  <si>
    <t>3690,443,80,tcp,udp</t>
  </si>
  <si>
    <t>3690,443,80,tcp</t>
  </si>
  <si>
    <t>5413,tcp</t>
  </si>
  <si>
    <t>4001,4002,tcp</t>
  </si>
  <si>
    <t>12345,udp</t>
  </si>
  <si>
    <t>9089,9091-9094,tcp</t>
  </si>
  <si>
    <t>1498,2439,2638,5000,tcp</t>
  </si>
  <si>
    <t>21,2847,2849,2967,2968,38037,38292,38293,443,80,tcp,udp</t>
  </si>
  <si>
    <t>39999,80,8014,8443,8445,9090,tcp,udp</t>
  </si>
  <si>
    <t>2967,tcp,udp</t>
  </si>
  <si>
    <t>24800,tcp</t>
  </si>
  <si>
    <t>1468,1514,514,601,6514,tcp,udp</t>
  </si>
  <si>
    <t>1503,3389,tcp</t>
  </si>
  <si>
    <t>6004,tcp,udp</t>
  </si>
  <si>
    <t>14000,7001,tcp</t>
  </si>
  <si>
    <t>27000-27009,443,80,8000-9000,tcp</t>
  </si>
  <si>
    <t>49,tcp</t>
  </si>
  <si>
    <t>25,6689,6699,tcp</t>
  </si>
  <si>
    <t>80,9000,9110,9150,9153,dynamic,tcp,udp</t>
  </si>
  <si>
    <t>1818,3478,443,51000,51002,80,tcp,udp</t>
  </si>
  <si>
    <t>17440,17443,17444,17452,17472,17486,443,80,8080,8081,tcp</t>
  </si>
  <si>
    <t>1534,udp</t>
  </si>
  <si>
    <t>53,udp</t>
  </si>
  <si>
    <t>1966,tcp</t>
  </si>
  <si>
    <t>37655,443,80,tcp</t>
  </si>
  <si>
    <t>40000,40001,40002,40003,40004,tcp,udp</t>
  </si>
  <si>
    <t>10011,30033,41144,443,80,8765,dynamic,tcp,udp</t>
  </si>
  <si>
    <t>443,5938,80,dynamic,tcp,udp</t>
  </si>
  <si>
    <t>590,599,udp</t>
  </si>
  <si>
    <t>443,5222,80,dynamic,tcp,udp</t>
  </si>
  <si>
    <t>23,tcp</t>
  </si>
  <si>
    <t>44005,udp</t>
  </si>
  <si>
    <t>443,8834,tcp</t>
  </si>
  <si>
    <t>443,8000-8020,8081,tcp,udp</t>
  </si>
  <si>
    <t>1025,tcp</t>
  </si>
  <si>
    <t>1200,tcp</t>
  </si>
  <si>
    <t>3544,udp</t>
  </si>
  <si>
    <t>3125,tcp,udp</t>
  </si>
  <si>
    <t>18080,4035,443,4567,7654,9200,tcp</t>
  </si>
  <si>
    <t>443,5060,80,8443,tcp,udp</t>
  </si>
  <si>
    <t>69,tcp,udp</t>
  </si>
  <si>
    <t>40001-40017,tcp</t>
  </si>
  <si>
    <t>2031,tcp</t>
  </si>
  <si>
    <t>443,49153,80,tcp</t>
  </si>
  <si>
    <t>443,465,53,81,900-999,9981,tcp,udp</t>
  </si>
  <si>
    <t>60000-60010,80,tcp</t>
  </si>
  <si>
    <t>8629,tcp</t>
  </si>
  <si>
    <t>407,tcp,udp</t>
  </si>
  <si>
    <t>37,tcp,udp</t>
  </si>
  <si>
    <t>443,80,8883,tcp</t>
  </si>
  <si>
    <t>1918,tcp</t>
  </si>
  <si>
    <t>1500,1501,1580,1583,tcp</t>
  </si>
  <si>
    <t>1210,tcp</t>
  </si>
  <si>
    <t>443,80,8601,tcp</t>
  </si>
  <si>
    <t>4545,9014-9015,tcp</t>
  </si>
  <si>
    <t>33434-33534,dynamic,icmp,icmp6,udp</t>
  </si>
  <si>
    <t>33434-33534,dynamic,icmp6,udp</t>
  </si>
  <si>
    <t>3133,tcp</t>
  </si>
  <si>
    <t>11000,11001,11010,11020,tcp</t>
  </si>
  <si>
    <t>5005,tcp</t>
  </si>
  <si>
    <t>38275,4343,8080,tcp</t>
  </si>
  <si>
    <t>3158,dynamic,tcp,udp</t>
  </si>
  <si>
    <t>27444,27665,31335,tcp,udp</t>
  </si>
  <si>
    <t>1502,udp</t>
  </si>
  <si>
    <t>1500,udp</t>
  </si>
  <si>
    <t>3653,udp</t>
  </si>
  <si>
    <t>46224,tcp,udp</t>
  </si>
  <si>
    <t>10778,443,80,8000,dynamic,tcp,udp</t>
  </si>
  <si>
    <t>1935,3478,443,80,tcp,udp</t>
  </si>
  <si>
    <t>48898,48899,tcp,udp</t>
  </si>
  <si>
    <t>2800,tcp</t>
  </si>
  <si>
    <t>32000,32512,udp</t>
  </si>
  <si>
    <t>47545,9007,tcp,udp</t>
  </si>
  <si>
    <t>5000,5100,udp</t>
  </si>
  <si>
    <t>500,51294,udp</t>
  </si>
  <si>
    <t>1743-1749,tcp</t>
  </si>
  <si>
    <t>20256,tcp</t>
  </si>
  <si>
    <t>7887,7987,tcp</t>
  </si>
  <si>
    <t>1900,2869,tcp,udp</t>
  </si>
  <si>
    <t>540,tcp,udp</t>
  </si>
  <si>
    <t>1000-4500,2000-2200,tcp,udp</t>
  </si>
  <si>
    <t>2500-5000,9392,9393,9396,9420,tcp</t>
  </si>
  <si>
    <t>10006,tcp</t>
  </si>
  <si>
    <t>10001,10005,tcp</t>
  </si>
  <si>
    <t>6180,tcp</t>
  </si>
  <si>
    <t>40084,443,50844,80,tcp</t>
  </si>
  <si>
    <t>3784,43784,tcp,udp</t>
  </si>
  <si>
    <t>52428,udp</t>
  </si>
  <si>
    <t>3102,80,tcp</t>
  </si>
  <si>
    <t>5433,tcp</t>
  </si>
  <si>
    <t>443,5004,5061,80,tcp,udp</t>
  </si>
  <si>
    <t>1853,443,51222,80,tcp,udp</t>
  </si>
  <si>
    <t>55777,udp</t>
  </si>
  <si>
    <t>443,5480,80,902,9080,tcp,udp</t>
  </si>
  <si>
    <t>22443,tcp,udp</t>
  </si>
  <si>
    <t>443,54443,80,tcp</t>
  </si>
  <si>
    <t>443,80,8084,9084,tcp</t>
  </si>
  <si>
    <t>18443,32111,3389,4001,4002,443,80,8009,8443,9427,tcp,udp</t>
  </si>
  <si>
    <t>9443,tcp</t>
  </si>
  <si>
    <t>443,5500,5900,5901,5902,5903,8080,tcp,udp</t>
  </si>
  <si>
    <t>5800,5900,tcp</t>
  </si>
  <si>
    <t>5900,5901,tcp</t>
  </si>
  <si>
    <t>5002,udp</t>
  </si>
  <si>
    <t>61194,61198,80,tcp,udp</t>
  </si>
  <si>
    <t>1589,udp</t>
  </si>
  <si>
    <t>5000,tcp,udp</t>
  </si>
  <si>
    <t>13200-13299,443,80,tcp</t>
  </si>
  <si>
    <t>4789,udp</t>
  </si>
  <si>
    <t>1194, 4500, 500,15001-20000,25001-30000,443,udp</t>
  </si>
  <si>
    <t>5330,5340,5350,tcp,udp</t>
  </si>
  <si>
    <t>2122,443,80,tcp</t>
  </si>
  <si>
    <t>32285,6000,6346-6351,tcp,udp</t>
  </si>
  <si>
    <t>20010-20020,32800-32900,443,80,tcp,udp</t>
  </si>
  <si>
    <t>1514,1515,tcp</t>
  </si>
  <si>
    <t>2048,udp</t>
  </si>
  <si>
    <t>1089,1135,tcp</t>
  </si>
  <si>
    <t>443,4812,80,tcp</t>
  </si>
  <si>
    <t>1270,443,80,8070,8090,8934,9000,tcp,udp</t>
  </si>
  <si>
    <t>15868,15871,55880,tcp</t>
  </si>
  <si>
    <t>443,80,8080,dynamic,tcp,udp</t>
  </si>
  <si>
    <t>12121,443,5000,80,8080,dynamic,tcp,udp</t>
  </si>
  <si>
    <t>7711,7712,udp</t>
  </si>
  <si>
    <t>281,283,tcp</t>
  </si>
  <si>
    <t>2507,2521,2530,udp</t>
  </si>
  <si>
    <t>43,tcp</t>
  </si>
  <si>
    <t>22350,tcp</t>
  </si>
  <si>
    <t>8891,tcp</t>
  </si>
  <si>
    <t>5985,5986,tcp</t>
  </si>
  <si>
    <t>42,tcp</t>
  </si>
  <si>
    <t>2887,tcp,udp</t>
  </si>
  <si>
    <t>27960,80,tcp,udp</t>
  </si>
  <si>
    <t>3724,443,6112,6881-6999,80,tcp</t>
  </si>
  <si>
    <t>3702,udp</t>
  </si>
  <si>
    <t>10001,443,80,8443,8605,8615,8883,tcp,udp</t>
  </si>
  <si>
    <t>7100,tcp</t>
  </si>
  <si>
    <t>6000-6063,tcp</t>
  </si>
  <si>
    <t>3074,443,80,88,tcp,udp</t>
  </si>
  <si>
    <t>177,udp</t>
  </si>
  <si>
    <t>25999,tcp</t>
  </si>
  <si>
    <t>3423,tcp</t>
  </si>
  <si>
    <t>443,554,80,tcp</t>
  </si>
  <si>
    <t>443,5050,5101,80,tcp</t>
  </si>
  <si>
    <t>5001,tcp</t>
  </si>
  <si>
    <t>5100,tcp</t>
  </si>
  <si>
    <t>143,443,465,80,993,995,tcp</t>
  </si>
  <si>
    <t>6160,udp</t>
  </si>
  <si>
    <t>1090,tcp</t>
  </si>
  <si>
    <t>5313,9940,udp</t>
  </si>
  <si>
    <t>3817,tcp</t>
  </si>
  <si>
    <t>21,443,80,dynamic,tcp,udp</t>
  </si>
  <si>
    <t>443,5287,80,tcp</t>
  </si>
  <si>
    <t>10050,10051,80,tcp</t>
  </si>
  <si>
    <t>31265,udp</t>
  </si>
  <si>
    <t>28225,443,80,dynamic,tcp,udp</t>
  </si>
  <si>
    <t>4005,4006,4009,443,80,9081,9669,tcp</t>
  </si>
  <si>
    <t>182,443,80,tcp</t>
  </si>
  <si>
    <t>3478,3479,390,443,5060,5061,5090,5091,80,8801,8802,dynamic,tcp,udp</t>
  </si>
  <si>
    <t>443,8801,8802,8803,8888,8889,9001,9002,9003,9004,9090,tcp,udp</t>
  </si>
  <si>
    <t>443,5091,80,dynamic,tcp,udp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</si>
</sst>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E5E7E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3" fillId="5" borderId="1" xfId="0" applyFont="1" applyFill="1" applyBorder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470"/>
  <sheetViews>
    <sheetView tabSelected="1" workbookViewId="0"/>
  </sheetViews>
  <sheetFormatPr defaultRowHeight="15"/>
  <cols>
    <col min="1" max="14" width="15.7109375" customWidth="1"/>
    <col min="15" max="15" width="20.7109375" customWidth="1"/>
    <col min="16" max="28" width="15.7109375" customWidth="1"/>
    <col min="29" max="52" width="20.7109375" customWidth="1"/>
  </cols>
  <sheetData>
    <row r="1" spans="1:5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</row>
    <row r="2" spans="1:52">
      <c r="A2" s="3" t="s">
        <v>52</v>
      </c>
      <c r="B2" s="3" t="s">
        <v>56</v>
      </c>
      <c r="C2" s="3" t="s">
        <v>329</v>
      </c>
      <c r="D2" s="3"/>
      <c r="E2" s="3" t="s">
        <v>359</v>
      </c>
      <c r="F2" s="3" t="s">
        <v>360</v>
      </c>
      <c r="G2" s="3" t="s">
        <v>366</v>
      </c>
      <c r="H2" s="3" t="s">
        <v>371</v>
      </c>
      <c r="I2" s="3" t="s">
        <v>365</v>
      </c>
      <c r="J2" s="3" t="s">
        <v>363</v>
      </c>
      <c r="K2" s="3" t="s">
        <v>484</v>
      </c>
      <c r="L2" s="3" t="s">
        <v>484</v>
      </c>
      <c r="M2" s="3" t="s">
        <v>768</v>
      </c>
      <c r="N2" s="3" t="s">
        <v>791</v>
      </c>
      <c r="O2" s="4" t="s">
        <v>801</v>
      </c>
      <c r="P2" s="3" t="s">
        <v>862</v>
      </c>
      <c r="Q2" s="3" t="s">
        <v>904</v>
      </c>
      <c r="R2" s="3" t="s">
        <v>906</v>
      </c>
      <c r="S2" s="3" t="s">
        <v>912</v>
      </c>
      <c r="T2" s="3" t="s">
        <v>917</v>
      </c>
      <c r="U2" s="3" t="s">
        <v>1144</v>
      </c>
      <c r="V2" s="3" t="s">
        <v>789</v>
      </c>
      <c r="W2" s="3" t="s">
        <v>1390</v>
      </c>
      <c r="X2" s="3" t="s">
        <v>1606</v>
      </c>
      <c r="Y2" s="3" t="s">
        <v>2075</v>
      </c>
      <c r="Z2" s="3"/>
      <c r="AA2" s="3"/>
      <c r="AB2" s="3"/>
      <c r="AC2" s="4" cm="1">
        <f t="array" ref="AC2">IF(FALSE,"True," &amp; IF(_xlfn.XLOOKUP("Src_IsAny",'Scoring_Config'!$A:$A,'Scoring_Config'!$D:$D,"Yes")="Yes",_xlfn.XLOOKUP("Src_IsAny",'Scoring_Config'!$A:$A,'Scoring_Config'!$C:$C,25),0),"False,0")</f>
        <v>0</v>
      </c>
      <c r="AD2" s="4" cm="1">
        <f t="array" ref="AD2">IF(FALSE,"True," &amp; IF(_xlfn.XLOOKUP("Src_CIDR_Le_16",'Scoring_Config'!$A:$A,'Scoring_Config'!$D:$D,"Yes")="Yes",_xlfn.XLOOKUP("Src_CIDR_Le_16",'Scoring_Config'!$A:$A,'Scoring_Config'!$C:$C,25),0),"False,0")</f>
        <v>0</v>
      </c>
      <c r="AE2" s="4" cm="1">
        <f t="array" ref="AE2">IF(FALSE,"True," &amp; IF(_xlfn.XLOOKUP("Src_CIDR_17_22",'Scoring_Config'!$A:$A,'Scoring_Config'!$D:$D,"Yes")="Yes",_xlfn.XLOOKUP("Src_CIDR_17_22",'Scoring_Config'!$A:$A,'Scoring_Config'!$C:$C,15),0),"False,0")</f>
        <v>0</v>
      </c>
      <c r="AF2" s="4" cm="1">
        <f t="array" ref="AF2">IF(FALSE,"True," &amp; IF(_xlfn.XLOOKUP("Dst_IsAny",'Scoring_Config'!$A:$A,'Scoring_Config'!$D:$D,"Yes")="Yes",_xlfn.XLOOKUP("Dst_IsAny",'Scoring_Config'!$A:$A,'Scoring_Config'!$C:$C,25),0),"False,0")</f>
        <v>0</v>
      </c>
      <c r="AG2" s="4" cm="1">
        <f t="array" ref="AG2">IF(FALSE,"True," &amp; IF(_xlfn.XLOOKUP("Dst_CIDR_Le_16",'Scoring_Config'!$A:$A,'Scoring_Config'!$D:$D,"Yes")="Yes",_xlfn.XLOOKUP("Dst_CIDR_Le_16",'Scoring_Config'!$A:$A,'Scoring_Config'!$C:$C,25),0),"False,0")</f>
        <v>0</v>
      </c>
      <c r="AH2" s="4" cm="1">
        <f t="array" ref="AH2">IF(FALSE,"True," &amp; IF(_xlfn.XLOOKUP("Dst_CIDR_17_22",'Scoring_Config'!$A:$A,'Scoring_Config'!$D:$D,"Yes")="Yes",_xlfn.XLOOKUP("Dst_CIDR_17_22",'Scoring_Config'!$A:$A,'Scoring_Config'!$C:$C,15),0),"False,0")</f>
        <v>0</v>
      </c>
      <c r="AI2" s="4" cm="1">
        <f t="array" ref="AI2">IF(FALSE,"True," &amp; IF(_xlfn.XLOOKUP("SrcZone_IsAny",'Scoring_Config'!$A:$A,'Scoring_Config'!$D:$D,"Yes")="Yes",_xlfn.XLOOKUP("SrcZone_IsAny",'Scoring_Config'!$A:$A,'Scoring_Config'!$C:$C,5),0),"False,0")</f>
        <v>0</v>
      </c>
      <c r="AJ2" s="4" cm="1">
        <f t="array" ref="AJ2">IF(FALSE,"True," &amp; IF(_xlfn.XLOOKUP("DstZone_IsAny",'Scoring_Config'!$A:$A,'Scoring_Config'!$D:$D,"Yes")="Yes",_xlfn.XLOOKUP("DstZone_IsAny",'Scoring_Config'!$A:$A,'Scoring_Config'!$C:$C,5),0),"False,0")</f>
        <v>0</v>
      </c>
      <c r="AK2" s="4" cm="1">
        <f t="array" ref="AK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" s="5" cm="1">
        <f t="array" ref="AL2">IF(TRUE,"True," &amp; IF(_xlfn.XLOOKUP("App_Any_OR_RangeGt1000",'Scoring_Config'!$A:$A,'Scoring_Config'!$D:$D,"Yes")="Yes",_xlfn.XLOOKUP("App_Any_OR_RangeGt1000",'Scoring_Config'!$A:$A,'Scoring_Config'!$C:$C,25),0),"False,0")</f>
        <v>0</v>
      </c>
      <c r="AM2" s="5" cm="1">
        <f t="array" ref="AM2">IF(TRUE,"True," &amp; IF(_xlfn.XLOOKUP("Service_Insecure_Match",'Scoring_Config'!$A:$A,'Scoring_Config'!$D:$D,"Yes")="Yes",_xlfn.XLOOKUP("Service_Insecure_Match",'Scoring_Config'!$A:$A,'Scoring_Config'!$C:$C,20),0),"False,0")</f>
        <v>0</v>
      </c>
      <c r="AN2" s="4" cm="1">
        <f t="array" ref="AN2">IF(FALSE,"True," &amp; IF(_xlfn.XLOOKUP("Risky_Inbound",'Scoring_Config'!$A:$A,'Scoring_Config'!$D:$D,"Yes")="Yes",_xlfn.XLOOKUP("Risky_Inbound",'Scoring_Config'!$A:$A,'Scoring_Config'!$C:$C,20),0),"False,0")</f>
        <v>0</v>
      </c>
      <c r="AO2" s="4" cm="1">
        <f t="array" ref="AO2">IF(FALSE,"True," &amp; IF(_xlfn.XLOOKUP("Risky_Outbound",'Scoring_Config'!$A:$A,'Scoring_Config'!$D:$D,"Yes")="Yes",_xlfn.XLOOKUP("Risky_Outbound",'Scoring_Config'!$A:$A,'Scoring_Config'!$C:$C,10),0),"False,0")</f>
        <v>0</v>
      </c>
      <c r="AP2" s="5" t="s">
        <v>2595</v>
      </c>
      <c r="AQ2" s="4" cm="1">
        <f t="array" ref="AQ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" s="4" t="s">
        <v>2592</v>
      </c>
      <c r="AS2" s="4" t="s">
        <v>2592</v>
      </c>
      <c r="AT2" s="4" t="s">
        <v>2592</v>
      </c>
      <c r="AU2" s="5" cm="1">
        <f t="array" ref="AU2">IF(TRUE,"True," &amp; IF(_xlfn.XLOOKUP("Action_IsDenyOrDrop",'Scoring_Config'!$A:$A,'Scoring_Config'!$D:$D,"Yes")="Yes",_xlfn.XLOOKUP("Action_IsDenyOrDrop",'Scoring_Config'!$A:$A,'Scoring_Config'!$C:$C,0),0),"False,0")</f>
        <v>0</v>
      </c>
      <c r="AV2" s="4"/>
      <c r="AW2" s="4" cm="1">
        <f t="array" ref="AW2">IF(FALSE,"True," &amp; IF(_xlfn.XLOOKUP("Migrate_Insecure",'Scoring_Config'!$A:$A,'Scoring_Config'!$D:$D,"Yes")="Yes",_xlfn.XLOOKUP("Migrate_Insecure",'Scoring_Config'!$A:$A,'Scoring_Config'!$C:$C,15),0),"False,0")</f>
        <v>0</v>
      </c>
      <c r="AX2" s="4"/>
      <c r="AY2" s="4" cm="1">
        <f t="array" ref="AY2">IF(FALSE,"True," &amp; IF(_xlfn.XLOOKUP("Migrate_Other_Ports",'Scoring_Config'!$A:$A,'Scoring_Config'!$D:$D,"Yes")="Yes",_xlfn.XLOOKUP("Migrate_Other_Ports",'Scoring_Config'!$A:$A,'Scoring_Config'!$C:$C,5),0),"False,0")</f>
        <v>0</v>
      </c>
      <c r="AZ2" s="4" cm="1">
        <f t="array" ref="AZ2">IF(LEFT(AU2,4)="True",0,(IF(LEFT(AC2,4)="True",IF(_xlfn.XLOOKUP("Src_IsAny",'Scoring_Config'!$A:$A,'Scoring_Config'!$D:$D,"Yes")="Yes",_xlfn.XLOOKUP("Src_IsAny",'Scoring_Config'!$A:$A,'Scoring_Config'!$C:$C,25),0),0)+IF(LEFT(AD2,4)="True",IF(_xlfn.XLOOKUP("Src_CIDR_Le_16",'Scoring_Config'!$A:$A,'Scoring_Config'!$D:$D,"Yes")="Yes",_xlfn.XLOOKUP("Src_CIDR_Le_16",'Scoring_Config'!$A:$A,'Scoring_Config'!$C:$C,25),0),0)+IF(LEFT(AE2,4)="True",IF(_xlfn.XLOOKUP("Src_CIDR_17_22",'Scoring_Config'!$A:$A,'Scoring_Config'!$D:$D,"Yes")="Yes",_xlfn.XLOOKUP("Src_CIDR_17_22",'Scoring_Config'!$A:$A,'Scoring_Config'!$C:$C,15),0),0)+IF(LEFT(AF2,4)="True",IF(_xlfn.XLOOKUP("Dst_IsAny",'Scoring_Config'!$A:$A,'Scoring_Config'!$D:$D,"Yes")="Yes",_xlfn.XLOOKUP("Dst_IsAny",'Scoring_Config'!$A:$A,'Scoring_Config'!$C:$C,25),0),0)+IF(LEFT(AG2,4)="True",IF(_xlfn.XLOOKUP("Dst_CIDR_Le_16",'Scoring_Config'!$A:$A,'Scoring_Config'!$D:$D,"Yes")="Yes",_xlfn.XLOOKUP("Dst_CIDR_Le_16",'Scoring_Config'!$A:$A,'Scoring_Config'!$C:$C,25),0),0)+IF(LEFT(AH2,4)="True",IF(_xlfn.XLOOKUP("Dst_CIDR_17_22",'Scoring_Config'!$A:$A,'Scoring_Config'!$D:$D,"Yes")="Yes",_xlfn.XLOOKUP("Dst_CIDR_17_22",'Scoring_Config'!$A:$A,'Scoring_Config'!$C:$C,15),0),0)+IF(LEFT(AI2,4)="True",IF(_xlfn.XLOOKUP("SrcZone_IsAny",'Scoring_Config'!$A:$A,'Scoring_Config'!$D:$D,"Yes")="Yes",_xlfn.XLOOKUP("SrcZone_IsAny",'Scoring_Config'!$A:$A,'Scoring_Config'!$C:$C,5),0),0)+IF(LEFT(AJ2,4)="True",IF(_xlfn.XLOOKUP("DstZone_IsAny",'Scoring_Config'!$A:$A,'Scoring_Config'!$D:$D,"Yes")="Yes",_xlfn.XLOOKUP("DstZone_IsAny",'Scoring_Config'!$A:$A,'Scoring_Config'!$C:$C,5),0),0)+IF(LEFT(AK2,4)="True",IF(_xlfn.XLOOKUP("Service_Any_OR_RangeGt1000",'Scoring_Config'!$A:$A,'Scoring_Config'!$D:$D,"Yes")="Yes",_xlfn.XLOOKUP("Service_Any_OR_RangeGt1000",'Scoring_Config'!$A:$A,'Scoring_Config'!$C:$C,25),0),0)+IF(LEFT(AL2,4)="True",IF(_xlfn.XLOOKUP("App_Any_OR_RangeGt1000",'Scoring_Config'!$A:$A,'Scoring_Config'!$D:$D,"Yes")="Yes",_xlfn.XLOOKUP("App_Any_OR_RangeGt1000",'Scoring_Config'!$A:$A,'Scoring_Config'!$C:$C,25),0),0)+IF(LEFT(AM2,4)="True",IF(_xlfn.XLOOKUP("Service_Insecure_Match",'Scoring_Config'!$A:$A,'Scoring_Config'!$D:$D,"Yes")="Yes",_xlfn.XLOOKUP("Service_Insecure_Match",'Scoring_Config'!$A:$A,'Scoring_Config'!$C:$C,20),0),0)+IF(LEFT(AN2,4)="True",IF(_xlfn.XLOOKUP("Risky_Inbound",'Scoring_Config'!$A:$A,'Scoring_Config'!$D:$D,"Yes")="Yes",_xlfn.XLOOKUP("Risky_Inbound",'Scoring_Config'!$A:$A,'Scoring_Config'!$C:$C,20),0),0)+IF(LEFT(AO2,4)="True",IF(_xlfn.XLOOKUP("Risky_Outbound",'Scoring_Config'!$A:$A,'Scoring_Config'!$D:$D,"Yes")="Yes",_xlfn.XLOOKUP("Risky_Outbound",'Scoring_Config'!$A:$A,'Scoring_Config'!$C:$C,10),0),0)+IF(LEFT(AW2,4)="True",IF(_xlfn.XLOOKUP("Migrate_Insecure",'Scoring_Config'!$A:$A,'Scoring_Config'!$D:$D,"Yes")="Yes",_xlfn.XLOOKUP("Migrate_Insecure",'Scoring_Config'!$A:$A,'Scoring_Config'!$C:$C,15),0),0)+IF(LEFT(AY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,FIND(",",AP2)+1,100)),0)+IF(LEFT(AQ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,FIND(",",AR2)+1,100)),0)+IF(_xlfn.XLOOKUP("Profile_Scoring",'Scoring_Config'!$A:$A,'Scoring_Config'!$D:$D,"Yes")="Yes",VALUE(MID(AS2,FIND(",",AS2)+1,100)),0)+IF(_xlfn.XLOOKUP("Options_Scoring",'Scoring_Config'!$A:$A,'Scoring_Config'!$D:$D,"Yes")="Yes",VALUE(MID(AT2,FIND(",",AT2)+1,100)),0)))</f>
        <v>0</v>
      </c>
    </row>
    <row r="3" spans="1:52">
      <c r="A3" s="3" t="s">
        <v>52</v>
      </c>
      <c r="B3" s="3" t="s">
        <v>57</v>
      </c>
      <c r="C3" s="3" t="s">
        <v>329</v>
      </c>
      <c r="D3" s="3"/>
      <c r="E3" s="3" t="s">
        <v>359</v>
      </c>
      <c r="F3" s="3" t="s">
        <v>361</v>
      </c>
      <c r="G3" s="3" t="s">
        <v>365</v>
      </c>
      <c r="H3" s="3" t="s">
        <v>365</v>
      </c>
      <c r="I3" s="3" t="s">
        <v>622</v>
      </c>
      <c r="J3" s="3" t="s">
        <v>364</v>
      </c>
      <c r="K3" s="3" t="s">
        <v>365</v>
      </c>
      <c r="L3" s="3" t="s">
        <v>365</v>
      </c>
      <c r="M3" s="3" t="s">
        <v>365</v>
      </c>
      <c r="N3" s="3" t="s">
        <v>365</v>
      </c>
      <c r="O3" s="4" t="s">
        <v>802</v>
      </c>
      <c r="P3" s="3" t="s">
        <v>863</v>
      </c>
      <c r="Q3" s="3" t="s">
        <v>905</v>
      </c>
      <c r="R3" s="3" t="s">
        <v>907</v>
      </c>
      <c r="S3" s="3" t="s">
        <v>913</v>
      </c>
      <c r="T3" s="3" t="s">
        <v>918</v>
      </c>
      <c r="U3" s="3"/>
      <c r="V3" s="3" t="s">
        <v>770</v>
      </c>
      <c r="W3" s="3" t="s">
        <v>1391</v>
      </c>
      <c r="X3" s="3" t="s">
        <v>1607</v>
      </c>
      <c r="Y3" s="3" t="s">
        <v>2076</v>
      </c>
      <c r="Z3" s="3"/>
      <c r="AA3" s="3"/>
      <c r="AB3" s="3"/>
      <c r="AC3" s="5" cm="1">
        <f t="array" ref="AC3">IF(TRUE,"True," &amp; IF(_xlfn.XLOOKUP("Src_IsAny",'Scoring_Config'!$A:$A,'Scoring_Config'!$D:$D,"Yes")="Yes",_xlfn.XLOOKUP("Src_IsAny",'Scoring_Config'!$A:$A,'Scoring_Config'!$C:$C,25),0),"False,0")</f>
        <v>0</v>
      </c>
      <c r="AD3" s="4" cm="1">
        <f t="array" ref="AD3">IF(FALSE,"True," &amp; IF(_xlfn.XLOOKUP("Src_CIDR_Le_16",'Scoring_Config'!$A:$A,'Scoring_Config'!$D:$D,"Yes")="Yes",_xlfn.XLOOKUP("Src_CIDR_Le_16",'Scoring_Config'!$A:$A,'Scoring_Config'!$C:$C,25),0),"False,0")</f>
        <v>0</v>
      </c>
      <c r="AE3" s="4" cm="1">
        <f t="array" ref="AE3">IF(FALSE,"True," &amp; IF(_xlfn.XLOOKUP("Src_CIDR_17_22",'Scoring_Config'!$A:$A,'Scoring_Config'!$D:$D,"Yes")="Yes",_xlfn.XLOOKUP("Src_CIDR_17_22",'Scoring_Config'!$A:$A,'Scoring_Config'!$C:$C,15),0),"False,0")</f>
        <v>0</v>
      </c>
      <c r="AF3" s="5" cm="1">
        <f t="array" ref="AF3">IF(TRUE,"True," &amp; IF(_xlfn.XLOOKUP("Dst_IsAny",'Scoring_Config'!$A:$A,'Scoring_Config'!$D:$D,"Yes")="Yes",_xlfn.XLOOKUP("Dst_IsAny",'Scoring_Config'!$A:$A,'Scoring_Config'!$C:$C,25),0),"False,0")</f>
        <v>0</v>
      </c>
      <c r="AG3" s="4" cm="1">
        <f t="array" ref="AG3">IF(FALSE,"True," &amp; IF(_xlfn.XLOOKUP("Dst_CIDR_Le_16",'Scoring_Config'!$A:$A,'Scoring_Config'!$D:$D,"Yes")="Yes",_xlfn.XLOOKUP("Dst_CIDR_Le_16",'Scoring_Config'!$A:$A,'Scoring_Config'!$C:$C,25),0),"False,0")</f>
        <v>0</v>
      </c>
      <c r="AH3" s="4" cm="1">
        <f t="array" ref="AH3">IF(FALSE,"True," &amp; IF(_xlfn.XLOOKUP("Dst_CIDR_17_22",'Scoring_Config'!$A:$A,'Scoring_Config'!$D:$D,"Yes")="Yes",_xlfn.XLOOKUP("Dst_CIDR_17_22",'Scoring_Config'!$A:$A,'Scoring_Config'!$C:$C,15),0),"False,0")</f>
        <v>0</v>
      </c>
      <c r="AI3" s="4" cm="1">
        <f t="array" ref="AI3">IF(FALSE,"True," &amp; IF(_xlfn.XLOOKUP("SrcZone_IsAny",'Scoring_Config'!$A:$A,'Scoring_Config'!$D:$D,"Yes")="Yes",_xlfn.XLOOKUP("SrcZone_IsAny",'Scoring_Config'!$A:$A,'Scoring_Config'!$C:$C,5),0),"False,0")</f>
        <v>0</v>
      </c>
      <c r="AJ3" s="4" cm="1">
        <f t="array" ref="AJ3">IF(FALSE,"True," &amp; IF(_xlfn.XLOOKUP("DstZone_IsAny",'Scoring_Config'!$A:$A,'Scoring_Config'!$D:$D,"Yes")="Yes",_xlfn.XLOOKUP("DstZone_IsAny",'Scoring_Config'!$A:$A,'Scoring_Config'!$C:$C,5),0),"False,0")</f>
        <v>0</v>
      </c>
      <c r="AK3" s="4" cm="1">
        <f t="array" ref="AK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" s="5" cm="1">
        <f t="array" ref="AL3">IF(TRUE,"True," &amp; IF(_xlfn.XLOOKUP("App_Any_OR_RangeGt1000",'Scoring_Config'!$A:$A,'Scoring_Config'!$D:$D,"Yes")="Yes",_xlfn.XLOOKUP("App_Any_OR_RangeGt1000",'Scoring_Config'!$A:$A,'Scoring_Config'!$C:$C,25),0),"False,0")</f>
        <v>0</v>
      </c>
      <c r="AM3" s="5" cm="1">
        <f t="array" ref="AM3">IF(TRUE,"True," &amp; IF(_xlfn.XLOOKUP("Service_Insecure_Match",'Scoring_Config'!$A:$A,'Scoring_Config'!$D:$D,"Yes")="Yes",_xlfn.XLOOKUP("Service_Insecure_Match",'Scoring_Config'!$A:$A,'Scoring_Config'!$C:$C,20),0),"False,0")</f>
        <v>0</v>
      </c>
      <c r="AN3" s="4" cm="1">
        <f t="array" ref="AN3">IF(FALSE,"True," &amp; IF(_xlfn.XLOOKUP("Risky_Inbound",'Scoring_Config'!$A:$A,'Scoring_Config'!$D:$D,"Yes")="Yes",_xlfn.XLOOKUP("Risky_Inbound",'Scoring_Config'!$A:$A,'Scoring_Config'!$C:$C,20),0),"False,0")</f>
        <v>0</v>
      </c>
      <c r="AO3" s="4" cm="1">
        <f t="array" ref="AO3">IF(FALSE,"True," &amp; IF(_xlfn.XLOOKUP("Risky_Outbound",'Scoring_Config'!$A:$A,'Scoring_Config'!$D:$D,"Yes")="Yes",_xlfn.XLOOKUP("Risky_Outbound",'Scoring_Config'!$A:$A,'Scoring_Config'!$C:$C,10),0),"False,0")</f>
        <v>0</v>
      </c>
      <c r="AP3" s="5" t="s">
        <v>2595</v>
      </c>
      <c r="AQ3" s="5" cm="1">
        <f t="array" ref="AQ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" s="5" t="s">
        <v>2598</v>
      </c>
      <c r="AS3" s="5" t="s">
        <v>2595</v>
      </c>
      <c r="AT3" s="4" t="s">
        <v>2592</v>
      </c>
      <c r="AU3" s="4" cm="1">
        <f t="array" ref="AU3">IF(FALSE,"True," &amp; IF(_xlfn.XLOOKUP("Action_IsDenyOrDrop",'Scoring_Config'!$A:$A,'Scoring_Config'!$D:$D,"Yes")="Yes",_xlfn.XLOOKUP("Action_IsDenyOrDrop",'Scoring_Config'!$A:$A,'Scoring_Config'!$C:$C,0),0),"False,0")</f>
        <v>0</v>
      </c>
      <c r="AV3" s="4"/>
      <c r="AW3" s="4" cm="1">
        <f t="array" ref="AW3">IF(FALSE,"True," &amp; IF(_xlfn.XLOOKUP("Migrate_Insecure",'Scoring_Config'!$A:$A,'Scoring_Config'!$D:$D,"Yes")="Yes",_xlfn.XLOOKUP("Migrate_Insecure",'Scoring_Config'!$A:$A,'Scoring_Config'!$C:$C,15),0),"False,0")</f>
        <v>0</v>
      </c>
      <c r="AX3" s="4"/>
      <c r="AY3" s="4" cm="1">
        <f t="array" ref="AY3">IF(FALSE,"True," &amp; IF(_xlfn.XLOOKUP("Migrate_Other_Ports",'Scoring_Config'!$A:$A,'Scoring_Config'!$D:$D,"Yes")="Yes",_xlfn.XLOOKUP("Migrate_Other_Ports",'Scoring_Config'!$A:$A,'Scoring_Config'!$C:$C,5),0),"False,0")</f>
        <v>0</v>
      </c>
      <c r="AZ3" s="4" cm="1">
        <f t="array" ref="AZ3">IF(LEFT(AU3,4)="True",0,(IF(LEFT(AC3,4)="True",IF(_xlfn.XLOOKUP("Src_IsAny",'Scoring_Config'!$A:$A,'Scoring_Config'!$D:$D,"Yes")="Yes",_xlfn.XLOOKUP("Src_IsAny",'Scoring_Config'!$A:$A,'Scoring_Config'!$C:$C,25),0),0)+IF(LEFT(AD3,4)="True",IF(_xlfn.XLOOKUP("Src_CIDR_Le_16",'Scoring_Config'!$A:$A,'Scoring_Config'!$D:$D,"Yes")="Yes",_xlfn.XLOOKUP("Src_CIDR_Le_16",'Scoring_Config'!$A:$A,'Scoring_Config'!$C:$C,25),0),0)+IF(LEFT(AE3,4)="True",IF(_xlfn.XLOOKUP("Src_CIDR_17_22",'Scoring_Config'!$A:$A,'Scoring_Config'!$D:$D,"Yes")="Yes",_xlfn.XLOOKUP("Src_CIDR_17_22",'Scoring_Config'!$A:$A,'Scoring_Config'!$C:$C,15),0),0)+IF(LEFT(AF3,4)="True",IF(_xlfn.XLOOKUP("Dst_IsAny",'Scoring_Config'!$A:$A,'Scoring_Config'!$D:$D,"Yes")="Yes",_xlfn.XLOOKUP("Dst_IsAny",'Scoring_Config'!$A:$A,'Scoring_Config'!$C:$C,25),0),0)+IF(LEFT(AG3,4)="True",IF(_xlfn.XLOOKUP("Dst_CIDR_Le_16",'Scoring_Config'!$A:$A,'Scoring_Config'!$D:$D,"Yes")="Yes",_xlfn.XLOOKUP("Dst_CIDR_Le_16",'Scoring_Config'!$A:$A,'Scoring_Config'!$C:$C,25),0),0)+IF(LEFT(AH3,4)="True",IF(_xlfn.XLOOKUP("Dst_CIDR_17_22",'Scoring_Config'!$A:$A,'Scoring_Config'!$D:$D,"Yes")="Yes",_xlfn.XLOOKUP("Dst_CIDR_17_22",'Scoring_Config'!$A:$A,'Scoring_Config'!$C:$C,15),0),0)+IF(LEFT(AI3,4)="True",IF(_xlfn.XLOOKUP("SrcZone_IsAny",'Scoring_Config'!$A:$A,'Scoring_Config'!$D:$D,"Yes")="Yes",_xlfn.XLOOKUP("SrcZone_IsAny",'Scoring_Config'!$A:$A,'Scoring_Config'!$C:$C,5),0),0)+IF(LEFT(AJ3,4)="True",IF(_xlfn.XLOOKUP("DstZone_IsAny",'Scoring_Config'!$A:$A,'Scoring_Config'!$D:$D,"Yes")="Yes",_xlfn.XLOOKUP("DstZone_IsAny",'Scoring_Config'!$A:$A,'Scoring_Config'!$C:$C,5),0),0)+IF(LEFT(AK3,4)="True",IF(_xlfn.XLOOKUP("Service_Any_OR_RangeGt1000",'Scoring_Config'!$A:$A,'Scoring_Config'!$D:$D,"Yes")="Yes",_xlfn.XLOOKUP("Service_Any_OR_RangeGt1000",'Scoring_Config'!$A:$A,'Scoring_Config'!$C:$C,25),0),0)+IF(LEFT(AL3,4)="True",IF(_xlfn.XLOOKUP("App_Any_OR_RangeGt1000",'Scoring_Config'!$A:$A,'Scoring_Config'!$D:$D,"Yes")="Yes",_xlfn.XLOOKUP("App_Any_OR_RangeGt1000",'Scoring_Config'!$A:$A,'Scoring_Config'!$C:$C,25),0),0)+IF(LEFT(AM3,4)="True",IF(_xlfn.XLOOKUP("Service_Insecure_Match",'Scoring_Config'!$A:$A,'Scoring_Config'!$D:$D,"Yes")="Yes",_xlfn.XLOOKUP("Service_Insecure_Match",'Scoring_Config'!$A:$A,'Scoring_Config'!$C:$C,20),0),0)+IF(LEFT(AN3,4)="True",IF(_xlfn.XLOOKUP("Risky_Inbound",'Scoring_Config'!$A:$A,'Scoring_Config'!$D:$D,"Yes")="Yes",_xlfn.XLOOKUP("Risky_Inbound",'Scoring_Config'!$A:$A,'Scoring_Config'!$C:$C,20),0),0)+IF(LEFT(AO3,4)="True",IF(_xlfn.XLOOKUP("Risky_Outbound",'Scoring_Config'!$A:$A,'Scoring_Config'!$D:$D,"Yes")="Yes",_xlfn.XLOOKUP("Risky_Outbound",'Scoring_Config'!$A:$A,'Scoring_Config'!$C:$C,10),0),0)+IF(LEFT(AW3,4)="True",IF(_xlfn.XLOOKUP("Migrate_Insecure",'Scoring_Config'!$A:$A,'Scoring_Config'!$D:$D,"Yes")="Yes",_xlfn.XLOOKUP("Migrate_Insecure",'Scoring_Config'!$A:$A,'Scoring_Config'!$C:$C,15),0),0)+IF(LEFT(AY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,FIND(",",AP3)+1,100)),0)+IF(LEFT(AQ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,FIND(",",AR3)+1,100)),0)+IF(_xlfn.XLOOKUP("Profile_Scoring",'Scoring_Config'!$A:$A,'Scoring_Config'!$D:$D,"Yes")="Yes",VALUE(MID(AS3,FIND(",",AS3)+1,100)),0)+IF(_xlfn.XLOOKUP("Options_Scoring",'Scoring_Config'!$A:$A,'Scoring_Config'!$D:$D,"Yes")="Yes",VALUE(MID(AT3,FIND(",",AT3)+1,100)),0)))</f>
        <v>0</v>
      </c>
    </row>
    <row r="4" spans="1:52">
      <c r="A4" s="3" t="s">
        <v>52</v>
      </c>
      <c r="B4" s="3" t="s">
        <v>58</v>
      </c>
      <c r="C4" s="3" t="s">
        <v>329</v>
      </c>
      <c r="D4" s="3"/>
      <c r="E4" s="3" t="s">
        <v>359</v>
      </c>
      <c r="F4" s="3" t="s">
        <v>362</v>
      </c>
      <c r="G4" s="3" t="s">
        <v>367</v>
      </c>
      <c r="H4" s="3" t="s">
        <v>539</v>
      </c>
      <c r="I4" s="3" t="s">
        <v>365</v>
      </c>
      <c r="J4" s="3" t="s">
        <v>360</v>
      </c>
      <c r="K4" s="3" t="s">
        <v>365</v>
      </c>
      <c r="L4" s="3" t="s">
        <v>365</v>
      </c>
      <c r="M4" s="3" t="s">
        <v>769</v>
      </c>
      <c r="N4" s="3" t="s">
        <v>792</v>
      </c>
      <c r="O4" s="4" t="s">
        <v>803</v>
      </c>
      <c r="P4" s="3" t="s">
        <v>864</v>
      </c>
      <c r="Q4" s="3" t="s">
        <v>905</v>
      </c>
      <c r="R4" s="3" t="s">
        <v>908</v>
      </c>
      <c r="S4" s="3" t="s">
        <v>907</v>
      </c>
      <c r="T4" s="3" t="s">
        <v>919</v>
      </c>
      <c r="U4" s="3" t="s">
        <v>1145</v>
      </c>
      <c r="V4" s="3" t="s">
        <v>1386</v>
      </c>
      <c r="W4" s="3" t="s">
        <v>1392</v>
      </c>
      <c r="X4" s="3" t="s">
        <v>1608</v>
      </c>
      <c r="Y4" s="3" t="s">
        <v>2077</v>
      </c>
      <c r="Z4" s="3"/>
      <c r="AA4" s="3"/>
      <c r="AB4" s="3"/>
      <c r="AC4" s="5" cm="1">
        <f t="array" ref="AC4">IF(TRUE,"True," &amp; IF(_xlfn.XLOOKUP("Src_IsAny",'Scoring_Config'!$A:$A,'Scoring_Config'!$D:$D,"Yes")="Yes",_xlfn.XLOOKUP("Src_IsAny",'Scoring_Config'!$A:$A,'Scoring_Config'!$C:$C,25),0),"False,0")</f>
        <v>0</v>
      </c>
      <c r="AD4" s="4" cm="1">
        <f t="array" ref="AD4">IF(FALSE,"True," &amp; IF(_xlfn.XLOOKUP("Src_CIDR_Le_16",'Scoring_Config'!$A:$A,'Scoring_Config'!$D:$D,"Yes")="Yes",_xlfn.XLOOKUP("Src_CIDR_Le_16",'Scoring_Config'!$A:$A,'Scoring_Config'!$C:$C,25),0),"False,0")</f>
        <v>0</v>
      </c>
      <c r="AE4" s="4" cm="1">
        <f t="array" ref="AE4">IF(FALSE,"True," &amp; IF(_xlfn.XLOOKUP("Src_CIDR_17_22",'Scoring_Config'!$A:$A,'Scoring_Config'!$D:$D,"Yes")="Yes",_xlfn.XLOOKUP("Src_CIDR_17_22",'Scoring_Config'!$A:$A,'Scoring_Config'!$C:$C,15),0),"False,0")</f>
        <v>0</v>
      </c>
      <c r="AF4" s="5" cm="1">
        <f t="array" ref="AF4">IF(TRUE,"True," &amp; IF(_xlfn.XLOOKUP("Dst_IsAny",'Scoring_Config'!$A:$A,'Scoring_Config'!$D:$D,"Yes")="Yes",_xlfn.XLOOKUP("Dst_IsAny",'Scoring_Config'!$A:$A,'Scoring_Config'!$C:$C,25),0),"False,0")</f>
        <v>0</v>
      </c>
      <c r="AG4" s="4" cm="1">
        <f t="array" ref="AG4">IF(FALSE,"True," &amp; IF(_xlfn.XLOOKUP("Dst_CIDR_Le_16",'Scoring_Config'!$A:$A,'Scoring_Config'!$D:$D,"Yes")="Yes",_xlfn.XLOOKUP("Dst_CIDR_Le_16",'Scoring_Config'!$A:$A,'Scoring_Config'!$C:$C,25),0),"False,0")</f>
        <v>0</v>
      </c>
      <c r="AH4" s="4" cm="1">
        <f t="array" ref="AH4">IF(FALSE,"True," &amp; IF(_xlfn.XLOOKUP("Dst_CIDR_17_22",'Scoring_Config'!$A:$A,'Scoring_Config'!$D:$D,"Yes")="Yes",_xlfn.XLOOKUP("Dst_CIDR_17_22",'Scoring_Config'!$A:$A,'Scoring_Config'!$C:$C,15),0),"False,0")</f>
        <v>0</v>
      </c>
      <c r="AI4" s="4" cm="1">
        <f t="array" ref="AI4">IF(FALSE,"True," &amp; IF(_xlfn.XLOOKUP("SrcZone_IsAny",'Scoring_Config'!$A:$A,'Scoring_Config'!$D:$D,"Yes")="Yes",_xlfn.XLOOKUP("SrcZone_IsAny",'Scoring_Config'!$A:$A,'Scoring_Config'!$C:$C,5),0),"False,0")</f>
        <v>0</v>
      </c>
      <c r="AJ4" s="4" cm="1">
        <f t="array" ref="AJ4">IF(FALSE,"True," &amp; IF(_xlfn.XLOOKUP("DstZone_IsAny",'Scoring_Config'!$A:$A,'Scoring_Config'!$D:$D,"Yes")="Yes",_xlfn.XLOOKUP("DstZone_IsAny",'Scoring_Config'!$A:$A,'Scoring_Config'!$C:$C,5),0),"False,0")</f>
        <v>0</v>
      </c>
      <c r="AK4" s="4" cm="1">
        <f t="array" ref="AK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" s="4" cm="1">
        <f t="array" ref="AL4">IF(FALSE,"True," &amp; IF(_xlfn.XLOOKUP("App_Any_OR_RangeGt1000",'Scoring_Config'!$A:$A,'Scoring_Config'!$D:$D,"Yes")="Yes",_xlfn.XLOOKUP("App_Any_OR_RangeGt1000",'Scoring_Config'!$A:$A,'Scoring_Config'!$C:$C,25),0),"False,0")</f>
        <v>0</v>
      </c>
      <c r="AM4" s="5" cm="1">
        <f t="array" ref="AM4">IF(TRUE,"True," &amp; IF(_xlfn.XLOOKUP("Service_Insecure_Match",'Scoring_Config'!$A:$A,'Scoring_Config'!$D:$D,"Yes")="Yes",_xlfn.XLOOKUP("Service_Insecure_Match",'Scoring_Config'!$A:$A,'Scoring_Config'!$C:$C,20),0),"False,0")</f>
        <v>0</v>
      </c>
      <c r="AN4" s="4" cm="1">
        <f t="array" ref="AN4">IF(FALSE,"True," &amp; IF(_xlfn.XLOOKUP("Risky_Inbound",'Scoring_Config'!$A:$A,'Scoring_Config'!$D:$D,"Yes")="Yes",_xlfn.XLOOKUP("Risky_Inbound",'Scoring_Config'!$A:$A,'Scoring_Config'!$C:$C,20),0),"False,0")</f>
        <v>0</v>
      </c>
      <c r="AO4" s="4" cm="1">
        <f t="array" ref="AO4">IF(FALSE,"True," &amp; IF(_xlfn.XLOOKUP("Risky_Outbound",'Scoring_Config'!$A:$A,'Scoring_Config'!$D:$D,"Yes")="Yes",_xlfn.XLOOKUP("Risky_Outbound",'Scoring_Config'!$A:$A,'Scoring_Config'!$C:$C,10),0),"False,0")</f>
        <v>0</v>
      </c>
      <c r="AP4" s="5" t="s">
        <v>2595</v>
      </c>
      <c r="AQ4" s="5" cm="1">
        <f t="array" ref="AQ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" s="4" t="s">
        <v>2592</v>
      </c>
      <c r="AS4" s="4" t="s">
        <v>2592</v>
      </c>
      <c r="AT4" s="5" t="s">
        <v>2595</v>
      </c>
      <c r="AU4" s="4" cm="1">
        <f t="array" ref="AU4">IF(FALSE,"True," &amp; IF(_xlfn.XLOOKUP("Action_IsDenyOrDrop",'Scoring_Config'!$A:$A,'Scoring_Config'!$D:$D,"Yes")="Yes",_xlfn.XLOOKUP("Action_IsDenyOrDrop",'Scoring_Config'!$A:$A,'Scoring_Config'!$C:$C,0),0),"False,0")</f>
        <v>0</v>
      </c>
      <c r="AV4" s="4"/>
      <c r="AW4" s="4" cm="1">
        <f t="array" ref="AW4">IF(FALSE,"True," &amp; IF(_xlfn.XLOOKUP("Migrate_Insecure",'Scoring_Config'!$A:$A,'Scoring_Config'!$D:$D,"Yes")="Yes",_xlfn.XLOOKUP("Migrate_Insecure",'Scoring_Config'!$A:$A,'Scoring_Config'!$C:$C,15),0),"False,0")</f>
        <v>0</v>
      </c>
      <c r="AX4" s="4"/>
      <c r="AY4" s="4" cm="1">
        <f t="array" ref="AY4">IF(FALSE,"True," &amp; IF(_xlfn.XLOOKUP("Migrate_Other_Ports",'Scoring_Config'!$A:$A,'Scoring_Config'!$D:$D,"Yes")="Yes",_xlfn.XLOOKUP("Migrate_Other_Ports",'Scoring_Config'!$A:$A,'Scoring_Config'!$C:$C,5),0),"False,0")</f>
        <v>0</v>
      </c>
      <c r="AZ4" s="4" cm="1">
        <f t="array" ref="AZ4">IF(LEFT(AU4,4)="True",0,(IF(LEFT(AC4,4)="True",IF(_xlfn.XLOOKUP("Src_IsAny",'Scoring_Config'!$A:$A,'Scoring_Config'!$D:$D,"Yes")="Yes",_xlfn.XLOOKUP("Src_IsAny",'Scoring_Config'!$A:$A,'Scoring_Config'!$C:$C,25),0),0)+IF(LEFT(AD4,4)="True",IF(_xlfn.XLOOKUP("Src_CIDR_Le_16",'Scoring_Config'!$A:$A,'Scoring_Config'!$D:$D,"Yes")="Yes",_xlfn.XLOOKUP("Src_CIDR_Le_16",'Scoring_Config'!$A:$A,'Scoring_Config'!$C:$C,25),0),0)+IF(LEFT(AE4,4)="True",IF(_xlfn.XLOOKUP("Src_CIDR_17_22",'Scoring_Config'!$A:$A,'Scoring_Config'!$D:$D,"Yes")="Yes",_xlfn.XLOOKUP("Src_CIDR_17_22",'Scoring_Config'!$A:$A,'Scoring_Config'!$C:$C,15),0),0)+IF(LEFT(AF4,4)="True",IF(_xlfn.XLOOKUP("Dst_IsAny",'Scoring_Config'!$A:$A,'Scoring_Config'!$D:$D,"Yes")="Yes",_xlfn.XLOOKUP("Dst_IsAny",'Scoring_Config'!$A:$A,'Scoring_Config'!$C:$C,25),0),0)+IF(LEFT(AG4,4)="True",IF(_xlfn.XLOOKUP("Dst_CIDR_Le_16",'Scoring_Config'!$A:$A,'Scoring_Config'!$D:$D,"Yes")="Yes",_xlfn.XLOOKUP("Dst_CIDR_Le_16",'Scoring_Config'!$A:$A,'Scoring_Config'!$C:$C,25),0),0)+IF(LEFT(AH4,4)="True",IF(_xlfn.XLOOKUP("Dst_CIDR_17_22",'Scoring_Config'!$A:$A,'Scoring_Config'!$D:$D,"Yes")="Yes",_xlfn.XLOOKUP("Dst_CIDR_17_22",'Scoring_Config'!$A:$A,'Scoring_Config'!$C:$C,15),0),0)+IF(LEFT(AI4,4)="True",IF(_xlfn.XLOOKUP("SrcZone_IsAny",'Scoring_Config'!$A:$A,'Scoring_Config'!$D:$D,"Yes")="Yes",_xlfn.XLOOKUP("SrcZone_IsAny",'Scoring_Config'!$A:$A,'Scoring_Config'!$C:$C,5),0),0)+IF(LEFT(AJ4,4)="True",IF(_xlfn.XLOOKUP("DstZone_IsAny",'Scoring_Config'!$A:$A,'Scoring_Config'!$D:$D,"Yes")="Yes",_xlfn.XLOOKUP("DstZone_IsAny",'Scoring_Config'!$A:$A,'Scoring_Config'!$C:$C,5),0),0)+IF(LEFT(AK4,4)="True",IF(_xlfn.XLOOKUP("Service_Any_OR_RangeGt1000",'Scoring_Config'!$A:$A,'Scoring_Config'!$D:$D,"Yes")="Yes",_xlfn.XLOOKUP("Service_Any_OR_RangeGt1000",'Scoring_Config'!$A:$A,'Scoring_Config'!$C:$C,25),0),0)+IF(LEFT(AL4,4)="True",IF(_xlfn.XLOOKUP("App_Any_OR_RangeGt1000",'Scoring_Config'!$A:$A,'Scoring_Config'!$D:$D,"Yes")="Yes",_xlfn.XLOOKUP("App_Any_OR_RangeGt1000",'Scoring_Config'!$A:$A,'Scoring_Config'!$C:$C,25),0),0)+IF(LEFT(AM4,4)="True",IF(_xlfn.XLOOKUP("Service_Insecure_Match",'Scoring_Config'!$A:$A,'Scoring_Config'!$D:$D,"Yes")="Yes",_xlfn.XLOOKUP("Service_Insecure_Match",'Scoring_Config'!$A:$A,'Scoring_Config'!$C:$C,20),0),0)+IF(LEFT(AN4,4)="True",IF(_xlfn.XLOOKUP("Risky_Inbound",'Scoring_Config'!$A:$A,'Scoring_Config'!$D:$D,"Yes")="Yes",_xlfn.XLOOKUP("Risky_Inbound",'Scoring_Config'!$A:$A,'Scoring_Config'!$C:$C,20),0),0)+IF(LEFT(AO4,4)="True",IF(_xlfn.XLOOKUP("Risky_Outbound",'Scoring_Config'!$A:$A,'Scoring_Config'!$D:$D,"Yes")="Yes",_xlfn.XLOOKUP("Risky_Outbound",'Scoring_Config'!$A:$A,'Scoring_Config'!$C:$C,10),0),0)+IF(LEFT(AW4,4)="True",IF(_xlfn.XLOOKUP("Migrate_Insecure",'Scoring_Config'!$A:$A,'Scoring_Config'!$D:$D,"Yes")="Yes",_xlfn.XLOOKUP("Migrate_Insecure",'Scoring_Config'!$A:$A,'Scoring_Config'!$C:$C,15),0),0)+IF(LEFT(AY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,FIND(",",AP4)+1,100)),0)+IF(LEFT(AQ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,FIND(",",AR4)+1,100)),0)+IF(_xlfn.XLOOKUP("Profile_Scoring",'Scoring_Config'!$A:$A,'Scoring_Config'!$D:$D,"Yes")="Yes",VALUE(MID(AS4,FIND(",",AS4)+1,100)),0)+IF(_xlfn.XLOOKUP("Options_Scoring",'Scoring_Config'!$A:$A,'Scoring_Config'!$D:$D,"Yes")="Yes",VALUE(MID(AT4,FIND(",",AT4)+1,100)),0)))</f>
        <v>0</v>
      </c>
    </row>
    <row r="5" spans="1:52">
      <c r="A5" s="3" t="s">
        <v>52</v>
      </c>
      <c r="B5" s="3" t="s">
        <v>59</v>
      </c>
      <c r="C5" s="3" t="s">
        <v>329</v>
      </c>
      <c r="D5" s="3"/>
      <c r="E5" s="3" t="s">
        <v>359</v>
      </c>
      <c r="F5" s="3" t="s">
        <v>363</v>
      </c>
      <c r="G5" s="3" t="s">
        <v>368</v>
      </c>
      <c r="H5" s="3" t="s">
        <v>368</v>
      </c>
      <c r="I5" s="3" t="s">
        <v>622</v>
      </c>
      <c r="J5" s="3" t="s">
        <v>363</v>
      </c>
      <c r="K5" s="3" t="s">
        <v>365</v>
      </c>
      <c r="L5" s="3" t="s">
        <v>365</v>
      </c>
      <c r="M5" s="3" t="s">
        <v>770</v>
      </c>
      <c r="N5" s="3" t="s">
        <v>770</v>
      </c>
      <c r="O5" s="4" t="s">
        <v>804</v>
      </c>
      <c r="P5" s="3" t="s">
        <v>865</v>
      </c>
      <c r="Q5" s="3" t="s">
        <v>905</v>
      </c>
      <c r="R5" s="3" t="s">
        <v>908</v>
      </c>
      <c r="S5" s="3" t="s">
        <v>913</v>
      </c>
      <c r="T5" s="3" t="s">
        <v>920</v>
      </c>
      <c r="U5" s="3" t="s">
        <v>1146</v>
      </c>
      <c r="V5" s="3" t="s">
        <v>1387</v>
      </c>
      <c r="W5" s="3" t="s">
        <v>1393</v>
      </c>
      <c r="X5" s="3" t="s">
        <v>1609</v>
      </c>
      <c r="Y5" s="3" t="s">
        <v>2078</v>
      </c>
      <c r="Z5" s="3"/>
      <c r="AA5" s="3"/>
      <c r="AB5" s="3"/>
      <c r="AC5" s="4" cm="1">
        <f t="array" ref="AC5">IF(FALSE,"True," &amp; IF(_xlfn.XLOOKUP("Src_IsAny",'Scoring_Config'!$A:$A,'Scoring_Config'!$D:$D,"Yes")="Yes",_xlfn.XLOOKUP("Src_IsAny",'Scoring_Config'!$A:$A,'Scoring_Config'!$C:$C,25),0),"False,0")</f>
        <v>0</v>
      </c>
      <c r="AD5" s="4" cm="1">
        <f t="array" ref="AD5">IF(FALSE,"True," &amp; IF(_xlfn.XLOOKUP("Src_CIDR_Le_16",'Scoring_Config'!$A:$A,'Scoring_Config'!$D:$D,"Yes")="Yes",_xlfn.XLOOKUP("Src_CIDR_Le_16",'Scoring_Config'!$A:$A,'Scoring_Config'!$C:$C,25),0),"False,0")</f>
        <v>0</v>
      </c>
      <c r="AE5" s="4" cm="1">
        <f t="array" ref="AE5">IF(FALSE,"True," &amp; IF(_xlfn.XLOOKUP("Src_CIDR_17_22",'Scoring_Config'!$A:$A,'Scoring_Config'!$D:$D,"Yes")="Yes",_xlfn.XLOOKUP("Src_CIDR_17_22",'Scoring_Config'!$A:$A,'Scoring_Config'!$C:$C,15),0),"False,0")</f>
        <v>0</v>
      </c>
      <c r="AF5" s="5" cm="1">
        <f t="array" ref="AF5">IF(TRUE,"True," &amp; IF(_xlfn.XLOOKUP("Dst_IsAny",'Scoring_Config'!$A:$A,'Scoring_Config'!$D:$D,"Yes")="Yes",_xlfn.XLOOKUP("Dst_IsAny",'Scoring_Config'!$A:$A,'Scoring_Config'!$C:$C,25),0),"False,0")</f>
        <v>0</v>
      </c>
      <c r="AG5" s="4" cm="1">
        <f t="array" ref="AG5">IF(FALSE,"True," &amp; IF(_xlfn.XLOOKUP("Dst_CIDR_Le_16",'Scoring_Config'!$A:$A,'Scoring_Config'!$D:$D,"Yes")="Yes",_xlfn.XLOOKUP("Dst_CIDR_Le_16",'Scoring_Config'!$A:$A,'Scoring_Config'!$C:$C,25),0),"False,0")</f>
        <v>0</v>
      </c>
      <c r="AH5" s="4" cm="1">
        <f t="array" ref="AH5">IF(FALSE,"True," &amp; IF(_xlfn.XLOOKUP("Dst_CIDR_17_22",'Scoring_Config'!$A:$A,'Scoring_Config'!$D:$D,"Yes")="Yes",_xlfn.XLOOKUP("Dst_CIDR_17_22",'Scoring_Config'!$A:$A,'Scoring_Config'!$C:$C,15),0),"False,0")</f>
        <v>0</v>
      </c>
      <c r="AI5" s="4" cm="1">
        <f t="array" ref="AI5">IF(FALSE,"True," &amp; IF(_xlfn.XLOOKUP("SrcZone_IsAny",'Scoring_Config'!$A:$A,'Scoring_Config'!$D:$D,"Yes")="Yes",_xlfn.XLOOKUP("SrcZone_IsAny",'Scoring_Config'!$A:$A,'Scoring_Config'!$C:$C,5),0),"False,0")</f>
        <v>0</v>
      </c>
      <c r="AJ5" s="4" cm="1">
        <f t="array" ref="AJ5">IF(FALSE,"True," &amp; IF(_xlfn.XLOOKUP("DstZone_IsAny",'Scoring_Config'!$A:$A,'Scoring_Config'!$D:$D,"Yes")="Yes",_xlfn.XLOOKUP("DstZone_IsAny",'Scoring_Config'!$A:$A,'Scoring_Config'!$C:$C,5),0),"False,0")</f>
        <v>0</v>
      </c>
      <c r="AK5" s="4" cm="1">
        <f t="array" ref="AK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" s="4" cm="1">
        <f t="array" ref="AL5">IF(FALSE,"True," &amp; IF(_xlfn.XLOOKUP("App_Any_OR_RangeGt1000",'Scoring_Config'!$A:$A,'Scoring_Config'!$D:$D,"Yes")="Yes",_xlfn.XLOOKUP("App_Any_OR_RangeGt1000",'Scoring_Config'!$A:$A,'Scoring_Config'!$C:$C,25),0),"False,0")</f>
        <v>0</v>
      </c>
      <c r="AM5" s="5" cm="1">
        <f t="array" ref="AM5">IF(TRUE,"True," &amp; IF(_xlfn.XLOOKUP("Service_Insecure_Match",'Scoring_Config'!$A:$A,'Scoring_Config'!$D:$D,"Yes")="Yes",_xlfn.XLOOKUP("Service_Insecure_Match",'Scoring_Config'!$A:$A,'Scoring_Config'!$C:$C,20),0),"False,0")</f>
        <v>0</v>
      </c>
      <c r="AN5" s="4" cm="1">
        <f t="array" ref="AN5">IF(FALSE,"True," &amp; IF(_xlfn.XLOOKUP("Risky_Inbound",'Scoring_Config'!$A:$A,'Scoring_Config'!$D:$D,"Yes")="Yes",_xlfn.XLOOKUP("Risky_Inbound",'Scoring_Config'!$A:$A,'Scoring_Config'!$C:$C,20),0),"False,0")</f>
        <v>0</v>
      </c>
      <c r="AO5" s="4" cm="1">
        <f t="array" ref="AO5">IF(FALSE,"True," &amp; IF(_xlfn.XLOOKUP("Risky_Outbound",'Scoring_Config'!$A:$A,'Scoring_Config'!$D:$D,"Yes")="Yes",_xlfn.XLOOKUP("Risky_Outbound",'Scoring_Config'!$A:$A,'Scoring_Config'!$C:$C,10),0),"False,0")</f>
        <v>0</v>
      </c>
      <c r="AP5" s="5" t="s">
        <v>2595</v>
      </c>
      <c r="AQ5" s="4" cm="1">
        <f t="array" ref="AQ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" s="5" t="s">
        <v>2598</v>
      </c>
      <c r="AS5" s="4" t="s">
        <v>2592</v>
      </c>
      <c r="AT5" s="4" t="s">
        <v>2592</v>
      </c>
      <c r="AU5" s="4" cm="1">
        <f t="array" ref="AU5">IF(FALSE,"True," &amp; IF(_xlfn.XLOOKUP("Action_IsDenyOrDrop",'Scoring_Config'!$A:$A,'Scoring_Config'!$D:$D,"Yes")="Yes",_xlfn.XLOOKUP("Action_IsDenyOrDrop",'Scoring_Config'!$A:$A,'Scoring_Config'!$C:$C,0),0),"False,0")</f>
        <v>0</v>
      </c>
      <c r="AV5" s="4"/>
      <c r="AW5" s="4" cm="1">
        <f t="array" ref="AW5">IF(FALSE,"True," &amp; IF(_xlfn.XLOOKUP("Migrate_Insecure",'Scoring_Config'!$A:$A,'Scoring_Config'!$D:$D,"Yes")="Yes",_xlfn.XLOOKUP("Migrate_Insecure",'Scoring_Config'!$A:$A,'Scoring_Config'!$C:$C,15),0),"False,0")</f>
        <v>0</v>
      </c>
      <c r="AX5" s="4"/>
      <c r="AY5" s="4" cm="1">
        <f t="array" ref="AY5">IF(FALSE,"True," &amp; IF(_xlfn.XLOOKUP("Migrate_Other_Ports",'Scoring_Config'!$A:$A,'Scoring_Config'!$D:$D,"Yes")="Yes",_xlfn.XLOOKUP("Migrate_Other_Ports",'Scoring_Config'!$A:$A,'Scoring_Config'!$C:$C,5),0),"False,0")</f>
        <v>0</v>
      </c>
      <c r="AZ5" s="4" cm="1">
        <f t="array" ref="AZ5">IF(LEFT(AU5,4)="True",0,(IF(LEFT(AC5,4)="True",IF(_xlfn.XLOOKUP("Src_IsAny",'Scoring_Config'!$A:$A,'Scoring_Config'!$D:$D,"Yes")="Yes",_xlfn.XLOOKUP("Src_IsAny",'Scoring_Config'!$A:$A,'Scoring_Config'!$C:$C,25),0),0)+IF(LEFT(AD5,4)="True",IF(_xlfn.XLOOKUP("Src_CIDR_Le_16",'Scoring_Config'!$A:$A,'Scoring_Config'!$D:$D,"Yes")="Yes",_xlfn.XLOOKUP("Src_CIDR_Le_16",'Scoring_Config'!$A:$A,'Scoring_Config'!$C:$C,25),0),0)+IF(LEFT(AE5,4)="True",IF(_xlfn.XLOOKUP("Src_CIDR_17_22",'Scoring_Config'!$A:$A,'Scoring_Config'!$D:$D,"Yes")="Yes",_xlfn.XLOOKUP("Src_CIDR_17_22",'Scoring_Config'!$A:$A,'Scoring_Config'!$C:$C,15),0),0)+IF(LEFT(AF5,4)="True",IF(_xlfn.XLOOKUP("Dst_IsAny",'Scoring_Config'!$A:$A,'Scoring_Config'!$D:$D,"Yes")="Yes",_xlfn.XLOOKUP("Dst_IsAny",'Scoring_Config'!$A:$A,'Scoring_Config'!$C:$C,25),0),0)+IF(LEFT(AG5,4)="True",IF(_xlfn.XLOOKUP("Dst_CIDR_Le_16",'Scoring_Config'!$A:$A,'Scoring_Config'!$D:$D,"Yes")="Yes",_xlfn.XLOOKUP("Dst_CIDR_Le_16",'Scoring_Config'!$A:$A,'Scoring_Config'!$C:$C,25),0),0)+IF(LEFT(AH5,4)="True",IF(_xlfn.XLOOKUP("Dst_CIDR_17_22",'Scoring_Config'!$A:$A,'Scoring_Config'!$D:$D,"Yes")="Yes",_xlfn.XLOOKUP("Dst_CIDR_17_22",'Scoring_Config'!$A:$A,'Scoring_Config'!$C:$C,15),0),0)+IF(LEFT(AI5,4)="True",IF(_xlfn.XLOOKUP("SrcZone_IsAny",'Scoring_Config'!$A:$A,'Scoring_Config'!$D:$D,"Yes")="Yes",_xlfn.XLOOKUP("SrcZone_IsAny",'Scoring_Config'!$A:$A,'Scoring_Config'!$C:$C,5),0),0)+IF(LEFT(AJ5,4)="True",IF(_xlfn.XLOOKUP("DstZone_IsAny",'Scoring_Config'!$A:$A,'Scoring_Config'!$D:$D,"Yes")="Yes",_xlfn.XLOOKUP("DstZone_IsAny",'Scoring_Config'!$A:$A,'Scoring_Config'!$C:$C,5),0),0)+IF(LEFT(AK5,4)="True",IF(_xlfn.XLOOKUP("Service_Any_OR_RangeGt1000",'Scoring_Config'!$A:$A,'Scoring_Config'!$D:$D,"Yes")="Yes",_xlfn.XLOOKUP("Service_Any_OR_RangeGt1000",'Scoring_Config'!$A:$A,'Scoring_Config'!$C:$C,25),0),0)+IF(LEFT(AL5,4)="True",IF(_xlfn.XLOOKUP("App_Any_OR_RangeGt1000",'Scoring_Config'!$A:$A,'Scoring_Config'!$D:$D,"Yes")="Yes",_xlfn.XLOOKUP("App_Any_OR_RangeGt1000",'Scoring_Config'!$A:$A,'Scoring_Config'!$C:$C,25),0),0)+IF(LEFT(AM5,4)="True",IF(_xlfn.XLOOKUP("Service_Insecure_Match",'Scoring_Config'!$A:$A,'Scoring_Config'!$D:$D,"Yes")="Yes",_xlfn.XLOOKUP("Service_Insecure_Match",'Scoring_Config'!$A:$A,'Scoring_Config'!$C:$C,20),0),0)+IF(LEFT(AN5,4)="True",IF(_xlfn.XLOOKUP("Risky_Inbound",'Scoring_Config'!$A:$A,'Scoring_Config'!$D:$D,"Yes")="Yes",_xlfn.XLOOKUP("Risky_Inbound",'Scoring_Config'!$A:$A,'Scoring_Config'!$C:$C,20),0),0)+IF(LEFT(AO5,4)="True",IF(_xlfn.XLOOKUP("Risky_Outbound",'Scoring_Config'!$A:$A,'Scoring_Config'!$D:$D,"Yes")="Yes",_xlfn.XLOOKUP("Risky_Outbound",'Scoring_Config'!$A:$A,'Scoring_Config'!$C:$C,10),0),0)+IF(LEFT(AW5,4)="True",IF(_xlfn.XLOOKUP("Migrate_Insecure",'Scoring_Config'!$A:$A,'Scoring_Config'!$D:$D,"Yes")="Yes",_xlfn.XLOOKUP("Migrate_Insecure",'Scoring_Config'!$A:$A,'Scoring_Config'!$C:$C,15),0),0)+IF(LEFT(AY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,FIND(",",AP5)+1,100)),0)+IF(LEFT(AQ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,FIND(",",AR5)+1,100)),0)+IF(_xlfn.XLOOKUP("Profile_Scoring",'Scoring_Config'!$A:$A,'Scoring_Config'!$D:$D,"Yes")="Yes",VALUE(MID(AS5,FIND(",",AS5)+1,100)),0)+IF(_xlfn.XLOOKUP("Options_Scoring",'Scoring_Config'!$A:$A,'Scoring_Config'!$D:$D,"Yes")="Yes",VALUE(MID(AT5,FIND(",",AT5)+1,100)),0)))</f>
        <v>0</v>
      </c>
    </row>
    <row r="6" spans="1:52">
      <c r="A6" s="3" t="s">
        <v>52</v>
      </c>
      <c r="B6" s="3" t="s">
        <v>60</v>
      </c>
      <c r="C6" s="3" t="s">
        <v>329</v>
      </c>
      <c r="D6" s="3"/>
      <c r="E6" s="3" t="s">
        <v>359</v>
      </c>
      <c r="F6" s="3" t="s">
        <v>361</v>
      </c>
      <c r="G6" s="3" t="s">
        <v>365</v>
      </c>
      <c r="H6" s="3" t="s">
        <v>365</v>
      </c>
      <c r="I6" s="3" t="s">
        <v>623</v>
      </c>
      <c r="J6" s="3" t="s">
        <v>360</v>
      </c>
      <c r="K6" s="3" t="s">
        <v>384</v>
      </c>
      <c r="L6" s="3" t="s">
        <v>384</v>
      </c>
      <c r="M6" s="3" t="s">
        <v>769</v>
      </c>
      <c r="N6" s="3" t="s">
        <v>792</v>
      </c>
      <c r="O6" s="4" t="s">
        <v>805</v>
      </c>
      <c r="P6" s="3" t="s">
        <v>866</v>
      </c>
      <c r="Q6" s="3" t="s">
        <v>905</v>
      </c>
      <c r="R6" s="3" t="s">
        <v>909</v>
      </c>
      <c r="S6" s="3" t="s">
        <v>914</v>
      </c>
      <c r="T6" s="3" t="s">
        <v>919</v>
      </c>
      <c r="U6" s="3" t="s">
        <v>1147</v>
      </c>
      <c r="V6" s="3" t="s">
        <v>772</v>
      </c>
      <c r="W6" s="3" t="s">
        <v>1394</v>
      </c>
      <c r="X6" s="3" t="s">
        <v>1610</v>
      </c>
      <c r="Y6" s="3" t="s">
        <v>2079</v>
      </c>
      <c r="Z6" s="3"/>
      <c r="AA6" s="3"/>
      <c r="AB6" s="3"/>
      <c r="AC6" s="5" cm="1">
        <f t="array" ref="AC6">IF(TRUE,"True," &amp; IF(_xlfn.XLOOKUP("Src_IsAny",'Scoring_Config'!$A:$A,'Scoring_Config'!$D:$D,"Yes")="Yes",_xlfn.XLOOKUP("Src_IsAny",'Scoring_Config'!$A:$A,'Scoring_Config'!$C:$C,25),0),"False,0")</f>
        <v>0</v>
      </c>
      <c r="AD6" s="4" cm="1">
        <f t="array" ref="AD6">IF(FALSE,"True," &amp; IF(_xlfn.XLOOKUP("Src_CIDR_Le_16",'Scoring_Config'!$A:$A,'Scoring_Config'!$D:$D,"Yes")="Yes",_xlfn.XLOOKUP("Src_CIDR_Le_16",'Scoring_Config'!$A:$A,'Scoring_Config'!$C:$C,25),0),"False,0")</f>
        <v>0</v>
      </c>
      <c r="AE6" s="4" cm="1">
        <f t="array" ref="AE6">IF(FALSE,"True," &amp; IF(_xlfn.XLOOKUP("Src_CIDR_17_22",'Scoring_Config'!$A:$A,'Scoring_Config'!$D:$D,"Yes")="Yes",_xlfn.XLOOKUP("Src_CIDR_17_22",'Scoring_Config'!$A:$A,'Scoring_Config'!$C:$C,15),0),"False,0")</f>
        <v>0</v>
      </c>
      <c r="AF6" s="4" cm="1">
        <f t="array" ref="AF6">IF(FALSE,"True," &amp; IF(_xlfn.XLOOKUP("Dst_IsAny",'Scoring_Config'!$A:$A,'Scoring_Config'!$D:$D,"Yes")="Yes",_xlfn.XLOOKUP("Dst_IsAny",'Scoring_Config'!$A:$A,'Scoring_Config'!$C:$C,25),0),"False,0")</f>
        <v>0</v>
      </c>
      <c r="AG6" s="4" cm="1">
        <f t="array" ref="AG6">IF(FALSE,"True," &amp; IF(_xlfn.XLOOKUP("Dst_CIDR_Le_16",'Scoring_Config'!$A:$A,'Scoring_Config'!$D:$D,"Yes")="Yes",_xlfn.XLOOKUP("Dst_CIDR_Le_16",'Scoring_Config'!$A:$A,'Scoring_Config'!$C:$C,25),0),"False,0")</f>
        <v>0</v>
      </c>
      <c r="AH6" s="4" cm="1">
        <f t="array" ref="AH6">IF(FALSE,"True," &amp; IF(_xlfn.XLOOKUP("Dst_CIDR_17_22",'Scoring_Config'!$A:$A,'Scoring_Config'!$D:$D,"Yes")="Yes",_xlfn.XLOOKUP("Dst_CIDR_17_22",'Scoring_Config'!$A:$A,'Scoring_Config'!$C:$C,15),0),"False,0")</f>
        <v>0</v>
      </c>
      <c r="AI6" s="4" cm="1">
        <f t="array" ref="AI6">IF(FALSE,"True," &amp; IF(_xlfn.XLOOKUP("SrcZone_IsAny",'Scoring_Config'!$A:$A,'Scoring_Config'!$D:$D,"Yes")="Yes",_xlfn.XLOOKUP("SrcZone_IsAny",'Scoring_Config'!$A:$A,'Scoring_Config'!$C:$C,5),0),"False,0")</f>
        <v>0</v>
      </c>
      <c r="AJ6" s="4" cm="1">
        <f t="array" ref="AJ6">IF(FALSE,"True," &amp; IF(_xlfn.XLOOKUP("DstZone_IsAny",'Scoring_Config'!$A:$A,'Scoring_Config'!$D:$D,"Yes")="Yes",_xlfn.XLOOKUP("DstZone_IsAny",'Scoring_Config'!$A:$A,'Scoring_Config'!$C:$C,5),0),"False,0")</f>
        <v>0</v>
      </c>
      <c r="AK6" s="4" cm="1">
        <f t="array" ref="AK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" s="4" cm="1">
        <f t="array" ref="AL6">IF(FALSE,"True," &amp; IF(_xlfn.XLOOKUP("App_Any_OR_RangeGt1000",'Scoring_Config'!$A:$A,'Scoring_Config'!$D:$D,"Yes")="Yes",_xlfn.XLOOKUP("App_Any_OR_RangeGt1000",'Scoring_Config'!$A:$A,'Scoring_Config'!$C:$C,25),0),"False,0")</f>
        <v>0</v>
      </c>
      <c r="AM6" s="5" cm="1">
        <f t="array" ref="AM6">IF(TRUE,"True," &amp; IF(_xlfn.XLOOKUP("Service_Insecure_Match",'Scoring_Config'!$A:$A,'Scoring_Config'!$D:$D,"Yes")="Yes",_xlfn.XLOOKUP("Service_Insecure_Match",'Scoring_Config'!$A:$A,'Scoring_Config'!$C:$C,20),0),"False,0")</f>
        <v>0</v>
      </c>
      <c r="AN6" s="4" cm="1">
        <f t="array" ref="AN6">IF(FALSE,"True," &amp; IF(_xlfn.XLOOKUP("Risky_Inbound",'Scoring_Config'!$A:$A,'Scoring_Config'!$D:$D,"Yes")="Yes",_xlfn.XLOOKUP("Risky_Inbound",'Scoring_Config'!$A:$A,'Scoring_Config'!$C:$C,20),0),"False,0")</f>
        <v>0</v>
      </c>
      <c r="AO6" s="4" cm="1">
        <f t="array" ref="AO6">IF(FALSE,"True," &amp; IF(_xlfn.XLOOKUP("Risky_Outbound",'Scoring_Config'!$A:$A,'Scoring_Config'!$D:$D,"Yes")="Yes",_xlfn.XLOOKUP("Risky_Outbound",'Scoring_Config'!$A:$A,'Scoring_Config'!$C:$C,10),0),"False,0")</f>
        <v>0</v>
      </c>
      <c r="AP6" s="5" t="s">
        <v>2595</v>
      </c>
      <c r="AQ6" s="5" cm="1">
        <f t="array" ref="AQ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" s="5" t="s">
        <v>2598</v>
      </c>
      <c r="AS6" s="4" t="s">
        <v>2592</v>
      </c>
      <c r="AT6" s="4" t="s">
        <v>2592</v>
      </c>
      <c r="AU6" s="4" cm="1">
        <f t="array" ref="AU6">IF(FALSE,"True," &amp; IF(_xlfn.XLOOKUP("Action_IsDenyOrDrop",'Scoring_Config'!$A:$A,'Scoring_Config'!$D:$D,"Yes")="Yes",_xlfn.XLOOKUP("Action_IsDenyOrDrop",'Scoring_Config'!$A:$A,'Scoring_Config'!$C:$C,0),0),"False,0")</f>
        <v>0</v>
      </c>
      <c r="AV6" s="4"/>
      <c r="AW6" s="4" cm="1">
        <f t="array" ref="AW6">IF(FALSE,"True," &amp; IF(_xlfn.XLOOKUP("Migrate_Insecure",'Scoring_Config'!$A:$A,'Scoring_Config'!$D:$D,"Yes")="Yes",_xlfn.XLOOKUP("Migrate_Insecure",'Scoring_Config'!$A:$A,'Scoring_Config'!$C:$C,15),0),"False,0")</f>
        <v>0</v>
      </c>
      <c r="AX6" s="4"/>
      <c r="AY6" s="4" cm="1">
        <f t="array" ref="AY6">IF(FALSE,"True," &amp; IF(_xlfn.XLOOKUP("Migrate_Other_Ports",'Scoring_Config'!$A:$A,'Scoring_Config'!$D:$D,"Yes")="Yes",_xlfn.XLOOKUP("Migrate_Other_Ports",'Scoring_Config'!$A:$A,'Scoring_Config'!$C:$C,5),0),"False,0")</f>
        <v>0</v>
      </c>
      <c r="AZ6" s="4" cm="1">
        <f t="array" ref="AZ6">IF(LEFT(AU6,4)="True",0,(IF(LEFT(AC6,4)="True",IF(_xlfn.XLOOKUP("Src_IsAny",'Scoring_Config'!$A:$A,'Scoring_Config'!$D:$D,"Yes")="Yes",_xlfn.XLOOKUP("Src_IsAny",'Scoring_Config'!$A:$A,'Scoring_Config'!$C:$C,25),0),0)+IF(LEFT(AD6,4)="True",IF(_xlfn.XLOOKUP("Src_CIDR_Le_16",'Scoring_Config'!$A:$A,'Scoring_Config'!$D:$D,"Yes")="Yes",_xlfn.XLOOKUP("Src_CIDR_Le_16",'Scoring_Config'!$A:$A,'Scoring_Config'!$C:$C,25),0),0)+IF(LEFT(AE6,4)="True",IF(_xlfn.XLOOKUP("Src_CIDR_17_22",'Scoring_Config'!$A:$A,'Scoring_Config'!$D:$D,"Yes")="Yes",_xlfn.XLOOKUP("Src_CIDR_17_22",'Scoring_Config'!$A:$A,'Scoring_Config'!$C:$C,15),0),0)+IF(LEFT(AF6,4)="True",IF(_xlfn.XLOOKUP("Dst_IsAny",'Scoring_Config'!$A:$A,'Scoring_Config'!$D:$D,"Yes")="Yes",_xlfn.XLOOKUP("Dst_IsAny",'Scoring_Config'!$A:$A,'Scoring_Config'!$C:$C,25),0),0)+IF(LEFT(AG6,4)="True",IF(_xlfn.XLOOKUP("Dst_CIDR_Le_16",'Scoring_Config'!$A:$A,'Scoring_Config'!$D:$D,"Yes")="Yes",_xlfn.XLOOKUP("Dst_CIDR_Le_16",'Scoring_Config'!$A:$A,'Scoring_Config'!$C:$C,25),0),0)+IF(LEFT(AH6,4)="True",IF(_xlfn.XLOOKUP("Dst_CIDR_17_22",'Scoring_Config'!$A:$A,'Scoring_Config'!$D:$D,"Yes")="Yes",_xlfn.XLOOKUP("Dst_CIDR_17_22",'Scoring_Config'!$A:$A,'Scoring_Config'!$C:$C,15),0),0)+IF(LEFT(AI6,4)="True",IF(_xlfn.XLOOKUP("SrcZone_IsAny",'Scoring_Config'!$A:$A,'Scoring_Config'!$D:$D,"Yes")="Yes",_xlfn.XLOOKUP("SrcZone_IsAny",'Scoring_Config'!$A:$A,'Scoring_Config'!$C:$C,5),0),0)+IF(LEFT(AJ6,4)="True",IF(_xlfn.XLOOKUP("DstZone_IsAny",'Scoring_Config'!$A:$A,'Scoring_Config'!$D:$D,"Yes")="Yes",_xlfn.XLOOKUP("DstZone_IsAny",'Scoring_Config'!$A:$A,'Scoring_Config'!$C:$C,5),0),0)+IF(LEFT(AK6,4)="True",IF(_xlfn.XLOOKUP("Service_Any_OR_RangeGt1000",'Scoring_Config'!$A:$A,'Scoring_Config'!$D:$D,"Yes")="Yes",_xlfn.XLOOKUP("Service_Any_OR_RangeGt1000",'Scoring_Config'!$A:$A,'Scoring_Config'!$C:$C,25),0),0)+IF(LEFT(AL6,4)="True",IF(_xlfn.XLOOKUP("App_Any_OR_RangeGt1000",'Scoring_Config'!$A:$A,'Scoring_Config'!$D:$D,"Yes")="Yes",_xlfn.XLOOKUP("App_Any_OR_RangeGt1000",'Scoring_Config'!$A:$A,'Scoring_Config'!$C:$C,25),0),0)+IF(LEFT(AM6,4)="True",IF(_xlfn.XLOOKUP("Service_Insecure_Match",'Scoring_Config'!$A:$A,'Scoring_Config'!$D:$D,"Yes")="Yes",_xlfn.XLOOKUP("Service_Insecure_Match",'Scoring_Config'!$A:$A,'Scoring_Config'!$C:$C,20),0),0)+IF(LEFT(AN6,4)="True",IF(_xlfn.XLOOKUP("Risky_Inbound",'Scoring_Config'!$A:$A,'Scoring_Config'!$D:$D,"Yes")="Yes",_xlfn.XLOOKUP("Risky_Inbound",'Scoring_Config'!$A:$A,'Scoring_Config'!$C:$C,20),0),0)+IF(LEFT(AO6,4)="True",IF(_xlfn.XLOOKUP("Risky_Outbound",'Scoring_Config'!$A:$A,'Scoring_Config'!$D:$D,"Yes")="Yes",_xlfn.XLOOKUP("Risky_Outbound",'Scoring_Config'!$A:$A,'Scoring_Config'!$C:$C,10),0),0)+IF(LEFT(AW6,4)="True",IF(_xlfn.XLOOKUP("Migrate_Insecure",'Scoring_Config'!$A:$A,'Scoring_Config'!$D:$D,"Yes")="Yes",_xlfn.XLOOKUP("Migrate_Insecure",'Scoring_Config'!$A:$A,'Scoring_Config'!$C:$C,15),0),0)+IF(LEFT(AY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,FIND(",",AP6)+1,100)),0)+IF(LEFT(AQ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,FIND(",",AR6)+1,100)),0)+IF(_xlfn.XLOOKUP("Profile_Scoring",'Scoring_Config'!$A:$A,'Scoring_Config'!$D:$D,"Yes")="Yes",VALUE(MID(AS6,FIND(",",AS6)+1,100)),0)+IF(_xlfn.XLOOKUP("Options_Scoring",'Scoring_Config'!$A:$A,'Scoring_Config'!$D:$D,"Yes")="Yes",VALUE(MID(AT6,FIND(",",AT6)+1,100)),0)))</f>
        <v>0</v>
      </c>
    </row>
    <row r="7" spans="1:52">
      <c r="A7" s="3" t="s">
        <v>52</v>
      </c>
      <c r="B7" s="3" t="s">
        <v>61</v>
      </c>
      <c r="C7" s="3" t="s">
        <v>329</v>
      </c>
      <c r="D7" s="3"/>
      <c r="E7" s="3" t="s">
        <v>359</v>
      </c>
      <c r="F7" s="3" t="s">
        <v>360</v>
      </c>
      <c r="G7" s="3" t="s">
        <v>369</v>
      </c>
      <c r="H7" s="3" t="s">
        <v>540</v>
      </c>
      <c r="I7" s="3" t="s">
        <v>365</v>
      </c>
      <c r="J7" s="3" t="s">
        <v>360</v>
      </c>
      <c r="K7" s="3" t="s">
        <v>402</v>
      </c>
      <c r="L7" s="3" t="s">
        <v>402</v>
      </c>
      <c r="M7" s="3" t="s">
        <v>771</v>
      </c>
      <c r="N7" s="3" t="s">
        <v>793</v>
      </c>
      <c r="O7" s="4" t="s">
        <v>806</v>
      </c>
      <c r="P7" s="3" t="s">
        <v>867</v>
      </c>
      <c r="Q7" s="3" t="s">
        <v>905</v>
      </c>
      <c r="R7" s="3" t="s">
        <v>908</v>
      </c>
      <c r="S7" s="3" t="s">
        <v>912</v>
      </c>
      <c r="T7" s="3" t="s">
        <v>921</v>
      </c>
      <c r="U7" s="3" t="s">
        <v>1148</v>
      </c>
      <c r="V7" s="3" t="s">
        <v>1386</v>
      </c>
      <c r="W7" s="3" t="s">
        <v>1395</v>
      </c>
      <c r="X7" s="3" t="s">
        <v>1611</v>
      </c>
      <c r="Y7" s="3" t="s">
        <v>2080</v>
      </c>
      <c r="Z7" s="3"/>
      <c r="AA7" s="3"/>
      <c r="AB7" s="3"/>
      <c r="AC7" s="4" cm="1">
        <f t="array" ref="AC7">IF(FALSE,"True," &amp; IF(_xlfn.XLOOKUP("Src_IsAny",'Scoring_Config'!$A:$A,'Scoring_Config'!$D:$D,"Yes")="Yes",_xlfn.XLOOKUP("Src_IsAny",'Scoring_Config'!$A:$A,'Scoring_Config'!$C:$C,25),0),"False,0")</f>
        <v>0</v>
      </c>
      <c r="AD7" s="4" cm="1">
        <f t="array" ref="AD7">IF(FALSE,"True," &amp; IF(_xlfn.XLOOKUP("Src_CIDR_Le_16",'Scoring_Config'!$A:$A,'Scoring_Config'!$D:$D,"Yes")="Yes",_xlfn.XLOOKUP("Src_CIDR_Le_16",'Scoring_Config'!$A:$A,'Scoring_Config'!$C:$C,25),0),"False,0")</f>
        <v>0</v>
      </c>
      <c r="AE7" s="4" cm="1">
        <f t="array" ref="AE7">IF(FALSE,"True," &amp; IF(_xlfn.XLOOKUP("Src_CIDR_17_22",'Scoring_Config'!$A:$A,'Scoring_Config'!$D:$D,"Yes")="Yes",_xlfn.XLOOKUP("Src_CIDR_17_22",'Scoring_Config'!$A:$A,'Scoring_Config'!$C:$C,15),0),"False,0")</f>
        <v>0</v>
      </c>
      <c r="AF7" s="4" cm="1">
        <f t="array" ref="AF7">IF(FALSE,"True," &amp; IF(_xlfn.XLOOKUP("Dst_IsAny",'Scoring_Config'!$A:$A,'Scoring_Config'!$D:$D,"Yes")="Yes",_xlfn.XLOOKUP("Dst_IsAny",'Scoring_Config'!$A:$A,'Scoring_Config'!$C:$C,25),0),"False,0")</f>
        <v>0</v>
      </c>
      <c r="AG7" s="4" cm="1">
        <f t="array" ref="AG7">IF(FALSE,"True," &amp; IF(_xlfn.XLOOKUP("Dst_CIDR_Le_16",'Scoring_Config'!$A:$A,'Scoring_Config'!$D:$D,"Yes")="Yes",_xlfn.XLOOKUP("Dst_CIDR_Le_16",'Scoring_Config'!$A:$A,'Scoring_Config'!$C:$C,25),0),"False,0")</f>
        <v>0</v>
      </c>
      <c r="AH7" s="4" cm="1">
        <f t="array" ref="AH7">IF(FALSE,"True," &amp; IF(_xlfn.XLOOKUP("Dst_CIDR_17_22",'Scoring_Config'!$A:$A,'Scoring_Config'!$D:$D,"Yes")="Yes",_xlfn.XLOOKUP("Dst_CIDR_17_22",'Scoring_Config'!$A:$A,'Scoring_Config'!$C:$C,15),0),"False,0")</f>
        <v>0</v>
      </c>
      <c r="AI7" s="4" cm="1">
        <f t="array" ref="AI7">IF(FALSE,"True," &amp; IF(_xlfn.XLOOKUP("SrcZone_IsAny",'Scoring_Config'!$A:$A,'Scoring_Config'!$D:$D,"Yes")="Yes",_xlfn.XLOOKUP("SrcZone_IsAny",'Scoring_Config'!$A:$A,'Scoring_Config'!$C:$C,5),0),"False,0")</f>
        <v>0</v>
      </c>
      <c r="AJ7" s="4" cm="1">
        <f t="array" ref="AJ7">IF(FALSE,"True," &amp; IF(_xlfn.XLOOKUP("DstZone_IsAny",'Scoring_Config'!$A:$A,'Scoring_Config'!$D:$D,"Yes")="Yes",_xlfn.XLOOKUP("DstZone_IsAny",'Scoring_Config'!$A:$A,'Scoring_Config'!$C:$C,5),0),"False,0")</f>
        <v>0</v>
      </c>
      <c r="AK7" s="4" cm="1">
        <f t="array" ref="AK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" s="4" cm="1">
        <f t="array" ref="AL7">IF(FALSE,"True," &amp; IF(_xlfn.XLOOKUP("App_Any_OR_RangeGt1000",'Scoring_Config'!$A:$A,'Scoring_Config'!$D:$D,"Yes")="Yes",_xlfn.XLOOKUP("App_Any_OR_RangeGt1000",'Scoring_Config'!$A:$A,'Scoring_Config'!$C:$C,25),0),"False,0")</f>
        <v>0</v>
      </c>
      <c r="AM7" s="5" cm="1">
        <f t="array" ref="AM7">IF(TRUE,"True," &amp; IF(_xlfn.XLOOKUP("Service_Insecure_Match",'Scoring_Config'!$A:$A,'Scoring_Config'!$D:$D,"Yes")="Yes",_xlfn.XLOOKUP("Service_Insecure_Match",'Scoring_Config'!$A:$A,'Scoring_Config'!$C:$C,20),0),"False,0")</f>
        <v>0</v>
      </c>
      <c r="AN7" s="4" cm="1">
        <f t="array" ref="AN7">IF(FALSE,"True," &amp; IF(_xlfn.XLOOKUP("Risky_Inbound",'Scoring_Config'!$A:$A,'Scoring_Config'!$D:$D,"Yes")="Yes",_xlfn.XLOOKUP("Risky_Inbound",'Scoring_Config'!$A:$A,'Scoring_Config'!$C:$C,20),0),"False,0")</f>
        <v>0</v>
      </c>
      <c r="AO7" s="4" cm="1">
        <f t="array" ref="AO7">IF(FALSE,"True," &amp; IF(_xlfn.XLOOKUP("Risky_Outbound",'Scoring_Config'!$A:$A,'Scoring_Config'!$D:$D,"Yes")="Yes",_xlfn.XLOOKUP("Risky_Outbound",'Scoring_Config'!$A:$A,'Scoring_Config'!$C:$C,10),0),"False,0")</f>
        <v>0</v>
      </c>
      <c r="AP7" s="5" t="s">
        <v>2595</v>
      </c>
      <c r="AQ7" s="4" cm="1">
        <f t="array" ref="AQ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" s="4" t="s">
        <v>2592</v>
      </c>
      <c r="AS7" s="4" t="s">
        <v>2592</v>
      </c>
      <c r="AT7" s="4" t="s">
        <v>2592</v>
      </c>
      <c r="AU7" s="4" cm="1">
        <f t="array" ref="AU7">IF(FALSE,"True," &amp; IF(_xlfn.XLOOKUP("Action_IsDenyOrDrop",'Scoring_Config'!$A:$A,'Scoring_Config'!$D:$D,"Yes")="Yes",_xlfn.XLOOKUP("Action_IsDenyOrDrop",'Scoring_Config'!$A:$A,'Scoring_Config'!$C:$C,0),0),"False,0")</f>
        <v>0</v>
      </c>
      <c r="AV7" s="4"/>
      <c r="AW7" s="4" cm="1">
        <f t="array" ref="AW7">IF(FALSE,"True," &amp; IF(_xlfn.XLOOKUP("Migrate_Insecure",'Scoring_Config'!$A:$A,'Scoring_Config'!$D:$D,"Yes")="Yes",_xlfn.XLOOKUP("Migrate_Insecure",'Scoring_Config'!$A:$A,'Scoring_Config'!$C:$C,15),0),"False,0")</f>
        <v>0</v>
      </c>
      <c r="AX7" s="4"/>
      <c r="AY7" s="4" cm="1">
        <f t="array" ref="AY7">IF(FALSE,"True," &amp; IF(_xlfn.XLOOKUP("Migrate_Other_Ports",'Scoring_Config'!$A:$A,'Scoring_Config'!$D:$D,"Yes")="Yes",_xlfn.XLOOKUP("Migrate_Other_Ports",'Scoring_Config'!$A:$A,'Scoring_Config'!$C:$C,5),0),"False,0")</f>
        <v>0</v>
      </c>
      <c r="AZ7" s="4" cm="1">
        <f t="array" ref="AZ7">IF(LEFT(AU7,4)="True",0,(IF(LEFT(AC7,4)="True",IF(_xlfn.XLOOKUP("Src_IsAny",'Scoring_Config'!$A:$A,'Scoring_Config'!$D:$D,"Yes")="Yes",_xlfn.XLOOKUP("Src_IsAny",'Scoring_Config'!$A:$A,'Scoring_Config'!$C:$C,25),0),0)+IF(LEFT(AD7,4)="True",IF(_xlfn.XLOOKUP("Src_CIDR_Le_16",'Scoring_Config'!$A:$A,'Scoring_Config'!$D:$D,"Yes")="Yes",_xlfn.XLOOKUP("Src_CIDR_Le_16",'Scoring_Config'!$A:$A,'Scoring_Config'!$C:$C,25),0),0)+IF(LEFT(AE7,4)="True",IF(_xlfn.XLOOKUP("Src_CIDR_17_22",'Scoring_Config'!$A:$A,'Scoring_Config'!$D:$D,"Yes")="Yes",_xlfn.XLOOKUP("Src_CIDR_17_22",'Scoring_Config'!$A:$A,'Scoring_Config'!$C:$C,15),0),0)+IF(LEFT(AF7,4)="True",IF(_xlfn.XLOOKUP("Dst_IsAny",'Scoring_Config'!$A:$A,'Scoring_Config'!$D:$D,"Yes")="Yes",_xlfn.XLOOKUP("Dst_IsAny",'Scoring_Config'!$A:$A,'Scoring_Config'!$C:$C,25),0),0)+IF(LEFT(AG7,4)="True",IF(_xlfn.XLOOKUP("Dst_CIDR_Le_16",'Scoring_Config'!$A:$A,'Scoring_Config'!$D:$D,"Yes")="Yes",_xlfn.XLOOKUP("Dst_CIDR_Le_16",'Scoring_Config'!$A:$A,'Scoring_Config'!$C:$C,25),0),0)+IF(LEFT(AH7,4)="True",IF(_xlfn.XLOOKUP("Dst_CIDR_17_22",'Scoring_Config'!$A:$A,'Scoring_Config'!$D:$D,"Yes")="Yes",_xlfn.XLOOKUP("Dst_CIDR_17_22",'Scoring_Config'!$A:$A,'Scoring_Config'!$C:$C,15),0),0)+IF(LEFT(AI7,4)="True",IF(_xlfn.XLOOKUP("SrcZone_IsAny",'Scoring_Config'!$A:$A,'Scoring_Config'!$D:$D,"Yes")="Yes",_xlfn.XLOOKUP("SrcZone_IsAny",'Scoring_Config'!$A:$A,'Scoring_Config'!$C:$C,5),0),0)+IF(LEFT(AJ7,4)="True",IF(_xlfn.XLOOKUP("DstZone_IsAny",'Scoring_Config'!$A:$A,'Scoring_Config'!$D:$D,"Yes")="Yes",_xlfn.XLOOKUP("DstZone_IsAny",'Scoring_Config'!$A:$A,'Scoring_Config'!$C:$C,5),0),0)+IF(LEFT(AK7,4)="True",IF(_xlfn.XLOOKUP("Service_Any_OR_RangeGt1000",'Scoring_Config'!$A:$A,'Scoring_Config'!$D:$D,"Yes")="Yes",_xlfn.XLOOKUP("Service_Any_OR_RangeGt1000",'Scoring_Config'!$A:$A,'Scoring_Config'!$C:$C,25),0),0)+IF(LEFT(AL7,4)="True",IF(_xlfn.XLOOKUP("App_Any_OR_RangeGt1000",'Scoring_Config'!$A:$A,'Scoring_Config'!$D:$D,"Yes")="Yes",_xlfn.XLOOKUP("App_Any_OR_RangeGt1000",'Scoring_Config'!$A:$A,'Scoring_Config'!$C:$C,25),0),0)+IF(LEFT(AM7,4)="True",IF(_xlfn.XLOOKUP("Service_Insecure_Match",'Scoring_Config'!$A:$A,'Scoring_Config'!$D:$D,"Yes")="Yes",_xlfn.XLOOKUP("Service_Insecure_Match",'Scoring_Config'!$A:$A,'Scoring_Config'!$C:$C,20),0),0)+IF(LEFT(AN7,4)="True",IF(_xlfn.XLOOKUP("Risky_Inbound",'Scoring_Config'!$A:$A,'Scoring_Config'!$D:$D,"Yes")="Yes",_xlfn.XLOOKUP("Risky_Inbound",'Scoring_Config'!$A:$A,'Scoring_Config'!$C:$C,20),0),0)+IF(LEFT(AO7,4)="True",IF(_xlfn.XLOOKUP("Risky_Outbound",'Scoring_Config'!$A:$A,'Scoring_Config'!$D:$D,"Yes")="Yes",_xlfn.XLOOKUP("Risky_Outbound",'Scoring_Config'!$A:$A,'Scoring_Config'!$C:$C,10),0),0)+IF(LEFT(AW7,4)="True",IF(_xlfn.XLOOKUP("Migrate_Insecure",'Scoring_Config'!$A:$A,'Scoring_Config'!$D:$D,"Yes")="Yes",_xlfn.XLOOKUP("Migrate_Insecure",'Scoring_Config'!$A:$A,'Scoring_Config'!$C:$C,15),0),0)+IF(LEFT(AY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,FIND(",",AP7)+1,100)),0)+IF(LEFT(AQ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,FIND(",",AR7)+1,100)),0)+IF(_xlfn.XLOOKUP("Profile_Scoring",'Scoring_Config'!$A:$A,'Scoring_Config'!$D:$D,"Yes")="Yes",VALUE(MID(AS7,FIND(",",AS7)+1,100)),0)+IF(_xlfn.XLOOKUP("Options_Scoring",'Scoring_Config'!$A:$A,'Scoring_Config'!$D:$D,"Yes")="Yes",VALUE(MID(AT7,FIND(",",AT7)+1,100)),0)))</f>
        <v>0</v>
      </c>
    </row>
    <row r="8" spans="1:52">
      <c r="A8" s="3" t="s">
        <v>52</v>
      </c>
      <c r="B8" s="3" t="s">
        <v>62</v>
      </c>
      <c r="C8" s="3" t="s">
        <v>329</v>
      </c>
      <c r="D8" s="3"/>
      <c r="E8" s="3" t="s">
        <v>359</v>
      </c>
      <c r="F8" s="3" t="s">
        <v>361</v>
      </c>
      <c r="G8" s="3" t="s">
        <v>365</v>
      </c>
      <c r="H8" s="3" t="s">
        <v>365</v>
      </c>
      <c r="I8" s="3" t="s">
        <v>624</v>
      </c>
      <c r="J8" s="3" t="s">
        <v>364</v>
      </c>
      <c r="K8" s="3" t="s">
        <v>365</v>
      </c>
      <c r="L8" s="3" t="s">
        <v>365</v>
      </c>
      <c r="M8" s="3" t="s">
        <v>365</v>
      </c>
      <c r="N8" s="3" t="s">
        <v>365</v>
      </c>
      <c r="O8" s="4" t="s">
        <v>807</v>
      </c>
      <c r="P8" s="3" t="s">
        <v>868</v>
      </c>
      <c r="Q8" s="3" t="s">
        <v>905</v>
      </c>
      <c r="R8" s="3" t="s">
        <v>907</v>
      </c>
      <c r="S8" s="3" t="s">
        <v>915</v>
      </c>
      <c r="T8" s="3" t="s">
        <v>922</v>
      </c>
      <c r="U8" s="3" t="s">
        <v>1147</v>
      </c>
      <c r="V8" s="3" t="s">
        <v>772</v>
      </c>
      <c r="W8" s="3" t="s">
        <v>1138</v>
      </c>
      <c r="X8" s="3" t="s">
        <v>1612</v>
      </c>
      <c r="Y8" s="3" t="s">
        <v>2081</v>
      </c>
      <c r="Z8" s="3"/>
      <c r="AA8" s="3"/>
      <c r="AB8" s="3"/>
      <c r="AC8" s="5" cm="1">
        <f t="array" ref="AC8">IF(TRUE,"True," &amp; IF(_xlfn.XLOOKUP("Src_IsAny",'Scoring_Config'!$A:$A,'Scoring_Config'!$D:$D,"Yes")="Yes",_xlfn.XLOOKUP("Src_IsAny",'Scoring_Config'!$A:$A,'Scoring_Config'!$C:$C,25),0),"False,0")</f>
        <v>0</v>
      </c>
      <c r="AD8" s="4" cm="1">
        <f t="array" ref="AD8">IF(FALSE,"True," &amp; IF(_xlfn.XLOOKUP("Src_CIDR_Le_16",'Scoring_Config'!$A:$A,'Scoring_Config'!$D:$D,"Yes")="Yes",_xlfn.XLOOKUP("Src_CIDR_Le_16",'Scoring_Config'!$A:$A,'Scoring_Config'!$C:$C,25),0),"False,0")</f>
        <v>0</v>
      </c>
      <c r="AE8" s="4" cm="1">
        <f t="array" ref="AE8">IF(FALSE,"True," &amp; IF(_xlfn.XLOOKUP("Src_CIDR_17_22",'Scoring_Config'!$A:$A,'Scoring_Config'!$D:$D,"Yes")="Yes",_xlfn.XLOOKUP("Src_CIDR_17_22",'Scoring_Config'!$A:$A,'Scoring_Config'!$C:$C,15),0),"False,0")</f>
        <v>0</v>
      </c>
      <c r="AF8" s="5" cm="1">
        <f t="array" ref="AF8">IF(TRUE,"True," &amp; IF(_xlfn.XLOOKUP("Dst_IsAny",'Scoring_Config'!$A:$A,'Scoring_Config'!$D:$D,"Yes")="Yes",_xlfn.XLOOKUP("Dst_IsAny",'Scoring_Config'!$A:$A,'Scoring_Config'!$C:$C,25),0),"False,0")</f>
        <v>0</v>
      </c>
      <c r="AG8" s="4" cm="1">
        <f t="array" ref="AG8">IF(FALSE,"True," &amp; IF(_xlfn.XLOOKUP("Dst_CIDR_Le_16",'Scoring_Config'!$A:$A,'Scoring_Config'!$D:$D,"Yes")="Yes",_xlfn.XLOOKUP("Dst_CIDR_Le_16",'Scoring_Config'!$A:$A,'Scoring_Config'!$C:$C,25),0),"False,0")</f>
        <v>0</v>
      </c>
      <c r="AH8" s="4" cm="1">
        <f t="array" ref="AH8">IF(FALSE,"True," &amp; IF(_xlfn.XLOOKUP("Dst_CIDR_17_22",'Scoring_Config'!$A:$A,'Scoring_Config'!$D:$D,"Yes")="Yes",_xlfn.XLOOKUP("Dst_CIDR_17_22",'Scoring_Config'!$A:$A,'Scoring_Config'!$C:$C,15),0),"False,0")</f>
        <v>0</v>
      </c>
      <c r="AI8" s="4" cm="1">
        <f t="array" ref="AI8">IF(FALSE,"True," &amp; IF(_xlfn.XLOOKUP("SrcZone_IsAny",'Scoring_Config'!$A:$A,'Scoring_Config'!$D:$D,"Yes")="Yes",_xlfn.XLOOKUP("SrcZone_IsAny",'Scoring_Config'!$A:$A,'Scoring_Config'!$C:$C,5),0),"False,0")</f>
        <v>0</v>
      </c>
      <c r="AJ8" s="4" cm="1">
        <f t="array" ref="AJ8">IF(FALSE,"True," &amp; IF(_xlfn.XLOOKUP("DstZone_IsAny",'Scoring_Config'!$A:$A,'Scoring_Config'!$D:$D,"Yes")="Yes",_xlfn.XLOOKUP("DstZone_IsAny",'Scoring_Config'!$A:$A,'Scoring_Config'!$C:$C,5),0),"False,0")</f>
        <v>0</v>
      </c>
      <c r="AK8" s="4" cm="1">
        <f t="array" ref="AK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" s="5" cm="1">
        <f t="array" ref="AL8">IF(TRUE,"True," &amp; IF(_xlfn.XLOOKUP("App_Any_OR_RangeGt1000",'Scoring_Config'!$A:$A,'Scoring_Config'!$D:$D,"Yes")="Yes",_xlfn.XLOOKUP("App_Any_OR_RangeGt1000",'Scoring_Config'!$A:$A,'Scoring_Config'!$C:$C,25),0),"False,0")</f>
        <v>0</v>
      </c>
      <c r="AM8" s="5" cm="1">
        <f t="array" ref="AM8">IF(TRUE,"True," &amp; IF(_xlfn.XLOOKUP("Service_Insecure_Match",'Scoring_Config'!$A:$A,'Scoring_Config'!$D:$D,"Yes")="Yes",_xlfn.XLOOKUP("Service_Insecure_Match",'Scoring_Config'!$A:$A,'Scoring_Config'!$C:$C,20),0),"False,0")</f>
        <v>0</v>
      </c>
      <c r="AN8" s="4" cm="1">
        <f t="array" ref="AN8">IF(FALSE,"True," &amp; IF(_xlfn.XLOOKUP("Risky_Inbound",'Scoring_Config'!$A:$A,'Scoring_Config'!$D:$D,"Yes")="Yes",_xlfn.XLOOKUP("Risky_Inbound",'Scoring_Config'!$A:$A,'Scoring_Config'!$C:$C,20),0),"False,0")</f>
        <v>0</v>
      </c>
      <c r="AO8" s="4" cm="1">
        <f t="array" ref="AO8">IF(FALSE,"True," &amp; IF(_xlfn.XLOOKUP("Risky_Outbound",'Scoring_Config'!$A:$A,'Scoring_Config'!$D:$D,"Yes")="Yes",_xlfn.XLOOKUP("Risky_Outbound",'Scoring_Config'!$A:$A,'Scoring_Config'!$C:$C,10),0),"False,0")</f>
        <v>0</v>
      </c>
      <c r="AP8" s="5" t="s">
        <v>2595</v>
      </c>
      <c r="AQ8" s="5" cm="1">
        <f t="array" ref="AQ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" s="5" t="s">
        <v>2598</v>
      </c>
      <c r="AS8" s="5" t="s">
        <v>2595</v>
      </c>
      <c r="AT8" s="4" t="s">
        <v>2592</v>
      </c>
      <c r="AU8" s="4" cm="1">
        <f t="array" ref="AU8">IF(FALSE,"True," &amp; IF(_xlfn.XLOOKUP("Action_IsDenyOrDrop",'Scoring_Config'!$A:$A,'Scoring_Config'!$D:$D,"Yes")="Yes",_xlfn.XLOOKUP("Action_IsDenyOrDrop",'Scoring_Config'!$A:$A,'Scoring_Config'!$C:$C,0),0),"False,0")</f>
        <v>0</v>
      </c>
      <c r="AV8" s="4"/>
      <c r="AW8" s="4" cm="1">
        <f t="array" ref="AW8">IF(FALSE,"True," &amp; IF(_xlfn.XLOOKUP("Migrate_Insecure",'Scoring_Config'!$A:$A,'Scoring_Config'!$D:$D,"Yes")="Yes",_xlfn.XLOOKUP("Migrate_Insecure",'Scoring_Config'!$A:$A,'Scoring_Config'!$C:$C,15),0),"False,0")</f>
        <v>0</v>
      </c>
      <c r="AX8" s="4"/>
      <c r="AY8" s="4" cm="1">
        <f t="array" ref="AY8">IF(FALSE,"True," &amp; IF(_xlfn.XLOOKUP("Migrate_Other_Ports",'Scoring_Config'!$A:$A,'Scoring_Config'!$D:$D,"Yes")="Yes",_xlfn.XLOOKUP("Migrate_Other_Ports",'Scoring_Config'!$A:$A,'Scoring_Config'!$C:$C,5),0),"False,0")</f>
        <v>0</v>
      </c>
      <c r="AZ8" s="4" cm="1">
        <f t="array" ref="AZ8">IF(LEFT(AU8,4)="True",0,(IF(LEFT(AC8,4)="True",IF(_xlfn.XLOOKUP("Src_IsAny",'Scoring_Config'!$A:$A,'Scoring_Config'!$D:$D,"Yes")="Yes",_xlfn.XLOOKUP("Src_IsAny",'Scoring_Config'!$A:$A,'Scoring_Config'!$C:$C,25),0),0)+IF(LEFT(AD8,4)="True",IF(_xlfn.XLOOKUP("Src_CIDR_Le_16",'Scoring_Config'!$A:$A,'Scoring_Config'!$D:$D,"Yes")="Yes",_xlfn.XLOOKUP("Src_CIDR_Le_16",'Scoring_Config'!$A:$A,'Scoring_Config'!$C:$C,25),0),0)+IF(LEFT(AE8,4)="True",IF(_xlfn.XLOOKUP("Src_CIDR_17_22",'Scoring_Config'!$A:$A,'Scoring_Config'!$D:$D,"Yes")="Yes",_xlfn.XLOOKUP("Src_CIDR_17_22",'Scoring_Config'!$A:$A,'Scoring_Config'!$C:$C,15),0),0)+IF(LEFT(AF8,4)="True",IF(_xlfn.XLOOKUP("Dst_IsAny",'Scoring_Config'!$A:$A,'Scoring_Config'!$D:$D,"Yes")="Yes",_xlfn.XLOOKUP("Dst_IsAny",'Scoring_Config'!$A:$A,'Scoring_Config'!$C:$C,25),0),0)+IF(LEFT(AG8,4)="True",IF(_xlfn.XLOOKUP("Dst_CIDR_Le_16",'Scoring_Config'!$A:$A,'Scoring_Config'!$D:$D,"Yes")="Yes",_xlfn.XLOOKUP("Dst_CIDR_Le_16",'Scoring_Config'!$A:$A,'Scoring_Config'!$C:$C,25),0),0)+IF(LEFT(AH8,4)="True",IF(_xlfn.XLOOKUP("Dst_CIDR_17_22",'Scoring_Config'!$A:$A,'Scoring_Config'!$D:$D,"Yes")="Yes",_xlfn.XLOOKUP("Dst_CIDR_17_22",'Scoring_Config'!$A:$A,'Scoring_Config'!$C:$C,15),0),0)+IF(LEFT(AI8,4)="True",IF(_xlfn.XLOOKUP("SrcZone_IsAny",'Scoring_Config'!$A:$A,'Scoring_Config'!$D:$D,"Yes")="Yes",_xlfn.XLOOKUP("SrcZone_IsAny",'Scoring_Config'!$A:$A,'Scoring_Config'!$C:$C,5),0),0)+IF(LEFT(AJ8,4)="True",IF(_xlfn.XLOOKUP("DstZone_IsAny",'Scoring_Config'!$A:$A,'Scoring_Config'!$D:$D,"Yes")="Yes",_xlfn.XLOOKUP("DstZone_IsAny",'Scoring_Config'!$A:$A,'Scoring_Config'!$C:$C,5),0),0)+IF(LEFT(AK8,4)="True",IF(_xlfn.XLOOKUP("Service_Any_OR_RangeGt1000",'Scoring_Config'!$A:$A,'Scoring_Config'!$D:$D,"Yes")="Yes",_xlfn.XLOOKUP("Service_Any_OR_RangeGt1000",'Scoring_Config'!$A:$A,'Scoring_Config'!$C:$C,25),0),0)+IF(LEFT(AL8,4)="True",IF(_xlfn.XLOOKUP("App_Any_OR_RangeGt1000",'Scoring_Config'!$A:$A,'Scoring_Config'!$D:$D,"Yes")="Yes",_xlfn.XLOOKUP("App_Any_OR_RangeGt1000",'Scoring_Config'!$A:$A,'Scoring_Config'!$C:$C,25),0),0)+IF(LEFT(AM8,4)="True",IF(_xlfn.XLOOKUP("Service_Insecure_Match",'Scoring_Config'!$A:$A,'Scoring_Config'!$D:$D,"Yes")="Yes",_xlfn.XLOOKUP("Service_Insecure_Match",'Scoring_Config'!$A:$A,'Scoring_Config'!$C:$C,20),0),0)+IF(LEFT(AN8,4)="True",IF(_xlfn.XLOOKUP("Risky_Inbound",'Scoring_Config'!$A:$A,'Scoring_Config'!$D:$D,"Yes")="Yes",_xlfn.XLOOKUP("Risky_Inbound",'Scoring_Config'!$A:$A,'Scoring_Config'!$C:$C,20),0),0)+IF(LEFT(AO8,4)="True",IF(_xlfn.XLOOKUP("Risky_Outbound",'Scoring_Config'!$A:$A,'Scoring_Config'!$D:$D,"Yes")="Yes",_xlfn.XLOOKUP("Risky_Outbound",'Scoring_Config'!$A:$A,'Scoring_Config'!$C:$C,10),0),0)+IF(LEFT(AW8,4)="True",IF(_xlfn.XLOOKUP("Migrate_Insecure",'Scoring_Config'!$A:$A,'Scoring_Config'!$D:$D,"Yes")="Yes",_xlfn.XLOOKUP("Migrate_Insecure",'Scoring_Config'!$A:$A,'Scoring_Config'!$C:$C,15),0),0)+IF(LEFT(AY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,FIND(",",AP8)+1,100)),0)+IF(LEFT(AQ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,FIND(",",AR8)+1,100)),0)+IF(_xlfn.XLOOKUP("Profile_Scoring",'Scoring_Config'!$A:$A,'Scoring_Config'!$D:$D,"Yes")="Yes",VALUE(MID(AS8,FIND(",",AS8)+1,100)),0)+IF(_xlfn.XLOOKUP("Options_Scoring",'Scoring_Config'!$A:$A,'Scoring_Config'!$D:$D,"Yes")="Yes",VALUE(MID(AT8,FIND(",",AT8)+1,100)),0)))</f>
        <v>0</v>
      </c>
    </row>
    <row r="9" spans="1:52">
      <c r="A9" s="3" t="s">
        <v>52</v>
      </c>
      <c r="B9" s="3" t="s">
        <v>63</v>
      </c>
      <c r="C9" s="3" t="s">
        <v>329</v>
      </c>
      <c r="D9" s="3"/>
      <c r="E9" s="3" t="s">
        <v>359</v>
      </c>
      <c r="F9" s="3" t="s">
        <v>360</v>
      </c>
      <c r="G9" s="3" t="s">
        <v>370</v>
      </c>
      <c r="H9" s="3" t="s">
        <v>541</v>
      </c>
      <c r="I9" s="3" t="s">
        <v>623</v>
      </c>
      <c r="J9" s="3" t="s">
        <v>363</v>
      </c>
      <c r="K9" s="3" t="s">
        <v>479</v>
      </c>
      <c r="L9" s="3" t="s">
        <v>479</v>
      </c>
      <c r="M9" s="3" t="s">
        <v>769</v>
      </c>
      <c r="N9" s="3" t="s">
        <v>792</v>
      </c>
      <c r="O9" s="4" t="s">
        <v>808</v>
      </c>
      <c r="P9" s="3" t="s">
        <v>869</v>
      </c>
      <c r="Q9" s="3" t="s">
        <v>905</v>
      </c>
      <c r="R9" s="3" t="s">
        <v>909</v>
      </c>
      <c r="S9" s="3" t="s">
        <v>916</v>
      </c>
      <c r="T9" s="3" t="s">
        <v>923</v>
      </c>
      <c r="U9" s="3" t="s">
        <v>1149</v>
      </c>
      <c r="V9" s="3" t="s">
        <v>770</v>
      </c>
      <c r="W9" s="3" t="s">
        <v>1393</v>
      </c>
      <c r="X9" s="3" t="s">
        <v>1613</v>
      </c>
      <c r="Y9" s="3" t="s">
        <v>2082</v>
      </c>
      <c r="Z9" s="3"/>
      <c r="AA9" s="3"/>
      <c r="AB9" s="3"/>
      <c r="AC9" s="4" cm="1">
        <f t="array" ref="AC9">IF(FALSE,"True," &amp; IF(_xlfn.XLOOKUP("Src_IsAny",'Scoring_Config'!$A:$A,'Scoring_Config'!$D:$D,"Yes")="Yes",_xlfn.XLOOKUP("Src_IsAny",'Scoring_Config'!$A:$A,'Scoring_Config'!$C:$C,25),0),"False,0")</f>
        <v>0</v>
      </c>
      <c r="AD9" s="4" cm="1">
        <f t="array" ref="AD9">IF(FALSE,"True," &amp; IF(_xlfn.XLOOKUP("Src_CIDR_Le_16",'Scoring_Config'!$A:$A,'Scoring_Config'!$D:$D,"Yes")="Yes",_xlfn.XLOOKUP("Src_CIDR_Le_16",'Scoring_Config'!$A:$A,'Scoring_Config'!$C:$C,25),0),"False,0")</f>
        <v>0</v>
      </c>
      <c r="AE9" s="4" cm="1">
        <f t="array" ref="AE9">IF(FALSE,"True," &amp; IF(_xlfn.XLOOKUP("Src_CIDR_17_22",'Scoring_Config'!$A:$A,'Scoring_Config'!$D:$D,"Yes")="Yes",_xlfn.XLOOKUP("Src_CIDR_17_22",'Scoring_Config'!$A:$A,'Scoring_Config'!$C:$C,15),0),"False,0")</f>
        <v>0</v>
      </c>
      <c r="AF9" s="4" cm="1">
        <f t="array" ref="AF9">IF(FALSE,"True," &amp; IF(_xlfn.XLOOKUP("Dst_IsAny",'Scoring_Config'!$A:$A,'Scoring_Config'!$D:$D,"Yes")="Yes",_xlfn.XLOOKUP("Dst_IsAny",'Scoring_Config'!$A:$A,'Scoring_Config'!$C:$C,25),0),"False,0")</f>
        <v>0</v>
      </c>
      <c r="AG9" s="4" cm="1">
        <f t="array" ref="AG9">IF(FALSE,"True," &amp; IF(_xlfn.XLOOKUP("Dst_CIDR_Le_16",'Scoring_Config'!$A:$A,'Scoring_Config'!$D:$D,"Yes")="Yes",_xlfn.XLOOKUP("Dst_CIDR_Le_16",'Scoring_Config'!$A:$A,'Scoring_Config'!$C:$C,25),0),"False,0")</f>
        <v>0</v>
      </c>
      <c r="AH9" s="4" cm="1">
        <f t="array" ref="AH9">IF(FALSE,"True," &amp; IF(_xlfn.XLOOKUP("Dst_CIDR_17_22",'Scoring_Config'!$A:$A,'Scoring_Config'!$D:$D,"Yes")="Yes",_xlfn.XLOOKUP("Dst_CIDR_17_22",'Scoring_Config'!$A:$A,'Scoring_Config'!$C:$C,15),0),"False,0")</f>
        <v>0</v>
      </c>
      <c r="AI9" s="4" cm="1">
        <f t="array" ref="AI9">IF(FALSE,"True," &amp; IF(_xlfn.XLOOKUP("SrcZone_IsAny",'Scoring_Config'!$A:$A,'Scoring_Config'!$D:$D,"Yes")="Yes",_xlfn.XLOOKUP("SrcZone_IsAny",'Scoring_Config'!$A:$A,'Scoring_Config'!$C:$C,5),0),"False,0")</f>
        <v>0</v>
      </c>
      <c r="AJ9" s="4" cm="1">
        <f t="array" ref="AJ9">IF(FALSE,"True," &amp; IF(_xlfn.XLOOKUP("DstZone_IsAny",'Scoring_Config'!$A:$A,'Scoring_Config'!$D:$D,"Yes")="Yes",_xlfn.XLOOKUP("DstZone_IsAny",'Scoring_Config'!$A:$A,'Scoring_Config'!$C:$C,5),0),"False,0")</f>
        <v>0</v>
      </c>
      <c r="AK9" s="4" cm="1">
        <f t="array" ref="AK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" s="4" cm="1">
        <f t="array" ref="AL9">IF(FALSE,"True," &amp; IF(_xlfn.XLOOKUP("App_Any_OR_RangeGt1000",'Scoring_Config'!$A:$A,'Scoring_Config'!$D:$D,"Yes")="Yes",_xlfn.XLOOKUP("App_Any_OR_RangeGt1000",'Scoring_Config'!$A:$A,'Scoring_Config'!$C:$C,25),0),"False,0")</f>
        <v>0</v>
      </c>
      <c r="AM9" s="5" cm="1">
        <f t="array" ref="AM9">IF(TRUE,"True," &amp; IF(_xlfn.XLOOKUP("Service_Insecure_Match",'Scoring_Config'!$A:$A,'Scoring_Config'!$D:$D,"Yes")="Yes",_xlfn.XLOOKUP("Service_Insecure_Match",'Scoring_Config'!$A:$A,'Scoring_Config'!$C:$C,20),0),"False,0")</f>
        <v>0</v>
      </c>
      <c r="AN9" s="4" cm="1">
        <f t="array" ref="AN9">IF(FALSE,"True," &amp; IF(_xlfn.XLOOKUP("Risky_Inbound",'Scoring_Config'!$A:$A,'Scoring_Config'!$D:$D,"Yes")="Yes",_xlfn.XLOOKUP("Risky_Inbound",'Scoring_Config'!$A:$A,'Scoring_Config'!$C:$C,20),0),"False,0")</f>
        <v>0</v>
      </c>
      <c r="AO9" s="4" cm="1">
        <f t="array" ref="AO9">IF(FALSE,"True," &amp; IF(_xlfn.XLOOKUP("Risky_Outbound",'Scoring_Config'!$A:$A,'Scoring_Config'!$D:$D,"Yes")="Yes",_xlfn.XLOOKUP("Risky_Outbound",'Scoring_Config'!$A:$A,'Scoring_Config'!$C:$C,10),0),"False,0")</f>
        <v>0</v>
      </c>
      <c r="AP9" s="5" t="s">
        <v>2595</v>
      </c>
      <c r="AQ9" s="4" cm="1">
        <f t="array" ref="AQ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" s="5" t="s">
        <v>2598</v>
      </c>
      <c r="AS9" s="4" t="s">
        <v>2592</v>
      </c>
      <c r="AT9" s="4" t="s">
        <v>2592</v>
      </c>
      <c r="AU9" s="4" cm="1">
        <f t="array" ref="AU9">IF(FALSE,"True," &amp; IF(_xlfn.XLOOKUP("Action_IsDenyOrDrop",'Scoring_Config'!$A:$A,'Scoring_Config'!$D:$D,"Yes")="Yes",_xlfn.XLOOKUP("Action_IsDenyOrDrop",'Scoring_Config'!$A:$A,'Scoring_Config'!$C:$C,0),0),"False,0")</f>
        <v>0</v>
      </c>
      <c r="AV9" s="4"/>
      <c r="AW9" s="4" cm="1">
        <f t="array" ref="AW9">IF(FALSE,"True," &amp; IF(_xlfn.XLOOKUP("Migrate_Insecure",'Scoring_Config'!$A:$A,'Scoring_Config'!$D:$D,"Yes")="Yes",_xlfn.XLOOKUP("Migrate_Insecure",'Scoring_Config'!$A:$A,'Scoring_Config'!$C:$C,15),0),"False,0")</f>
        <v>0</v>
      </c>
      <c r="AX9" s="4"/>
      <c r="AY9" s="4" cm="1">
        <f t="array" ref="AY9">IF(FALSE,"True," &amp; IF(_xlfn.XLOOKUP("Migrate_Other_Ports",'Scoring_Config'!$A:$A,'Scoring_Config'!$D:$D,"Yes")="Yes",_xlfn.XLOOKUP("Migrate_Other_Ports",'Scoring_Config'!$A:$A,'Scoring_Config'!$C:$C,5),0),"False,0")</f>
        <v>0</v>
      </c>
      <c r="AZ9" s="4" cm="1">
        <f t="array" ref="AZ9">IF(LEFT(AU9,4)="True",0,(IF(LEFT(AC9,4)="True",IF(_xlfn.XLOOKUP("Src_IsAny",'Scoring_Config'!$A:$A,'Scoring_Config'!$D:$D,"Yes")="Yes",_xlfn.XLOOKUP("Src_IsAny",'Scoring_Config'!$A:$A,'Scoring_Config'!$C:$C,25),0),0)+IF(LEFT(AD9,4)="True",IF(_xlfn.XLOOKUP("Src_CIDR_Le_16",'Scoring_Config'!$A:$A,'Scoring_Config'!$D:$D,"Yes")="Yes",_xlfn.XLOOKUP("Src_CIDR_Le_16",'Scoring_Config'!$A:$A,'Scoring_Config'!$C:$C,25),0),0)+IF(LEFT(AE9,4)="True",IF(_xlfn.XLOOKUP("Src_CIDR_17_22",'Scoring_Config'!$A:$A,'Scoring_Config'!$D:$D,"Yes")="Yes",_xlfn.XLOOKUP("Src_CIDR_17_22",'Scoring_Config'!$A:$A,'Scoring_Config'!$C:$C,15),0),0)+IF(LEFT(AF9,4)="True",IF(_xlfn.XLOOKUP("Dst_IsAny",'Scoring_Config'!$A:$A,'Scoring_Config'!$D:$D,"Yes")="Yes",_xlfn.XLOOKUP("Dst_IsAny",'Scoring_Config'!$A:$A,'Scoring_Config'!$C:$C,25),0),0)+IF(LEFT(AG9,4)="True",IF(_xlfn.XLOOKUP("Dst_CIDR_Le_16",'Scoring_Config'!$A:$A,'Scoring_Config'!$D:$D,"Yes")="Yes",_xlfn.XLOOKUP("Dst_CIDR_Le_16",'Scoring_Config'!$A:$A,'Scoring_Config'!$C:$C,25),0),0)+IF(LEFT(AH9,4)="True",IF(_xlfn.XLOOKUP("Dst_CIDR_17_22",'Scoring_Config'!$A:$A,'Scoring_Config'!$D:$D,"Yes")="Yes",_xlfn.XLOOKUP("Dst_CIDR_17_22",'Scoring_Config'!$A:$A,'Scoring_Config'!$C:$C,15),0),0)+IF(LEFT(AI9,4)="True",IF(_xlfn.XLOOKUP("SrcZone_IsAny",'Scoring_Config'!$A:$A,'Scoring_Config'!$D:$D,"Yes")="Yes",_xlfn.XLOOKUP("SrcZone_IsAny",'Scoring_Config'!$A:$A,'Scoring_Config'!$C:$C,5),0),0)+IF(LEFT(AJ9,4)="True",IF(_xlfn.XLOOKUP("DstZone_IsAny",'Scoring_Config'!$A:$A,'Scoring_Config'!$D:$D,"Yes")="Yes",_xlfn.XLOOKUP("DstZone_IsAny",'Scoring_Config'!$A:$A,'Scoring_Config'!$C:$C,5),0),0)+IF(LEFT(AK9,4)="True",IF(_xlfn.XLOOKUP("Service_Any_OR_RangeGt1000",'Scoring_Config'!$A:$A,'Scoring_Config'!$D:$D,"Yes")="Yes",_xlfn.XLOOKUP("Service_Any_OR_RangeGt1000",'Scoring_Config'!$A:$A,'Scoring_Config'!$C:$C,25),0),0)+IF(LEFT(AL9,4)="True",IF(_xlfn.XLOOKUP("App_Any_OR_RangeGt1000",'Scoring_Config'!$A:$A,'Scoring_Config'!$D:$D,"Yes")="Yes",_xlfn.XLOOKUP("App_Any_OR_RangeGt1000",'Scoring_Config'!$A:$A,'Scoring_Config'!$C:$C,25),0),0)+IF(LEFT(AM9,4)="True",IF(_xlfn.XLOOKUP("Service_Insecure_Match",'Scoring_Config'!$A:$A,'Scoring_Config'!$D:$D,"Yes")="Yes",_xlfn.XLOOKUP("Service_Insecure_Match",'Scoring_Config'!$A:$A,'Scoring_Config'!$C:$C,20),0),0)+IF(LEFT(AN9,4)="True",IF(_xlfn.XLOOKUP("Risky_Inbound",'Scoring_Config'!$A:$A,'Scoring_Config'!$D:$D,"Yes")="Yes",_xlfn.XLOOKUP("Risky_Inbound",'Scoring_Config'!$A:$A,'Scoring_Config'!$C:$C,20),0),0)+IF(LEFT(AO9,4)="True",IF(_xlfn.XLOOKUP("Risky_Outbound",'Scoring_Config'!$A:$A,'Scoring_Config'!$D:$D,"Yes")="Yes",_xlfn.XLOOKUP("Risky_Outbound",'Scoring_Config'!$A:$A,'Scoring_Config'!$C:$C,10),0),0)+IF(LEFT(AW9,4)="True",IF(_xlfn.XLOOKUP("Migrate_Insecure",'Scoring_Config'!$A:$A,'Scoring_Config'!$D:$D,"Yes")="Yes",_xlfn.XLOOKUP("Migrate_Insecure",'Scoring_Config'!$A:$A,'Scoring_Config'!$C:$C,15),0),0)+IF(LEFT(AY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,FIND(",",AP9)+1,100)),0)+IF(LEFT(AQ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,FIND(",",AR9)+1,100)),0)+IF(_xlfn.XLOOKUP("Profile_Scoring",'Scoring_Config'!$A:$A,'Scoring_Config'!$D:$D,"Yes")="Yes",VALUE(MID(AS9,FIND(",",AS9)+1,100)),0)+IF(_xlfn.XLOOKUP("Options_Scoring",'Scoring_Config'!$A:$A,'Scoring_Config'!$D:$D,"Yes")="Yes",VALUE(MID(AT9,FIND(",",AT9)+1,100)),0)))</f>
        <v>0</v>
      </c>
    </row>
    <row r="10" spans="1:52">
      <c r="A10" s="3" t="s">
        <v>52</v>
      </c>
      <c r="B10" s="3" t="s">
        <v>64</v>
      </c>
      <c r="C10" s="3" t="s">
        <v>329</v>
      </c>
      <c r="D10" s="3"/>
      <c r="E10" s="3" t="s">
        <v>359</v>
      </c>
      <c r="F10" s="3" t="s">
        <v>362</v>
      </c>
      <c r="G10" s="3" t="s">
        <v>365</v>
      </c>
      <c r="H10" s="3" t="s">
        <v>365</v>
      </c>
      <c r="I10" s="3" t="s">
        <v>365</v>
      </c>
      <c r="J10" s="3" t="s">
        <v>364</v>
      </c>
      <c r="K10" s="3" t="s">
        <v>479</v>
      </c>
      <c r="L10" s="3" t="s">
        <v>479</v>
      </c>
      <c r="M10" s="3" t="s">
        <v>771</v>
      </c>
      <c r="N10" s="3" t="s">
        <v>793</v>
      </c>
      <c r="O10" s="4" t="s">
        <v>809</v>
      </c>
      <c r="P10" s="3" t="s">
        <v>870</v>
      </c>
      <c r="Q10" s="3" t="s">
        <v>905</v>
      </c>
      <c r="R10" s="3" t="s">
        <v>909</v>
      </c>
      <c r="S10" s="3" t="s">
        <v>914</v>
      </c>
      <c r="T10" s="3" t="s">
        <v>924</v>
      </c>
      <c r="U10" s="3" t="s">
        <v>1150</v>
      </c>
      <c r="V10" s="3" t="s">
        <v>770</v>
      </c>
      <c r="W10" s="3" t="s">
        <v>1396</v>
      </c>
      <c r="X10" s="3" t="s">
        <v>1614</v>
      </c>
      <c r="Y10" s="3" t="s">
        <v>2083</v>
      </c>
      <c r="Z10" s="3"/>
      <c r="AA10" s="3"/>
      <c r="AB10" s="3"/>
      <c r="AC10" s="5" cm="1">
        <f t="array" ref="AC10">IF(TRUE,"True," &amp; IF(_xlfn.XLOOKUP("Src_IsAny",'Scoring_Config'!$A:$A,'Scoring_Config'!$D:$D,"Yes")="Yes",_xlfn.XLOOKUP("Src_IsAny",'Scoring_Config'!$A:$A,'Scoring_Config'!$C:$C,25),0),"False,0")</f>
        <v>0</v>
      </c>
      <c r="AD10" s="4" cm="1">
        <f t="array" ref="AD10">IF(FALSE,"True," &amp; IF(_xlfn.XLOOKUP("Src_CIDR_Le_16",'Scoring_Config'!$A:$A,'Scoring_Config'!$D:$D,"Yes")="Yes",_xlfn.XLOOKUP("Src_CIDR_Le_16",'Scoring_Config'!$A:$A,'Scoring_Config'!$C:$C,25),0),"False,0")</f>
        <v>0</v>
      </c>
      <c r="AE10" s="4" cm="1">
        <f t="array" ref="AE10">IF(FALSE,"True," &amp; IF(_xlfn.XLOOKUP("Src_CIDR_17_22",'Scoring_Config'!$A:$A,'Scoring_Config'!$D:$D,"Yes")="Yes",_xlfn.XLOOKUP("Src_CIDR_17_22",'Scoring_Config'!$A:$A,'Scoring_Config'!$C:$C,15),0),"False,0")</f>
        <v>0</v>
      </c>
      <c r="AF10" s="4" cm="1">
        <f t="array" ref="AF10">IF(FALSE,"True," &amp; IF(_xlfn.XLOOKUP("Dst_IsAny",'Scoring_Config'!$A:$A,'Scoring_Config'!$D:$D,"Yes")="Yes",_xlfn.XLOOKUP("Dst_IsAny",'Scoring_Config'!$A:$A,'Scoring_Config'!$C:$C,25),0),"False,0")</f>
        <v>0</v>
      </c>
      <c r="AG10" s="4" cm="1">
        <f t="array" ref="AG10">IF(FALSE,"True," &amp; IF(_xlfn.XLOOKUP("Dst_CIDR_Le_16",'Scoring_Config'!$A:$A,'Scoring_Config'!$D:$D,"Yes")="Yes",_xlfn.XLOOKUP("Dst_CIDR_Le_16",'Scoring_Config'!$A:$A,'Scoring_Config'!$C:$C,25),0),"False,0")</f>
        <v>0</v>
      </c>
      <c r="AH10" s="4" cm="1">
        <f t="array" ref="AH10">IF(FALSE,"True," &amp; IF(_xlfn.XLOOKUP("Dst_CIDR_17_22",'Scoring_Config'!$A:$A,'Scoring_Config'!$D:$D,"Yes")="Yes",_xlfn.XLOOKUP("Dst_CIDR_17_22",'Scoring_Config'!$A:$A,'Scoring_Config'!$C:$C,15),0),"False,0")</f>
        <v>0</v>
      </c>
      <c r="AI10" s="4" cm="1">
        <f t="array" ref="AI10">IF(FALSE,"True," &amp; IF(_xlfn.XLOOKUP("SrcZone_IsAny",'Scoring_Config'!$A:$A,'Scoring_Config'!$D:$D,"Yes")="Yes",_xlfn.XLOOKUP("SrcZone_IsAny",'Scoring_Config'!$A:$A,'Scoring_Config'!$C:$C,5),0),"False,0")</f>
        <v>0</v>
      </c>
      <c r="AJ10" s="4" cm="1">
        <f t="array" ref="AJ10">IF(FALSE,"True," &amp; IF(_xlfn.XLOOKUP("DstZone_IsAny",'Scoring_Config'!$A:$A,'Scoring_Config'!$D:$D,"Yes")="Yes",_xlfn.XLOOKUP("DstZone_IsAny",'Scoring_Config'!$A:$A,'Scoring_Config'!$C:$C,5),0),"False,0")</f>
        <v>0</v>
      </c>
      <c r="AK10" s="4" cm="1">
        <f t="array" ref="AK1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" s="4" cm="1">
        <f t="array" ref="AL10">IF(FALSE,"True," &amp; IF(_xlfn.XLOOKUP("App_Any_OR_RangeGt1000",'Scoring_Config'!$A:$A,'Scoring_Config'!$D:$D,"Yes")="Yes",_xlfn.XLOOKUP("App_Any_OR_RangeGt1000",'Scoring_Config'!$A:$A,'Scoring_Config'!$C:$C,25),0),"False,0")</f>
        <v>0</v>
      </c>
      <c r="AM10" s="4" cm="1">
        <f t="array" ref="AM10">IF(FALSE,"True," &amp; IF(_xlfn.XLOOKUP("Service_Insecure_Match",'Scoring_Config'!$A:$A,'Scoring_Config'!$D:$D,"Yes")="Yes",_xlfn.XLOOKUP("Service_Insecure_Match",'Scoring_Config'!$A:$A,'Scoring_Config'!$C:$C,20),0),"False,0")</f>
        <v>0</v>
      </c>
      <c r="AN10" s="4" cm="1">
        <f t="array" ref="AN10">IF(FALSE,"True," &amp; IF(_xlfn.XLOOKUP("Risky_Inbound",'Scoring_Config'!$A:$A,'Scoring_Config'!$D:$D,"Yes")="Yes",_xlfn.XLOOKUP("Risky_Inbound",'Scoring_Config'!$A:$A,'Scoring_Config'!$C:$C,20),0),"False,0")</f>
        <v>0</v>
      </c>
      <c r="AO10" s="4" cm="1">
        <f t="array" ref="AO10">IF(FALSE,"True," &amp; IF(_xlfn.XLOOKUP("Risky_Outbound",'Scoring_Config'!$A:$A,'Scoring_Config'!$D:$D,"Yes")="Yes",_xlfn.XLOOKUP("Risky_Outbound",'Scoring_Config'!$A:$A,'Scoring_Config'!$C:$C,10),0),"False,0")</f>
        <v>0</v>
      </c>
      <c r="AP10" s="5" t="s">
        <v>2595</v>
      </c>
      <c r="AQ10" s="5" cm="1">
        <f t="array" ref="AQ1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" s="4" t="s">
        <v>2592</v>
      </c>
      <c r="AS10" s="4" t="s">
        <v>2592</v>
      </c>
      <c r="AT10" s="4" t="s">
        <v>2592</v>
      </c>
      <c r="AU10" s="4" cm="1">
        <f t="array" ref="AU10">IF(FALSE,"True," &amp; IF(_xlfn.XLOOKUP("Action_IsDenyOrDrop",'Scoring_Config'!$A:$A,'Scoring_Config'!$D:$D,"Yes")="Yes",_xlfn.XLOOKUP("Action_IsDenyOrDrop",'Scoring_Config'!$A:$A,'Scoring_Config'!$C:$C,0),0),"False,0")</f>
        <v>0</v>
      </c>
      <c r="AV10" s="4"/>
      <c r="AW10" s="4" cm="1">
        <f t="array" ref="AW10">IF(FALSE,"True," &amp; IF(_xlfn.XLOOKUP("Migrate_Insecure",'Scoring_Config'!$A:$A,'Scoring_Config'!$D:$D,"Yes")="Yes",_xlfn.XLOOKUP("Migrate_Insecure",'Scoring_Config'!$A:$A,'Scoring_Config'!$C:$C,15),0),"False,0")</f>
        <v>0</v>
      </c>
      <c r="AX10" s="4"/>
      <c r="AY10" s="4" cm="1">
        <f t="array" ref="AY10">IF(FALSE,"True," &amp; IF(_xlfn.XLOOKUP("Migrate_Other_Ports",'Scoring_Config'!$A:$A,'Scoring_Config'!$D:$D,"Yes")="Yes",_xlfn.XLOOKUP("Migrate_Other_Ports",'Scoring_Config'!$A:$A,'Scoring_Config'!$C:$C,5),0),"False,0")</f>
        <v>0</v>
      </c>
      <c r="AZ10" s="4" cm="1">
        <f t="array" ref="AZ10">IF(LEFT(AU10,4)="True",0,(IF(LEFT(AC10,4)="True",IF(_xlfn.XLOOKUP("Src_IsAny",'Scoring_Config'!$A:$A,'Scoring_Config'!$D:$D,"Yes")="Yes",_xlfn.XLOOKUP("Src_IsAny",'Scoring_Config'!$A:$A,'Scoring_Config'!$C:$C,25),0),0)+IF(LEFT(AD10,4)="True",IF(_xlfn.XLOOKUP("Src_CIDR_Le_16",'Scoring_Config'!$A:$A,'Scoring_Config'!$D:$D,"Yes")="Yes",_xlfn.XLOOKUP("Src_CIDR_Le_16",'Scoring_Config'!$A:$A,'Scoring_Config'!$C:$C,25),0),0)+IF(LEFT(AE10,4)="True",IF(_xlfn.XLOOKUP("Src_CIDR_17_22",'Scoring_Config'!$A:$A,'Scoring_Config'!$D:$D,"Yes")="Yes",_xlfn.XLOOKUP("Src_CIDR_17_22",'Scoring_Config'!$A:$A,'Scoring_Config'!$C:$C,15),0),0)+IF(LEFT(AF10,4)="True",IF(_xlfn.XLOOKUP("Dst_IsAny",'Scoring_Config'!$A:$A,'Scoring_Config'!$D:$D,"Yes")="Yes",_xlfn.XLOOKUP("Dst_IsAny",'Scoring_Config'!$A:$A,'Scoring_Config'!$C:$C,25),0),0)+IF(LEFT(AG10,4)="True",IF(_xlfn.XLOOKUP("Dst_CIDR_Le_16",'Scoring_Config'!$A:$A,'Scoring_Config'!$D:$D,"Yes")="Yes",_xlfn.XLOOKUP("Dst_CIDR_Le_16",'Scoring_Config'!$A:$A,'Scoring_Config'!$C:$C,25),0),0)+IF(LEFT(AH10,4)="True",IF(_xlfn.XLOOKUP("Dst_CIDR_17_22",'Scoring_Config'!$A:$A,'Scoring_Config'!$D:$D,"Yes")="Yes",_xlfn.XLOOKUP("Dst_CIDR_17_22",'Scoring_Config'!$A:$A,'Scoring_Config'!$C:$C,15),0),0)+IF(LEFT(AI10,4)="True",IF(_xlfn.XLOOKUP("SrcZone_IsAny",'Scoring_Config'!$A:$A,'Scoring_Config'!$D:$D,"Yes")="Yes",_xlfn.XLOOKUP("SrcZone_IsAny",'Scoring_Config'!$A:$A,'Scoring_Config'!$C:$C,5),0),0)+IF(LEFT(AJ10,4)="True",IF(_xlfn.XLOOKUP("DstZone_IsAny",'Scoring_Config'!$A:$A,'Scoring_Config'!$D:$D,"Yes")="Yes",_xlfn.XLOOKUP("DstZone_IsAny",'Scoring_Config'!$A:$A,'Scoring_Config'!$C:$C,5),0),0)+IF(LEFT(AK10,4)="True",IF(_xlfn.XLOOKUP("Service_Any_OR_RangeGt1000",'Scoring_Config'!$A:$A,'Scoring_Config'!$D:$D,"Yes")="Yes",_xlfn.XLOOKUP("Service_Any_OR_RangeGt1000",'Scoring_Config'!$A:$A,'Scoring_Config'!$C:$C,25),0),0)+IF(LEFT(AL10,4)="True",IF(_xlfn.XLOOKUP("App_Any_OR_RangeGt1000",'Scoring_Config'!$A:$A,'Scoring_Config'!$D:$D,"Yes")="Yes",_xlfn.XLOOKUP("App_Any_OR_RangeGt1000",'Scoring_Config'!$A:$A,'Scoring_Config'!$C:$C,25),0),0)+IF(LEFT(AM10,4)="True",IF(_xlfn.XLOOKUP("Service_Insecure_Match",'Scoring_Config'!$A:$A,'Scoring_Config'!$D:$D,"Yes")="Yes",_xlfn.XLOOKUP("Service_Insecure_Match",'Scoring_Config'!$A:$A,'Scoring_Config'!$C:$C,20),0),0)+IF(LEFT(AN10,4)="True",IF(_xlfn.XLOOKUP("Risky_Inbound",'Scoring_Config'!$A:$A,'Scoring_Config'!$D:$D,"Yes")="Yes",_xlfn.XLOOKUP("Risky_Inbound",'Scoring_Config'!$A:$A,'Scoring_Config'!$C:$C,20),0),0)+IF(LEFT(AO10,4)="True",IF(_xlfn.XLOOKUP("Risky_Outbound",'Scoring_Config'!$A:$A,'Scoring_Config'!$D:$D,"Yes")="Yes",_xlfn.XLOOKUP("Risky_Outbound",'Scoring_Config'!$A:$A,'Scoring_Config'!$C:$C,10),0),0)+IF(LEFT(AW10,4)="True",IF(_xlfn.XLOOKUP("Migrate_Insecure",'Scoring_Config'!$A:$A,'Scoring_Config'!$D:$D,"Yes")="Yes",_xlfn.XLOOKUP("Migrate_Insecure",'Scoring_Config'!$A:$A,'Scoring_Config'!$C:$C,15),0),0)+IF(LEFT(AY10,4)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,FIND(",",AP10)+1,100)),0)+IF(LEFT(AQ10,4)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,FIND(",",AR10)+1,100)),0)+IF(_xlfn.XLOOKUP("Profile_Scoring",'Scoring_Config'!$A:$A,'Scoring_Config'!$D:$D,"Yes")="Yes",VALUE(MID(AS10,FIND(",",AS10)+1,100)),0)+IF(_xlfn.XLOOKUP("Options_Scoring",'Scoring_Config'!$A:$A,'Scoring_Config'!$D:$D,"Yes")="Yes",VALUE(MID(AT10,FIND(",",AT10)+1,100)),0)))</f>
        <v>0</v>
      </c>
    </row>
    <row r="11" spans="1:52">
      <c r="A11" s="3" t="s">
        <v>52</v>
      </c>
      <c r="B11" s="3" t="s">
        <v>65</v>
      </c>
      <c r="C11" s="3" t="s">
        <v>329</v>
      </c>
      <c r="D11" s="3"/>
      <c r="E11" s="3" t="s">
        <v>359</v>
      </c>
      <c r="F11" s="3" t="s">
        <v>361</v>
      </c>
      <c r="G11" s="3" t="s">
        <v>365</v>
      </c>
      <c r="H11" s="3" t="s">
        <v>365</v>
      </c>
      <c r="I11" s="3" t="s">
        <v>623</v>
      </c>
      <c r="J11" s="3" t="s">
        <v>364</v>
      </c>
      <c r="K11" s="3" t="s">
        <v>365</v>
      </c>
      <c r="L11" s="3" t="s">
        <v>365</v>
      </c>
      <c r="M11" s="3" t="s">
        <v>365</v>
      </c>
      <c r="N11" s="3" t="s">
        <v>365</v>
      </c>
      <c r="O11" s="4" t="s">
        <v>810</v>
      </c>
      <c r="P11" s="3" t="s">
        <v>871</v>
      </c>
      <c r="Q11" s="3" t="s">
        <v>905</v>
      </c>
      <c r="R11" s="3" t="s">
        <v>907</v>
      </c>
      <c r="S11" s="3" t="s">
        <v>907</v>
      </c>
      <c r="T11" s="3" t="s">
        <v>925</v>
      </c>
      <c r="U11" s="3" t="s">
        <v>1145</v>
      </c>
      <c r="V11" s="3" t="s">
        <v>772</v>
      </c>
      <c r="W11" s="3" t="s">
        <v>1397</v>
      </c>
      <c r="X11" s="3" t="s">
        <v>1615</v>
      </c>
      <c r="Y11" s="3" t="s">
        <v>2084</v>
      </c>
      <c r="Z11" s="3"/>
      <c r="AA11" s="3"/>
      <c r="AB11" s="3"/>
      <c r="AC11" s="5" cm="1">
        <f t="array" ref="AC11">IF(TRUE,"True," &amp; IF(_xlfn.XLOOKUP("Src_IsAny",'Scoring_Config'!$A:$A,'Scoring_Config'!$D:$D,"Yes")="Yes",_xlfn.XLOOKUP("Src_IsAny",'Scoring_Config'!$A:$A,'Scoring_Config'!$C:$C,25),0),"False,0")</f>
        <v>0</v>
      </c>
      <c r="AD11" s="4" cm="1">
        <f t="array" ref="AD11">IF(FALSE,"True," &amp; IF(_xlfn.XLOOKUP("Src_CIDR_Le_16",'Scoring_Config'!$A:$A,'Scoring_Config'!$D:$D,"Yes")="Yes",_xlfn.XLOOKUP("Src_CIDR_Le_16",'Scoring_Config'!$A:$A,'Scoring_Config'!$C:$C,25),0),"False,0")</f>
        <v>0</v>
      </c>
      <c r="AE11" s="4" cm="1">
        <f t="array" ref="AE11">IF(FALSE,"True," &amp; IF(_xlfn.XLOOKUP("Src_CIDR_17_22",'Scoring_Config'!$A:$A,'Scoring_Config'!$D:$D,"Yes")="Yes",_xlfn.XLOOKUP("Src_CIDR_17_22",'Scoring_Config'!$A:$A,'Scoring_Config'!$C:$C,15),0),"False,0")</f>
        <v>0</v>
      </c>
      <c r="AF11" s="5" cm="1">
        <f t="array" ref="AF11">IF(TRUE,"True," &amp; IF(_xlfn.XLOOKUP("Dst_IsAny",'Scoring_Config'!$A:$A,'Scoring_Config'!$D:$D,"Yes")="Yes",_xlfn.XLOOKUP("Dst_IsAny",'Scoring_Config'!$A:$A,'Scoring_Config'!$C:$C,25),0),"False,0")</f>
        <v>0</v>
      </c>
      <c r="AG11" s="4" cm="1">
        <f t="array" ref="AG11">IF(FALSE,"True," &amp; IF(_xlfn.XLOOKUP("Dst_CIDR_Le_16",'Scoring_Config'!$A:$A,'Scoring_Config'!$D:$D,"Yes")="Yes",_xlfn.XLOOKUP("Dst_CIDR_Le_16",'Scoring_Config'!$A:$A,'Scoring_Config'!$C:$C,25),0),"False,0")</f>
        <v>0</v>
      </c>
      <c r="AH11" s="4" cm="1">
        <f t="array" ref="AH11">IF(FALSE,"True," &amp; IF(_xlfn.XLOOKUP("Dst_CIDR_17_22",'Scoring_Config'!$A:$A,'Scoring_Config'!$D:$D,"Yes")="Yes",_xlfn.XLOOKUP("Dst_CIDR_17_22",'Scoring_Config'!$A:$A,'Scoring_Config'!$C:$C,15),0),"False,0")</f>
        <v>0</v>
      </c>
      <c r="AI11" s="4" cm="1">
        <f t="array" ref="AI11">IF(FALSE,"True," &amp; IF(_xlfn.XLOOKUP("SrcZone_IsAny",'Scoring_Config'!$A:$A,'Scoring_Config'!$D:$D,"Yes")="Yes",_xlfn.XLOOKUP("SrcZone_IsAny",'Scoring_Config'!$A:$A,'Scoring_Config'!$C:$C,5),0),"False,0")</f>
        <v>0</v>
      </c>
      <c r="AJ11" s="4" cm="1">
        <f t="array" ref="AJ11">IF(FALSE,"True," &amp; IF(_xlfn.XLOOKUP("DstZone_IsAny",'Scoring_Config'!$A:$A,'Scoring_Config'!$D:$D,"Yes")="Yes",_xlfn.XLOOKUP("DstZone_IsAny",'Scoring_Config'!$A:$A,'Scoring_Config'!$C:$C,5),0),"False,0")</f>
        <v>0</v>
      </c>
      <c r="AK11" s="4" cm="1">
        <f t="array" ref="AK1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" s="5" cm="1">
        <f t="array" ref="AL11">IF(TRUE,"True," &amp; IF(_xlfn.XLOOKUP("App_Any_OR_RangeGt1000",'Scoring_Config'!$A:$A,'Scoring_Config'!$D:$D,"Yes")="Yes",_xlfn.XLOOKUP("App_Any_OR_RangeGt1000",'Scoring_Config'!$A:$A,'Scoring_Config'!$C:$C,25),0),"False,0")</f>
        <v>0</v>
      </c>
      <c r="AM11" s="5" cm="1">
        <f t="array" ref="AM11">IF(TRUE,"True," &amp; IF(_xlfn.XLOOKUP("Service_Insecure_Match",'Scoring_Config'!$A:$A,'Scoring_Config'!$D:$D,"Yes")="Yes",_xlfn.XLOOKUP("Service_Insecure_Match",'Scoring_Config'!$A:$A,'Scoring_Config'!$C:$C,20),0),"False,0")</f>
        <v>0</v>
      </c>
      <c r="AN11" s="4" cm="1">
        <f t="array" ref="AN11">IF(FALSE,"True," &amp; IF(_xlfn.XLOOKUP("Risky_Inbound",'Scoring_Config'!$A:$A,'Scoring_Config'!$D:$D,"Yes")="Yes",_xlfn.XLOOKUP("Risky_Inbound",'Scoring_Config'!$A:$A,'Scoring_Config'!$C:$C,20),0),"False,0")</f>
        <v>0</v>
      </c>
      <c r="AO11" s="4" cm="1">
        <f t="array" ref="AO11">IF(FALSE,"True," &amp; IF(_xlfn.XLOOKUP("Risky_Outbound",'Scoring_Config'!$A:$A,'Scoring_Config'!$D:$D,"Yes")="Yes",_xlfn.XLOOKUP("Risky_Outbound",'Scoring_Config'!$A:$A,'Scoring_Config'!$C:$C,10),0),"False,0")</f>
        <v>0</v>
      </c>
      <c r="AP11" s="5" t="s">
        <v>2595</v>
      </c>
      <c r="AQ11" s="5" cm="1">
        <f t="array" ref="AQ1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" s="5" t="s">
        <v>2598</v>
      </c>
      <c r="AS11" s="5" t="s">
        <v>2595</v>
      </c>
      <c r="AT11" s="5" t="s">
        <v>2595</v>
      </c>
      <c r="AU11" s="4" cm="1">
        <f t="array" ref="AU11">IF(FALSE,"True," &amp; IF(_xlfn.XLOOKUP("Action_IsDenyOrDrop",'Scoring_Config'!$A:$A,'Scoring_Config'!$D:$D,"Yes")="Yes",_xlfn.XLOOKUP("Action_IsDenyOrDrop",'Scoring_Config'!$A:$A,'Scoring_Config'!$C:$C,0),0),"False,0")</f>
        <v>0</v>
      </c>
      <c r="AV11" s="4"/>
      <c r="AW11" s="4" cm="1">
        <f t="array" ref="AW11">IF(FALSE,"True," &amp; IF(_xlfn.XLOOKUP("Migrate_Insecure",'Scoring_Config'!$A:$A,'Scoring_Config'!$D:$D,"Yes")="Yes",_xlfn.XLOOKUP("Migrate_Insecure",'Scoring_Config'!$A:$A,'Scoring_Config'!$C:$C,15),0),"False,0")</f>
        <v>0</v>
      </c>
      <c r="AX11" s="4"/>
      <c r="AY11" s="4" cm="1">
        <f t="array" ref="AY11">IF(FALSE,"True," &amp; IF(_xlfn.XLOOKUP("Migrate_Other_Ports",'Scoring_Config'!$A:$A,'Scoring_Config'!$D:$D,"Yes")="Yes",_xlfn.XLOOKUP("Migrate_Other_Ports",'Scoring_Config'!$A:$A,'Scoring_Config'!$C:$C,5),0),"False,0")</f>
        <v>0</v>
      </c>
      <c r="AZ11" s="4" cm="1">
        <f t="array" ref="AZ11">IF(LEFT(AU11,4)="True",0,(IF(LEFT(AC11,4)="True",IF(_xlfn.XLOOKUP("Src_IsAny",'Scoring_Config'!$A:$A,'Scoring_Config'!$D:$D,"Yes")="Yes",_xlfn.XLOOKUP("Src_IsAny",'Scoring_Config'!$A:$A,'Scoring_Config'!$C:$C,25),0),0)+IF(LEFT(AD11,4)="True",IF(_xlfn.XLOOKUP("Src_CIDR_Le_16",'Scoring_Config'!$A:$A,'Scoring_Config'!$D:$D,"Yes")="Yes",_xlfn.XLOOKUP("Src_CIDR_Le_16",'Scoring_Config'!$A:$A,'Scoring_Config'!$C:$C,25),0),0)+IF(LEFT(AE11,4)="True",IF(_xlfn.XLOOKUP("Src_CIDR_17_22",'Scoring_Config'!$A:$A,'Scoring_Config'!$D:$D,"Yes")="Yes",_xlfn.XLOOKUP("Src_CIDR_17_22",'Scoring_Config'!$A:$A,'Scoring_Config'!$C:$C,15),0),0)+IF(LEFT(AF11,4)="True",IF(_xlfn.XLOOKUP("Dst_IsAny",'Scoring_Config'!$A:$A,'Scoring_Config'!$D:$D,"Yes")="Yes",_xlfn.XLOOKUP("Dst_IsAny",'Scoring_Config'!$A:$A,'Scoring_Config'!$C:$C,25),0),0)+IF(LEFT(AG11,4)="True",IF(_xlfn.XLOOKUP("Dst_CIDR_Le_16",'Scoring_Config'!$A:$A,'Scoring_Config'!$D:$D,"Yes")="Yes",_xlfn.XLOOKUP("Dst_CIDR_Le_16",'Scoring_Config'!$A:$A,'Scoring_Config'!$C:$C,25),0),0)+IF(LEFT(AH11,4)="True",IF(_xlfn.XLOOKUP("Dst_CIDR_17_22",'Scoring_Config'!$A:$A,'Scoring_Config'!$D:$D,"Yes")="Yes",_xlfn.XLOOKUP("Dst_CIDR_17_22",'Scoring_Config'!$A:$A,'Scoring_Config'!$C:$C,15),0),0)+IF(LEFT(AI11,4)="True",IF(_xlfn.XLOOKUP("SrcZone_IsAny",'Scoring_Config'!$A:$A,'Scoring_Config'!$D:$D,"Yes")="Yes",_xlfn.XLOOKUP("SrcZone_IsAny",'Scoring_Config'!$A:$A,'Scoring_Config'!$C:$C,5),0),0)+IF(LEFT(AJ11,4)="True",IF(_xlfn.XLOOKUP("DstZone_IsAny",'Scoring_Config'!$A:$A,'Scoring_Config'!$D:$D,"Yes")="Yes",_xlfn.XLOOKUP("DstZone_IsAny",'Scoring_Config'!$A:$A,'Scoring_Config'!$C:$C,5),0),0)+IF(LEFT(AK11,4)="True",IF(_xlfn.XLOOKUP("Service_Any_OR_RangeGt1000",'Scoring_Config'!$A:$A,'Scoring_Config'!$D:$D,"Yes")="Yes",_xlfn.XLOOKUP("Service_Any_OR_RangeGt1000",'Scoring_Config'!$A:$A,'Scoring_Config'!$C:$C,25),0),0)+IF(LEFT(AL11,4)="True",IF(_xlfn.XLOOKUP("App_Any_OR_RangeGt1000",'Scoring_Config'!$A:$A,'Scoring_Config'!$D:$D,"Yes")="Yes",_xlfn.XLOOKUP("App_Any_OR_RangeGt1000",'Scoring_Config'!$A:$A,'Scoring_Config'!$C:$C,25),0),0)+IF(LEFT(AM11,4)="True",IF(_xlfn.XLOOKUP("Service_Insecure_Match",'Scoring_Config'!$A:$A,'Scoring_Config'!$D:$D,"Yes")="Yes",_xlfn.XLOOKUP("Service_Insecure_Match",'Scoring_Config'!$A:$A,'Scoring_Config'!$C:$C,20),0),0)+IF(LEFT(AN11,4)="True",IF(_xlfn.XLOOKUP("Risky_Inbound",'Scoring_Config'!$A:$A,'Scoring_Config'!$D:$D,"Yes")="Yes",_xlfn.XLOOKUP("Risky_Inbound",'Scoring_Config'!$A:$A,'Scoring_Config'!$C:$C,20),0),0)+IF(LEFT(AO11,4)="True",IF(_xlfn.XLOOKUP("Risky_Outbound",'Scoring_Config'!$A:$A,'Scoring_Config'!$D:$D,"Yes")="Yes",_xlfn.XLOOKUP("Risky_Outbound",'Scoring_Config'!$A:$A,'Scoring_Config'!$C:$C,10),0),0)+IF(LEFT(AW11,4)="True",IF(_xlfn.XLOOKUP("Migrate_Insecure",'Scoring_Config'!$A:$A,'Scoring_Config'!$D:$D,"Yes")="Yes",_xlfn.XLOOKUP("Migrate_Insecure",'Scoring_Config'!$A:$A,'Scoring_Config'!$C:$C,15),0),0)+IF(LEFT(AY11,4)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,FIND(",",AP11)+1,100)),0)+IF(LEFT(AQ11,4)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,FIND(",",AR11)+1,100)),0)+IF(_xlfn.XLOOKUP("Profile_Scoring",'Scoring_Config'!$A:$A,'Scoring_Config'!$D:$D,"Yes")="Yes",VALUE(MID(AS11,FIND(",",AS11)+1,100)),0)+IF(_xlfn.XLOOKUP("Options_Scoring",'Scoring_Config'!$A:$A,'Scoring_Config'!$D:$D,"Yes")="Yes",VALUE(MID(AT11,FIND(",",AT11)+1,100)),0)))</f>
        <v>0</v>
      </c>
    </row>
    <row r="12" spans="1:52">
      <c r="A12" s="3" t="s">
        <v>52</v>
      </c>
      <c r="B12" s="3" t="s">
        <v>66</v>
      </c>
      <c r="C12" s="3" t="s">
        <v>329</v>
      </c>
      <c r="D12" s="3"/>
      <c r="E12" s="3" t="s">
        <v>359</v>
      </c>
      <c r="F12" s="3" t="s">
        <v>362</v>
      </c>
      <c r="G12" s="3" t="s">
        <v>371</v>
      </c>
      <c r="H12" s="3" t="s">
        <v>371</v>
      </c>
      <c r="I12" s="3" t="s">
        <v>625</v>
      </c>
      <c r="J12" s="3" t="s">
        <v>364</v>
      </c>
      <c r="K12" s="3" t="s">
        <v>365</v>
      </c>
      <c r="L12" s="3" t="s">
        <v>365</v>
      </c>
      <c r="M12" s="3" t="s">
        <v>365</v>
      </c>
      <c r="N12" s="3" t="s">
        <v>365</v>
      </c>
      <c r="O12" s="4" t="s">
        <v>804</v>
      </c>
      <c r="P12" s="3" t="s">
        <v>865</v>
      </c>
      <c r="Q12" s="3" t="s">
        <v>905</v>
      </c>
      <c r="R12" s="3" t="s">
        <v>907</v>
      </c>
      <c r="S12" s="3" t="s">
        <v>912</v>
      </c>
      <c r="T12" s="3" t="s">
        <v>926</v>
      </c>
      <c r="U12" s="3" t="s">
        <v>1151</v>
      </c>
      <c r="V12" s="3" t="s">
        <v>1387</v>
      </c>
      <c r="W12" s="3" t="s">
        <v>1398</v>
      </c>
      <c r="X12" s="3" t="s">
        <v>1616</v>
      </c>
      <c r="Y12" s="3" t="s">
        <v>2085</v>
      </c>
      <c r="Z12" s="3"/>
      <c r="AA12" s="3"/>
      <c r="AB12" s="3"/>
      <c r="AC12" s="4" cm="1">
        <f t="array" ref="AC12">IF(FALSE,"True," &amp; IF(_xlfn.XLOOKUP("Src_IsAny",'Scoring_Config'!$A:$A,'Scoring_Config'!$D:$D,"Yes")="Yes",_xlfn.XLOOKUP("Src_IsAny",'Scoring_Config'!$A:$A,'Scoring_Config'!$C:$C,25),0),"False,0")</f>
        <v>0</v>
      </c>
      <c r="AD12" s="4" cm="1">
        <f t="array" ref="AD12">IF(FALSE,"True," &amp; IF(_xlfn.XLOOKUP("Src_CIDR_Le_16",'Scoring_Config'!$A:$A,'Scoring_Config'!$D:$D,"Yes")="Yes",_xlfn.XLOOKUP("Src_CIDR_Le_16",'Scoring_Config'!$A:$A,'Scoring_Config'!$C:$C,25),0),"False,0")</f>
        <v>0</v>
      </c>
      <c r="AE12" s="4" cm="1">
        <f t="array" ref="AE12">IF(FALSE,"True," &amp; IF(_xlfn.XLOOKUP("Src_CIDR_17_22",'Scoring_Config'!$A:$A,'Scoring_Config'!$D:$D,"Yes")="Yes",_xlfn.XLOOKUP("Src_CIDR_17_22",'Scoring_Config'!$A:$A,'Scoring_Config'!$C:$C,15),0),"False,0")</f>
        <v>0</v>
      </c>
      <c r="AF12" s="5" cm="1">
        <f t="array" ref="AF12">IF(TRUE,"True," &amp; IF(_xlfn.XLOOKUP("Dst_IsAny",'Scoring_Config'!$A:$A,'Scoring_Config'!$D:$D,"Yes")="Yes",_xlfn.XLOOKUP("Dst_IsAny",'Scoring_Config'!$A:$A,'Scoring_Config'!$C:$C,25),0),"False,0")</f>
        <v>0</v>
      </c>
      <c r="AG12" s="4" cm="1">
        <f t="array" ref="AG12">IF(FALSE,"True," &amp; IF(_xlfn.XLOOKUP("Dst_CIDR_Le_16",'Scoring_Config'!$A:$A,'Scoring_Config'!$D:$D,"Yes")="Yes",_xlfn.XLOOKUP("Dst_CIDR_Le_16",'Scoring_Config'!$A:$A,'Scoring_Config'!$C:$C,25),0),"False,0")</f>
        <v>0</v>
      </c>
      <c r="AH12" s="4" cm="1">
        <f t="array" ref="AH12">IF(FALSE,"True," &amp; IF(_xlfn.XLOOKUP("Dst_CIDR_17_22",'Scoring_Config'!$A:$A,'Scoring_Config'!$D:$D,"Yes")="Yes",_xlfn.XLOOKUP("Dst_CIDR_17_22",'Scoring_Config'!$A:$A,'Scoring_Config'!$C:$C,15),0),"False,0")</f>
        <v>0</v>
      </c>
      <c r="AI12" s="4" cm="1">
        <f t="array" ref="AI12">IF(FALSE,"True," &amp; IF(_xlfn.XLOOKUP("SrcZone_IsAny",'Scoring_Config'!$A:$A,'Scoring_Config'!$D:$D,"Yes")="Yes",_xlfn.XLOOKUP("SrcZone_IsAny",'Scoring_Config'!$A:$A,'Scoring_Config'!$C:$C,5),0),"False,0")</f>
        <v>0</v>
      </c>
      <c r="AJ12" s="4" cm="1">
        <f t="array" ref="AJ12">IF(FALSE,"True," &amp; IF(_xlfn.XLOOKUP("DstZone_IsAny",'Scoring_Config'!$A:$A,'Scoring_Config'!$D:$D,"Yes")="Yes",_xlfn.XLOOKUP("DstZone_IsAny",'Scoring_Config'!$A:$A,'Scoring_Config'!$C:$C,5),0),"False,0")</f>
        <v>0</v>
      </c>
      <c r="AK12" s="4" cm="1">
        <f t="array" ref="AK1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" s="5" cm="1">
        <f t="array" ref="AL12">IF(TRUE,"True," &amp; IF(_xlfn.XLOOKUP("App_Any_OR_RangeGt1000",'Scoring_Config'!$A:$A,'Scoring_Config'!$D:$D,"Yes")="Yes",_xlfn.XLOOKUP("App_Any_OR_RangeGt1000",'Scoring_Config'!$A:$A,'Scoring_Config'!$C:$C,25),0),"False,0")</f>
        <v>0</v>
      </c>
      <c r="AM12" s="5" cm="1">
        <f t="array" ref="AM12">IF(TRUE,"True," &amp; IF(_xlfn.XLOOKUP("Service_Insecure_Match",'Scoring_Config'!$A:$A,'Scoring_Config'!$D:$D,"Yes")="Yes",_xlfn.XLOOKUP("Service_Insecure_Match",'Scoring_Config'!$A:$A,'Scoring_Config'!$C:$C,20),0),"False,0")</f>
        <v>0</v>
      </c>
      <c r="AN12" s="4" cm="1">
        <f t="array" ref="AN12">IF(FALSE,"True," &amp; IF(_xlfn.XLOOKUP("Risky_Inbound",'Scoring_Config'!$A:$A,'Scoring_Config'!$D:$D,"Yes")="Yes",_xlfn.XLOOKUP("Risky_Inbound",'Scoring_Config'!$A:$A,'Scoring_Config'!$C:$C,20),0),"False,0")</f>
        <v>0</v>
      </c>
      <c r="AO12" s="4" cm="1">
        <f t="array" ref="AO12">IF(FALSE,"True," &amp; IF(_xlfn.XLOOKUP("Risky_Outbound",'Scoring_Config'!$A:$A,'Scoring_Config'!$D:$D,"Yes")="Yes",_xlfn.XLOOKUP("Risky_Outbound",'Scoring_Config'!$A:$A,'Scoring_Config'!$C:$C,10),0),"False,0")</f>
        <v>0</v>
      </c>
      <c r="AP12" s="5" t="s">
        <v>2595</v>
      </c>
      <c r="AQ12" s="4" cm="1">
        <f t="array" ref="AQ1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" s="5" t="s">
        <v>2598</v>
      </c>
      <c r="AS12" s="5" t="s">
        <v>2595</v>
      </c>
      <c r="AT12" s="4" t="s">
        <v>2592</v>
      </c>
      <c r="AU12" s="4" cm="1">
        <f t="array" ref="AU12">IF(FALSE,"True," &amp; IF(_xlfn.XLOOKUP("Action_IsDenyOrDrop",'Scoring_Config'!$A:$A,'Scoring_Config'!$D:$D,"Yes")="Yes",_xlfn.XLOOKUP("Action_IsDenyOrDrop",'Scoring_Config'!$A:$A,'Scoring_Config'!$C:$C,0),0),"False,0")</f>
        <v>0</v>
      </c>
      <c r="AV12" s="4"/>
      <c r="AW12" s="4" cm="1">
        <f t="array" ref="AW12">IF(FALSE,"True," &amp; IF(_xlfn.XLOOKUP("Migrate_Insecure",'Scoring_Config'!$A:$A,'Scoring_Config'!$D:$D,"Yes")="Yes",_xlfn.XLOOKUP("Migrate_Insecure",'Scoring_Config'!$A:$A,'Scoring_Config'!$C:$C,15),0),"False,0")</f>
        <v>0</v>
      </c>
      <c r="AX12" s="4"/>
      <c r="AY12" s="4" cm="1">
        <f t="array" ref="AY12">IF(FALSE,"True," &amp; IF(_xlfn.XLOOKUP("Migrate_Other_Ports",'Scoring_Config'!$A:$A,'Scoring_Config'!$D:$D,"Yes")="Yes",_xlfn.XLOOKUP("Migrate_Other_Ports",'Scoring_Config'!$A:$A,'Scoring_Config'!$C:$C,5),0),"False,0")</f>
        <v>0</v>
      </c>
      <c r="AZ12" s="4" cm="1">
        <f t="array" ref="AZ12">IF(LEFT(AU12,4)="True",0,(IF(LEFT(AC12,4)="True",IF(_xlfn.XLOOKUP("Src_IsAny",'Scoring_Config'!$A:$A,'Scoring_Config'!$D:$D,"Yes")="Yes",_xlfn.XLOOKUP("Src_IsAny",'Scoring_Config'!$A:$A,'Scoring_Config'!$C:$C,25),0),0)+IF(LEFT(AD12,4)="True",IF(_xlfn.XLOOKUP("Src_CIDR_Le_16",'Scoring_Config'!$A:$A,'Scoring_Config'!$D:$D,"Yes")="Yes",_xlfn.XLOOKUP("Src_CIDR_Le_16",'Scoring_Config'!$A:$A,'Scoring_Config'!$C:$C,25),0),0)+IF(LEFT(AE12,4)="True",IF(_xlfn.XLOOKUP("Src_CIDR_17_22",'Scoring_Config'!$A:$A,'Scoring_Config'!$D:$D,"Yes")="Yes",_xlfn.XLOOKUP("Src_CIDR_17_22",'Scoring_Config'!$A:$A,'Scoring_Config'!$C:$C,15),0),0)+IF(LEFT(AF12,4)="True",IF(_xlfn.XLOOKUP("Dst_IsAny",'Scoring_Config'!$A:$A,'Scoring_Config'!$D:$D,"Yes")="Yes",_xlfn.XLOOKUP("Dst_IsAny",'Scoring_Config'!$A:$A,'Scoring_Config'!$C:$C,25),0),0)+IF(LEFT(AG12,4)="True",IF(_xlfn.XLOOKUP("Dst_CIDR_Le_16",'Scoring_Config'!$A:$A,'Scoring_Config'!$D:$D,"Yes")="Yes",_xlfn.XLOOKUP("Dst_CIDR_Le_16",'Scoring_Config'!$A:$A,'Scoring_Config'!$C:$C,25),0),0)+IF(LEFT(AH12,4)="True",IF(_xlfn.XLOOKUP("Dst_CIDR_17_22",'Scoring_Config'!$A:$A,'Scoring_Config'!$D:$D,"Yes")="Yes",_xlfn.XLOOKUP("Dst_CIDR_17_22",'Scoring_Config'!$A:$A,'Scoring_Config'!$C:$C,15),0),0)+IF(LEFT(AI12,4)="True",IF(_xlfn.XLOOKUP("SrcZone_IsAny",'Scoring_Config'!$A:$A,'Scoring_Config'!$D:$D,"Yes")="Yes",_xlfn.XLOOKUP("SrcZone_IsAny",'Scoring_Config'!$A:$A,'Scoring_Config'!$C:$C,5),0),0)+IF(LEFT(AJ12,4)="True",IF(_xlfn.XLOOKUP("DstZone_IsAny",'Scoring_Config'!$A:$A,'Scoring_Config'!$D:$D,"Yes")="Yes",_xlfn.XLOOKUP("DstZone_IsAny",'Scoring_Config'!$A:$A,'Scoring_Config'!$C:$C,5),0),0)+IF(LEFT(AK12,4)="True",IF(_xlfn.XLOOKUP("Service_Any_OR_RangeGt1000",'Scoring_Config'!$A:$A,'Scoring_Config'!$D:$D,"Yes")="Yes",_xlfn.XLOOKUP("Service_Any_OR_RangeGt1000",'Scoring_Config'!$A:$A,'Scoring_Config'!$C:$C,25),0),0)+IF(LEFT(AL12,4)="True",IF(_xlfn.XLOOKUP("App_Any_OR_RangeGt1000",'Scoring_Config'!$A:$A,'Scoring_Config'!$D:$D,"Yes")="Yes",_xlfn.XLOOKUP("App_Any_OR_RangeGt1000",'Scoring_Config'!$A:$A,'Scoring_Config'!$C:$C,25),0),0)+IF(LEFT(AM12,4)="True",IF(_xlfn.XLOOKUP("Service_Insecure_Match",'Scoring_Config'!$A:$A,'Scoring_Config'!$D:$D,"Yes")="Yes",_xlfn.XLOOKUP("Service_Insecure_Match",'Scoring_Config'!$A:$A,'Scoring_Config'!$C:$C,20),0),0)+IF(LEFT(AN12,4)="True",IF(_xlfn.XLOOKUP("Risky_Inbound",'Scoring_Config'!$A:$A,'Scoring_Config'!$D:$D,"Yes")="Yes",_xlfn.XLOOKUP("Risky_Inbound",'Scoring_Config'!$A:$A,'Scoring_Config'!$C:$C,20),0),0)+IF(LEFT(AO12,4)="True",IF(_xlfn.XLOOKUP("Risky_Outbound",'Scoring_Config'!$A:$A,'Scoring_Config'!$D:$D,"Yes")="Yes",_xlfn.XLOOKUP("Risky_Outbound",'Scoring_Config'!$A:$A,'Scoring_Config'!$C:$C,10),0),0)+IF(LEFT(AW12,4)="True",IF(_xlfn.XLOOKUP("Migrate_Insecure",'Scoring_Config'!$A:$A,'Scoring_Config'!$D:$D,"Yes")="Yes",_xlfn.XLOOKUP("Migrate_Insecure",'Scoring_Config'!$A:$A,'Scoring_Config'!$C:$C,15),0),0)+IF(LEFT(AY12,4)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,FIND(",",AP12)+1,100)),0)+IF(LEFT(AQ12,4)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,FIND(",",AR12)+1,100)),0)+IF(_xlfn.XLOOKUP("Profile_Scoring",'Scoring_Config'!$A:$A,'Scoring_Config'!$D:$D,"Yes")="Yes",VALUE(MID(AS12,FIND(",",AS12)+1,100)),0)+IF(_xlfn.XLOOKUP("Options_Scoring",'Scoring_Config'!$A:$A,'Scoring_Config'!$D:$D,"Yes")="Yes",VALUE(MID(AT12,FIND(",",AT12)+1,100)),0)))</f>
        <v>0</v>
      </c>
    </row>
    <row r="13" spans="1:52">
      <c r="A13" s="3" t="s">
        <v>52</v>
      </c>
      <c r="B13" s="3" t="s">
        <v>67</v>
      </c>
      <c r="C13" s="3" t="s">
        <v>329</v>
      </c>
      <c r="D13" s="3"/>
      <c r="E13" s="3" t="s">
        <v>359</v>
      </c>
      <c r="F13" s="3" t="s">
        <v>364</v>
      </c>
      <c r="G13" s="3" t="s">
        <v>370</v>
      </c>
      <c r="H13" s="3" t="s">
        <v>541</v>
      </c>
      <c r="I13" s="3" t="s">
        <v>365</v>
      </c>
      <c r="J13" s="3" t="s">
        <v>360</v>
      </c>
      <c r="K13" s="3" t="s">
        <v>389</v>
      </c>
      <c r="L13" s="3" t="s">
        <v>551</v>
      </c>
      <c r="M13" s="3" t="s">
        <v>768</v>
      </c>
      <c r="N13" s="3" t="s">
        <v>791</v>
      </c>
      <c r="O13" s="4" t="s">
        <v>811</v>
      </c>
      <c r="P13" s="3" t="s">
        <v>872</v>
      </c>
      <c r="Q13" s="3" t="s">
        <v>905</v>
      </c>
      <c r="R13" s="3" t="s">
        <v>907</v>
      </c>
      <c r="S13" s="3" t="s">
        <v>916</v>
      </c>
      <c r="T13" s="3" t="s">
        <v>927</v>
      </c>
      <c r="U13" s="3" t="s">
        <v>1152</v>
      </c>
      <c r="V13" s="3" t="s">
        <v>1388</v>
      </c>
      <c r="W13" s="3" t="s">
        <v>1399</v>
      </c>
      <c r="X13" s="3" t="s">
        <v>1617</v>
      </c>
      <c r="Y13" s="3" t="s">
        <v>2086</v>
      </c>
      <c r="Z13" s="3"/>
      <c r="AA13" s="3"/>
      <c r="AB13" s="3"/>
      <c r="AC13" s="4" cm="1">
        <f t="array" ref="AC13">IF(FALSE,"True," &amp; IF(_xlfn.XLOOKUP("Src_IsAny",'Scoring_Config'!$A:$A,'Scoring_Config'!$D:$D,"Yes")="Yes",_xlfn.XLOOKUP("Src_IsAny",'Scoring_Config'!$A:$A,'Scoring_Config'!$C:$C,25),0),"False,0")</f>
        <v>0</v>
      </c>
      <c r="AD13" s="4" cm="1">
        <f t="array" ref="AD13">IF(FALSE,"True," &amp; IF(_xlfn.XLOOKUP("Src_CIDR_Le_16",'Scoring_Config'!$A:$A,'Scoring_Config'!$D:$D,"Yes")="Yes",_xlfn.XLOOKUP("Src_CIDR_Le_16",'Scoring_Config'!$A:$A,'Scoring_Config'!$C:$C,25),0),"False,0")</f>
        <v>0</v>
      </c>
      <c r="AE13" s="4" cm="1">
        <f t="array" ref="AE13">IF(FALSE,"True," &amp; IF(_xlfn.XLOOKUP("Src_CIDR_17_22",'Scoring_Config'!$A:$A,'Scoring_Config'!$D:$D,"Yes")="Yes",_xlfn.XLOOKUP("Src_CIDR_17_22",'Scoring_Config'!$A:$A,'Scoring_Config'!$C:$C,15),0),"False,0")</f>
        <v>0</v>
      </c>
      <c r="AF13" s="4" cm="1">
        <f t="array" ref="AF13">IF(FALSE,"True," &amp; IF(_xlfn.XLOOKUP("Dst_IsAny",'Scoring_Config'!$A:$A,'Scoring_Config'!$D:$D,"Yes")="Yes",_xlfn.XLOOKUP("Dst_IsAny",'Scoring_Config'!$A:$A,'Scoring_Config'!$C:$C,25),0),"False,0")</f>
        <v>0</v>
      </c>
      <c r="AG13" s="4" cm="1">
        <f t="array" ref="AG13">IF(FALSE,"True," &amp; IF(_xlfn.XLOOKUP("Dst_CIDR_Le_16",'Scoring_Config'!$A:$A,'Scoring_Config'!$D:$D,"Yes")="Yes",_xlfn.XLOOKUP("Dst_CIDR_Le_16",'Scoring_Config'!$A:$A,'Scoring_Config'!$C:$C,25),0),"False,0")</f>
        <v>0</v>
      </c>
      <c r="AH13" s="4" cm="1">
        <f t="array" ref="AH13">IF(FALSE,"True," &amp; IF(_xlfn.XLOOKUP("Dst_CIDR_17_22",'Scoring_Config'!$A:$A,'Scoring_Config'!$D:$D,"Yes")="Yes",_xlfn.XLOOKUP("Dst_CIDR_17_22",'Scoring_Config'!$A:$A,'Scoring_Config'!$C:$C,15),0),"False,0")</f>
        <v>0</v>
      </c>
      <c r="AI13" s="4" cm="1">
        <f t="array" ref="AI13">IF(FALSE,"True," &amp; IF(_xlfn.XLOOKUP("SrcZone_IsAny",'Scoring_Config'!$A:$A,'Scoring_Config'!$D:$D,"Yes")="Yes",_xlfn.XLOOKUP("SrcZone_IsAny",'Scoring_Config'!$A:$A,'Scoring_Config'!$C:$C,5),0),"False,0")</f>
        <v>0</v>
      </c>
      <c r="AJ13" s="4" cm="1">
        <f t="array" ref="AJ13">IF(FALSE,"True," &amp; IF(_xlfn.XLOOKUP("DstZone_IsAny",'Scoring_Config'!$A:$A,'Scoring_Config'!$D:$D,"Yes")="Yes",_xlfn.XLOOKUP("DstZone_IsAny",'Scoring_Config'!$A:$A,'Scoring_Config'!$C:$C,5),0),"False,0")</f>
        <v>0</v>
      </c>
      <c r="AK13" s="4" cm="1">
        <f t="array" ref="AK1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" s="5" cm="1">
        <f t="array" ref="AL13">IF(TRUE,"True," &amp; IF(_xlfn.XLOOKUP("App_Any_OR_RangeGt1000",'Scoring_Config'!$A:$A,'Scoring_Config'!$D:$D,"Yes")="Yes",_xlfn.XLOOKUP("App_Any_OR_RangeGt1000",'Scoring_Config'!$A:$A,'Scoring_Config'!$C:$C,25),0),"False,0")</f>
        <v>0</v>
      </c>
      <c r="AM13" s="5" cm="1">
        <f t="array" ref="AM13">IF(TRUE,"True," &amp; IF(_xlfn.XLOOKUP("Service_Insecure_Match",'Scoring_Config'!$A:$A,'Scoring_Config'!$D:$D,"Yes")="Yes",_xlfn.XLOOKUP("Service_Insecure_Match",'Scoring_Config'!$A:$A,'Scoring_Config'!$C:$C,20),0),"False,0")</f>
        <v>0</v>
      </c>
      <c r="AN13" s="4" cm="1">
        <f t="array" ref="AN13">IF(FALSE,"True," &amp; IF(_xlfn.XLOOKUP("Risky_Inbound",'Scoring_Config'!$A:$A,'Scoring_Config'!$D:$D,"Yes")="Yes",_xlfn.XLOOKUP("Risky_Inbound",'Scoring_Config'!$A:$A,'Scoring_Config'!$C:$C,20),0),"False,0")</f>
        <v>0</v>
      </c>
      <c r="AO13" s="4" cm="1">
        <f t="array" ref="AO13">IF(FALSE,"True," &amp; IF(_xlfn.XLOOKUP("Risky_Outbound",'Scoring_Config'!$A:$A,'Scoring_Config'!$D:$D,"Yes")="Yes",_xlfn.XLOOKUP("Risky_Outbound",'Scoring_Config'!$A:$A,'Scoring_Config'!$C:$C,10),0),"False,0")</f>
        <v>0</v>
      </c>
      <c r="AP13" s="5" t="s">
        <v>2595</v>
      </c>
      <c r="AQ13" s="4" cm="1">
        <f t="array" ref="AQ1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" s="4" t="s">
        <v>2592</v>
      </c>
      <c r="AS13" s="5" t="s">
        <v>2595</v>
      </c>
      <c r="AT13" s="4" t="s">
        <v>2592</v>
      </c>
      <c r="AU13" s="4" cm="1">
        <f t="array" ref="AU13">IF(FALSE,"True," &amp; IF(_xlfn.XLOOKUP("Action_IsDenyOrDrop",'Scoring_Config'!$A:$A,'Scoring_Config'!$D:$D,"Yes")="Yes",_xlfn.XLOOKUP("Action_IsDenyOrDrop",'Scoring_Config'!$A:$A,'Scoring_Config'!$C:$C,0),0),"False,0")</f>
        <v>0</v>
      </c>
      <c r="AV13" s="4"/>
      <c r="AW13" s="4" cm="1">
        <f t="array" ref="AW13">IF(FALSE,"True," &amp; IF(_xlfn.XLOOKUP("Migrate_Insecure",'Scoring_Config'!$A:$A,'Scoring_Config'!$D:$D,"Yes")="Yes",_xlfn.XLOOKUP("Migrate_Insecure",'Scoring_Config'!$A:$A,'Scoring_Config'!$C:$C,15),0),"False,0")</f>
        <v>0</v>
      </c>
      <c r="AX13" s="4"/>
      <c r="AY13" s="4" cm="1">
        <f t="array" ref="AY13">IF(FALSE,"True," &amp; IF(_xlfn.XLOOKUP("Migrate_Other_Ports",'Scoring_Config'!$A:$A,'Scoring_Config'!$D:$D,"Yes")="Yes",_xlfn.XLOOKUP("Migrate_Other_Ports",'Scoring_Config'!$A:$A,'Scoring_Config'!$C:$C,5),0),"False,0")</f>
        <v>0</v>
      </c>
      <c r="AZ13" s="4" cm="1">
        <f t="array" ref="AZ13">IF(LEFT(AU13,4)="True",0,(IF(LEFT(AC13,4)="True",IF(_xlfn.XLOOKUP("Src_IsAny",'Scoring_Config'!$A:$A,'Scoring_Config'!$D:$D,"Yes")="Yes",_xlfn.XLOOKUP("Src_IsAny",'Scoring_Config'!$A:$A,'Scoring_Config'!$C:$C,25),0),0)+IF(LEFT(AD13,4)="True",IF(_xlfn.XLOOKUP("Src_CIDR_Le_16",'Scoring_Config'!$A:$A,'Scoring_Config'!$D:$D,"Yes")="Yes",_xlfn.XLOOKUP("Src_CIDR_Le_16",'Scoring_Config'!$A:$A,'Scoring_Config'!$C:$C,25),0),0)+IF(LEFT(AE13,4)="True",IF(_xlfn.XLOOKUP("Src_CIDR_17_22",'Scoring_Config'!$A:$A,'Scoring_Config'!$D:$D,"Yes")="Yes",_xlfn.XLOOKUP("Src_CIDR_17_22",'Scoring_Config'!$A:$A,'Scoring_Config'!$C:$C,15),0),0)+IF(LEFT(AF13,4)="True",IF(_xlfn.XLOOKUP("Dst_IsAny",'Scoring_Config'!$A:$A,'Scoring_Config'!$D:$D,"Yes")="Yes",_xlfn.XLOOKUP("Dst_IsAny",'Scoring_Config'!$A:$A,'Scoring_Config'!$C:$C,25),0),0)+IF(LEFT(AG13,4)="True",IF(_xlfn.XLOOKUP("Dst_CIDR_Le_16",'Scoring_Config'!$A:$A,'Scoring_Config'!$D:$D,"Yes")="Yes",_xlfn.XLOOKUP("Dst_CIDR_Le_16",'Scoring_Config'!$A:$A,'Scoring_Config'!$C:$C,25),0),0)+IF(LEFT(AH13,4)="True",IF(_xlfn.XLOOKUP("Dst_CIDR_17_22",'Scoring_Config'!$A:$A,'Scoring_Config'!$D:$D,"Yes")="Yes",_xlfn.XLOOKUP("Dst_CIDR_17_22",'Scoring_Config'!$A:$A,'Scoring_Config'!$C:$C,15),0),0)+IF(LEFT(AI13,4)="True",IF(_xlfn.XLOOKUP("SrcZone_IsAny",'Scoring_Config'!$A:$A,'Scoring_Config'!$D:$D,"Yes")="Yes",_xlfn.XLOOKUP("SrcZone_IsAny",'Scoring_Config'!$A:$A,'Scoring_Config'!$C:$C,5),0),0)+IF(LEFT(AJ13,4)="True",IF(_xlfn.XLOOKUP("DstZone_IsAny",'Scoring_Config'!$A:$A,'Scoring_Config'!$D:$D,"Yes")="Yes",_xlfn.XLOOKUP("DstZone_IsAny",'Scoring_Config'!$A:$A,'Scoring_Config'!$C:$C,5),0),0)+IF(LEFT(AK13,4)="True",IF(_xlfn.XLOOKUP("Service_Any_OR_RangeGt1000",'Scoring_Config'!$A:$A,'Scoring_Config'!$D:$D,"Yes")="Yes",_xlfn.XLOOKUP("Service_Any_OR_RangeGt1000",'Scoring_Config'!$A:$A,'Scoring_Config'!$C:$C,25),0),0)+IF(LEFT(AL13,4)="True",IF(_xlfn.XLOOKUP("App_Any_OR_RangeGt1000",'Scoring_Config'!$A:$A,'Scoring_Config'!$D:$D,"Yes")="Yes",_xlfn.XLOOKUP("App_Any_OR_RangeGt1000",'Scoring_Config'!$A:$A,'Scoring_Config'!$C:$C,25),0),0)+IF(LEFT(AM13,4)="True",IF(_xlfn.XLOOKUP("Service_Insecure_Match",'Scoring_Config'!$A:$A,'Scoring_Config'!$D:$D,"Yes")="Yes",_xlfn.XLOOKUP("Service_Insecure_Match",'Scoring_Config'!$A:$A,'Scoring_Config'!$C:$C,20),0),0)+IF(LEFT(AN13,4)="True",IF(_xlfn.XLOOKUP("Risky_Inbound",'Scoring_Config'!$A:$A,'Scoring_Config'!$D:$D,"Yes")="Yes",_xlfn.XLOOKUP("Risky_Inbound",'Scoring_Config'!$A:$A,'Scoring_Config'!$C:$C,20),0),0)+IF(LEFT(AO13,4)="True",IF(_xlfn.XLOOKUP("Risky_Outbound",'Scoring_Config'!$A:$A,'Scoring_Config'!$D:$D,"Yes")="Yes",_xlfn.XLOOKUP("Risky_Outbound",'Scoring_Config'!$A:$A,'Scoring_Config'!$C:$C,10),0),0)+IF(LEFT(AW13,4)="True",IF(_xlfn.XLOOKUP("Migrate_Insecure",'Scoring_Config'!$A:$A,'Scoring_Config'!$D:$D,"Yes")="Yes",_xlfn.XLOOKUP("Migrate_Insecure",'Scoring_Config'!$A:$A,'Scoring_Config'!$C:$C,15),0),0)+IF(LEFT(AY13,4)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,FIND(",",AP13)+1,100)),0)+IF(LEFT(AQ13,4)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,FIND(",",AR13)+1,100)),0)+IF(_xlfn.XLOOKUP("Profile_Scoring",'Scoring_Config'!$A:$A,'Scoring_Config'!$D:$D,"Yes")="Yes",VALUE(MID(AS13,FIND(",",AS13)+1,100)),0)+IF(_xlfn.XLOOKUP("Options_Scoring",'Scoring_Config'!$A:$A,'Scoring_Config'!$D:$D,"Yes")="Yes",VALUE(MID(AT13,FIND(",",AT13)+1,100)),0)))</f>
        <v>0</v>
      </c>
    </row>
    <row r="14" spans="1:52">
      <c r="A14" s="3" t="s">
        <v>52</v>
      </c>
      <c r="B14" s="3" t="s">
        <v>68</v>
      </c>
      <c r="C14" s="3" t="s">
        <v>329</v>
      </c>
      <c r="D14" s="3"/>
      <c r="E14" s="3" t="s">
        <v>359</v>
      </c>
      <c r="F14" s="3" t="s">
        <v>361</v>
      </c>
      <c r="G14" s="3" t="s">
        <v>372</v>
      </c>
      <c r="H14" s="3" t="s">
        <v>372</v>
      </c>
      <c r="I14" s="3" t="s">
        <v>624</v>
      </c>
      <c r="J14" s="3" t="s">
        <v>362</v>
      </c>
      <c r="K14" s="3" t="s">
        <v>626</v>
      </c>
      <c r="L14" s="3" t="s">
        <v>626</v>
      </c>
      <c r="M14" s="3" t="s">
        <v>772</v>
      </c>
      <c r="N14" s="3" t="s">
        <v>794</v>
      </c>
      <c r="O14" s="4" t="s">
        <v>812</v>
      </c>
      <c r="P14" s="3" t="s">
        <v>873</v>
      </c>
      <c r="Q14" s="3" t="s">
        <v>905</v>
      </c>
      <c r="R14" s="3" t="s">
        <v>908</v>
      </c>
      <c r="S14" s="3" t="s">
        <v>907</v>
      </c>
      <c r="T14" s="3" t="s">
        <v>919</v>
      </c>
      <c r="U14" s="3" t="s">
        <v>1153</v>
      </c>
      <c r="V14" s="3" t="s">
        <v>770</v>
      </c>
      <c r="W14" s="3" t="s">
        <v>1400</v>
      </c>
      <c r="X14" s="3" t="s">
        <v>1618</v>
      </c>
      <c r="Y14" s="3" t="s">
        <v>2087</v>
      </c>
      <c r="Z14" s="3"/>
      <c r="AA14" s="3"/>
      <c r="AB14" s="3"/>
      <c r="AC14" s="4" cm="1">
        <f t="array" ref="AC14">IF(FALSE,"True," &amp; IF(_xlfn.XLOOKUP("Src_IsAny",'Scoring_Config'!$A:$A,'Scoring_Config'!$D:$D,"Yes")="Yes",_xlfn.XLOOKUP("Src_IsAny",'Scoring_Config'!$A:$A,'Scoring_Config'!$C:$C,25),0),"False,0")</f>
        <v>0</v>
      </c>
      <c r="AD14" s="4" cm="1">
        <f t="array" ref="AD14">IF(FALSE,"True," &amp; IF(_xlfn.XLOOKUP("Src_CIDR_Le_16",'Scoring_Config'!$A:$A,'Scoring_Config'!$D:$D,"Yes")="Yes",_xlfn.XLOOKUP("Src_CIDR_Le_16",'Scoring_Config'!$A:$A,'Scoring_Config'!$C:$C,25),0),"False,0")</f>
        <v>0</v>
      </c>
      <c r="AE14" s="4" cm="1">
        <f t="array" ref="AE14">IF(FALSE,"True," &amp; IF(_xlfn.XLOOKUP("Src_CIDR_17_22",'Scoring_Config'!$A:$A,'Scoring_Config'!$D:$D,"Yes")="Yes",_xlfn.XLOOKUP("Src_CIDR_17_22",'Scoring_Config'!$A:$A,'Scoring_Config'!$C:$C,15),0),"False,0")</f>
        <v>0</v>
      </c>
      <c r="AF14" s="4" cm="1">
        <f t="array" ref="AF14">IF(FALSE,"True," &amp; IF(_xlfn.XLOOKUP("Dst_IsAny",'Scoring_Config'!$A:$A,'Scoring_Config'!$D:$D,"Yes")="Yes",_xlfn.XLOOKUP("Dst_IsAny",'Scoring_Config'!$A:$A,'Scoring_Config'!$C:$C,25),0),"False,0")</f>
        <v>0</v>
      </c>
      <c r="AG14" s="4" cm="1">
        <f t="array" ref="AG14">IF(FALSE,"True," &amp; IF(_xlfn.XLOOKUP("Dst_CIDR_Le_16",'Scoring_Config'!$A:$A,'Scoring_Config'!$D:$D,"Yes")="Yes",_xlfn.XLOOKUP("Dst_CIDR_Le_16",'Scoring_Config'!$A:$A,'Scoring_Config'!$C:$C,25),0),"False,0")</f>
        <v>0</v>
      </c>
      <c r="AH14" s="4" cm="1">
        <f t="array" ref="AH14">IF(FALSE,"True," &amp; IF(_xlfn.XLOOKUP("Dst_CIDR_17_22",'Scoring_Config'!$A:$A,'Scoring_Config'!$D:$D,"Yes")="Yes",_xlfn.XLOOKUP("Dst_CIDR_17_22",'Scoring_Config'!$A:$A,'Scoring_Config'!$C:$C,15),0),"False,0")</f>
        <v>0</v>
      </c>
      <c r="AI14" s="4" cm="1">
        <f t="array" ref="AI14">IF(FALSE,"True," &amp; IF(_xlfn.XLOOKUP("SrcZone_IsAny",'Scoring_Config'!$A:$A,'Scoring_Config'!$D:$D,"Yes")="Yes",_xlfn.XLOOKUP("SrcZone_IsAny",'Scoring_Config'!$A:$A,'Scoring_Config'!$C:$C,5),0),"False,0")</f>
        <v>0</v>
      </c>
      <c r="AJ14" s="4" cm="1">
        <f t="array" ref="AJ14">IF(FALSE,"True," &amp; IF(_xlfn.XLOOKUP("DstZone_IsAny",'Scoring_Config'!$A:$A,'Scoring_Config'!$D:$D,"Yes")="Yes",_xlfn.XLOOKUP("DstZone_IsAny",'Scoring_Config'!$A:$A,'Scoring_Config'!$C:$C,5),0),"False,0")</f>
        <v>0</v>
      </c>
      <c r="AK14" s="4" cm="1">
        <f t="array" ref="AK1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" s="4" cm="1">
        <f t="array" ref="AL14">IF(FALSE,"True," &amp; IF(_xlfn.XLOOKUP("App_Any_OR_RangeGt1000",'Scoring_Config'!$A:$A,'Scoring_Config'!$D:$D,"Yes")="Yes",_xlfn.XLOOKUP("App_Any_OR_RangeGt1000",'Scoring_Config'!$A:$A,'Scoring_Config'!$C:$C,25),0),"False,0")</f>
        <v>0</v>
      </c>
      <c r="AM14" s="4" cm="1">
        <f t="array" ref="AM14">IF(FALSE,"True," &amp; IF(_xlfn.XLOOKUP("Service_Insecure_Match",'Scoring_Config'!$A:$A,'Scoring_Config'!$D:$D,"Yes")="Yes",_xlfn.XLOOKUP("Service_Insecure_Match",'Scoring_Config'!$A:$A,'Scoring_Config'!$C:$C,20),0),"False,0")</f>
        <v>0</v>
      </c>
      <c r="AN14" s="4" cm="1">
        <f t="array" ref="AN14">IF(FALSE,"True," &amp; IF(_xlfn.XLOOKUP("Risky_Inbound",'Scoring_Config'!$A:$A,'Scoring_Config'!$D:$D,"Yes")="Yes",_xlfn.XLOOKUP("Risky_Inbound",'Scoring_Config'!$A:$A,'Scoring_Config'!$C:$C,20),0),"False,0")</f>
        <v>0</v>
      </c>
      <c r="AO14" s="4" cm="1">
        <f t="array" ref="AO14">IF(FALSE,"True," &amp; IF(_xlfn.XLOOKUP("Risky_Outbound",'Scoring_Config'!$A:$A,'Scoring_Config'!$D:$D,"Yes")="Yes",_xlfn.XLOOKUP("Risky_Outbound",'Scoring_Config'!$A:$A,'Scoring_Config'!$C:$C,10),0),"False,0")</f>
        <v>0</v>
      </c>
      <c r="AP14" s="5" t="s">
        <v>2595</v>
      </c>
      <c r="AQ14" s="4" cm="1">
        <f t="array" ref="AQ1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" s="5" t="s">
        <v>2598</v>
      </c>
      <c r="AS14" s="4" t="s">
        <v>2592</v>
      </c>
      <c r="AT14" s="5" t="s">
        <v>2595</v>
      </c>
      <c r="AU14" s="4" cm="1">
        <f t="array" ref="AU14">IF(FALSE,"True," &amp; IF(_xlfn.XLOOKUP("Action_IsDenyOrDrop",'Scoring_Config'!$A:$A,'Scoring_Config'!$D:$D,"Yes")="Yes",_xlfn.XLOOKUP("Action_IsDenyOrDrop",'Scoring_Config'!$A:$A,'Scoring_Config'!$C:$C,0),0),"False,0")</f>
        <v>0</v>
      </c>
      <c r="AV14" s="4"/>
      <c r="AW14" s="4" cm="1">
        <f t="array" ref="AW14">IF(FALSE,"True," &amp; IF(_xlfn.XLOOKUP("Migrate_Insecure",'Scoring_Config'!$A:$A,'Scoring_Config'!$D:$D,"Yes")="Yes",_xlfn.XLOOKUP("Migrate_Insecure",'Scoring_Config'!$A:$A,'Scoring_Config'!$C:$C,15),0),"False,0")</f>
        <v>0</v>
      </c>
      <c r="AX14" s="4"/>
      <c r="AY14" s="4" cm="1">
        <f t="array" ref="AY14">IF(FALSE,"True," &amp; IF(_xlfn.XLOOKUP("Migrate_Other_Ports",'Scoring_Config'!$A:$A,'Scoring_Config'!$D:$D,"Yes")="Yes",_xlfn.XLOOKUP("Migrate_Other_Ports",'Scoring_Config'!$A:$A,'Scoring_Config'!$C:$C,5),0),"False,0")</f>
        <v>0</v>
      </c>
      <c r="AZ14" s="4" cm="1">
        <f t="array" ref="AZ14">IF(LEFT(AU14,4)="True",0,(IF(LEFT(AC14,4)="True",IF(_xlfn.XLOOKUP("Src_IsAny",'Scoring_Config'!$A:$A,'Scoring_Config'!$D:$D,"Yes")="Yes",_xlfn.XLOOKUP("Src_IsAny",'Scoring_Config'!$A:$A,'Scoring_Config'!$C:$C,25),0),0)+IF(LEFT(AD14,4)="True",IF(_xlfn.XLOOKUP("Src_CIDR_Le_16",'Scoring_Config'!$A:$A,'Scoring_Config'!$D:$D,"Yes")="Yes",_xlfn.XLOOKUP("Src_CIDR_Le_16",'Scoring_Config'!$A:$A,'Scoring_Config'!$C:$C,25),0),0)+IF(LEFT(AE14,4)="True",IF(_xlfn.XLOOKUP("Src_CIDR_17_22",'Scoring_Config'!$A:$A,'Scoring_Config'!$D:$D,"Yes")="Yes",_xlfn.XLOOKUP("Src_CIDR_17_22",'Scoring_Config'!$A:$A,'Scoring_Config'!$C:$C,15),0),0)+IF(LEFT(AF14,4)="True",IF(_xlfn.XLOOKUP("Dst_IsAny",'Scoring_Config'!$A:$A,'Scoring_Config'!$D:$D,"Yes")="Yes",_xlfn.XLOOKUP("Dst_IsAny",'Scoring_Config'!$A:$A,'Scoring_Config'!$C:$C,25),0),0)+IF(LEFT(AG14,4)="True",IF(_xlfn.XLOOKUP("Dst_CIDR_Le_16",'Scoring_Config'!$A:$A,'Scoring_Config'!$D:$D,"Yes")="Yes",_xlfn.XLOOKUP("Dst_CIDR_Le_16",'Scoring_Config'!$A:$A,'Scoring_Config'!$C:$C,25),0),0)+IF(LEFT(AH14,4)="True",IF(_xlfn.XLOOKUP("Dst_CIDR_17_22",'Scoring_Config'!$A:$A,'Scoring_Config'!$D:$D,"Yes")="Yes",_xlfn.XLOOKUP("Dst_CIDR_17_22",'Scoring_Config'!$A:$A,'Scoring_Config'!$C:$C,15),0),0)+IF(LEFT(AI14,4)="True",IF(_xlfn.XLOOKUP("SrcZone_IsAny",'Scoring_Config'!$A:$A,'Scoring_Config'!$D:$D,"Yes")="Yes",_xlfn.XLOOKUP("SrcZone_IsAny",'Scoring_Config'!$A:$A,'Scoring_Config'!$C:$C,5),0),0)+IF(LEFT(AJ14,4)="True",IF(_xlfn.XLOOKUP("DstZone_IsAny",'Scoring_Config'!$A:$A,'Scoring_Config'!$D:$D,"Yes")="Yes",_xlfn.XLOOKUP("DstZone_IsAny",'Scoring_Config'!$A:$A,'Scoring_Config'!$C:$C,5),0),0)+IF(LEFT(AK14,4)="True",IF(_xlfn.XLOOKUP("Service_Any_OR_RangeGt1000",'Scoring_Config'!$A:$A,'Scoring_Config'!$D:$D,"Yes")="Yes",_xlfn.XLOOKUP("Service_Any_OR_RangeGt1000",'Scoring_Config'!$A:$A,'Scoring_Config'!$C:$C,25),0),0)+IF(LEFT(AL14,4)="True",IF(_xlfn.XLOOKUP("App_Any_OR_RangeGt1000",'Scoring_Config'!$A:$A,'Scoring_Config'!$D:$D,"Yes")="Yes",_xlfn.XLOOKUP("App_Any_OR_RangeGt1000",'Scoring_Config'!$A:$A,'Scoring_Config'!$C:$C,25),0),0)+IF(LEFT(AM14,4)="True",IF(_xlfn.XLOOKUP("Service_Insecure_Match",'Scoring_Config'!$A:$A,'Scoring_Config'!$D:$D,"Yes")="Yes",_xlfn.XLOOKUP("Service_Insecure_Match",'Scoring_Config'!$A:$A,'Scoring_Config'!$C:$C,20),0),0)+IF(LEFT(AN14,4)="True",IF(_xlfn.XLOOKUP("Risky_Inbound",'Scoring_Config'!$A:$A,'Scoring_Config'!$D:$D,"Yes")="Yes",_xlfn.XLOOKUP("Risky_Inbound",'Scoring_Config'!$A:$A,'Scoring_Config'!$C:$C,20),0),0)+IF(LEFT(AO14,4)="True",IF(_xlfn.XLOOKUP("Risky_Outbound",'Scoring_Config'!$A:$A,'Scoring_Config'!$D:$D,"Yes")="Yes",_xlfn.XLOOKUP("Risky_Outbound",'Scoring_Config'!$A:$A,'Scoring_Config'!$C:$C,10),0),0)+IF(LEFT(AW14,4)="True",IF(_xlfn.XLOOKUP("Migrate_Insecure",'Scoring_Config'!$A:$A,'Scoring_Config'!$D:$D,"Yes")="Yes",_xlfn.XLOOKUP("Migrate_Insecure",'Scoring_Config'!$A:$A,'Scoring_Config'!$C:$C,15),0),0)+IF(LEFT(AY14,4)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,FIND(",",AP14)+1,100)),0)+IF(LEFT(AQ14,4)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,FIND(",",AR14)+1,100)),0)+IF(_xlfn.XLOOKUP("Profile_Scoring",'Scoring_Config'!$A:$A,'Scoring_Config'!$D:$D,"Yes")="Yes",VALUE(MID(AS14,FIND(",",AS14)+1,100)),0)+IF(_xlfn.XLOOKUP("Options_Scoring",'Scoring_Config'!$A:$A,'Scoring_Config'!$D:$D,"Yes")="Yes",VALUE(MID(AT14,FIND(",",AT14)+1,100)),0)))</f>
        <v>0</v>
      </c>
    </row>
    <row r="15" spans="1:52">
      <c r="A15" s="3" t="s">
        <v>52</v>
      </c>
      <c r="B15" s="3" t="s">
        <v>69</v>
      </c>
      <c r="C15" s="3" t="s">
        <v>329</v>
      </c>
      <c r="D15" s="3"/>
      <c r="E15" s="3" t="s">
        <v>359</v>
      </c>
      <c r="F15" s="3" t="s">
        <v>363</v>
      </c>
      <c r="G15" s="3" t="s">
        <v>373</v>
      </c>
      <c r="H15" s="3" t="s">
        <v>542</v>
      </c>
      <c r="I15" s="3" t="s">
        <v>625</v>
      </c>
      <c r="J15" s="3" t="s">
        <v>363</v>
      </c>
      <c r="K15" s="3" t="s">
        <v>365</v>
      </c>
      <c r="L15" s="3" t="s">
        <v>365</v>
      </c>
      <c r="M15" s="3" t="s">
        <v>773</v>
      </c>
      <c r="N15" s="3" t="s">
        <v>773</v>
      </c>
      <c r="O15" s="4" t="s">
        <v>813</v>
      </c>
      <c r="P15" s="3" t="s">
        <v>874</v>
      </c>
      <c r="Q15" s="3" t="s">
        <v>905</v>
      </c>
      <c r="R15" s="3" t="s">
        <v>907</v>
      </c>
      <c r="S15" s="3" t="s">
        <v>914</v>
      </c>
      <c r="T15" s="3" t="s">
        <v>928</v>
      </c>
      <c r="U15" s="3" t="s">
        <v>1154</v>
      </c>
      <c r="V15" s="3" t="s">
        <v>1387</v>
      </c>
      <c r="W15" s="3" t="s">
        <v>1143</v>
      </c>
      <c r="X15" s="3" t="s">
        <v>1619</v>
      </c>
      <c r="Y15" s="3" t="s">
        <v>2088</v>
      </c>
      <c r="Z15" s="3"/>
      <c r="AA15" s="3"/>
      <c r="AB15" s="3"/>
      <c r="AC15" s="4" cm="1">
        <f t="array" ref="AC15">IF(FALSE,"True," &amp; IF(_xlfn.XLOOKUP("Src_IsAny",'Scoring_Config'!$A:$A,'Scoring_Config'!$D:$D,"Yes")="Yes",_xlfn.XLOOKUP("Src_IsAny",'Scoring_Config'!$A:$A,'Scoring_Config'!$C:$C,25),0),"False,0")</f>
        <v>0</v>
      </c>
      <c r="AD15" s="4" cm="1">
        <f t="array" ref="AD15">IF(FALSE,"True," &amp; IF(_xlfn.XLOOKUP("Src_CIDR_Le_16",'Scoring_Config'!$A:$A,'Scoring_Config'!$D:$D,"Yes")="Yes",_xlfn.XLOOKUP("Src_CIDR_Le_16",'Scoring_Config'!$A:$A,'Scoring_Config'!$C:$C,25),0),"False,0")</f>
        <v>0</v>
      </c>
      <c r="AE15" s="4" cm="1">
        <f t="array" ref="AE15">IF(FALSE,"True," &amp; IF(_xlfn.XLOOKUP("Src_CIDR_17_22",'Scoring_Config'!$A:$A,'Scoring_Config'!$D:$D,"Yes")="Yes",_xlfn.XLOOKUP("Src_CIDR_17_22",'Scoring_Config'!$A:$A,'Scoring_Config'!$C:$C,15),0),"False,0")</f>
        <v>0</v>
      </c>
      <c r="AF15" s="5" cm="1">
        <f t="array" ref="AF15">IF(TRUE,"True," &amp; IF(_xlfn.XLOOKUP("Dst_IsAny",'Scoring_Config'!$A:$A,'Scoring_Config'!$D:$D,"Yes")="Yes",_xlfn.XLOOKUP("Dst_IsAny",'Scoring_Config'!$A:$A,'Scoring_Config'!$C:$C,25),0),"False,0")</f>
        <v>0</v>
      </c>
      <c r="AG15" s="4" cm="1">
        <f t="array" ref="AG15">IF(FALSE,"True," &amp; IF(_xlfn.XLOOKUP("Dst_CIDR_Le_16",'Scoring_Config'!$A:$A,'Scoring_Config'!$D:$D,"Yes")="Yes",_xlfn.XLOOKUP("Dst_CIDR_Le_16",'Scoring_Config'!$A:$A,'Scoring_Config'!$C:$C,25),0),"False,0")</f>
        <v>0</v>
      </c>
      <c r="AH15" s="4" cm="1">
        <f t="array" ref="AH15">IF(FALSE,"True," &amp; IF(_xlfn.XLOOKUP("Dst_CIDR_17_22",'Scoring_Config'!$A:$A,'Scoring_Config'!$D:$D,"Yes")="Yes",_xlfn.XLOOKUP("Dst_CIDR_17_22",'Scoring_Config'!$A:$A,'Scoring_Config'!$C:$C,15),0),"False,0")</f>
        <v>0</v>
      </c>
      <c r="AI15" s="4" cm="1">
        <f t="array" ref="AI15">IF(FALSE,"True," &amp; IF(_xlfn.XLOOKUP("SrcZone_IsAny",'Scoring_Config'!$A:$A,'Scoring_Config'!$D:$D,"Yes")="Yes",_xlfn.XLOOKUP("SrcZone_IsAny",'Scoring_Config'!$A:$A,'Scoring_Config'!$C:$C,5),0),"False,0")</f>
        <v>0</v>
      </c>
      <c r="AJ15" s="4" cm="1">
        <f t="array" ref="AJ15">IF(FALSE,"True," &amp; IF(_xlfn.XLOOKUP("DstZone_IsAny",'Scoring_Config'!$A:$A,'Scoring_Config'!$D:$D,"Yes")="Yes",_xlfn.XLOOKUP("DstZone_IsAny",'Scoring_Config'!$A:$A,'Scoring_Config'!$C:$C,5),0),"False,0")</f>
        <v>0</v>
      </c>
      <c r="AK15" s="4" cm="1">
        <f t="array" ref="AK1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" s="4" cm="1">
        <f t="array" ref="AL15">IF(FALSE,"True," &amp; IF(_xlfn.XLOOKUP("App_Any_OR_RangeGt1000",'Scoring_Config'!$A:$A,'Scoring_Config'!$D:$D,"Yes")="Yes",_xlfn.XLOOKUP("App_Any_OR_RangeGt1000",'Scoring_Config'!$A:$A,'Scoring_Config'!$C:$C,25),0),"False,0")</f>
        <v>0</v>
      </c>
      <c r="AM15" s="5" cm="1">
        <f t="array" ref="AM15">IF(TRUE,"True," &amp; IF(_xlfn.XLOOKUP("Service_Insecure_Match",'Scoring_Config'!$A:$A,'Scoring_Config'!$D:$D,"Yes")="Yes",_xlfn.XLOOKUP("Service_Insecure_Match",'Scoring_Config'!$A:$A,'Scoring_Config'!$C:$C,20),0),"False,0")</f>
        <v>0</v>
      </c>
      <c r="AN15" s="4" cm="1">
        <f t="array" ref="AN15">IF(FALSE,"True," &amp; IF(_xlfn.XLOOKUP("Risky_Inbound",'Scoring_Config'!$A:$A,'Scoring_Config'!$D:$D,"Yes")="Yes",_xlfn.XLOOKUP("Risky_Inbound",'Scoring_Config'!$A:$A,'Scoring_Config'!$C:$C,20),0),"False,0")</f>
        <v>0</v>
      </c>
      <c r="AO15" s="4" cm="1">
        <f t="array" ref="AO15">IF(FALSE,"True," &amp; IF(_xlfn.XLOOKUP("Risky_Outbound",'Scoring_Config'!$A:$A,'Scoring_Config'!$D:$D,"Yes")="Yes",_xlfn.XLOOKUP("Risky_Outbound",'Scoring_Config'!$A:$A,'Scoring_Config'!$C:$C,10),0),"False,0")</f>
        <v>0</v>
      </c>
      <c r="AP15" s="5" t="s">
        <v>2595</v>
      </c>
      <c r="AQ15" s="4" cm="1">
        <f t="array" ref="AQ1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" s="5" t="s">
        <v>2598</v>
      </c>
      <c r="AS15" s="5" t="s">
        <v>2595</v>
      </c>
      <c r="AT15" s="4" t="s">
        <v>2592</v>
      </c>
      <c r="AU15" s="4" cm="1">
        <f t="array" ref="AU15">IF(FALSE,"True," &amp; IF(_xlfn.XLOOKUP("Action_IsDenyOrDrop",'Scoring_Config'!$A:$A,'Scoring_Config'!$D:$D,"Yes")="Yes",_xlfn.XLOOKUP("Action_IsDenyOrDrop",'Scoring_Config'!$A:$A,'Scoring_Config'!$C:$C,0),0),"False,0")</f>
        <v>0</v>
      </c>
      <c r="AV15" s="4"/>
      <c r="AW15" s="4" cm="1">
        <f t="array" ref="AW15">IF(FALSE,"True," &amp; IF(_xlfn.XLOOKUP("Migrate_Insecure",'Scoring_Config'!$A:$A,'Scoring_Config'!$D:$D,"Yes")="Yes",_xlfn.XLOOKUP("Migrate_Insecure",'Scoring_Config'!$A:$A,'Scoring_Config'!$C:$C,15),0),"False,0")</f>
        <v>0</v>
      </c>
      <c r="AX15" s="4"/>
      <c r="AY15" s="4" cm="1">
        <f t="array" ref="AY15">IF(FALSE,"True," &amp; IF(_xlfn.XLOOKUP("Migrate_Other_Ports",'Scoring_Config'!$A:$A,'Scoring_Config'!$D:$D,"Yes")="Yes",_xlfn.XLOOKUP("Migrate_Other_Ports",'Scoring_Config'!$A:$A,'Scoring_Config'!$C:$C,5),0),"False,0")</f>
        <v>0</v>
      </c>
      <c r="AZ15" s="4" cm="1">
        <f t="array" ref="AZ15">IF(LEFT(AU15,4)="True",0,(IF(LEFT(AC15,4)="True",IF(_xlfn.XLOOKUP("Src_IsAny",'Scoring_Config'!$A:$A,'Scoring_Config'!$D:$D,"Yes")="Yes",_xlfn.XLOOKUP("Src_IsAny",'Scoring_Config'!$A:$A,'Scoring_Config'!$C:$C,25),0),0)+IF(LEFT(AD15,4)="True",IF(_xlfn.XLOOKUP("Src_CIDR_Le_16",'Scoring_Config'!$A:$A,'Scoring_Config'!$D:$D,"Yes")="Yes",_xlfn.XLOOKUP("Src_CIDR_Le_16",'Scoring_Config'!$A:$A,'Scoring_Config'!$C:$C,25),0),0)+IF(LEFT(AE15,4)="True",IF(_xlfn.XLOOKUP("Src_CIDR_17_22",'Scoring_Config'!$A:$A,'Scoring_Config'!$D:$D,"Yes")="Yes",_xlfn.XLOOKUP("Src_CIDR_17_22",'Scoring_Config'!$A:$A,'Scoring_Config'!$C:$C,15),0),0)+IF(LEFT(AF15,4)="True",IF(_xlfn.XLOOKUP("Dst_IsAny",'Scoring_Config'!$A:$A,'Scoring_Config'!$D:$D,"Yes")="Yes",_xlfn.XLOOKUP("Dst_IsAny",'Scoring_Config'!$A:$A,'Scoring_Config'!$C:$C,25),0),0)+IF(LEFT(AG15,4)="True",IF(_xlfn.XLOOKUP("Dst_CIDR_Le_16",'Scoring_Config'!$A:$A,'Scoring_Config'!$D:$D,"Yes")="Yes",_xlfn.XLOOKUP("Dst_CIDR_Le_16",'Scoring_Config'!$A:$A,'Scoring_Config'!$C:$C,25),0),0)+IF(LEFT(AH15,4)="True",IF(_xlfn.XLOOKUP("Dst_CIDR_17_22",'Scoring_Config'!$A:$A,'Scoring_Config'!$D:$D,"Yes")="Yes",_xlfn.XLOOKUP("Dst_CIDR_17_22",'Scoring_Config'!$A:$A,'Scoring_Config'!$C:$C,15),0),0)+IF(LEFT(AI15,4)="True",IF(_xlfn.XLOOKUP("SrcZone_IsAny",'Scoring_Config'!$A:$A,'Scoring_Config'!$D:$D,"Yes")="Yes",_xlfn.XLOOKUP("SrcZone_IsAny",'Scoring_Config'!$A:$A,'Scoring_Config'!$C:$C,5),0),0)+IF(LEFT(AJ15,4)="True",IF(_xlfn.XLOOKUP("DstZone_IsAny",'Scoring_Config'!$A:$A,'Scoring_Config'!$D:$D,"Yes")="Yes",_xlfn.XLOOKUP("DstZone_IsAny",'Scoring_Config'!$A:$A,'Scoring_Config'!$C:$C,5),0),0)+IF(LEFT(AK15,4)="True",IF(_xlfn.XLOOKUP("Service_Any_OR_RangeGt1000",'Scoring_Config'!$A:$A,'Scoring_Config'!$D:$D,"Yes")="Yes",_xlfn.XLOOKUP("Service_Any_OR_RangeGt1000",'Scoring_Config'!$A:$A,'Scoring_Config'!$C:$C,25),0),0)+IF(LEFT(AL15,4)="True",IF(_xlfn.XLOOKUP("App_Any_OR_RangeGt1000",'Scoring_Config'!$A:$A,'Scoring_Config'!$D:$D,"Yes")="Yes",_xlfn.XLOOKUP("App_Any_OR_RangeGt1000",'Scoring_Config'!$A:$A,'Scoring_Config'!$C:$C,25),0),0)+IF(LEFT(AM15,4)="True",IF(_xlfn.XLOOKUP("Service_Insecure_Match",'Scoring_Config'!$A:$A,'Scoring_Config'!$D:$D,"Yes")="Yes",_xlfn.XLOOKUP("Service_Insecure_Match",'Scoring_Config'!$A:$A,'Scoring_Config'!$C:$C,20),0),0)+IF(LEFT(AN15,4)="True",IF(_xlfn.XLOOKUP("Risky_Inbound",'Scoring_Config'!$A:$A,'Scoring_Config'!$D:$D,"Yes")="Yes",_xlfn.XLOOKUP("Risky_Inbound",'Scoring_Config'!$A:$A,'Scoring_Config'!$C:$C,20),0),0)+IF(LEFT(AO15,4)="True",IF(_xlfn.XLOOKUP("Risky_Outbound",'Scoring_Config'!$A:$A,'Scoring_Config'!$D:$D,"Yes")="Yes",_xlfn.XLOOKUP("Risky_Outbound",'Scoring_Config'!$A:$A,'Scoring_Config'!$C:$C,10),0),0)+IF(LEFT(AW15,4)="True",IF(_xlfn.XLOOKUP("Migrate_Insecure",'Scoring_Config'!$A:$A,'Scoring_Config'!$D:$D,"Yes")="Yes",_xlfn.XLOOKUP("Migrate_Insecure",'Scoring_Config'!$A:$A,'Scoring_Config'!$C:$C,15),0),0)+IF(LEFT(AY15,4)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,FIND(",",AP15)+1,100)),0)+IF(LEFT(AQ15,4)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,FIND(",",AR15)+1,100)),0)+IF(_xlfn.XLOOKUP("Profile_Scoring",'Scoring_Config'!$A:$A,'Scoring_Config'!$D:$D,"Yes")="Yes",VALUE(MID(AS15,FIND(",",AS15)+1,100)),0)+IF(_xlfn.XLOOKUP("Options_Scoring",'Scoring_Config'!$A:$A,'Scoring_Config'!$D:$D,"Yes")="Yes",VALUE(MID(AT15,FIND(",",AT15)+1,100)),0)))</f>
        <v>0</v>
      </c>
    </row>
    <row r="16" spans="1:52">
      <c r="A16" s="3" t="s">
        <v>52</v>
      </c>
      <c r="B16" s="3" t="s">
        <v>70</v>
      </c>
      <c r="C16" s="3" t="s">
        <v>329</v>
      </c>
      <c r="D16" s="3"/>
      <c r="E16" s="3" t="s">
        <v>359</v>
      </c>
      <c r="F16" s="3" t="s">
        <v>362</v>
      </c>
      <c r="G16" s="3" t="s">
        <v>374</v>
      </c>
      <c r="H16" s="3" t="s">
        <v>543</v>
      </c>
      <c r="I16" s="3" t="s">
        <v>623</v>
      </c>
      <c r="J16" s="3" t="s">
        <v>363</v>
      </c>
      <c r="K16" s="3" t="s">
        <v>393</v>
      </c>
      <c r="L16" s="3" t="s">
        <v>554</v>
      </c>
      <c r="M16" s="3" t="s">
        <v>770</v>
      </c>
      <c r="N16" s="3" t="s">
        <v>770</v>
      </c>
      <c r="O16" s="4" t="s">
        <v>809</v>
      </c>
      <c r="P16" s="3" t="s">
        <v>870</v>
      </c>
      <c r="Q16" s="3" t="s">
        <v>905</v>
      </c>
      <c r="R16" s="3" t="s">
        <v>910</v>
      </c>
      <c r="S16" s="3" t="s">
        <v>907</v>
      </c>
      <c r="T16" s="3" t="s">
        <v>929</v>
      </c>
      <c r="U16" s="3" t="s">
        <v>1155</v>
      </c>
      <c r="V16" s="3" t="s">
        <v>1386</v>
      </c>
      <c r="W16" s="3" t="s">
        <v>1401</v>
      </c>
      <c r="X16" s="3" t="s">
        <v>1620</v>
      </c>
      <c r="Y16" s="3" t="s">
        <v>2089</v>
      </c>
      <c r="Z16" s="3"/>
      <c r="AA16" s="3"/>
      <c r="AB16" s="3"/>
      <c r="AC16" s="4" cm="1">
        <f t="array" ref="AC16">IF(FALSE,"True," &amp; IF(_xlfn.XLOOKUP("Src_IsAny",'Scoring_Config'!$A:$A,'Scoring_Config'!$D:$D,"Yes")="Yes",_xlfn.XLOOKUP("Src_IsAny",'Scoring_Config'!$A:$A,'Scoring_Config'!$C:$C,25),0),"False,0")</f>
        <v>0</v>
      </c>
      <c r="AD16" s="4" cm="1">
        <f t="array" ref="AD16">IF(FALSE,"True," &amp; IF(_xlfn.XLOOKUP("Src_CIDR_Le_16",'Scoring_Config'!$A:$A,'Scoring_Config'!$D:$D,"Yes")="Yes",_xlfn.XLOOKUP("Src_CIDR_Le_16",'Scoring_Config'!$A:$A,'Scoring_Config'!$C:$C,25),0),"False,0")</f>
        <v>0</v>
      </c>
      <c r="AE16" s="4" cm="1">
        <f t="array" ref="AE16">IF(FALSE,"True," &amp; IF(_xlfn.XLOOKUP("Src_CIDR_17_22",'Scoring_Config'!$A:$A,'Scoring_Config'!$D:$D,"Yes")="Yes",_xlfn.XLOOKUP("Src_CIDR_17_22",'Scoring_Config'!$A:$A,'Scoring_Config'!$C:$C,15),0),"False,0")</f>
        <v>0</v>
      </c>
      <c r="AF16" s="4" cm="1">
        <f t="array" ref="AF16">IF(FALSE,"True," &amp; IF(_xlfn.XLOOKUP("Dst_IsAny",'Scoring_Config'!$A:$A,'Scoring_Config'!$D:$D,"Yes")="Yes",_xlfn.XLOOKUP("Dst_IsAny",'Scoring_Config'!$A:$A,'Scoring_Config'!$C:$C,25),0),"False,0")</f>
        <v>0</v>
      </c>
      <c r="AG16" s="4" cm="1">
        <f t="array" ref="AG16">IF(FALSE,"True," &amp; IF(_xlfn.XLOOKUP("Dst_CIDR_Le_16",'Scoring_Config'!$A:$A,'Scoring_Config'!$D:$D,"Yes")="Yes",_xlfn.XLOOKUP("Dst_CIDR_Le_16",'Scoring_Config'!$A:$A,'Scoring_Config'!$C:$C,25),0),"False,0")</f>
        <v>0</v>
      </c>
      <c r="AH16" s="4" cm="1">
        <f t="array" ref="AH16">IF(FALSE,"True," &amp; IF(_xlfn.XLOOKUP("Dst_CIDR_17_22",'Scoring_Config'!$A:$A,'Scoring_Config'!$D:$D,"Yes")="Yes",_xlfn.XLOOKUP("Dst_CIDR_17_22",'Scoring_Config'!$A:$A,'Scoring_Config'!$C:$C,15),0),"False,0")</f>
        <v>0</v>
      </c>
      <c r="AI16" s="4" cm="1">
        <f t="array" ref="AI16">IF(FALSE,"True," &amp; IF(_xlfn.XLOOKUP("SrcZone_IsAny",'Scoring_Config'!$A:$A,'Scoring_Config'!$D:$D,"Yes")="Yes",_xlfn.XLOOKUP("SrcZone_IsAny",'Scoring_Config'!$A:$A,'Scoring_Config'!$C:$C,5),0),"False,0")</f>
        <v>0</v>
      </c>
      <c r="AJ16" s="4" cm="1">
        <f t="array" ref="AJ16">IF(FALSE,"True," &amp; IF(_xlfn.XLOOKUP("DstZone_IsAny",'Scoring_Config'!$A:$A,'Scoring_Config'!$D:$D,"Yes")="Yes",_xlfn.XLOOKUP("DstZone_IsAny",'Scoring_Config'!$A:$A,'Scoring_Config'!$C:$C,5),0),"False,0")</f>
        <v>0</v>
      </c>
      <c r="AK16" s="4" cm="1">
        <f t="array" ref="AK1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" s="4" cm="1">
        <f t="array" ref="AL16">IF(FALSE,"True," &amp; IF(_xlfn.XLOOKUP("App_Any_OR_RangeGt1000",'Scoring_Config'!$A:$A,'Scoring_Config'!$D:$D,"Yes")="Yes",_xlfn.XLOOKUP("App_Any_OR_RangeGt1000",'Scoring_Config'!$A:$A,'Scoring_Config'!$C:$C,25),0),"False,0")</f>
        <v>0</v>
      </c>
      <c r="AM16" s="4" cm="1">
        <f t="array" ref="AM16">IF(FALSE,"True," &amp; IF(_xlfn.XLOOKUP("Service_Insecure_Match",'Scoring_Config'!$A:$A,'Scoring_Config'!$D:$D,"Yes")="Yes",_xlfn.XLOOKUP("Service_Insecure_Match",'Scoring_Config'!$A:$A,'Scoring_Config'!$C:$C,20),0),"False,0")</f>
        <v>0</v>
      </c>
      <c r="AN16" s="4" cm="1">
        <f t="array" ref="AN16">IF(FALSE,"True," &amp; IF(_xlfn.XLOOKUP("Risky_Inbound",'Scoring_Config'!$A:$A,'Scoring_Config'!$D:$D,"Yes")="Yes",_xlfn.XLOOKUP("Risky_Inbound",'Scoring_Config'!$A:$A,'Scoring_Config'!$C:$C,20),0),"False,0")</f>
        <v>0</v>
      </c>
      <c r="AO16" s="4" cm="1">
        <f t="array" ref="AO16">IF(FALSE,"True," &amp; IF(_xlfn.XLOOKUP("Risky_Outbound",'Scoring_Config'!$A:$A,'Scoring_Config'!$D:$D,"Yes")="Yes",_xlfn.XLOOKUP("Risky_Outbound",'Scoring_Config'!$A:$A,'Scoring_Config'!$C:$C,10),0),"False,0")</f>
        <v>0</v>
      </c>
      <c r="AP16" s="5" t="s">
        <v>2595</v>
      </c>
      <c r="AQ16" s="4" cm="1">
        <f t="array" ref="AQ1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" s="5" t="s">
        <v>2598</v>
      </c>
      <c r="AS16" s="4" t="s">
        <v>2592</v>
      </c>
      <c r="AT16" s="5" t="s">
        <v>2595</v>
      </c>
      <c r="AU16" s="4" cm="1">
        <f t="array" ref="AU16">IF(FALSE,"True," &amp; IF(_xlfn.XLOOKUP("Action_IsDenyOrDrop",'Scoring_Config'!$A:$A,'Scoring_Config'!$D:$D,"Yes")="Yes",_xlfn.XLOOKUP("Action_IsDenyOrDrop",'Scoring_Config'!$A:$A,'Scoring_Config'!$C:$C,0),0),"False,0")</f>
        <v>0</v>
      </c>
      <c r="AV16" s="4"/>
      <c r="AW16" s="4" cm="1">
        <f t="array" ref="AW16">IF(FALSE,"True," &amp; IF(_xlfn.XLOOKUP("Migrate_Insecure",'Scoring_Config'!$A:$A,'Scoring_Config'!$D:$D,"Yes")="Yes",_xlfn.XLOOKUP("Migrate_Insecure",'Scoring_Config'!$A:$A,'Scoring_Config'!$C:$C,15),0),"False,0")</f>
        <v>0</v>
      </c>
      <c r="AX16" s="4"/>
      <c r="AY16" s="4" cm="1">
        <f t="array" ref="AY16">IF(FALSE,"True," &amp; IF(_xlfn.XLOOKUP("Migrate_Other_Ports",'Scoring_Config'!$A:$A,'Scoring_Config'!$D:$D,"Yes")="Yes",_xlfn.XLOOKUP("Migrate_Other_Ports",'Scoring_Config'!$A:$A,'Scoring_Config'!$C:$C,5),0),"False,0")</f>
        <v>0</v>
      </c>
      <c r="AZ16" s="4" cm="1">
        <f t="array" ref="AZ16">IF(LEFT(AU16,4)="True",0,(IF(LEFT(AC16,4)="True",IF(_xlfn.XLOOKUP("Src_IsAny",'Scoring_Config'!$A:$A,'Scoring_Config'!$D:$D,"Yes")="Yes",_xlfn.XLOOKUP("Src_IsAny",'Scoring_Config'!$A:$A,'Scoring_Config'!$C:$C,25),0),0)+IF(LEFT(AD16,4)="True",IF(_xlfn.XLOOKUP("Src_CIDR_Le_16",'Scoring_Config'!$A:$A,'Scoring_Config'!$D:$D,"Yes")="Yes",_xlfn.XLOOKUP("Src_CIDR_Le_16",'Scoring_Config'!$A:$A,'Scoring_Config'!$C:$C,25),0),0)+IF(LEFT(AE16,4)="True",IF(_xlfn.XLOOKUP("Src_CIDR_17_22",'Scoring_Config'!$A:$A,'Scoring_Config'!$D:$D,"Yes")="Yes",_xlfn.XLOOKUP("Src_CIDR_17_22",'Scoring_Config'!$A:$A,'Scoring_Config'!$C:$C,15),0),0)+IF(LEFT(AF16,4)="True",IF(_xlfn.XLOOKUP("Dst_IsAny",'Scoring_Config'!$A:$A,'Scoring_Config'!$D:$D,"Yes")="Yes",_xlfn.XLOOKUP("Dst_IsAny",'Scoring_Config'!$A:$A,'Scoring_Config'!$C:$C,25),0),0)+IF(LEFT(AG16,4)="True",IF(_xlfn.XLOOKUP("Dst_CIDR_Le_16",'Scoring_Config'!$A:$A,'Scoring_Config'!$D:$D,"Yes")="Yes",_xlfn.XLOOKUP("Dst_CIDR_Le_16",'Scoring_Config'!$A:$A,'Scoring_Config'!$C:$C,25),0),0)+IF(LEFT(AH16,4)="True",IF(_xlfn.XLOOKUP("Dst_CIDR_17_22",'Scoring_Config'!$A:$A,'Scoring_Config'!$D:$D,"Yes")="Yes",_xlfn.XLOOKUP("Dst_CIDR_17_22",'Scoring_Config'!$A:$A,'Scoring_Config'!$C:$C,15),0),0)+IF(LEFT(AI16,4)="True",IF(_xlfn.XLOOKUP("SrcZone_IsAny",'Scoring_Config'!$A:$A,'Scoring_Config'!$D:$D,"Yes")="Yes",_xlfn.XLOOKUP("SrcZone_IsAny",'Scoring_Config'!$A:$A,'Scoring_Config'!$C:$C,5),0),0)+IF(LEFT(AJ16,4)="True",IF(_xlfn.XLOOKUP("DstZone_IsAny",'Scoring_Config'!$A:$A,'Scoring_Config'!$D:$D,"Yes")="Yes",_xlfn.XLOOKUP("DstZone_IsAny",'Scoring_Config'!$A:$A,'Scoring_Config'!$C:$C,5),0),0)+IF(LEFT(AK16,4)="True",IF(_xlfn.XLOOKUP("Service_Any_OR_RangeGt1000",'Scoring_Config'!$A:$A,'Scoring_Config'!$D:$D,"Yes")="Yes",_xlfn.XLOOKUP("Service_Any_OR_RangeGt1000",'Scoring_Config'!$A:$A,'Scoring_Config'!$C:$C,25),0),0)+IF(LEFT(AL16,4)="True",IF(_xlfn.XLOOKUP("App_Any_OR_RangeGt1000",'Scoring_Config'!$A:$A,'Scoring_Config'!$D:$D,"Yes")="Yes",_xlfn.XLOOKUP("App_Any_OR_RangeGt1000",'Scoring_Config'!$A:$A,'Scoring_Config'!$C:$C,25),0),0)+IF(LEFT(AM16,4)="True",IF(_xlfn.XLOOKUP("Service_Insecure_Match",'Scoring_Config'!$A:$A,'Scoring_Config'!$D:$D,"Yes")="Yes",_xlfn.XLOOKUP("Service_Insecure_Match",'Scoring_Config'!$A:$A,'Scoring_Config'!$C:$C,20),0),0)+IF(LEFT(AN16,4)="True",IF(_xlfn.XLOOKUP("Risky_Inbound",'Scoring_Config'!$A:$A,'Scoring_Config'!$D:$D,"Yes")="Yes",_xlfn.XLOOKUP("Risky_Inbound",'Scoring_Config'!$A:$A,'Scoring_Config'!$C:$C,20),0),0)+IF(LEFT(AO16,4)="True",IF(_xlfn.XLOOKUP("Risky_Outbound",'Scoring_Config'!$A:$A,'Scoring_Config'!$D:$D,"Yes")="Yes",_xlfn.XLOOKUP("Risky_Outbound",'Scoring_Config'!$A:$A,'Scoring_Config'!$C:$C,10),0),0)+IF(LEFT(AW16,4)="True",IF(_xlfn.XLOOKUP("Migrate_Insecure",'Scoring_Config'!$A:$A,'Scoring_Config'!$D:$D,"Yes")="Yes",_xlfn.XLOOKUP("Migrate_Insecure",'Scoring_Config'!$A:$A,'Scoring_Config'!$C:$C,15),0),0)+IF(LEFT(AY16,4)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,FIND(",",AP16)+1,100)),0)+IF(LEFT(AQ16,4)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,FIND(",",AR16)+1,100)),0)+IF(_xlfn.XLOOKUP("Profile_Scoring",'Scoring_Config'!$A:$A,'Scoring_Config'!$D:$D,"Yes")="Yes",VALUE(MID(AS16,FIND(",",AS16)+1,100)),0)+IF(_xlfn.XLOOKUP("Options_Scoring",'Scoring_Config'!$A:$A,'Scoring_Config'!$D:$D,"Yes")="Yes",VALUE(MID(AT16,FIND(",",AT16)+1,100)),0)))</f>
        <v>0</v>
      </c>
    </row>
    <row r="17" spans="1:52">
      <c r="A17" s="3" t="s">
        <v>52</v>
      </c>
      <c r="B17" s="3" t="s">
        <v>71</v>
      </c>
      <c r="C17" s="3" t="s">
        <v>329</v>
      </c>
      <c r="D17" s="3"/>
      <c r="E17" s="3" t="s">
        <v>359</v>
      </c>
      <c r="F17" s="3" t="s">
        <v>361</v>
      </c>
      <c r="G17" s="3" t="s">
        <v>365</v>
      </c>
      <c r="H17" s="3" t="s">
        <v>365</v>
      </c>
      <c r="I17" s="3" t="s">
        <v>624</v>
      </c>
      <c r="J17" s="3" t="s">
        <v>360</v>
      </c>
      <c r="K17" s="3" t="s">
        <v>365</v>
      </c>
      <c r="L17" s="3" t="s">
        <v>365</v>
      </c>
      <c r="M17" s="3" t="s">
        <v>365</v>
      </c>
      <c r="N17" s="3" t="s">
        <v>365</v>
      </c>
      <c r="O17" s="4" t="s">
        <v>801</v>
      </c>
      <c r="P17" s="3" t="s">
        <v>862</v>
      </c>
      <c r="Q17" s="3" t="s">
        <v>905</v>
      </c>
      <c r="R17" s="3" t="s">
        <v>907</v>
      </c>
      <c r="S17" s="3" t="s">
        <v>912</v>
      </c>
      <c r="T17" s="3" t="s">
        <v>930</v>
      </c>
      <c r="U17" s="3" t="s">
        <v>1156</v>
      </c>
      <c r="V17" s="3" t="s">
        <v>770</v>
      </c>
      <c r="W17" s="3" t="s">
        <v>1035</v>
      </c>
      <c r="X17" s="3" t="s">
        <v>1621</v>
      </c>
      <c r="Y17" s="3" t="s">
        <v>2090</v>
      </c>
      <c r="Z17" s="3"/>
      <c r="AA17" s="3"/>
      <c r="AB17" s="3"/>
      <c r="AC17" s="5" cm="1">
        <f t="array" ref="AC17">IF(TRUE,"True," &amp; IF(_xlfn.XLOOKUP("Src_IsAny",'Scoring_Config'!$A:$A,'Scoring_Config'!$D:$D,"Yes")="Yes",_xlfn.XLOOKUP("Src_IsAny",'Scoring_Config'!$A:$A,'Scoring_Config'!$C:$C,25),0),"False,0")</f>
        <v>0</v>
      </c>
      <c r="AD17" s="4" cm="1">
        <f t="array" ref="AD17">IF(FALSE,"True," &amp; IF(_xlfn.XLOOKUP("Src_CIDR_Le_16",'Scoring_Config'!$A:$A,'Scoring_Config'!$D:$D,"Yes")="Yes",_xlfn.XLOOKUP("Src_CIDR_Le_16",'Scoring_Config'!$A:$A,'Scoring_Config'!$C:$C,25),0),"False,0")</f>
        <v>0</v>
      </c>
      <c r="AE17" s="4" cm="1">
        <f t="array" ref="AE17">IF(FALSE,"True," &amp; IF(_xlfn.XLOOKUP("Src_CIDR_17_22",'Scoring_Config'!$A:$A,'Scoring_Config'!$D:$D,"Yes")="Yes",_xlfn.XLOOKUP("Src_CIDR_17_22",'Scoring_Config'!$A:$A,'Scoring_Config'!$C:$C,15),0),"False,0")</f>
        <v>0</v>
      </c>
      <c r="AF17" s="5" cm="1">
        <f t="array" ref="AF17">IF(TRUE,"True," &amp; IF(_xlfn.XLOOKUP("Dst_IsAny",'Scoring_Config'!$A:$A,'Scoring_Config'!$D:$D,"Yes")="Yes",_xlfn.XLOOKUP("Dst_IsAny",'Scoring_Config'!$A:$A,'Scoring_Config'!$C:$C,25),0),"False,0")</f>
        <v>0</v>
      </c>
      <c r="AG17" s="4" cm="1">
        <f t="array" ref="AG17">IF(FALSE,"True," &amp; IF(_xlfn.XLOOKUP("Dst_CIDR_Le_16",'Scoring_Config'!$A:$A,'Scoring_Config'!$D:$D,"Yes")="Yes",_xlfn.XLOOKUP("Dst_CIDR_Le_16",'Scoring_Config'!$A:$A,'Scoring_Config'!$C:$C,25),0),"False,0")</f>
        <v>0</v>
      </c>
      <c r="AH17" s="4" cm="1">
        <f t="array" ref="AH17">IF(FALSE,"True," &amp; IF(_xlfn.XLOOKUP("Dst_CIDR_17_22",'Scoring_Config'!$A:$A,'Scoring_Config'!$D:$D,"Yes")="Yes",_xlfn.XLOOKUP("Dst_CIDR_17_22",'Scoring_Config'!$A:$A,'Scoring_Config'!$C:$C,15),0),"False,0")</f>
        <v>0</v>
      </c>
      <c r="AI17" s="4" cm="1">
        <f t="array" ref="AI17">IF(FALSE,"True," &amp; IF(_xlfn.XLOOKUP("SrcZone_IsAny",'Scoring_Config'!$A:$A,'Scoring_Config'!$D:$D,"Yes")="Yes",_xlfn.XLOOKUP("SrcZone_IsAny",'Scoring_Config'!$A:$A,'Scoring_Config'!$C:$C,5),0),"False,0")</f>
        <v>0</v>
      </c>
      <c r="AJ17" s="4" cm="1">
        <f t="array" ref="AJ17">IF(FALSE,"True," &amp; IF(_xlfn.XLOOKUP("DstZone_IsAny",'Scoring_Config'!$A:$A,'Scoring_Config'!$D:$D,"Yes")="Yes",_xlfn.XLOOKUP("DstZone_IsAny",'Scoring_Config'!$A:$A,'Scoring_Config'!$C:$C,5),0),"False,0")</f>
        <v>0</v>
      </c>
      <c r="AK17" s="4" cm="1">
        <f t="array" ref="AK1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" s="5" cm="1">
        <f t="array" ref="AL17">IF(TRUE,"True," &amp; IF(_xlfn.XLOOKUP("App_Any_OR_RangeGt1000",'Scoring_Config'!$A:$A,'Scoring_Config'!$D:$D,"Yes")="Yes",_xlfn.XLOOKUP("App_Any_OR_RangeGt1000",'Scoring_Config'!$A:$A,'Scoring_Config'!$C:$C,25),0),"False,0")</f>
        <v>0</v>
      </c>
      <c r="AM17" s="5" cm="1">
        <f t="array" ref="AM17">IF(TRUE,"True," &amp; IF(_xlfn.XLOOKUP("Service_Insecure_Match",'Scoring_Config'!$A:$A,'Scoring_Config'!$D:$D,"Yes")="Yes",_xlfn.XLOOKUP("Service_Insecure_Match",'Scoring_Config'!$A:$A,'Scoring_Config'!$C:$C,20),0),"False,0")</f>
        <v>0</v>
      </c>
      <c r="AN17" s="4" cm="1">
        <f t="array" ref="AN17">IF(FALSE,"True," &amp; IF(_xlfn.XLOOKUP("Risky_Inbound",'Scoring_Config'!$A:$A,'Scoring_Config'!$D:$D,"Yes")="Yes",_xlfn.XLOOKUP("Risky_Inbound",'Scoring_Config'!$A:$A,'Scoring_Config'!$C:$C,20),0),"False,0")</f>
        <v>0</v>
      </c>
      <c r="AO17" s="4" cm="1">
        <f t="array" ref="AO17">IF(FALSE,"True," &amp; IF(_xlfn.XLOOKUP("Risky_Outbound",'Scoring_Config'!$A:$A,'Scoring_Config'!$D:$D,"Yes")="Yes",_xlfn.XLOOKUP("Risky_Outbound",'Scoring_Config'!$A:$A,'Scoring_Config'!$C:$C,10),0),"False,0")</f>
        <v>0</v>
      </c>
      <c r="AP17" s="5" t="s">
        <v>2595</v>
      </c>
      <c r="AQ17" s="4" cm="1">
        <f t="array" ref="AQ1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" s="5" t="s">
        <v>2598</v>
      </c>
      <c r="AS17" s="5" t="s">
        <v>2595</v>
      </c>
      <c r="AT17" s="4" t="s">
        <v>2592</v>
      </c>
      <c r="AU17" s="4" cm="1">
        <f t="array" ref="AU17">IF(FALSE,"True," &amp; IF(_xlfn.XLOOKUP("Action_IsDenyOrDrop",'Scoring_Config'!$A:$A,'Scoring_Config'!$D:$D,"Yes")="Yes",_xlfn.XLOOKUP("Action_IsDenyOrDrop",'Scoring_Config'!$A:$A,'Scoring_Config'!$C:$C,0),0),"False,0")</f>
        <v>0</v>
      </c>
      <c r="AV17" s="4"/>
      <c r="AW17" s="4" cm="1">
        <f t="array" ref="AW17">IF(FALSE,"True," &amp; IF(_xlfn.XLOOKUP("Migrate_Insecure",'Scoring_Config'!$A:$A,'Scoring_Config'!$D:$D,"Yes")="Yes",_xlfn.XLOOKUP("Migrate_Insecure",'Scoring_Config'!$A:$A,'Scoring_Config'!$C:$C,15),0),"False,0")</f>
        <v>0</v>
      </c>
      <c r="AX17" s="4"/>
      <c r="AY17" s="4" cm="1">
        <f t="array" ref="AY17">IF(FALSE,"True," &amp; IF(_xlfn.XLOOKUP("Migrate_Other_Ports",'Scoring_Config'!$A:$A,'Scoring_Config'!$D:$D,"Yes")="Yes",_xlfn.XLOOKUP("Migrate_Other_Ports",'Scoring_Config'!$A:$A,'Scoring_Config'!$C:$C,5),0),"False,0")</f>
        <v>0</v>
      </c>
      <c r="AZ17" s="4" cm="1">
        <f t="array" ref="AZ17">IF(LEFT(AU17,4)="True",0,(IF(LEFT(AC17,4)="True",IF(_xlfn.XLOOKUP("Src_IsAny",'Scoring_Config'!$A:$A,'Scoring_Config'!$D:$D,"Yes")="Yes",_xlfn.XLOOKUP("Src_IsAny",'Scoring_Config'!$A:$A,'Scoring_Config'!$C:$C,25),0),0)+IF(LEFT(AD17,4)="True",IF(_xlfn.XLOOKUP("Src_CIDR_Le_16",'Scoring_Config'!$A:$A,'Scoring_Config'!$D:$D,"Yes")="Yes",_xlfn.XLOOKUP("Src_CIDR_Le_16",'Scoring_Config'!$A:$A,'Scoring_Config'!$C:$C,25),0),0)+IF(LEFT(AE17,4)="True",IF(_xlfn.XLOOKUP("Src_CIDR_17_22",'Scoring_Config'!$A:$A,'Scoring_Config'!$D:$D,"Yes")="Yes",_xlfn.XLOOKUP("Src_CIDR_17_22",'Scoring_Config'!$A:$A,'Scoring_Config'!$C:$C,15),0),0)+IF(LEFT(AF17,4)="True",IF(_xlfn.XLOOKUP("Dst_IsAny",'Scoring_Config'!$A:$A,'Scoring_Config'!$D:$D,"Yes")="Yes",_xlfn.XLOOKUP("Dst_IsAny",'Scoring_Config'!$A:$A,'Scoring_Config'!$C:$C,25),0),0)+IF(LEFT(AG17,4)="True",IF(_xlfn.XLOOKUP("Dst_CIDR_Le_16",'Scoring_Config'!$A:$A,'Scoring_Config'!$D:$D,"Yes")="Yes",_xlfn.XLOOKUP("Dst_CIDR_Le_16",'Scoring_Config'!$A:$A,'Scoring_Config'!$C:$C,25),0),0)+IF(LEFT(AH17,4)="True",IF(_xlfn.XLOOKUP("Dst_CIDR_17_22",'Scoring_Config'!$A:$A,'Scoring_Config'!$D:$D,"Yes")="Yes",_xlfn.XLOOKUP("Dst_CIDR_17_22",'Scoring_Config'!$A:$A,'Scoring_Config'!$C:$C,15),0),0)+IF(LEFT(AI17,4)="True",IF(_xlfn.XLOOKUP("SrcZone_IsAny",'Scoring_Config'!$A:$A,'Scoring_Config'!$D:$D,"Yes")="Yes",_xlfn.XLOOKUP("SrcZone_IsAny",'Scoring_Config'!$A:$A,'Scoring_Config'!$C:$C,5),0),0)+IF(LEFT(AJ17,4)="True",IF(_xlfn.XLOOKUP("DstZone_IsAny",'Scoring_Config'!$A:$A,'Scoring_Config'!$D:$D,"Yes")="Yes",_xlfn.XLOOKUP("DstZone_IsAny",'Scoring_Config'!$A:$A,'Scoring_Config'!$C:$C,5),0),0)+IF(LEFT(AK17,4)="True",IF(_xlfn.XLOOKUP("Service_Any_OR_RangeGt1000",'Scoring_Config'!$A:$A,'Scoring_Config'!$D:$D,"Yes")="Yes",_xlfn.XLOOKUP("Service_Any_OR_RangeGt1000",'Scoring_Config'!$A:$A,'Scoring_Config'!$C:$C,25),0),0)+IF(LEFT(AL17,4)="True",IF(_xlfn.XLOOKUP("App_Any_OR_RangeGt1000",'Scoring_Config'!$A:$A,'Scoring_Config'!$D:$D,"Yes")="Yes",_xlfn.XLOOKUP("App_Any_OR_RangeGt1000",'Scoring_Config'!$A:$A,'Scoring_Config'!$C:$C,25),0),0)+IF(LEFT(AM17,4)="True",IF(_xlfn.XLOOKUP("Service_Insecure_Match",'Scoring_Config'!$A:$A,'Scoring_Config'!$D:$D,"Yes")="Yes",_xlfn.XLOOKUP("Service_Insecure_Match",'Scoring_Config'!$A:$A,'Scoring_Config'!$C:$C,20),0),0)+IF(LEFT(AN17,4)="True",IF(_xlfn.XLOOKUP("Risky_Inbound",'Scoring_Config'!$A:$A,'Scoring_Config'!$D:$D,"Yes")="Yes",_xlfn.XLOOKUP("Risky_Inbound",'Scoring_Config'!$A:$A,'Scoring_Config'!$C:$C,20),0),0)+IF(LEFT(AO17,4)="True",IF(_xlfn.XLOOKUP("Risky_Outbound",'Scoring_Config'!$A:$A,'Scoring_Config'!$D:$D,"Yes")="Yes",_xlfn.XLOOKUP("Risky_Outbound",'Scoring_Config'!$A:$A,'Scoring_Config'!$C:$C,10),0),0)+IF(LEFT(AW17,4)="True",IF(_xlfn.XLOOKUP("Migrate_Insecure",'Scoring_Config'!$A:$A,'Scoring_Config'!$D:$D,"Yes")="Yes",_xlfn.XLOOKUP("Migrate_Insecure",'Scoring_Config'!$A:$A,'Scoring_Config'!$C:$C,15),0),0)+IF(LEFT(AY17,4)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,FIND(",",AP17)+1,100)),0)+IF(LEFT(AQ17,4)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,FIND(",",AR17)+1,100)),0)+IF(_xlfn.XLOOKUP("Profile_Scoring",'Scoring_Config'!$A:$A,'Scoring_Config'!$D:$D,"Yes")="Yes",VALUE(MID(AS17,FIND(",",AS17)+1,100)),0)+IF(_xlfn.XLOOKUP("Options_Scoring",'Scoring_Config'!$A:$A,'Scoring_Config'!$D:$D,"Yes")="Yes",VALUE(MID(AT17,FIND(",",AT17)+1,100)),0)))</f>
        <v>0</v>
      </c>
    </row>
    <row r="18" spans="1:52">
      <c r="A18" s="3" t="s">
        <v>52</v>
      </c>
      <c r="B18" s="3" t="s">
        <v>72</v>
      </c>
      <c r="C18" s="3" t="s">
        <v>329</v>
      </c>
      <c r="D18" s="3"/>
      <c r="E18" s="3" t="s">
        <v>359</v>
      </c>
      <c r="F18" s="3" t="s">
        <v>361</v>
      </c>
      <c r="G18" s="3" t="s">
        <v>375</v>
      </c>
      <c r="H18" s="3" t="s">
        <v>375</v>
      </c>
      <c r="I18" s="3" t="s">
        <v>625</v>
      </c>
      <c r="J18" s="3" t="s">
        <v>363</v>
      </c>
      <c r="K18" s="3" t="s">
        <v>627</v>
      </c>
      <c r="L18" s="3" t="s">
        <v>627</v>
      </c>
      <c r="M18" s="3" t="s">
        <v>772</v>
      </c>
      <c r="N18" s="3" t="s">
        <v>794</v>
      </c>
      <c r="O18" s="4" t="s">
        <v>806</v>
      </c>
      <c r="P18" s="3" t="s">
        <v>867</v>
      </c>
      <c r="Q18" s="3" t="s">
        <v>905</v>
      </c>
      <c r="R18" s="3" t="s">
        <v>907</v>
      </c>
      <c r="S18" s="3" t="s">
        <v>913</v>
      </c>
      <c r="T18" s="3" t="s">
        <v>919</v>
      </c>
      <c r="U18" s="3" t="s">
        <v>1157</v>
      </c>
      <c r="V18" s="3" t="s">
        <v>789</v>
      </c>
      <c r="W18" s="3" t="s">
        <v>1402</v>
      </c>
      <c r="X18" s="3" t="s">
        <v>1622</v>
      </c>
      <c r="Y18" s="3" t="s">
        <v>2091</v>
      </c>
      <c r="Z18" s="3"/>
      <c r="AA18" s="3"/>
      <c r="AB18" s="3"/>
      <c r="AC18" s="4" cm="1">
        <f t="array" ref="AC18">IF(FALSE,"True," &amp; IF(_xlfn.XLOOKUP("Src_IsAny",'Scoring_Config'!$A:$A,'Scoring_Config'!$D:$D,"Yes")="Yes",_xlfn.XLOOKUP("Src_IsAny",'Scoring_Config'!$A:$A,'Scoring_Config'!$C:$C,25),0),"False,0")</f>
        <v>0</v>
      </c>
      <c r="AD18" s="4" cm="1">
        <f t="array" ref="AD18">IF(FALSE,"True," &amp; IF(_xlfn.XLOOKUP("Src_CIDR_Le_16",'Scoring_Config'!$A:$A,'Scoring_Config'!$D:$D,"Yes")="Yes",_xlfn.XLOOKUP("Src_CIDR_Le_16",'Scoring_Config'!$A:$A,'Scoring_Config'!$C:$C,25),0),"False,0")</f>
        <v>0</v>
      </c>
      <c r="AE18" s="4" cm="1">
        <f t="array" ref="AE18">IF(FALSE,"True," &amp; IF(_xlfn.XLOOKUP("Src_CIDR_17_22",'Scoring_Config'!$A:$A,'Scoring_Config'!$D:$D,"Yes")="Yes",_xlfn.XLOOKUP("Src_CIDR_17_22",'Scoring_Config'!$A:$A,'Scoring_Config'!$C:$C,15),0),"False,0")</f>
        <v>0</v>
      </c>
      <c r="AF18" s="4" cm="1">
        <f t="array" ref="AF18">IF(FALSE,"True," &amp; IF(_xlfn.XLOOKUP("Dst_IsAny",'Scoring_Config'!$A:$A,'Scoring_Config'!$D:$D,"Yes")="Yes",_xlfn.XLOOKUP("Dst_IsAny",'Scoring_Config'!$A:$A,'Scoring_Config'!$C:$C,25),0),"False,0")</f>
        <v>0</v>
      </c>
      <c r="AG18" s="4" cm="1">
        <f t="array" ref="AG18">IF(FALSE,"True," &amp; IF(_xlfn.XLOOKUP("Dst_CIDR_Le_16",'Scoring_Config'!$A:$A,'Scoring_Config'!$D:$D,"Yes")="Yes",_xlfn.XLOOKUP("Dst_CIDR_Le_16",'Scoring_Config'!$A:$A,'Scoring_Config'!$C:$C,25),0),"False,0")</f>
        <v>0</v>
      </c>
      <c r="AH18" s="4" cm="1">
        <f t="array" ref="AH18">IF(FALSE,"True," &amp; IF(_xlfn.XLOOKUP("Dst_CIDR_17_22",'Scoring_Config'!$A:$A,'Scoring_Config'!$D:$D,"Yes")="Yes",_xlfn.XLOOKUP("Dst_CIDR_17_22",'Scoring_Config'!$A:$A,'Scoring_Config'!$C:$C,15),0),"False,0")</f>
        <v>0</v>
      </c>
      <c r="AI18" s="4" cm="1">
        <f t="array" ref="AI18">IF(FALSE,"True," &amp; IF(_xlfn.XLOOKUP("SrcZone_IsAny",'Scoring_Config'!$A:$A,'Scoring_Config'!$D:$D,"Yes")="Yes",_xlfn.XLOOKUP("SrcZone_IsAny",'Scoring_Config'!$A:$A,'Scoring_Config'!$C:$C,5),0),"False,0")</f>
        <v>0</v>
      </c>
      <c r="AJ18" s="4" cm="1">
        <f t="array" ref="AJ18">IF(FALSE,"True," &amp; IF(_xlfn.XLOOKUP("DstZone_IsAny",'Scoring_Config'!$A:$A,'Scoring_Config'!$D:$D,"Yes")="Yes",_xlfn.XLOOKUP("DstZone_IsAny",'Scoring_Config'!$A:$A,'Scoring_Config'!$C:$C,5),0),"False,0")</f>
        <v>0</v>
      </c>
      <c r="AK18" s="4" cm="1">
        <f t="array" ref="AK1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" s="4" cm="1">
        <f t="array" ref="AL18">IF(FALSE,"True," &amp; IF(_xlfn.XLOOKUP("App_Any_OR_RangeGt1000",'Scoring_Config'!$A:$A,'Scoring_Config'!$D:$D,"Yes")="Yes",_xlfn.XLOOKUP("App_Any_OR_RangeGt1000",'Scoring_Config'!$A:$A,'Scoring_Config'!$C:$C,25),0),"False,0")</f>
        <v>0</v>
      </c>
      <c r="AM18" s="5" cm="1">
        <f t="array" ref="AM18">IF(TRUE,"True," &amp; IF(_xlfn.XLOOKUP("Service_Insecure_Match",'Scoring_Config'!$A:$A,'Scoring_Config'!$D:$D,"Yes")="Yes",_xlfn.XLOOKUP("Service_Insecure_Match",'Scoring_Config'!$A:$A,'Scoring_Config'!$C:$C,20),0),"False,0")</f>
        <v>0</v>
      </c>
      <c r="AN18" s="4" cm="1">
        <f t="array" ref="AN18">IF(FALSE,"True," &amp; IF(_xlfn.XLOOKUP("Risky_Inbound",'Scoring_Config'!$A:$A,'Scoring_Config'!$D:$D,"Yes")="Yes",_xlfn.XLOOKUP("Risky_Inbound",'Scoring_Config'!$A:$A,'Scoring_Config'!$C:$C,20),0),"False,0")</f>
        <v>0</v>
      </c>
      <c r="AO18" s="4" cm="1">
        <f t="array" ref="AO18">IF(FALSE,"True," &amp; IF(_xlfn.XLOOKUP("Risky_Outbound",'Scoring_Config'!$A:$A,'Scoring_Config'!$D:$D,"Yes")="Yes",_xlfn.XLOOKUP("Risky_Outbound",'Scoring_Config'!$A:$A,'Scoring_Config'!$C:$C,10),0),"False,0")</f>
        <v>0</v>
      </c>
      <c r="AP18" s="5" t="s">
        <v>2595</v>
      </c>
      <c r="AQ18" s="5" cm="1">
        <f t="array" ref="AQ1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" s="5" t="s">
        <v>2598</v>
      </c>
      <c r="AS18" s="5" t="s">
        <v>2595</v>
      </c>
      <c r="AT18" s="4" t="s">
        <v>2592</v>
      </c>
      <c r="AU18" s="4" cm="1">
        <f t="array" ref="AU18">IF(FALSE,"True," &amp; IF(_xlfn.XLOOKUP("Action_IsDenyOrDrop",'Scoring_Config'!$A:$A,'Scoring_Config'!$D:$D,"Yes")="Yes",_xlfn.XLOOKUP("Action_IsDenyOrDrop",'Scoring_Config'!$A:$A,'Scoring_Config'!$C:$C,0),0),"False,0")</f>
        <v>0</v>
      </c>
      <c r="AV18" s="4"/>
      <c r="AW18" s="4" cm="1">
        <f t="array" ref="AW18">IF(FALSE,"True," &amp; IF(_xlfn.XLOOKUP("Migrate_Insecure",'Scoring_Config'!$A:$A,'Scoring_Config'!$D:$D,"Yes")="Yes",_xlfn.XLOOKUP("Migrate_Insecure",'Scoring_Config'!$A:$A,'Scoring_Config'!$C:$C,15),0),"False,0")</f>
        <v>0</v>
      </c>
      <c r="AX18" s="4"/>
      <c r="AY18" s="4" cm="1">
        <f t="array" ref="AY18">IF(FALSE,"True," &amp; IF(_xlfn.XLOOKUP("Migrate_Other_Ports",'Scoring_Config'!$A:$A,'Scoring_Config'!$D:$D,"Yes")="Yes",_xlfn.XLOOKUP("Migrate_Other_Ports",'Scoring_Config'!$A:$A,'Scoring_Config'!$C:$C,5),0),"False,0")</f>
        <v>0</v>
      </c>
      <c r="AZ18" s="4" cm="1">
        <f t="array" ref="AZ18">IF(LEFT(AU18,4)="True",0,(IF(LEFT(AC18,4)="True",IF(_xlfn.XLOOKUP("Src_IsAny",'Scoring_Config'!$A:$A,'Scoring_Config'!$D:$D,"Yes")="Yes",_xlfn.XLOOKUP("Src_IsAny",'Scoring_Config'!$A:$A,'Scoring_Config'!$C:$C,25),0),0)+IF(LEFT(AD18,4)="True",IF(_xlfn.XLOOKUP("Src_CIDR_Le_16",'Scoring_Config'!$A:$A,'Scoring_Config'!$D:$D,"Yes")="Yes",_xlfn.XLOOKUP("Src_CIDR_Le_16",'Scoring_Config'!$A:$A,'Scoring_Config'!$C:$C,25),0),0)+IF(LEFT(AE18,4)="True",IF(_xlfn.XLOOKUP("Src_CIDR_17_22",'Scoring_Config'!$A:$A,'Scoring_Config'!$D:$D,"Yes")="Yes",_xlfn.XLOOKUP("Src_CIDR_17_22",'Scoring_Config'!$A:$A,'Scoring_Config'!$C:$C,15),0),0)+IF(LEFT(AF18,4)="True",IF(_xlfn.XLOOKUP("Dst_IsAny",'Scoring_Config'!$A:$A,'Scoring_Config'!$D:$D,"Yes")="Yes",_xlfn.XLOOKUP("Dst_IsAny",'Scoring_Config'!$A:$A,'Scoring_Config'!$C:$C,25),0),0)+IF(LEFT(AG18,4)="True",IF(_xlfn.XLOOKUP("Dst_CIDR_Le_16",'Scoring_Config'!$A:$A,'Scoring_Config'!$D:$D,"Yes")="Yes",_xlfn.XLOOKUP("Dst_CIDR_Le_16",'Scoring_Config'!$A:$A,'Scoring_Config'!$C:$C,25),0),0)+IF(LEFT(AH18,4)="True",IF(_xlfn.XLOOKUP("Dst_CIDR_17_22",'Scoring_Config'!$A:$A,'Scoring_Config'!$D:$D,"Yes")="Yes",_xlfn.XLOOKUP("Dst_CIDR_17_22",'Scoring_Config'!$A:$A,'Scoring_Config'!$C:$C,15),0),0)+IF(LEFT(AI18,4)="True",IF(_xlfn.XLOOKUP("SrcZone_IsAny",'Scoring_Config'!$A:$A,'Scoring_Config'!$D:$D,"Yes")="Yes",_xlfn.XLOOKUP("SrcZone_IsAny",'Scoring_Config'!$A:$A,'Scoring_Config'!$C:$C,5),0),0)+IF(LEFT(AJ18,4)="True",IF(_xlfn.XLOOKUP("DstZone_IsAny",'Scoring_Config'!$A:$A,'Scoring_Config'!$D:$D,"Yes")="Yes",_xlfn.XLOOKUP("DstZone_IsAny",'Scoring_Config'!$A:$A,'Scoring_Config'!$C:$C,5),0),0)+IF(LEFT(AK18,4)="True",IF(_xlfn.XLOOKUP("Service_Any_OR_RangeGt1000",'Scoring_Config'!$A:$A,'Scoring_Config'!$D:$D,"Yes")="Yes",_xlfn.XLOOKUP("Service_Any_OR_RangeGt1000",'Scoring_Config'!$A:$A,'Scoring_Config'!$C:$C,25),0),0)+IF(LEFT(AL18,4)="True",IF(_xlfn.XLOOKUP("App_Any_OR_RangeGt1000",'Scoring_Config'!$A:$A,'Scoring_Config'!$D:$D,"Yes")="Yes",_xlfn.XLOOKUP("App_Any_OR_RangeGt1000",'Scoring_Config'!$A:$A,'Scoring_Config'!$C:$C,25),0),0)+IF(LEFT(AM18,4)="True",IF(_xlfn.XLOOKUP("Service_Insecure_Match",'Scoring_Config'!$A:$A,'Scoring_Config'!$D:$D,"Yes")="Yes",_xlfn.XLOOKUP("Service_Insecure_Match",'Scoring_Config'!$A:$A,'Scoring_Config'!$C:$C,20),0),0)+IF(LEFT(AN18,4)="True",IF(_xlfn.XLOOKUP("Risky_Inbound",'Scoring_Config'!$A:$A,'Scoring_Config'!$D:$D,"Yes")="Yes",_xlfn.XLOOKUP("Risky_Inbound",'Scoring_Config'!$A:$A,'Scoring_Config'!$C:$C,20),0),0)+IF(LEFT(AO18,4)="True",IF(_xlfn.XLOOKUP("Risky_Outbound",'Scoring_Config'!$A:$A,'Scoring_Config'!$D:$D,"Yes")="Yes",_xlfn.XLOOKUP("Risky_Outbound",'Scoring_Config'!$A:$A,'Scoring_Config'!$C:$C,10),0),0)+IF(LEFT(AW18,4)="True",IF(_xlfn.XLOOKUP("Migrate_Insecure",'Scoring_Config'!$A:$A,'Scoring_Config'!$D:$D,"Yes")="Yes",_xlfn.XLOOKUP("Migrate_Insecure",'Scoring_Config'!$A:$A,'Scoring_Config'!$C:$C,15),0),0)+IF(LEFT(AY18,4)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,FIND(",",AP18)+1,100)),0)+IF(LEFT(AQ18,4)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,FIND(",",AR18)+1,100)),0)+IF(_xlfn.XLOOKUP("Profile_Scoring",'Scoring_Config'!$A:$A,'Scoring_Config'!$D:$D,"Yes")="Yes",VALUE(MID(AS18,FIND(",",AS18)+1,100)),0)+IF(_xlfn.XLOOKUP("Options_Scoring",'Scoring_Config'!$A:$A,'Scoring_Config'!$D:$D,"Yes")="Yes",VALUE(MID(AT18,FIND(",",AT18)+1,100)),0)))</f>
        <v>0</v>
      </c>
    </row>
    <row r="19" spans="1:52">
      <c r="A19" s="3" t="s">
        <v>52</v>
      </c>
      <c r="B19" s="3" t="s">
        <v>64</v>
      </c>
      <c r="C19" s="3" t="s">
        <v>329</v>
      </c>
      <c r="D19" s="3"/>
      <c r="E19" s="3" t="s">
        <v>359</v>
      </c>
      <c r="F19" s="3" t="s">
        <v>362</v>
      </c>
      <c r="G19" s="3" t="s">
        <v>365</v>
      </c>
      <c r="H19" s="3" t="s">
        <v>365</v>
      </c>
      <c r="I19" s="3" t="s">
        <v>624</v>
      </c>
      <c r="J19" s="3" t="s">
        <v>364</v>
      </c>
      <c r="K19" s="3" t="s">
        <v>628</v>
      </c>
      <c r="L19" s="3" t="s">
        <v>595</v>
      </c>
      <c r="M19" s="3" t="s">
        <v>771</v>
      </c>
      <c r="N19" s="3" t="s">
        <v>793</v>
      </c>
      <c r="O19" s="4" t="s">
        <v>808</v>
      </c>
      <c r="P19" s="3" t="s">
        <v>869</v>
      </c>
      <c r="Q19" s="3" t="s">
        <v>905</v>
      </c>
      <c r="R19" s="3" t="s">
        <v>907</v>
      </c>
      <c r="S19" s="3" t="s">
        <v>913</v>
      </c>
      <c r="T19" s="3" t="s">
        <v>931</v>
      </c>
      <c r="U19" s="3" t="s">
        <v>1158</v>
      </c>
      <c r="V19" s="3" t="s">
        <v>1389</v>
      </c>
      <c r="W19" s="3" t="s">
        <v>1403</v>
      </c>
      <c r="X19" s="3" t="s">
        <v>1623</v>
      </c>
      <c r="Y19" s="3" t="s">
        <v>2092</v>
      </c>
      <c r="Z19" s="3"/>
      <c r="AA19" s="3"/>
      <c r="AB19" s="3"/>
      <c r="AC19" s="5" cm="1">
        <f t="array" ref="AC19">IF(TRUE,"True," &amp; IF(_xlfn.XLOOKUP("Src_IsAny",'Scoring_Config'!$A:$A,'Scoring_Config'!$D:$D,"Yes")="Yes",_xlfn.XLOOKUP("Src_IsAny",'Scoring_Config'!$A:$A,'Scoring_Config'!$C:$C,25),0),"False,0")</f>
        <v>0</v>
      </c>
      <c r="AD19" s="4" cm="1">
        <f t="array" ref="AD19">IF(FALSE,"True," &amp; IF(_xlfn.XLOOKUP("Src_CIDR_Le_16",'Scoring_Config'!$A:$A,'Scoring_Config'!$D:$D,"Yes")="Yes",_xlfn.XLOOKUP("Src_CIDR_Le_16",'Scoring_Config'!$A:$A,'Scoring_Config'!$C:$C,25),0),"False,0")</f>
        <v>0</v>
      </c>
      <c r="AE19" s="4" cm="1">
        <f t="array" ref="AE19">IF(FALSE,"True," &amp; IF(_xlfn.XLOOKUP("Src_CIDR_17_22",'Scoring_Config'!$A:$A,'Scoring_Config'!$D:$D,"Yes")="Yes",_xlfn.XLOOKUP("Src_CIDR_17_22",'Scoring_Config'!$A:$A,'Scoring_Config'!$C:$C,15),0),"False,0")</f>
        <v>0</v>
      </c>
      <c r="AF19" s="4" cm="1">
        <f t="array" ref="AF19">IF(FALSE,"True," &amp; IF(_xlfn.XLOOKUP("Dst_IsAny",'Scoring_Config'!$A:$A,'Scoring_Config'!$D:$D,"Yes")="Yes",_xlfn.XLOOKUP("Dst_IsAny",'Scoring_Config'!$A:$A,'Scoring_Config'!$C:$C,25),0),"False,0")</f>
        <v>0</v>
      </c>
      <c r="AG19" s="4" cm="1">
        <f t="array" ref="AG19">IF(FALSE,"True," &amp; IF(_xlfn.XLOOKUP("Dst_CIDR_Le_16",'Scoring_Config'!$A:$A,'Scoring_Config'!$D:$D,"Yes")="Yes",_xlfn.XLOOKUP("Dst_CIDR_Le_16",'Scoring_Config'!$A:$A,'Scoring_Config'!$C:$C,25),0),"False,0")</f>
        <v>0</v>
      </c>
      <c r="AH19" s="4" cm="1">
        <f t="array" ref="AH19">IF(FALSE,"True," &amp; IF(_xlfn.XLOOKUP("Dst_CIDR_17_22",'Scoring_Config'!$A:$A,'Scoring_Config'!$D:$D,"Yes")="Yes",_xlfn.XLOOKUP("Dst_CIDR_17_22",'Scoring_Config'!$A:$A,'Scoring_Config'!$C:$C,15),0),"False,0")</f>
        <v>0</v>
      </c>
      <c r="AI19" s="4" cm="1">
        <f t="array" ref="AI19">IF(FALSE,"True," &amp; IF(_xlfn.XLOOKUP("SrcZone_IsAny",'Scoring_Config'!$A:$A,'Scoring_Config'!$D:$D,"Yes")="Yes",_xlfn.XLOOKUP("SrcZone_IsAny",'Scoring_Config'!$A:$A,'Scoring_Config'!$C:$C,5),0),"False,0")</f>
        <v>0</v>
      </c>
      <c r="AJ19" s="4" cm="1">
        <f t="array" ref="AJ19">IF(FALSE,"True," &amp; IF(_xlfn.XLOOKUP("DstZone_IsAny",'Scoring_Config'!$A:$A,'Scoring_Config'!$D:$D,"Yes")="Yes",_xlfn.XLOOKUP("DstZone_IsAny",'Scoring_Config'!$A:$A,'Scoring_Config'!$C:$C,5),0),"False,0")</f>
        <v>0</v>
      </c>
      <c r="AK19" s="4" cm="1">
        <f t="array" ref="AK1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" s="4" cm="1">
        <f t="array" ref="AL19">IF(FALSE,"True," &amp; IF(_xlfn.XLOOKUP("App_Any_OR_RangeGt1000",'Scoring_Config'!$A:$A,'Scoring_Config'!$D:$D,"Yes")="Yes",_xlfn.XLOOKUP("App_Any_OR_RangeGt1000",'Scoring_Config'!$A:$A,'Scoring_Config'!$C:$C,25),0),"False,0")</f>
        <v>0</v>
      </c>
      <c r="AM19" s="5" cm="1">
        <f t="array" ref="AM19">IF(TRUE,"True," &amp; IF(_xlfn.XLOOKUP("Service_Insecure_Match",'Scoring_Config'!$A:$A,'Scoring_Config'!$D:$D,"Yes")="Yes",_xlfn.XLOOKUP("Service_Insecure_Match",'Scoring_Config'!$A:$A,'Scoring_Config'!$C:$C,20),0),"False,0")</f>
        <v>0</v>
      </c>
      <c r="AN19" s="4" cm="1">
        <f t="array" ref="AN19">IF(FALSE,"True," &amp; IF(_xlfn.XLOOKUP("Risky_Inbound",'Scoring_Config'!$A:$A,'Scoring_Config'!$D:$D,"Yes")="Yes",_xlfn.XLOOKUP("Risky_Inbound",'Scoring_Config'!$A:$A,'Scoring_Config'!$C:$C,20),0),"False,0")</f>
        <v>0</v>
      </c>
      <c r="AO19" s="4" cm="1">
        <f t="array" ref="AO19">IF(FALSE,"True," &amp; IF(_xlfn.XLOOKUP("Risky_Outbound",'Scoring_Config'!$A:$A,'Scoring_Config'!$D:$D,"Yes")="Yes",_xlfn.XLOOKUP("Risky_Outbound",'Scoring_Config'!$A:$A,'Scoring_Config'!$C:$C,10),0),"False,0")</f>
        <v>0</v>
      </c>
      <c r="AP19" s="5" t="s">
        <v>2595</v>
      </c>
      <c r="AQ19" s="4" cm="1">
        <f t="array" ref="AQ1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" s="5" t="s">
        <v>2598</v>
      </c>
      <c r="AS19" s="5" t="s">
        <v>2595</v>
      </c>
      <c r="AT19" s="4" t="s">
        <v>2592</v>
      </c>
      <c r="AU19" s="4" cm="1">
        <f t="array" ref="AU19">IF(FALSE,"True," &amp; IF(_xlfn.XLOOKUP("Action_IsDenyOrDrop",'Scoring_Config'!$A:$A,'Scoring_Config'!$D:$D,"Yes")="Yes",_xlfn.XLOOKUP("Action_IsDenyOrDrop",'Scoring_Config'!$A:$A,'Scoring_Config'!$C:$C,0),0),"False,0")</f>
        <v>0</v>
      </c>
      <c r="AV19" s="4"/>
      <c r="AW19" s="4" cm="1">
        <f t="array" ref="AW19">IF(FALSE,"True," &amp; IF(_xlfn.XLOOKUP("Migrate_Insecure",'Scoring_Config'!$A:$A,'Scoring_Config'!$D:$D,"Yes")="Yes",_xlfn.XLOOKUP("Migrate_Insecure",'Scoring_Config'!$A:$A,'Scoring_Config'!$C:$C,15),0),"False,0")</f>
        <v>0</v>
      </c>
      <c r="AX19" s="4"/>
      <c r="AY19" s="4" cm="1">
        <f t="array" ref="AY19">IF(FALSE,"True," &amp; IF(_xlfn.XLOOKUP("Migrate_Other_Ports",'Scoring_Config'!$A:$A,'Scoring_Config'!$D:$D,"Yes")="Yes",_xlfn.XLOOKUP("Migrate_Other_Ports",'Scoring_Config'!$A:$A,'Scoring_Config'!$C:$C,5),0),"False,0")</f>
        <v>0</v>
      </c>
      <c r="AZ19" s="4" cm="1">
        <f t="array" ref="AZ19">IF(LEFT(AU19,4)="True",0,(IF(LEFT(AC19,4)="True",IF(_xlfn.XLOOKUP("Src_IsAny",'Scoring_Config'!$A:$A,'Scoring_Config'!$D:$D,"Yes")="Yes",_xlfn.XLOOKUP("Src_IsAny",'Scoring_Config'!$A:$A,'Scoring_Config'!$C:$C,25),0),0)+IF(LEFT(AD19,4)="True",IF(_xlfn.XLOOKUP("Src_CIDR_Le_16",'Scoring_Config'!$A:$A,'Scoring_Config'!$D:$D,"Yes")="Yes",_xlfn.XLOOKUP("Src_CIDR_Le_16",'Scoring_Config'!$A:$A,'Scoring_Config'!$C:$C,25),0),0)+IF(LEFT(AE19,4)="True",IF(_xlfn.XLOOKUP("Src_CIDR_17_22",'Scoring_Config'!$A:$A,'Scoring_Config'!$D:$D,"Yes")="Yes",_xlfn.XLOOKUP("Src_CIDR_17_22",'Scoring_Config'!$A:$A,'Scoring_Config'!$C:$C,15),0),0)+IF(LEFT(AF19,4)="True",IF(_xlfn.XLOOKUP("Dst_IsAny",'Scoring_Config'!$A:$A,'Scoring_Config'!$D:$D,"Yes")="Yes",_xlfn.XLOOKUP("Dst_IsAny",'Scoring_Config'!$A:$A,'Scoring_Config'!$C:$C,25),0),0)+IF(LEFT(AG19,4)="True",IF(_xlfn.XLOOKUP("Dst_CIDR_Le_16",'Scoring_Config'!$A:$A,'Scoring_Config'!$D:$D,"Yes")="Yes",_xlfn.XLOOKUP("Dst_CIDR_Le_16",'Scoring_Config'!$A:$A,'Scoring_Config'!$C:$C,25),0),0)+IF(LEFT(AH19,4)="True",IF(_xlfn.XLOOKUP("Dst_CIDR_17_22",'Scoring_Config'!$A:$A,'Scoring_Config'!$D:$D,"Yes")="Yes",_xlfn.XLOOKUP("Dst_CIDR_17_22",'Scoring_Config'!$A:$A,'Scoring_Config'!$C:$C,15),0),0)+IF(LEFT(AI19,4)="True",IF(_xlfn.XLOOKUP("SrcZone_IsAny",'Scoring_Config'!$A:$A,'Scoring_Config'!$D:$D,"Yes")="Yes",_xlfn.XLOOKUP("SrcZone_IsAny",'Scoring_Config'!$A:$A,'Scoring_Config'!$C:$C,5),0),0)+IF(LEFT(AJ19,4)="True",IF(_xlfn.XLOOKUP("DstZone_IsAny",'Scoring_Config'!$A:$A,'Scoring_Config'!$D:$D,"Yes")="Yes",_xlfn.XLOOKUP("DstZone_IsAny",'Scoring_Config'!$A:$A,'Scoring_Config'!$C:$C,5),0),0)+IF(LEFT(AK19,4)="True",IF(_xlfn.XLOOKUP("Service_Any_OR_RangeGt1000",'Scoring_Config'!$A:$A,'Scoring_Config'!$D:$D,"Yes")="Yes",_xlfn.XLOOKUP("Service_Any_OR_RangeGt1000",'Scoring_Config'!$A:$A,'Scoring_Config'!$C:$C,25),0),0)+IF(LEFT(AL19,4)="True",IF(_xlfn.XLOOKUP("App_Any_OR_RangeGt1000",'Scoring_Config'!$A:$A,'Scoring_Config'!$D:$D,"Yes")="Yes",_xlfn.XLOOKUP("App_Any_OR_RangeGt1000",'Scoring_Config'!$A:$A,'Scoring_Config'!$C:$C,25),0),0)+IF(LEFT(AM19,4)="True",IF(_xlfn.XLOOKUP("Service_Insecure_Match",'Scoring_Config'!$A:$A,'Scoring_Config'!$D:$D,"Yes")="Yes",_xlfn.XLOOKUP("Service_Insecure_Match",'Scoring_Config'!$A:$A,'Scoring_Config'!$C:$C,20),0),0)+IF(LEFT(AN19,4)="True",IF(_xlfn.XLOOKUP("Risky_Inbound",'Scoring_Config'!$A:$A,'Scoring_Config'!$D:$D,"Yes")="Yes",_xlfn.XLOOKUP("Risky_Inbound",'Scoring_Config'!$A:$A,'Scoring_Config'!$C:$C,20),0),0)+IF(LEFT(AO19,4)="True",IF(_xlfn.XLOOKUP("Risky_Outbound",'Scoring_Config'!$A:$A,'Scoring_Config'!$D:$D,"Yes")="Yes",_xlfn.XLOOKUP("Risky_Outbound",'Scoring_Config'!$A:$A,'Scoring_Config'!$C:$C,10),0),0)+IF(LEFT(AW19,4)="True",IF(_xlfn.XLOOKUP("Migrate_Insecure",'Scoring_Config'!$A:$A,'Scoring_Config'!$D:$D,"Yes")="Yes",_xlfn.XLOOKUP("Migrate_Insecure",'Scoring_Config'!$A:$A,'Scoring_Config'!$C:$C,15),0),0)+IF(LEFT(AY19,4)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,FIND(",",AP19)+1,100)),0)+IF(LEFT(AQ19,4)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,FIND(",",AR19)+1,100)),0)+IF(_xlfn.XLOOKUP("Profile_Scoring",'Scoring_Config'!$A:$A,'Scoring_Config'!$D:$D,"Yes")="Yes",VALUE(MID(AS19,FIND(",",AS19)+1,100)),0)+IF(_xlfn.XLOOKUP("Options_Scoring",'Scoring_Config'!$A:$A,'Scoring_Config'!$D:$D,"Yes")="Yes",VALUE(MID(AT19,FIND(",",AT19)+1,100)),0)))</f>
        <v>0</v>
      </c>
    </row>
    <row r="20" spans="1:52">
      <c r="A20" s="3" t="s">
        <v>52</v>
      </c>
      <c r="B20" s="3" t="s">
        <v>73</v>
      </c>
      <c r="C20" s="3" t="s">
        <v>329</v>
      </c>
      <c r="D20" s="3"/>
      <c r="E20" s="3" t="s">
        <v>359</v>
      </c>
      <c r="F20" s="3" t="s">
        <v>362</v>
      </c>
      <c r="G20" s="3" t="s">
        <v>374</v>
      </c>
      <c r="H20" s="3" t="s">
        <v>543</v>
      </c>
      <c r="I20" s="3" t="s">
        <v>624</v>
      </c>
      <c r="J20" s="3" t="s">
        <v>362</v>
      </c>
      <c r="K20" s="3" t="s">
        <v>629</v>
      </c>
      <c r="L20" s="3" t="s">
        <v>629</v>
      </c>
      <c r="M20" s="3" t="s">
        <v>768</v>
      </c>
      <c r="N20" s="3" t="s">
        <v>791</v>
      </c>
      <c r="O20" s="4" t="s">
        <v>813</v>
      </c>
      <c r="P20" s="3" t="s">
        <v>874</v>
      </c>
      <c r="Q20" s="3" t="s">
        <v>904</v>
      </c>
      <c r="R20" s="3" t="s">
        <v>907</v>
      </c>
      <c r="S20" s="3" t="s">
        <v>916</v>
      </c>
      <c r="T20" s="3" t="s">
        <v>919</v>
      </c>
      <c r="U20" s="3" t="s">
        <v>1159</v>
      </c>
      <c r="V20" s="3" t="s">
        <v>1388</v>
      </c>
      <c r="W20" s="3" t="s">
        <v>1404</v>
      </c>
      <c r="X20" s="3" t="s">
        <v>1624</v>
      </c>
      <c r="Y20" s="3" t="s">
        <v>2093</v>
      </c>
      <c r="Z20" s="3"/>
      <c r="AA20" s="3"/>
      <c r="AB20" s="3"/>
      <c r="AC20" s="4" cm="1">
        <f t="array" ref="AC20">IF(FALSE,"True," &amp; IF(_xlfn.XLOOKUP("Src_IsAny",'Scoring_Config'!$A:$A,'Scoring_Config'!$D:$D,"Yes")="Yes",_xlfn.XLOOKUP("Src_IsAny",'Scoring_Config'!$A:$A,'Scoring_Config'!$C:$C,25),0),"False,0")</f>
        <v>0</v>
      </c>
      <c r="AD20" s="4" cm="1">
        <f t="array" ref="AD20">IF(FALSE,"True," &amp; IF(_xlfn.XLOOKUP("Src_CIDR_Le_16",'Scoring_Config'!$A:$A,'Scoring_Config'!$D:$D,"Yes")="Yes",_xlfn.XLOOKUP("Src_CIDR_Le_16",'Scoring_Config'!$A:$A,'Scoring_Config'!$C:$C,25),0),"False,0")</f>
        <v>0</v>
      </c>
      <c r="AE20" s="4" cm="1">
        <f t="array" ref="AE20">IF(FALSE,"True," &amp; IF(_xlfn.XLOOKUP("Src_CIDR_17_22",'Scoring_Config'!$A:$A,'Scoring_Config'!$D:$D,"Yes")="Yes",_xlfn.XLOOKUP("Src_CIDR_17_22",'Scoring_Config'!$A:$A,'Scoring_Config'!$C:$C,15),0),"False,0")</f>
        <v>0</v>
      </c>
      <c r="AF20" s="4" cm="1">
        <f t="array" ref="AF20">IF(FALSE,"True," &amp; IF(_xlfn.XLOOKUP("Dst_IsAny",'Scoring_Config'!$A:$A,'Scoring_Config'!$D:$D,"Yes")="Yes",_xlfn.XLOOKUP("Dst_IsAny",'Scoring_Config'!$A:$A,'Scoring_Config'!$C:$C,25),0),"False,0")</f>
        <v>0</v>
      </c>
      <c r="AG20" s="4" cm="1">
        <f t="array" ref="AG20">IF(FALSE,"True," &amp; IF(_xlfn.XLOOKUP("Dst_CIDR_Le_16",'Scoring_Config'!$A:$A,'Scoring_Config'!$D:$D,"Yes")="Yes",_xlfn.XLOOKUP("Dst_CIDR_Le_16",'Scoring_Config'!$A:$A,'Scoring_Config'!$C:$C,25),0),"False,0")</f>
        <v>0</v>
      </c>
      <c r="AH20" s="4" cm="1">
        <f t="array" ref="AH20">IF(FALSE,"True," &amp; IF(_xlfn.XLOOKUP("Dst_CIDR_17_22",'Scoring_Config'!$A:$A,'Scoring_Config'!$D:$D,"Yes")="Yes",_xlfn.XLOOKUP("Dst_CIDR_17_22",'Scoring_Config'!$A:$A,'Scoring_Config'!$C:$C,15),0),"False,0")</f>
        <v>0</v>
      </c>
      <c r="AI20" s="4" cm="1">
        <f t="array" ref="AI20">IF(FALSE,"True," &amp; IF(_xlfn.XLOOKUP("SrcZone_IsAny",'Scoring_Config'!$A:$A,'Scoring_Config'!$D:$D,"Yes")="Yes",_xlfn.XLOOKUP("SrcZone_IsAny",'Scoring_Config'!$A:$A,'Scoring_Config'!$C:$C,5),0),"False,0")</f>
        <v>0</v>
      </c>
      <c r="AJ20" s="4" cm="1">
        <f t="array" ref="AJ20">IF(FALSE,"True," &amp; IF(_xlfn.XLOOKUP("DstZone_IsAny",'Scoring_Config'!$A:$A,'Scoring_Config'!$D:$D,"Yes")="Yes",_xlfn.XLOOKUP("DstZone_IsAny",'Scoring_Config'!$A:$A,'Scoring_Config'!$C:$C,5),0),"False,0")</f>
        <v>0</v>
      </c>
      <c r="AK20" s="4" cm="1">
        <f t="array" ref="AK2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" s="5" cm="1">
        <f t="array" ref="AL20">IF(TRUE,"True," &amp; IF(_xlfn.XLOOKUP("App_Any_OR_RangeGt1000",'Scoring_Config'!$A:$A,'Scoring_Config'!$D:$D,"Yes")="Yes",_xlfn.XLOOKUP("App_Any_OR_RangeGt1000",'Scoring_Config'!$A:$A,'Scoring_Config'!$C:$C,25),0),"False,0")</f>
        <v>0</v>
      </c>
      <c r="AM20" s="5" cm="1">
        <f t="array" ref="AM20">IF(TRUE,"True," &amp; IF(_xlfn.XLOOKUP("Service_Insecure_Match",'Scoring_Config'!$A:$A,'Scoring_Config'!$D:$D,"Yes")="Yes",_xlfn.XLOOKUP("Service_Insecure_Match",'Scoring_Config'!$A:$A,'Scoring_Config'!$C:$C,20),0),"False,0")</f>
        <v>0</v>
      </c>
      <c r="AN20" s="4" cm="1">
        <f t="array" ref="AN20">IF(FALSE,"True," &amp; IF(_xlfn.XLOOKUP("Risky_Inbound",'Scoring_Config'!$A:$A,'Scoring_Config'!$D:$D,"Yes")="Yes",_xlfn.XLOOKUP("Risky_Inbound",'Scoring_Config'!$A:$A,'Scoring_Config'!$C:$C,20),0),"False,0")</f>
        <v>0</v>
      </c>
      <c r="AO20" s="4" cm="1">
        <f t="array" ref="AO20">IF(FALSE,"True," &amp; IF(_xlfn.XLOOKUP("Risky_Outbound",'Scoring_Config'!$A:$A,'Scoring_Config'!$D:$D,"Yes")="Yes",_xlfn.XLOOKUP("Risky_Outbound",'Scoring_Config'!$A:$A,'Scoring_Config'!$C:$C,10),0),"False,0")</f>
        <v>0</v>
      </c>
      <c r="AP20" s="5" t="s">
        <v>2595</v>
      </c>
      <c r="AQ20" s="4" cm="1">
        <f t="array" ref="AQ2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" s="5" t="s">
        <v>2598</v>
      </c>
      <c r="AS20" s="5" t="s">
        <v>2595</v>
      </c>
      <c r="AT20" s="4" t="s">
        <v>2592</v>
      </c>
      <c r="AU20" s="5" cm="1">
        <f t="array" ref="AU20">IF(TRUE,"True," &amp; IF(_xlfn.XLOOKUP("Action_IsDenyOrDrop",'Scoring_Config'!$A:$A,'Scoring_Config'!$D:$D,"Yes")="Yes",_xlfn.XLOOKUP("Action_IsDenyOrDrop",'Scoring_Config'!$A:$A,'Scoring_Config'!$C:$C,0),0),"False,0")</f>
        <v>0</v>
      </c>
      <c r="AV20" s="4"/>
      <c r="AW20" s="4" cm="1">
        <f t="array" ref="AW20">IF(FALSE,"True," &amp; IF(_xlfn.XLOOKUP("Migrate_Insecure",'Scoring_Config'!$A:$A,'Scoring_Config'!$D:$D,"Yes")="Yes",_xlfn.XLOOKUP("Migrate_Insecure",'Scoring_Config'!$A:$A,'Scoring_Config'!$C:$C,15),0),"False,0")</f>
        <v>0</v>
      </c>
      <c r="AX20" s="4"/>
      <c r="AY20" s="4" cm="1">
        <f t="array" ref="AY20">IF(FALSE,"True," &amp; IF(_xlfn.XLOOKUP("Migrate_Other_Ports",'Scoring_Config'!$A:$A,'Scoring_Config'!$D:$D,"Yes")="Yes",_xlfn.XLOOKUP("Migrate_Other_Ports",'Scoring_Config'!$A:$A,'Scoring_Config'!$C:$C,5),0),"False,0")</f>
        <v>0</v>
      </c>
      <c r="AZ20" s="4" cm="1">
        <f t="array" ref="AZ20">IF(LEFT(AU20,4)="True",0,(IF(LEFT(AC20,4)="True",IF(_xlfn.XLOOKUP("Src_IsAny",'Scoring_Config'!$A:$A,'Scoring_Config'!$D:$D,"Yes")="Yes",_xlfn.XLOOKUP("Src_IsAny",'Scoring_Config'!$A:$A,'Scoring_Config'!$C:$C,25),0),0)+IF(LEFT(AD20,4)="True",IF(_xlfn.XLOOKUP("Src_CIDR_Le_16",'Scoring_Config'!$A:$A,'Scoring_Config'!$D:$D,"Yes")="Yes",_xlfn.XLOOKUP("Src_CIDR_Le_16",'Scoring_Config'!$A:$A,'Scoring_Config'!$C:$C,25),0),0)+IF(LEFT(AE20,4)="True",IF(_xlfn.XLOOKUP("Src_CIDR_17_22",'Scoring_Config'!$A:$A,'Scoring_Config'!$D:$D,"Yes")="Yes",_xlfn.XLOOKUP("Src_CIDR_17_22",'Scoring_Config'!$A:$A,'Scoring_Config'!$C:$C,15),0),0)+IF(LEFT(AF20,4)="True",IF(_xlfn.XLOOKUP("Dst_IsAny",'Scoring_Config'!$A:$A,'Scoring_Config'!$D:$D,"Yes")="Yes",_xlfn.XLOOKUP("Dst_IsAny",'Scoring_Config'!$A:$A,'Scoring_Config'!$C:$C,25),0),0)+IF(LEFT(AG20,4)="True",IF(_xlfn.XLOOKUP("Dst_CIDR_Le_16",'Scoring_Config'!$A:$A,'Scoring_Config'!$D:$D,"Yes")="Yes",_xlfn.XLOOKUP("Dst_CIDR_Le_16",'Scoring_Config'!$A:$A,'Scoring_Config'!$C:$C,25),0),0)+IF(LEFT(AH20,4)="True",IF(_xlfn.XLOOKUP("Dst_CIDR_17_22",'Scoring_Config'!$A:$A,'Scoring_Config'!$D:$D,"Yes")="Yes",_xlfn.XLOOKUP("Dst_CIDR_17_22",'Scoring_Config'!$A:$A,'Scoring_Config'!$C:$C,15),0),0)+IF(LEFT(AI20,4)="True",IF(_xlfn.XLOOKUP("SrcZone_IsAny",'Scoring_Config'!$A:$A,'Scoring_Config'!$D:$D,"Yes")="Yes",_xlfn.XLOOKUP("SrcZone_IsAny",'Scoring_Config'!$A:$A,'Scoring_Config'!$C:$C,5),0),0)+IF(LEFT(AJ20,4)="True",IF(_xlfn.XLOOKUP("DstZone_IsAny",'Scoring_Config'!$A:$A,'Scoring_Config'!$D:$D,"Yes")="Yes",_xlfn.XLOOKUP("DstZone_IsAny",'Scoring_Config'!$A:$A,'Scoring_Config'!$C:$C,5),0),0)+IF(LEFT(AK20,4)="True",IF(_xlfn.XLOOKUP("Service_Any_OR_RangeGt1000",'Scoring_Config'!$A:$A,'Scoring_Config'!$D:$D,"Yes")="Yes",_xlfn.XLOOKUP("Service_Any_OR_RangeGt1000",'Scoring_Config'!$A:$A,'Scoring_Config'!$C:$C,25),0),0)+IF(LEFT(AL20,4)="True",IF(_xlfn.XLOOKUP("App_Any_OR_RangeGt1000",'Scoring_Config'!$A:$A,'Scoring_Config'!$D:$D,"Yes")="Yes",_xlfn.XLOOKUP("App_Any_OR_RangeGt1000",'Scoring_Config'!$A:$A,'Scoring_Config'!$C:$C,25),0),0)+IF(LEFT(AM20,4)="True",IF(_xlfn.XLOOKUP("Service_Insecure_Match",'Scoring_Config'!$A:$A,'Scoring_Config'!$D:$D,"Yes")="Yes",_xlfn.XLOOKUP("Service_Insecure_Match",'Scoring_Config'!$A:$A,'Scoring_Config'!$C:$C,20),0),0)+IF(LEFT(AN20,4)="True",IF(_xlfn.XLOOKUP("Risky_Inbound",'Scoring_Config'!$A:$A,'Scoring_Config'!$D:$D,"Yes")="Yes",_xlfn.XLOOKUP("Risky_Inbound",'Scoring_Config'!$A:$A,'Scoring_Config'!$C:$C,20),0),0)+IF(LEFT(AO20,4)="True",IF(_xlfn.XLOOKUP("Risky_Outbound",'Scoring_Config'!$A:$A,'Scoring_Config'!$D:$D,"Yes")="Yes",_xlfn.XLOOKUP("Risky_Outbound",'Scoring_Config'!$A:$A,'Scoring_Config'!$C:$C,10),0),0)+IF(LEFT(AW20,4)="True",IF(_xlfn.XLOOKUP("Migrate_Insecure",'Scoring_Config'!$A:$A,'Scoring_Config'!$D:$D,"Yes")="Yes",_xlfn.XLOOKUP("Migrate_Insecure",'Scoring_Config'!$A:$A,'Scoring_Config'!$C:$C,15),0),0)+IF(LEFT(AY20,4)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,FIND(",",AP20)+1,100)),0)+IF(LEFT(AQ20,4)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,FIND(",",AR20)+1,100)),0)+IF(_xlfn.XLOOKUP("Profile_Scoring",'Scoring_Config'!$A:$A,'Scoring_Config'!$D:$D,"Yes")="Yes",VALUE(MID(AS20,FIND(",",AS20)+1,100)),0)+IF(_xlfn.XLOOKUP("Options_Scoring",'Scoring_Config'!$A:$A,'Scoring_Config'!$D:$D,"Yes")="Yes",VALUE(MID(AT20,FIND(",",AT20)+1,100)),0)))</f>
        <v>0</v>
      </c>
    </row>
    <row r="21" spans="1:52">
      <c r="A21" s="3" t="s">
        <v>52</v>
      </c>
      <c r="B21" s="3" t="s">
        <v>74</v>
      </c>
      <c r="C21" s="3" t="s">
        <v>329</v>
      </c>
      <c r="D21" s="3"/>
      <c r="E21" s="3" t="s">
        <v>359</v>
      </c>
      <c r="F21" s="3" t="s">
        <v>361</v>
      </c>
      <c r="G21" s="3" t="s">
        <v>365</v>
      </c>
      <c r="H21" s="3" t="s">
        <v>365</v>
      </c>
      <c r="I21" s="3" t="s">
        <v>624</v>
      </c>
      <c r="J21" s="3" t="s">
        <v>363</v>
      </c>
      <c r="K21" s="3" t="s">
        <v>365</v>
      </c>
      <c r="L21" s="3" t="s">
        <v>365</v>
      </c>
      <c r="M21" s="3" t="s">
        <v>365</v>
      </c>
      <c r="N21" s="3" t="s">
        <v>365</v>
      </c>
      <c r="O21" s="4" t="s">
        <v>814</v>
      </c>
      <c r="P21" s="3" t="s">
        <v>875</v>
      </c>
      <c r="Q21" s="3" t="s">
        <v>905</v>
      </c>
      <c r="R21" s="3" t="s">
        <v>909</v>
      </c>
      <c r="S21" s="3" t="s">
        <v>913</v>
      </c>
      <c r="T21" s="3" t="s">
        <v>932</v>
      </c>
      <c r="U21" s="3" t="s">
        <v>1160</v>
      </c>
      <c r="V21" s="3" t="s">
        <v>1386</v>
      </c>
      <c r="W21" s="3" t="s">
        <v>1405</v>
      </c>
      <c r="X21" s="3" t="s">
        <v>1625</v>
      </c>
      <c r="Y21" s="3" t="s">
        <v>2094</v>
      </c>
      <c r="Z21" s="3"/>
      <c r="AA21" s="3"/>
      <c r="AB21" s="3"/>
      <c r="AC21" s="5" cm="1">
        <f t="array" ref="AC21">IF(TRUE,"True," &amp; IF(_xlfn.XLOOKUP("Src_IsAny",'Scoring_Config'!$A:$A,'Scoring_Config'!$D:$D,"Yes")="Yes",_xlfn.XLOOKUP("Src_IsAny",'Scoring_Config'!$A:$A,'Scoring_Config'!$C:$C,25),0),"False,0")</f>
        <v>0</v>
      </c>
      <c r="AD21" s="4" cm="1">
        <f t="array" ref="AD21">IF(FALSE,"True," &amp; IF(_xlfn.XLOOKUP("Src_CIDR_Le_16",'Scoring_Config'!$A:$A,'Scoring_Config'!$D:$D,"Yes")="Yes",_xlfn.XLOOKUP("Src_CIDR_Le_16",'Scoring_Config'!$A:$A,'Scoring_Config'!$C:$C,25),0),"False,0")</f>
        <v>0</v>
      </c>
      <c r="AE21" s="4" cm="1">
        <f t="array" ref="AE21">IF(FALSE,"True," &amp; IF(_xlfn.XLOOKUP("Src_CIDR_17_22",'Scoring_Config'!$A:$A,'Scoring_Config'!$D:$D,"Yes")="Yes",_xlfn.XLOOKUP("Src_CIDR_17_22",'Scoring_Config'!$A:$A,'Scoring_Config'!$C:$C,15),0),"False,0")</f>
        <v>0</v>
      </c>
      <c r="AF21" s="5" cm="1">
        <f t="array" ref="AF21">IF(TRUE,"True," &amp; IF(_xlfn.XLOOKUP("Dst_IsAny",'Scoring_Config'!$A:$A,'Scoring_Config'!$D:$D,"Yes")="Yes",_xlfn.XLOOKUP("Dst_IsAny",'Scoring_Config'!$A:$A,'Scoring_Config'!$C:$C,25),0),"False,0")</f>
        <v>0</v>
      </c>
      <c r="AG21" s="4" cm="1">
        <f t="array" ref="AG21">IF(FALSE,"True," &amp; IF(_xlfn.XLOOKUP("Dst_CIDR_Le_16",'Scoring_Config'!$A:$A,'Scoring_Config'!$D:$D,"Yes")="Yes",_xlfn.XLOOKUP("Dst_CIDR_Le_16",'Scoring_Config'!$A:$A,'Scoring_Config'!$C:$C,25),0),"False,0")</f>
        <v>0</v>
      </c>
      <c r="AH21" s="4" cm="1">
        <f t="array" ref="AH21">IF(FALSE,"True," &amp; IF(_xlfn.XLOOKUP("Dst_CIDR_17_22",'Scoring_Config'!$A:$A,'Scoring_Config'!$D:$D,"Yes")="Yes",_xlfn.XLOOKUP("Dst_CIDR_17_22",'Scoring_Config'!$A:$A,'Scoring_Config'!$C:$C,15),0),"False,0")</f>
        <v>0</v>
      </c>
      <c r="AI21" s="4" cm="1">
        <f t="array" ref="AI21">IF(FALSE,"True," &amp; IF(_xlfn.XLOOKUP("SrcZone_IsAny",'Scoring_Config'!$A:$A,'Scoring_Config'!$D:$D,"Yes")="Yes",_xlfn.XLOOKUP("SrcZone_IsAny",'Scoring_Config'!$A:$A,'Scoring_Config'!$C:$C,5),0),"False,0")</f>
        <v>0</v>
      </c>
      <c r="AJ21" s="4" cm="1">
        <f t="array" ref="AJ21">IF(FALSE,"True," &amp; IF(_xlfn.XLOOKUP("DstZone_IsAny",'Scoring_Config'!$A:$A,'Scoring_Config'!$D:$D,"Yes")="Yes",_xlfn.XLOOKUP("DstZone_IsAny",'Scoring_Config'!$A:$A,'Scoring_Config'!$C:$C,5),0),"False,0")</f>
        <v>0</v>
      </c>
      <c r="AK21" s="4" cm="1">
        <f t="array" ref="AK2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" s="5" cm="1">
        <f t="array" ref="AL21">IF(TRUE,"True," &amp; IF(_xlfn.XLOOKUP("App_Any_OR_RangeGt1000",'Scoring_Config'!$A:$A,'Scoring_Config'!$D:$D,"Yes")="Yes",_xlfn.XLOOKUP("App_Any_OR_RangeGt1000",'Scoring_Config'!$A:$A,'Scoring_Config'!$C:$C,25),0),"False,0")</f>
        <v>0</v>
      </c>
      <c r="AM21" s="5" cm="1">
        <f t="array" ref="AM21">IF(TRUE,"True," &amp; IF(_xlfn.XLOOKUP("Service_Insecure_Match",'Scoring_Config'!$A:$A,'Scoring_Config'!$D:$D,"Yes")="Yes",_xlfn.XLOOKUP("Service_Insecure_Match",'Scoring_Config'!$A:$A,'Scoring_Config'!$C:$C,20),0),"False,0")</f>
        <v>0</v>
      </c>
      <c r="AN21" s="4" cm="1">
        <f t="array" ref="AN21">IF(FALSE,"True," &amp; IF(_xlfn.XLOOKUP("Risky_Inbound",'Scoring_Config'!$A:$A,'Scoring_Config'!$D:$D,"Yes")="Yes",_xlfn.XLOOKUP("Risky_Inbound",'Scoring_Config'!$A:$A,'Scoring_Config'!$C:$C,20),0),"False,0")</f>
        <v>0</v>
      </c>
      <c r="AO21" s="4" cm="1">
        <f t="array" ref="AO21">IF(FALSE,"True," &amp; IF(_xlfn.XLOOKUP("Risky_Outbound",'Scoring_Config'!$A:$A,'Scoring_Config'!$D:$D,"Yes")="Yes",_xlfn.XLOOKUP("Risky_Outbound",'Scoring_Config'!$A:$A,'Scoring_Config'!$C:$C,10),0),"False,0")</f>
        <v>0</v>
      </c>
      <c r="AP21" s="5" t="s">
        <v>2595</v>
      </c>
      <c r="AQ21" s="4" cm="1">
        <f t="array" ref="AQ2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" s="5" t="s">
        <v>2598</v>
      </c>
      <c r="AS21" s="4" t="s">
        <v>2592</v>
      </c>
      <c r="AT21" s="4" t="s">
        <v>2592</v>
      </c>
      <c r="AU21" s="4" cm="1">
        <f t="array" ref="AU21">IF(FALSE,"True," &amp; IF(_xlfn.XLOOKUP("Action_IsDenyOrDrop",'Scoring_Config'!$A:$A,'Scoring_Config'!$D:$D,"Yes")="Yes",_xlfn.XLOOKUP("Action_IsDenyOrDrop",'Scoring_Config'!$A:$A,'Scoring_Config'!$C:$C,0),0),"False,0")</f>
        <v>0</v>
      </c>
      <c r="AV21" s="4"/>
      <c r="AW21" s="4" cm="1">
        <f t="array" ref="AW21">IF(FALSE,"True," &amp; IF(_xlfn.XLOOKUP("Migrate_Insecure",'Scoring_Config'!$A:$A,'Scoring_Config'!$D:$D,"Yes")="Yes",_xlfn.XLOOKUP("Migrate_Insecure",'Scoring_Config'!$A:$A,'Scoring_Config'!$C:$C,15),0),"False,0")</f>
        <v>0</v>
      </c>
      <c r="AX21" s="4"/>
      <c r="AY21" s="4" cm="1">
        <f t="array" ref="AY21">IF(FALSE,"True," &amp; IF(_xlfn.XLOOKUP("Migrate_Other_Ports",'Scoring_Config'!$A:$A,'Scoring_Config'!$D:$D,"Yes")="Yes",_xlfn.XLOOKUP("Migrate_Other_Ports",'Scoring_Config'!$A:$A,'Scoring_Config'!$C:$C,5),0),"False,0")</f>
        <v>0</v>
      </c>
      <c r="AZ21" s="4" cm="1">
        <f t="array" ref="AZ21">IF(LEFT(AU21,4)="True",0,(IF(LEFT(AC21,4)="True",IF(_xlfn.XLOOKUP("Src_IsAny",'Scoring_Config'!$A:$A,'Scoring_Config'!$D:$D,"Yes")="Yes",_xlfn.XLOOKUP("Src_IsAny",'Scoring_Config'!$A:$A,'Scoring_Config'!$C:$C,25),0),0)+IF(LEFT(AD21,4)="True",IF(_xlfn.XLOOKUP("Src_CIDR_Le_16",'Scoring_Config'!$A:$A,'Scoring_Config'!$D:$D,"Yes")="Yes",_xlfn.XLOOKUP("Src_CIDR_Le_16",'Scoring_Config'!$A:$A,'Scoring_Config'!$C:$C,25),0),0)+IF(LEFT(AE21,4)="True",IF(_xlfn.XLOOKUP("Src_CIDR_17_22",'Scoring_Config'!$A:$A,'Scoring_Config'!$D:$D,"Yes")="Yes",_xlfn.XLOOKUP("Src_CIDR_17_22",'Scoring_Config'!$A:$A,'Scoring_Config'!$C:$C,15),0),0)+IF(LEFT(AF21,4)="True",IF(_xlfn.XLOOKUP("Dst_IsAny",'Scoring_Config'!$A:$A,'Scoring_Config'!$D:$D,"Yes")="Yes",_xlfn.XLOOKUP("Dst_IsAny",'Scoring_Config'!$A:$A,'Scoring_Config'!$C:$C,25),0),0)+IF(LEFT(AG21,4)="True",IF(_xlfn.XLOOKUP("Dst_CIDR_Le_16",'Scoring_Config'!$A:$A,'Scoring_Config'!$D:$D,"Yes")="Yes",_xlfn.XLOOKUP("Dst_CIDR_Le_16",'Scoring_Config'!$A:$A,'Scoring_Config'!$C:$C,25),0),0)+IF(LEFT(AH21,4)="True",IF(_xlfn.XLOOKUP("Dst_CIDR_17_22",'Scoring_Config'!$A:$A,'Scoring_Config'!$D:$D,"Yes")="Yes",_xlfn.XLOOKUP("Dst_CIDR_17_22",'Scoring_Config'!$A:$A,'Scoring_Config'!$C:$C,15),0),0)+IF(LEFT(AI21,4)="True",IF(_xlfn.XLOOKUP("SrcZone_IsAny",'Scoring_Config'!$A:$A,'Scoring_Config'!$D:$D,"Yes")="Yes",_xlfn.XLOOKUP("SrcZone_IsAny",'Scoring_Config'!$A:$A,'Scoring_Config'!$C:$C,5),0),0)+IF(LEFT(AJ21,4)="True",IF(_xlfn.XLOOKUP("DstZone_IsAny",'Scoring_Config'!$A:$A,'Scoring_Config'!$D:$D,"Yes")="Yes",_xlfn.XLOOKUP("DstZone_IsAny",'Scoring_Config'!$A:$A,'Scoring_Config'!$C:$C,5),0),0)+IF(LEFT(AK21,4)="True",IF(_xlfn.XLOOKUP("Service_Any_OR_RangeGt1000",'Scoring_Config'!$A:$A,'Scoring_Config'!$D:$D,"Yes")="Yes",_xlfn.XLOOKUP("Service_Any_OR_RangeGt1000",'Scoring_Config'!$A:$A,'Scoring_Config'!$C:$C,25),0),0)+IF(LEFT(AL21,4)="True",IF(_xlfn.XLOOKUP("App_Any_OR_RangeGt1000",'Scoring_Config'!$A:$A,'Scoring_Config'!$D:$D,"Yes")="Yes",_xlfn.XLOOKUP("App_Any_OR_RangeGt1000",'Scoring_Config'!$A:$A,'Scoring_Config'!$C:$C,25),0),0)+IF(LEFT(AM21,4)="True",IF(_xlfn.XLOOKUP("Service_Insecure_Match",'Scoring_Config'!$A:$A,'Scoring_Config'!$D:$D,"Yes")="Yes",_xlfn.XLOOKUP("Service_Insecure_Match",'Scoring_Config'!$A:$A,'Scoring_Config'!$C:$C,20),0),0)+IF(LEFT(AN21,4)="True",IF(_xlfn.XLOOKUP("Risky_Inbound",'Scoring_Config'!$A:$A,'Scoring_Config'!$D:$D,"Yes")="Yes",_xlfn.XLOOKUP("Risky_Inbound",'Scoring_Config'!$A:$A,'Scoring_Config'!$C:$C,20),0),0)+IF(LEFT(AO21,4)="True",IF(_xlfn.XLOOKUP("Risky_Outbound",'Scoring_Config'!$A:$A,'Scoring_Config'!$D:$D,"Yes")="Yes",_xlfn.XLOOKUP("Risky_Outbound",'Scoring_Config'!$A:$A,'Scoring_Config'!$C:$C,10),0),0)+IF(LEFT(AW21,4)="True",IF(_xlfn.XLOOKUP("Migrate_Insecure",'Scoring_Config'!$A:$A,'Scoring_Config'!$D:$D,"Yes")="Yes",_xlfn.XLOOKUP("Migrate_Insecure",'Scoring_Config'!$A:$A,'Scoring_Config'!$C:$C,15),0),0)+IF(LEFT(AY21,4)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,FIND(",",AP21)+1,100)),0)+IF(LEFT(AQ21,4)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,FIND(",",AR21)+1,100)),0)+IF(_xlfn.XLOOKUP("Profile_Scoring",'Scoring_Config'!$A:$A,'Scoring_Config'!$D:$D,"Yes")="Yes",VALUE(MID(AS21,FIND(",",AS21)+1,100)),0)+IF(_xlfn.XLOOKUP("Options_Scoring",'Scoring_Config'!$A:$A,'Scoring_Config'!$D:$D,"Yes")="Yes",VALUE(MID(AT21,FIND(",",AT21)+1,100)),0)))</f>
        <v>0</v>
      </c>
    </row>
    <row r="22" spans="1:52">
      <c r="A22" s="3" t="s">
        <v>52</v>
      </c>
      <c r="B22" s="3" t="s">
        <v>75</v>
      </c>
      <c r="C22" s="3" t="s">
        <v>329</v>
      </c>
      <c r="D22" s="3"/>
      <c r="E22" s="3" t="s">
        <v>359</v>
      </c>
      <c r="F22" s="3" t="s">
        <v>360</v>
      </c>
      <c r="G22" s="3" t="s">
        <v>365</v>
      </c>
      <c r="H22" s="3" t="s">
        <v>365</v>
      </c>
      <c r="I22" s="3" t="s">
        <v>622</v>
      </c>
      <c r="J22" s="3" t="s">
        <v>363</v>
      </c>
      <c r="K22" s="3" t="s">
        <v>479</v>
      </c>
      <c r="L22" s="3" t="s">
        <v>479</v>
      </c>
      <c r="M22" s="3" t="s">
        <v>774</v>
      </c>
      <c r="N22" s="3" t="s">
        <v>795</v>
      </c>
      <c r="O22" s="4" t="s">
        <v>815</v>
      </c>
      <c r="P22" s="3" t="s">
        <v>876</v>
      </c>
      <c r="Q22" s="3" t="s">
        <v>905</v>
      </c>
      <c r="R22" s="3" t="s">
        <v>908</v>
      </c>
      <c r="S22" s="3" t="s">
        <v>913</v>
      </c>
      <c r="T22" s="3" t="s">
        <v>919</v>
      </c>
      <c r="U22" s="3" t="s">
        <v>1161</v>
      </c>
      <c r="V22" s="3" t="s">
        <v>789</v>
      </c>
      <c r="W22" s="3" t="s">
        <v>1406</v>
      </c>
      <c r="X22" s="3" t="s">
        <v>1626</v>
      </c>
      <c r="Y22" s="3" t="s">
        <v>2095</v>
      </c>
      <c r="Z22" s="3"/>
      <c r="AA22" s="3"/>
      <c r="AB22" s="3"/>
      <c r="AC22" s="5" cm="1">
        <f t="array" ref="AC22">IF(TRUE,"True," &amp; IF(_xlfn.XLOOKUP("Src_IsAny",'Scoring_Config'!$A:$A,'Scoring_Config'!$D:$D,"Yes")="Yes",_xlfn.XLOOKUP("Src_IsAny",'Scoring_Config'!$A:$A,'Scoring_Config'!$C:$C,25),0),"False,0")</f>
        <v>0</v>
      </c>
      <c r="AD22" s="4" cm="1">
        <f t="array" ref="AD22">IF(FALSE,"True," &amp; IF(_xlfn.XLOOKUP("Src_CIDR_Le_16",'Scoring_Config'!$A:$A,'Scoring_Config'!$D:$D,"Yes")="Yes",_xlfn.XLOOKUP("Src_CIDR_Le_16",'Scoring_Config'!$A:$A,'Scoring_Config'!$C:$C,25),0),"False,0")</f>
        <v>0</v>
      </c>
      <c r="AE22" s="4" cm="1">
        <f t="array" ref="AE22">IF(FALSE,"True," &amp; IF(_xlfn.XLOOKUP("Src_CIDR_17_22",'Scoring_Config'!$A:$A,'Scoring_Config'!$D:$D,"Yes")="Yes",_xlfn.XLOOKUP("Src_CIDR_17_22",'Scoring_Config'!$A:$A,'Scoring_Config'!$C:$C,15),0),"False,0")</f>
        <v>0</v>
      </c>
      <c r="AF22" s="4" cm="1">
        <f t="array" ref="AF22">IF(FALSE,"True," &amp; IF(_xlfn.XLOOKUP("Dst_IsAny",'Scoring_Config'!$A:$A,'Scoring_Config'!$D:$D,"Yes")="Yes",_xlfn.XLOOKUP("Dst_IsAny",'Scoring_Config'!$A:$A,'Scoring_Config'!$C:$C,25),0),"False,0")</f>
        <v>0</v>
      </c>
      <c r="AG22" s="4" cm="1">
        <f t="array" ref="AG22">IF(FALSE,"True," &amp; IF(_xlfn.XLOOKUP("Dst_CIDR_Le_16",'Scoring_Config'!$A:$A,'Scoring_Config'!$D:$D,"Yes")="Yes",_xlfn.XLOOKUP("Dst_CIDR_Le_16",'Scoring_Config'!$A:$A,'Scoring_Config'!$C:$C,25),0),"False,0")</f>
        <v>0</v>
      </c>
      <c r="AH22" s="4" cm="1">
        <f t="array" ref="AH22">IF(FALSE,"True," &amp; IF(_xlfn.XLOOKUP("Dst_CIDR_17_22",'Scoring_Config'!$A:$A,'Scoring_Config'!$D:$D,"Yes")="Yes",_xlfn.XLOOKUP("Dst_CIDR_17_22",'Scoring_Config'!$A:$A,'Scoring_Config'!$C:$C,15),0),"False,0")</f>
        <v>0</v>
      </c>
      <c r="AI22" s="4" cm="1">
        <f t="array" ref="AI22">IF(FALSE,"True," &amp; IF(_xlfn.XLOOKUP("SrcZone_IsAny",'Scoring_Config'!$A:$A,'Scoring_Config'!$D:$D,"Yes")="Yes",_xlfn.XLOOKUP("SrcZone_IsAny",'Scoring_Config'!$A:$A,'Scoring_Config'!$C:$C,5),0),"False,0")</f>
        <v>0</v>
      </c>
      <c r="AJ22" s="4" cm="1">
        <f t="array" ref="AJ22">IF(FALSE,"True," &amp; IF(_xlfn.XLOOKUP("DstZone_IsAny",'Scoring_Config'!$A:$A,'Scoring_Config'!$D:$D,"Yes")="Yes",_xlfn.XLOOKUP("DstZone_IsAny",'Scoring_Config'!$A:$A,'Scoring_Config'!$C:$C,5),0),"False,0")</f>
        <v>0</v>
      </c>
      <c r="AK22" s="4" cm="1">
        <f t="array" ref="AK2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" s="4" cm="1">
        <f t="array" ref="AL22">IF(FALSE,"True," &amp; IF(_xlfn.XLOOKUP("App_Any_OR_RangeGt1000",'Scoring_Config'!$A:$A,'Scoring_Config'!$D:$D,"Yes")="Yes",_xlfn.XLOOKUP("App_Any_OR_RangeGt1000",'Scoring_Config'!$A:$A,'Scoring_Config'!$C:$C,25),0),"False,0")</f>
        <v>0</v>
      </c>
      <c r="AM22" s="4" cm="1">
        <f t="array" ref="AM22">IF(FALSE,"True," &amp; IF(_xlfn.XLOOKUP("Service_Insecure_Match",'Scoring_Config'!$A:$A,'Scoring_Config'!$D:$D,"Yes")="Yes",_xlfn.XLOOKUP("Service_Insecure_Match",'Scoring_Config'!$A:$A,'Scoring_Config'!$C:$C,20),0),"False,0")</f>
        <v>0</v>
      </c>
      <c r="AN22" s="4" cm="1">
        <f t="array" ref="AN22">IF(FALSE,"True," &amp; IF(_xlfn.XLOOKUP("Risky_Inbound",'Scoring_Config'!$A:$A,'Scoring_Config'!$D:$D,"Yes")="Yes",_xlfn.XLOOKUP("Risky_Inbound",'Scoring_Config'!$A:$A,'Scoring_Config'!$C:$C,20),0),"False,0")</f>
        <v>0</v>
      </c>
      <c r="AO22" s="4" cm="1">
        <f t="array" ref="AO22">IF(FALSE,"True," &amp; IF(_xlfn.XLOOKUP("Risky_Outbound",'Scoring_Config'!$A:$A,'Scoring_Config'!$D:$D,"Yes")="Yes",_xlfn.XLOOKUP("Risky_Outbound",'Scoring_Config'!$A:$A,'Scoring_Config'!$C:$C,10),0),"False,0")</f>
        <v>0</v>
      </c>
      <c r="AP22" s="5" t="s">
        <v>2595</v>
      </c>
      <c r="AQ22" s="4" cm="1">
        <f t="array" ref="AQ2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" s="5" t="s">
        <v>2598</v>
      </c>
      <c r="AS22" s="4" t="s">
        <v>2592</v>
      </c>
      <c r="AT22" s="4" t="s">
        <v>2592</v>
      </c>
      <c r="AU22" s="4" cm="1">
        <f t="array" ref="AU22">IF(FALSE,"True," &amp; IF(_xlfn.XLOOKUP("Action_IsDenyOrDrop",'Scoring_Config'!$A:$A,'Scoring_Config'!$D:$D,"Yes")="Yes",_xlfn.XLOOKUP("Action_IsDenyOrDrop",'Scoring_Config'!$A:$A,'Scoring_Config'!$C:$C,0),0),"False,0")</f>
        <v>0</v>
      </c>
      <c r="AV22" s="4"/>
      <c r="AW22" s="4" cm="1">
        <f t="array" ref="AW22">IF(FALSE,"True," &amp; IF(_xlfn.XLOOKUP("Migrate_Insecure",'Scoring_Config'!$A:$A,'Scoring_Config'!$D:$D,"Yes")="Yes",_xlfn.XLOOKUP("Migrate_Insecure",'Scoring_Config'!$A:$A,'Scoring_Config'!$C:$C,15),0),"False,0")</f>
        <v>0</v>
      </c>
      <c r="AX22" s="4"/>
      <c r="AY22" s="4" cm="1">
        <f t="array" ref="AY22">IF(FALSE,"True," &amp; IF(_xlfn.XLOOKUP("Migrate_Other_Ports",'Scoring_Config'!$A:$A,'Scoring_Config'!$D:$D,"Yes")="Yes",_xlfn.XLOOKUP("Migrate_Other_Ports",'Scoring_Config'!$A:$A,'Scoring_Config'!$C:$C,5),0),"False,0")</f>
        <v>0</v>
      </c>
      <c r="AZ22" s="4" cm="1">
        <f t="array" ref="AZ22">IF(LEFT(AU22,4)="True",0,(IF(LEFT(AC22,4)="True",IF(_xlfn.XLOOKUP("Src_IsAny",'Scoring_Config'!$A:$A,'Scoring_Config'!$D:$D,"Yes")="Yes",_xlfn.XLOOKUP("Src_IsAny",'Scoring_Config'!$A:$A,'Scoring_Config'!$C:$C,25),0),0)+IF(LEFT(AD22,4)="True",IF(_xlfn.XLOOKUP("Src_CIDR_Le_16",'Scoring_Config'!$A:$A,'Scoring_Config'!$D:$D,"Yes")="Yes",_xlfn.XLOOKUP("Src_CIDR_Le_16",'Scoring_Config'!$A:$A,'Scoring_Config'!$C:$C,25),0),0)+IF(LEFT(AE22,4)="True",IF(_xlfn.XLOOKUP("Src_CIDR_17_22",'Scoring_Config'!$A:$A,'Scoring_Config'!$D:$D,"Yes")="Yes",_xlfn.XLOOKUP("Src_CIDR_17_22",'Scoring_Config'!$A:$A,'Scoring_Config'!$C:$C,15),0),0)+IF(LEFT(AF22,4)="True",IF(_xlfn.XLOOKUP("Dst_IsAny",'Scoring_Config'!$A:$A,'Scoring_Config'!$D:$D,"Yes")="Yes",_xlfn.XLOOKUP("Dst_IsAny",'Scoring_Config'!$A:$A,'Scoring_Config'!$C:$C,25),0),0)+IF(LEFT(AG22,4)="True",IF(_xlfn.XLOOKUP("Dst_CIDR_Le_16",'Scoring_Config'!$A:$A,'Scoring_Config'!$D:$D,"Yes")="Yes",_xlfn.XLOOKUP("Dst_CIDR_Le_16",'Scoring_Config'!$A:$A,'Scoring_Config'!$C:$C,25),0),0)+IF(LEFT(AH22,4)="True",IF(_xlfn.XLOOKUP("Dst_CIDR_17_22",'Scoring_Config'!$A:$A,'Scoring_Config'!$D:$D,"Yes")="Yes",_xlfn.XLOOKUP("Dst_CIDR_17_22",'Scoring_Config'!$A:$A,'Scoring_Config'!$C:$C,15),0),0)+IF(LEFT(AI22,4)="True",IF(_xlfn.XLOOKUP("SrcZone_IsAny",'Scoring_Config'!$A:$A,'Scoring_Config'!$D:$D,"Yes")="Yes",_xlfn.XLOOKUP("SrcZone_IsAny",'Scoring_Config'!$A:$A,'Scoring_Config'!$C:$C,5),0),0)+IF(LEFT(AJ22,4)="True",IF(_xlfn.XLOOKUP("DstZone_IsAny",'Scoring_Config'!$A:$A,'Scoring_Config'!$D:$D,"Yes")="Yes",_xlfn.XLOOKUP("DstZone_IsAny",'Scoring_Config'!$A:$A,'Scoring_Config'!$C:$C,5),0),0)+IF(LEFT(AK22,4)="True",IF(_xlfn.XLOOKUP("Service_Any_OR_RangeGt1000",'Scoring_Config'!$A:$A,'Scoring_Config'!$D:$D,"Yes")="Yes",_xlfn.XLOOKUP("Service_Any_OR_RangeGt1000",'Scoring_Config'!$A:$A,'Scoring_Config'!$C:$C,25),0),0)+IF(LEFT(AL22,4)="True",IF(_xlfn.XLOOKUP("App_Any_OR_RangeGt1000",'Scoring_Config'!$A:$A,'Scoring_Config'!$D:$D,"Yes")="Yes",_xlfn.XLOOKUP("App_Any_OR_RangeGt1000",'Scoring_Config'!$A:$A,'Scoring_Config'!$C:$C,25),0),0)+IF(LEFT(AM22,4)="True",IF(_xlfn.XLOOKUP("Service_Insecure_Match",'Scoring_Config'!$A:$A,'Scoring_Config'!$D:$D,"Yes")="Yes",_xlfn.XLOOKUP("Service_Insecure_Match",'Scoring_Config'!$A:$A,'Scoring_Config'!$C:$C,20),0),0)+IF(LEFT(AN22,4)="True",IF(_xlfn.XLOOKUP("Risky_Inbound",'Scoring_Config'!$A:$A,'Scoring_Config'!$D:$D,"Yes")="Yes",_xlfn.XLOOKUP("Risky_Inbound",'Scoring_Config'!$A:$A,'Scoring_Config'!$C:$C,20),0),0)+IF(LEFT(AO22,4)="True",IF(_xlfn.XLOOKUP("Risky_Outbound",'Scoring_Config'!$A:$A,'Scoring_Config'!$D:$D,"Yes")="Yes",_xlfn.XLOOKUP("Risky_Outbound",'Scoring_Config'!$A:$A,'Scoring_Config'!$C:$C,10),0),0)+IF(LEFT(AW22,4)="True",IF(_xlfn.XLOOKUP("Migrate_Insecure",'Scoring_Config'!$A:$A,'Scoring_Config'!$D:$D,"Yes")="Yes",_xlfn.XLOOKUP("Migrate_Insecure",'Scoring_Config'!$A:$A,'Scoring_Config'!$C:$C,15),0),0)+IF(LEFT(AY22,4)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,FIND(",",AP22)+1,100)),0)+IF(LEFT(AQ22,4)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,FIND(",",AR22)+1,100)),0)+IF(_xlfn.XLOOKUP("Profile_Scoring",'Scoring_Config'!$A:$A,'Scoring_Config'!$D:$D,"Yes")="Yes",VALUE(MID(AS22,FIND(",",AS22)+1,100)),0)+IF(_xlfn.XLOOKUP("Options_Scoring",'Scoring_Config'!$A:$A,'Scoring_Config'!$D:$D,"Yes")="Yes",VALUE(MID(AT22,FIND(",",AT22)+1,100)),0)))</f>
        <v>0</v>
      </c>
    </row>
    <row r="23" spans="1:52">
      <c r="A23" s="3" t="s">
        <v>52</v>
      </c>
      <c r="B23" s="3" t="s">
        <v>76</v>
      </c>
      <c r="C23" s="3" t="s">
        <v>329</v>
      </c>
      <c r="D23" s="3"/>
      <c r="E23" s="3" t="s">
        <v>359</v>
      </c>
      <c r="F23" s="3" t="s">
        <v>362</v>
      </c>
      <c r="G23" s="3" t="s">
        <v>375</v>
      </c>
      <c r="H23" s="3" t="s">
        <v>375</v>
      </c>
      <c r="I23" s="3" t="s">
        <v>623</v>
      </c>
      <c r="J23" s="3" t="s">
        <v>362</v>
      </c>
      <c r="K23" s="3" t="s">
        <v>630</v>
      </c>
      <c r="L23" s="3" t="s">
        <v>742</v>
      </c>
      <c r="M23" s="3" t="s">
        <v>771</v>
      </c>
      <c r="N23" s="3" t="s">
        <v>793</v>
      </c>
      <c r="O23" s="4" t="s">
        <v>816</v>
      </c>
      <c r="P23" s="3" t="s">
        <v>877</v>
      </c>
      <c r="Q23" s="3" t="s">
        <v>905</v>
      </c>
      <c r="R23" s="3" t="s">
        <v>906</v>
      </c>
      <c r="S23" s="3" t="s">
        <v>914</v>
      </c>
      <c r="T23" s="3" t="s">
        <v>933</v>
      </c>
      <c r="U23" s="3" t="s">
        <v>1162</v>
      </c>
      <c r="V23" s="3" t="s">
        <v>1387</v>
      </c>
      <c r="W23" s="3" t="s">
        <v>1407</v>
      </c>
      <c r="X23" s="3" t="s">
        <v>1627</v>
      </c>
      <c r="Y23" s="3" t="s">
        <v>2096</v>
      </c>
      <c r="Z23" s="3"/>
      <c r="AA23" s="3"/>
      <c r="AB23" s="3"/>
      <c r="AC23" s="4" cm="1">
        <f t="array" ref="AC23">IF(FALSE,"True," &amp; IF(_xlfn.XLOOKUP("Src_IsAny",'Scoring_Config'!$A:$A,'Scoring_Config'!$D:$D,"Yes")="Yes",_xlfn.XLOOKUP("Src_IsAny",'Scoring_Config'!$A:$A,'Scoring_Config'!$C:$C,25),0),"False,0")</f>
        <v>0</v>
      </c>
      <c r="AD23" s="4" cm="1">
        <f t="array" ref="AD23">IF(FALSE,"True," &amp; IF(_xlfn.XLOOKUP("Src_CIDR_Le_16",'Scoring_Config'!$A:$A,'Scoring_Config'!$D:$D,"Yes")="Yes",_xlfn.XLOOKUP("Src_CIDR_Le_16",'Scoring_Config'!$A:$A,'Scoring_Config'!$C:$C,25),0),"False,0")</f>
        <v>0</v>
      </c>
      <c r="AE23" s="4" cm="1">
        <f t="array" ref="AE23">IF(FALSE,"True," &amp; IF(_xlfn.XLOOKUP("Src_CIDR_17_22",'Scoring_Config'!$A:$A,'Scoring_Config'!$D:$D,"Yes")="Yes",_xlfn.XLOOKUP("Src_CIDR_17_22",'Scoring_Config'!$A:$A,'Scoring_Config'!$C:$C,15),0),"False,0")</f>
        <v>0</v>
      </c>
      <c r="AF23" s="4" cm="1">
        <f t="array" ref="AF23">IF(FALSE,"True," &amp; IF(_xlfn.XLOOKUP("Dst_IsAny",'Scoring_Config'!$A:$A,'Scoring_Config'!$D:$D,"Yes")="Yes",_xlfn.XLOOKUP("Dst_IsAny",'Scoring_Config'!$A:$A,'Scoring_Config'!$C:$C,25),0),"False,0")</f>
        <v>0</v>
      </c>
      <c r="AG23" s="4" cm="1">
        <f t="array" ref="AG23">IF(FALSE,"True," &amp; IF(_xlfn.XLOOKUP("Dst_CIDR_Le_16",'Scoring_Config'!$A:$A,'Scoring_Config'!$D:$D,"Yes")="Yes",_xlfn.XLOOKUP("Dst_CIDR_Le_16",'Scoring_Config'!$A:$A,'Scoring_Config'!$C:$C,25),0),"False,0")</f>
        <v>0</v>
      </c>
      <c r="AH23" s="4" cm="1">
        <f t="array" ref="AH23">IF(FALSE,"True," &amp; IF(_xlfn.XLOOKUP("Dst_CIDR_17_22",'Scoring_Config'!$A:$A,'Scoring_Config'!$D:$D,"Yes")="Yes",_xlfn.XLOOKUP("Dst_CIDR_17_22",'Scoring_Config'!$A:$A,'Scoring_Config'!$C:$C,15),0),"False,0")</f>
        <v>0</v>
      </c>
      <c r="AI23" s="4" cm="1">
        <f t="array" ref="AI23">IF(FALSE,"True," &amp; IF(_xlfn.XLOOKUP("SrcZone_IsAny",'Scoring_Config'!$A:$A,'Scoring_Config'!$D:$D,"Yes")="Yes",_xlfn.XLOOKUP("SrcZone_IsAny",'Scoring_Config'!$A:$A,'Scoring_Config'!$C:$C,5),0),"False,0")</f>
        <v>0</v>
      </c>
      <c r="AJ23" s="4" cm="1">
        <f t="array" ref="AJ23">IF(FALSE,"True," &amp; IF(_xlfn.XLOOKUP("DstZone_IsAny",'Scoring_Config'!$A:$A,'Scoring_Config'!$D:$D,"Yes")="Yes",_xlfn.XLOOKUP("DstZone_IsAny",'Scoring_Config'!$A:$A,'Scoring_Config'!$C:$C,5),0),"False,0")</f>
        <v>0</v>
      </c>
      <c r="AK23" s="4" cm="1">
        <f t="array" ref="AK2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" s="4" cm="1">
        <f t="array" ref="AL23">IF(FALSE,"True," &amp; IF(_xlfn.XLOOKUP("App_Any_OR_RangeGt1000",'Scoring_Config'!$A:$A,'Scoring_Config'!$D:$D,"Yes")="Yes",_xlfn.XLOOKUP("App_Any_OR_RangeGt1000",'Scoring_Config'!$A:$A,'Scoring_Config'!$C:$C,25),0),"False,0")</f>
        <v>0</v>
      </c>
      <c r="AM23" s="5" cm="1">
        <f t="array" ref="AM23">IF(TRUE,"True," &amp; IF(_xlfn.XLOOKUP("Service_Insecure_Match",'Scoring_Config'!$A:$A,'Scoring_Config'!$D:$D,"Yes")="Yes",_xlfn.XLOOKUP("Service_Insecure_Match",'Scoring_Config'!$A:$A,'Scoring_Config'!$C:$C,20),0),"False,0")</f>
        <v>0</v>
      </c>
      <c r="AN23" s="4" cm="1">
        <f t="array" ref="AN23">IF(FALSE,"True," &amp; IF(_xlfn.XLOOKUP("Risky_Inbound",'Scoring_Config'!$A:$A,'Scoring_Config'!$D:$D,"Yes")="Yes",_xlfn.XLOOKUP("Risky_Inbound",'Scoring_Config'!$A:$A,'Scoring_Config'!$C:$C,20),0),"False,0")</f>
        <v>0</v>
      </c>
      <c r="AO23" s="4" cm="1">
        <f t="array" ref="AO23">IF(FALSE,"True," &amp; IF(_xlfn.XLOOKUP("Risky_Outbound",'Scoring_Config'!$A:$A,'Scoring_Config'!$D:$D,"Yes")="Yes",_xlfn.XLOOKUP("Risky_Outbound",'Scoring_Config'!$A:$A,'Scoring_Config'!$C:$C,10),0),"False,0")</f>
        <v>0</v>
      </c>
      <c r="AP23" s="5" t="s">
        <v>2595</v>
      </c>
      <c r="AQ23" s="4" cm="1">
        <f t="array" ref="AQ2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" s="5" t="s">
        <v>2598</v>
      </c>
      <c r="AS23" s="4" t="s">
        <v>2592</v>
      </c>
      <c r="AT23" s="4" t="s">
        <v>2592</v>
      </c>
      <c r="AU23" s="4" cm="1">
        <f t="array" ref="AU23">IF(FALSE,"True," &amp; IF(_xlfn.XLOOKUP("Action_IsDenyOrDrop",'Scoring_Config'!$A:$A,'Scoring_Config'!$D:$D,"Yes")="Yes",_xlfn.XLOOKUP("Action_IsDenyOrDrop",'Scoring_Config'!$A:$A,'Scoring_Config'!$C:$C,0),0),"False,0")</f>
        <v>0</v>
      </c>
      <c r="AV23" s="4"/>
      <c r="AW23" s="4" cm="1">
        <f t="array" ref="AW23">IF(FALSE,"True," &amp; IF(_xlfn.XLOOKUP("Migrate_Insecure",'Scoring_Config'!$A:$A,'Scoring_Config'!$D:$D,"Yes")="Yes",_xlfn.XLOOKUP("Migrate_Insecure",'Scoring_Config'!$A:$A,'Scoring_Config'!$C:$C,15),0),"False,0")</f>
        <v>0</v>
      </c>
      <c r="AX23" s="4"/>
      <c r="AY23" s="4" cm="1">
        <f t="array" ref="AY23">IF(FALSE,"True," &amp; IF(_xlfn.XLOOKUP("Migrate_Other_Ports",'Scoring_Config'!$A:$A,'Scoring_Config'!$D:$D,"Yes")="Yes",_xlfn.XLOOKUP("Migrate_Other_Ports",'Scoring_Config'!$A:$A,'Scoring_Config'!$C:$C,5),0),"False,0")</f>
        <v>0</v>
      </c>
      <c r="AZ23" s="4" cm="1">
        <f t="array" ref="AZ23">IF(LEFT(AU23,4)="True",0,(IF(LEFT(AC23,4)="True",IF(_xlfn.XLOOKUP("Src_IsAny",'Scoring_Config'!$A:$A,'Scoring_Config'!$D:$D,"Yes")="Yes",_xlfn.XLOOKUP("Src_IsAny",'Scoring_Config'!$A:$A,'Scoring_Config'!$C:$C,25),0),0)+IF(LEFT(AD23,4)="True",IF(_xlfn.XLOOKUP("Src_CIDR_Le_16",'Scoring_Config'!$A:$A,'Scoring_Config'!$D:$D,"Yes")="Yes",_xlfn.XLOOKUP("Src_CIDR_Le_16",'Scoring_Config'!$A:$A,'Scoring_Config'!$C:$C,25),0),0)+IF(LEFT(AE23,4)="True",IF(_xlfn.XLOOKUP("Src_CIDR_17_22",'Scoring_Config'!$A:$A,'Scoring_Config'!$D:$D,"Yes")="Yes",_xlfn.XLOOKUP("Src_CIDR_17_22",'Scoring_Config'!$A:$A,'Scoring_Config'!$C:$C,15),0),0)+IF(LEFT(AF23,4)="True",IF(_xlfn.XLOOKUP("Dst_IsAny",'Scoring_Config'!$A:$A,'Scoring_Config'!$D:$D,"Yes")="Yes",_xlfn.XLOOKUP("Dst_IsAny",'Scoring_Config'!$A:$A,'Scoring_Config'!$C:$C,25),0),0)+IF(LEFT(AG23,4)="True",IF(_xlfn.XLOOKUP("Dst_CIDR_Le_16",'Scoring_Config'!$A:$A,'Scoring_Config'!$D:$D,"Yes")="Yes",_xlfn.XLOOKUP("Dst_CIDR_Le_16",'Scoring_Config'!$A:$A,'Scoring_Config'!$C:$C,25),0),0)+IF(LEFT(AH23,4)="True",IF(_xlfn.XLOOKUP("Dst_CIDR_17_22",'Scoring_Config'!$A:$A,'Scoring_Config'!$D:$D,"Yes")="Yes",_xlfn.XLOOKUP("Dst_CIDR_17_22",'Scoring_Config'!$A:$A,'Scoring_Config'!$C:$C,15),0),0)+IF(LEFT(AI23,4)="True",IF(_xlfn.XLOOKUP("SrcZone_IsAny",'Scoring_Config'!$A:$A,'Scoring_Config'!$D:$D,"Yes")="Yes",_xlfn.XLOOKUP("SrcZone_IsAny",'Scoring_Config'!$A:$A,'Scoring_Config'!$C:$C,5),0),0)+IF(LEFT(AJ23,4)="True",IF(_xlfn.XLOOKUP("DstZone_IsAny",'Scoring_Config'!$A:$A,'Scoring_Config'!$D:$D,"Yes")="Yes",_xlfn.XLOOKUP("DstZone_IsAny",'Scoring_Config'!$A:$A,'Scoring_Config'!$C:$C,5),0),0)+IF(LEFT(AK23,4)="True",IF(_xlfn.XLOOKUP("Service_Any_OR_RangeGt1000",'Scoring_Config'!$A:$A,'Scoring_Config'!$D:$D,"Yes")="Yes",_xlfn.XLOOKUP("Service_Any_OR_RangeGt1000",'Scoring_Config'!$A:$A,'Scoring_Config'!$C:$C,25),0),0)+IF(LEFT(AL23,4)="True",IF(_xlfn.XLOOKUP("App_Any_OR_RangeGt1000",'Scoring_Config'!$A:$A,'Scoring_Config'!$D:$D,"Yes")="Yes",_xlfn.XLOOKUP("App_Any_OR_RangeGt1000",'Scoring_Config'!$A:$A,'Scoring_Config'!$C:$C,25),0),0)+IF(LEFT(AM23,4)="True",IF(_xlfn.XLOOKUP("Service_Insecure_Match",'Scoring_Config'!$A:$A,'Scoring_Config'!$D:$D,"Yes")="Yes",_xlfn.XLOOKUP("Service_Insecure_Match",'Scoring_Config'!$A:$A,'Scoring_Config'!$C:$C,20),0),0)+IF(LEFT(AN23,4)="True",IF(_xlfn.XLOOKUP("Risky_Inbound",'Scoring_Config'!$A:$A,'Scoring_Config'!$D:$D,"Yes")="Yes",_xlfn.XLOOKUP("Risky_Inbound",'Scoring_Config'!$A:$A,'Scoring_Config'!$C:$C,20),0),0)+IF(LEFT(AO23,4)="True",IF(_xlfn.XLOOKUP("Risky_Outbound",'Scoring_Config'!$A:$A,'Scoring_Config'!$D:$D,"Yes")="Yes",_xlfn.XLOOKUP("Risky_Outbound",'Scoring_Config'!$A:$A,'Scoring_Config'!$C:$C,10),0),0)+IF(LEFT(AW23,4)="True",IF(_xlfn.XLOOKUP("Migrate_Insecure",'Scoring_Config'!$A:$A,'Scoring_Config'!$D:$D,"Yes")="Yes",_xlfn.XLOOKUP("Migrate_Insecure",'Scoring_Config'!$A:$A,'Scoring_Config'!$C:$C,15),0),0)+IF(LEFT(AY23,4)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,FIND(",",AP23)+1,100)),0)+IF(LEFT(AQ23,4)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,FIND(",",AR23)+1,100)),0)+IF(_xlfn.XLOOKUP("Profile_Scoring",'Scoring_Config'!$A:$A,'Scoring_Config'!$D:$D,"Yes")="Yes",VALUE(MID(AS23,FIND(",",AS23)+1,100)),0)+IF(_xlfn.XLOOKUP("Options_Scoring",'Scoring_Config'!$A:$A,'Scoring_Config'!$D:$D,"Yes")="Yes",VALUE(MID(AT23,FIND(",",AT23)+1,100)),0)))</f>
        <v>0</v>
      </c>
    </row>
    <row r="24" spans="1:52">
      <c r="A24" s="3" t="s">
        <v>52</v>
      </c>
      <c r="B24" s="3" t="s">
        <v>77</v>
      </c>
      <c r="C24" s="3" t="s">
        <v>329</v>
      </c>
      <c r="D24" s="3"/>
      <c r="E24" s="3" t="s">
        <v>359</v>
      </c>
      <c r="F24" s="3" t="s">
        <v>360</v>
      </c>
      <c r="G24" s="3" t="s">
        <v>376</v>
      </c>
      <c r="H24" s="3" t="s">
        <v>544</v>
      </c>
      <c r="I24" s="3" t="s">
        <v>622</v>
      </c>
      <c r="J24" s="3" t="s">
        <v>363</v>
      </c>
      <c r="K24" s="3" t="s">
        <v>631</v>
      </c>
      <c r="L24" s="3" t="s">
        <v>631</v>
      </c>
      <c r="M24" s="3" t="s">
        <v>772</v>
      </c>
      <c r="N24" s="3" t="s">
        <v>794</v>
      </c>
      <c r="O24" s="4" t="s">
        <v>817</v>
      </c>
      <c r="P24" s="3" t="s">
        <v>878</v>
      </c>
      <c r="Q24" s="3" t="s">
        <v>905</v>
      </c>
      <c r="R24" s="3" t="s">
        <v>907</v>
      </c>
      <c r="S24" s="3" t="s">
        <v>912</v>
      </c>
      <c r="T24" s="3" t="s">
        <v>919</v>
      </c>
      <c r="U24" s="3" t="s">
        <v>1145</v>
      </c>
      <c r="V24" s="3" t="s">
        <v>1386</v>
      </c>
      <c r="W24" s="3" t="s">
        <v>1408</v>
      </c>
      <c r="X24" s="3" t="s">
        <v>1628</v>
      </c>
      <c r="Y24" s="3" t="s">
        <v>2097</v>
      </c>
      <c r="Z24" s="3"/>
      <c r="AA24" s="3"/>
      <c r="AB24" s="3"/>
      <c r="AC24" s="4" cm="1">
        <f t="array" ref="AC24">IF(FALSE,"True," &amp; IF(_xlfn.XLOOKUP("Src_IsAny",'Scoring_Config'!$A:$A,'Scoring_Config'!$D:$D,"Yes")="Yes",_xlfn.XLOOKUP("Src_IsAny",'Scoring_Config'!$A:$A,'Scoring_Config'!$C:$C,25),0),"False,0")</f>
        <v>0</v>
      </c>
      <c r="AD24" s="4" cm="1">
        <f t="array" ref="AD24">IF(FALSE,"True," &amp; IF(_xlfn.XLOOKUP("Src_CIDR_Le_16",'Scoring_Config'!$A:$A,'Scoring_Config'!$D:$D,"Yes")="Yes",_xlfn.XLOOKUP("Src_CIDR_Le_16",'Scoring_Config'!$A:$A,'Scoring_Config'!$C:$C,25),0),"False,0")</f>
        <v>0</v>
      </c>
      <c r="AE24" s="4" cm="1">
        <f t="array" ref="AE24">IF(FALSE,"True," &amp; IF(_xlfn.XLOOKUP("Src_CIDR_17_22",'Scoring_Config'!$A:$A,'Scoring_Config'!$D:$D,"Yes")="Yes",_xlfn.XLOOKUP("Src_CIDR_17_22",'Scoring_Config'!$A:$A,'Scoring_Config'!$C:$C,15),0),"False,0")</f>
        <v>0</v>
      </c>
      <c r="AF24" s="4" cm="1">
        <f t="array" ref="AF24">IF(FALSE,"True," &amp; IF(_xlfn.XLOOKUP("Dst_IsAny",'Scoring_Config'!$A:$A,'Scoring_Config'!$D:$D,"Yes")="Yes",_xlfn.XLOOKUP("Dst_IsAny",'Scoring_Config'!$A:$A,'Scoring_Config'!$C:$C,25),0),"False,0")</f>
        <v>0</v>
      </c>
      <c r="AG24" s="4" cm="1">
        <f t="array" ref="AG24">IF(FALSE,"True," &amp; IF(_xlfn.XLOOKUP("Dst_CIDR_Le_16",'Scoring_Config'!$A:$A,'Scoring_Config'!$D:$D,"Yes")="Yes",_xlfn.XLOOKUP("Dst_CIDR_Le_16",'Scoring_Config'!$A:$A,'Scoring_Config'!$C:$C,25),0),"False,0")</f>
        <v>0</v>
      </c>
      <c r="AH24" s="4" cm="1">
        <f t="array" ref="AH24">IF(FALSE,"True," &amp; IF(_xlfn.XLOOKUP("Dst_CIDR_17_22",'Scoring_Config'!$A:$A,'Scoring_Config'!$D:$D,"Yes")="Yes",_xlfn.XLOOKUP("Dst_CIDR_17_22",'Scoring_Config'!$A:$A,'Scoring_Config'!$C:$C,15),0),"False,0")</f>
        <v>0</v>
      </c>
      <c r="AI24" s="4" cm="1">
        <f t="array" ref="AI24">IF(FALSE,"True," &amp; IF(_xlfn.XLOOKUP("SrcZone_IsAny",'Scoring_Config'!$A:$A,'Scoring_Config'!$D:$D,"Yes")="Yes",_xlfn.XLOOKUP("SrcZone_IsAny",'Scoring_Config'!$A:$A,'Scoring_Config'!$C:$C,5),0),"False,0")</f>
        <v>0</v>
      </c>
      <c r="AJ24" s="4" cm="1">
        <f t="array" ref="AJ24">IF(FALSE,"True," &amp; IF(_xlfn.XLOOKUP("DstZone_IsAny",'Scoring_Config'!$A:$A,'Scoring_Config'!$D:$D,"Yes")="Yes",_xlfn.XLOOKUP("DstZone_IsAny",'Scoring_Config'!$A:$A,'Scoring_Config'!$C:$C,5),0),"False,0")</f>
        <v>0</v>
      </c>
      <c r="AK24" s="4" cm="1">
        <f t="array" ref="AK2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" s="4" cm="1">
        <f t="array" ref="AL24">IF(FALSE,"True," &amp; IF(_xlfn.XLOOKUP("App_Any_OR_RangeGt1000",'Scoring_Config'!$A:$A,'Scoring_Config'!$D:$D,"Yes")="Yes",_xlfn.XLOOKUP("App_Any_OR_RangeGt1000",'Scoring_Config'!$A:$A,'Scoring_Config'!$C:$C,25),0),"False,0")</f>
        <v>0</v>
      </c>
      <c r="AM24" s="5" cm="1">
        <f t="array" ref="AM24">IF(TRUE,"True," &amp; IF(_xlfn.XLOOKUP("Service_Insecure_Match",'Scoring_Config'!$A:$A,'Scoring_Config'!$D:$D,"Yes")="Yes",_xlfn.XLOOKUP("Service_Insecure_Match",'Scoring_Config'!$A:$A,'Scoring_Config'!$C:$C,20),0),"False,0")</f>
        <v>0</v>
      </c>
      <c r="AN24" s="4" cm="1">
        <f t="array" ref="AN24">IF(FALSE,"True," &amp; IF(_xlfn.XLOOKUP("Risky_Inbound",'Scoring_Config'!$A:$A,'Scoring_Config'!$D:$D,"Yes")="Yes",_xlfn.XLOOKUP("Risky_Inbound",'Scoring_Config'!$A:$A,'Scoring_Config'!$C:$C,20),0),"False,0")</f>
        <v>0</v>
      </c>
      <c r="AO24" s="4" cm="1">
        <f t="array" ref="AO24">IF(FALSE,"True," &amp; IF(_xlfn.XLOOKUP("Risky_Outbound",'Scoring_Config'!$A:$A,'Scoring_Config'!$D:$D,"Yes")="Yes",_xlfn.XLOOKUP("Risky_Outbound",'Scoring_Config'!$A:$A,'Scoring_Config'!$C:$C,10),0),"False,0")</f>
        <v>0</v>
      </c>
      <c r="AP24" s="5" t="s">
        <v>2595</v>
      </c>
      <c r="AQ24" s="5" cm="1">
        <f t="array" ref="AQ2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" s="5" t="s">
        <v>2598</v>
      </c>
      <c r="AS24" s="5" t="s">
        <v>2595</v>
      </c>
      <c r="AT24" s="4" t="s">
        <v>2592</v>
      </c>
      <c r="AU24" s="4" cm="1">
        <f t="array" ref="AU24">IF(FALSE,"True," &amp; IF(_xlfn.XLOOKUP("Action_IsDenyOrDrop",'Scoring_Config'!$A:$A,'Scoring_Config'!$D:$D,"Yes")="Yes",_xlfn.XLOOKUP("Action_IsDenyOrDrop",'Scoring_Config'!$A:$A,'Scoring_Config'!$C:$C,0),0),"False,0")</f>
        <v>0</v>
      </c>
      <c r="AV24" s="4"/>
      <c r="AW24" s="4" cm="1">
        <f t="array" ref="AW24">IF(FALSE,"True," &amp; IF(_xlfn.XLOOKUP("Migrate_Insecure",'Scoring_Config'!$A:$A,'Scoring_Config'!$D:$D,"Yes")="Yes",_xlfn.XLOOKUP("Migrate_Insecure",'Scoring_Config'!$A:$A,'Scoring_Config'!$C:$C,15),0),"False,0")</f>
        <v>0</v>
      </c>
      <c r="AX24" s="4"/>
      <c r="AY24" s="4" cm="1">
        <f t="array" ref="AY24">IF(FALSE,"True," &amp; IF(_xlfn.XLOOKUP("Migrate_Other_Ports",'Scoring_Config'!$A:$A,'Scoring_Config'!$D:$D,"Yes")="Yes",_xlfn.XLOOKUP("Migrate_Other_Ports",'Scoring_Config'!$A:$A,'Scoring_Config'!$C:$C,5),0),"False,0")</f>
        <v>0</v>
      </c>
      <c r="AZ24" s="4" cm="1">
        <f t="array" ref="AZ24">IF(LEFT(AU24,4)="True",0,(IF(LEFT(AC24,4)="True",IF(_xlfn.XLOOKUP("Src_IsAny",'Scoring_Config'!$A:$A,'Scoring_Config'!$D:$D,"Yes")="Yes",_xlfn.XLOOKUP("Src_IsAny",'Scoring_Config'!$A:$A,'Scoring_Config'!$C:$C,25),0),0)+IF(LEFT(AD24,4)="True",IF(_xlfn.XLOOKUP("Src_CIDR_Le_16",'Scoring_Config'!$A:$A,'Scoring_Config'!$D:$D,"Yes")="Yes",_xlfn.XLOOKUP("Src_CIDR_Le_16",'Scoring_Config'!$A:$A,'Scoring_Config'!$C:$C,25),0),0)+IF(LEFT(AE24,4)="True",IF(_xlfn.XLOOKUP("Src_CIDR_17_22",'Scoring_Config'!$A:$A,'Scoring_Config'!$D:$D,"Yes")="Yes",_xlfn.XLOOKUP("Src_CIDR_17_22",'Scoring_Config'!$A:$A,'Scoring_Config'!$C:$C,15),0),0)+IF(LEFT(AF24,4)="True",IF(_xlfn.XLOOKUP("Dst_IsAny",'Scoring_Config'!$A:$A,'Scoring_Config'!$D:$D,"Yes")="Yes",_xlfn.XLOOKUP("Dst_IsAny",'Scoring_Config'!$A:$A,'Scoring_Config'!$C:$C,25),0),0)+IF(LEFT(AG24,4)="True",IF(_xlfn.XLOOKUP("Dst_CIDR_Le_16",'Scoring_Config'!$A:$A,'Scoring_Config'!$D:$D,"Yes")="Yes",_xlfn.XLOOKUP("Dst_CIDR_Le_16",'Scoring_Config'!$A:$A,'Scoring_Config'!$C:$C,25),0),0)+IF(LEFT(AH24,4)="True",IF(_xlfn.XLOOKUP("Dst_CIDR_17_22",'Scoring_Config'!$A:$A,'Scoring_Config'!$D:$D,"Yes")="Yes",_xlfn.XLOOKUP("Dst_CIDR_17_22",'Scoring_Config'!$A:$A,'Scoring_Config'!$C:$C,15),0),0)+IF(LEFT(AI24,4)="True",IF(_xlfn.XLOOKUP("SrcZone_IsAny",'Scoring_Config'!$A:$A,'Scoring_Config'!$D:$D,"Yes")="Yes",_xlfn.XLOOKUP("SrcZone_IsAny",'Scoring_Config'!$A:$A,'Scoring_Config'!$C:$C,5),0),0)+IF(LEFT(AJ24,4)="True",IF(_xlfn.XLOOKUP("DstZone_IsAny",'Scoring_Config'!$A:$A,'Scoring_Config'!$D:$D,"Yes")="Yes",_xlfn.XLOOKUP("DstZone_IsAny",'Scoring_Config'!$A:$A,'Scoring_Config'!$C:$C,5),0),0)+IF(LEFT(AK24,4)="True",IF(_xlfn.XLOOKUP("Service_Any_OR_RangeGt1000",'Scoring_Config'!$A:$A,'Scoring_Config'!$D:$D,"Yes")="Yes",_xlfn.XLOOKUP("Service_Any_OR_RangeGt1000",'Scoring_Config'!$A:$A,'Scoring_Config'!$C:$C,25),0),0)+IF(LEFT(AL24,4)="True",IF(_xlfn.XLOOKUP("App_Any_OR_RangeGt1000",'Scoring_Config'!$A:$A,'Scoring_Config'!$D:$D,"Yes")="Yes",_xlfn.XLOOKUP("App_Any_OR_RangeGt1000",'Scoring_Config'!$A:$A,'Scoring_Config'!$C:$C,25),0),0)+IF(LEFT(AM24,4)="True",IF(_xlfn.XLOOKUP("Service_Insecure_Match",'Scoring_Config'!$A:$A,'Scoring_Config'!$D:$D,"Yes")="Yes",_xlfn.XLOOKUP("Service_Insecure_Match",'Scoring_Config'!$A:$A,'Scoring_Config'!$C:$C,20),0),0)+IF(LEFT(AN24,4)="True",IF(_xlfn.XLOOKUP("Risky_Inbound",'Scoring_Config'!$A:$A,'Scoring_Config'!$D:$D,"Yes")="Yes",_xlfn.XLOOKUP("Risky_Inbound",'Scoring_Config'!$A:$A,'Scoring_Config'!$C:$C,20),0),0)+IF(LEFT(AO24,4)="True",IF(_xlfn.XLOOKUP("Risky_Outbound",'Scoring_Config'!$A:$A,'Scoring_Config'!$D:$D,"Yes")="Yes",_xlfn.XLOOKUP("Risky_Outbound",'Scoring_Config'!$A:$A,'Scoring_Config'!$C:$C,10),0),0)+IF(LEFT(AW24,4)="True",IF(_xlfn.XLOOKUP("Migrate_Insecure",'Scoring_Config'!$A:$A,'Scoring_Config'!$D:$D,"Yes")="Yes",_xlfn.XLOOKUP("Migrate_Insecure",'Scoring_Config'!$A:$A,'Scoring_Config'!$C:$C,15),0),0)+IF(LEFT(AY24,4)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,FIND(",",AP24)+1,100)),0)+IF(LEFT(AQ24,4)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,FIND(",",AR24)+1,100)),0)+IF(_xlfn.XLOOKUP("Profile_Scoring",'Scoring_Config'!$A:$A,'Scoring_Config'!$D:$D,"Yes")="Yes",VALUE(MID(AS24,FIND(",",AS24)+1,100)),0)+IF(_xlfn.XLOOKUP("Options_Scoring",'Scoring_Config'!$A:$A,'Scoring_Config'!$D:$D,"Yes")="Yes",VALUE(MID(AT24,FIND(",",AT24)+1,100)),0)))</f>
        <v>0</v>
      </c>
    </row>
    <row r="25" spans="1:52">
      <c r="A25" s="3" t="s">
        <v>52</v>
      </c>
      <c r="B25" s="3" t="s">
        <v>78</v>
      </c>
      <c r="C25" s="3" t="s">
        <v>329</v>
      </c>
      <c r="D25" s="3"/>
      <c r="E25" s="3" t="s">
        <v>359</v>
      </c>
      <c r="F25" s="3" t="s">
        <v>364</v>
      </c>
      <c r="G25" s="3" t="s">
        <v>377</v>
      </c>
      <c r="H25" s="3" t="s">
        <v>377</v>
      </c>
      <c r="I25" s="3" t="s">
        <v>622</v>
      </c>
      <c r="J25" s="3" t="s">
        <v>360</v>
      </c>
      <c r="K25" s="3" t="s">
        <v>632</v>
      </c>
      <c r="L25" s="3" t="s">
        <v>743</v>
      </c>
      <c r="M25" s="3" t="s">
        <v>775</v>
      </c>
      <c r="N25" s="3" t="s">
        <v>796</v>
      </c>
      <c r="O25" s="4" t="s">
        <v>812</v>
      </c>
      <c r="P25" s="3" t="s">
        <v>873</v>
      </c>
      <c r="Q25" s="3" t="s">
        <v>905</v>
      </c>
      <c r="R25" s="3" t="s">
        <v>906</v>
      </c>
      <c r="S25" s="3" t="s">
        <v>916</v>
      </c>
      <c r="T25" s="3" t="s">
        <v>919</v>
      </c>
      <c r="U25" s="3" t="s">
        <v>1147</v>
      </c>
      <c r="V25" s="3" t="s">
        <v>1386</v>
      </c>
      <c r="W25" s="3" t="s">
        <v>1409</v>
      </c>
      <c r="X25" s="3" t="s">
        <v>1629</v>
      </c>
      <c r="Y25" s="3" t="s">
        <v>2098</v>
      </c>
      <c r="Z25" s="3"/>
      <c r="AA25" s="3"/>
      <c r="AB25" s="3"/>
      <c r="AC25" s="4" cm="1">
        <f t="array" ref="AC25">IF(FALSE,"True," &amp; IF(_xlfn.XLOOKUP("Src_IsAny",'Scoring_Config'!$A:$A,'Scoring_Config'!$D:$D,"Yes")="Yes",_xlfn.XLOOKUP("Src_IsAny",'Scoring_Config'!$A:$A,'Scoring_Config'!$C:$C,25),0),"False,0")</f>
        <v>0</v>
      </c>
      <c r="AD25" s="4" cm="1">
        <f t="array" ref="AD25">IF(FALSE,"True," &amp; IF(_xlfn.XLOOKUP("Src_CIDR_Le_16",'Scoring_Config'!$A:$A,'Scoring_Config'!$D:$D,"Yes")="Yes",_xlfn.XLOOKUP("Src_CIDR_Le_16",'Scoring_Config'!$A:$A,'Scoring_Config'!$C:$C,25),0),"False,0")</f>
        <v>0</v>
      </c>
      <c r="AE25" s="4" cm="1">
        <f t="array" ref="AE25">IF(FALSE,"True," &amp; IF(_xlfn.XLOOKUP("Src_CIDR_17_22",'Scoring_Config'!$A:$A,'Scoring_Config'!$D:$D,"Yes")="Yes",_xlfn.XLOOKUP("Src_CIDR_17_22",'Scoring_Config'!$A:$A,'Scoring_Config'!$C:$C,15),0),"False,0")</f>
        <v>0</v>
      </c>
      <c r="AF25" s="4" cm="1">
        <f t="array" ref="AF25">IF(FALSE,"True," &amp; IF(_xlfn.XLOOKUP("Dst_IsAny",'Scoring_Config'!$A:$A,'Scoring_Config'!$D:$D,"Yes")="Yes",_xlfn.XLOOKUP("Dst_IsAny",'Scoring_Config'!$A:$A,'Scoring_Config'!$C:$C,25),0),"False,0")</f>
        <v>0</v>
      </c>
      <c r="AG25" s="4" cm="1">
        <f t="array" ref="AG25">IF(FALSE,"True," &amp; IF(_xlfn.XLOOKUP("Dst_CIDR_Le_16",'Scoring_Config'!$A:$A,'Scoring_Config'!$D:$D,"Yes")="Yes",_xlfn.XLOOKUP("Dst_CIDR_Le_16",'Scoring_Config'!$A:$A,'Scoring_Config'!$C:$C,25),0),"False,0")</f>
        <v>0</v>
      </c>
      <c r="AH25" s="4" cm="1">
        <f t="array" ref="AH25">IF(FALSE,"True," &amp; IF(_xlfn.XLOOKUP("Dst_CIDR_17_22",'Scoring_Config'!$A:$A,'Scoring_Config'!$D:$D,"Yes")="Yes",_xlfn.XLOOKUP("Dst_CIDR_17_22",'Scoring_Config'!$A:$A,'Scoring_Config'!$C:$C,15),0),"False,0")</f>
        <v>0</v>
      </c>
      <c r="AI25" s="4" cm="1">
        <f t="array" ref="AI25">IF(FALSE,"True," &amp; IF(_xlfn.XLOOKUP("SrcZone_IsAny",'Scoring_Config'!$A:$A,'Scoring_Config'!$D:$D,"Yes")="Yes",_xlfn.XLOOKUP("SrcZone_IsAny",'Scoring_Config'!$A:$A,'Scoring_Config'!$C:$C,5),0),"False,0")</f>
        <v>0</v>
      </c>
      <c r="AJ25" s="4" cm="1">
        <f t="array" ref="AJ25">IF(FALSE,"True," &amp; IF(_xlfn.XLOOKUP("DstZone_IsAny",'Scoring_Config'!$A:$A,'Scoring_Config'!$D:$D,"Yes")="Yes",_xlfn.XLOOKUP("DstZone_IsAny",'Scoring_Config'!$A:$A,'Scoring_Config'!$C:$C,5),0),"False,0")</f>
        <v>0</v>
      </c>
      <c r="AK25" s="4" cm="1">
        <f t="array" ref="AK2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" s="4" cm="1">
        <f t="array" ref="AL25">IF(FALSE,"True," &amp; IF(_xlfn.XLOOKUP("App_Any_OR_RangeGt1000",'Scoring_Config'!$A:$A,'Scoring_Config'!$D:$D,"Yes")="Yes",_xlfn.XLOOKUP("App_Any_OR_RangeGt1000",'Scoring_Config'!$A:$A,'Scoring_Config'!$C:$C,25),0),"False,0")</f>
        <v>0</v>
      </c>
      <c r="AM25" s="4" cm="1">
        <f t="array" ref="AM25">IF(FALSE,"True," &amp; IF(_xlfn.XLOOKUP("Service_Insecure_Match",'Scoring_Config'!$A:$A,'Scoring_Config'!$D:$D,"Yes")="Yes",_xlfn.XLOOKUP("Service_Insecure_Match",'Scoring_Config'!$A:$A,'Scoring_Config'!$C:$C,20),0),"False,0")</f>
        <v>0</v>
      </c>
      <c r="AN25" s="4" cm="1">
        <f t="array" ref="AN25">IF(FALSE,"True," &amp; IF(_xlfn.XLOOKUP("Risky_Inbound",'Scoring_Config'!$A:$A,'Scoring_Config'!$D:$D,"Yes")="Yes",_xlfn.XLOOKUP("Risky_Inbound",'Scoring_Config'!$A:$A,'Scoring_Config'!$C:$C,20),0),"False,0")</f>
        <v>0</v>
      </c>
      <c r="AO25" s="4" cm="1">
        <f t="array" ref="AO25">IF(FALSE,"True," &amp; IF(_xlfn.XLOOKUP("Risky_Outbound",'Scoring_Config'!$A:$A,'Scoring_Config'!$D:$D,"Yes")="Yes",_xlfn.XLOOKUP("Risky_Outbound",'Scoring_Config'!$A:$A,'Scoring_Config'!$C:$C,10),0),"False,0")</f>
        <v>0</v>
      </c>
      <c r="AP25" s="5" t="s">
        <v>2595</v>
      </c>
      <c r="AQ25" s="5" cm="1">
        <f t="array" ref="AQ2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" s="5" t="s">
        <v>2598</v>
      </c>
      <c r="AS25" s="4" t="s">
        <v>2592</v>
      </c>
      <c r="AT25" s="4" t="s">
        <v>2592</v>
      </c>
      <c r="AU25" s="4" cm="1">
        <f t="array" ref="AU25">IF(FALSE,"True," &amp; IF(_xlfn.XLOOKUP("Action_IsDenyOrDrop",'Scoring_Config'!$A:$A,'Scoring_Config'!$D:$D,"Yes")="Yes",_xlfn.XLOOKUP("Action_IsDenyOrDrop",'Scoring_Config'!$A:$A,'Scoring_Config'!$C:$C,0),0),"False,0")</f>
        <v>0</v>
      </c>
      <c r="AV25" s="4"/>
      <c r="AW25" s="4" cm="1">
        <f t="array" ref="AW25">IF(FALSE,"True," &amp; IF(_xlfn.XLOOKUP("Migrate_Insecure",'Scoring_Config'!$A:$A,'Scoring_Config'!$D:$D,"Yes")="Yes",_xlfn.XLOOKUP("Migrate_Insecure",'Scoring_Config'!$A:$A,'Scoring_Config'!$C:$C,15),0),"False,0")</f>
        <v>0</v>
      </c>
      <c r="AX25" s="4" t="s">
        <v>2600</v>
      </c>
      <c r="AY25" s="5" cm="1">
        <f t="array" ref="AY25">IF(TRUE,"True," &amp; IF(_xlfn.XLOOKUP("Migrate_Other_Ports",'Scoring_Config'!$A:$A,'Scoring_Config'!$D:$D,"Yes")="Yes",_xlfn.XLOOKUP("Migrate_Other_Ports",'Scoring_Config'!$A:$A,'Scoring_Config'!$C:$C,5),0),"False,0")</f>
        <v>0</v>
      </c>
      <c r="AZ25" s="4" cm="1">
        <f t="array" ref="AZ25">IF(LEFT(AU25,4)="True",0,(IF(LEFT(AC25,4)="True",IF(_xlfn.XLOOKUP("Src_IsAny",'Scoring_Config'!$A:$A,'Scoring_Config'!$D:$D,"Yes")="Yes",_xlfn.XLOOKUP("Src_IsAny",'Scoring_Config'!$A:$A,'Scoring_Config'!$C:$C,25),0),0)+IF(LEFT(AD25,4)="True",IF(_xlfn.XLOOKUP("Src_CIDR_Le_16",'Scoring_Config'!$A:$A,'Scoring_Config'!$D:$D,"Yes")="Yes",_xlfn.XLOOKUP("Src_CIDR_Le_16",'Scoring_Config'!$A:$A,'Scoring_Config'!$C:$C,25),0),0)+IF(LEFT(AE25,4)="True",IF(_xlfn.XLOOKUP("Src_CIDR_17_22",'Scoring_Config'!$A:$A,'Scoring_Config'!$D:$D,"Yes")="Yes",_xlfn.XLOOKUP("Src_CIDR_17_22",'Scoring_Config'!$A:$A,'Scoring_Config'!$C:$C,15),0),0)+IF(LEFT(AF25,4)="True",IF(_xlfn.XLOOKUP("Dst_IsAny",'Scoring_Config'!$A:$A,'Scoring_Config'!$D:$D,"Yes")="Yes",_xlfn.XLOOKUP("Dst_IsAny",'Scoring_Config'!$A:$A,'Scoring_Config'!$C:$C,25),0),0)+IF(LEFT(AG25,4)="True",IF(_xlfn.XLOOKUP("Dst_CIDR_Le_16",'Scoring_Config'!$A:$A,'Scoring_Config'!$D:$D,"Yes")="Yes",_xlfn.XLOOKUP("Dst_CIDR_Le_16",'Scoring_Config'!$A:$A,'Scoring_Config'!$C:$C,25),0),0)+IF(LEFT(AH25,4)="True",IF(_xlfn.XLOOKUP("Dst_CIDR_17_22",'Scoring_Config'!$A:$A,'Scoring_Config'!$D:$D,"Yes")="Yes",_xlfn.XLOOKUP("Dst_CIDR_17_22",'Scoring_Config'!$A:$A,'Scoring_Config'!$C:$C,15),0),0)+IF(LEFT(AI25,4)="True",IF(_xlfn.XLOOKUP("SrcZone_IsAny",'Scoring_Config'!$A:$A,'Scoring_Config'!$D:$D,"Yes")="Yes",_xlfn.XLOOKUP("SrcZone_IsAny",'Scoring_Config'!$A:$A,'Scoring_Config'!$C:$C,5),0),0)+IF(LEFT(AJ25,4)="True",IF(_xlfn.XLOOKUP("DstZone_IsAny",'Scoring_Config'!$A:$A,'Scoring_Config'!$D:$D,"Yes")="Yes",_xlfn.XLOOKUP("DstZone_IsAny",'Scoring_Config'!$A:$A,'Scoring_Config'!$C:$C,5),0),0)+IF(LEFT(AK25,4)="True",IF(_xlfn.XLOOKUP("Service_Any_OR_RangeGt1000",'Scoring_Config'!$A:$A,'Scoring_Config'!$D:$D,"Yes")="Yes",_xlfn.XLOOKUP("Service_Any_OR_RangeGt1000",'Scoring_Config'!$A:$A,'Scoring_Config'!$C:$C,25),0),0)+IF(LEFT(AL25,4)="True",IF(_xlfn.XLOOKUP("App_Any_OR_RangeGt1000",'Scoring_Config'!$A:$A,'Scoring_Config'!$D:$D,"Yes")="Yes",_xlfn.XLOOKUP("App_Any_OR_RangeGt1000",'Scoring_Config'!$A:$A,'Scoring_Config'!$C:$C,25),0),0)+IF(LEFT(AM25,4)="True",IF(_xlfn.XLOOKUP("Service_Insecure_Match",'Scoring_Config'!$A:$A,'Scoring_Config'!$D:$D,"Yes")="Yes",_xlfn.XLOOKUP("Service_Insecure_Match",'Scoring_Config'!$A:$A,'Scoring_Config'!$C:$C,20),0),0)+IF(LEFT(AN25,4)="True",IF(_xlfn.XLOOKUP("Risky_Inbound",'Scoring_Config'!$A:$A,'Scoring_Config'!$D:$D,"Yes")="Yes",_xlfn.XLOOKUP("Risky_Inbound",'Scoring_Config'!$A:$A,'Scoring_Config'!$C:$C,20),0),0)+IF(LEFT(AO25,4)="True",IF(_xlfn.XLOOKUP("Risky_Outbound",'Scoring_Config'!$A:$A,'Scoring_Config'!$D:$D,"Yes")="Yes",_xlfn.XLOOKUP("Risky_Outbound",'Scoring_Config'!$A:$A,'Scoring_Config'!$C:$C,10),0),0)+IF(LEFT(AW25,4)="True",IF(_xlfn.XLOOKUP("Migrate_Insecure",'Scoring_Config'!$A:$A,'Scoring_Config'!$D:$D,"Yes")="Yes",_xlfn.XLOOKUP("Migrate_Insecure",'Scoring_Config'!$A:$A,'Scoring_Config'!$C:$C,15),0),0)+IF(LEFT(AY25,4)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,FIND(",",AP25)+1,100)),0)+IF(LEFT(AQ25,4)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,FIND(",",AR25)+1,100)),0)+IF(_xlfn.XLOOKUP("Profile_Scoring",'Scoring_Config'!$A:$A,'Scoring_Config'!$D:$D,"Yes")="Yes",VALUE(MID(AS25,FIND(",",AS25)+1,100)),0)+IF(_xlfn.XLOOKUP("Options_Scoring",'Scoring_Config'!$A:$A,'Scoring_Config'!$D:$D,"Yes")="Yes",VALUE(MID(AT25,FIND(",",AT25)+1,100)),0)))</f>
        <v>0</v>
      </c>
    </row>
    <row r="26" spans="1:52">
      <c r="A26" s="3" t="s">
        <v>52</v>
      </c>
      <c r="B26" s="3" t="s">
        <v>71</v>
      </c>
      <c r="C26" s="3" t="s">
        <v>329</v>
      </c>
      <c r="D26" s="3"/>
      <c r="E26" s="3" t="s">
        <v>359</v>
      </c>
      <c r="F26" s="3" t="s">
        <v>364</v>
      </c>
      <c r="G26" s="3" t="s">
        <v>378</v>
      </c>
      <c r="H26" s="3" t="s">
        <v>378</v>
      </c>
      <c r="I26" s="3" t="s">
        <v>623</v>
      </c>
      <c r="J26" s="3" t="s">
        <v>362</v>
      </c>
      <c r="K26" s="3" t="s">
        <v>365</v>
      </c>
      <c r="L26" s="3" t="s">
        <v>365</v>
      </c>
      <c r="M26" s="3" t="s">
        <v>771</v>
      </c>
      <c r="N26" s="3" t="s">
        <v>793</v>
      </c>
      <c r="O26" s="4" t="s">
        <v>816</v>
      </c>
      <c r="P26" s="3" t="s">
        <v>877</v>
      </c>
      <c r="Q26" s="3" t="s">
        <v>905</v>
      </c>
      <c r="R26" s="3" t="s">
        <v>908</v>
      </c>
      <c r="S26" s="3" t="s">
        <v>914</v>
      </c>
      <c r="T26" s="3" t="s">
        <v>934</v>
      </c>
      <c r="U26" s="3" t="s">
        <v>1163</v>
      </c>
      <c r="V26" s="3" t="s">
        <v>1386</v>
      </c>
      <c r="W26" s="3" t="s">
        <v>920</v>
      </c>
      <c r="X26" s="3" t="s">
        <v>1630</v>
      </c>
      <c r="Y26" s="3" t="s">
        <v>2099</v>
      </c>
      <c r="Z26" s="3"/>
      <c r="AA26" s="3"/>
      <c r="AB26" s="3"/>
      <c r="AC26" s="4" cm="1">
        <f t="array" ref="AC26">IF(FALSE,"True," &amp; IF(_xlfn.XLOOKUP("Src_IsAny",'Scoring_Config'!$A:$A,'Scoring_Config'!$D:$D,"Yes")="Yes",_xlfn.XLOOKUP("Src_IsAny",'Scoring_Config'!$A:$A,'Scoring_Config'!$C:$C,25),0),"False,0")</f>
        <v>0</v>
      </c>
      <c r="AD26" s="4" cm="1">
        <f t="array" ref="AD26">IF(FALSE,"True," &amp; IF(_xlfn.XLOOKUP("Src_CIDR_Le_16",'Scoring_Config'!$A:$A,'Scoring_Config'!$D:$D,"Yes")="Yes",_xlfn.XLOOKUP("Src_CIDR_Le_16",'Scoring_Config'!$A:$A,'Scoring_Config'!$C:$C,25),0),"False,0")</f>
        <v>0</v>
      </c>
      <c r="AE26" s="4" cm="1">
        <f t="array" ref="AE26">IF(FALSE,"True," &amp; IF(_xlfn.XLOOKUP("Src_CIDR_17_22",'Scoring_Config'!$A:$A,'Scoring_Config'!$D:$D,"Yes")="Yes",_xlfn.XLOOKUP("Src_CIDR_17_22",'Scoring_Config'!$A:$A,'Scoring_Config'!$C:$C,15),0),"False,0")</f>
        <v>0</v>
      </c>
      <c r="AF26" s="5" cm="1">
        <f t="array" ref="AF26">IF(TRUE,"True," &amp; IF(_xlfn.XLOOKUP("Dst_IsAny",'Scoring_Config'!$A:$A,'Scoring_Config'!$D:$D,"Yes")="Yes",_xlfn.XLOOKUP("Dst_IsAny",'Scoring_Config'!$A:$A,'Scoring_Config'!$C:$C,25),0),"False,0")</f>
        <v>0</v>
      </c>
      <c r="AG26" s="4" cm="1">
        <f t="array" ref="AG26">IF(FALSE,"True," &amp; IF(_xlfn.XLOOKUP("Dst_CIDR_Le_16",'Scoring_Config'!$A:$A,'Scoring_Config'!$D:$D,"Yes")="Yes",_xlfn.XLOOKUP("Dst_CIDR_Le_16",'Scoring_Config'!$A:$A,'Scoring_Config'!$C:$C,25),0),"False,0")</f>
        <v>0</v>
      </c>
      <c r="AH26" s="4" cm="1">
        <f t="array" ref="AH26">IF(FALSE,"True," &amp; IF(_xlfn.XLOOKUP("Dst_CIDR_17_22",'Scoring_Config'!$A:$A,'Scoring_Config'!$D:$D,"Yes")="Yes",_xlfn.XLOOKUP("Dst_CIDR_17_22",'Scoring_Config'!$A:$A,'Scoring_Config'!$C:$C,15),0),"False,0")</f>
        <v>0</v>
      </c>
      <c r="AI26" s="4" cm="1">
        <f t="array" ref="AI26">IF(FALSE,"True," &amp; IF(_xlfn.XLOOKUP("SrcZone_IsAny",'Scoring_Config'!$A:$A,'Scoring_Config'!$D:$D,"Yes")="Yes",_xlfn.XLOOKUP("SrcZone_IsAny",'Scoring_Config'!$A:$A,'Scoring_Config'!$C:$C,5),0),"False,0")</f>
        <v>0</v>
      </c>
      <c r="AJ26" s="4" cm="1">
        <f t="array" ref="AJ26">IF(FALSE,"True," &amp; IF(_xlfn.XLOOKUP("DstZone_IsAny",'Scoring_Config'!$A:$A,'Scoring_Config'!$D:$D,"Yes")="Yes",_xlfn.XLOOKUP("DstZone_IsAny",'Scoring_Config'!$A:$A,'Scoring_Config'!$C:$C,5),0),"False,0")</f>
        <v>0</v>
      </c>
      <c r="AK26" s="4" cm="1">
        <f t="array" ref="AK2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" s="4" cm="1">
        <f t="array" ref="AL26">IF(FALSE,"True," &amp; IF(_xlfn.XLOOKUP("App_Any_OR_RangeGt1000",'Scoring_Config'!$A:$A,'Scoring_Config'!$D:$D,"Yes")="Yes",_xlfn.XLOOKUP("App_Any_OR_RangeGt1000",'Scoring_Config'!$A:$A,'Scoring_Config'!$C:$C,25),0),"False,0")</f>
        <v>0</v>
      </c>
      <c r="AM26" s="5" cm="1">
        <f t="array" ref="AM26">IF(TRUE,"True," &amp; IF(_xlfn.XLOOKUP("Service_Insecure_Match",'Scoring_Config'!$A:$A,'Scoring_Config'!$D:$D,"Yes")="Yes",_xlfn.XLOOKUP("Service_Insecure_Match",'Scoring_Config'!$A:$A,'Scoring_Config'!$C:$C,20),0),"False,0")</f>
        <v>0</v>
      </c>
      <c r="AN26" s="4" cm="1">
        <f t="array" ref="AN26">IF(FALSE,"True," &amp; IF(_xlfn.XLOOKUP("Risky_Inbound",'Scoring_Config'!$A:$A,'Scoring_Config'!$D:$D,"Yes")="Yes",_xlfn.XLOOKUP("Risky_Inbound",'Scoring_Config'!$A:$A,'Scoring_Config'!$C:$C,20),0),"False,0")</f>
        <v>0</v>
      </c>
      <c r="AO26" s="4" cm="1">
        <f t="array" ref="AO26">IF(FALSE,"True," &amp; IF(_xlfn.XLOOKUP("Risky_Outbound",'Scoring_Config'!$A:$A,'Scoring_Config'!$D:$D,"Yes")="Yes",_xlfn.XLOOKUP("Risky_Outbound",'Scoring_Config'!$A:$A,'Scoring_Config'!$C:$C,10),0),"False,0")</f>
        <v>0</v>
      </c>
      <c r="AP26" s="5" t="s">
        <v>2595</v>
      </c>
      <c r="AQ26" s="4" cm="1">
        <f t="array" ref="AQ2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" s="5" t="s">
        <v>2598</v>
      </c>
      <c r="AS26" s="4" t="s">
        <v>2592</v>
      </c>
      <c r="AT26" s="4" t="s">
        <v>2592</v>
      </c>
      <c r="AU26" s="4" cm="1">
        <f t="array" ref="AU26">IF(FALSE,"True," &amp; IF(_xlfn.XLOOKUP("Action_IsDenyOrDrop",'Scoring_Config'!$A:$A,'Scoring_Config'!$D:$D,"Yes")="Yes",_xlfn.XLOOKUP("Action_IsDenyOrDrop",'Scoring_Config'!$A:$A,'Scoring_Config'!$C:$C,0),0),"False,0")</f>
        <v>0</v>
      </c>
      <c r="AV26" s="4"/>
      <c r="AW26" s="4" cm="1">
        <f t="array" ref="AW26">IF(FALSE,"True," &amp; IF(_xlfn.XLOOKUP("Migrate_Insecure",'Scoring_Config'!$A:$A,'Scoring_Config'!$D:$D,"Yes")="Yes",_xlfn.XLOOKUP("Migrate_Insecure",'Scoring_Config'!$A:$A,'Scoring_Config'!$C:$C,15),0),"False,0")</f>
        <v>0</v>
      </c>
      <c r="AX26" s="4"/>
      <c r="AY26" s="4" cm="1">
        <f t="array" ref="AY26">IF(FALSE,"True," &amp; IF(_xlfn.XLOOKUP("Migrate_Other_Ports",'Scoring_Config'!$A:$A,'Scoring_Config'!$D:$D,"Yes")="Yes",_xlfn.XLOOKUP("Migrate_Other_Ports",'Scoring_Config'!$A:$A,'Scoring_Config'!$C:$C,5),0),"False,0")</f>
        <v>0</v>
      </c>
      <c r="AZ26" s="4" cm="1">
        <f t="array" ref="AZ26">IF(LEFT(AU26,4)="True",0,(IF(LEFT(AC26,4)="True",IF(_xlfn.XLOOKUP("Src_IsAny",'Scoring_Config'!$A:$A,'Scoring_Config'!$D:$D,"Yes")="Yes",_xlfn.XLOOKUP("Src_IsAny",'Scoring_Config'!$A:$A,'Scoring_Config'!$C:$C,25),0),0)+IF(LEFT(AD26,4)="True",IF(_xlfn.XLOOKUP("Src_CIDR_Le_16",'Scoring_Config'!$A:$A,'Scoring_Config'!$D:$D,"Yes")="Yes",_xlfn.XLOOKUP("Src_CIDR_Le_16",'Scoring_Config'!$A:$A,'Scoring_Config'!$C:$C,25),0),0)+IF(LEFT(AE26,4)="True",IF(_xlfn.XLOOKUP("Src_CIDR_17_22",'Scoring_Config'!$A:$A,'Scoring_Config'!$D:$D,"Yes")="Yes",_xlfn.XLOOKUP("Src_CIDR_17_22",'Scoring_Config'!$A:$A,'Scoring_Config'!$C:$C,15),0),0)+IF(LEFT(AF26,4)="True",IF(_xlfn.XLOOKUP("Dst_IsAny",'Scoring_Config'!$A:$A,'Scoring_Config'!$D:$D,"Yes")="Yes",_xlfn.XLOOKUP("Dst_IsAny",'Scoring_Config'!$A:$A,'Scoring_Config'!$C:$C,25),0),0)+IF(LEFT(AG26,4)="True",IF(_xlfn.XLOOKUP("Dst_CIDR_Le_16",'Scoring_Config'!$A:$A,'Scoring_Config'!$D:$D,"Yes")="Yes",_xlfn.XLOOKUP("Dst_CIDR_Le_16",'Scoring_Config'!$A:$A,'Scoring_Config'!$C:$C,25),0),0)+IF(LEFT(AH26,4)="True",IF(_xlfn.XLOOKUP("Dst_CIDR_17_22",'Scoring_Config'!$A:$A,'Scoring_Config'!$D:$D,"Yes")="Yes",_xlfn.XLOOKUP("Dst_CIDR_17_22",'Scoring_Config'!$A:$A,'Scoring_Config'!$C:$C,15),0),0)+IF(LEFT(AI26,4)="True",IF(_xlfn.XLOOKUP("SrcZone_IsAny",'Scoring_Config'!$A:$A,'Scoring_Config'!$D:$D,"Yes")="Yes",_xlfn.XLOOKUP("SrcZone_IsAny",'Scoring_Config'!$A:$A,'Scoring_Config'!$C:$C,5),0),0)+IF(LEFT(AJ26,4)="True",IF(_xlfn.XLOOKUP("DstZone_IsAny",'Scoring_Config'!$A:$A,'Scoring_Config'!$D:$D,"Yes")="Yes",_xlfn.XLOOKUP("DstZone_IsAny",'Scoring_Config'!$A:$A,'Scoring_Config'!$C:$C,5),0),0)+IF(LEFT(AK26,4)="True",IF(_xlfn.XLOOKUP("Service_Any_OR_RangeGt1000",'Scoring_Config'!$A:$A,'Scoring_Config'!$D:$D,"Yes")="Yes",_xlfn.XLOOKUP("Service_Any_OR_RangeGt1000",'Scoring_Config'!$A:$A,'Scoring_Config'!$C:$C,25),0),0)+IF(LEFT(AL26,4)="True",IF(_xlfn.XLOOKUP("App_Any_OR_RangeGt1000",'Scoring_Config'!$A:$A,'Scoring_Config'!$D:$D,"Yes")="Yes",_xlfn.XLOOKUP("App_Any_OR_RangeGt1000",'Scoring_Config'!$A:$A,'Scoring_Config'!$C:$C,25),0),0)+IF(LEFT(AM26,4)="True",IF(_xlfn.XLOOKUP("Service_Insecure_Match",'Scoring_Config'!$A:$A,'Scoring_Config'!$D:$D,"Yes")="Yes",_xlfn.XLOOKUP("Service_Insecure_Match",'Scoring_Config'!$A:$A,'Scoring_Config'!$C:$C,20),0),0)+IF(LEFT(AN26,4)="True",IF(_xlfn.XLOOKUP("Risky_Inbound",'Scoring_Config'!$A:$A,'Scoring_Config'!$D:$D,"Yes")="Yes",_xlfn.XLOOKUP("Risky_Inbound",'Scoring_Config'!$A:$A,'Scoring_Config'!$C:$C,20),0),0)+IF(LEFT(AO26,4)="True",IF(_xlfn.XLOOKUP("Risky_Outbound",'Scoring_Config'!$A:$A,'Scoring_Config'!$D:$D,"Yes")="Yes",_xlfn.XLOOKUP("Risky_Outbound",'Scoring_Config'!$A:$A,'Scoring_Config'!$C:$C,10),0),0)+IF(LEFT(AW26,4)="True",IF(_xlfn.XLOOKUP("Migrate_Insecure",'Scoring_Config'!$A:$A,'Scoring_Config'!$D:$D,"Yes")="Yes",_xlfn.XLOOKUP("Migrate_Insecure",'Scoring_Config'!$A:$A,'Scoring_Config'!$C:$C,15),0),0)+IF(LEFT(AY26,4)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,FIND(",",AP26)+1,100)),0)+IF(LEFT(AQ26,4)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,FIND(",",AR26)+1,100)),0)+IF(_xlfn.XLOOKUP("Profile_Scoring",'Scoring_Config'!$A:$A,'Scoring_Config'!$D:$D,"Yes")="Yes",VALUE(MID(AS26,FIND(",",AS26)+1,100)),0)+IF(_xlfn.XLOOKUP("Options_Scoring",'Scoring_Config'!$A:$A,'Scoring_Config'!$D:$D,"Yes")="Yes",VALUE(MID(AT26,FIND(",",AT26)+1,100)),0)))</f>
        <v>0</v>
      </c>
    </row>
    <row r="27" spans="1:52">
      <c r="A27" s="3" t="s">
        <v>52</v>
      </c>
      <c r="B27" s="3" t="s">
        <v>79</v>
      </c>
      <c r="C27" s="3" t="s">
        <v>329</v>
      </c>
      <c r="D27" s="3"/>
      <c r="E27" s="3" t="s">
        <v>359</v>
      </c>
      <c r="F27" s="3" t="s">
        <v>362</v>
      </c>
      <c r="G27" s="3" t="s">
        <v>379</v>
      </c>
      <c r="H27" s="3" t="s">
        <v>545</v>
      </c>
      <c r="I27" s="3" t="s">
        <v>625</v>
      </c>
      <c r="J27" s="3" t="s">
        <v>362</v>
      </c>
      <c r="K27" s="3" t="s">
        <v>399</v>
      </c>
      <c r="L27" s="3" t="s">
        <v>559</v>
      </c>
      <c r="M27" s="3" t="s">
        <v>773</v>
      </c>
      <c r="N27" s="3" t="s">
        <v>773</v>
      </c>
      <c r="O27" s="4" t="s">
        <v>802</v>
      </c>
      <c r="P27" s="3" t="s">
        <v>863</v>
      </c>
      <c r="Q27" s="3" t="s">
        <v>905</v>
      </c>
      <c r="R27" s="3" t="s">
        <v>910</v>
      </c>
      <c r="S27" s="3" t="s">
        <v>912</v>
      </c>
      <c r="T27" s="3" t="s">
        <v>935</v>
      </c>
      <c r="U27" s="3" t="s">
        <v>1164</v>
      </c>
      <c r="V27" s="3" t="s">
        <v>789</v>
      </c>
      <c r="W27" s="3" t="s">
        <v>1410</v>
      </c>
      <c r="X27" s="3" t="s">
        <v>1631</v>
      </c>
      <c r="Y27" s="3" t="s">
        <v>2100</v>
      </c>
      <c r="Z27" s="3"/>
      <c r="AA27" s="3"/>
      <c r="AB27" s="3"/>
      <c r="AC27" s="4" cm="1">
        <f t="array" ref="AC27">IF(FALSE,"True," &amp; IF(_xlfn.XLOOKUP("Src_IsAny",'Scoring_Config'!$A:$A,'Scoring_Config'!$D:$D,"Yes")="Yes",_xlfn.XLOOKUP("Src_IsAny",'Scoring_Config'!$A:$A,'Scoring_Config'!$C:$C,25),0),"False,0")</f>
        <v>0</v>
      </c>
      <c r="AD27" s="4" cm="1">
        <f t="array" ref="AD27">IF(FALSE,"True," &amp; IF(_xlfn.XLOOKUP("Src_CIDR_Le_16",'Scoring_Config'!$A:$A,'Scoring_Config'!$D:$D,"Yes")="Yes",_xlfn.XLOOKUP("Src_CIDR_Le_16",'Scoring_Config'!$A:$A,'Scoring_Config'!$C:$C,25),0),"False,0")</f>
        <v>0</v>
      </c>
      <c r="AE27" s="4" cm="1">
        <f t="array" ref="AE27">IF(FALSE,"True," &amp; IF(_xlfn.XLOOKUP("Src_CIDR_17_22",'Scoring_Config'!$A:$A,'Scoring_Config'!$D:$D,"Yes")="Yes",_xlfn.XLOOKUP("Src_CIDR_17_22",'Scoring_Config'!$A:$A,'Scoring_Config'!$C:$C,15),0),"False,0")</f>
        <v>0</v>
      </c>
      <c r="AF27" s="4" cm="1">
        <f t="array" ref="AF27">IF(FALSE,"True," &amp; IF(_xlfn.XLOOKUP("Dst_IsAny",'Scoring_Config'!$A:$A,'Scoring_Config'!$D:$D,"Yes")="Yes",_xlfn.XLOOKUP("Dst_IsAny",'Scoring_Config'!$A:$A,'Scoring_Config'!$C:$C,25),0),"False,0")</f>
        <v>0</v>
      </c>
      <c r="AG27" s="4" cm="1">
        <f t="array" ref="AG27">IF(FALSE,"True," &amp; IF(_xlfn.XLOOKUP("Dst_CIDR_Le_16",'Scoring_Config'!$A:$A,'Scoring_Config'!$D:$D,"Yes")="Yes",_xlfn.XLOOKUP("Dst_CIDR_Le_16",'Scoring_Config'!$A:$A,'Scoring_Config'!$C:$C,25),0),"False,0")</f>
        <v>0</v>
      </c>
      <c r="AH27" s="4" cm="1">
        <f t="array" ref="AH27">IF(FALSE,"True," &amp; IF(_xlfn.XLOOKUP("Dst_CIDR_17_22",'Scoring_Config'!$A:$A,'Scoring_Config'!$D:$D,"Yes")="Yes",_xlfn.XLOOKUP("Dst_CIDR_17_22",'Scoring_Config'!$A:$A,'Scoring_Config'!$C:$C,15),0),"False,0")</f>
        <v>0</v>
      </c>
      <c r="AI27" s="4" cm="1">
        <f t="array" ref="AI27">IF(FALSE,"True," &amp; IF(_xlfn.XLOOKUP("SrcZone_IsAny",'Scoring_Config'!$A:$A,'Scoring_Config'!$D:$D,"Yes")="Yes",_xlfn.XLOOKUP("SrcZone_IsAny",'Scoring_Config'!$A:$A,'Scoring_Config'!$C:$C,5),0),"False,0")</f>
        <v>0</v>
      </c>
      <c r="AJ27" s="4" cm="1">
        <f t="array" ref="AJ27">IF(FALSE,"True," &amp; IF(_xlfn.XLOOKUP("DstZone_IsAny",'Scoring_Config'!$A:$A,'Scoring_Config'!$D:$D,"Yes")="Yes",_xlfn.XLOOKUP("DstZone_IsAny",'Scoring_Config'!$A:$A,'Scoring_Config'!$C:$C,5),0),"False,0")</f>
        <v>0</v>
      </c>
      <c r="AK27" s="4" cm="1">
        <f t="array" ref="AK2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" s="4" cm="1">
        <f t="array" ref="AL27">IF(FALSE,"True," &amp; IF(_xlfn.XLOOKUP("App_Any_OR_RangeGt1000",'Scoring_Config'!$A:$A,'Scoring_Config'!$D:$D,"Yes")="Yes",_xlfn.XLOOKUP("App_Any_OR_RangeGt1000",'Scoring_Config'!$A:$A,'Scoring_Config'!$C:$C,25),0),"False,0")</f>
        <v>0</v>
      </c>
      <c r="AM27" s="5" cm="1">
        <f t="array" ref="AM27">IF(TRUE,"True," &amp; IF(_xlfn.XLOOKUP("Service_Insecure_Match",'Scoring_Config'!$A:$A,'Scoring_Config'!$D:$D,"Yes")="Yes",_xlfn.XLOOKUP("Service_Insecure_Match",'Scoring_Config'!$A:$A,'Scoring_Config'!$C:$C,20),0),"False,0")</f>
        <v>0</v>
      </c>
      <c r="AN27" s="4" cm="1">
        <f t="array" ref="AN27">IF(FALSE,"True," &amp; IF(_xlfn.XLOOKUP("Risky_Inbound",'Scoring_Config'!$A:$A,'Scoring_Config'!$D:$D,"Yes")="Yes",_xlfn.XLOOKUP("Risky_Inbound",'Scoring_Config'!$A:$A,'Scoring_Config'!$C:$C,20),0),"False,0")</f>
        <v>0</v>
      </c>
      <c r="AO27" s="4" cm="1">
        <f t="array" ref="AO27">IF(FALSE,"True," &amp; IF(_xlfn.XLOOKUP("Risky_Outbound",'Scoring_Config'!$A:$A,'Scoring_Config'!$D:$D,"Yes")="Yes",_xlfn.XLOOKUP("Risky_Outbound",'Scoring_Config'!$A:$A,'Scoring_Config'!$C:$C,10),0),"False,0")</f>
        <v>0</v>
      </c>
      <c r="AP27" s="5" t="s">
        <v>2595</v>
      </c>
      <c r="AQ27" s="4" cm="1">
        <f t="array" ref="AQ2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" s="5" t="s">
        <v>2598</v>
      </c>
      <c r="AS27" s="4" t="s">
        <v>2592</v>
      </c>
      <c r="AT27" s="4" t="s">
        <v>2592</v>
      </c>
      <c r="AU27" s="4" cm="1">
        <f t="array" ref="AU27">IF(FALSE,"True," &amp; IF(_xlfn.XLOOKUP("Action_IsDenyOrDrop",'Scoring_Config'!$A:$A,'Scoring_Config'!$D:$D,"Yes")="Yes",_xlfn.XLOOKUP("Action_IsDenyOrDrop",'Scoring_Config'!$A:$A,'Scoring_Config'!$C:$C,0),0),"False,0")</f>
        <v>0</v>
      </c>
      <c r="AV27" s="4"/>
      <c r="AW27" s="4" cm="1">
        <f t="array" ref="AW27">IF(FALSE,"True," &amp; IF(_xlfn.XLOOKUP("Migrate_Insecure",'Scoring_Config'!$A:$A,'Scoring_Config'!$D:$D,"Yes")="Yes",_xlfn.XLOOKUP("Migrate_Insecure",'Scoring_Config'!$A:$A,'Scoring_Config'!$C:$C,15),0),"False,0")</f>
        <v>0</v>
      </c>
      <c r="AX27" s="4"/>
      <c r="AY27" s="4" cm="1">
        <f t="array" ref="AY27">IF(FALSE,"True," &amp; IF(_xlfn.XLOOKUP("Migrate_Other_Ports",'Scoring_Config'!$A:$A,'Scoring_Config'!$D:$D,"Yes")="Yes",_xlfn.XLOOKUP("Migrate_Other_Ports",'Scoring_Config'!$A:$A,'Scoring_Config'!$C:$C,5),0),"False,0")</f>
        <v>0</v>
      </c>
      <c r="AZ27" s="4" cm="1">
        <f t="array" ref="AZ27">IF(LEFT(AU27,4)="True",0,(IF(LEFT(AC27,4)="True",IF(_xlfn.XLOOKUP("Src_IsAny",'Scoring_Config'!$A:$A,'Scoring_Config'!$D:$D,"Yes")="Yes",_xlfn.XLOOKUP("Src_IsAny",'Scoring_Config'!$A:$A,'Scoring_Config'!$C:$C,25),0),0)+IF(LEFT(AD27,4)="True",IF(_xlfn.XLOOKUP("Src_CIDR_Le_16",'Scoring_Config'!$A:$A,'Scoring_Config'!$D:$D,"Yes")="Yes",_xlfn.XLOOKUP("Src_CIDR_Le_16",'Scoring_Config'!$A:$A,'Scoring_Config'!$C:$C,25),0),0)+IF(LEFT(AE27,4)="True",IF(_xlfn.XLOOKUP("Src_CIDR_17_22",'Scoring_Config'!$A:$A,'Scoring_Config'!$D:$D,"Yes")="Yes",_xlfn.XLOOKUP("Src_CIDR_17_22",'Scoring_Config'!$A:$A,'Scoring_Config'!$C:$C,15),0),0)+IF(LEFT(AF27,4)="True",IF(_xlfn.XLOOKUP("Dst_IsAny",'Scoring_Config'!$A:$A,'Scoring_Config'!$D:$D,"Yes")="Yes",_xlfn.XLOOKUP("Dst_IsAny",'Scoring_Config'!$A:$A,'Scoring_Config'!$C:$C,25),0),0)+IF(LEFT(AG27,4)="True",IF(_xlfn.XLOOKUP("Dst_CIDR_Le_16",'Scoring_Config'!$A:$A,'Scoring_Config'!$D:$D,"Yes")="Yes",_xlfn.XLOOKUP("Dst_CIDR_Le_16",'Scoring_Config'!$A:$A,'Scoring_Config'!$C:$C,25),0),0)+IF(LEFT(AH27,4)="True",IF(_xlfn.XLOOKUP("Dst_CIDR_17_22",'Scoring_Config'!$A:$A,'Scoring_Config'!$D:$D,"Yes")="Yes",_xlfn.XLOOKUP("Dst_CIDR_17_22",'Scoring_Config'!$A:$A,'Scoring_Config'!$C:$C,15),0),0)+IF(LEFT(AI27,4)="True",IF(_xlfn.XLOOKUP("SrcZone_IsAny",'Scoring_Config'!$A:$A,'Scoring_Config'!$D:$D,"Yes")="Yes",_xlfn.XLOOKUP("SrcZone_IsAny",'Scoring_Config'!$A:$A,'Scoring_Config'!$C:$C,5),0),0)+IF(LEFT(AJ27,4)="True",IF(_xlfn.XLOOKUP("DstZone_IsAny",'Scoring_Config'!$A:$A,'Scoring_Config'!$D:$D,"Yes")="Yes",_xlfn.XLOOKUP("DstZone_IsAny",'Scoring_Config'!$A:$A,'Scoring_Config'!$C:$C,5),0),0)+IF(LEFT(AK27,4)="True",IF(_xlfn.XLOOKUP("Service_Any_OR_RangeGt1000",'Scoring_Config'!$A:$A,'Scoring_Config'!$D:$D,"Yes")="Yes",_xlfn.XLOOKUP("Service_Any_OR_RangeGt1000",'Scoring_Config'!$A:$A,'Scoring_Config'!$C:$C,25),0),0)+IF(LEFT(AL27,4)="True",IF(_xlfn.XLOOKUP("App_Any_OR_RangeGt1000",'Scoring_Config'!$A:$A,'Scoring_Config'!$D:$D,"Yes")="Yes",_xlfn.XLOOKUP("App_Any_OR_RangeGt1000",'Scoring_Config'!$A:$A,'Scoring_Config'!$C:$C,25),0),0)+IF(LEFT(AM27,4)="True",IF(_xlfn.XLOOKUP("Service_Insecure_Match",'Scoring_Config'!$A:$A,'Scoring_Config'!$D:$D,"Yes")="Yes",_xlfn.XLOOKUP("Service_Insecure_Match",'Scoring_Config'!$A:$A,'Scoring_Config'!$C:$C,20),0),0)+IF(LEFT(AN27,4)="True",IF(_xlfn.XLOOKUP("Risky_Inbound",'Scoring_Config'!$A:$A,'Scoring_Config'!$D:$D,"Yes")="Yes",_xlfn.XLOOKUP("Risky_Inbound",'Scoring_Config'!$A:$A,'Scoring_Config'!$C:$C,20),0),0)+IF(LEFT(AO27,4)="True",IF(_xlfn.XLOOKUP("Risky_Outbound",'Scoring_Config'!$A:$A,'Scoring_Config'!$D:$D,"Yes")="Yes",_xlfn.XLOOKUP("Risky_Outbound",'Scoring_Config'!$A:$A,'Scoring_Config'!$C:$C,10),0),0)+IF(LEFT(AW27,4)="True",IF(_xlfn.XLOOKUP("Migrate_Insecure",'Scoring_Config'!$A:$A,'Scoring_Config'!$D:$D,"Yes")="Yes",_xlfn.XLOOKUP("Migrate_Insecure",'Scoring_Config'!$A:$A,'Scoring_Config'!$C:$C,15),0),0)+IF(LEFT(AY27,4)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,FIND(",",AP27)+1,100)),0)+IF(LEFT(AQ27,4)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,FIND(",",AR27)+1,100)),0)+IF(_xlfn.XLOOKUP("Profile_Scoring",'Scoring_Config'!$A:$A,'Scoring_Config'!$D:$D,"Yes")="Yes",VALUE(MID(AS27,FIND(",",AS27)+1,100)),0)+IF(_xlfn.XLOOKUP("Options_Scoring",'Scoring_Config'!$A:$A,'Scoring_Config'!$D:$D,"Yes")="Yes",VALUE(MID(AT27,FIND(",",AT27)+1,100)),0)))</f>
        <v>0</v>
      </c>
    </row>
    <row r="28" spans="1:52">
      <c r="A28" s="3" t="s">
        <v>52</v>
      </c>
      <c r="B28" s="3" t="s">
        <v>70</v>
      </c>
      <c r="C28" s="3" t="s">
        <v>329</v>
      </c>
      <c r="D28" s="3"/>
      <c r="E28" s="3" t="s">
        <v>359</v>
      </c>
      <c r="F28" s="3" t="s">
        <v>362</v>
      </c>
      <c r="G28" s="3" t="s">
        <v>380</v>
      </c>
      <c r="H28" s="3" t="s">
        <v>546</v>
      </c>
      <c r="I28" s="3" t="s">
        <v>624</v>
      </c>
      <c r="J28" s="3" t="s">
        <v>363</v>
      </c>
      <c r="K28" s="3" t="s">
        <v>633</v>
      </c>
      <c r="L28" s="3" t="s">
        <v>744</v>
      </c>
      <c r="M28" s="3" t="s">
        <v>770</v>
      </c>
      <c r="N28" s="3" t="s">
        <v>770</v>
      </c>
      <c r="O28" s="4" t="s">
        <v>818</v>
      </c>
      <c r="P28" s="3" t="s">
        <v>879</v>
      </c>
      <c r="Q28" s="3" t="s">
        <v>905</v>
      </c>
      <c r="R28" s="3" t="s">
        <v>909</v>
      </c>
      <c r="S28" s="3" t="s">
        <v>913</v>
      </c>
      <c r="T28" s="3" t="s">
        <v>919</v>
      </c>
      <c r="U28" s="3" t="s">
        <v>1165</v>
      </c>
      <c r="V28" s="3" t="s">
        <v>789</v>
      </c>
      <c r="W28" s="3" t="s">
        <v>1411</v>
      </c>
      <c r="X28" s="3" t="s">
        <v>1632</v>
      </c>
      <c r="Y28" s="3" t="s">
        <v>2101</v>
      </c>
      <c r="Z28" s="3"/>
      <c r="AA28" s="3"/>
      <c r="AB28" s="3"/>
      <c r="AC28" s="5" cm="1">
        <f t="array" ref="AC28">IF(TRUE,"True," &amp; IF(_xlfn.XLOOKUP("Src_IsAny",'Scoring_Config'!$A:$A,'Scoring_Config'!$D:$D,"Yes")="Yes",_xlfn.XLOOKUP("Src_IsAny",'Scoring_Config'!$A:$A,'Scoring_Config'!$C:$C,25),0),"False,0")</f>
        <v>0</v>
      </c>
      <c r="AD28" s="4" cm="1">
        <f t="array" ref="AD28">IF(FALSE,"True," &amp; IF(_xlfn.XLOOKUP("Src_CIDR_Le_16",'Scoring_Config'!$A:$A,'Scoring_Config'!$D:$D,"Yes")="Yes",_xlfn.XLOOKUP("Src_CIDR_Le_16",'Scoring_Config'!$A:$A,'Scoring_Config'!$C:$C,25),0),"False,0")</f>
        <v>0</v>
      </c>
      <c r="AE28" s="4" cm="1">
        <f t="array" ref="AE28">IF(FALSE,"True," &amp; IF(_xlfn.XLOOKUP("Src_CIDR_17_22",'Scoring_Config'!$A:$A,'Scoring_Config'!$D:$D,"Yes")="Yes",_xlfn.XLOOKUP("Src_CIDR_17_22",'Scoring_Config'!$A:$A,'Scoring_Config'!$C:$C,15),0),"False,0")</f>
        <v>0</v>
      </c>
      <c r="AF28" s="4" cm="1">
        <f t="array" ref="AF28">IF(FALSE,"True," &amp; IF(_xlfn.XLOOKUP("Dst_IsAny",'Scoring_Config'!$A:$A,'Scoring_Config'!$D:$D,"Yes")="Yes",_xlfn.XLOOKUP("Dst_IsAny",'Scoring_Config'!$A:$A,'Scoring_Config'!$C:$C,25),0),"False,0")</f>
        <v>0</v>
      </c>
      <c r="AG28" s="4" cm="1">
        <f t="array" ref="AG28">IF(FALSE,"True," &amp; IF(_xlfn.XLOOKUP("Dst_CIDR_Le_16",'Scoring_Config'!$A:$A,'Scoring_Config'!$D:$D,"Yes")="Yes",_xlfn.XLOOKUP("Dst_CIDR_Le_16",'Scoring_Config'!$A:$A,'Scoring_Config'!$C:$C,25),0),"False,0")</f>
        <v>0</v>
      </c>
      <c r="AH28" s="4" cm="1">
        <f t="array" ref="AH28">IF(FALSE,"True," &amp; IF(_xlfn.XLOOKUP("Dst_CIDR_17_22",'Scoring_Config'!$A:$A,'Scoring_Config'!$D:$D,"Yes")="Yes",_xlfn.XLOOKUP("Dst_CIDR_17_22",'Scoring_Config'!$A:$A,'Scoring_Config'!$C:$C,15),0),"False,0")</f>
        <v>0</v>
      </c>
      <c r="AI28" s="4" cm="1">
        <f t="array" ref="AI28">IF(FALSE,"True," &amp; IF(_xlfn.XLOOKUP("SrcZone_IsAny",'Scoring_Config'!$A:$A,'Scoring_Config'!$D:$D,"Yes")="Yes",_xlfn.XLOOKUP("SrcZone_IsAny",'Scoring_Config'!$A:$A,'Scoring_Config'!$C:$C,5),0),"False,0")</f>
        <v>0</v>
      </c>
      <c r="AJ28" s="4" cm="1">
        <f t="array" ref="AJ28">IF(FALSE,"True," &amp; IF(_xlfn.XLOOKUP("DstZone_IsAny",'Scoring_Config'!$A:$A,'Scoring_Config'!$D:$D,"Yes")="Yes",_xlfn.XLOOKUP("DstZone_IsAny",'Scoring_Config'!$A:$A,'Scoring_Config'!$C:$C,5),0),"False,0")</f>
        <v>0</v>
      </c>
      <c r="AK28" s="5" cm="1">
        <f t="array" ref="AK28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8" s="4" cm="1">
        <f t="array" ref="AL28">IF(FALSE,"True," &amp; IF(_xlfn.XLOOKUP("App_Any_OR_RangeGt1000",'Scoring_Config'!$A:$A,'Scoring_Config'!$D:$D,"Yes")="Yes",_xlfn.XLOOKUP("App_Any_OR_RangeGt1000",'Scoring_Config'!$A:$A,'Scoring_Config'!$C:$C,25),0),"False,0")</f>
        <v>0</v>
      </c>
      <c r="AM28" s="5" cm="1">
        <f t="array" ref="AM28">IF(TRUE,"True," &amp; IF(_xlfn.XLOOKUP("Service_Insecure_Match",'Scoring_Config'!$A:$A,'Scoring_Config'!$D:$D,"Yes")="Yes",_xlfn.XLOOKUP("Service_Insecure_Match",'Scoring_Config'!$A:$A,'Scoring_Config'!$C:$C,20),0),"False,0")</f>
        <v>0</v>
      </c>
      <c r="AN28" s="4" cm="1">
        <f t="array" ref="AN28">IF(FALSE,"True," &amp; IF(_xlfn.XLOOKUP("Risky_Inbound",'Scoring_Config'!$A:$A,'Scoring_Config'!$D:$D,"Yes")="Yes",_xlfn.XLOOKUP("Risky_Inbound",'Scoring_Config'!$A:$A,'Scoring_Config'!$C:$C,20),0),"False,0")</f>
        <v>0</v>
      </c>
      <c r="AO28" s="4" cm="1">
        <f t="array" ref="AO28">IF(FALSE,"True," &amp; IF(_xlfn.XLOOKUP("Risky_Outbound",'Scoring_Config'!$A:$A,'Scoring_Config'!$D:$D,"Yes")="Yes",_xlfn.XLOOKUP("Risky_Outbound",'Scoring_Config'!$A:$A,'Scoring_Config'!$C:$C,10),0),"False,0")</f>
        <v>0</v>
      </c>
      <c r="AP28" s="5" t="s">
        <v>2595</v>
      </c>
      <c r="AQ28" s="4" cm="1">
        <f t="array" ref="AQ2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" s="5" t="s">
        <v>2598</v>
      </c>
      <c r="AS28" s="4" t="s">
        <v>2592</v>
      </c>
      <c r="AT28" s="4" t="s">
        <v>2592</v>
      </c>
      <c r="AU28" s="4" cm="1">
        <f t="array" ref="AU28">IF(FALSE,"True," &amp; IF(_xlfn.XLOOKUP("Action_IsDenyOrDrop",'Scoring_Config'!$A:$A,'Scoring_Config'!$D:$D,"Yes")="Yes",_xlfn.XLOOKUP("Action_IsDenyOrDrop",'Scoring_Config'!$A:$A,'Scoring_Config'!$C:$C,0),0),"False,0")</f>
        <v>0</v>
      </c>
      <c r="AV28" s="4"/>
      <c r="AW28" s="4" cm="1">
        <f t="array" ref="AW28">IF(FALSE,"True," &amp; IF(_xlfn.XLOOKUP("Migrate_Insecure",'Scoring_Config'!$A:$A,'Scoring_Config'!$D:$D,"Yes")="Yes",_xlfn.XLOOKUP("Migrate_Insecure",'Scoring_Config'!$A:$A,'Scoring_Config'!$C:$C,15),0),"False,0")</f>
        <v>0</v>
      </c>
      <c r="AX28" s="4"/>
      <c r="AY28" s="4" cm="1">
        <f t="array" ref="AY28">IF(FALSE,"True," &amp; IF(_xlfn.XLOOKUP("Migrate_Other_Ports",'Scoring_Config'!$A:$A,'Scoring_Config'!$D:$D,"Yes")="Yes",_xlfn.XLOOKUP("Migrate_Other_Ports",'Scoring_Config'!$A:$A,'Scoring_Config'!$C:$C,5),0),"False,0")</f>
        <v>0</v>
      </c>
      <c r="AZ28" s="4" cm="1">
        <f t="array" ref="AZ28">IF(LEFT(AU28,4)="True",0,(IF(LEFT(AC28,4)="True",IF(_xlfn.XLOOKUP("Src_IsAny",'Scoring_Config'!$A:$A,'Scoring_Config'!$D:$D,"Yes")="Yes",_xlfn.XLOOKUP("Src_IsAny",'Scoring_Config'!$A:$A,'Scoring_Config'!$C:$C,25),0),0)+IF(LEFT(AD28,4)="True",IF(_xlfn.XLOOKUP("Src_CIDR_Le_16",'Scoring_Config'!$A:$A,'Scoring_Config'!$D:$D,"Yes")="Yes",_xlfn.XLOOKUP("Src_CIDR_Le_16",'Scoring_Config'!$A:$A,'Scoring_Config'!$C:$C,25),0),0)+IF(LEFT(AE28,4)="True",IF(_xlfn.XLOOKUP("Src_CIDR_17_22",'Scoring_Config'!$A:$A,'Scoring_Config'!$D:$D,"Yes")="Yes",_xlfn.XLOOKUP("Src_CIDR_17_22",'Scoring_Config'!$A:$A,'Scoring_Config'!$C:$C,15),0),0)+IF(LEFT(AF28,4)="True",IF(_xlfn.XLOOKUP("Dst_IsAny",'Scoring_Config'!$A:$A,'Scoring_Config'!$D:$D,"Yes")="Yes",_xlfn.XLOOKUP("Dst_IsAny",'Scoring_Config'!$A:$A,'Scoring_Config'!$C:$C,25),0),0)+IF(LEFT(AG28,4)="True",IF(_xlfn.XLOOKUP("Dst_CIDR_Le_16",'Scoring_Config'!$A:$A,'Scoring_Config'!$D:$D,"Yes")="Yes",_xlfn.XLOOKUP("Dst_CIDR_Le_16",'Scoring_Config'!$A:$A,'Scoring_Config'!$C:$C,25),0),0)+IF(LEFT(AH28,4)="True",IF(_xlfn.XLOOKUP("Dst_CIDR_17_22",'Scoring_Config'!$A:$A,'Scoring_Config'!$D:$D,"Yes")="Yes",_xlfn.XLOOKUP("Dst_CIDR_17_22",'Scoring_Config'!$A:$A,'Scoring_Config'!$C:$C,15),0),0)+IF(LEFT(AI28,4)="True",IF(_xlfn.XLOOKUP("SrcZone_IsAny",'Scoring_Config'!$A:$A,'Scoring_Config'!$D:$D,"Yes")="Yes",_xlfn.XLOOKUP("SrcZone_IsAny",'Scoring_Config'!$A:$A,'Scoring_Config'!$C:$C,5),0),0)+IF(LEFT(AJ28,4)="True",IF(_xlfn.XLOOKUP("DstZone_IsAny",'Scoring_Config'!$A:$A,'Scoring_Config'!$D:$D,"Yes")="Yes",_xlfn.XLOOKUP("DstZone_IsAny",'Scoring_Config'!$A:$A,'Scoring_Config'!$C:$C,5),0),0)+IF(LEFT(AK28,4)="True",IF(_xlfn.XLOOKUP("Service_Any_OR_RangeGt1000",'Scoring_Config'!$A:$A,'Scoring_Config'!$D:$D,"Yes")="Yes",_xlfn.XLOOKUP("Service_Any_OR_RangeGt1000",'Scoring_Config'!$A:$A,'Scoring_Config'!$C:$C,25),0),0)+IF(LEFT(AL28,4)="True",IF(_xlfn.XLOOKUP("App_Any_OR_RangeGt1000",'Scoring_Config'!$A:$A,'Scoring_Config'!$D:$D,"Yes")="Yes",_xlfn.XLOOKUP("App_Any_OR_RangeGt1000",'Scoring_Config'!$A:$A,'Scoring_Config'!$C:$C,25),0),0)+IF(LEFT(AM28,4)="True",IF(_xlfn.XLOOKUP("Service_Insecure_Match",'Scoring_Config'!$A:$A,'Scoring_Config'!$D:$D,"Yes")="Yes",_xlfn.XLOOKUP("Service_Insecure_Match",'Scoring_Config'!$A:$A,'Scoring_Config'!$C:$C,20),0),0)+IF(LEFT(AN28,4)="True",IF(_xlfn.XLOOKUP("Risky_Inbound",'Scoring_Config'!$A:$A,'Scoring_Config'!$D:$D,"Yes")="Yes",_xlfn.XLOOKUP("Risky_Inbound",'Scoring_Config'!$A:$A,'Scoring_Config'!$C:$C,20),0),0)+IF(LEFT(AO28,4)="True",IF(_xlfn.XLOOKUP("Risky_Outbound",'Scoring_Config'!$A:$A,'Scoring_Config'!$D:$D,"Yes")="Yes",_xlfn.XLOOKUP("Risky_Outbound",'Scoring_Config'!$A:$A,'Scoring_Config'!$C:$C,10),0),0)+IF(LEFT(AW28,4)="True",IF(_xlfn.XLOOKUP("Migrate_Insecure",'Scoring_Config'!$A:$A,'Scoring_Config'!$D:$D,"Yes")="Yes",_xlfn.XLOOKUP("Migrate_Insecure",'Scoring_Config'!$A:$A,'Scoring_Config'!$C:$C,15),0),0)+IF(LEFT(AY28,4)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,FIND(",",AP28)+1,100)),0)+IF(LEFT(AQ28,4)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,FIND(",",AR28)+1,100)),0)+IF(_xlfn.XLOOKUP("Profile_Scoring",'Scoring_Config'!$A:$A,'Scoring_Config'!$D:$D,"Yes")="Yes",VALUE(MID(AS28,FIND(",",AS28)+1,100)),0)+IF(_xlfn.XLOOKUP("Options_Scoring",'Scoring_Config'!$A:$A,'Scoring_Config'!$D:$D,"Yes")="Yes",VALUE(MID(AT28,FIND(",",AT28)+1,100)),0)))</f>
        <v>0</v>
      </c>
    </row>
    <row r="29" spans="1:52">
      <c r="A29" s="3" t="s">
        <v>52</v>
      </c>
      <c r="B29" s="3" t="s">
        <v>80</v>
      </c>
      <c r="C29" s="3" t="s">
        <v>329</v>
      </c>
      <c r="D29" s="3"/>
      <c r="E29" s="3" t="s">
        <v>359</v>
      </c>
      <c r="F29" s="3" t="s">
        <v>362</v>
      </c>
      <c r="G29" s="3" t="s">
        <v>381</v>
      </c>
      <c r="H29" s="3" t="s">
        <v>547</v>
      </c>
      <c r="I29" s="3" t="s">
        <v>624</v>
      </c>
      <c r="J29" s="3" t="s">
        <v>363</v>
      </c>
      <c r="K29" s="3" t="s">
        <v>370</v>
      </c>
      <c r="L29" s="3" t="s">
        <v>541</v>
      </c>
      <c r="M29" s="3" t="s">
        <v>774</v>
      </c>
      <c r="N29" s="3" t="s">
        <v>795</v>
      </c>
      <c r="O29" s="4" t="s">
        <v>808</v>
      </c>
      <c r="P29" s="3" t="s">
        <v>869</v>
      </c>
      <c r="Q29" s="3" t="s">
        <v>904</v>
      </c>
      <c r="R29" s="3" t="s">
        <v>911</v>
      </c>
      <c r="S29" s="3" t="s">
        <v>914</v>
      </c>
      <c r="T29" s="3" t="s">
        <v>919</v>
      </c>
      <c r="U29" s="3" t="s">
        <v>1147</v>
      </c>
      <c r="V29" s="3" t="s">
        <v>1387</v>
      </c>
      <c r="W29" s="3" t="s">
        <v>1412</v>
      </c>
      <c r="X29" s="3" t="s">
        <v>1633</v>
      </c>
      <c r="Y29" s="3" t="s">
        <v>2102</v>
      </c>
      <c r="Z29" s="3"/>
      <c r="AA29" s="3"/>
      <c r="AB29" s="3"/>
      <c r="AC29" s="4" cm="1">
        <f t="array" ref="AC29">IF(FALSE,"True," &amp; IF(_xlfn.XLOOKUP("Src_IsAny",'Scoring_Config'!$A:$A,'Scoring_Config'!$D:$D,"Yes")="Yes",_xlfn.XLOOKUP("Src_IsAny",'Scoring_Config'!$A:$A,'Scoring_Config'!$C:$C,25),0),"False,0")</f>
        <v>0</v>
      </c>
      <c r="AD29" s="4" cm="1">
        <f t="array" ref="AD29">IF(FALSE,"True," &amp; IF(_xlfn.XLOOKUP("Src_CIDR_Le_16",'Scoring_Config'!$A:$A,'Scoring_Config'!$D:$D,"Yes")="Yes",_xlfn.XLOOKUP("Src_CIDR_Le_16",'Scoring_Config'!$A:$A,'Scoring_Config'!$C:$C,25),0),"False,0")</f>
        <v>0</v>
      </c>
      <c r="AE29" s="4" cm="1">
        <f t="array" ref="AE29">IF(FALSE,"True," &amp; IF(_xlfn.XLOOKUP("Src_CIDR_17_22",'Scoring_Config'!$A:$A,'Scoring_Config'!$D:$D,"Yes")="Yes",_xlfn.XLOOKUP("Src_CIDR_17_22",'Scoring_Config'!$A:$A,'Scoring_Config'!$C:$C,15),0),"False,0")</f>
        <v>0</v>
      </c>
      <c r="AF29" s="4" cm="1">
        <f t="array" ref="AF29">IF(FALSE,"True," &amp; IF(_xlfn.XLOOKUP("Dst_IsAny",'Scoring_Config'!$A:$A,'Scoring_Config'!$D:$D,"Yes")="Yes",_xlfn.XLOOKUP("Dst_IsAny",'Scoring_Config'!$A:$A,'Scoring_Config'!$C:$C,25),0),"False,0")</f>
        <v>0</v>
      </c>
      <c r="AG29" s="4" cm="1">
        <f t="array" ref="AG29">IF(FALSE,"True," &amp; IF(_xlfn.XLOOKUP("Dst_CIDR_Le_16",'Scoring_Config'!$A:$A,'Scoring_Config'!$D:$D,"Yes")="Yes",_xlfn.XLOOKUP("Dst_CIDR_Le_16",'Scoring_Config'!$A:$A,'Scoring_Config'!$C:$C,25),0),"False,0")</f>
        <v>0</v>
      </c>
      <c r="AH29" s="4" cm="1">
        <f t="array" ref="AH29">IF(FALSE,"True," &amp; IF(_xlfn.XLOOKUP("Dst_CIDR_17_22",'Scoring_Config'!$A:$A,'Scoring_Config'!$D:$D,"Yes")="Yes",_xlfn.XLOOKUP("Dst_CIDR_17_22",'Scoring_Config'!$A:$A,'Scoring_Config'!$C:$C,15),0),"False,0")</f>
        <v>0</v>
      </c>
      <c r="AI29" s="4" cm="1">
        <f t="array" ref="AI29">IF(FALSE,"True," &amp; IF(_xlfn.XLOOKUP("SrcZone_IsAny",'Scoring_Config'!$A:$A,'Scoring_Config'!$D:$D,"Yes")="Yes",_xlfn.XLOOKUP("SrcZone_IsAny",'Scoring_Config'!$A:$A,'Scoring_Config'!$C:$C,5),0),"False,0")</f>
        <v>0</v>
      </c>
      <c r="AJ29" s="4" cm="1">
        <f t="array" ref="AJ29">IF(FALSE,"True," &amp; IF(_xlfn.XLOOKUP("DstZone_IsAny",'Scoring_Config'!$A:$A,'Scoring_Config'!$D:$D,"Yes")="Yes",_xlfn.XLOOKUP("DstZone_IsAny",'Scoring_Config'!$A:$A,'Scoring_Config'!$C:$C,5),0),"False,0")</f>
        <v>0</v>
      </c>
      <c r="AK29" s="4" cm="1">
        <f t="array" ref="AK2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" s="4" cm="1">
        <f t="array" ref="AL29">IF(FALSE,"True," &amp; IF(_xlfn.XLOOKUP("App_Any_OR_RangeGt1000",'Scoring_Config'!$A:$A,'Scoring_Config'!$D:$D,"Yes")="Yes",_xlfn.XLOOKUP("App_Any_OR_RangeGt1000",'Scoring_Config'!$A:$A,'Scoring_Config'!$C:$C,25),0),"False,0")</f>
        <v>0</v>
      </c>
      <c r="AM29" s="5" cm="1">
        <f t="array" ref="AM29">IF(TRUE,"True," &amp; IF(_xlfn.XLOOKUP("Service_Insecure_Match",'Scoring_Config'!$A:$A,'Scoring_Config'!$D:$D,"Yes")="Yes",_xlfn.XLOOKUP("Service_Insecure_Match",'Scoring_Config'!$A:$A,'Scoring_Config'!$C:$C,20),0),"False,0")</f>
        <v>0</v>
      </c>
      <c r="AN29" s="4" cm="1">
        <f t="array" ref="AN29">IF(FALSE,"True," &amp; IF(_xlfn.XLOOKUP("Risky_Inbound",'Scoring_Config'!$A:$A,'Scoring_Config'!$D:$D,"Yes")="Yes",_xlfn.XLOOKUP("Risky_Inbound",'Scoring_Config'!$A:$A,'Scoring_Config'!$C:$C,20),0),"False,0")</f>
        <v>0</v>
      </c>
      <c r="AO29" s="4" cm="1">
        <f t="array" ref="AO29">IF(FALSE,"True," &amp; IF(_xlfn.XLOOKUP("Risky_Outbound",'Scoring_Config'!$A:$A,'Scoring_Config'!$D:$D,"Yes")="Yes",_xlfn.XLOOKUP("Risky_Outbound",'Scoring_Config'!$A:$A,'Scoring_Config'!$C:$C,10),0),"False,0")</f>
        <v>0</v>
      </c>
      <c r="AP29" s="5" t="s">
        <v>2595</v>
      </c>
      <c r="AQ29" s="5" cm="1">
        <f t="array" ref="AQ2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" s="5" t="s">
        <v>2598</v>
      </c>
      <c r="AS29" s="4" t="s">
        <v>2592</v>
      </c>
      <c r="AT29" s="4" t="s">
        <v>2592</v>
      </c>
      <c r="AU29" s="5" cm="1">
        <f t="array" ref="AU29">IF(TRUE,"True," &amp; IF(_xlfn.XLOOKUP("Action_IsDenyOrDrop",'Scoring_Config'!$A:$A,'Scoring_Config'!$D:$D,"Yes")="Yes",_xlfn.XLOOKUP("Action_IsDenyOrDrop",'Scoring_Config'!$A:$A,'Scoring_Config'!$C:$C,0),0),"False,0")</f>
        <v>0</v>
      </c>
      <c r="AV29" s="4"/>
      <c r="AW29" s="4" cm="1">
        <f t="array" ref="AW29">IF(FALSE,"True," &amp; IF(_xlfn.XLOOKUP("Migrate_Insecure",'Scoring_Config'!$A:$A,'Scoring_Config'!$D:$D,"Yes")="Yes",_xlfn.XLOOKUP("Migrate_Insecure",'Scoring_Config'!$A:$A,'Scoring_Config'!$C:$C,15),0),"False,0")</f>
        <v>0</v>
      </c>
      <c r="AX29" s="4"/>
      <c r="AY29" s="4" cm="1">
        <f t="array" ref="AY29">IF(FALSE,"True," &amp; IF(_xlfn.XLOOKUP("Migrate_Other_Ports",'Scoring_Config'!$A:$A,'Scoring_Config'!$D:$D,"Yes")="Yes",_xlfn.XLOOKUP("Migrate_Other_Ports",'Scoring_Config'!$A:$A,'Scoring_Config'!$C:$C,5),0),"False,0")</f>
        <v>0</v>
      </c>
      <c r="AZ29" s="4" cm="1">
        <f t="array" ref="AZ29">IF(LEFT(AU29,4)="True",0,(IF(LEFT(AC29,4)="True",IF(_xlfn.XLOOKUP("Src_IsAny",'Scoring_Config'!$A:$A,'Scoring_Config'!$D:$D,"Yes")="Yes",_xlfn.XLOOKUP("Src_IsAny",'Scoring_Config'!$A:$A,'Scoring_Config'!$C:$C,25),0),0)+IF(LEFT(AD29,4)="True",IF(_xlfn.XLOOKUP("Src_CIDR_Le_16",'Scoring_Config'!$A:$A,'Scoring_Config'!$D:$D,"Yes")="Yes",_xlfn.XLOOKUP("Src_CIDR_Le_16",'Scoring_Config'!$A:$A,'Scoring_Config'!$C:$C,25),0),0)+IF(LEFT(AE29,4)="True",IF(_xlfn.XLOOKUP("Src_CIDR_17_22",'Scoring_Config'!$A:$A,'Scoring_Config'!$D:$D,"Yes")="Yes",_xlfn.XLOOKUP("Src_CIDR_17_22",'Scoring_Config'!$A:$A,'Scoring_Config'!$C:$C,15),0),0)+IF(LEFT(AF29,4)="True",IF(_xlfn.XLOOKUP("Dst_IsAny",'Scoring_Config'!$A:$A,'Scoring_Config'!$D:$D,"Yes")="Yes",_xlfn.XLOOKUP("Dst_IsAny",'Scoring_Config'!$A:$A,'Scoring_Config'!$C:$C,25),0),0)+IF(LEFT(AG29,4)="True",IF(_xlfn.XLOOKUP("Dst_CIDR_Le_16",'Scoring_Config'!$A:$A,'Scoring_Config'!$D:$D,"Yes")="Yes",_xlfn.XLOOKUP("Dst_CIDR_Le_16",'Scoring_Config'!$A:$A,'Scoring_Config'!$C:$C,25),0),0)+IF(LEFT(AH29,4)="True",IF(_xlfn.XLOOKUP("Dst_CIDR_17_22",'Scoring_Config'!$A:$A,'Scoring_Config'!$D:$D,"Yes")="Yes",_xlfn.XLOOKUP("Dst_CIDR_17_22",'Scoring_Config'!$A:$A,'Scoring_Config'!$C:$C,15),0),0)+IF(LEFT(AI29,4)="True",IF(_xlfn.XLOOKUP("SrcZone_IsAny",'Scoring_Config'!$A:$A,'Scoring_Config'!$D:$D,"Yes")="Yes",_xlfn.XLOOKUP("SrcZone_IsAny",'Scoring_Config'!$A:$A,'Scoring_Config'!$C:$C,5),0),0)+IF(LEFT(AJ29,4)="True",IF(_xlfn.XLOOKUP("DstZone_IsAny",'Scoring_Config'!$A:$A,'Scoring_Config'!$D:$D,"Yes")="Yes",_xlfn.XLOOKUP("DstZone_IsAny",'Scoring_Config'!$A:$A,'Scoring_Config'!$C:$C,5),0),0)+IF(LEFT(AK29,4)="True",IF(_xlfn.XLOOKUP("Service_Any_OR_RangeGt1000",'Scoring_Config'!$A:$A,'Scoring_Config'!$D:$D,"Yes")="Yes",_xlfn.XLOOKUP("Service_Any_OR_RangeGt1000",'Scoring_Config'!$A:$A,'Scoring_Config'!$C:$C,25),0),0)+IF(LEFT(AL29,4)="True",IF(_xlfn.XLOOKUP("App_Any_OR_RangeGt1000",'Scoring_Config'!$A:$A,'Scoring_Config'!$D:$D,"Yes")="Yes",_xlfn.XLOOKUP("App_Any_OR_RangeGt1000",'Scoring_Config'!$A:$A,'Scoring_Config'!$C:$C,25),0),0)+IF(LEFT(AM29,4)="True",IF(_xlfn.XLOOKUP("Service_Insecure_Match",'Scoring_Config'!$A:$A,'Scoring_Config'!$D:$D,"Yes")="Yes",_xlfn.XLOOKUP("Service_Insecure_Match",'Scoring_Config'!$A:$A,'Scoring_Config'!$C:$C,20),0),0)+IF(LEFT(AN29,4)="True",IF(_xlfn.XLOOKUP("Risky_Inbound",'Scoring_Config'!$A:$A,'Scoring_Config'!$D:$D,"Yes")="Yes",_xlfn.XLOOKUP("Risky_Inbound",'Scoring_Config'!$A:$A,'Scoring_Config'!$C:$C,20),0),0)+IF(LEFT(AO29,4)="True",IF(_xlfn.XLOOKUP("Risky_Outbound",'Scoring_Config'!$A:$A,'Scoring_Config'!$D:$D,"Yes")="Yes",_xlfn.XLOOKUP("Risky_Outbound",'Scoring_Config'!$A:$A,'Scoring_Config'!$C:$C,10),0),0)+IF(LEFT(AW29,4)="True",IF(_xlfn.XLOOKUP("Migrate_Insecure",'Scoring_Config'!$A:$A,'Scoring_Config'!$D:$D,"Yes")="Yes",_xlfn.XLOOKUP("Migrate_Insecure",'Scoring_Config'!$A:$A,'Scoring_Config'!$C:$C,15),0),0)+IF(LEFT(AY29,4)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,FIND(",",AP29)+1,100)),0)+IF(LEFT(AQ29,4)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,FIND(",",AR29)+1,100)),0)+IF(_xlfn.XLOOKUP("Profile_Scoring",'Scoring_Config'!$A:$A,'Scoring_Config'!$D:$D,"Yes")="Yes",VALUE(MID(AS29,FIND(",",AS29)+1,100)),0)+IF(_xlfn.XLOOKUP("Options_Scoring",'Scoring_Config'!$A:$A,'Scoring_Config'!$D:$D,"Yes")="Yes",VALUE(MID(AT29,FIND(",",AT29)+1,100)),0)))</f>
        <v>0</v>
      </c>
    </row>
    <row r="30" spans="1:52">
      <c r="A30" s="3" t="s">
        <v>52</v>
      </c>
      <c r="B30" s="3" t="s">
        <v>81</v>
      </c>
      <c r="C30" s="3" t="s">
        <v>329</v>
      </c>
      <c r="D30" s="3"/>
      <c r="E30" s="3" t="s">
        <v>359</v>
      </c>
      <c r="F30" s="3" t="s">
        <v>362</v>
      </c>
      <c r="G30" s="3" t="s">
        <v>381</v>
      </c>
      <c r="H30" s="3" t="s">
        <v>547</v>
      </c>
      <c r="I30" s="3" t="s">
        <v>365</v>
      </c>
      <c r="J30" s="3" t="s">
        <v>362</v>
      </c>
      <c r="K30" s="3" t="s">
        <v>634</v>
      </c>
      <c r="L30" s="3" t="s">
        <v>745</v>
      </c>
      <c r="M30" s="3" t="s">
        <v>774</v>
      </c>
      <c r="N30" s="3" t="s">
        <v>795</v>
      </c>
      <c r="O30" s="4" t="s">
        <v>819</v>
      </c>
      <c r="P30" s="3" t="s">
        <v>880</v>
      </c>
      <c r="Q30" s="3" t="s">
        <v>905</v>
      </c>
      <c r="R30" s="3" t="s">
        <v>907</v>
      </c>
      <c r="S30" s="3" t="s">
        <v>913</v>
      </c>
      <c r="T30" s="3" t="s">
        <v>936</v>
      </c>
      <c r="U30" s="3" t="s">
        <v>1145</v>
      </c>
      <c r="V30" s="3" t="s">
        <v>1386</v>
      </c>
      <c r="W30" s="3" t="s">
        <v>1413</v>
      </c>
      <c r="X30" s="3" t="s">
        <v>1634</v>
      </c>
      <c r="Y30" s="3" t="s">
        <v>2103</v>
      </c>
      <c r="Z30" s="3"/>
      <c r="AA30" s="3"/>
      <c r="AB30" s="3"/>
      <c r="AC30" s="4" cm="1">
        <f t="array" ref="AC30">IF(FALSE,"True," &amp; IF(_xlfn.XLOOKUP("Src_IsAny",'Scoring_Config'!$A:$A,'Scoring_Config'!$D:$D,"Yes")="Yes",_xlfn.XLOOKUP("Src_IsAny",'Scoring_Config'!$A:$A,'Scoring_Config'!$C:$C,25),0),"False,0")</f>
        <v>0</v>
      </c>
      <c r="AD30" s="4" cm="1">
        <f t="array" ref="AD30">IF(FALSE,"True," &amp; IF(_xlfn.XLOOKUP("Src_CIDR_Le_16",'Scoring_Config'!$A:$A,'Scoring_Config'!$D:$D,"Yes")="Yes",_xlfn.XLOOKUP("Src_CIDR_Le_16",'Scoring_Config'!$A:$A,'Scoring_Config'!$C:$C,25),0),"False,0")</f>
        <v>0</v>
      </c>
      <c r="AE30" s="4" cm="1">
        <f t="array" ref="AE30">IF(FALSE,"True," &amp; IF(_xlfn.XLOOKUP("Src_CIDR_17_22",'Scoring_Config'!$A:$A,'Scoring_Config'!$D:$D,"Yes")="Yes",_xlfn.XLOOKUP("Src_CIDR_17_22",'Scoring_Config'!$A:$A,'Scoring_Config'!$C:$C,15),0),"False,0")</f>
        <v>0</v>
      </c>
      <c r="AF30" s="4" cm="1">
        <f t="array" ref="AF30">IF(FALSE,"True," &amp; IF(_xlfn.XLOOKUP("Dst_IsAny",'Scoring_Config'!$A:$A,'Scoring_Config'!$D:$D,"Yes")="Yes",_xlfn.XLOOKUP("Dst_IsAny",'Scoring_Config'!$A:$A,'Scoring_Config'!$C:$C,25),0),"False,0")</f>
        <v>0</v>
      </c>
      <c r="AG30" s="4" cm="1">
        <f t="array" ref="AG30">IF(FALSE,"True," &amp; IF(_xlfn.XLOOKUP("Dst_CIDR_Le_16",'Scoring_Config'!$A:$A,'Scoring_Config'!$D:$D,"Yes")="Yes",_xlfn.XLOOKUP("Dst_CIDR_Le_16",'Scoring_Config'!$A:$A,'Scoring_Config'!$C:$C,25),0),"False,0")</f>
        <v>0</v>
      </c>
      <c r="AH30" s="4" cm="1">
        <f t="array" ref="AH30">IF(FALSE,"True," &amp; IF(_xlfn.XLOOKUP("Dst_CIDR_17_22",'Scoring_Config'!$A:$A,'Scoring_Config'!$D:$D,"Yes")="Yes",_xlfn.XLOOKUP("Dst_CIDR_17_22",'Scoring_Config'!$A:$A,'Scoring_Config'!$C:$C,15),0),"False,0")</f>
        <v>0</v>
      </c>
      <c r="AI30" s="4" cm="1">
        <f t="array" ref="AI30">IF(FALSE,"True," &amp; IF(_xlfn.XLOOKUP("SrcZone_IsAny",'Scoring_Config'!$A:$A,'Scoring_Config'!$D:$D,"Yes")="Yes",_xlfn.XLOOKUP("SrcZone_IsAny",'Scoring_Config'!$A:$A,'Scoring_Config'!$C:$C,5),0),"False,0")</f>
        <v>0</v>
      </c>
      <c r="AJ30" s="4" cm="1">
        <f t="array" ref="AJ30">IF(FALSE,"True," &amp; IF(_xlfn.XLOOKUP("DstZone_IsAny",'Scoring_Config'!$A:$A,'Scoring_Config'!$D:$D,"Yes")="Yes",_xlfn.XLOOKUP("DstZone_IsAny",'Scoring_Config'!$A:$A,'Scoring_Config'!$C:$C,5),0),"False,0")</f>
        <v>0</v>
      </c>
      <c r="AK30" s="4" cm="1">
        <f t="array" ref="AK3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" s="4" cm="1">
        <f t="array" ref="AL30">IF(FALSE,"True," &amp; IF(_xlfn.XLOOKUP("App_Any_OR_RangeGt1000",'Scoring_Config'!$A:$A,'Scoring_Config'!$D:$D,"Yes")="Yes",_xlfn.XLOOKUP("App_Any_OR_RangeGt1000",'Scoring_Config'!$A:$A,'Scoring_Config'!$C:$C,25),0),"False,0")</f>
        <v>0</v>
      </c>
      <c r="AM30" s="5" cm="1">
        <f t="array" ref="AM30">IF(TRUE,"True," &amp; IF(_xlfn.XLOOKUP("Service_Insecure_Match",'Scoring_Config'!$A:$A,'Scoring_Config'!$D:$D,"Yes")="Yes",_xlfn.XLOOKUP("Service_Insecure_Match",'Scoring_Config'!$A:$A,'Scoring_Config'!$C:$C,20),0),"False,0")</f>
        <v>0</v>
      </c>
      <c r="AN30" s="4" cm="1">
        <f t="array" ref="AN30">IF(FALSE,"True," &amp; IF(_xlfn.XLOOKUP("Risky_Inbound",'Scoring_Config'!$A:$A,'Scoring_Config'!$D:$D,"Yes")="Yes",_xlfn.XLOOKUP("Risky_Inbound",'Scoring_Config'!$A:$A,'Scoring_Config'!$C:$C,20),0),"False,0")</f>
        <v>0</v>
      </c>
      <c r="AO30" s="4" cm="1">
        <f t="array" ref="AO30">IF(FALSE,"True," &amp; IF(_xlfn.XLOOKUP("Risky_Outbound",'Scoring_Config'!$A:$A,'Scoring_Config'!$D:$D,"Yes")="Yes",_xlfn.XLOOKUP("Risky_Outbound",'Scoring_Config'!$A:$A,'Scoring_Config'!$C:$C,10),0),"False,0")</f>
        <v>0</v>
      </c>
      <c r="AP30" s="5" t="s">
        <v>2595</v>
      </c>
      <c r="AQ30" s="5" cm="1">
        <f t="array" ref="AQ3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" s="4" t="s">
        <v>2592</v>
      </c>
      <c r="AS30" s="5" t="s">
        <v>2595</v>
      </c>
      <c r="AT30" s="4" t="s">
        <v>2592</v>
      </c>
      <c r="AU30" s="4" cm="1">
        <f t="array" ref="AU30">IF(FALSE,"True," &amp; IF(_xlfn.XLOOKUP("Action_IsDenyOrDrop",'Scoring_Config'!$A:$A,'Scoring_Config'!$D:$D,"Yes")="Yes",_xlfn.XLOOKUP("Action_IsDenyOrDrop",'Scoring_Config'!$A:$A,'Scoring_Config'!$C:$C,0),0),"False,0")</f>
        <v>0</v>
      </c>
      <c r="AV30" s="4"/>
      <c r="AW30" s="4" cm="1">
        <f t="array" ref="AW30">IF(FALSE,"True," &amp; IF(_xlfn.XLOOKUP("Migrate_Insecure",'Scoring_Config'!$A:$A,'Scoring_Config'!$D:$D,"Yes")="Yes",_xlfn.XLOOKUP("Migrate_Insecure",'Scoring_Config'!$A:$A,'Scoring_Config'!$C:$C,15),0),"False,0")</f>
        <v>0</v>
      </c>
      <c r="AX30" s="4"/>
      <c r="AY30" s="4" cm="1">
        <f t="array" ref="AY30">IF(FALSE,"True," &amp; IF(_xlfn.XLOOKUP("Migrate_Other_Ports",'Scoring_Config'!$A:$A,'Scoring_Config'!$D:$D,"Yes")="Yes",_xlfn.XLOOKUP("Migrate_Other_Ports",'Scoring_Config'!$A:$A,'Scoring_Config'!$C:$C,5),0),"False,0")</f>
        <v>0</v>
      </c>
      <c r="AZ30" s="4" cm="1">
        <f t="array" ref="AZ30">IF(LEFT(AU30,4)="True",0,(IF(LEFT(AC30,4)="True",IF(_xlfn.XLOOKUP("Src_IsAny",'Scoring_Config'!$A:$A,'Scoring_Config'!$D:$D,"Yes")="Yes",_xlfn.XLOOKUP("Src_IsAny",'Scoring_Config'!$A:$A,'Scoring_Config'!$C:$C,25),0),0)+IF(LEFT(AD30,4)="True",IF(_xlfn.XLOOKUP("Src_CIDR_Le_16",'Scoring_Config'!$A:$A,'Scoring_Config'!$D:$D,"Yes")="Yes",_xlfn.XLOOKUP("Src_CIDR_Le_16",'Scoring_Config'!$A:$A,'Scoring_Config'!$C:$C,25),0),0)+IF(LEFT(AE30,4)="True",IF(_xlfn.XLOOKUP("Src_CIDR_17_22",'Scoring_Config'!$A:$A,'Scoring_Config'!$D:$D,"Yes")="Yes",_xlfn.XLOOKUP("Src_CIDR_17_22",'Scoring_Config'!$A:$A,'Scoring_Config'!$C:$C,15),0),0)+IF(LEFT(AF30,4)="True",IF(_xlfn.XLOOKUP("Dst_IsAny",'Scoring_Config'!$A:$A,'Scoring_Config'!$D:$D,"Yes")="Yes",_xlfn.XLOOKUP("Dst_IsAny",'Scoring_Config'!$A:$A,'Scoring_Config'!$C:$C,25),0),0)+IF(LEFT(AG30,4)="True",IF(_xlfn.XLOOKUP("Dst_CIDR_Le_16",'Scoring_Config'!$A:$A,'Scoring_Config'!$D:$D,"Yes")="Yes",_xlfn.XLOOKUP("Dst_CIDR_Le_16",'Scoring_Config'!$A:$A,'Scoring_Config'!$C:$C,25),0),0)+IF(LEFT(AH30,4)="True",IF(_xlfn.XLOOKUP("Dst_CIDR_17_22",'Scoring_Config'!$A:$A,'Scoring_Config'!$D:$D,"Yes")="Yes",_xlfn.XLOOKUP("Dst_CIDR_17_22",'Scoring_Config'!$A:$A,'Scoring_Config'!$C:$C,15),0),0)+IF(LEFT(AI30,4)="True",IF(_xlfn.XLOOKUP("SrcZone_IsAny",'Scoring_Config'!$A:$A,'Scoring_Config'!$D:$D,"Yes")="Yes",_xlfn.XLOOKUP("SrcZone_IsAny",'Scoring_Config'!$A:$A,'Scoring_Config'!$C:$C,5),0),0)+IF(LEFT(AJ30,4)="True",IF(_xlfn.XLOOKUP("DstZone_IsAny",'Scoring_Config'!$A:$A,'Scoring_Config'!$D:$D,"Yes")="Yes",_xlfn.XLOOKUP("DstZone_IsAny",'Scoring_Config'!$A:$A,'Scoring_Config'!$C:$C,5),0),0)+IF(LEFT(AK30,4)="True",IF(_xlfn.XLOOKUP("Service_Any_OR_RangeGt1000",'Scoring_Config'!$A:$A,'Scoring_Config'!$D:$D,"Yes")="Yes",_xlfn.XLOOKUP("Service_Any_OR_RangeGt1000",'Scoring_Config'!$A:$A,'Scoring_Config'!$C:$C,25),0),0)+IF(LEFT(AL30,4)="True",IF(_xlfn.XLOOKUP("App_Any_OR_RangeGt1000",'Scoring_Config'!$A:$A,'Scoring_Config'!$D:$D,"Yes")="Yes",_xlfn.XLOOKUP("App_Any_OR_RangeGt1000",'Scoring_Config'!$A:$A,'Scoring_Config'!$C:$C,25),0),0)+IF(LEFT(AM30,4)="True",IF(_xlfn.XLOOKUP("Service_Insecure_Match",'Scoring_Config'!$A:$A,'Scoring_Config'!$D:$D,"Yes")="Yes",_xlfn.XLOOKUP("Service_Insecure_Match",'Scoring_Config'!$A:$A,'Scoring_Config'!$C:$C,20),0),0)+IF(LEFT(AN30,4)="True",IF(_xlfn.XLOOKUP("Risky_Inbound",'Scoring_Config'!$A:$A,'Scoring_Config'!$D:$D,"Yes")="Yes",_xlfn.XLOOKUP("Risky_Inbound",'Scoring_Config'!$A:$A,'Scoring_Config'!$C:$C,20),0),0)+IF(LEFT(AO30,4)="True",IF(_xlfn.XLOOKUP("Risky_Outbound",'Scoring_Config'!$A:$A,'Scoring_Config'!$D:$D,"Yes")="Yes",_xlfn.XLOOKUP("Risky_Outbound",'Scoring_Config'!$A:$A,'Scoring_Config'!$C:$C,10),0),0)+IF(LEFT(AW30,4)="True",IF(_xlfn.XLOOKUP("Migrate_Insecure",'Scoring_Config'!$A:$A,'Scoring_Config'!$D:$D,"Yes")="Yes",_xlfn.XLOOKUP("Migrate_Insecure",'Scoring_Config'!$A:$A,'Scoring_Config'!$C:$C,15),0),0)+IF(LEFT(AY30,4)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,FIND(",",AP30)+1,100)),0)+IF(LEFT(AQ30,4)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,FIND(",",AR30)+1,100)),0)+IF(_xlfn.XLOOKUP("Profile_Scoring",'Scoring_Config'!$A:$A,'Scoring_Config'!$D:$D,"Yes")="Yes",VALUE(MID(AS30,FIND(",",AS30)+1,100)),0)+IF(_xlfn.XLOOKUP("Options_Scoring",'Scoring_Config'!$A:$A,'Scoring_Config'!$D:$D,"Yes")="Yes",VALUE(MID(AT30,FIND(",",AT30)+1,100)),0)))</f>
        <v>0</v>
      </c>
    </row>
    <row r="31" spans="1:52">
      <c r="A31" s="3" t="s">
        <v>52</v>
      </c>
      <c r="B31" s="3" t="s">
        <v>82</v>
      </c>
      <c r="C31" s="3" t="s">
        <v>329</v>
      </c>
      <c r="D31" s="3"/>
      <c r="E31" s="3" t="s">
        <v>359</v>
      </c>
      <c r="F31" s="3" t="s">
        <v>364</v>
      </c>
      <c r="G31" s="3" t="s">
        <v>365</v>
      </c>
      <c r="H31" s="3" t="s">
        <v>365</v>
      </c>
      <c r="I31" s="3" t="s">
        <v>624</v>
      </c>
      <c r="J31" s="3" t="s">
        <v>363</v>
      </c>
      <c r="K31" s="3" t="s">
        <v>365</v>
      </c>
      <c r="L31" s="3" t="s">
        <v>365</v>
      </c>
      <c r="M31" s="3" t="s">
        <v>770</v>
      </c>
      <c r="N31" s="3" t="s">
        <v>770</v>
      </c>
      <c r="O31" s="4" t="s">
        <v>805</v>
      </c>
      <c r="P31" s="3" t="s">
        <v>866</v>
      </c>
      <c r="Q31" s="3" t="s">
        <v>905</v>
      </c>
      <c r="R31" s="3" t="s">
        <v>910</v>
      </c>
      <c r="S31" s="3" t="s">
        <v>912</v>
      </c>
      <c r="T31" s="3" t="s">
        <v>937</v>
      </c>
      <c r="U31" s="3" t="s">
        <v>1166</v>
      </c>
      <c r="V31" s="3" t="s">
        <v>1388</v>
      </c>
      <c r="W31" s="3" t="s">
        <v>1110</v>
      </c>
      <c r="X31" s="3" t="s">
        <v>1635</v>
      </c>
      <c r="Y31" s="3" t="s">
        <v>2104</v>
      </c>
      <c r="Z31" s="3"/>
      <c r="AA31" s="3"/>
      <c r="AB31" s="3"/>
      <c r="AC31" s="5" cm="1">
        <f t="array" ref="AC31">IF(TRUE,"True," &amp; IF(_xlfn.XLOOKUP("Src_IsAny",'Scoring_Config'!$A:$A,'Scoring_Config'!$D:$D,"Yes")="Yes",_xlfn.XLOOKUP("Src_IsAny",'Scoring_Config'!$A:$A,'Scoring_Config'!$C:$C,25),0),"False,0")</f>
        <v>0</v>
      </c>
      <c r="AD31" s="4" cm="1">
        <f t="array" ref="AD31">IF(FALSE,"True," &amp; IF(_xlfn.XLOOKUP("Src_CIDR_Le_16",'Scoring_Config'!$A:$A,'Scoring_Config'!$D:$D,"Yes")="Yes",_xlfn.XLOOKUP("Src_CIDR_Le_16",'Scoring_Config'!$A:$A,'Scoring_Config'!$C:$C,25),0),"False,0")</f>
        <v>0</v>
      </c>
      <c r="AE31" s="4" cm="1">
        <f t="array" ref="AE31">IF(FALSE,"True," &amp; IF(_xlfn.XLOOKUP("Src_CIDR_17_22",'Scoring_Config'!$A:$A,'Scoring_Config'!$D:$D,"Yes")="Yes",_xlfn.XLOOKUP("Src_CIDR_17_22",'Scoring_Config'!$A:$A,'Scoring_Config'!$C:$C,15),0),"False,0")</f>
        <v>0</v>
      </c>
      <c r="AF31" s="5" cm="1">
        <f t="array" ref="AF31">IF(TRUE,"True," &amp; IF(_xlfn.XLOOKUP("Dst_IsAny",'Scoring_Config'!$A:$A,'Scoring_Config'!$D:$D,"Yes")="Yes",_xlfn.XLOOKUP("Dst_IsAny",'Scoring_Config'!$A:$A,'Scoring_Config'!$C:$C,25),0),"False,0")</f>
        <v>0</v>
      </c>
      <c r="AG31" s="4" cm="1">
        <f t="array" ref="AG31">IF(FALSE,"True," &amp; IF(_xlfn.XLOOKUP("Dst_CIDR_Le_16",'Scoring_Config'!$A:$A,'Scoring_Config'!$D:$D,"Yes")="Yes",_xlfn.XLOOKUP("Dst_CIDR_Le_16",'Scoring_Config'!$A:$A,'Scoring_Config'!$C:$C,25),0),"False,0")</f>
        <v>0</v>
      </c>
      <c r="AH31" s="4" cm="1">
        <f t="array" ref="AH31">IF(FALSE,"True," &amp; IF(_xlfn.XLOOKUP("Dst_CIDR_17_22",'Scoring_Config'!$A:$A,'Scoring_Config'!$D:$D,"Yes")="Yes",_xlfn.XLOOKUP("Dst_CIDR_17_22",'Scoring_Config'!$A:$A,'Scoring_Config'!$C:$C,15),0),"False,0")</f>
        <v>0</v>
      </c>
      <c r="AI31" s="4" cm="1">
        <f t="array" ref="AI31">IF(FALSE,"True," &amp; IF(_xlfn.XLOOKUP("SrcZone_IsAny",'Scoring_Config'!$A:$A,'Scoring_Config'!$D:$D,"Yes")="Yes",_xlfn.XLOOKUP("SrcZone_IsAny",'Scoring_Config'!$A:$A,'Scoring_Config'!$C:$C,5),0),"False,0")</f>
        <v>0</v>
      </c>
      <c r="AJ31" s="4" cm="1">
        <f t="array" ref="AJ31">IF(FALSE,"True," &amp; IF(_xlfn.XLOOKUP("DstZone_IsAny",'Scoring_Config'!$A:$A,'Scoring_Config'!$D:$D,"Yes")="Yes",_xlfn.XLOOKUP("DstZone_IsAny",'Scoring_Config'!$A:$A,'Scoring_Config'!$C:$C,5),0),"False,0")</f>
        <v>0</v>
      </c>
      <c r="AK31" s="4" cm="1">
        <f t="array" ref="AK3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" s="4" cm="1">
        <f t="array" ref="AL31">IF(FALSE,"True," &amp; IF(_xlfn.XLOOKUP("App_Any_OR_RangeGt1000",'Scoring_Config'!$A:$A,'Scoring_Config'!$D:$D,"Yes")="Yes",_xlfn.XLOOKUP("App_Any_OR_RangeGt1000",'Scoring_Config'!$A:$A,'Scoring_Config'!$C:$C,25),0),"False,0")</f>
        <v>0</v>
      </c>
      <c r="AM31" s="5" cm="1">
        <f t="array" ref="AM31">IF(TRUE,"True," &amp; IF(_xlfn.XLOOKUP("Service_Insecure_Match",'Scoring_Config'!$A:$A,'Scoring_Config'!$D:$D,"Yes")="Yes",_xlfn.XLOOKUP("Service_Insecure_Match",'Scoring_Config'!$A:$A,'Scoring_Config'!$C:$C,20),0),"False,0")</f>
        <v>0</v>
      </c>
      <c r="AN31" s="4" cm="1">
        <f t="array" ref="AN31">IF(FALSE,"True," &amp; IF(_xlfn.XLOOKUP("Risky_Inbound",'Scoring_Config'!$A:$A,'Scoring_Config'!$D:$D,"Yes")="Yes",_xlfn.XLOOKUP("Risky_Inbound",'Scoring_Config'!$A:$A,'Scoring_Config'!$C:$C,20),0),"False,0")</f>
        <v>0</v>
      </c>
      <c r="AO31" s="4" cm="1">
        <f t="array" ref="AO31">IF(FALSE,"True," &amp; IF(_xlfn.XLOOKUP("Risky_Outbound",'Scoring_Config'!$A:$A,'Scoring_Config'!$D:$D,"Yes")="Yes",_xlfn.XLOOKUP("Risky_Outbound",'Scoring_Config'!$A:$A,'Scoring_Config'!$C:$C,10),0),"False,0")</f>
        <v>0</v>
      </c>
      <c r="AP31" s="5" t="s">
        <v>2595</v>
      </c>
      <c r="AQ31" s="4" cm="1">
        <f t="array" ref="AQ3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" s="5" t="s">
        <v>2598</v>
      </c>
      <c r="AS31" s="4" t="s">
        <v>2592</v>
      </c>
      <c r="AT31" s="4" t="s">
        <v>2592</v>
      </c>
      <c r="AU31" s="4" cm="1">
        <f t="array" ref="AU31">IF(FALSE,"True," &amp; IF(_xlfn.XLOOKUP("Action_IsDenyOrDrop",'Scoring_Config'!$A:$A,'Scoring_Config'!$D:$D,"Yes")="Yes",_xlfn.XLOOKUP("Action_IsDenyOrDrop",'Scoring_Config'!$A:$A,'Scoring_Config'!$C:$C,0),0),"False,0")</f>
        <v>0</v>
      </c>
      <c r="AV31" s="4"/>
      <c r="AW31" s="4" cm="1">
        <f t="array" ref="AW31">IF(FALSE,"True," &amp; IF(_xlfn.XLOOKUP("Migrate_Insecure",'Scoring_Config'!$A:$A,'Scoring_Config'!$D:$D,"Yes")="Yes",_xlfn.XLOOKUP("Migrate_Insecure",'Scoring_Config'!$A:$A,'Scoring_Config'!$C:$C,15),0),"False,0")</f>
        <v>0</v>
      </c>
      <c r="AX31" s="4"/>
      <c r="AY31" s="4" cm="1">
        <f t="array" ref="AY31">IF(FALSE,"True," &amp; IF(_xlfn.XLOOKUP("Migrate_Other_Ports",'Scoring_Config'!$A:$A,'Scoring_Config'!$D:$D,"Yes")="Yes",_xlfn.XLOOKUP("Migrate_Other_Ports",'Scoring_Config'!$A:$A,'Scoring_Config'!$C:$C,5),0),"False,0")</f>
        <v>0</v>
      </c>
      <c r="AZ31" s="4" cm="1">
        <f t="array" ref="AZ31">IF(LEFT(AU31,4)="True",0,(IF(LEFT(AC31,4)="True",IF(_xlfn.XLOOKUP("Src_IsAny",'Scoring_Config'!$A:$A,'Scoring_Config'!$D:$D,"Yes")="Yes",_xlfn.XLOOKUP("Src_IsAny",'Scoring_Config'!$A:$A,'Scoring_Config'!$C:$C,25),0),0)+IF(LEFT(AD31,4)="True",IF(_xlfn.XLOOKUP("Src_CIDR_Le_16",'Scoring_Config'!$A:$A,'Scoring_Config'!$D:$D,"Yes")="Yes",_xlfn.XLOOKUP("Src_CIDR_Le_16",'Scoring_Config'!$A:$A,'Scoring_Config'!$C:$C,25),0),0)+IF(LEFT(AE31,4)="True",IF(_xlfn.XLOOKUP("Src_CIDR_17_22",'Scoring_Config'!$A:$A,'Scoring_Config'!$D:$D,"Yes")="Yes",_xlfn.XLOOKUP("Src_CIDR_17_22",'Scoring_Config'!$A:$A,'Scoring_Config'!$C:$C,15),0),0)+IF(LEFT(AF31,4)="True",IF(_xlfn.XLOOKUP("Dst_IsAny",'Scoring_Config'!$A:$A,'Scoring_Config'!$D:$D,"Yes")="Yes",_xlfn.XLOOKUP("Dst_IsAny",'Scoring_Config'!$A:$A,'Scoring_Config'!$C:$C,25),0),0)+IF(LEFT(AG31,4)="True",IF(_xlfn.XLOOKUP("Dst_CIDR_Le_16",'Scoring_Config'!$A:$A,'Scoring_Config'!$D:$D,"Yes")="Yes",_xlfn.XLOOKUP("Dst_CIDR_Le_16",'Scoring_Config'!$A:$A,'Scoring_Config'!$C:$C,25),0),0)+IF(LEFT(AH31,4)="True",IF(_xlfn.XLOOKUP("Dst_CIDR_17_22",'Scoring_Config'!$A:$A,'Scoring_Config'!$D:$D,"Yes")="Yes",_xlfn.XLOOKUP("Dst_CIDR_17_22",'Scoring_Config'!$A:$A,'Scoring_Config'!$C:$C,15),0),0)+IF(LEFT(AI31,4)="True",IF(_xlfn.XLOOKUP("SrcZone_IsAny",'Scoring_Config'!$A:$A,'Scoring_Config'!$D:$D,"Yes")="Yes",_xlfn.XLOOKUP("SrcZone_IsAny",'Scoring_Config'!$A:$A,'Scoring_Config'!$C:$C,5),0),0)+IF(LEFT(AJ31,4)="True",IF(_xlfn.XLOOKUP("DstZone_IsAny",'Scoring_Config'!$A:$A,'Scoring_Config'!$D:$D,"Yes")="Yes",_xlfn.XLOOKUP("DstZone_IsAny",'Scoring_Config'!$A:$A,'Scoring_Config'!$C:$C,5),0),0)+IF(LEFT(AK31,4)="True",IF(_xlfn.XLOOKUP("Service_Any_OR_RangeGt1000",'Scoring_Config'!$A:$A,'Scoring_Config'!$D:$D,"Yes")="Yes",_xlfn.XLOOKUP("Service_Any_OR_RangeGt1000",'Scoring_Config'!$A:$A,'Scoring_Config'!$C:$C,25),0),0)+IF(LEFT(AL31,4)="True",IF(_xlfn.XLOOKUP("App_Any_OR_RangeGt1000",'Scoring_Config'!$A:$A,'Scoring_Config'!$D:$D,"Yes")="Yes",_xlfn.XLOOKUP("App_Any_OR_RangeGt1000",'Scoring_Config'!$A:$A,'Scoring_Config'!$C:$C,25),0),0)+IF(LEFT(AM31,4)="True",IF(_xlfn.XLOOKUP("Service_Insecure_Match",'Scoring_Config'!$A:$A,'Scoring_Config'!$D:$D,"Yes")="Yes",_xlfn.XLOOKUP("Service_Insecure_Match",'Scoring_Config'!$A:$A,'Scoring_Config'!$C:$C,20),0),0)+IF(LEFT(AN31,4)="True",IF(_xlfn.XLOOKUP("Risky_Inbound",'Scoring_Config'!$A:$A,'Scoring_Config'!$D:$D,"Yes")="Yes",_xlfn.XLOOKUP("Risky_Inbound",'Scoring_Config'!$A:$A,'Scoring_Config'!$C:$C,20),0),0)+IF(LEFT(AO31,4)="True",IF(_xlfn.XLOOKUP("Risky_Outbound",'Scoring_Config'!$A:$A,'Scoring_Config'!$D:$D,"Yes")="Yes",_xlfn.XLOOKUP("Risky_Outbound",'Scoring_Config'!$A:$A,'Scoring_Config'!$C:$C,10),0),0)+IF(LEFT(AW31,4)="True",IF(_xlfn.XLOOKUP("Migrate_Insecure",'Scoring_Config'!$A:$A,'Scoring_Config'!$D:$D,"Yes")="Yes",_xlfn.XLOOKUP("Migrate_Insecure",'Scoring_Config'!$A:$A,'Scoring_Config'!$C:$C,15),0),0)+IF(LEFT(AY31,4)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,FIND(",",AP31)+1,100)),0)+IF(LEFT(AQ31,4)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,FIND(",",AR31)+1,100)),0)+IF(_xlfn.XLOOKUP("Profile_Scoring",'Scoring_Config'!$A:$A,'Scoring_Config'!$D:$D,"Yes")="Yes",VALUE(MID(AS31,FIND(",",AS31)+1,100)),0)+IF(_xlfn.XLOOKUP("Options_Scoring",'Scoring_Config'!$A:$A,'Scoring_Config'!$D:$D,"Yes")="Yes",VALUE(MID(AT31,FIND(",",AT31)+1,100)),0)))</f>
        <v>0</v>
      </c>
    </row>
    <row r="32" spans="1:52">
      <c r="A32" s="3" t="s">
        <v>52</v>
      </c>
      <c r="B32" s="3" t="s">
        <v>83</v>
      </c>
      <c r="C32" s="3" t="s">
        <v>329</v>
      </c>
      <c r="D32" s="3"/>
      <c r="E32" s="3" t="s">
        <v>359</v>
      </c>
      <c r="F32" s="3" t="s">
        <v>364</v>
      </c>
      <c r="G32" s="3" t="s">
        <v>365</v>
      </c>
      <c r="H32" s="3" t="s">
        <v>365</v>
      </c>
      <c r="I32" s="3" t="s">
        <v>625</v>
      </c>
      <c r="J32" s="3" t="s">
        <v>364</v>
      </c>
      <c r="K32" s="3" t="s">
        <v>492</v>
      </c>
      <c r="L32" s="3" t="s">
        <v>492</v>
      </c>
      <c r="M32" s="3" t="s">
        <v>774</v>
      </c>
      <c r="N32" s="3" t="s">
        <v>795</v>
      </c>
      <c r="O32" s="4" t="s">
        <v>816</v>
      </c>
      <c r="P32" s="3" t="s">
        <v>877</v>
      </c>
      <c r="Q32" s="3" t="s">
        <v>905</v>
      </c>
      <c r="R32" s="3" t="s">
        <v>910</v>
      </c>
      <c r="S32" s="3" t="s">
        <v>913</v>
      </c>
      <c r="T32" s="3" t="s">
        <v>938</v>
      </c>
      <c r="U32" s="3" t="s">
        <v>1167</v>
      </c>
      <c r="V32" s="3" t="s">
        <v>770</v>
      </c>
      <c r="W32" s="3" t="s">
        <v>1414</v>
      </c>
      <c r="X32" s="3" t="s">
        <v>1636</v>
      </c>
      <c r="Y32" s="3" t="s">
        <v>2105</v>
      </c>
      <c r="Z32" s="3"/>
      <c r="AA32" s="3"/>
      <c r="AB32" s="3"/>
      <c r="AC32" s="5" cm="1">
        <f t="array" ref="AC32">IF(TRUE,"True," &amp; IF(_xlfn.XLOOKUP("Src_IsAny",'Scoring_Config'!$A:$A,'Scoring_Config'!$D:$D,"Yes")="Yes",_xlfn.XLOOKUP("Src_IsAny",'Scoring_Config'!$A:$A,'Scoring_Config'!$C:$C,25),0),"False,0")</f>
        <v>0</v>
      </c>
      <c r="AD32" s="4" cm="1">
        <f t="array" ref="AD32">IF(FALSE,"True," &amp; IF(_xlfn.XLOOKUP("Src_CIDR_Le_16",'Scoring_Config'!$A:$A,'Scoring_Config'!$D:$D,"Yes")="Yes",_xlfn.XLOOKUP("Src_CIDR_Le_16",'Scoring_Config'!$A:$A,'Scoring_Config'!$C:$C,25),0),"False,0")</f>
        <v>0</v>
      </c>
      <c r="AE32" s="4" cm="1">
        <f t="array" ref="AE32">IF(FALSE,"True," &amp; IF(_xlfn.XLOOKUP("Src_CIDR_17_22",'Scoring_Config'!$A:$A,'Scoring_Config'!$D:$D,"Yes")="Yes",_xlfn.XLOOKUP("Src_CIDR_17_22",'Scoring_Config'!$A:$A,'Scoring_Config'!$C:$C,15),0),"False,0")</f>
        <v>0</v>
      </c>
      <c r="AF32" s="4" cm="1">
        <f t="array" ref="AF32">IF(FALSE,"True," &amp; IF(_xlfn.XLOOKUP("Dst_IsAny",'Scoring_Config'!$A:$A,'Scoring_Config'!$D:$D,"Yes")="Yes",_xlfn.XLOOKUP("Dst_IsAny",'Scoring_Config'!$A:$A,'Scoring_Config'!$C:$C,25),0),"False,0")</f>
        <v>0</v>
      </c>
      <c r="AG32" s="4" cm="1">
        <f t="array" ref="AG32">IF(FALSE,"True," &amp; IF(_xlfn.XLOOKUP("Dst_CIDR_Le_16",'Scoring_Config'!$A:$A,'Scoring_Config'!$D:$D,"Yes")="Yes",_xlfn.XLOOKUP("Dst_CIDR_Le_16",'Scoring_Config'!$A:$A,'Scoring_Config'!$C:$C,25),0),"False,0")</f>
        <v>0</v>
      </c>
      <c r="AH32" s="4" cm="1">
        <f t="array" ref="AH32">IF(FALSE,"True," &amp; IF(_xlfn.XLOOKUP("Dst_CIDR_17_22",'Scoring_Config'!$A:$A,'Scoring_Config'!$D:$D,"Yes")="Yes",_xlfn.XLOOKUP("Dst_CIDR_17_22",'Scoring_Config'!$A:$A,'Scoring_Config'!$C:$C,15),0),"False,0")</f>
        <v>0</v>
      </c>
      <c r="AI32" s="4" cm="1">
        <f t="array" ref="AI32">IF(FALSE,"True," &amp; IF(_xlfn.XLOOKUP("SrcZone_IsAny",'Scoring_Config'!$A:$A,'Scoring_Config'!$D:$D,"Yes")="Yes",_xlfn.XLOOKUP("SrcZone_IsAny",'Scoring_Config'!$A:$A,'Scoring_Config'!$C:$C,5),0),"False,0")</f>
        <v>0</v>
      </c>
      <c r="AJ32" s="4" cm="1">
        <f t="array" ref="AJ32">IF(FALSE,"True," &amp; IF(_xlfn.XLOOKUP("DstZone_IsAny",'Scoring_Config'!$A:$A,'Scoring_Config'!$D:$D,"Yes")="Yes",_xlfn.XLOOKUP("DstZone_IsAny",'Scoring_Config'!$A:$A,'Scoring_Config'!$C:$C,5),0),"False,0")</f>
        <v>0</v>
      </c>
      <c r="AK32" s="4" cm="1">
        <f t="array" ref="AK3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" s="4" cm="1">
        <f t="array" ref="AL32">IF(FALSE,"True," &amp; IF(_xlfn.XLOOKUP("App_Any_OR_RangeGt1000",'Scoring_Config'!$A:$A,'Scoring_Config'!$D:$D,"Yes")="Yes",_xlfn.XLOOKUP("App_Any_OR_RangeGt1000",'Scoring_Config'!$A:$A,'Scoring_Config'!$C:$C,25),0),"False,0")</f>
        <v>0</v>
      </c>
      <c r="AM32" s="5" cm="1">
        <f t="array" ref="AM32">IF(TRUE,"True," &amp; IF(_xlfn.XLOOKUP("Service_Insecure_Match",'Scoring_Config'!$A:$A,'Scoring_Config'!$D:$D,"Yes")="Yes",_xlfn.XLOOKUP("Service_Insecure_Match",'Scoring_Config'!$A:$A,'Scoring_Config'!$C:$C,20),0),"False,0")</f>
        <v>0</v>
      </c>
      <c r="AN32" s="4" cm="1">
        <f t="array" ref="AN32">IF(FALSE,"True," &amp; IF(_xlfn.XLOOKUP("Risky_Inbound",'Scoring_Config'!$A:$A,'Scoring_Config'!$D:$D,"Yes")="Yes",_xlfn.XLOOKUP("Risky_Inbound",'Scoring_Config'!$A:$A,'Scoring_Config'!$C:$C,20),0),"False,0")</f>
        <v>0</v>
      </c>
      <c r="AO32" s="4" cm="1">
        <f t="array" ref="AO32">IF(FALSE,"True," &amp; IF(_xlfn.XLOOKUP("Risky_Outbound",'Scoring_Config'!$A:$A,'Scoring_Config'!$D:$D,"Yes")="Yes",_xlfn.XLOOKUP("Risky_Outbound",'Scoring_Config'!$A:$A,'Scoring_Config'!$C:$C,10),0),"False,0")</f>
        <v>0</v>
      </c>
      <c r="AP32" s="5" t="s">
        <v>2595</v>
      </c>
      <c r="AQ32" s="4" cm="1">
        <f t="array" ref="AQ3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" s="5" t="s">
        <v>2598</v>
      </c>
      <c r="AS32" s="4" t="s">
        <v>2592</v>
      </c>
      <c r="AT32" s="4" t="s">
        <v>2592</v>
      </c>
      <c r="AU32" s="4" cm="1">
        <f t="array" ref="AU32">IF(FALSE,"True," &amp; IF(_xlfn.XLOOKUP("Action_IsDenyOrDrop",'Scoring_Config'!$A:$A,'Scoring_Config'!$D:$D,"Yes")="Yes",_xlfn.XLOOKUP("Action_IsDenyOrDrop",'Scoring_Config'!$A:$A,'Scoring_Config'!$C:$C,0),0),"False,0")</f>
        <v>0</v>
      </c>
      <c r="AV32" s="4"/>
      <c r="AW32" s="4" cm="1">
        <f t="array" ref="AW32">IF(FALSE,"True," &amp; IF(_xlfn.XLOOKUP("Migrate_Insecure",'Scoring_Config'!$A:$A,'Scoring_Config'!$D:$D,"Yes")="Yes",_xlfn.XLOOKUP("Migrate_Insecure",'Scoring_Config'!$A:$A,'Scoring_Config'!$C:$C,15),0),"False,0")</f>
        <v>0</v>
      </c>
      <c r="AX32" s="4"/>
      <c r="AY32" s="4" cm="1">
        <f t="array" ref="AY32">IF(FALSE,"True," &amp; IF(_xlfn.XLOOKUP("Migrate_Other_Ports",'Scoring_Config'!$A:$A,'Scoring_Config'!$D:$D,"Yes")="Yes",_xlfn.XLOOKUP("Migrate_Other_Ports",'Scoring_Config'!$A:$A,'Scoring_Config'!$C:$C,5),0),"False,0")</f>
        <v>0</v>
      </c>
      <c r="AZ32" s="4" cm="1">
        <f t="array" ref="AZ32">IF(LEFT(AU32,4)="True",0,(IF(LEFT(AC32,4)="True",IF(_xlfn.XLOOKUP("Src_IsAny",'Scoring_Config'!$A:$A,'Scoring_Config'!$D:$D,"Yes")="Yes",_xlfn.XLOOKUP("Src_IsAny",'Scoring_Config'!$A:$A,'Scoring_Config'!$C:$C,25),0),0)+IF(LEFT(AD32,4)="True",IF(_xlfn.XLOOKUP("Src_CIDR_Le_16",'Scoring_Config'!$A:$A,'Scoring_Config'!$D:$D,"Yes")="Yes",_xlfn.XLOOKUP("Src_CIDR_Le_16",'Scoring_Config'!$A:$A,'Scoring_Config'!$C:$C,25),0),0)+IF(LEFT(AE32,4)="True",IF(_xlfn.XLOOKUP("Src_CIDR_17_22",'Scoring_Config'!$A:$A,'Scoring_Config'!$D:$D,"Yes")="Yes",_xlfn.XLOOKUP("Src_CIDR_17_22",'Scoring_Config'!$A:$A,'Scoring_Config'!$C:$C,15),0),0)+IF(LEFT(AF32,4)="True",IF(_xlfn.XLOOKUP("Dst_IsAny",'Scoring_Config'!$A:$A,'Scoring_Config'!$D:$D,"Yes")="Yes",_xlfn.XLOOKUP("Dst_IsAny",'Scoring_Config'!$A:$A,'Scoring_Config'!$C:$C,25),0),0)+IF(LEFT(AG32,4)="True",IF(_xlfn.XLOOKUP("Dst_CIDR_Le_16",'Scoring_Config'!$A:$A,'Scoring_Config'!$D:$D,"Yes")="Yes",_xlfn.XLOOKUP("Dst_CIDR_Le_16",'Scoring_Config'!$A:$A,'Scoring_Config'!$C:$C,25),0),0)+IF(LEFT(AH32,4)="True",IF(_xlfn.XLOOKUP("Dst_CIDR_17_22",'Scoring_Config'!$A:$A,'Scoring_Config'!$D:$D,"Yes")="Yes",_xlfn.XLOOKUP("Dst_CIDR_17_22",'Scoring_Config'!$A:$A,'Scoring_Config'!$C:$C,15),0),0)+IF(LEFT(AI32,4)="True",IF(_xlfn.XLOOKUP("SrcZone_IsAny",'Scoring_Config'!$A:$A,'Scoring_Config'!$D:$D,"Yes")="Yes",_xlfn.XLOOKUP("SrcZone_IsAny",'Scoring_Config'!$A:$A,'Scoring_Config'!$C:$C,5),0),0)+IF(LEFT(AJ32,4)="True",IF(_xlfn.XLOOKUP("DstZone_IsAny",'Scoring_Config'!$A:$A,'Scoring_Config'!$D:$D,"Yes")="Yes",_xlfn.XLOOKUP("DstZone_IsAny",'Scoring_Config'!$A:$A,'Scoring_Config'!$C:$C,5),0),0)+IF(LEFT(AK32,4)="True",IF(_xlfn.XLOOKUP("Service_Any_OR_RangeGt1000",'Scoring_Config'!$A:$A,'Scoring_Config'!$D:$D,"Yes")="Yes",_xlfn.XLOOKUP("Service_Any_OR_RangeGt1000",'Scoring_Config'!$A:$A,'Scoring_Config'!$C:$C,25),0),0)+IF(LEFT(AL32,4)="True",IF(_xlfn.XLOOKUP("App_Any_OR_RangeGt1000",'Scoring_Config'!$A:$A,'Scoring_Config'!$D:$D,"Yes")="Yes",_xlfn.XLOOKUP("App_Any_OR_RangeGt1000",'Scoring_Config'!$A:$A,'Scoring_Config'!$C:$C,25),0),0)+IF(LEFT(AM32,4)="True",IF(_xlfn.XLOOKUP("Service_Insecure_Match",'Scoring_Config'!$A:$A,'Scoring_Config'!$D:$D,"Yes")="Yes",_xlfn.XLOOKUP("Service_Insecure_Match",'Scoring_Config'!$A:$A,'Scoring_Config'!$C:$C,20),0),0)+IF(LEFT(AN32,4)="True",IF(_xlfn.XLOOKUP("Risky_Inbound",'Scoring_Config'!$A:$A,'Scoring_Config'!$D:$D,"Yes")="Yes",_xlfn.XLOOKUP("Risky_Inbound",'Scoring_Config'!$A:$A,'Scoring_Config'!$C:$C,20),0),0)+IF(LEFT(AO32,4)="True",IF(_xlfn.XLOOKUP("Risky_Outbound",'Scoring_Config'!$A:$A,'Scoring_Config'!$D:$D,"Yes")="Yes",_xlfn.XLOOKUP("Risky_Outbound",'Scoring_Config'!$A:$A,'Scoring_Config'!$C:$C,10),0),0)+IF(LEFT(AW32,4)="True",IF(_xlfn.XLOOKUP("Migrate_Insecure",'Scoring_Config'!$A:$A,'Scoring_Config'!$D:$D,"Yes")="Yes",_xlfn.XLOOKUP("Migrate_Insecure",'Scoring_Config'!$A:$A,'Scoring_Config'!$C:$C,15),0),0)+IF(LEFT(AY32,4)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,FIND(",",AP32)+1,100)),0)+IF(LEFT(AQ32,4)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,FIND(",",AR32)+1,100)),0)+IF(_xlfn.XLOOKUP("Profile_Scoring",'Scoring_Config'!$A:$A,'Scoring_Config'!$D:$D,"Yes")="Yes",VALUE(MID(AS32,FIND(",",AS32)+1,100)),0)+IF(_xlfn.XLOOKUP("Options_Scoring",'Scoring_Config'!$A:$A,'Scoring_Config'!$D:$D,"Yes")="Yes",VALUE(MID(AT32,FIND(",",AT32)+1,100)),0)))</f>
        <v>0</v>
      </c>
    </row>
    <row r="33" spans="1:52">
      <c r="A33" s="3" t="s">
        <v>52</v>
      </c>
      <c r="B33" s="3" t="s">
        <v>84</v>
      </c>
      <c r="C33" s="3" t="s">
        <v>329</v>
      </c>
      <c r="D33" s="3"/>
      <c r="E33" s="3" t="s">
        <v>359</v>
      </c>
      <c r="F33" s="3" t="s">
        <v>362</v>
      </c>
      <c r="G33" s="3" t="s">
        <v>365</v>
      </c>
      <c r="H33" s="3" t="s">
        <v>365</v>
      </c>
      <c r="I33" s="3" t="s">
        <v>365</v>
      </c>
      <c r="J33" s="3" t="s">
        <v>360</v>
      </c>
      <c r="K33" s="3" t="s">
        <v>383</v>
      </c>
      <c r="L33" s="3" t="s">
        <v>548</v>
      </c>
      <c r="M33" s="3" t="s">
        <v>774</v>
      </c>
      <c r="N33" s="3" t="s">
        <v>795</v>
      </c>
      <c r="O33" s="4" t="s">
        <v>820</v>
      </c>
      <c r="P33" s="3" t="s">
        <v>881</v>
      </c>
      <c r="Q33" s="3" t="s">
        <v>905</v>
      </c>
      <c r="R33" s="3" t="s">
        <v>910</v>
      </c>
      <c r="S33" s="3" t="s">
        <v>913</v>
      </c>
      <c r="T33" s="3" t="s">
        <v>939</v>
      </c>
      <c r="U33" s="3" t="s">
        <v>1168</v>
      </c>
      <c r="V33" s="3" t="s">
        <v>1387</v>
      </c>
      <c r="W33" s="3" t="s">
        <v>919</v>
      </c>
      <c r="X33" s="3" t="s">
        <v>1637</v>
      </c>
      <c r="Y33" s="3" t="s">
        <v>2106</v>
      </c>
      <c r="Z33" s="3"/>
      <c r="AA33" s="3"/>
      <c r="AB33" s="3"/>
      <c r="AC33" s="5" cm="1">
        <f t="array" ref="AC33">IF(TRUE,"True," &amp; IF(_xlfn.XLOOKUP("Src_IsAny",'Scoring_Config'!$A:$A,'Scoring_Config'!$D:$D,"Yes")="Yes",_xlfn.XLOOKUP("Src_IsAny",'Scoring_Config'!$A:$A,'Scoring_Config'!$C:$C,25),0),"False,0")</f>
        <v>0</v>
      </c>
      <c r="AD33" s="4" cm="1">
        <f t="array" ref="AD33">IF(FALSE,"True," &amp; IF(_xlfn.XLOOKUP("Src_CIDR_Le_16",'Scoring_Config'!$A:$A,'Scoring_Config'!$D:$D,"Yes")="Yes",_xlfn.XLOOKUP("Src_CIDR_Le_16",'Scoring_Config'!$A:$A,'Scoring_Config'!$C:$C,25),0),"False,0")</f>
        <v>0</v>
      </c>
      <c r="AE33" s="4" cm="1">
        <f t="array" ref="AE33">IF(FALSE,"True," &amp; IF(_xlfn.XLOOKUP("Src_CIDR_17_22",'Scoring_Config'!$A:$A,'Scoring_Config'!$D:$D,"Yes")="Yes",_xlfn.XLOOKUP("Src_CIDR_17_22",'Scoring_Config'!$A:$A,'Scoring_Config'!$C:$C,15),0),"False,0")</f>
        <v>0</v>
      </c>
      <c r="AF33" s="4" cm="1">
        <f t="array" ref="AF33">IF(FALSE,"True," &amp; IF(_xlfn.XLOOKUP("Dst_IsAny",'Scoring_Config'!$A:$A,'Scoring_Config'!$D:$D,"Yes")="Yes",_xlfn.XLOOKUP("Dst_IsAny",'Scoring_Config'!$A:$A,'Scoring_Config'!$C:$C,25),0),"False,0")</f>
        <v>0</v>
      </c>
      <c r="AG33" s="4" cm="1">
        <f t="array" ref="AG33">IF(FALSE,"True," &amp; IF(_xlfn.XLOOKUP("Dst_CIDR_Le_16",'Scoring_Config'!$A:$A,'Scoring_Config'!$D:$D,"Yes")="Yes",_xlfn.XLOOKUP("Dst_CIDR_Le_16",'Scoring_Config'!$A:$A,'Scoring_Config'!$C:$C,25),0),"False,0")</f>
        <v>0</v>
      </c>
      <c r="AH33" s="4" cm="1">
        <f t="array" ref="AH33">IF(FALSE,"True," &amp; IF(_xlfn.XLOOKUP("Dst_CIDR_17_22",'Scoring_Config'!$A:$A,'Scoring_Config'!$D:$D,"Yes")="Yes",_xlfn.XLOOKUP("Dst_CIDR_17_22",'Scoring_Config'!$A:$A,'Scoring_Config'!$C:$C,15),0),"False,0")</f>
        <v>0</v>
      </c>
      <c r="AI33" s="4" cm="1">
        <f t="array" ref="AI33">IF(FALSE,"True," &amp; IF(_xlfn.XLOOKUP("SrcZone_IsAny",'Scoring_Config'!$A:$A,'Scoring_Config'!$D:$D,"Yes")="Yes",_xlfn.XLOOKUP("SrcZone_IsAny",'Scoring_Config'!$A:$A,'Scoring_Config'!$C:$C,5),0),"False,0")</f>
        <v>0</v>
      </c>
      <c r="AJ33" s="4" cm="1">
        <f t="array" ref="AJ33">IF(FALSE,"True," &amp; IF(_xlfn.XLOOKUP("DstZone_IsAny",'Scoring_Config'!$A:$A,'Scoring_Config'!$D:$D,"Yes")="Yes",_xlfn.XLOOKUP("DstZone_IsAny",'Scoring_Config'!$A:$A,'Scoring_Config'!$C:$C,5),0),"False,0")</f>
        <v>0</v>
      </c>
      <c r="AK33" s="4" cm="1">
        <f t="array" ref="AK3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" s="4" cm="1">
        <f t="array" ref="AL33">IF(FALSE,"True," &amp; IF(_xlfn.XLOOKUP("App_Any_OR_RangeGt1000",'Scoring_Config'!$A:$A,'Scoring_Config'!$D:$D,"Yes")="Yes",_xlfn.XLOOKUP("App_Any_OR_RangeGt1000",'Scoring_Config'!$A:$A,'Scoring_Config'!$C:$C,25),0),"False,0")</f>
        <v>0</v>
      </c>
      <c r="AM33" s="5" cm="1">
        <f t="array" ref="AM33">IF(TRUE,"True," &amp; IF(_xlfn.XLOOKUP("Service_Insecure_Match",'Scoring_Config'!$A:$A,'Scoring_Config'!$D:$D,"Yes")="Yes",_xlfn.XLOOKUP("Service_Insecure_Match",'Scoring_Config'!$A:$A,'Scoring_Config'!$C:$C,20),0),"False,0")</f>
        <v>0</v>
      </c>
      <c r="AN33" s="4" cm="1">
        <f t="array" ref="AN33">IF(FALSE,"True," &amp; IF(_xlfn.XLOOKUP("Risky_Inbound",'Scoring_Config'!$A:$A,'Scoring_Config'!$D:$D,"Yes")="Yes",_xlfn.XLOOKUP("Risky_Inbound",'Scoring_Config'!$A:$A,'Scoring_Config'!$C:$C,20),0),"False,0")</f>
        <v>0</v>
      </c>
      <c r="AO33" s="4" cm="1">
        <f t="array" ref="AO33">IF(FALSE,"True," &amp; IF(_xlfn.XLOOKUP("Risky_Outbound",'Scoring_Config'!$A:$A,'Scoring_Config'!$D:$D,"Yes")="Yes",_xlfn.XLOOKUP("Risky_Outbound",'Scoring_Config'!$A:$A,'Scoring_Config'!$C:$C,10),0),"False,0")</f>
        <v>0</v>
      </c>
      <c r="AP33" s="5" t="s">
        <v>2595</v>
      </c>
      <c r="AQ33" s="4" cm="1">
        <f t="array" ref="AQ3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" s="4" t="s">
        <v>2592</v>
      </c>
      <c r="AS33" s="4" t="s">
        <v>2592</v>
      </c>
      <c r="AT33" s="4" t="s">
        <v>2592</v>
      </c>
      <c r="AU33" s="4" cm="1">
        <f t="array" ref="AU33">IF(FALSE,"True," &amp; IF(_xlfn.XLOOKUP("Action_IsDenyOrDrop",'Scoring_Config'!$A:$A,'Scoring_Config'!$D:$D,"Yes")="Yes",_xlfn.XLOOKUP("Action_IsDenyOrDrop",'Scoring_Config'!$A:$A,'Scoring_Config'!$C:$C,0),0),"False,0")</f>
        <v>0</v>
      </c>
      <c r="AV33" s="4"/>
      <c r="AW33" s="4" cm="1">
        <f t="array" ref="AW33">IF(FALSE,"True," &amp; IF(_xlfn.XLOOKUP("Migrate_Insecure",'Scoring_Config'!$A:$A,'Scoring_Config'!$D:$D,"Yes")="Yes",_xlfn.XLOOKUP("Migrate_Insecure",'Scoring_Config'!$A:$A,'Scoring_Config'!$C:$C,15),0),"False,0")</f>
        <v>0</v>
      </c>
      <c r="AX33" s="4"/>
      <c r="AY33" s="4" cm="1">
        <f t="array" ref="AY33">IF(FALSE,"True," &amp; IF(_xlfn.XLOOKUP("Migrate_Other_Ports",'Scoring_Config'!$A:$A,'Scoring_Config'!$D:$D,"Yes")="Yes",_xlfn.XLOOKUP("Migrate_Other_Ports",'Scoring_Config'!$A:$A,'Scoring_Config'!$C:$C,5),0),"False,0")</f>
        <v>0</v>
      </c>
      <c r="AZ33" s="4" cm="1">
        <f t="array" ref="AZ33">IF(LEFT(AU33,4)="True",0,(IF(LEFT(AC33,4)="True",IF(_xlfn.XLOOKUP("Src_IsAny",'Scoring_Config'!$A:$A,'Scoring_Config'!$D:$D,"Yes")="Yes",_xlfn.XLOOKUP("Src_IsAny",'Scoring_Config'!$A:$A,'Scoring_Config'!$C:$C,25),0),0)+IF(LEFT(AD33,4)="True",IF(_xlfn.XLOOKUP("Src_CIDR_Le_16",'Scoring_Config'!$A:$A,'Scoring_Config'!$D:$D,"Yes")="Yes",_xlfn.XLOOKUP("Src_CIDR_Le_16",'Scoring_Config'!$A:$A,'Scoring_Config'!$C:$C,25),0),0)+IF(LEFT(AE33,4)="True",IF(_xlfn.XLOOKUP("Src_CIDR_17_22",'Scoring_Config'!$A:$A,'Scoring_Config'!$D:$D,"Yes")="Yes",_xlfn.XLOOKUP("Src_CIDR_17_22",'Scoring_Config'!$A:$A,'Scoring_Config'!$C:$C,15),0),0)+IF(LEFT(AF33,4)="True",IF(_xlfn.XLOOKUP("Dst_IsAny",'Scoring_Config'!$A:$A,'Scoring_Config'!$D:$D,"Yes")="Yes",_xlfn.XLOOKUP("Dst_IsAny",'Scoring_Config'!$A:$A,'Scoring_Config'!$C:$C,25),0),0)+IF(LEFT(AG33,4)="True",IF(_xlfn.XLOOKUP("Dst_CIDR_Le_16",'Scoring_Config'!$A:$A,'Scoring_Config'!$D:$D,"Yes")="Yes",_xlfn.XLOOKUP("Dst_CIDR_Le_16",'Scoring_Config'!$A:$A,'Scoring_Config'!$C:$C,25),0),0)+IF(LEFT(AH33,4)="True",IF(_xlfn.XLOOKUP("Dst_CIDR_17_22",'Scoring_Config'!$A:$A,'Scoring_Config'!$D:$D,"Yes")="Yes",_xlfn.XLOOKUP("Dst_CIDR_17_22",'Scoring_Config'!$A:$A,'Scoring_Config'!$C:$C,15),0),0)+IF(LEFT(AI33,4)="True",IF(_xlfn.XLOOKUP("SrcZone_IsAny",'Scoring_Config'!$A:$A,'Scoring_Config'!$D:$D,"Yes")="Yes",_xlfn.XLOOKUP("SrcZone_IsAny",'Scoring_Config'!$A:$A,'Scoring_Config'!$C:$C,5),0),0)+IF(LEFT(AJ33,4)="True",IF(_xlfn.XLOOKUP("DstZone_IsAny",'Scoring_Config'!$A:$A,'Scoring_Config'!$D:$D,"Yes")="Yes",_xlfn.XLOOKUP("DstZone_IsAny",'Scoring_Config'!$A:$A,'Scoring_Config'!$C:$C,5),0),0)+IF(LEFT(AK33,4)="True",IF(_xlfn.XLOOKUP("Service_Any_OR_RangeGt1000",'Scoring_Config'!$A:$A,'Scoring_Config'!$D:$D,"Yes")="Yes",_xlfn.XLOOKUP("Service_Any_OR_RangeGt1000",'Scoring_Config'!$A:$A,'Scoring_Config'!$C:$C,25),0),0)+IF(LEFT(AL33,4)="True",IF(_xlfn.XLOOKUP("App_Any_OR_RangeGt1000",'Scoring_Config'!$A:$A,'Scoring_Config'!$D:$D,"Yes")="Yes",_xlfn.XLOOKUP("App_Any_OR_RangeGt1000",'Scoring_Config'!$A:$A,'Scoring_Config'!$C:$C,25),0),0)+IF(LEFT(AM33,4)="True",IF(_xlfn.XLOOKUP("Service_Insecure_Match",'Scoring_Config'!$A:$A,'Scoring_Config'!$D:$D,"Yes")="Yes",_xlfn.XLOOKUP("Service_Insecure_Match",'Scoring_Config'!$A:$A,'Scoring_Config'!$C:$C,20),0),0)+IF(LEFT(AN33,4)="True",IF(_xlfn.XLOOKUP("Risky_Inbound",'Scoring_Config'!$A:$A,'Scoring_Config'!$D:$D,"Yes")="Yes",_xlfn.XLOOKUP("Risky_Inbound",'Scoring_Config'!$A:$A,'Scoring_Config'!$C:$C,20),0),0)+IF(LEFT(AO33,4)="True",IF(_xlfn.XLOOKUP("Risky_Outbound",'Scoring_Config'!$A:$A,'Scoring_Config'!$D:$D,"Yes")="Yes",_xlfn.XLOOKUP("Risky_Outbound",'Scoring_Config'!$A:$A,'Scoring_Config'!$C:$C,10),0),0)+IF(LEFT(AW33,4)="True",IF(_xlfn.XLOOKUP("Migrate_Insecure",'Scoring_Config'!$A:$A,'Scoring_Config'!$D:$D,"Yes")="Yes",_xlfn.XLOOKUP("Migrate_Insecure",'Scoring_Config'!$A:$A,'Scoring_Config'!$C:$C,15),0),0)+IF(LEFT(AY33,4)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,FIND(",",AP33)+1,100)),0)+IF(LEFT(AQ33,4)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,FIND(",",AR33)+1,100)),0)+IF(_xlfn.XLOOKUP("Profile_Scoring",'Scoring_Config'!$A:$A,'Scoring_Config'!$D:$D,"Yes")="Yes",VALUE(MID(AS33,FIND(",",AS33)+1,100)),0)+IF(_xlfn.XLOOKUP("Options_Scoring",'Scoring_Config'!$A:$A,'Scoring_Config'!$D:$D,"Yes")="Yes",VALUE(MID(AT33,FIND(",",AT33)+1,100)),0)))</f>
        <v>0</v>
      </c>
    </row>
    <row r="34" spans="1:52">
      <c r="A34" s="3" t="s">
        <v>52</v>
      </c>
      <c r="B34" s="3" t="s">
        <v>85</v>
      </c>
      <c r="C34" s="3" t="s">
        <v>329</v>
      </c>
      <c r="D34" s="3"/>
      <c r="E34" s="3" t="s">
        <v>359</v>
      </c>
      <c r="F34" s="3" t="s">
        <v>363</v>
      </c>
      <c r="G34" s="3" t="s">
        <v>381</v>
      </c>
      <c r="H34" s="3" t="s">
        <v>547</v>
      </c>
      <c r="I34" s="3" t="s">
        <v>623</v>
      </c>
      <c r="J34" s="3" t="s">
        <v>364</v>
      </c>
      <c r="K34" s="3" t="s">
        <v>635</v>
      </c>
      <c r="L34" s="3" t="s">
        <v>386</v>
      </c>
      <c r="M34" s="3" t="s">
        <v>771</v>
      </c>
      <c r="N34" s="3" t="s">
        <v>793</v>
      </c>
      <c r="O34" s="4" t="s">
        <v>809</v>
      </c>
      <c r="P34" s="3" t="s">
        <v>870</v>
      </c>
      <c r="Q34" s="3" t="s">
        <v>905</v>
      </c>
      <c r="R34" s="3" t="s">
        <v>909</v>
      </c>
      <c r="S34" s="3" t="s">
        <v>907</v>
      </c>
      <c r="T34" s="3" t="s">
        <v>940</v>
      </c>
      <c r="U34" s="3" t="s">
        <v>1169</v>
      </c>
      <c r="V34" s="3" t="s">
        <v>770</v>
      </c>
      <c r="W34" s="3" t="s">
        <v>1415</v>
      </c>
      <c r="X34" s="3" t="s">
        <v>1638</v>
      </c>
      <c r="Y34" s="3" t="s">
        <v>2107</v>
      </c>
      <c r="Z34" s="3"/>
      <c r="AA34" s="3"/>
      <c r="AB34" s="3"/>
      <c r="AC34" s="4" cm="1">
        <f t="array" ref="AC34">IF(FALSE,"True," &amp; IF(_xlfn.XLOOKUP("Src_IsAny",'Scoring_Config'!$A:$A,'Scoring_Config'!$D:$D,"Yes")="Yes",_xlfn.XLOOKUP("Src_IsAny",'Scoring_Config'!$A:$A,'Scoring_Config'!$C:$C,25),0),"False,0")</f>
        <v>0</v>
      </c>
      <c r="AD34" s="4" cm="1">
        <f t="array" ref="AD34">IF(FALSE,"True," &amp; IF(_xlfn.XLOOKUP("Src_CIDR_Le_16",'Scoring_Config'!$A:$A,'Scoring_Config'!$D:$D,"Yes")="Yes",_xlfn.XLOOKUP("Src_CIDR_Le_16",'Scoring_Config'!$A:$A,'Scoring_Config'!$C:$C,25),0),"False,0")</f>
        <v>0</v>
      </c>
      <c r="AE34" s="4" cm="1">
        <f t="array" ref="AE34">IF(FALSE,"True," &amp; IF(_xlfn.XLOOKUP("Src_CIDR_17_22",'Scoring_Config'!$A:$A,'Scoring_Config'!$D:$D,"Yes")="Yes",_xlfn.XLOOKUP("Src_CIDR_17_22",'Scoring_Config'!$A:$A,'Scoring_Config'!$C:$C,15),0),"False,0")</f>
        <v>0</v>
      </c>
      <c r="AF34" s="4" cm="1">
        <f t="array" ref="AF34">IF(FALSE,"True," &amp; IF(_xlfn.XLOOKUP("Dst_IsAny",'Scoring_Config'!$A:$A,'Scoring_Config'!$D:$D,"Yes")="Yes",_xlfn.XLOOKUP("Dst_IsAny",'Scoring_Config'!$A:$A,'Scoring_Config'!$C:$C,25),0),"False,0")</f>
        <v>0</v>
      </c>
      <c r="AG34" s="4" cm="1">
        <f t="array" ref="AG34">IF(FALSE,"True," &amp; IF(_xlfn.XLOOKUP("Dst_CIDR_Le_16",'Scoring_Config'!$A:$A,'Scoring_Config'!$D:$D,"Yes")="Yes",_xlfn.XLOOKUP("Dst_CIDR_Le_16",'Scoring_Config'!$A:$A,'Scoring_Config'!$C:$C,25),0),"False,0")</f>
        <v>0</v>
      </c>
      <c r="AH34" s="4" cm="1">
        <f t="array" ref="AH34">IF(FALSE,"True," &amp; IF(_xlfn.XLOOKUP("Dst_CIDR_17_22",'Scoring_Config'!$A:$A,'Scoring_Config'!$D:$D,"Yes")="Yes",_xlfn.XLOOKUP("Dst_CIDR_17_22",'Scoring_Config'!$A:$A,'Scoring_Config'!$C:$C,15),0),"False,0")</f>
        <v>0</v>
      </c>
      <c r="AI34" s="4" cm="1">
        <f t="array" ref="AI34">IF(FALSE,"True," &amp; IF(_xlfn.XLOOKUP("SrcZone_IsAny",'Scoring_Config'!$A:$A,'Scoring_Config'!$D:$D,"Yes")="Yes",_xlfn.XLOOKUP("SrcZone_IsAny",'Scoring_Config'!$A:$A,'Scoring_Config'!$C:$C,5),0),"False,0")</f>
        <v>0</v>
      </c>
      <c r="AJ34" s="4" cm="1">
        <f t="array" ref="AJ34">IF(FALSE,"True," &amp; IF(_xlfn.XLOOKUP("DstZone_IsAny",'Scoring_Config'!$A:$A,'Scoring_Config'!$D:$D,"Yes")="Yes",_xlfn.XLOOKUP("DstZone_IsAny",'Scoring_Config'!$A:$A,'Scoring_Config'!$C:$C,5),0),"False,0")</f>
        <v>0</v>
      </c>
      <c r="AK34" s="4" cm="1">
        <f t="array" ref="AK3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" s="4" cm="1">
        <f t="array" ref="AL34">IF(FALSE,"True," &amp; IF(_xlfn.XLOOKUP("App_Any_OR_RangeGt1000",'Scoring_Config'!$A:$A,'Scoring_Config'!$D:$D,"Yes")="Yes",_xlfn.XLOOKUP("App_Any_OR_RangeGt1000",'Scoring_Config'!$A:$A,'Scoring_Config'!$C:$C,25),0),"False,0")</f>
        <v>0</v>
      </c>
      <c r="AM34" s="4" cm="1">
        <f t="array" ref="AM34">IF(FALSE,"True," &amp; IF(_xlfn.XLOOKUP("Service_Insecure_Match",'Scoring_Config'!$A:$A,'Scoring_Config'!$D:$D,"Yes")="Yes",_xlfn.XLOOKUP("Service_Insecure_Match",'Scoring_Config'!$A:$A,'Scoring_Config'!$C:$C,20),0),"False,0")</f>
        <v>0</v>
      </c>
      <c r="AN34" s="4" cm="1">
        <f t="array" ref="AN34">IF(FALSE,"True," &amp; IF(_xlfn.XLOOKUP("Risky_Inbound",'Scoring_Config'!$A:$A,'Scoring_Config'!$D:$D,"Yes")="Yes",_xlfn.XLOOKUP("Risky_Inbound",'Scoring_Config'!$A:$A,'Scoring_Config'!$C:$C,20),0),"False,0")</f>
        <v>0</v>
      </c>
      <c r="AO34" s="4" cm="1">
        <f t="array" ref="AO34">IF(FALSE,"True," &amp; IF(_xlfn.XLOOKUP("Risky_Outbound",'Scoring_Config'!$A:$A,'Scoring_Config'!$D:$D,"Yes")="Yes",_xlfn.XLOOKUP("Risky_Outbound",'Scoring_Config'!$A:$A,'Scoring_Config'!$C:$C,10),0),"False,0")</f>
        <v>0</v>
      </c>
      <c r="AP34" s="5" t="s">
        <v>2595</v>
      </c>
      <c r="AQ34" s="4" cm="1">
        <f t="array" ref="AQ3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" s="5" t="s">
        <v>2598</v>
      </c>
      <c r="AS34" s="4" t="s">
        <v>2592</v>
      </c>
      <c r="AT34" s="5" t="s">
        <v>2595</v>
      </c>
      <c r="AU34" s="4" cm="1">
        <f t="array" ref="AU34">IF(FALSE,"True," &amp; IF(_xlfn.XLOOKUP("Action_IsDenyOrDrop",'Scoring_Config'!$A:$A,'Scoring_Config'!$D:$D,"Yes")="Yes",_xlfn.XLOOKUP("Action_IsDenyOrDrop",'Scoring_Config'!$A:$A,'Scoring_Config'!$C:$C,0),0),"False,0")</f>
        <v>0</v>
      </c>
      <c r="AV34" s="4"/>
      <c r="AW34" s="4" cm="1">
        <f t="array" ref="AW34">IF(FALSE,"True," &amp; IF(_xlfn.XLOOKUP("Migrate_Insecure",'Scoring_Config'!$A:$A,'Scoring_Config'!$D:$D,"Yes")="Yes",_xlfn.XLOOKUP("Migrate_Insecure",'Scoring_Config'!$A:$A,'Scoring_Config'!$C:$C,15),0),"False,0")</f>
        <v>0</v>
      </c>
      <c r="AX34" s="4"/>
      <c r="AY34" s="4" cm="1">
        <f t="array" ref="AY34">IF(FALSE,"True," &amp; IF(_xlfn.XLOOKUP("Migrate_Other_Ports",'Scoring_Config'!$A:$A,'Scoring_Config'!$D:$D,"Yes")="Yes",_xlfn.XLOOKUP("Migrate_Other_Ports",'Scoring_Config'!$A:$A,'Scoring_Config'!$C:$C,5),0),"False,0")</f>
        <v>0</v>
      </c>
      <c r="AZ34" s="4" cm="1">
        <f t="array" ref="AZ34">IF(LEFT(AU34,4)="True",0,(IF(LEFT(AC34,4)="True",IF(_xlfn.XLOOKUP("Src_IsAny",'Scoring_Config'!$A:$A,'Scoring_Config'!$D:$D,"Yes")="Yes",_xlfn.XLOOKUP("Src_IsAny",'Scoring_Config'!$A:$A,'Scoring_Config'!$C:$C,25),0),0)+IF(LEFT(AD34,4)="True",IF(_xlfn.XLOOKUP("Src_CIDR_Le_16",'Scoring_Config'!$A:$A,'Scoring_Config'!$D:$D,"Yes")="Yes",_xlfn.XLOOKUP("Src_CIDR_Le_16",'Scoring_Config'!$A:$A,'Scoring_Config'!$C:$C,25),0),0)+IF(LEFT(AE34,4)="True",IF(_xlfn.XLOOKUP("Src_CIDR_17_22",'Scoring_Config'!$A:$A,'Scoring_Config'!$D:$D,"Yes")="Yes",_xlfn.XLOOKUP("Src_CIDR_17_22",'Scoring_Config'!$A:$A,'Scoring_Config'!$C:$C,15),0),0)+IF(LEFT(AF34,4)="True",IF(_xlfn.XLOOKUP("Dst_IsAny",'Scoring_Config'!$A:$A,'Scoring_Config'!$D:$D,"Yes")="Yes",_xlfn.XLOOKUP("Dst_IsAny",'Scoring_Config'!$A:$A,'Scoring_Config'!$C:$C,25),0),0)+IF(LEFT(AG34,4)="True",IF(_xlfn.XLOOKUP("Dst_CIDR_Le_16",'Scoring_Config'!$A:$A,'Scoring_Config'!$D:$D,"Yes")="Yes",_xlfn.XLOOKUP("Dst_CIDR_Le_16",'Scoring_Config'!$A:$A,'Scoring_Config'!$C:$C,25),0),0)+IF(LEFT(AH34,4)="True",IF(_xlfn.XLOOKUP("Dst_CIDR_17_22",'Scoring_Config'!$A:$A,'Scoring_Config'!$D:$D,"Yes")="Yes",_xlfn.XLOOKUP("Dst_CIDR_17_22",'Scoring_Config'!$A:$A,'Scoring_Config'!$C:$C,15),0),0)+IF(LEFT(AI34,4)="True",IF(_xlfn.XLOOKUP("SrcZone_IsAny",'Scoring_Config'!$A:$A,'Scoring_Config'!$D:$D,"Yes")="Yes",_xlfn.XLOOKUP("SrcZone_IsAny",'Scoring_Config'!$A:$A,'Scoring_Config'!$C:$C,5),0),0)+IF(LEFT(AJ34,4)="True",IF(_xlfn.XLOOKUP("DstZone_IsAny",'Scoring_Config'!$A:$A,'Scoring_Config'!$D:$D,"Yes")="Yes",_xlfn.XLOOKUP("DstZone_IsAny",'Scoring_Config'!$A:$A,'Scoring_Config'!$C:$C,5),0),0)+IF(LEFT(AK34,4)="True",IF(_xlfn.XLOOKUP("Service_Any_OR_RangeGt1000",'Scoring_Config'!$A:$A,'Scoring_Config'!$D:$D,"Yes")="Yes",_xlfn.XLOOKUP("Service_Any_OR_RangeGt1000",'Scoring_Config'!$A:$A,'Scoring_Config'!$C:$C,25),0),0)+IF(LEFT(AL34,4)="True",IF(_xlfn.XLOOKUP("App_Any_OR_RangeGt1000",'Scoring_Config'!$A:$A,'Scoring_Config'!$D:$D,"Yes")="Yes",_xlfn.XLOOKUP("App_Any_OR_RangeGt1000",'Scoring_Config'!$A:$A,'Scoring_Config'!$C:$C,25),0),0)+IF(LEFT(AM34,4)="True",IF(_xlfn.XLOOKUP("Service_Insecure_Match",'Scoring_Config'!$A:$A,'Scoring_Config'!$D:$D,"Yes")="Yes",_xlfn.XLOOKUP("Service_Insecure_Match",'Scoring_Config'!$A:$A,'Scoring_Config'!$C:$C,20),0),0)+IF(LEFT(AN34,4)="True",IF(_xlfn.XLOOKUP("Risky_Inbound",'Scoring_Config'!$A:$A,'Scoring_Config'!$D:$D,"Yes")="Yes",_xlfn.XLOOKUP("Risky_Inbound",'Scoring_Config'!$A:$A,'Scoring_Config'!$C:$C,20),0),0)+IF(LEFT(AO34,4)="True",IF(_xlfn.XLOOKUP("Risky_Outbound",'Scoring_Config'!$A:$A,'Scoring_Config'!$D:$D,"Yes")="Yes",_xlfn.XLOOKUP("Risky_Outbound",'Scoring_Config'!$A:$A,'Scoring_Config'!$C:$C,10),0),0)+IF(LEFT(AW34,4)="True",IF(_xlfn.XLOOKUP("Migrate_Insecure",'Scoring_Config'!$A:$A,'Scoring_Config'!$D:$D,"Yes")="Yes",_xlfn.XLOOKUP("Migrate_Insecure",'Scoring_Config'!$A:$A,'Scoring_Config'!$C:$C,15),0),0)+IF(LEFT(AY34,4)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,FIND(",",AP34)+1,100)),0)+IF(LEFT(AQ34,4)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,FIND(",",AR34)+1,100)),0)+IF(_xlfn.XLOOKUP("Profile_Scoring",'Scoring_Config'!$A:$A,'Scoring_Config'!$D:$D,"Yes")="Yes",VALUE(MID(AS34,FIND(",",AS34)+1,100)),0)+IF(_xlfn.XLOOKUP("Options_Scoring",'Scoring_Config'!$A:$A,'Scoring_Config'!$D:$D,"Yes")="Yes",VALUE(MID(AT34,FIND(",",AT34)+1,100)),0)))</f>
        <v>0</v>
      </c>
    </row>
    <row r="35" spans="1:52">
      <c r="A35" s="3" t="s">
        <v>52</v>
      </c>
      <c r="B35" s="3" t="s">
        <v>86</v>
      </c>
      <c r="C35" s="3" t="s">
        <v>329</v>
      </c>
      <c r="D35" s="3"/>
      <c r="E35" s="3" t="s">
        <v>359</v>
      </c>
      <c r="F35" s="3" t="s">
        <v>361</v>
      </c>
      <c r="G35" s="3" t="s">
        <v>365</v>
      </c>
      <c r="H35" s="3" t="s">
        <v>365</v>
      </c>
      <c r="I35" s="3" t="s">
        <v>623</v>
      </c>
      <c r="J35" s="3" t="s">
        <v>360</v>
      </c>
      <c r="K35" s="3" t="s">
        <v>365</v>
      </c>
      <c r="L35" s="3" t="s">
        <v>365</v>
      </c>
      <c r="M35" s="3" t="s">
        <v>365</v>
      </c>
      <c r="N35" s="3" t="s">
        <v>365</v>
      </c>
      <c r="O35" s="4" t="s">
        <v>821</v>
      </c>
      <c r="P35" s="3" t="s">
        <v>882</v>
      </c>
      <c r="Q35" s="3" t="s">
        <v>905</v>
      </c>
      <c r="R35" s="3" t="s">
        <v>907</v>
      </c>
      <c r="S35" s="3" t="s">
        <v>913</v>
      </c>
      <c r="T35" s="3" t="s">
        <v>941</v>
      </c>
      <c r="U35" s="3"/>
      <c r="V35" s="3" t="s">
        <v>1389</v>
      </c>
      <c r="W35" s="3" t="s">
        <v>1416</v>
      </c>
      <c r="X35" s="3" t="s">
        <v>1639</v>
      </c>
      <c r="Y35" s="3" t="s">
        <v>2108</v>
      </c>
      <c r="Z35" s="3"/>
      <c r="AA35" s="3"/>
      <c r="AB35" s="3"/>
      <c r="AC35" s="5" cm="1">
        <f t="array" ref="AC35">IF(TRUE,"True," &amp; IF(_xlfn.XLOOKUP("Src_IsAny",'Scoring_Config'!$A:$A,'Scoring_Config'!$D:$D,"Yes")="Yes",_xlfn.XLOOKUP("Src_IsAny",'Scoring_Config'!$A:$A,'Scoring_Config'!$C:$C,25),0),"False,0")</f>
        <v>0</v>
      </c>
      <c r="AD35" s="4" cm="1">
        <f t="array" ref="AD35">IF(FALSE,"True," &amp; IF(_xlfn.XLOOKUP("Src_CIDR_Le_16",'Scoring_Config'!$A:$A,'Scoring_Config'!$D:$D,"Yes")="Yes",_xlfn.XLOOKUP("Src_CIDR_Le_16",'Scoring_Config'!$A:$A,'Scoring_Config'!$C:$C,25),0),"False,0")</f>
        <v>0</v>
      </c>
      <c r="AE35" s="4" cm="1">
        <f t="array" ref="AE35">IF(FALSE,"True," &amp; IF(_xlfn.XLOOKUP("Src_CIDR_17_22",'Scoring_Config'!$A:$A,'Scoring_Config'!$D:$D,"Yes")="Yes",_xlfn.XLOOKUP("Src_CIDR_17_22",'Scoring_Config'!$A:$A,'Scoring_Config'!$C:$C,15),0),"False,0")</f>
        <v>0</v>
      </c>
      <c r="AF35" s="5" cm="1">
        <f t="array" ref="AF35">IF(TRUE,"True," &amp; IF(_xlfn.XLOOKUP("Dst_IsAny",'Scoring_Config'!$A:$A,'Scoring_Config'!$D:$D,"Yes")="Yes",_xlfn.XLOOKUP("Dst_IsAny",'Scoring_Config'!$A:$A,'Scoring_Config'!$C:$C,25),0),"False,0")</f>
        <v>0</v>
      </c>
      <c r="AG35" s="4" cm="1">
        <f t="array" ref="AG35">IF(FALSE,"True," &amp; IF(_xlfn.XLOOKUP("Dst_CIDR_Le_16",'Scoring_Config'!$A:$A,'Scoring_Config'!$D:$D,"Yes")="Yes",_xlfn.XLOOKUP("Dst_CIDR_Le_16",'Scoring_Config'!$A:$A,'Scoring_Config'!$C:$C,25),0),"False,0")</f>
        <v>0</v>
      </c>
      <c r="AH35" s="4" cm="1">
        <f t="array" ref="AH35">IF(FALSE,"True," &amp; IF(_xlfn.XLOOKUP("Dst_CIDR_17_22",'Scoring_Config'!$A:$A,'Scoring_Config'!$D:$D,"Yes")="Yes",_xlfn.XLOOKUP("Dst_CIDR_17_22",'Scoring_Config'!$A:$A,'Scoring_Config'!$C:$C,15),0),"False,0")</f>
        <v>0</v>
      </c>
      <c r="AI35" s="4" cm="1">
        <f t="array" ref="AI35">IF(FALSE,"True," &amp; IF(_xlfn.XLOOKUP("SrcZone_IsAny",'Scoring_Config'!$A:$A,'Scoring_Config'!$D:$D,"Yes")="Yes",_xlfn.XLOOKUP("SrcZone_IsAny",'Scoring_Config'!$A:$A,'Scoring_Config'!$C:$C,5),0),"False,0")</f>
        <v>0</v>
      </c>
      <c r="AJ35" s="4" cm="1">
        <f t="array" ref="AJ35">IF(FALSE,"True," &amp; IF(_xlfn.XLOOKUP("DstZone_IsAny",'Scoring_Config'!$A:$A,'Scoring_Config'!$D:$D,"Yes")="Yes",_xlfn.XLOOKUP("DstZone_IsAny",'Scoring_Config'!$A:$A,'Scoring_Config'!$C:$C,5),0),"False,0")</f>
        <v>0</v>
      </c>
      <c r="AK35" s="4" cm="1">
        <f t="array" ref="AK3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" s="5" cm="1">
        <f t="array" ref="AL35">IF(TRUE,"True," &amp; IF(_xlfn.XLOOKUP("App_Any_OR_RangeGt1000",'Scoring_Config'!$A:$A,'Scoring_Config'!$D:$D,"Yes")="Yes",_xlfn.XLOOKUP("App_Any_OR_RangeGt1000",'Scoring_Config'!$A:$A,'Scoring_Config'!$C:$C,25),0),"False,0")</f>
        <v>0</v>
      </c>
      <c r="AM35" s="5" cm="1">
        <f t="array" ref="AM35">IF(TRUE,"True," &amp; IF(_xlfn.XLOOKUP("Service_Insecure_Match",'Scoring_Config'!$A:$A,'Scoring_Config'!$D:$D,"Yes")="Yes",_xlfn.XLOOKUP("Service_Insecure_Match",'Scoring_Config'!$A:$A,'Scoring_Config'!$C:$C,20),0),"False,0")</f>
        <v>0</v>
      </c>
      <c r="AN35" s="4" cm="1">
        <f t="array" ref="AN35">IF(FALSE,"True," &amp; IF(_xlfn.XLOOKUP("Risky_Inbound",'Scoring_Config'!$A:$A,'Scoring_Config'!$D:$D,"Yes")="Yes",_xlfn.XLOOKUP("Risky_Inbound",'Scoring_Config'!$A:$A,'Scoring_Config'!$C:$C,20),0),"False,0")</f>
        <v>0</v>
      </c>
      <c r="AO35" s="4" cm="1">
        <f t="array" ref="AO35">IF(FALSE,"True," &amp; IF(_xlfn.XLOOKUP("Risky_Outbound",'Scoring_Config'!$A:$A,'Scoring_Config'!$D:$D,"Yes")="Yes",_xlfn.XLOOKUP("Risky_Outbound",'Scoring_Config'!$A:$A,'Scoring_Config'!$C:$C,10),0),"False,0")</f>
        <v>0</v>
      </c>
      <c r="AP35" s="5" t="s">
        <v>2595</v>
      </c>
      <c r="AQ35" s="5" cm="1">
        <f t="array" ref="AQ3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" s="5" t="s">
        <v>2598</v>
      </c>
      <c r="AS35" s="5" t="s">
        <v>2595</v>
      </c>
      <c r="AT35" s="4" t="s">
        <v>2592</v>
      </c>
      <c r="AU35" s="4" cm="1">
        <f t="array" ref="AU35">IF(FALSE,"True," &amp; IF(_xlfn.XLOOKUP("Action_IsDenyOrDrop",'Scoring_Config'!$A:$A,'Scoring_Config'!$D:$D,"Yes")="Yes",_xlfn.XLOOKUP("Action_IsDenyOrDrop",'Scoring_Config'!$A:$A,'Scoring_Config'!$C:$C,0),0),"False,0")</f>
        <v>0</v>
      </c>
      <c r="AV35" s="4"/>
      <c r="AW35" s="4" cm="1">
        <f t="array" ref="AW35">IF(FALSE,"True," &amp; IF(_xlfn.XLOOKUP("Migrate_Insecure",'Scoring_Config'!$A:$A,'Scoring_Config'!$D:$D,"Yes")="Yes",_xlfn.XLOOKUP("Migrate_Insecure",'Scoring_Config'!$A:$A,'Scoring_Config'!$C:$C,15),0),"False,0")</f>
        <v>0</v>
      </c>
      <c r="AX35" s="4"/>
      <c r="AY35" s="4" cm="1">
        <f t="array" ref="AY35">IF(FALSE,"True," &amp; IF(_xlfn.XLOOKUP("Migrate_Other_Ports",'Scoring_Config'!$A:$A,'Scoring_Config'!$D:$D,"Yes")="Yes",_xlfn.XLOOKUP("Migrate_Other_Ports",'Scoring_Config'!$A:$A,'Scoring_Config'!$C:$C,5),0),"False,0")</f>
        <v>0</v>
      </c>
      <c r="AZ35" s="4" cm="1">
        <f t="array" ref="AZ35">IF(LEFT(AU35,4)="True",0,(IF(LEFT(AC35,4)="True",IF(_xlfn.XLOOKUP("Src_IsAny",'Scoring_Config'!$A:$A,'Scoring_Config'!$D:$D,"Yes")="Yes",_xlfn.XLOOKUP("Src_IsAny",'Scoring_Config'!$A:$A,'Scoring_Config'!$C:$C,25),0),0)+IF(LEFT(AD35,4)="True",IF(_xlfn.XLOOKUP("Src_CIDR_Le_16",'Scoring_Config'!$A:$A,'Scoring_Config'!$D:$D,"Yes")="Yes",_xlfn.XLOOKUP("Src_CIDR_Le_16",'Scoring_Config'!$A:$A,'Scoring_Config'!$C:$C,25),0),0)+IF(LEFT(AE35,4)="True",IF(_xlfn.XLOOKUP("Src_CIDR_17_22",'Scoring_Config'!$A:$A,'Scoring_Config'!$D:$D,"Yes")="Yes",_xlfn.XLOOKUP("Src_CIDR_17_22",'Scoring_Config'!$A:$A,'Scoring_Config'!$C:$C,15),0),0)+IF(LEFT(AF35,4)="True",IF(_xlfn.XLOOKUP("Dst_IsAny",'Scoring_Config'!$A:$A,'Scoring_Config'!$D:$D,"Yes")="Yes",_xlfn.XLOOKUP("Dst_IsAny",'Scoring_Config'!$A:$A,'Scoring_Config'!$C:$C,25),0),0)+IF(LEFT(AG35,4)="True",IF(_xlfn.XLOOKUP("Dst_CIDR_Le_16",'Scoring_Config'!$A:$A,'Scoring_Config'!$D:$D,"Yes")="Yes",_xlfn.XLOOKUP("Dst_CIDR_Le_16",'Scoring_Config'!$A:$A,'Scoring_Config'!$C:$C,25),0),0)+IF(LEFT(AH35,4)="True",IF(_xlfn.XLOOKUP("Dst_CIDR_17_22",'Scoring_Config'!$A:$A,'Scoring_Config'!$D:$D,"Yes")="Yes",_xlfn.XLOOKUP("Dst_CIDR_17_22",'Scoring_Config'!$A:$A,'Scoring_Config'!$C:$C,15),0),0)+IF(LEFT(AI35,4)="True",IF(_xlfn.XLOOKUP("SrcZone_IsAny",'Scoring_Config'!$A:$A,'Scoring_Config'!$D:$D,"Yes")="Yes",_xlfn.XLOOKUP("SrcZone_IsAny",'Scoring_Config'!$A:$A,'Scoring_Config'!$C:$C,5),0),0)+IF(LEFT(AJ35,4)="True",IF(_xlfn.XLOOKUP("DstZone_IsAny",'Scoring_Config'!$A:$A,'Scoring_Config'!$D:$D,"Yes")="Yes",_xlfn.XLOOKUP("DstZone_IsAny",'Scoring_Config'!$A:$A,'Scoring_Config'!$C:$C,5),0),0)+IF(LEFT(AK35,4)="True",IF(_xlfn.XLOOKUP("Service_Any_OR_RangeGt1000",'Scoring_Config'!$A:$A,'Scoring_Config'!$D:$D,"Yes")="Yes",_xlfn.XLOOKUP("Service_Any_OR_RangeGt1000",'Scoring_Config'!$A:$A,'Scoring_Config'!$C:$C,25),0),0)+IF(LEFT(AL35,4)="True",IF(_xlfn.XLOOKUP("App_Any_OR_RangeGt1000",'Scoring_Config'!$A:$A,'Scoring_Config'!$D:$D,"Yes")="Yes",_xlfn.XLOOKUP("App_Any_OR_RangeGt1000",'Scoring_Config'!$A:$A,'Scoring_Config'!$C:$C,25),0),0)+IF(LEFT(AM35,4)="True",IF(_xlfn.XLOOKUP("Service_Insecure_Match",'Scoring_Config'!$A:$A,'Scoring_Config'!$D:$D,"Yes")="Yes",_xlfn.XLOOKUP("Service_Insecure_Match",'Scoring_Config'!$A:$A,'Scoring_Config'!$C:$C,20),0),0)+IF(LEFT(AN35,4)="True",IF(_xlfn.XLOOKUP("Risky_Inbound",'Scoring_Config'!$A:$A,'Scoring_Config'!$D:$D,"Yes")="Yes",_xlfn.XLOOKUP("Risky_Inbound",'Scoring_Config'!$A:$A,'Scoring_Config'!$C:$C,20),0),0)+IF(LEFT(AO35,4)="True",IF(_xlfn.XLOOKUP("Risky_Outbound",'Scoring_Config'!$A:$A,'Scoring_Config'!$D:$D,"Yes")="Yes",_xlfn.XLOOKUP("Risky_Outbound",'Scoring_Config'!$A:$A,'Scoring_Config'!$C:$C,10),0),0)+IF(LEFT(AW35,4)="True",IF(_xlfn.XLOOKUP("Migrate_Insecure",'Scoring_Config'!$A:$A,'Scoring_Config'!$D:$D,"Yes")="Yes",_xlfn.XLOOKUP("Migrate_Insecure",'Scoring_Config'!$A:$A,'Scoring_Config'!$C:$C,15),0),0)+IF(LEFT(AY35,4)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,FIND(",",AP35)+1,100)),0)+IF(LEFT(AQ35,4)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,FIND(",",AR35)+1,100)),0)+IF(_xlfn.XLOOKUP("Profile_Scoring",'Scoring_Config'!$A:$A,'Scoring_Config'!$D:$D,"Yes")="Yes",VALUE(MID(AS35,FIND(",",AS35)+1,100)),0)+IF(_xlfn.XLOOKUP("Options_Scoring",'Scoring_Config'!$A:$A,'Scoring_Config'!$D:$D,"Yes")="Yes",VALUE(MID(AT35,FIND(",",AT35)+1,100)),0)))</f>
        <v>0</v>
      </c>
    </row>
    <row r="36" spans="1:52">
      <c r="A36" s="3" t="s">
        <v>52</v>
      </c>
      <c r="B36" s="3" t="s">
        <v>87</v>
      </c>
      <c r="C36" s="3" t="s">
        <v>329</v>
      </c>
      <c r="D36" s="3"/>
      <c r="E36" s="3" t="s">
        <v>359</v>
      </c>
      <c r="F36" s="3" t="s">
        <v>363</v>
      </c>
      <c r="G36" s="3" t="s">
        <v>382</v>
      </c>
      <c r="H36" s="3" t="s">
        <v>382</v>
      </c>
      <c r="I36" s="3" t="s">
        <v>625</v>
      </c>
      <c r="J36" s="3" t="s">
        <v>365</v>
      </c>
      <c r="K36" s="3" t="s">
        <v>390</v>
      </c>
      <c r="L36" s="3" t="s">
        <v>552</v>
      </c>
      <c r="M36" s="3" t="s">
        <v>768</v>
      </c>
      <c r="N36" s="3" t="s">
        <v>791</v>
      </c>
      <c r="O36" s="4" t="s">
        <v>822</v>
      </c>
      <c r="P36" s="3" t="s">
        <v>883</v>
      </c>
      <c r="Q36" s="3" t="s">
        <v>905</v>
      </c>
      <c r="R36" s="3" t="s">
        <v>908</v>
      </c>
      <c r="S36" s="3" t="s">
        <v>907</v>
      </c>
      <c r="T36" s="3" t="s">
        <v>942</v>
      </c>
      <c r="U36" s="3" t="s">
        <v>1170</v>
      </c>
      <c r="V36" s="3" t="s">
        <v>1388</v>
      </c>
      <c r="W36" s="3" t="s">
        <v>1417</v>
      </c>
      <c r="X36" s="3" t="s">
        <v>1640</v>
      </c>
      <c r="Y36" s="3" t="s">
        <v>2109</v>
      </c>
      <c r="Z36" s="3"/>
      <c r="AA36" s="3"/>
      <c r="AB36" s="3"/>
      <c r="AC36" s="4" cm="1">
        <f t="array" ref="AC36">IF(FALSE,"True," &amp; IF(_xlfn.XLOOKUP("Src_IsAny",'Scoring_Config'!$A:$A,'Scoring_Config'!$D:$D,"Yes")="Yes",_xlfn.XLOOKUP("Src_IsAny",'Scoring_Config'!$A:$A,'Scoring_Config'!$C:$C,25),0),"False,0")</f>
        <v>0</v>
      </c>
      <c r="AD36" s="4" cm="1">
        <f t="array" ref="AD36">IF(FALSE,"True," &amp; IF(_xlfn.XLOOKUP("Src_CIDR_Le_16",'Scoring_Config'!$A:$A,'Scoring_Config'!$D:$D,"Yes")="Yes",_xlfn.XLOOKUP("Src_CIDR_Le_16",'Scoring_Config'!$A:$A,'Scoring_Config'!$C:$C,25),0),"False,0")</f>
        <v>0</v>
      </c>
      <c r="AE36" s="4" cm="1">
        <f t="array" ref="AE36">IF(FALSE,"True," &amp; IF(_xlfn.XLOOKUP("Src_CIDR_17_22",'Scoring_Config'!$A:$A,'Scoring_Config'!$D:$D,"Yes")="Yes",_xlfn.XLOOKUP("Src_CIDR_17_22",'Scoring_Config'!$A:$A,'Scoring_Config'!$C:$C,15),0),"False,0")</f>
        <v>0</v>
      </c>
      <c r="AF36" s="4" cm="1">
        <f t="array" ref="AF36">IF(FALSE,"True," &amp; IF(_xlfn.XLOOKUP("Dst_IsAny",'Scoring_Config'!$A:$A,'Scoring_Config'!$D:$D,"Yes")="Yes",_xlfn.XLOOKUP("Dst_IsAny",'Scoring_Config'!$A:$A,'Scoring_Config'!$C:$C,25),0),"False,0")</f>
        <v>0</v>
      </c>
      <c r="AG36" s="4" cm="1">
        <f t="array" ref="AG36">IF(FALSE,"True," &amp; IF(_xlfn.XLOOKUP("Dst_CIDR_Le_16",'Scoring_Config'!$A:$A,'Scoring_Config'!$D:$D,"Yes")="Yes",_xlfn.XLOOKUP("Dst_CIDR_Le_16",'Scoring_Config'!$A:$A,'Scoring_Config'!$C:$C,25),0),"False,0")</f>
        <v>0</v>
      </c>
      <c r="AH36" s="4" cm="1">
        <f t="array" ref="AH36">IF(FALSE,"True," &amp; IF(_xlfn.XLOOKUP("Dst_CIDR_17_22",'Scoring_Config'!$A:$A,'Scoring_Config'!$D:$D,"Yes")="Yes",_xlfn.XLOOKUP("Dst_CIDR_17_22",'Scoring_Config'!$A:$A,'Scoring_Config'!$C:$C,15),0),"False,0")</f>
        <v>0</v>
      </c>
      <c r="AI36" s="4" cm="1">
        <f t="array" ref="AI36">IF(FALSE,"True," &amp; IF(_xlfn.XLOOKUP("SrcZone_IsAny",'Scoring_Config'!$A:$A,'Scoring_Config'!$D:$D,"Yes")="Yes",_xlfn.XLOOKUP("SrcZone_IsAny",'Scoring_Config'!$A:$A,'Scoring_Config'!$C:$C,5),0),"False,0")</f>
        <v>0</v>
      </c>
      <c r="AJ36" s="5" cm="1">
        <f t="array" ref="AJ36">IF(TRUE,"True," &amp; IF(_xlfn.XLOOKUP("DstZone_IsAny",'Scoring_Config'!$A:$A,'Scoring_Config'!$D:$D,"Yes")="Yes",_xlfn.XLOOKUP("DstZone_IsAny",'Scoring_Config'!$A:$A,'Scoring_Config'!$C:$C,5),0),"False,0")</f>
        <v>0</v>
      </c>
      <c r="AK36" s="5" cm="1">
        <f t="array" ref="AK36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6" s="5" cm="1">
        <f t="array" ref="AL36">IF(TRUE,"True," &amp; IF(_xlfn.XLOOKUP("App_Any_OR_RangeGt1000",'Scoring_Config'!$A:$A,'Scoring_Config'!$D:$D,"Yes")="Yes",_xlfn.XLOOKUP("App_Any_OR_RangeGt1000",'Scoring_Config'!$A:$A,'Scoring_Config'!$C:$C,25),0),"False,0")</f>
        <v>0</v>
      </c>
      <c r="AM36" s="5" cm="1">
        <f t="array" ref="AM36">IF(TRUE,"True," &amp; IF(_xlfn.XLOOKUP("Service_Insecure_Match",'Scoring_Config'!$A:$A,'Scoring_Config'!$D:$D,"Yes")="Yes",_xlfn.XLOOKUP("Service_Insecure_Match",'Scoring_Config'!$A:$A,'Scoring_Config'!$C:$C,20),0),"False,0")</f>
        <v>0</v>
      </c>
      <c r="AN36" s="4" cm="1">
        <f t="array" ref="AN36">IF(FALSE,"True," &amp; IF(_xlfn.XLOOKUP("Risky_Inbound",'Scoring_Config'!$A:$A,'Scoring_Config'!$D:$D,"Yes")="Yes",_xlfn.XLOOKUP("Risky_Inbound",'Scoring_Config'!$A:$A,'Scoring_Config'!$C:$C,20),0),"False,0")</f>
        <v>0</v>
      </c>
      <c r="AO36" s="4" cm="1">
        <f t="array" ref="AO36">IF(FALSE,"True," &amp; IF(_xlfn.XLOOKUP("Risky_Outbound",'Scoring_Config'!$A:$A,'Scoring_Config'!$D:$D,"Yes")="Yes",_xlfn.XLOOKUP("Risky_Outbound",'Scoring_Config'!$A:$A,'Scoring_Config'!$C:$C,10),0),"False,0")</f>
        <v>0</v>
      </c>
      <c r="AP36" s="5" t="s">
        <v>2595</v>
      </c>
      <c r="AQ36" s="4" cm="1">
        <f t="array" ref="AQ3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" s="5" t="s">
        <v>2598</v>
      </c>
      <c r="AS36" s="4" t="s">
        <v>2592</v>
      </c>
      <c r="AT36" s="5" t="s">
        <v>2595</v>
      </c>
      <c r="AU36" s="4" cm="1">
        <f t="array" ref="AU36">IF(FALSE,"True," &amp; IF(_xlfn.XLOOKUP("Action_IsDenyOrDrop",'Scoring_Config'!$A:$A,'Scoring_Config'!$D:$D,"Yes")="Yes",_xlfn.XLOOKUP("Action_IsDenyOrDrop",'Scoring_Config'!$A:$A,'Scoring_Config'!$C:$C,0),0),"False,0")</f>
        <v>0</v>
      </c>
      <c r="AV36" s="4"/>
      <c r="AW36" s="4" cm="1">
        <f t="array" ref="AW36">IF(FALSE,"True," &amp; IF(_xlfn.XLOOKUP("Migrate_Insecure",'Scoring_Config'!$A:$A,'Scoring_Config'!$D:$D,"Yes")="Yes",_xlfn.XLOOKUP("Migrate_Insecure",'Scoring_Config'!$A:$A,'Scoring_Config'!$C:$C,15),0),"False,0")</f>
        <v>0</v>
      </c>
      <c r="AX36" s="4"/>
      <c r="AY36" s="4" cm="1">
        <f t="array" ref="AY36">IF(FALSE,"True," &amp; IF(_xlfn.XLOOKUP("Migrate_Other_Ports",'Scoring_Config'!$A:$A,'Scoring_Config'!$D:$D,"Yes")="Yes",_xlfn.XLOOKUP("Migrate_Other_Ports",'Scoring_Config'!$A:$A,'Scoring_Config'!$C:$C,5),0),"False,0")</f>
        <v>0</v>
      </c>
      <c r="AZ36" s="4" cm="1">
        <f t="array" ref="AZ36">IF(LEFT(AU36,4)="True",0,(IF(LEFT(AC36,4)="True",IF(_xlfn.XLOOKUP("Src_IsAny",'Scoring_Config'!$A:$A,'Scoring_Config'!$D:$D,"Yes")="Yes",_xlfn.XLOOKUP("Src_IsAny",'Scoring_Config'!$A:$A,'Scoring_Config'!$C:$C,25),0),0)+IF(LEFT(AD36,4)="True",IF(_xlfn.XLOOKUP("Src_CIDR_Le_16",'Scoring_Config'!$A:$A,'Scoring_Config'!$D:$D,"Yes")="Yes",_xlfn.XLOOKUP("Src_CIDR_Le_16",'Scoring_Config'!$A:$A,'Scoring_Config'!$C:$C,25),0),0)+IF(LEFT(AE36,4)="True",IF(_xlfn.XLOOKUP("Src_CIDR_17_22",'Scoring_Config'!$A:$A,'Scoring_Config'!$D:$D,"Yes")="Yes",_xlfn.XLOOKUP("Src_CIDR_17_22",'Scoring_Config'!$A:$A,'Scoring_Config'!$C:$C,15),0),0)+IF(LEFT(AF36,4)="True",IF(_xlfn.XLOOKUP("Dst_IsAny",'Scoring_Config'!$A:$A,'Scoring_Config'!$D:$D,"Yes")="Yes",_xlfn.XLOOKUP("Dst_IsAny",'Scoring_Config'!$A:$A,'Scoring_Config'!$C:$C,25),0),0)+IF(LEFT(AG36,4)="True",IF(_xlfn.XLOOKUP("Dst_CIDR_Le_16",'Scoring_Config'!$A:$A,'Scoring_Config'!$D:$D,"Yes")="Yes",_xlfn.XLOOKUP("Dst_CIDR_Le_16",'Scoring_Config'!$A:$A,'Scoring_Config'!$C:$C,25),0),0)+IF(LEFT(AH36,4)="True",IF(_xlfn.XLOOKUP("Dst_CIDR_17_22",'Scoring_Config'!$A:$A,'Scoring_Config'!$D:$D,"Yes")="Yes",_xlfn.XLOOKUP("Dst_CIDR_17_22",'Scoring_Config'!$A:$A,'Scoring_Config'!$C:$C,15),0),0)+IF(LEFT(AI36,4)="True",IF(_xlfn.XLOOKUP("SrcZone_IsAny",'Scoring_Config'!$A:$A,'Scoring_Config'!$D:$D,"Yes")="Yes",_xlfn.XLOOKUP("SrcZone_IsAny",'Scoring_Config'!$A:$A,'Scoring_Config'!$C:$C,5),0),0)+IF(LEFT(AJ36,4)="True",IF(_xlfn.XLOOKUP("DstZone_IsAny",'Scoring_Config'!$A:$A,'Scoring_Config'!$D:$D,"Yes")="Yes",_xlfn.XLOOKUP("DstZone_IsAny",'Scoring_Config'!$A:$A,'Scoring_Config'!$C:$C,5),0),0)+IF(LEFT(AK36,4)="True",IF(_xlfn.XLOOKUP("Service_Any_OR_RangeGt1000",'Scoring_Config'!$A:$A,'Scoring_Config'!$D:$D,"Yes")="Yes",_xlfn.XLOOKUP("Service_Any_OR_RangeGt1000",'Scoring_Config'!$A:$A,'Scoring_Config'!$C:$C,25),0),0)+IF(LEFT(AL36,4)="True",IF(_xlfn.XLOOKUP("App_Any_OR_RangeGt1000",'Scoring_Config'!$A:$A,'Scoring_Config'!$D:$D,"Yes")="Yes",_xlfn.XLOOKUP("App_Any_OR_RangeGt1000",'Scoring_Config'!$A:$A,'Scoring_Config'!$C:$C,25),0),0)+IF(LEFT(AM36,4)="True",IF(_xlfn.XLOOKUP("Service_Insecure_Match",'Scoring_Config'!$A:$A,'Scoring_Config'!$D:$D,"Yes")="Yes",_xlfn.XLOOKUP("Service_Insecure_Match",'Scoring_Config'!$A:$A,'Scoring_Config'!$C:$C,20),0),0)+IF(LEFT(AN36,4)="True",IF(_xlfn.XLOOKUP("Risky_Inbound",'Scoring_Config'!$A:$A,'Scoring_Config'!$D:$D,"Yes")="Yes",_xlfn.XLOOKUP("Risky_Inbound",'Scoring_Config'!$A:$A,'Scoring_Config'!$C:$C,20),0),0)+IF(LEFT(AO36,4)="True",IF(_xlfn.XLOOKUP("Risky_Outbound",'Scoring_Config'!$A:$A,'Scoring_Config'!$D:$D,"Yes")="Yes",_xlfn.XLOOKUP("Risky_Outbound",'Scoring_Config'!$A:$A,'Scoring_Config'!$C:$C,10),0),0)+IF(LEFT(AW36,4)="True",IF(_xlfn.XLOOKUP("Migrate_Insecure",'Scoring_Config'!$A:$A,'Scoring_Config'!$D:$D,"Yes")="Yes",_xlfn.XLOOKUP("Migrate_Insecure",'Scoring_Config'!$A:$A,'Scoring_Config'!$C:$C,15),0),0)+IF(LEFT(AY36,4)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,FIND(",",AP36)+1,100)),0)+IF(LEFT(AQ36,4)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,FIND(",",AR36)+1,100)),0)+IF(_xlfn.XLOOKUP("Profile_Scoring",'Scoring_Config'!$A:$A,'Scoring_Config'!$D:$D,"Yes")="Yes",VALUE(MID(AS36,FIND(",",AS36)+1,100)),0)+IF(_xlfn.XLOOKUP("Options_Scoring",'Scoring_Config'!$A:$A,'Scoring_Config'!$D:$D,"Yes")="Yes",VALUE(MID(AT36,FIND(",",AT36)+1,100)),0)))</f>
        <v>0</v>
      </c>
    </row>
    <row r="37" spans="1:52">
      <c r="A37" s="3" t="s">
        <v>52</v>
      </c>
      <c r="B37" s="3" t="s">
        <v>88</v>
      </c>
      <c r="C37" s="3" t="s">
        <v>329</v>
      </c>
      <c r="D37" s="3"/>
      <c r="E37" s="3" t="s">
        <v>359</v>
      </c>
      <c r="F37" s="3" t="s">
        <v>362</v>
      </c>
      <c r="G37" s="3" t="s">
        <v>383</v>
      </c>
      <c r="H37" s="3" t="s">
        <v>548</v>
      </c>
      <c r="I37" s="3" t="s">
        <v>622</v>
      </c>
      <c r="J37" s="3" t="s">
        <v>363</v>
      </c>
      <c r="K37" s="3" t="s">
        <v>372</v>
      </c>
      <c r="L37" s="3" t="s">
        <v>372</v>
      </c>
      <c r="M37" s="3" t="s">
        <v>774</v>
      </c>
      <c r="N37" s="3" t="s">
        <v>795</v>
      </c>
      <c r="O37" s="4" t="s">
        <v>821</v>
      </c>
      <c r="P37" s="3" t="s">
        <v>882</v>
      </c>
      <c r="Q37" s="3" t="s">
        <v>905</v>
      </c>
      <c r="R37" s="3" t="s">
        <v>911</v>
      </c>
      <c r="S37" s="3" t="s">
        <v>913</v>
      </c>
      <c r="T37" s="3" t="s">
        <v>943</v>
      </c>
      <c r="U37" s="3" t="s">
        <v>1171</v>
      </c>
      <c r="V37" s="3" t="s">
        <v>772</v>
      </c>
      <c r="W37" s="3" t="s">
        <v>926</v>
      </c>
      <c r="X37" s="3" t="s">
        <v>1641</v>
      </c>
      <c r="Y37" s="3" t="s">
        <v>2110</v>
      </c>
      <c r="Z37" s="3"/>
      <c r="AA37" s="3"/>
      <c r="AB37" s="3"/>
      <c r="AC37" s="4" cm="1">
        <f t="array" ref="AC37">IF(FALSE,"True," &amp; IF(_xlfn.XLOOKUP("Src_IsAny",'Scoring_Config'!$A:$A,'Scoring_Config'!$D:$D,"Yes")="Yes",_xlfn.XLOOKUP("Src_IsAny",'Scoring_Config'!$A:$A,'Scoring_Config'!$C:$C,25),0),"False,0")</f>
        <v>0</v>
      </c>
      <c r="AD37" s="4" cm="1">
        <f t="array" ref="AD37">IF(FALSE,"True," &amp; IF(_xlfn.XLOOKUP("Src_CIDR_Le_16",'Scoring_Config'!$A:$A,'Scoring_Config'!$D:$D,"Yes")="Yes",_xlfn.XLOOKUP("Src_CIDR_Le_16",'Scoring_Config'!$A:$A,'Scoring_Config'!$C:$C,25),0),"False,0")</f>
        <v>0</v>
      </c>
      <c r="AE37" s="4" cm="1">
        <f t="array" ref="AE37">IF(FALSE,"True," &amp; IF(_xlfn.XLOOKUP("Src_CIDR_17_22",'Scoring_Config'!$A:$A,'Scoring_Config'!$D:$D,"Yes")="Yes",_xlfn.XLOOKUP("Src_CIDR_17_22",'Scoring_Config'!$A:$A,'Scoring_Config'!$C:$C,15),0),"False,0")</f>
        <v>0</v>
      </c>
      <c r="AF37" s="4" cm="1">
        <f t="array" ref="AF37">IF(FALSE,"True," &amp; IF(_xlfn.XLOOKUP("Dst_IsAny",'Scoring_Config'!$A:$A,'Scoring_Config'!$D:$D,"Yes")="Yes",_xlfn.XLOOKUP("Dst_IsAny",'Scoring_Config'!$A:$A,'Scoring_Config'!$C:$C,25),0),"False,0")</f>
        <v>0</v>
      </c>
      <c r="AG37" s="4" cm="1">
        <f t="array" ref="AG37">IF(FALSE,"True," &amp; IF(_xlfn.XLOOKUP("Dst_CIDR_Le_16",'Scoring_Config'!$A:$A,'Scoring_Config'!$D:$D,"Yes")="Yes",_xlfn.XLOOKUP("Dst_CIDR_Le_16",'Scoring_Config'!$A:$A,'Scoring_Config'!$C:$C,25),0),"False,0")</f>
        <v>0</v>
      </c>
      <c r="AH37" s="4" cm="1">
        <f t="array" ref="AH37">IF(FALSE,"True," &amp; IF(_xlfn.XLOOKUP("Dst_CIDR_17_22",'Scoring_Config'!$A:$A,'Scoring_Config'!$D:$D,"Yes")="Yes",_xlfn.XLOOKUP("Dst_CIDR_17_22",'Scoring_Config'!$A:$A,'Scoring_Config'!$C:$C,15),0),"False,0")</f>
        <v>0</v>
      </c>
      <c r="AI37" s="4" cm="1">
        <f t="array" ref="AI37">IF(FALSE,"True," &amp; IF(_xlfn.XLOOKUP("SrcZone_IsAny",'Scoring_Config'!$A:$A,'Scoring_Config'!$D:$D,"Yes")="Yes",_xlfn.XLOOKUP("SrcZone_IsAny",'Scoring_Config'!$A:$A,'Scoring_Config'!$C:$C,5),0),"False,0")</f>
        <v>0</v>
      </c>
      <c r="AJ37" s="4" cm="1">
        <f t="array" ref="AJ37">IF(FALSE,"True," &amp; IF(_xlfn.XLOOKUP("DstZone_IsAny",'Scoring_Config'!$A:$A,'Scoring_Config'!$D:$D,"Yes")="Yes",_xlfn.XLOOKUP("DstZone_IsAny",'Scoring_Config'!$A:$A,'Scoring_Config'!$C:$C,5),0),"False,0")</f>
        <v>0</v>
      </c>
      <c r="AK37" s="4" cm="1">
        <f t="array" ref="AK3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" s="4" cm="1">
        <f t="array" ref="AL37">IF(FALSE,"True," &amp; IF(_xlfn.XLOOKUP("App_Any_OR_RangeGt1000",'Scoring_Config'!$A:$A,'Scoring_Config'!$D:$D,"Yes")="Yes",_xlfn.XLOOKUP("App_Any_OR_RangeGt1000",'Scoring_Config'!$A:$A,'Scoring_Config'!$C:$C,25),0),"False,0")</f>
        <v>0</v>
      </c>
      <c r="AM37" s="5" cm="1">
        <f t="array" ref="AM37">IF(TRUE,"True," &amp; IF(_xlfn.XLOOKUP("Service_Insecure_Match",'Scoring_Config'!$A:$A,'Scoring_Config'!$D:$D,"Yes")="Yes",_xlfn.XLOOKUP("Service_Insecure_Match",'Scoring_Config'!$A:$A,'Scoring_Config'!$C:$C,20),0),"False,0")</f>
        <v>0</v>
      </c>
      <c r="AN37" s="4" cm="1">
        <f t="array" ref="AN37">IF(FALSE,"True," &amp; IF(_xlfn.XLOOKUP("Risky_Inbound",'Scoring_Config'!$A:$A,'Scoring_Config'!$D:$D,"Yes")="Yes",_xlfn.XLOOKUP("Risky_Inbound",'Scoring_Config'!$A:$A,'Scoring_Config'!$C:$C,20),0),"False,0")</f>
        <v>0</v>
      </c>
      <c r="AO37" s="4" cm="1">
        <f t="array" ref="AO37">IF(FALSE,"True," &amp; IF(_xlfn.XLOOKUP("Risky_Outbound",'Scoring_Config'!$A:$A,'Scoring_Config'!$D:$D,"Yes")="Yes",_xlfn.XLOOKUP("Risky_Outbound",'Scoring_Config'!$A:$A,'Scoring_Config'!$C:$C,10),0),"False,0")</f>
        <v>0</v>
      </c>
      <c r="AP37" s="5" t="s">
        <v>2595</v>
      </c>
      <c r="AQ37" s="4" cm="1">
        <f t="array" ref="AQ3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" s="5" t="s">
        <v>2598</v>
      </c>
      <c r="AS37" s="4" t="s">
        <v>2592</v>
      </c>
      <c r="AT37" s="4" t="s">
        <v>2592</v>
      </c>
      <c r="AU37" s="4" cm="1">
        <f t="array" ref="AU37">IF(FALSE,"True," &amp; IF(_xlfn.XLOOKUP("Action_IsDenyOrDrop",'Scoring_Config'!$A:$A,'Scoring_Config'!$D:$D,"Yes")="Yes",_xlfn.XLOOKUP("Action_IsDenyOrDrop",'Scoring_Config'!$A:$A,'Scoring_Config'!$C:$C,0),0),"False,0")</f>
        <v>0</v>
      </c>
      <c r="AV37" s="4"/>
      <c r="AW37" s="4" cm="1">
        <f t="array" ref="AW37">IF(FALSE,"True," &amp; IF(_xlfn.XLOOKUP("Migrate_Insecure",'Scoring_Config'!$A:$A,'Scoring_Config'!$D:$D,"Yes")="Yes",_xlfn.XLOOKUP("Migrate_Insecure",'Scoring_Config'!$A:$A,'Scoring_Config'!$C:$C,15),0),"False,0")</f>
        <v>0</v>
      </c>
      <c r="AX37" s="4"/>
      <c r="AY37" s="4" cm="1">
        <f t="array" ref="AY37">IF(FALSE,"True," &amp; IF(_xlfn.XLOOKUP("Migrate_Other_Ports",'Scoring_Config'!$A:$A,'Scoring_Config'!$D:$D,"Yes")="Yes",_xlfn.XLOOKUP("Migrate_Other_Ports",'Scoring_Config'!$A:$A,'Scoring_Config'!$C:$C,5),0),"False,0")</f>
        <v>0</v>
      </c>
      <c r="AZ37" s="4" cm="1">
        <f t="array" ref="AZ37">IF(LEFT(AU37,4)="True",0,(IF(LEFT(AC37,4)="True",IF(_xlfn.XLOOKUP("Src_IsAny",'Scoring_Config'!$A:$A,'Scoring_Config'!$D:$D,"Yes")="Yes",_xlfn.XLOOKUP("Src_IsAny",'Scoring_Config'!$A:$A,'Scoring_Config'!$C:$C,25),0),0)+IF(LEFT(AD37,4)="True",IF(_xlfn.XLOOKUP("Src_CIDR_Le_16",'Scoring_Config'!$A:$A,'Scoring_Config'!$D:$D,"Yes")="Yes",_xlfn.XLOOKUP("Src_CIDR_Le_16",'Scoring_Config'!$A:$A,'Scoring_Config'!$C:$C,25),0),0)+IF(LEFT(AE37,4)="True",IF(_xlfn.XLOOKUP("Src_CIDR_17_22",'Scoring_Config'!$A:$A,'Scoring_Config'!$D:$D,"Yes")="Yes",_xlfn.XLOOKUP("Src_CIDR_17_22",'Scoring_Config'!$A:$A,'Scoring_Config'!$C:$C,15),0),0)+IF(LEFT(AF37,4)="True",IF(_xlfn.XLOOKUP("Dst_IsAny",'Scoring_Config'!$A:$A,'Scoring_Config'!$D:$D,"Yes")="Yes",_xlfn.XLOOKUP("Dst_IsAny",'Scoring_Config'!$A:$A,'Scoring_Config'!$C:$C,25),0),0)+IF(LEFT(AG37,4)="True",IF(_xlfn.XLOOKUP("Dst_CIDR_Le_16",'Scoring_Config'!$A:$A,'Scoring_Config'!$D:$D,"Yes")="Yes",_xlfn.XLOOKUP("Dst_CIDR_Le_16",'Scoring_Config'!$A:$A,'Scoring_Config'!$C:$C,25),0),0)+IF(LEFT(AH37,4)="True",IF(_xlfn.XLOOKUP("Dst_CIDR_17_22",'Scoring_Config'!$A:$A,'Scoring_Config'!$D:$D,"Yes")="Yes",_xlfn.XLOOKUP("Dst_CIDR_17_22",'Scoring_Config'!$A:$A,'Scoring_Config'!$C:$C,15),0),0)+IF(LEFT(AI37,4)="True",IF(_xlfn.XLOOKUP("SrcZone_IsAny",'Scoring_Config'!$A:$A,'Scoring_Config'!$D:$D,"Yes")="Yes",_xlfn.XLOOKUP("SrcZone_IsAny",'Scoring_Config'!$A:$A,'Scoring_Config'!$C:$C,5),0),0)+IF(LEFT(AJ37,4)="True",IF(_xlfn.XLOOKUP("DstZone_IsAny",'Scoring_Config'!$A:$A,'Scoring_Config'!$D:$D,"Yes")="Yes",_xlfn.XLOOKUP("DstZone_IsAny",'Scoring_Config'!$A:$A,'Scoring_Config'!$C:$C,5),0),0)+IF(LEFT(AK37,4)="True",IF(_xlfn.XLOOKUP("Service_Any_OR_RangeGt1000",'Scoring_Config'!$A:$A,'Scoring_Config'!$D:$D,"Yes")="Yes",_xlfn.XLOOKUP("Service_Any_OR_RangeGt1000",'Scoring_Config'!$A:$A,'Scoring_Config'!$C:$C,25),0),0)+IF(LEFT(AL37,4)="True",IF(_xlfn.XLOOKUP("App_Any_OR_RangeGt1000",'Scoring_Config'!$A:$A,'Scoring_Config'!$D:$D,"Yes")="Yes",_xlfn.XLOOKUP("App_Any_OR_RangeGt1000",'Scoring_Config'!$A:$A,'Scoring_Config'!$C:$C,25),0),0)+IF(LEFT(AM37,4)="True",IF(_xlfn.XLOOKUP("Service_Insecure_Match",'Scoring_Config'!$A:$A,'Scoring_Config'!$D:$D,"Yes")="Yes",_xlfn.XLOOKUP("Service_Insecure_Match",'Scoring_Config'!$A:$A,'Scoring_Config'!$C:$C,20),0),0)+IF(LEFT(AN37,4)="True",IF(_xlfn.XLOOKUP("Risky_Inbound",'Scoring_Config'!$A:$A,'Scoring_Config'!$D:$D,"Yes")="Yes",_xlfn.XLOOKUP("Risky_Inbound",'Scoring_Config'!$A:$A,'Scoring_Config'!$C:$C,20),0),0)+IF(LEFT(AO37,4)="True",IF(_xlfn.XLOOKUP("Risky_Outbound",'Scoring_Config'!$A:$A,'Scoring_Config'!$D:$D,"Yes")="Yes",_xlfn.XLOOKUP("Risky_Outbound",'Scoring_Config'!$A:$A,'Scoring_Config'!$C:$C,10),0),0)+IF(LEFT(AW37,4)="True",IF(_xlfn.XLOOKUP("Migrate_Insecure",'Scoring_Config'!$A:$A,'Scoring_Config'!$D:$D,"Yes")="Yes",_xlfn.XLOOKUP("Migrate_Insecure",'Scoring_Config'!$A:$A,'Scoring_Config'!$C:$C,15),0),0)+IF(LEFT(AY37,4)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,FIND(",",AP37)+1,100)),0)+IF(LEFT(AQ37,4)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,FIND(",",AR37)+1,100)),0)+IF(_xlfn.XLOOKUP("Profile_Scoring",'Scoring_Config'!$A:$A,'Scoring_Config'!$D:$D,"Yes")="Yes",VALUE(MID(AS37,FIND(",",AS37)+1,100)),0)+IF(_xlfn.XLOOKUP("Options_Scoring",'Scoring_Config'!$A:$A,'Scoring_Config'!$D:$D,"Yes")="Yes",VALUE(MID(AT37,FIND(",",AT37)+1,100)),0)))</f>
        <v>0</v>
      </c>
    </row>
    <row r="38" spans="1:52">
      <c r="A38" s="3" t="s">
        <v>52</v>
      </c>
      <c r="B38" s="3" t="s">
        <v>89</v>
      </c>
      <c r="C38" s="3" t="s">
        <v>329</v>
      </c>
      <c r="D38" s="3"/>
      <c r="E38" s="3" t="s">
        <v>359</v>
      </c>
      <c r="F38" s="3" t="s">
        <v>363</v>
      </c>
      <c r="G38" s="3" t="s">
        <v>365</v>
      </c>
      <c r="H38" s="3" t="s">
        <v>365</v>
      </c>
      <c r="I38" s="3" t="s">
        <v>624</v>
      </c>
      <c r="J38" s="3" t="s">
        <v>363</v>
      </c>
      <c r="K38" s="3" t="s">
        <v>636</v>
      </c>
      <c r="L38" s="3" t="s">
        <v>636</v>
      </c>
      <c r="M38" s="3" t="s">
        <v>769</v>
      </c>
      <c r="N38" s="3" t="s">
        <v>792</v>
      </c>
      <c r="O38" s="4" t="s">
        <v>823</v>
      </c>
      <c r="P38" s="3" t="s">
        <v>884</v>
      </c>
      <c r="Q38" s="3" t="s">
        <v>905</v>
      </c>
      <c r="R38" s="3" t="s">
        <v>906</v>
      </c>
      <c r="S38" s="3" t="s">
        <v>912</v>
      </c>
      <c r="T38" s="3" t="s">
        <v>944</v>
      </c>
      <c r="U38" s="3" t="s">
        <v>1157</v>
      </c>
      <c r="V38" s="3" t="s">
        <v>1389</v>
      </c>
      <c r="W38" s="3" t="s">
        <v>1418</v>
      </c>
      <c r="X38" s="3" t="s">
        <v>1642</v>
      </c>
      <c r="Y38" s="3" t="s">
        <v>2111</v>
      </c>
      <c r="Z38" s="3"/>
      <c r="AA38" s="3"/>
      <c r="AB38" s="3"/>
      <c r="AC38" s="5" cm="1">
        <f t="array" ref="AC38">IF(TRUE,"True," &amp; IF(_xlfn.XLOOKUP("Src_IsAny",'Scoring_Config'!$A:$A,'Scoring_Config'!$D:$D,"Yes")="Yes",_xlfn.XLOOKUP("Src_IsAny",'Scoring_Config'!$A:$A,'Scoring_Config'!$C:$C,25),0),"False,0")</f>
        <v>0</v>
      </c>
      <c r="AD38" s="4" cm="1">
        <f t="array" ref="AD38">IF(FALSE,"True," &amp; IF(_xlfn.XLOOKUP("Src_CIDR_Le_16",'Scoring_Config'!$A:$A,'Scoring_Config'!$D:$D,"Yes")="Yes",_xlfn.XLOOKUP("Src_CIDR_Le_16",'Scoring_Config'!$A:$A,'Scoring_Config'!$C:$C,25),0),"False,0")</f>
        <v>0</v>
      </c>
      <c r="AE38" s="4" cm="1">
        <f t="array" ref="AE38">IF(FALSE,"True," &amp; IF(_xlfn.XLOOKUP("Src_CIDR_17_22",'Scoring_Config'!$A:$A,'Scoring_Config'!$D:$D,"Yes")="Yes",_xlfn.XLOOKUP("Src_CIDR_17_22",'Scoring_Config'!$A:$A,'Scoring_Config'!$C:$C,15),0),"False,0")</f>
        <v>0</v>
      </c>
      <c r="AF38" s="4" cm="1">
        <f t="array" ref="AF38">IF(FALSE,"True," &amp; IF(_xlfn.XLOOKUP("Dst_IsAny",'Scoring_Config'!$A:$A,'Scoring_Config'!$D:$D,"Yes")="Yes",_xlfn.XLOOKUP("Dst_IsAny",'Scoring_Config'!$A:$A,'Scoring_Config'!$C:$C,25),0),"False,0")</f>
        <v>0</v>
      </c>
      <c r="AG38" s="4" cm="1">
        <f t="array" ref="AG38">IF(FALSE,"True," &amp; IF(_xlfn.XLOOKUP("Dst_CIDR_Le_16",'Scoring_Config'!$A:$A,'Scoring_Config'!$D:$D,"Yes")="Yes",_xlfn.XLOOKUP("Dst_CIDR_Le_16",'Scoring_Config'!$A:$A,'Scoring_Config'!$C:$C,25),0),"False,0")</f>
        <v>0</v>
      </c>
      <c r="AH38" s="4" cm="1">
        <f t="array" ref="AH38">IF(FALSE,"True," &amp; IF(_xlfn.XLOOKUP("Dst_CIDR_17_22",'Scoring_Config'!$A:$A,'Scoring_Config'!$D:$D,"Yes")="Yes",_xlfn.XLOOKUP("Dst_CIDR_17_22",'Scoring_Config'!$A:$A,'Scoring_Config'!$C:$C,15),0),"False,0")</f>
        <v>0</v>
      </c>
      <c r="AI38" s="4" cm="1">
        <f t="array" ref="AI38">IF(FALSE,"True," &amp; IF(_xlfn.XLOOKUP("SrcZone_IsAny",'Scoring_Config'!$A:$A,'Scoring_Config'!$D:$D,"Yes")="Yes",_xlfn.XLOOKUP("SrcZone_IsAny",'Scoring_Config'!$A:$A,'Scoring_Config'!$C:$C,5),0),"False,0")</f>
        <v>0</v>
      </c>
      <c r="AJ38" s="4" cm="1">
        <f t="array" ref="AJ38">IF(FALSE,"True," &amp; IF(_xlfn.XLOOKUP("DstZone_IsAny",'Scoring_Config'!$A:$A,'Scoring_Config'!$D:$D,"Yes")="Yes",_xlfn.XLOOKUP("DstZone_IsAny",'Scoring_Config'!$A:$A,'Scoring_Config'!$C:$C,5),0),"False,0")</f>
        <v>0</v>
      </c>
      <c r="AK38" s="4" cm="1">
        <f t="array" ref="AK3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" s="4" cm="1">
        <f t="array" ref="AL38">IF(FALSE,"True," &amp; IF(_xlfn.XLOOKUP("App_Any_OR_RangeGt1000",'Scoring_Config'!$A:$A,'Scoring_Config'!$D:$D,"Yes")="Yes",_xlfn.XLOOKUP("App_Any_OR_RangeGt1000",'Scoring_Config'!$A:$A,'Scoring_Config'!$C:$C,25),0),"False,0")</f>
        <v>0</v>
      </c>
      <c r="AM38" s="5" cm="1">
        <f t="array" ref="AM38">IF(TRUE,"True," &amp; IF(_xlfn.XLOOKUP("Service_Insecure_Match",'Scoring_Config'!$A:$A,'Scoring_Config'!$D:$D,"Yes")="Yes",_xlfn.XLOOKUP("Service_Insecure_Match",'Scoring_Config'!$A:$A,'Scoring_Config'!$C:$C,20),0),"False,0")</f>
        <v>0</v>
      </c>
      <c r="AN38" s="4" cm="1">
        <f t="array" ref="AN38">IF(FALSE,"True," &amp; IF(_xlfn.XLOOKUP("Risky_Inbound",'Scoring_Config'!$A:$A,'Scoring_Config'!$D:$D,"Yes")="Yes",_xlfn.XLOOKUP("Risky_Inbound",'Scoring_Config'!$A:$A,'Scoring_Config'!$C:$C,20),0),"False,0")</f>
        <v>0</v>
      </c>
      <c r="AO38" s="4" cm="1">
        <f t="array" ref="AO38">IF(FALSE,"True," &amp; IF(_xlfn.XLOOKUP("Risky_Outbound",'Scoring_Config'!$A:$A,'Scoring_Config'!$D:$D,"Yes")="Yes",_xlfn.XLOOKUP("Risky_Outbound",'Scoring_Config'!$A:$A,'Scoring_Config'!$C:$C,10),0),"False,0")</f>
        <v>0</v>
      </c>
      <c r="AP38" s="5" t="s">
        <v>2595</v>
      </c>
      <c r="AQ38" s="5" cm="1">
        <f t="array" ref="AQ3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" s="5" t="s">
        <v>2598</v>
      </c>
      <c r="AS38" s="4" t="s">
        <v>2592</v>
      </c>
      <c r="AT38" s="4" t="s">
        <v>2592</v>
      </c>
      <c r="AU38" s="4" cm="1">
        <f t="array" ref="AU38">IF(FALSE,"True," &amp; IF(_xlfn.XLOOKUP("Action_IsDenyOrDrop",'Scoring_Config'!$A:$A,'Scoring_Config'!$D:$D,"Yes")="Yes",_xlfn.XLOOKUP("Action_IsDenyOrDrop",'Scoring_Config'!$A:$A,'Scoring_Config'!$C:$C,0),0),"False,0")</f>
        <v>0</v>
      </c>
      <c r="AV38" s="4"/>
      <c r="AW38" s="4" cm="1">
        <f t="array" ref="AW38">IF(FALSE,"True," &amp; IF(_xlfn.XLOOKUP("Migrate_Insecure",'Scoring_Config'!$A:$A,'Scoring_Config'!$D:$D,"Yes")="Yes",_xlfn.XLOOKUP("Migrate_Insecure",'Scoring_Config'!$A:$A,'Scoring_Config'!$C:$C,15),0),"False,0")</f>
        <v>0</v>
      </c>
      <c r="AX38" s="4"/>
      <c r="AY38" s="4" cm="1">
        <f t="array" ref="AY38">IF(FALSE,"True," &amp; IF(_xlfn.XLOOKUP("Migrate_Other_Ports",'Scoring_Config'!$A:$A,'Scoring_Config'!$D:$D,"Yes")="Yes",_xlfn.XLOOKUP("Migrate_Other_Ports",'Scoring_Config'!$A:$A,'Scoring_Config'!$C:$C,5),0),"False,0")</f>
        <v>0</v>
      </c>
      <c r="AZ38" s="4" cm="1">
        <f t="array" ref="AZ38">IF(LEFT(AU38,4)="True",0,(IF(LEFT(AC38,4)="True",IF(_xlfn.XLOOKUP("Src_IsAny",'Scoring_Config'!$A:$A,'Scoring_Config'!$D:$D,"Yes")="Yes",_xlfn.XLOOKUP("Src_IsAny",'Scoring_Config'!$A:$A,'Scoring_Config'!$C:$C,25),0),0)+IF(LEFT(AD38,4)="True",IF(_xlfn.XLOOKUP("Src_CIDR_Le_16",'Scoring_Config'!$A:$A,'Scoring_Config'!$D:$D,"Yes")="Yes",_xlfn.XLOOKUP("Src_CIDR_Le_16",'Scoring_Config'!$A:$A,'Scoring_Config'!$C:$C,25),0),0)+IF(LEFT(AE38,4)="True",IF(_xlfn.XLOOKUP("Src_CIDR_17_22",'Scoring_Config'!$A:$A,'Scoring_Config'!$D:$D,"Yes")="Yes",_xlfn.XLOOKUP("Src_CIDR_17_22",'Scoring_Config'!$A:$A,'Scoring_Config'!$C:$C,15),0),0)+IF(LEFT(AF38,4)="True",IF(_xlfn.XLOOKUP("Dst_IsAny",'Scoring_Config'!$A:$A,'Scoring_Config'!$D:$D,"Yes")="Yes",_xlfn.XLOOKUP("Dst_IsAny",'Scoring_Config'!$A:$A,'Scoring_Config'!$C:$C,25),0),0)+IF(LEFT(AG38,4)="True",IF(_xlfn.XLOOKUP("Dst_CIDR_Le_16",'Scoring_Config'!$A:$A,'Scoring_Config'!$D:$D,"Yes")="Yes",_xlfn.XLOOKUP("Dst_CIDR_Le_16",'Scoring_Config'!$A:$A,'Scoring_Config'!$C:$C,25),0),0)+IF(LEFT(AH38,4)="True",IF(_xlfn.XLOOKUP("Dst_CIDR_17_22",'Scoring_Config'!$A:$A,'Scoring_Config'!$D:$D,"Yes")="Yes",_xlfn.XLOOKUP("Dst_CIDR_17_22",'Scoring_Config'!$A:$A,'Scoring_Config'!$C:$C,15),0),0)+IF(LEFT(AI38,4)="True",IF(_xlfn.XLOOKUP("SrcZone_IsAny",'Scoring_Config'!$A:$A,'Scoring_Config'!$D:$D,"Yes")="Yes",_xlfn.XLOOKUP("SrcZone_IsAny",'Scoring_Config'!$A:$A,'Scoring_Config'!$C:$C,5),0),0)+IF(LEFT(AJ38,4)="True",IF(_xlfn.XLOOKUP("DstZone_IsAny",'Scoring_Config'!$A:$A,'Scoring_Config'!$D:$D,"Yes")="Yes",_xlfn.XLOOKUP("DstZone_IsAny",'Scoring_Config'!$A:$A,'Scoring_Config'!$C:$C,5),0),0)+IF(LEFT(AK38,4)="True",IF(_xlfn.XLOOKUP("Service_Any_OR_RangeGt1000",'Scoring_Config'!$A:$A,'Scoring_Config'!$D:$D,"Yes")="Yes",_xlfn.XLOOKUP("Service_Any_OR_RangeGt1000",'Scoring_Config'!$A:$A,'Scoring_Config'!$C:$C,25),0),0)+IF(LEFT(AL38,4)="True",IF(_xlfn.XLOOKUP("App_Any_OR_RangeGt1000",'Scoring_Config'!$A:$A,'Scoring_Config'!$D:$D,"Yes")="Yes",_xlfn.XLOOKUP("App_Any_OR_RangeGt1000",'Scoring_Config'!$A:$A,'Scoring_Config'!$C:$C,25),0),0)+IF(LEFT(AM38,4)="True",IF(_xlfn.XLOOKUP("Service_Insecure_Match",'Scoring_Config'!$A:$A,'Scoring_Config'!$D:$D,"Yes")="Yes",_xlfn.XLOOKUP("Service_Insecure_Match",'Scoring_Config'!$A:$A,'Scoring_Config'!$C:$C,20),0),0)+IF(LEFT(AN38,4)="True",IF(_xlfn.XLOOKUP("Risky_Inbound",'Scoring_Config'!$A:$A,'Scoring_Config'!$D:$D,"Yes")="Yes",_xlfn.XLOOKUP("Risky_Inbound",'Scoring_Config'!$A:$A,'Scoring_Config'!$C:$C,20),0),0)+IF(LEFT(AO38,4)="True",IF(_xlfn.XLOOKUP("Risky_Outbound",'Scoring_Config'!$A:$A,'Scoring_Config'!$D:$D,"Yes")="Yes",_xlfn.XLOOKUP("Risky_Outbound",'Scoring_Config'!$A:$A,'Scoring_Config'!$C:$C,10),0),0)+IF(LEFT(AW38,4)="True",IF(_xlfn.XLOOKUP("Migrate_Insecure",'Scoring_Config'!$A:$A,'Scoring_Config'!$D:$D,"Yes")="Yes",_xlfn.XLOOKUP("Migrate_Insecure",'Scoring_Config'!$A:$A,'Scoring_Config'!$C:$C,15),0),0)+IF(LEFT(AY38,4)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,FIND(",",AP38)+1,100)),0)+IF(LEFT(AQ38,4)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,FIND(",",AR38)+1,100)),0)+IF(_xlfn.XLOOKUP("Profile_Scoring",'Scoring_Config'!$A:$A,'Scoring_Config'!$D:$D,"Yes")="Yes",VALUE(MID(AS38,FIND(",",AS38)+1,100)),0)+IF(_xlfn.XLOOKUP("Options_Scoring",'Scoring_Config'!$A:$A,'Scoring_Config'!$D:$D,"Yes")="Yes",VALUE(MID(AT38,FIND(",",AT38)+1,100)),0)))</f>
        <v>0</v>
      </c>
    </row>
    <row r="39" spans="1:52">
      <c r="A39" s="3" t="s">
        <v>52</v>
      </c>
      <c r="B39" s="3" t="s">
        <v>77</v>
      </c>
      <c r="C39" s="3" t="s">
        <v>329</v>
      </c>
      <c r="D39" s="3"/>
      <c r="E39" s="3" t="s">
        <v>359</v>
      </c>
      <c r="F39" s="3" t="s">
        <v>360</v>
      </c>
      <c r="G39" s="3" t="s">
        <v>365</v>
      </c>
      <c r="H39" s="3" t="s">
        <v>365</v>
      </c>
      <c r="I39" s="3" t="s">
        <v>365</v>
      </c>
      <c r="J39" s="3" t="s">
        <v>365</v>
      </c>
      <c r="K39" s="3" t="s">
        <v>637</v>
      </c>
      <c r="L39" s="3" t="s">
        <v>637</v>
      </c>
      <c r="M39" s="3" t="s">
        <v>769</v>
      </c>
      <c r="N39" s="3" t="s">
        <v>792</v>
      </c>
      <c r="O39" s="4" t="s">
        <v>824</v>
      </c>
      <c r="P39" s="3" t="s">
        <v>885</v>
      </c>
      <c r="Q39" s="3" t="s">
        <v>905</v>
      </c>
      <c r="R39" s="3" t="s">
        <v>911</v>
      </c>
      <c r="S39" s="3" t="s">
        <v>912</v>
      </c>
      <c r="T39" s="3" t="s">
        <v>919</v>
      </c>
      <c r="U39" s="3" t="s">
        <v>1172</v>
      </c>
      <c r="V39" s="3" t="s">
        <v>1389</v>
      </c>
      <c r="W39" s="3" t="s">
        <v>1419</v>
      </c>
      <c r="X39" s="3" t="s">
        <v>1643</v>
      </c>
      <c r="Y39" s="3" t="s">
        <v>2112</v>
      </c>
      <c r="Z39" s="3"/>
      <c r="AA39" s="3"/>
      <c r="AB39" s="3"/>
      <c r="AC39" s="5" cm="1">
        <f t="array" ref="AC39">IF(TRUE,"True," &amp; IF(_xlfn.XLOOKUP("Src_IsAny",'Scoring_Config'!$A:$A,'Scoring_Config'!$D:$D,"Yes")="Yes",_xlfn.XLOOKUP("Src_IsAny",'Scoring_Config'!$A:$A,'Scoring_Config'!$C:$C,25),0),"False,0")</f>
        <v>0</v>
      </c>
      <c r="AD39" s="4" cm="1">
        <f t="array" ref="AD39">IF(FALSE,"True," &amp; IF(_xlfn.XLOOKUP("Src_CIDR_Le_16",'Scoring_Config'!$A:$A,'Scoring_Config'!$D:$D,"Yes")="Yes",_xlfn.XLOOKUP("Src_CIDR_Le_16",'Scoring_Config'!$A:$A,'Scoring_Config'!$C:$C,25),0),"False,0")</f>
        <v>0</v>
      </c>
      <c r="AE39" s="4" cm="1">
        <f t="array" ref="AE39">IF(FALSE,"True," &amp; IF(_xlfn.XLOOKUP("Src_CIDR_17_22",'Scoring_Config'!$A:$A,'Scoring_Config'!$D:$D,"Yes")="Yes",_xlfn.XLOOKUP("Src_CIDR_17_22",'Scoring_Config'!$A:$A,'Scoring_Config'!$C:$C,15),0),"False,0")</f>
        <v>0</v>
      </c>
      <c r="AF39" s="4" cm="1">
        <f t="array" ref="AF39">IF(FALSE,"True," &amp; IF(_xlfn.XLOOKUP("Dst_IsAny",'Scoring_Config'!$A:$A,'Scoring_Config'!$D:$D,"Yes")="Yes",_xlfn.XLOOKUP("Dst_IsAny",'Scoring_Config'!$A:$A,'Scoring_Config'!$C:$C,25),0),"False,0")</f>
        <v>0</v>
      </c>
      <c r="AG39" s="4" cm="1">
        <f t="array" ref="AG39">IF(FALSE,"True," &amp; IF(_xlfn.XLOOKUP("Dst_CIDR_Le_16",'Scoring_Config'!$A:$A,'Scoring_Config'!$D:$D,"Yes")="Yes",_xlfn.XLOOKUP("Dst_CIDR_Le_16",'Scoring_Config'!$A:$A,'Scoring_Config'!$C:$C,25),0),"False,0")</f>
        <v>0</v>
      </c>
      <c r="AH39" s="4" cm="1">
        <f t="array" ref="AH39">IF(FALSE,"True," &amp; IF(_xlfn.XLOOKUP("Dst_CIDR_17_22",'Scoring_Config'!$A:$A,'Scoring_Config'!$D:$D,"Yes")="Yes",_xlfn.XLOOKUP("Dst_CIDR_17_22",'Scoring_Config'!$A:$A,'Scoring_Config'!$C:$C,15),0),"False,0")</f>
        <v>0</v>
      </c>
      <c r="AI39" s="4" cm="1">
        <f t="array" ref="AI39">IF(FALSE,"True," &amp; IF(_xlfn.XLOOKUP("SrcZone_IsAny",'Scoring_Config'!$A:$A,'Scoring_Config'!$D:$D,"Yes")="Yes",_xlfn.XLOOKUP("SrcZone_IsAny",'Scoring_Config'!$A:$A,'Scoring_Config'!$C:$C,5),0),"False,0")</f>
        <v>0</v>
      </c>
      <c r="AJ39" s="5" cm="1">
        <f t="array" ref="AJ39">IF(TRUE,"True," &amp; IF(_xlfn.XLOOKUP("DstZone_IsAny",'Scoring_Config'!$A:$A,'Scoring_Config'!$D:$D,"Yes")="Yes",_xlfn.XLOOKUP("DstZone_IsAny",'Scoring_Config'!$A:$A,'Scoring_Config'!$C:$C,5),0),"False,0")</f>
        <v>0</v>
      </c>
      <c r="AK39" s="4" cm="1">
        <f t="array" ref="AK3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" s="4" cm="1">
        <f t="array" ref="AL39">IF(FALSE,"True," &amp; IF(_xlfn.XLOOKUP("App_Any_OR_RangeGt1000",'Scoring_Config'!$A:$A,'Scoring_Config'!$D:$D,"Yes")="Yes",_xlfn.XLOOKUP("App_Any_OR_RangeGt1000",'Scoring_Config'!$A:$A,'Scoring_Config'!$C:$C,25),0),"False,0")</f>
        <v>0</v>
      </c>
      <c r="AM39" s="5" cm="1">
        <f t="array" ref="AM39">IF(TRUE,"True," &amp; IF(_xlfn.XLOOKUP("Service_Insecure_Match",'Scoring_Config'!$A:$A,'Scoring_Config'!$D:$D,"Yes")="Yes",_xlfn.XLOOKUP("Service_Insecure_Match",'Scoring_Config'!$A:$A,'Scoring_Config'!$C:$C,20),0),"False,0")</f>
        <v>0</v>
      </c>
      <c r="AN39" s="4" cm="1">
        <f t="array" ref="AN39">IF(FALSE,"True," &amp; IF(_xlfn.XLOOKUP("Risky_Inbound",'Scoring_Config'!$A:$A,'Scoring_Config'!$D:$D,"Yes")="Yes",_xlfn.XLOOKUP("Risky_Inbound",'Scoring_Config'!$A:$A,'Scoring_Config'!$C:$C,20),0),"False,0")</f>
        <v>0</v>
      </c>
      <c r="AO39" s="4" cm="1">
        <f t="array" ref="AO39">IF(FALSE,"True," &amp; IF(_xlfn.XLOOKUP("Risky_Outbound",'Scoring_Config'!$A:$A,'Scoring_Config'!$D:$D,"Yes")="Yes",_xlfn.XLOOKUP("Risky_Outbound",'Scoring_Config'!$A:$A,'Scoring_Config'!$C:$C,10),0),"False,0")</f>
        <v>0</v>
      </c>
      <c r="AP39" s="5" t="s">
        <v>2595</v>
      </c>
      <c r="AQ39" s="4" cm="1">
        <f t="array" ref="AQ3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" s="4" t="s">
        <v>2592</v>
      </c>
      <c r="AS39" s="4" t="s">
        <v>2592</v>
      </c>
      <c r="AT39" s="4" t="s">
        <v>2592</v>
      </c>
      <c r="AU39" s="4" cm="1">
        <f t="array" ref="AU39">IF(FALSE,"True," &amp; IF(_xlfn.XLOOKUP("Action_IsDenyOrDrop",'Scoring_Config'!$A:$A,'Scoring_Config'!$D:$D,"Yes")="Yes",_xlfn.XLOOKUP("Action_IsDenyOrDrop",'Scoring_Config'!$A:$A,'Scoring_Config'!$C:$C,0),0),"False,0")</f>
        <v>0</v>
      </c>
      <c r="AV39" s="4"/>
      <c r="AW39" s="4" cm="1">
        <f t="array" ref="AW39">IF(FALSE,"True," &amp; IF(_xlfn.XLOOKUP("Migrate_Insecure",'Scoring_Config'!$A:$A,'Scoring_Config'!$D:$D,"Yes")="Yes",_xlfn.XLOOKUP("Migrate_Insecure",'Scoring_Config'!$A:$A,'Scoring_Config'!$C:$C,15),0),"False,0")</f>
        <v>0</v>
      </c>
      <c r="AX39" s="4"/>
      <c r="AY39" s="4" cm="1">
        <f t="array" ref="AY39">IF(FALSE,"True," &amp; IF(_xlfn.XLOOKUP("Migrate_Other_Ports",'Scoring_Config'!$A:$A,'Scoring_Config'!$D:$D,"Yes")="Yes",_xlfn.XLOOKUP("Migrate_Other_Ports",'Scoring_Config'!$A:$A,'Scoring_Config'!$C:$C,5),0),"False,0")</f>
        <v>0</v>
      </c>
      <c r="AZ39" s="4" cm="1">
        <f t="array" ref="AZ39">IF(LEFT(AU39,4)="True",0,(IF(LEFT(AC39,4)="True",IF(_xlfn.XLOOKUP("Src_IsAny",'Scoring_Config'!$A:$A,'Scoring_Config'!$D:$D,"Yes")="Yes",_xlfn.XLOOKUP("Src_IsAny",'Scoring_Config'!$A:$A,'Scoring_Config'!$C:$C,25),0),0)+IF(LEFT(AD39,4)="True",IF(_xlfn.XLOOKUP("Src_CIDR_Le_16",'Scoring_Config'!$A:$A,'Scoring_Config'!$D:$D,"Yes")="Yes",_xlfn.XLOOKUP("Src_CIDR_Le_16",'Scoring_Config'!$A:$A,'Scoring_Config'!$C:$C,25),0),0)+IF(LEFT(AE39,4)="True",IF(_xlfn.XLOOKUP("Src_CIDR_17_22",'Scoring_Config'!$A:$A,'Scoring_Config'!$D:$D,"Yes")="Yes",_xlfn.XLOOKUP("Src_CIDR_17_22",'Scoring_Config'!$A:$A,'Scoring_Config'!$C:$C,15),0),0)+IF(LEFT(AF39,4)="True",IF(_xlfn.XLOOKUP("Dst_IsAny",'Scoring_Config'!$A:$A,'Scoring_Config'!$D:$D,"Yes")="Yes",_xlfn.XLOOKUP("Dst_IsAny",'Scoring_Config'!$A:$A,'Scoring_Config'!$C:$C,25),0),0)+IF(LEFT(AG39,4)="True",IF(_xlfn.XLOOKUP("Dst_CIDR_Le_16",'Scoring_Config'!$A:$A,'Scoring_Config'!$D:$D,"Yes")="Yes",_xlfn.XLOOKUP("Dst_CIDR_Le_16",'Scoring_Config'!$A:$A,'Scoring_Config'!$C:$C,25),0),0)+IF(LEFT(AH39,4)="True",IF(_xlfn.XLOOKUP("Dst_CIDR_17_22",'Scoring_Config'!$A:$A,'Scoring_Config'!$D:$D,"Yes")="Yes",_xlfn.XLOOKUP("Dst_CIDR_17_22",'Scoring_Config'!$A:$A,'Scoring_Config'!$C:$C,15),0),0)+IF(LEFT(AI39,4)="True",IF(_xlfn.XLOOKUP("SrcZone_IsAny",'Scoring_Config'!$A:$A,'Scoring_Config'!$D:$D,"Yes")="Yes",_xlfn.XLOOKUP("SrcZone_IsAny",'Scoring_Config'!$A:$A,'Scoring_Config'!$C:$C,5),0),0)+IF(LEFT(AJ39,4)="True",IF(_xlfn.XLOOKUP("DstZone_IsAny",'Scoring_Config'!$A:$A,'Scoring_Config'!$D:$D,"Yes")="Yes",_xlfn.XLOOKUP("DstZone_IsAny",'Scoring_Config'!$A:$A,'Scoring_Config'!$C:$C,5),0),0)+IF(LEFT(AK39,4)="True",IF(_xlfn.XLOOKUP("Service_Any_OR_RangeGt1000",'Scoring_Config'!$A:$A,'Scoring_Config'!$D:$D,"Yes")="Yes",_xlfn.XLOOKUP("Service_Any_OR_RangeGt1000",'Scoring_Config'!$A:$A,'Scoring_Config'!$C:$C,25),0),0)+IF(LEFT(AL39,4)="True",IF(_xlfn.XLOOKUP("App_Any_OR_RangeGt1000",'Scoring_Config'!$A:$A,'Scoring_Config'!$D:$D,"Yes")="Yes",_xlfn.XLOOKUP("App_Any_OR_RangeGt1000",'Scoring_Config'!$A:$A,'Scoring_Config'!$C:$C,25),0),0)+IF(LEFT(AM39,4)="True",IF(_xlfn.XLOOKUP("Service_Insecure_Match",'Scoring_Config'!$A:$A,'Scoring_Config'!$D:$D,"Yes")="Yes",_xlfn.XLOOKUP("Service_Insecure_Match",'Scoring_Config'!$A:$A,'Scoring_Config'!$C:$C,20),0),0)+IF(LEFT(AN39,4)="True",IF(_xlfn.XLOOKUP("Risky_Inbound",'Scoring_Config'!$A:$A,'Scoring_Config'!$D:$D,"Yes")="Yes",_xlfn.XLOOKUP("Risky_Inbound",'Scoring_Config'!$A:$A,'Scoring_Config'!$C:$C,20),0),0)+IF(LEFT(AO39,4)="True",IF(_xlfn.XLOOKUP("Risky_Outbound",'Scoring_Config'!$A:$A,'Scoring_Config'!$D:$D,"Yes")="Yes",_xlfn.XLOOKUP("Risky_Outbound",'Scoring_Config'!$A:$A,'Scoring_Config'!$C:$C,10),0),0)+IF(LEFT(AW39,4)="True",IF(_xlfn.XLOOKUP("Migrate_Insecure",'Scoring_Config'!$A:$A,'Scoring_Config'!$D:$D,"Yes")="Yes",_xlfn.XLOOKUP("Migrate_Insecure",'Scoring_Config'!$A:$A,'Scoring_Config'!$C:$C,15),0),0)+IF(LEFT(AY39,4)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,FIND(",",AP39)+1,100)),0)+IF(LEFT(AQ39,4)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,FIND(",",AR39)+1,100)),0)+IF(_xlfn.XLOOKUP("Profile_Scoring",'Scoring_Config'!$A:$A,'Scoring_Config'!$D:$D,"Yes")="Yes",VALUE(MID(AS39,FIND(",",AS39)+1,100)),0)+IF(_xlfn.XLOOKUP("Options_Scoring",'Scoring_Config'!$A:$A,'Scoring_Config'!$D:$D,"Yes")="Yes",VALUE(MID(AT39,FIND(",",AT39)+1,100)),0)))</f>
        <v>0</v>
      </c>
    </row>
    <row r="40" spans="1:52">
      <c r="A40" s="3" t="s">
        <v>52</v>
      </c>
      <c r="B40" s="3" t="s">
        <v>90</v>
      </c>
      <c r="C40" s="3" t="s">
        <v>329</v>
      </c>
      <c r="D40" s="3"/>
      <c r="E40" s="3" t="s">
        <v>359</v>
      </c>
      <c r="F40" s="3" t="s">
        <v>364</v>
      </c>
      <c r="G40" s="3" t="s">
        <v>365</v>
      </c>
      <c r="H40" s="3" t="s">
        <v>365</v>
      </c>
      <c r="I40" s="3" t="s">
        <v>365</v>
      </c>
      <c r="J40" s="3" t="s">
        <v>364</v>
      </c>
      <c r="K40" s="3" t="s">
        <v>393</v>
      </c>
      <c r="L40" s="3" t="s">
        <v>554</v>
      </c>
      <c r="M40" s="3" t="s">
        <v>770</v>
      </c>
      <c r="N40" s="3" t="s">
        <v>770</v>
      </c>
      <c r="O40" s="4" t="s">
        <v>825</v>
      </c>
      <c r="P40" s="3" t="s">
        <v>886</v>
      </c>
      <c r="Q40" s="3" t="s">
        <v>905</v>
      </c>
      <c r="R40" s="3" t="s">
        <v>908</v>
      </c>
      <c r="S40" s="3" t="s">
        <v>914</v>
      </c>
      <c r="T40" s="3" t="s">
        <v>945</v>
      </c>
      <c r="U40" s="3" t="s">
        <v>1173</v>
      </c>
      <c r="V40" s="3" t="s">
        <v>1387</v>
      </c>
      <c r="W40" s="3" t="s">
        <v>1420</v>
      </c>
      <c r="X40" s="3" t="s">
        <v>1644</v>
      </c>
      <c r="Y40" s="3" t="s">
        <v>2113</v>
      </c>
      <c r="Z40" s="3"/>
      <c r="AA40" s="3"/>
      <c r="AB40" s="3"/>
      <c r="AC40" s="5" cm="1">
        <f t="array" ref="AC40">IF(TRUE,"True," &amp; IF(_xlfn.XLOOKUP("Src_IsAny",'Scoring_Config'!$A:$A,'Scoring_Config'!$D:$D,"Yes")="Yes",_xlfn.XLOOKUP("Src_IsAny",'Scoring_Config'!$A:$A,'Scoring_Config'!$C:$C,25),0),"False,0")</f>
        <v>0</v>
      </c>
      <c r="AD40" s="4" cm="1">
        <f t="array" ref="AD40">IF(FALSE,"True," &amp; IF(_xlfn.XLOOKUP("Src_CIDR_Le_16",'Scoring_Config'!$A:$A,'Scoring_Config'!$D:$D,"Yes")="Yes",_xlfn.XLOOKUP("Src_CIDR_Le_16",'Scoring_Config'!$A:$A,'Scoring_Config'!$C:$C,25),0),"False,0")</f>
        <v>0</v>
      </c>
      <c r="AE40" s="4" cm="1">
        <f t="array" ref="AE40">IF(FALSE,"True," &amp; IF(_xlfn.XLOOKUP("Src_CIDR_17_22",'Scoring_Config'!$A:$A,'Scoring_Config'!$D:$D,"Yes")="Yes",_xlfn.XLOOKUP("Src_CIDR_17_22",'Scoring_Config'!$A:$A,'Scoring_Config'!$C:$C,15),0),"False,0")</f>
        <v>0</v>
      </c>
      <c r="AF40" s="4" cm="1">
        <f t="array" ref="AF40">IF(FALSE,"True," &amp; IF(_xlfn.XLOOKUP("Dst_IsAny",'Scoring_Config'!$A:$A,'Scoring_Config'!$D:$D,"Yes")="Yes",_xlfn.XLOOKUP("Dst_IsAny",'Scoring_Config'!$A:$A,'Scoring_Config'!$C:$C,25),0),"False,0")</f>
        <v>0</v>
      </c>
      <c r="AG40" s="4" cm="1">
        <f t="array" ref="AG40">IF(FALSE,"True," &amp; IF(_xlfn.XLOOKUP("Dst_CIDR_Le_16",'Scoring_Config'!$A:$A,'Scoring_Config'!$D:$D,"Yes")="Yes",_xlfn.XLOOKUP("Dst_CIDR_Le_16",'Scoring_Config'!$A:$A,'Scoring_Config'!$C:$C,25),0),"False,0")</f>
        <v>0</v>
      </c>
      <c r="AH40" s="4" cm="1">
        <f t="array" ref="AH40">IF(FALSE,"True," &amp; IF(_xlfn.XLOOKUP("Dst_CIDR_17_22",'Scoring_Config'!$A:$A,'Scoring_Config'!$D:$D,"Yes")="Yes",_xlfn.XLOOKUP("Dst_CIDR_17_22",'Scoring_Config'!$A:$A,'Scoring_Config'!$C:$C,15),0),"False,0")</f>
        <v>0</v>
      </c>
      <c r="AI40" s="4" cm="1">
        <f t="array" ref="AI40">IF(FALSE,"True," &amp; IF(_xlfn.XLOOKUP("SrcZone_IsAny",'Scoring_Config'!$A:$A,'Scoring_Config'!$D:$D,"Yes")="Yes",_xlfn.XLOOKUP("SrcZone_IsAny",'Scoring_Config'!$A:$A,'Scoring_Config'!$C:$C,5),0),"False,0")</f>
        <v>0</v>
      </c>
      <c r="AJ40" s="4" cm="1">
        <f t="array" ref="AJ40">IF(FALSE,"True," &amp; IF(_xlfn.XLOOKUP("DstZone_IsAny",'Scoring_Config'!$A:$A,'Scoring_Config'!$D:$D,"Yes")="Yes",_xlfn.XLOOKUP("DstZone_IsAny",'Scoring_Config'!$A:$A,'Scoring_Config'!$C:$C,5),0),"False,0")</f>
        <v>0</v>
      </c>
      <c r="AK40" s="4" cm="1">
        <f t="array" ref="AK4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" s="4" cm="1">
        <f t="array" ref="AL40">IF(FALSE,"True," &amp; IF(_xlfn.XLOOKUP("App_Any_OR_RangeGt1000",'Scoring_Config'!$A:$A,'Scoring_Config'!$D:$D,"Yes")="Yes",_xlfn.XLOOKUP("App_Any_OR_RangeGt1000",'Scoring_Config'!$A:$A,'Scoring_Config'!$C:$C,25),0),"False,0")</f>
        <v>0</v>
      </c>
      <c r="AM40" s="5" cm="1">
        <f t="array" ref="AM40">IF(TRUE,"True," &amp; IF(_xlfn.XLOOKUP("Service_Insecure_Match",'Scoring_Config'!$A:$A,'Scoring_Config'!$D:$D,"Yes")="Yes",_xlfn.XLOOKUP("Service_Insecure_Match",'Scoring_Config'!$A:$A,'Scoring_Config'!$C:$C,20),0),"False,0")</f>
        <v>0</v>
      </c>
      <c r="AN40" s="4" cm="1">
        <f t="array" ref="AN40">IF(FALSE,"True," &amp; IF(_xlfn.XLOOKUP("Risky_Inbound",'Scoring_Config'!$A:$A,'Scoring_Config'!$D:$D,"Yes")="Yes",_xlfn.XLOOKUP("Risky_Inbound",'Scoring_Config'!$A:$A,'Scoring_Config'!$C:$C,20),0),"False,0")</f>
        <v>0</v>
      </c>
      <c r="AO40" s="4" cm="1">
        <f t="array" ref="AO40">IF(FALSE,"True," &amp; IF(_xlfn.XLOOKUP("Risky_Outbound",'Scoring_Config'!$A:$A,'Scoring_Config'!$D:$D,"Yes")="Yes",_xlfn.XLOOKUP("Risky_Outbound",'Scoring_Config'!$A:$A,'Scoring_Config'!$C:$C,10),0),"False,0")</f>
        <v>0</v>
      </c>
      <c r="AP40" s="5" t="s">
        <v>2595</v>
      </c>
      <c r="AQ40" s="4" cm="1">
        <f t="array" ref="AQ4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" s="4" t="s">
        <v>2592</v>
      </c>
      <c r="AS40" s="4" t="s">
        <v>2592</v>
      </c>
      <c r="AT40" s="4" t="s">
        <v>2592</v>
      </c>
      <c r="AU40" s="4" cm="1">
        <f t="array" ref="AU40">IF(FALSE,"True," &amp; IF(_xlfn.XLOOKUP("Action_IsDenyOrDrop",'Scoring_Config'!$A:$A,'Scoring_Config'!$D:$D,"Yes")="Yes",_xlfn.XLOOKUP("Action_IsDenyOrDrop",'Scoring_Config'!$A:$A,'Scoring_Config'!$C:$C,0),0),"False,0")</f>
        <v>0</v>
      </c>
      <c r="AV40" s="4"/>
      <c r="AW40" s="4" cm="1">
        <f t="array" ref="AW40">IF(FALSE,"True," &amp; IF(_xlfn.XLOOKUP("Migrate_Insecure",'Scoring_Config'!$A:$A,'Scoring_Config'!$D:$D,"Yes")="Yes",_xlfn.XLOOKUP("Migrate_Insecure",'Scoring_Config'!$A:$A,'Scoring_Config'!$C:$C,15),0),"False,0")</f>
        <v>0</v>
      </c>
      <c r="AX40" s="4"/>
      <c r="AY40" s="4" cm="1">
        <f t="array" ref="AY40">IF(FALSE,"True," &amp; IF(_xlfn.XLOOKUP("Migrate_Other_Ports",'Scoring_Config'!$A:$A,'Scoring_Config'!$D:$D,"Yes")="Yes",_xlfn.XLOOKUP("Migrate_Other_Ports",'Scoring_Config'!$A:$A,'Scoring_Config'!$C:$C,5),0),"False,0")</f>
        <v>0</v>
      </c>
      <c r="AZ40" s="4" cm="1">
        <f t="array" ref="AZ40">IF(LEFT(AU40,4)="True",0,(IF(LEFT(AC40,4)="True",IF(_xlfn.XLOOKUP("Src_IsAny",'Scoring_Config'!$A:$A,'Scoring_Config'!$D:$D,"Yes")="Yes",_xlfn.XLOOKUP("Src_IsAny",'Scoring_Config'!$A:$A,'Scoring_Config'!$C:$C,25),0),0)+IF(LEFT(AD40,4)="True",IF(_xlfn.XLOOKUP("Src_CIDR_Le_16",'Scoring_Config'!$A:$A,'Scoring_Config'!$D:$D,"Yes")="Yes",_xlfn.XLOOKUP("Src_CIDR_Le_16",'Scoring_Config'!$A:$A,'Scoring_Config'!$C:$C,25),0),0)+IF(LEFT(AE40,4)="True",IF(_xlfn.XLOOKUP("Src_CIDR_17_22",'Scoring_Config'!$A:$A,'Scoring_Config'!$D:$D,"Yes")="Yes",_xlfn.XLOOKUP("Src_CIDR_17_22",'Scoring_Config'!$A:$A,'Scoring_Config'!$C:$C,15),0),0)+IF(LEFT(AF40,4)="True",IF(_xlfn.XLOOKUP("Dst_IsAny",'Scoring_Config'!$A:$A,'Scoring_Config'!$D:$D,"Yes")="Yes",_xlfn.XLOOKUP("Dst_IsAny",'Scoring_Config'!$A:$A,'Scoring_Config'!$C:$C,25),0),0)+IF(LEFT(AG40,4)="True",IF(_xlfn.XLOOKUP("Dst_CIDR_Le_16",'Scoring_Config'!$A:$A,'Scoring_Config'!$D:$D,"Yes")="Yes",_xlfn.XLOOKUP("Dst_CIDR_Le_16",'Scoring_Config'!$A:$A,'Scoring_Config'!$C:$C,25),0),0)+IF(LEFT(AH40,4)="True",IF(_xlfn.XLOOKUP("Dst_CIDR_17_22",'Scoring_Config'!$A:$A,'Scoring_Config'!$D:$D,"Yes")="Yes",_xlfn.XLOOKUP("Dst_CIDR_17_22",'Scoring_Config'!$A:$A,'Scoring_Config'!$C:$C,15),0),0)+IF(LEFT(AI40,4)="True",IF(_xlfn.XLOOKUP("SrcZone_IsAny",'Scoring_Config'!$A:$A,'Scoring_Config'!$D:$D,"Yes")="Yes",_xlfn.XLOOKUP("SrcZone_IsAny",'Scoring_Config'!$A:$A,'Scoring_Config'!$C:$C,5),0),0)+IF(LEFT(AJ40,4)="True",IF(_xlfn.XLOOKUP("DstZone_IsAny",'Scoring_Config'!$A:$A,'Scoring_Config'!$D:$D,"Yes")="Yes",_xlfn.XLOOKUP("DstZone_IsAny",'Scoring_Config'!$A:$A,'Scoring_Config'!$C:$C,5),0),0)+IF(LEFT(AK40,4)="True",IF(_xlfn.XLOOKUP("Service_Any_OR_RangeGt1000",'Scoring_Config'!$A:$A,'Scoring_Config'!$D:$D,"Yes")="Yes",_xlfn.XLOOKUP("Service_Any_OR_RangeGt1000",'Scoring_Config'!$A:$A,'Scoring_Config'!$C:$C,25),0),0)+IF(LEFT(AL40,4)="True",IF(_xlfn.XLOOKUP("App_Any_OR_RangeGt1000",'Scoring_Config'!$A:$A,'Scoring_Config'!$D:$D,"Yes")="Yes",_xlfn.XLOOKUP("App_Any_OR_RangeGt1000",'Scoring_Config'!$A:$A,'Scoring_Config'!$C:$C,25),0),0)+IF(LEFT(AM40,4)="True",IF(_xlfn.XLOOKUP("Service_Insecure_Match",'Scoring_Config'!$A:$A,'Scoring_Config'!$D:$D,"Yes")="Yes",_xlfn.XLOOKUP("Service_Insecure_Match",'Scoring_Config'!$A:$A,'Scoring_Config'!$C:$C,20),0),0)+IF(LEFT(AN40,4)="True",IF(_xlfn.XLOOKUP("Risky_Inbound",'Scoring_Config'!$A:$A,'Scoring_Config'!$D:$D,"Yes")="Yes",_xlfn.XLOOKUP("Risky_Inbound",'Scoring_Config'!$A:$A,'Scoring_Config'!$C:$C,20),0),0)+IF(LEFT(AO40,4)="True",IF(_xlfn.XLOOKUP("Risky_Outbound",'Scoring_Config'!$A:$A,'Scoring_Config'!$D:$D,"Yes")="Yes",_xlfn.XLOOKUP("Risky_Outbound",'Scoring_Config'!$A:$A,'Scoring_Config'!$C:$C,10),0),0)+IF(LEFT(AW40,4)="True",IF(_xlfn.XLOOKUP("Migrate_Insecure",'Scoring_Config'!$A:$A,'Scoring_Config'!$D:$D,"Yes")="Yes",_xlfn.XLOOKUP("Migrate_Insecure",'Scoring_Config'!$A:$A,'Scoring_Config'!$C:$C,15),0),0)+IF(LEFT(AY40,4)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,FIND(",",AP40)+1,100)),0)+IF(LEFT(AQ40,4)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,FIND(",",AR40)+1,100)),0)+IF(_xlfn.XLOOKUP("Profile_Scoring",'Scoring_Config'!$A:$A,'Scoring_Config'!$D:$D,"Yes")="Yes",VALUE(MID(AS40,FIND(",",AS40)+1,100)),0)+IF(_xlfn.XLOOKUP("Options_Scoring",'Scoring_Config'!$A:$A,'Scoring_Config'!$D:$D,"Yes")="Yes",VALUE(MID(AT40,FIND(",",AT40)+1,100)),0)))</f>
        <v>0</v>
      </c>
    </row>
    <row r="41" spans="1:52">
      <c r="A41" s="3" t="s">
        <v>52</v>
      </c>
      <c r="B41" s="3" t="s">
        <v>91</v>
      </c>
      <c r="C41" s="3" t="s">
        <v>329</v>
      </c>
      <c r="D41" s="3"/>
      <c r="E41" s="3" t="s">
        <v>359</v>
      </c>
      <c r="F41" s="3" t="s">
        <v>361</v>
      </c>
      <c r="G41" s="3" t="s">
        <v>384</v>
      </c>
      <c r="H41" s="3" t="s">
        <v>384</v>
      </c>
      <c r="I41" s="3" t="s">
        <v>623</v>
      </c>
      <c r="J41" s="3" t="s">
        <v>364</v>
      </c>
      <c r="K41" s="3" t="s">
        <v>369</v>
      </c>
      <c r="L41" s="3" t="s">
        <v>540</v>
      </c>
      <c r="M41" s="3" t="s">
        <v>773</v>
      </c>
      <c r="N41" s="3" t="s">
        <v>773</v>
      </c>
      <c r="O41" s="4" t="s">
        <v>826</v>
      </c>
      <c r="P41" s="3" t="s">
        <v>887</v>
      </c>
      <c r="Q41" s="3" t="s">
        <v>905</v>
      </c>
      <c r="R41" s="3" t="s">
        <v>906</v>
      </c>
      <c r="S41" s="3" t="s">
        <v>907</v>
      </c>
      <c r="T41" s="3" t="s">
        <v>946</v>
      </c>
      <c r="U41" s="3" t="s">
        <v>1174</v>
      </c>
      <c r="V41" s="3" t="s">
        <v>1389</v>
      </c>
      <c r="W41" s="3" t="s">
        <v>1134</v>
      </c>
      <c r="X41" s="3" t="s">
        <v>1645</v>
      </c>
      <c r="Y41" s="3" t="s">
        <v>2114</v>
      </c>
      <c r="Z41" s="3"/>
      <c r="AA41" s="3"/>
      <c r="AB41" s="3"/>
      <c r="AC41" s="4" cm="1">
        <f t="array" ref="AC41">IF(FALSE,"True," &amp; IF(_xlfn.XLOOKUP("Src_IsAny",'Scoring_Config'!$A:$A,'Scoring_Config'!$D:$D,"Yes")="Yes",_xlfn.XLOOKUP("Src_IsAny",'Scoring_Config'!$A:$A,'Scoring_Config'!$C:$C,25),0),"False,0")</f>
        <v>0</v>
      </c>
      <c r="AD41" s="4" cm="1">
        <f t="array" ref="AD41">IF(FALSE,"True," &amp; IF(_xlfn.XLOOKUP("Src_CIDR_Le_16",'Scoring_Config'!$A:$A,'Scoring_Config'!$D:$D,"Yes")="Yes",_xlfn.XLOOKUP("Src_CIDR_Le_16",'Scoring_Config'!$A:$A,'Scoring_Config'!$C:$C,25),0),"False,0")</f>
        <v>0</v>
      </c>
      <c r="AE41" s="4" cm="1">
        <f t="array" ref="AE41">IF(FALSE,"True," &amp; IF(_xlfn.XLOOKUP("Src_CIDR_17_22",'Scoring_Config'!$A:$A,'Scoring_Config'!$D:$D,"Yes")="Yes",_xlfn.XLOOKUP("Src_CIDR_17_22",'Scoring_Config'!$A:$A,'Scoring_Config'!$C:$C,15),0),"False,0")</f>
        <v>0</v>
      </c>
      <c r="AF41" s="4" cm="1">
        <f t="array" ref="AF41">IF(FALSE,"True," &amp; IF(_xlfn.XLOOKUP("Dst_IsAny",'Scoring_Config'!$A:$A,'Scoring_Config'!$D:$D,"Yes")="Yes",_xlfn.XLOOKUP("Dst_IsAny",'Scoring_Config'!$A:$A,'Scoring_Config'!$C:$C,25),0),"False,0")</f>
        <v>0</v>
      </c>
      <c r="AG41" s="4" cm="1">
        <f t="array" ref="AG41">IF(FALSE,"True," &amp; IF(_xlfn.XLOOKUP("Dst_CIDR_Le_16",'Scoring_Config'!$A:$A,'Scoring_Config'!$D:$D,"Yes")="Yes",_xlfn.XLOOKUP("Dst_CIDR_Le_16",'Scoring_Config'!$A:$A,'Scoring_Config'!$C:$C,25),0),"False,0")</f>
        <v>0</v>
      </c>
      <c r="AH41" s="4" cm="1">
        <f t="array" ref="AH41">IF(FALSE,"True," &amp; IF(_xlfn.XLOOKUP("Dst_CIDR_17_22",'Scoring_Config'!$A:$A,'Scoring_Config'!$D:$D,"Yes")="Yes",_xlfn.XLOOKUP("Dst_CIDR_17_22",'Scoring_Config'!$A:$A,'Scoring_Config'!$C:$C,15),0),"False,0")</f>
        <v>0</v>
      </c>
      <c r="AI41" s="4" cm="1">
        <f t="array" ref="AI41">IF(FALSE,"True," &amp; IF(_xlfn.XLOOKUP("SrcZone_IsAny",'Scoring_Config'!$A:$A,'Scoring_Config'!$D:$D,"Yes")="Yes",_xlfn.XLOOKUP("SrcZone_IsAny",'Scoring_Config'!$A:$A,'Scoring_Config'!$C:$C,5),0),"False,0")</f>
        <v>0</v>
      </c>
      <c r="AJ41" s="4" cm="1">
        <f t="array" ref="AJ41">IF(FALSE,"True," &amp; IF(_xlfn.XLOOKUP("DstZone_IsAny",'Scoring_Config'!$A:$A,'Scoring_Config'!$D:$D,"Yes")="Yes",_xlfn.XLOOKUP("DstZone_IsAny",'Scoring_Config'!$A:$A,'Scoring_Config'!$C:$C,5),0),"False,0")</f>
        <v>0</v>
      </c>
      <c r="AK41" s="4" cm="1">
        <f t="array" ref="AK4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" s="4" cm="1">
        <f t="array" ref="AL41">IF(FALSE,"True," &amp; IF(_xlfn.XLOOKUP("App_Any_OR_RangeGt1000",'Scoring_Config'!$A:$A,'Scoring_Config'!$D:$D,"Yes")="Yes",_xlfn.XLOOKUP("App_Any_OR_RangeGt1000",'Scoring_Config'!$A:$A,'Scoring_Config'!$C:$C,25),0),"False,0")</f>
        <v>0</v>
      </c>
      <c r="AM41" s="5" cm="1">
        <f t="array" ref="AM41">IF(TRUE,"True," &amp; IF(_xlfn.XLOOKUP("Service_Insecure_Match",'Scoring_Config'!$A:$A,'Scoring_Config'!$D:$D,"Yes")="Yes",_xlfn.XLOOKUP("Service_Insecure_Match",'Scoring_Config'!$A:$A,'Scoring_Config'!$C:$C,20),0),"False,0")</f>
        <v>0</v>
      </c>
      <c r="AN41" s="4" cm="1">
        <f t="array" ref="AN41">IF(FALSE,"True," &amp; IF(_xlfn.XLOOKUP("Risky_Inbound",'Scoring_Config'!$A:$A,'Scoring_Config'!$D:$D,"Yes")="Yes",_xlfn.XLOOKUP("Risky_Inbound",'Scoring_Config'!$A:$A,'Scoring_Config'!$C:$C,20),0),"False,0")</f>
        <v>0</v>
      </c>
      <c r="AO41" s="4" cm="1">
        <f t="array" ref="AO41">IF(FALSE,"True," &amp; IF(_xlfn.XLOOKUP("Risky_Outbound",'Scoring_Config'!$A:$A,'Scoring_Config'!$D:$D,"Yes")="Yes",_xlfn.XLOOKUP("Risky_Outbound",'Scoring_Config'!$A:$A,'Scoring_Config'!$C:$C,10),0),"False,0")</f>
        <v>0</v>
      </c>
      <c r="AP41" s="5" t="s">
        <v>2595</v>
      </c>
      <c r="AQ41" s="4" cm="1">
        <f t="array" ref="AQ4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" s="5" t="s">
        <v>2598</v>
      </c>
      <c r="AS41" s="4" t="s">
        <v>2592</v>
      </c>
      <c r="AT41" s="5" t="s">
        <v>2595</v>
      </c>
      <c r="AU41" s="4" cm="1">
        <f t="array" ref="AU41">IF(FALSE,"True," &amp; IF(_xlfn.XLOOKUP("Action_IsDenyOrDrop",'Scoring_Config'!$A:$A,'Scoring_Config'!$D:$D,"Yes")="Yes",_xlfn.XLOOKUP("Action_IsDenyOrDrop",'Scoring_Config'!$A:$A,'Scoring_Config'!$C:$C,0),0),"False,0")</f>
        <v>0</v>
      </c>
      <c r="AV41" s="4"/>
      <c r="AW41" s="4" cm="1">
        <f t="array" ref="AW41">IF(FALSE,"True," &amp; IF(_xlfn.XLOOKUP("Migrate_Insecure",'Scoring_Config'!$A:$A,'Scoring_Config'!$D:$D,"Yes")="Yes",_xlfn.XLOOKUP("Migrate_Insecure",'Scoring_Config'!$A:$A,'Scoring_Config'!$C:$C,15),0),"False,0")</f>
        <v>0</v>
      </c>
      <c r="AX41" s="4"/>
      <c r="AY41" s="4" cm="1">
        <f t="array" ref="AY41">IF(FALSE,"True," &amp; IF(_xlfn.XLOOKUP("Migrate_Other_Ports",'Scoring_Config'!$A:$A,'Scoring_Config'!$D:$D,"Yes")="Yes",_xlfn.XLOOKUP("Migrate_Other_Ports",'Scoring_Config'!$A:$A,'Scoring_Config'!$C:$C,5),0),"False,0")</f>
        <v>0</v>
      </c>
      <c r="AZ41" s="4" cm="1">
        <f t="array" ref="AZ41">IF(LEFT(AU41,4)="True",0,(IF(LEFT(AC41,4)="True",IF(_xlfn.XLOOKUP("Src_IsAny",'Scoring_Config'!$A:$A,'Scoring_Config'!$D:$D,"Yes")="Yes",_xlfn.XLOOKUP("Src_IsAny",'Scoring_Config'!$A:$A,'Scoring_Config'!$C:$C,25),0),0)+IF(LEFT(AD41,4)="True",IF(_xlfn.XLOOKUP("Src_CIDR_Le_16",'Scoring_Config'!$A:$A,'Scoring_Config'!$D:$D,"Yes")="Yes",_xlfn.XLOOKUP("Src_CIDR_Le_16",'Scoring_Config'!$A:$A,'Scoring_Config'!$C:$C,25),0),0)+IF(LEFT(AE41,4)="True",IF(_xlfn.XLOOKUP("Src_CIDR_17_22",'Scoring_Config'!$A:$A,'Scoring_Config'!$D:$D,"Yes")="Yes",_xlfn.XLOOKUP("Src_CIDR_17_22",'Scoring_Config'!$A:$A,'Scoring_Config'!$C:$C,15),0),0)+IF(LEFT(AF41,4)="True",IF(_xlfn.XLOOKUP("Dst_IsAny",'Scoring_Config'!$A:$A,'Scoring_Config'!$D:$D,"Yes")="Yes",_xlfn.XLOOKUP("Dst_IsAny",'Scoring_Config'!$A:$A,'Scoring_Config'!$C:$C,25),0),0)+IF(LEFT(AG41,4)="True",IF(_xlfn.XLOOKUP("Dst_CIDR_Le_16",'Scoring_Config'!$A:$A,'Scoring_Config'!$D:$D,"Yes")="Yes",_xlfn.XLOOKUP("Dst_CIDR_Le_16",'Scoring_Config'!$A:$A,'Scoring_Config'!$C:$C,25),0),0)+IF(LEFT(AH41,4)="True",IF(_xlfn.XLOOKUP("Dst_CIDR_17_22",'Scoring_Config'!$A:$A,'Scoring_Config'!$D:$D,"Yes")="Yes",_xlfn.XLOOKUP("Dst_CIDR_17_22",'Scoring_Config'!$A:$A,'Scoring_Config'!$C:$C,15),0),0)+IF(LEFT(AI41,4)="True",IF(_xlfn.XLOOKUP("SrcZone_IsAny",'Scoring_Config'!$A:$A,'Scoring_Config'!$D:$D,"Yes")="Yes",_xlfn.XLOOKUP("SrcZone_IsAny",'Scoring_Config'!$A:$A,'Scoring_Config'!$C:$C,5),0),0)+IF(LEFT(AJ41,4)="True",IF(_xlfn.XLOOKUP("DstZone_IsAny",'Scoring_Config'!$A:$A,'Scoring_Config'!$D:$D,"Yes")="Yes",_xlfn.XLOOKUP("DstZone_IsAny",'Scoring_Config'!$A:$A,'Scoring_Config'!$C:$C,5),0),0)+IF(LEFT(AK41,4)="True",IF(_xlfn.XLOOKUP("Service_Any_OR_RangeGt1000",'Scoring_Config'!$A:$A,'Scoring_Config'!$D:$D,"Yes")="Yes",_xlfn.XLOOKUP("Service_Any_OR_RangeGt1000",'Scoring_Config'!$A:$A,'Scoring_Config'!$C:$C,25),0),0)+IF(LEFT(AL41,4)="True",IF(_xlfn.XLOOKUP("App_Any_OR_RangeGt1000",'Scoring_Config'!$A:$A,'Scoring_Config'!$D:$D,"Yes")="Yes",_xlfn.XLOOKUP("App_Any_OR_RangeGt1000",'Scoring_Config'!$A:$A,'Scoring_Config'!$C:$C,25),0),0)+IF(LEFT(AM41,4)="True",IF(_xlfn.XLOOKUP("Service_Insecure_Match",'Scoring_Config'!$A:$A,'Scoring_Config'!$D:$D,"Yes")="Yes",_xlfn.XLOOKUP("Service_Insecure_Match",'Scoring_Config'!$A:$A,'Scoring_Config'!$C:$C,20),0),0)+IF(LEFT(AN41,4)="True",IF(_xlfn.XLOOKUP("Risky_Inbound",'Scoring_Config'!$A:$A,'Scoring_Config'!$D:$D,"Yes")="Yes",_xlfn.XLOOKUP("Risky_Inbound",'Scoring_Config'!$A:$A,'Scoring_Config'!$C:$C,20),0),0)+IF(LEFT(AO41,4)="True",IF(_xlfn.XLOOKUP("Risky_Outbound",'Scoring_Config'!$A:$A,'Scoring_Config'!$D:$D,"Yes")="Yes",_xlfn.XLOOKUP("Risky_Outbound",'Scoring_Config'!$A:$A,'Scoring_Config'!$C:$C,10),0),0)+IF(LEFT(AW41,4)="True",IF(_xlfn.XLOOKUP("Migrate_Insecure",'Scoring_Config'!$A:$A,'Scoring_Config'!$D:$D,"Yes")="Yes",_xlfn.XLOOKUP("Migrate_Insecure",'Scoring_Config'!$A:$A,'Scoring_Config'!$C:$C,15),0),0)+IF(LEFT(AY41,4)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,FIND(",",AP41)+1,100)),0)+IF(LEFT(AQ41,4)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,FIND(",",AR41)+1,100)),0)+IF(_xlfn.XLOOKUP("Profile_Scoring",'Scoring_Config'!$A:$A,'Scoring_Config'!$D:$D,"Yes")="Yes",VALUE(MID(AS41,FIND(",",AS41)+1,100)),0)+IF(_xlfn.XLOOKUP("Options_Scoring",'Scoring_Config'!$A:$A,'Scoring_Config'!$D:$D,"Yes")="Yes",VALUE(MID(AT41,FIND(",",AT41)+1,100)),0)))</f>
        <v>0</v>
      </c>
    </row>
    <row r="42" spans="1:52">
      <c r="A42" s="3" t="s">
        <v>52</v>
      </c>
      <c r="B42" s="3" t="s">
        <v>92</v>
      </c>
      <c r="C42" s="3" t="s">
        <v>329</v>
      </c>
      <c r="D42" s="3"/>
      <c r="E42" s="3" t="s">
        <v>359</v>
      </c>
      <c r="F42" s="3" t="s">
        <v>361</v>
      </c>
      <c r="G42" s="3" t="s">
        <v>365</v>
      </c>
      <c r="H42" s="3" t="s">
        <v>365</v>
      </c>
      <c r="I42" s="3" t="s">
        <v>623</v>
      </c>
      <c r="J42" s="3" t="s">
        <v>364</v>
      </c>
      <c r="K42" s="3" t="s">
        <v>365</v>
      </c>
      <c r="L42" s="3" t="s">
        <v>365</v>
      </c>
      <c r="M42" s="3" t="s">
        <v>365</v>
      </c>
      <c r="N42" s="3" t="s">
        <v>365</v>
      </c>
      <c r="O42" s="4" t="s">
        <v>827</v>
      </c>
      <c r="P42" s="3" t="s">
        <v>888</v>
      </c>
      <c r="Q42" s="3" t="s">
        <v>905</v>
      </c>
      <c r="R42" s="3" t="s">
        <v>907</v>
      </c>
      <c r="S42" s="3" t="s">
        <v>913</v>
      </c>
      <c r="T42" s="3" t="s">
        <v>947</v>
      </c>
      <c r="U42" s="3"/>
      <c r="V42" s="3" t="s">
        <v>772</v>
      </c>
      <c r="W42" s="3" t="s">
        <v>1421</v>
      </c>
      <c r="X42" s="3" t="s">
        <v>1646</v>
      </c>
      <c r="Y42" s="3" t="s">
        <v>2115</v>
      </c>
      <c r="Z42" s="3"/>
      <c r="AA42" s="3"/>
      <c r="AB42" s="3"/>
      <c r="AC42" s="5" cm="1">
        <f t="array" ref="AC42">IF(TRUE,"True," &amp; IF(_xlfn.XLOOKUP("Src_IsAny",'Scoring_Config'!$A:$A,'Scoring_Config'!$D:$D,"Yes")="Yes",_xlfn.XLOOKUP("Src_IsAny",'Scoring_Config'!$A:$A,'Scoring_Config'!$C:$C,25),0),"False,0")</f>
        <v>0</v>
      </c>
      <c r="AD42" s="4" cm="1">
        <f t="array" ref="AD42">IF(FALSE,"True," &amp; IF(_xlfn.XLOOKUP("Src_CIDR_Le_16",'Scoring_Config'!$A:$A,'Scoring_Config'!$D:$D,"Yes")="Yes",_xlfn.XLOOKUP("Src_CIDR_Le_16",'Scoring_Config'!$A:$A,'Scoring_Config'!$C:$C,25),0),"False,0")</f>
        <v>0</v>
      </c>
      <c r="AE42" s="4" cm="1">
        <f t="array" ref="AE42">IF(FALSE,"True," &amp; IF(_xlfn.XLOOKUP("Src_CIDR_17_22",'Scoring_Config'!$A:$A,'Scoring_Config'!$D:$D,"Yes")="Yes",_xlfn.XLOOKUP("Src_CIDR_17_22",'Scoring_Config'!$A:$A,'Scoring_Config'!$C:$C,15),0),"False,0")</f>
        <v>0</v>
      </c>
      <c r="AF42" s="5" cm="1">
        <f t="array" ref="AF42">IF(TRUE,"True," &amp; IF(_xlfn.XLOOKUP("Dst_IsAny",'Scoring_Config'!$A:$A,'Scoring_Config'!$D:$D,"Yes")="Yes",_xlfn.XLOOKUP("Dst_IsAny",'Scoring_Config'!$A:$A,'Scoring_Config'!$C:$C,25),0),"False,0")</f>
        <v>0</v>
      </c>
      <c r="AG42" s="4" cm="1">
        <f t="array" ref="AG42">IF(FALSE,"True," &amp; IF(_xlfn.XLOOKUP("Dst_CIDR_Le_16",'Scoring_Config'!$A:$A,'Scoring_Config'!$D:$D,"Yes")="Yes",_xlfn.XLOOKUP("Dst_CIDR_Le_16",'Scoring_Config'!$A:$A,'Scoring_Config'!$C:$C,25),0),"False,0")</f>
        <v>0</v>
      </c>
      <c r="AH42" s="4" cm="1">
        <f t="array" ref="AH42">IF(FALSE,"True," &amp; IF(_xlfn.XLOOKUP("Dst_CIDR_17_22",'Scoring_Config'!$A:$A,'Scoring_Config'!$D:$D,"Yes")="Yes",_xlfn.XLOOKUP("Dst_CIDR_17_22",'Scoring_Config'!$A:$A,'Scoring_Config'!$C:$C,15),0),"False,0")</f>
        <v>0</v>
      </c>
      <c r="AI42" s="4" cm="1">
        <f t="array" ref="AI42">IF(FALSE,"True," &amp; IF(_xlfn.XLOOKUP("SrcZone_IsAny",'Scoring_Config'!$A:$A,'Scoring_Config'!$D:$D,"Yes")="Yes",_xlfn.XLOOKUP("SrcZone_IsAny",'Scoring_Config'!$A:$A,'Scoring_Config'!$C:$C,5),0),"False,0")</f>
        <v>0</v>
      </c>
      <c r="AJ42" s="4" cm="1">
        <f t="array" ref="AJ42">IF(FALSE,"True," &amp; IF(_xlfn.XLOOKUP("DstZone_IsAny",'Scoring_Config'!$A:$A,'Scoring_Config'!$D:$D,"Yes")="Yes",_xlfn.XLOOKUP("DstZone_IsAny",'Scoring_Config'!$A:$A,'Scoring_Config'!$C:$C,5),0),"False,0")</f>
        <v>0</v>
      </c>
      <c r="AK42" s="4" cm="1">
        <f t="array" ref="AK4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" s="5" cm="1">
        <f t="array" ref="AL42">IF(TRUE,"True," &amp; IF(_xlfn.XLOOKUP("App_Any_OR_RangeGt1000",'Scoring_Config'!$A:$A,'Scoring_Config'!$D:$D,"Yes")="Yes",_xlfn.XLOOKUP("App_Any_OR_RangeGt1000",'Scoring_Config'!$A:$A,'Scoring_Config'!$C:$C,25),0),"False,0")</f>
        <v>0</v>
      </c>
      <c r="AM42" s="5" cm="1">
        <f t="array" ref="AM42">IF(TRUE,"True," &amp; IF(_xlfn.XLOOKUP("Service_Insecure_Match",'Scoring_Config'!$A:$A,'Scoring_Config'!$D:$D,"Yes")="Yes",_xlfn.XLOOKUP("Service_Insecure_Match",'Scoring_Config'!$A:$A,'Scoring_Config'!$C:$C,20),0),"False,0")</f>
        <v>0</v>
      </c>
      <c r="AN42" s="4" cm="1">
        <f t="array" ref="AN42">IF(FALSE,"True," &amp; IF(_xlfn.XLOOKUP("Risky_Inbound",'Scoring_Config'!$A:$A,'Scoring_Config'!$D:$D,"Yes")="Yes",_xlfn.XLOOKUP("Risky_Inbound",'Scoring_Config'!$A:$A,'Scoring_Config'!$C:$C,20),0),"False,0")</f>
        <v>0</v>
      </c>
      <c r="AO42" s="4" cm="1">
        <f t="array" ref="AO42">IF(FALSE,"True," &amp; IF(_xlfn.XLOOKUP("Risky_Outbound",'Scoring_Config'!$A:$A,'Scoring_Config'!$D:$D,"Yes")="Yes",_xlfn.XLOOKUP("Risky_Outbound",'Scoring_Config'!$A:$A,'Scoring_Config'!$C:$C,10),0),"False,0")</f>
        <v>0</v>
      </c>
      <c r="AP42" s="5" t="s">
        <v>2595</v>
      </c>
      <c r="AQ42" s="5" cm="1">
        <f t="array" ref="AQ4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" s="5" t="s">
        <v>2598</v>
      </c>
      <c r="AS42" s="5" t="s">
        <v>2595</v>
      </c>
      <c r="AT42" s="4" t="s">
        <v>2592</v>
      </c>
      <c r="AU42" s="4" cm="1">
        <f t="array" ref="AU42">IF(FALSE,"True," &amp; IF(_xlfn.XLOOKUP("Action_IsDenyOrDrop",'Scoring_Config'!$A:$A,'Scoring_Config'!$D:$D,"Yes")="Yes",_xlfn.XLOOKUP("Action_IsDenyOrDrop",'Scoring_Config'!$A:$A,'Scoring_Config'!$C:$C,0),0),"False,0")</f>
        <v>0</v>
      </c>
      <c r="AV42" s="4"/>
      <c r="AW42" s="4" cm="1">
        <f t="array" ref="AW42">IF(FALSE,"True," &amp; IF(_xlfn.XLOOKUP("Migrate_Insecure",'Scoring_Config'!$A:$A,'Scoring_Config'!$D:$D,"Yes")="Yes",_xlfn.XLOOKUP("Migrate_Insecure",'Scoring_Config'!$A:$A,'Scoring_Config'!$C:$C,15),0),"False,0")</f>
        <v>0</v>
      </c>
      <c r="AX42" s="4"/>
      <c r="AY42" s="4" cm="1">
        <f t="array" ref="AY42">IF(FALSE,"True," &amp; IF(_xlfn.XLOOKUP("Migrate_Other_Ports",'Scoring_Config'!$A:$A,'Scoring_Config'!$D:$D,"Yes")="Yes",_xlfn.XLOOKUP("Migrate_Other_Ports",'Scoring_Config'!$A:$A,'Scoring_Config'!$C:$C,5),0),"False,0")</f>
        <v>0</v>
      </c>
      <c r="AZ42" s="4" cm="1">
        <f t="array" ref="AZ42">IF(LEFT(AU42,4)="True",0,(IF(LEFT(AC42,4)="True",IF(_xlfn.XLOOKUP("Src_IsAny",'Scoring_Config'!$A:$A,'Scoring_Config'!$D:$D,"Yes")="Yes",_xlfn.XLOOKUP("Src_IsAny",'Scoring_Config'!$A:$A,'Scoring_Config'!$C:$C,25),0),0)+IF(LEFT(AD42,4)="True",IF(_xlfn.XLOOKUP("Src_CIDR_Le_16",'Scoring_Config'!$A:$A,'Scoring_Config'!$D:$D,"Yes")="Yes",_xlfn.XLOOKUP("Src_CIDR_Le_16",'Scoring_Config'!$A:$A,'Scoring_Config'!$C:$C,25),0),0)+IF(LEFT(AE42,4)="True",IF(_xlfn.XLOOKUP("Src_CIDR_17_22",'Scoring_Config'!$A:$A,'Scoring_Config'!$D:$D,"Yes")="Yes",_xlfn.XLOOKUP("Src_CIDR_17_22",'Scoring_Config'!$A:$A,'Scoring_Config'!$C:$C,15),0),0)+IF(LEFT(AF42,4)="True",IF(_xlfn.XLOOKUP("Dst_IsAny",'Scoring_Config'!$A:$A,'Scoring_Config'!$D:$D,"Yes")="Yes",_xlfn.XLOOKUP("Dst_IsAny",'Scoring_Config'!$A:$A,'Scoring_Config'!$C:$C,25),0),0)+IF(LEFT(AG42,4)="True",IF(_xlfn.XLOOKUP("Dst_CIDR_Le_16",'Scoring_Config'!$A:$A,'Scoring_Config'!$D:$D,"Yes")="Yes",_xlfn.XLOOKUP("Dst_CIDR_Le_16",'Scoring_Config'!$A:$A,'Scoring_Config'!$C:$C,25),0),0)+IF(LEFT(AH42,4)="True",IF(_xlfn.XLOOKUP("Dst_CIDR_17_22",'Scoring_Config'!$A:$A,'Scoring_Config'!$D:$D,"Yes")="Yes",_xlfn.XLOOKUP("Dst_CIDR_17_22",'Scoring_Config'!$A:$A,'Scoring_Config'!$C:$C,15),0),0)+IF(LEFT(AI42,4)="True",IF(_xlfn.XLOOKUP("SrcZone_IsAny",'Scoring_Config'!$A:$A,'Scoring_Config'!$D:$D,"Yes")="Yes",_xlfn.XLOOKUP("SrcZone_IsAny",'Scoring_Config'!$A:$A,'Scoring_Config'!$C:$C,5),0),0)+IF(LEFT(AJ42,4)="True",IF(_xlfn.XLOOKUP("DstZone_IsAny",'Scoring_Config'!$A:$A,'Scoring_Config'!$D:$D,"Yes")="Yes",_xlfn.XLOOKUP("DstZone_IsAny",'Scoring_Config'!$A:$A,'Scoring_Config'!$C:$C,5),0),0)+IF(LEFT(AK42,4)="True",IF(_xlfn.XLOOKUP("Service_Any_OR_RangeGt1000",'Scoring_Config'!$A:$A,'Scoring_Config'!$D:$D,"Yes")="Yes",_xlfn.XLOOKUP("Service_Any_OR_RangeGt1000",'Scoring_Config'!$A:$A,'Scoring_Config'!$C:$C,25),0),0)+IF(LEFT(AL42,4)="True",IF(_xlfn.XLOOKUP("App_Any_OR_RangeGt1000",'Scoring_Config'!$A:$A,'Scoring_Config'!$D:$D,"Yes")="Yes",_xlfn.XLOOKUP("App_Any_OR_RangeGt1000",'Scoring_Config'!$A:$A,'Scoring_Config'!$C:$C,25),0),0)+IF(LEFT(AM42,4)="True",IF(_xlfn.XLOOKUP("Service_Insecure_Match",'Scoring_Config'!$A:$A,'Scoring_Config'!$D:$D,"Yes")="Yes",_xlfn.XLOOKUP("Service_Insecure_Match",'Scoring_Config'!$A:$A,'Scoring_Config'!$C:$C,20),0),0)+IF(LEFT(AN42,4)="True",IF(_xlfn.XLOOKUP("Risky_Inbound",'Scoring_Config'!$A:$A,'Scoring_Config'!$D:$D,"Yes")="Yes",_xlfn.XLOOKUP("Risky_Inbound",'Scoring_Config'!$A:$A,'Scoring_Config'!$C:$C,20),0),0)+IF(LEFT(AO42,4)="True",IF(_xlfn.XLOOKUP("Risky_Outbound",'Scoring_Config'!$A:$A,'Scoring_Config'!$D:$D,"Yes")="Yes",_xlfn.XLOOKUP("Risky_Outbound",'Scoring_Config'!$A:$A,'Scoring_Config'!$C:$C,10),0),0)+IF(LEFT(AW42,4)="True",IF(_xlfn.XLOOKUP("Migrate_Insecure",'Scoring_Config'!$A:$A,'Scoring_Config'!$D:$D,"Yes")="Yes",_xlfn.XLOOKUP("Migrate_Insecure",'Scoring_Config'!$A:$A,'Scoring_Config'!$C:$C,15),0),0)+IF(LEFT(AY42,4)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,FIND(",",AP42)+1,100)),0)+IF(LEFT(AQ42,4)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,FIND(",",AR42)+1,100)),0)+IF(_xlfn.XLOOKUP("Profile_Scoring",'Scoring_Config'!$A:$A,'Scoring_Config'!$D:$D,"Yes")="Yes",VALUE(MID(AS42,FIND(",",AS42)+1,100)),0)+IF(_xlfn.XLOOKUP("Options_Scoring",'Scoring_Config'!$A:$A,'Scoring_Config'!$D:$D,"Yes")="Yes",VALUE(MID(AT42,FIND(",",AT42)+1,100)),0)))</f>
        <v>0</v>
      </c>
    </row>
    <row r="43" spans="1:52">
      <c r="A43" s="3" t="s">
        <v>52</v>
      </c>
      <c r="B43" s="3" t="s">
        <v>93</v>
      </c>
      <c r="C43" s="3" t="s">
        <v>329</v>
      </c>
      <c r="D43" s="3"/>
      <c r="E43" s="3" t="s">
        <v>359</v>
      </c>
      <c r="F43" s="3" t="s">
        <v>363</v>
      </c>
      <c r="G43" s="3" t="s">
        <v>378</v>
      </c>
      <c r="H43" s="3" t="s">
        <v>378</v>
      </c>
      <c r="I43" s="3" t="s">
        <v>625</v>
      </c>
      <c r="J43" s="3" t="s">
        <v>364</v>
      </c>
      <c r="K43" s="3" t="s">
        <v>638</v>
      </c>
      <c r="L43" s="3" t="s">
        <v>746</v>
      </c>
      <c r="M43" s="3" t="s">
        <v>774</v>
      </c>
      <c r="N43" s="3" t="s">
        <v>795</v>
      </c>
      <c r="O43" s="4" t="s">
        <v>828</v>
      </c>
      <c r="P43" s="3" t="s">
        <v>889</v>
      </c>
      <c r="Q43" s="3" t="s">
        <v>905</v>
      </c>
      <c r="R43" s="3" t="s">
        <v>908</v>
      </c>
      <c r="S43" s="3" t="s">
        <v>914</v>
      </c>
      <c r="T43" s="3" t="s">
        <v>948</v>
      </c>
      <c r="U43" s="3" t="s">
        <v>1175</v>
      </c>
      <c r="V43" s="3" t="s">
        <v>770</v>
      </c>
      <c r="W43" s="3" t="s">
        <v>948</v>
      </c>
      <c r="X43" s="3" t="s">
        <v>1647</v>
      </c>
      <c r="Y43" s="3" t="s">
        <v>2116</v>
      </c>
      <c r="Z43" s="3"/>
      <c r="AA43" s="3"/>
      <c r="AB43" s="3"/>
      <c r="AC43" s="4" cm="1">
        <f t="array" ref="AC43">IF(FALSE,"True," &amp; IF(_xlfn.XLOOKUP("Src_IsAny",'Scoring_Config'!$A:$A,'Scoring_Config'!$D:$D,"Yes")="Yes",_xlfn.XLOOKUP("Src_IsAny",'Scoring_Config'!$A:$A,'Scoring_Config'!$C:$C,25),0),"False,0")</f>
        <v>0</v>
      </c>
      <c r="AD43" s="4" cm="1">
        <f t="array" ref="AD43">IF(FALSE,"True," &amp; IF(_xlfn.XLOOKUP("Src_CIDR_Le_16",'Scoring_Config'!$A:$A,'Scoring_Config'!$D:$D,"Yes")="Yes",_xlfn.XLOOKUP("Src_CIDR_Le_16",'Scoring_Config'!$A:$A,'Scoring_Config'!$C:$C,25),0),"False,0")</f>
        <v>0</v>
      </c>
      <c r="AE43" s="4" cm="1">
        <f t="array" ref="AE43">IF(FALSE,"True," &amp; IF(_xlfn.XLOOKUP("Src_CIDR_17_22",'Scoring_Config'!$A:$A,'Scoring_Config'!$D:$D,"Yes")="Yes",_xlfn.XLOOKUP("Src_CIDR_17_22",'Scoring_Config'!$A:$A,'Scoring_Config'!$C:$C,15),0),"False,0")</f>
        <v>0</v>
      </c>
      <c r="AF43" s="4" cm="1">
        <f t="array" ref="AF43">IF(FALSE,"True," &amp; IF(_xlfn.XLOOKUP("Dst_IsAny",'Scoring_Config'!$A:$A,'Scoring_Config'!$D:$D,"Yes")="Yes",_xlfn.XLOOKUP("Dst_IsAny",'Scoring_Config'!$A:$A,'Scoring_Config'!$C:$C,25),0),"False,0")</f>
        <v>0</v>
      </c>
      <c r="AG43" s="4" cm="1">
        <f t="array" ref="AG43">IF(FALSE,"True," &amp; IF(_xlfn.XLOOKUP("Dst_CIDR_Le_16",'Scoring_Config'!$A:$A,'Scoring_Config'!$D:$D,"Yes")="Yes",_xlfn.XLOOKUP("Dst_CIDR_Le_16",'Scoring_Config'!$A:$A,'Scoring_Config'!$C:$C,25),0),"False,0")</f>
        <v>0</v>
      </c>
      <c r="AH43" s="4" cm="1">
        <f t="array" ref="AH43">IF(FALSE,"True," &amp; IF(_xlfn.XLOOKUP("Dst_CIDR_17_22",'Scoring_Config'!$A:$A,'Scoring_Config'!$D:$D,"Yes")="Yes",_xlfn.XLOOKUP("Dst_CIDR_17_22",'Scoring_Config'!$A:$A,'Scoring_Config'!$C:$C,15),0),"False,0")</f>
        <v>0</v>
      </c>
      <c r="AI43" s="4" cm="1">
        <f t="array" ref="AI43">IF(FALSE,"True," &amp; IF(_xlfn.XLOOKUP("SrcZone_IsAny",'Scoring_Config'!$A:$A,'Scoring_Config'!$D:$D,"Yes")="Yes",_xlfn.XLOOKUP("SrcZone_IsAny",'Scoring_Config'!$A:$A,'Scoring_Config'!$C:$C,5),0),"False,0")</f>
        <v>0</v>
      </c>
      <c r="AJ43" s="4" cm="1">
        <f t="array" ref="AJ43">IF(FALSE,"True," &amp; IF(_xlfn.XLOOKUP("DstZone_IsAny",'Scoring_Config'!$A:$A,'Scoring_Config'!$D:$D,"Yes")="Yes",_xlfn.XLOOKUP("DstZone_IsAny",'Scoring_Config'!$A:$A,'Scoring_Config'!$C:$C,5),0),"False,0")</f>
        <v>0</v>
      </c>
      <c r="AK43" s="4" cm="1">
        <f t="array" ref="AK4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" s="4" cm="1">
        <f t="array" ref="AL43">IF(FALSE,"True," &amp; IF(_xlfn.XLOOKUP("App_Any_OR_RangeGt1000",'Scoring_Config'!$A:$A,'Scoring_Config'!$D:$D,"Yes")="Yes",_xlfn.XLOOKUP("App_Any_OR_RangeGt1000",'Scoring_Config'!$A:$A,'Scoring_Config'!$C:$C,25),0),"False,0")</f>
        <v>0</v>
      </c>
      <c r="AM43" s="5" cm="1">
        <f t="array" ref="AM43">IF(TRUE,"True," &amp; IF(_xlfn.XLOOKUP("Service_Insecure_Match",'Scoring_Config'!$A:$A,'Scoring_Config'!$D:$D,"Yes")="Yes",_xlfn.XLOOKUP("Service_Insecure_Match",'Scoring_Config'!$A:$A,'Scoring_Config'!$C:$C,20),0),"False,0")</f>
        <v>0</v>
      </c>
      <c r="AN43" s="4" cm="1">
        <f t="array" ref="AN43">IF(FALSE,"True," &amp; IF(_xlfn.XLOOKUP("Risky_Inbound",'Scoring_Config'!$A:$A,'Scoring_Config'!$D:$D,"Yes")="Yes",_xlfn.XLOOKUP("Risky_Inbound",'Scoring_Config'!$A:$A,'Scoring_Config'!$C:$C,20),0),"False,0")</f>
        <v>0</v>
      </c>
      <c r="AO43" s="4" cm="1">
        <f t="array" ref="AO43">IF(FALSE,"True," &amp; IF(_xlfn.XLOOKUP("Risky_Outbound",'Scoring_Config'!$A:$A,'Scoring_Config'!$D:$D,"Yes")="Yes",_xlfn.XLOOKUP("Risky_Outbound",'Scoring_Config'!$A:$A,'Scoring_Config'!$C:$C,10),0),"False,0")</f>
        <v>0</v>
      </c>
      <c r="AP43" s="5" t="s">
        <v>2595</v>
      </c>
      <c r="AQ43" s="4" cm="1">
        <f t="array" ref="AQ4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" s="5" t="s">
        <v>2598</v>
      </c>
      <c r="AS43" s="4" t="s">
        <v>2592</v>
      </c>
      <c r="AT43" s="4" t="s">
        <v>2592</v>
      </c>
      <c r="AU43" s="4" cm="1">
        <f t="array" ref="AU43">IF(FALSE,"True," &amp; IF(_xlfn.XLOOKUP("Action_IsDenyOrDrop",'Scoring_Config'!$A:$A,'Scoring_Config'!$D:$D,"Yes")="Yes",_xlfn.XLOOKUP("Action_IsDenyOrDrop",'Scoring_Config'!$A:$A,'Scoring_Config'!$C:$C,0),0),"False,0")</f>
        <v>0</v>
      </c>
      <c r="AV43" s="4"/>
      <c r="AW43" s="4" cm="1">
        <f t="array" ref="AW43">IF(FALSE,"True," &amp; IF(_xlfn.XLOOKUP("Migrate_Insecure",'Scoring_Config'!$A:$A,'Scoring_Config'!$D:$D,"Yes")="Yes",_xlfn.XLOOKUP("Migrate_Insecure",'Scoring_Config'!$A:$A,'Scoring_Config'!$C:$C,15),0),"False,0")</f>
        <v>0</v>
      </c>
      <c r="AX43" s="4"/>
      <c r="AY43" s="4" cm="1">
        <f t="array" ref="AY43">IF(FALSE,"True," &amp; IF(_xlfn.XLOOKUP("Migrate_Other_Ports",'Scoring_Config'!$A:$A,'Scoring_Config'!$D:$D,"Yes")="Yes",_xlfn.XLOOKUP("Migrate_Other_Ports",'Scoring_Config'!$A:$A,'Scoring_Config'!$C:$C,5),0),"False,0")</f>
        <v>0</v>
      </c>
      <c r="AZ43" s="4" cm="1">
        <f t="array" ref="AZ43">IF(LEFT(AU43,4)="True",0,(IF(LEFT(AC43,4)="True",IF(_xlfn.XLOOKUP("Src_IsAny",'Scoring_Config'!$A:$A,'Scoring_Config'!$D:$D,"Yes")="Yes",_xlfn.XLOOKUP("Src_IsAny",'Scoring_Config'!$A:$A,'Scoring_Config'!$C:$C,25),0),0)+IF(LEFT(AD43,4)="True",IF(_xlfn.XLOOKUP("Src_CIDR_Le_16",'Scoring_Config'!$A:$A,'Scoring_Config'!$D:$D,"Yes")="Yes",_xlfn.XLOOKUP("Src_CIDR_Le_16",'Scoring_Config'!$A:$A,'Scoring_Config'!$C:$C,25),0),0)+IF(LEFT(AE43,4)="True",IF(_xlfn.XLOOKUP("Src_CIDR_17_22",'Scoring_Config'!$A:$A,'Scoring_Config'!$D:$D,"Yes")="Yes",_xlfn.XLOOKUP("Src_CIDR_17_22",'Scoring_Config'!$A:$A,'Scoring_Config'!$C:$C,15),0),0)+IF(LEFT(AF43,4)="True",IF(_xlfn.XLOOKUP("Dst_IsAny",'Scoring_Config'!$A:$A,'Scoring_Config'!$D:$D,"Yes")="Yes",_xlfn.XLOOKUP("Dst_IsAny",'Scoring_Config'!$A:$A,'Scoring_Config'!$C:$C,25),0),0)+IF(LEFT(AG43,4)="True",IF(_xlfn.XLOOKUP("Dst_CIDR_Le_16",'Scoring_Config'!$A:$A,'Scoring_Config'!$D:$D,"Yes")="Yes",_xlfn.XLOOKUP("Dst_CIDR_Le_16",'Scoring_Config'!$A:$A,'Scoring_Config'!$C:$C,25),0),0)+IF(LEFT(AH43,4)="True",IF(_xlfn.XLOOKUP("Dst_CIDR_17_22",'Scoring_Config'!$A:$A,'Scoring_Config'!$D:$D,"Yes")="Yes",_xlfn.XLOOKUP("Dst_CIDR_17_22",'Scoring_Config'!$A:$A,'Scoring_Config'!$C:$C,15),0),0)+IF(LEFT(AI43,4)="True",IF(_xlfn.XLOOKUP("SrcZone_IsAny",'Scoring_Config'!$A:$A,'Scoring_Config'!$D:$D,"Yes")="Yes",_xlfn.XLOOKUP("SrcZone_IsAny",'Scoring_Config'!$A:$A,'Scoring_Config'!$C:$C,5),0),0)+IF(LEFT(AJ43,4)="True",IF(_xlfn.XLOOKUP("DstZone_IsAny",'Scoring_Config'!$A:$A,'Scoring_Config'!$D:$D,"Yes")="Yes",_xlfn.XLOOKUP("DstZone_IsAny",'Scoring_Config'!$A:$A,'Scoring_Config'!$C:$C,5),0),0)+IF(LEFT(AK43,4)="True",IF(_xlfn.XLOOKUP("Service_Any_OR_RangeGt1000",'Scoring_Config'!$A:$A,'Scoring_Config'!$D:$D,"Yes")="Yes",_xlfn.XLOOKUP("Service_Any_OR_RangeGt1000",'Scoring_Config'!$A:$A,'Scoring_Config'!$C:$C,25),0),0)+IF(LEFT(AL43,4)="True",IF(_xlfn.XLOOKUP("App_Any_OR_RangeGt1000",'Scoring_Config'!$A:$A,'Scoring_Config'!$D:$D,"Yes")="Yes",_xlfn.XLOOKUP("App_Any_OR_RangeGt1000",'Scoring_Config'!$A:$A,'Scoring_Config'!$C:$C,25),0),0)+IF(LEFT(AM43,4)="True",IF(_xlfn.XLOOKUP("Service_Insecure_Match",'Scoring_Config'!$A:$A,'Scoring_Config'!$D:$D,"Yes")="Yes",_xlfn.XLOOKUP("Service_Insecure_Match",'Scoring_Config'!$A:$A,'Scoring_Config'!$C:$C,20),0),0)+IF(LEFT(AN43,4)="True",IF(_xlfn.XLOOKUP("Risky_Inbound",'Scoring_Config'!$A:$A,'Scoring_Config'!$D:$D,"Yes")="Yes",_xlfn.XLOOKUP("Risky_Inbound",'Scoring_Config'!$A:$A,'Scoring_Config'!$C:$C,20),0),0)+IF(LEFT(AO43,4)="True",IF(_xlfn.XLOOKUP("Risky_Outbound",'Scoring_Config'!$A:$A,'Scoring_Config'!$D:$D,"Yes")="Yes",_xlfn.XLOOKUP("Risky_Outbound",'Scoring_Config'!$A:$A,'Scoring_Config'!$C:$C,10),0),0)+IF(LEFT(AW43,4)="True",IF(_xlfn.XLOOKUP("Migrate_Insecure",'Scoring_Config'!$A:$A,'Scoring_Config'!$D:$D,"Yes")="Yes",_xlfn.XLOOKUP("Migrate_Insecure",'Scoring_Config'!$A:$A,'Scoring_Config'!$C:$C,15),0),0)+IF(LEFT(AY43,4)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,FIND(",",AP43)+1,100)),0)+IF(LEFT(AQ43,4)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,FIND(",",AR43)+1,100)),0)+IF(_xlfn.XLOOKUP("Profile_Scoring",'Scoring_Config'!$A:$A,'Scoring_Config'!$D:$D,"Yes")="Yes",VALUE(MID(AS43,FIND(",",AS43)+1,100)),0)+IF(_xlfn.XLOOKUP("Options_Scoring",'Scoring_Config'!$A:$A,'Scoring_Config'!$D:$D,"Yes")="Yes",VALUE(MID(AT43,FIND(",",AT43)+1,100)),0)))</f>
        <v>0</v>
      </c>
    </row>
    <row r="44" spans="1:52">
      <c r="A44" s="3" t="s">
        <v>52</v>
      </c>
      <c r="B44" s="3" t="s">
        <v>94</v>
      </c>
      <c r="C44" s="3" t="s">
        <v>329</v>
      </c>
      <c r="D44" s="3"/>
      <c r="E44" s="3" t="s">
        <v>359</v>
      </c>
      <c r="F44" s="3" t="s">
        <v>361</v>
      </c>
      <c r="G44" s="3" t="s">
        <v>365</v>
      </c>
      <c r="H44" s="3" t="s">
        <v>365</v>
      </c>
      <c r="I44" s="3" t="s">
        <v>625</v>
      </c>
      <c r="J44" s="3" t="s">
        <v>360</v>
      </c>
      <c r="K44" s="3" t="s">
        <v>365</v>
      </c>
      <c r="L44" s="3" t="s">
        <v>365</v>
      </c>
      <c r="M44" s="3" t="s">
        <v>365</v>
      </c>
      <c r="N44" s="3" t="s">
        <v>365</v>
      </c>
      <c r="O44" s="4" t="s">
        <v>829</v>
      </c>
      <c r="P44" s="3" t="s">
        <v>890</v>
      </c>
      <c r="Q44" s="3" t="s">
        <v>905</v>
      </c>
      <c r="R44" s="3" t="s">
        <v>907</v>
      </c>
      <c r="S44" s="3" t="s">
        <v>913</v>
      </c>
      <c r="T44" s="3" t="s">
        <v>919</v>
      </c>
      <c r="U44" s="3"/>
      <c r="V44" s="3" t="s">
        <v>1388</v>
      </c>
      <c r="W44" s="3" t="s">
        <v>1422</v>
      </c>
      <c r="X44" s="3" t="s">
        <v>1648</v>
      </c>
      <c r="Y44" s="3" t="s">
        <v>2117</v>
      </c>
      <c r="Z44" s="3"/>
      <c r="AA44" s="3"/>
      <c r="AB44" s="3"/>
      <c r="AC44" s="5" cm="1">
        <f t="array" ref="AC44">IF(TRUE,"True," &amp; IF(_xlfn.XLOOKUP("Src_IsAny",'Scoring_Config'!$A:$A,'Scoring_Config'!$D:$D,"Yes")="Yes",_xlfn.XLOOKUP("Src_IsAny",'Scoring_Config'!$A:$A,'Scoring_Config'!$C:$C,25),0),"False,0")</f>
        <v>0</v>
      </c>
      <c r="AD44" s="4" cm="1">
        <f t="array" ref="AD44">IF(FALSE,"True," &amp; IF(_xlfn.XLOOKUP("Src_CIDR_Le_16",'Scoring_Config'!$A:$A,'Scoring_Config'!$D:$D,"Yes")="Yes",_xlfn.XLOOKUP("Src_CIDR_Le_16",'Scoring_Config'!$A:$A,'Scoring_Config'!$C:$C,25),0),"False,0")</f>
        <v>0</v>
      </c>
      <c r="AE44" s="4" cm="1">
        <f t="array" ref="AE44">IF(FALSE,"True," &amp; IF(_xlfn.XLOOKUP("Src_CIDR_17_22",'Scoring_Config'!$A:$A,'Scoring_Config'!$D:$D,"Yes")="Yes",_xlfn.XLOOKUP("Src_CIDR_17_22",'Scoring_Config'!$A:$A,'Scoring_Config'!$C:$C,15),0),"False,0")</f>
        <v>0</v>
      </c>
      <c r="AF44" s="5" cm="1">
        <f t="array" ref="AF44">IF(TRUE,"True," &amp; IF(_xlfn.XLOOKUP("Dst_IsAny",'Scoring_Config'!$A:$A,'Scoring_Config'!$D:$D,"Yes")="Yes",_xlfn.XLOOKUP("Dst_IsAny",'Scoring_Config'!$A:$A,'Scoring_Config'!$C:$C,25),0),"False,0")</f>
        <v>0</v>
      </c>
      <c r="AG44" s="4" cm="1">
        <f t="array" ref="AG44">IF(FALSE,"True," &amp; IF(_xlfn.XLOOKUP("Dst_CIDR_Le_16",'Scoring_Config'!$A:$A,'Scoring_Config'!$D:$D,"Yes")="Yes",_xlfn.XLOOKUP("Dst_CIDR_Le_16",'Scoring_Config'!$A:$A,'Scoring_Config'!$C:$C,25),0),"False,0")</f>
        <v>0</v>
      </c>
      <c r="AH44" s="4" cm="1">
        <f t="array" ref="AH44">IF(FALSE,"True," &amp; IF(_xlfn.XLOOKUP("Dst_CIDR_17_22",'Scoring_Config'!$A:$A,'Scoring_Config'!$D:$D,"Yes")="Yes",_xlfn.XLOOKUP("Dst_CIDR_17_22",'Scoring_Config'!$A:$A,'Scoring_Config'!$C:$C,15),0),"False,0")</f>
        <v>0</v>
      </c>
      <c r="AI44" s="4" cm="1">
        <f t="array" ref="AI44">IF(FALSE,"True," &amp; IF(_xlfn.XLOOKUP("SrcZone_IsAny",'Scoring_Config'!$A:$A,'Scoring_Config'!$D:$D,"Yes")="Yes",_xlfn.XLOOKUP("SrcZone_IsAny",'Scoring_Config'!$A:$A,'Scoring_Config'!$C:$C,5),0),"False,0")</f>
        <v>0</v>
      </c>
      <c r="AJ44" s="4" cm="1">
        <f t="array" ref="AJ44">IF(FALSE,"True," &amp; IF(_xlfn.XLOOKUP("DstZone_IsAny",'Scoring_Config'!$A:$A,'Scoring_Config'!$D:$D,"Yes")="Yes",_xlfn.XLOOKUP("DstZone_IsAny",'Scoring_Config'!$A:$A,'Scoring_Config'!$C:$C,5),0),"False,0")</f>
        <v>0</v>
      </c>
      <c r="AK44" s="4" cm="1">
        <f t="array" ref="AK4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" s="5" cm="1">
        <f t="array" ref="AL44">IF(TRUE,"True," &amp; IF(_xlfn.XLOOKUP("App_Any_OR_RangeGt1000",'Scoring_Config'!$A:$A,'Scoring_Config'!$D:$D,"Yes")="Yes",_xlfn.XLOOKUP("App_Any_OR_RangeGt1000",'Scoring_Config'!$A:$A,'Scoring_Config'!$C:$C,25),0),"False,0")</f>
        <v>0</v>
      </c>
      <c r="AM44" s="5" cm="1">
        <f t="array" ref="AM44">IF(TRUE,"True," &amp; IF(_xlfn.XLOOKUP("Service_Insecure_Match",'Scoring_Config'!$A:$A,'Scoring_Config'!$D:$D,"Yes")="Yes",_xlfn.XLOOKUP("Service_Insecure_Match",'Scoring_Config'!$A:$A,'Scoring_Config'!$C:$C,20),0),"False,0")</f>
        <v>0</v>
      </c>
      <c r="AN44" s="4" cm="1">
        <f t="array" ref="AN44">IF(FALSE,"True," &amp; IF(_xlfn.XLOOKUP("Risky_Inbound",'Scoring_Config'!$A:$A,'Scoring_Config'!$D:$D,"Yes")="Yes",_xlfn.XLOOKUP("Risky_Inbound",'Scoring_Config'!$A:$A,'Scoring_Config'!$C:$C,20),0),"False,0")</f>
        <v>0</v>
      </c>
      <c r="AO44" s="4" cm="1">
        <f t="array" ref="AO44">IF(FALSE,"True," &amp; IF(_xlfn.XLOOKUP("Risky_Outbound",'Scoring_Config'!$A:$A,'Scoring_Config'!$D:$D,"Yes")="Yes",_xlfn.XLOOKUP("Risky_Outbound",'Scoring_Config'!$A:$A,'Scoring_Config'!$C:$C,10),0),"False,0")</f>
        <v>0</v>
      </c>
      <c r="AP44" s="5" t="s">
        <v>2595</v>
      </c>
      <c r="AQ44" s="5" cm="1">
        <f t="array" ref="AQ4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" s="5" t="s">
        <v>2598</v>
      </c>
      <c r="AS44" s="5" t="s">
        <v>2595</v>
      </c>
      <c r="AT44" s="4" t="s">
        <v>2592</v>
      </c>
      <c r="AU44" s="4" cm="1">
        <f t="array" ref="AU44">IF(FALSE,"True," &amp; IF(_xlfn.XLOOKUP("Action_IsDenyOrDrop",'Scoring_Config'!$A:$A,'Scoring_Config'!$D:$D,"Yes")="Yes",_xlfn.XLOOKUP("Action_IsDenyOrDrop",'Scoring_Config'!$A:$A,'Scoring_Config'!$C:$C,0),0),"False,0")</f>
        <v>0</v>
      </c>
      <c r="AV44" s="4"/>
      <c r="AW44" s="4" cm="1">
        <f t="array" ref="AW44">IF(FALSE,"True," &amp; IF(_xlfn.XLOOKUP("Migrate_Insecure",'Scoring_Config'!$A:$A,'Scoring_Config'!$D:$D,"Yes")="Yes",_xlfn.XLOOKUP("Migrate_Insecure",'Scoring_Config'!$A:$A,'Scoring_Config'!$C:$C,15),0),"False,0")</f>
        <v>0</v>
      </c>
      <c r="AX44" s="4"/>
      <c r="AY44" s="4" cm="1">
        <f t="array" ref="AY44">IF(FALSE,"True," &amp; IF(_xlfn.XLOOKUP("Migrate_Other_Ports",'Scoring_Config'!$A:$A,'Scoring_Config'!$D:$D,"Yes")="Yes",_xlfn.XLOOKUP("Migrate_Other_Ports",'Scoring_Config'!$A:$A,'Scoring_Config'!$C:$C,5),0),"False,0")</f>
        <v>0</v>
      </c>
      <c r="AZ44" s="4" cm="1">
        <f t="array" ref="AZ44">IF(LEFT(AU44,4)="True",0,(IF(LEFT(AC44,4)="True",IF(_xlfn.XLOOKUP("Src_IsAny",'Scoring_Config'!$A:$A,'Scoring_Config'!$D:$D,"Yes")="Yes",_xlfn.XLOOKUP("Src_IsAny",'Scoring_Config'!$A:$A,'Scoring_Config'!$C:$C,25),0),0)+IF(LEFT(AD44,4)="True",IF(_xlfn.XLOOKUP("Src_CIDR_Le_16",'Scoring_Config'!$A:$A,'Scoring_Config'!$D:$D,"Yes")="Yes",_xlfn.XLOOKUP("Src_CIDR_Le_16",'Scoring_Config'!$A:$A,'Scoring_Config'!$C:$C,25),0),0)+IF(LEFT(AE44,4)="True",IF(_xlfn.XLOOKUP("Src_CIDR_17_22",'Scoring_Config'!$A:$A,'Scoring_Config'!$D:$D,"Yes")="Yes",_xlfn.XLOOKUP("Src_CIDR_17_22",'Scoring_Config'!$A:$A,'Scoring_Config'!$C:$C,15),0),0)+IF(LEFT(AF44,4)="True",IF(_xlfn.XLOOKUP("Dst_IsAny",'Scoring_Config'!$A:$A,'Scoring_Config'!$D:$D,"Yes")="Yes",_xlfn.XLOOKUP("Dst_IsAny",'Scoring_Config'!$A:$A,'Scoring_Config'!$C:$C,25),0),0)+IF(LEFT(AG44,4)="True",IF(_xlfn.XLOOKUP("Dst_CIDR_Le_16",'Scoring_Config'!$A:$A,'Scoring_Config'!$D:$D,"Yes")="Yes",_xlfn.XLOOKUP("Dst_CIDR_Le_16",'Scoring_Config'!$A:$A,'Scoring_Config'!$C:$C,25),0),0)+IF(LEFT(AH44,4)="True",IF(_xlfn.XLOOKUP("Dst_CIDR_17_22",'Scoring_Config'!$A:$A,'Scoring_Config'!$D:$D,"Yes")="Yes",_xlfn.XLOOKUP("Dst_CIDR_17_22",'Scoring_Config'!$A:$A,'Scoring_Config'!$C:$C,15),0),0)+IF(LEFT(AI44,4)="True",IF(_xlfn.XLOOKUP("SrcZone_IsAny",'Scoring_Config'!$A:$A,'Scoring_Config'!$D:$D,"Yes")="Yes",_xlfn.XLOOKUP("SrcZone_IsAny",'Scoring_Config'!$A:$A,'Scoring_Config'!$C:$C,5),0),0)+IF(LEFT(AJ44,4)="True",IF(_xlfn.XLOOKUP("DstZone_IsAny",'Scoring_Config'!$A:$A,'Scoring_Config'!$D:$D,"Yes")="Yes",_xlfn.XLOOKUP("DstZone_IsAny",'Scoring_Config'!$A:$A,'Scoring_Config'!$C:$C,5),0),0)+IF(LEFT(AK44,4)="True",IF(_xlfn.XLOOKUP("Service_Any_OR_RangeGt1000",'Scoring_Config'!$A:$A,'Scoring_Config'!$D:$D,"Yes")="Yes",_xlfn.XLOOKUP("Service_Any_OR_RangeGt1000",'Scoring_Config'!$A:$A,'Scoring_Config'!$C:$C,25),0),0)+IF(LEFT(AL44,4)="True",IF(_xlfn.XLOOKUP("App_Any_OR_RangeGt1000",'Scoring_Config'!$A:$A,'Scoring_Config'!$D:$D,"Yes")="Yes",_xlfn.XLOOKUP("App_Any_OR_RangeGt1000",'Scoring_Config'!$A:$A,'Scoring_Config'!$C:$C,25),0),0)+IF(LEFT(AM44,4)="True",IF(_xlfn.XLOOKUP("Service_Insecure_Match",'Scoring_Config'!$A:$A,'Scoring_Config'!$D:$D,"Yes")="Yes",_xlfn.XLOOKUP("Service_Insecure_Match",'Scoring_Config'!$A:$A,'Scoring_Config'!$C:$C,20),0),0)+IF(LEFT(AN44,4)="True",IF(_xlfn.XLOOKUP("Risky_Inbound",'Scoring_Config'!$A:$A,'Scoring_Config'!$D:$D,"Yes")="Yes",_xlfn.XLOOKUP("Risky_Inbound",'Scoring_Config'!$A:$A,'Scoring_Config'!$C:$C,20),0),0)+IF(LEFT(AO44,4)="True",IF(_xlfn.XLOOKUP("Risky_Outbound",'Scoring_Config'!$A:$A,'Scoring_Config'!$D:$D,"Yes")="Yes",_xlfn.XLOOKUP("Risky_Outbound",'Scoring_Config'!$A:$A,'Scoring_Config'!$C:$C,10),0),0)+IF(LEFT(AW44,4)="True",IF(_xlfn.XLOOKUP("Migrate_Insecure",'Scoring_Config'!$A:$A,'Scoring_Config'!$D:$D,"Yes")="Yes",_xlfn.XLOOKUP("Migrate_Insecure",'Scoring_Config'!$A:$A,'Scoring_Config'!$C:$C,15),0),0)+IF(LEFT(AY44,4)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,FIND(",",AP44)+1,100)),0)+IF(LEFT(AQ44,4)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,FIND(",",AR44)+1,100)),0)+IF(_xlfn.XLOOKUP("Profile_Scoring",'Scoring_Config'!$A:$A,'Scoring_Config'!$D:$D,"Yes")="Yes",VALUE(MID(AS44,FIND(",",AS44)+1,100)),0)+IF(_xlfn.XLOOKUP("Options_Scoring",'Scoring_Config'!$A:$A,'Scoring_Config'!$D:$D,"Yes")="Yes",VALUE(MID(AT44,FIND(",",AT44)+1,100)),0)))</f>
        <v>0</v>
      </c>
    </row>
    <row r="45" spans="1:52">
      <c r="A45" s="3" t="s">
        <v>52</v>
      </c>
      <c r="B45" s="3" t="s">
        <v>88</v>
      </c>
      <c r="C45" s="3" t="s">
        <v>329</v>
      </c>
      <c r="D45" s="3"/>
      <c r="E45" s="3" t="s">
        <v>359</v>
      </c>
      <c r="F45" s="3" t="s">
        <v>362</v>
      </c>
      <c r="G45" s="3" t="s">
        <v>385</v>
      </c>
      <c r="H45" s="3" t="s">
        <v>549</v>
      </c>
      <c r="I45" s="3" t="s">
        <v>625</v>
      </c>
      <c r="J45" s="3" t="s">
        <v>363</v>
      </c>
      <c r="K45" s="3" t="s">
        <v>630</v>
      </c>
      <c r="L45" s="3" t="s">
        <v>742</v>
      </c>
      <c r="M45" s="3" t="s">
        <v>775</v>
      </c>
      <c r="N45" s="3" t="s">
        <v>796</v>
      </c>
      <c r="O45" s="4" t="s">
        <v>823</v>
      </c>
      <c r="P45" s="3" t="s">
        <v>884</v>
      </c>
      <c r="Q45" s="3" t="s">
        <v>905</v>
      </c>
      <c r="R45" s="3" t="s">
        <v>907</v>
      </c>
      <c r="S45" s="3" t="s">
        <v>907</v>
      </c>
      <c r="T45" s="3" t="s">
        <v>949</v>
      </c>
      <c r="U45" s="3" t="s">
        <v>1157</v>
      </c>
      <c r="V45" s="3" t="s">
        <v>1386</v>
      </c>
      <c r="W45" s="3" t="s">
        <v>1423</v>
      </c>
      <c r="X45" s="3" t="s">
        <v>1649</v>
      </c>
      <c r="Y45" s="3" t="s">
        <v>2118</v>
      </c>
      <c r="Z45" s="3"/>
      <c r="AA45" s="3"/>
      <c r="AB45" s="3"/>
      <c r="AC45" s="4" cm="1">
        <f t="array" ref="AC45">IF(FALSE,"True," &amp; IF(_xlfn.XLOOKUP("Src_IsAny",'Scoring_Config'!$A:$A,'Scoring_Config'!$D:$D,"Yes")="Yes",_xlfn.XLOOKUP("Src_IsAny",'Scoring_Config'!$A:$A,'Scoring_Config'!$C:$C,25),0),"False,0")</f>
        <v>0</v>
      </c>
      <c r="AD45" s="4" cm="1">
        <f t="array" ref="AD45">IF(FALSE,"True," &amp; IF(_xlfn.XLOOKUP("Src_CIDR_Le_16",'Scoring_Config'!$A:$A,'Scoring_Config'!$D:$D,"Yes")="Yes",_xlfn.XLOOKUP("Src_CIDR_Le_16",'Scoring_Config'!$A:$A,'Scoring_Config'!$C:$C,25),0),"False,0")</f>
        <v>0</v>
      </c>
      <c r="AE45" s="4" cm="1">
        <f t="array" ref="AE45">IF(FALSE,"True," &amp; IF(_xlfn.XLOOKUP("Src_CIDR_17_22",'Scoring_Config'!$A:$A,'Scoring_Config'!$D:$D,"Yes")="Yes",_xlfn.XLOOKUP("Src_CIDR_17_22",'Scoring_Config'!$A:$A,'Scoring_Config'!$C:$C,15),0),"False,0")</f>
        <v>0</v>
      </c>
      <c r="AF45" s="4" cm="1">
        <f t="array" ref="AF45">IF(FALSE,"True," &amp; IF(_xlfn.XLOOKUP("Dst_IsAny",'Scoring_Config'!$A:$A,'Scoring_Config'!$D:$D,"Yes")="Yes",_xlfn.XLOOKUP("Dst_IsAny",'Scoring_Config'!$A:$A,'Scoring_Config'!$C:$C,25),0),"False,0")</f>
        <v>0</v>
      </c>
      <c r="AG45" s="4" cm="1">
        <f t="array" ref="AG45">IF(FALSE,"True," &amp; IF(_xlfn.XLOOKUP("Dst_CIDR_Le_16",'Scoring_Config'!$A:$A,'Scoring_Config'!$D:$D,"Yes")="Yes",_xlfn.XLOOKUP("Dst_CIDR_Le_16",'Scoring_Config'!$A:$A,'Scoring_Config'!$C:$C,25),0),"False,0")</f>
        <v>0</v>
      </c>
      <c r="AH45" s="4" cm="1">
        <f t="array" ref="AH45">IF(FALSE,"True," &amp; IF(_xlfn.XLOOKUP("Dst_CIDR_17_22",'Scoring_Config'!$A:$A,'Scoring_Config'!$D:$D,"Yes")="Yes",_xlfn.XLOOKUP("Dst_CIDR_17_22",'Scoring_Config'!$A:$A,'Scoring_Config'!$C:$C,15),0),"False,0")</f>
        <v>0</v>
      </c>
      <c r="AI45" s="4" cm="1">
        <f t="array" ref="AI45">IF(FALSE,"True," &amp; IF(_xlfn.XLOOKUP("SrcZone_IsAny",'Scoring_Config'!$A:$A,'Scoring_Config'!$D:$D,"Yes")="Yes",_xlfn.XLOOKUP("SrcZone_IsAny",'Scoring_Config'!$A:$A,'Scoring_Config'!$C:$C,5),0),"False,0")</f>
        <v>0</v>
      </c>
      <c r="AJ45" s="4" cm="1">
        <f t="array" ref="AJ45">IF(FALSE,"True," &amp; IF(_xlfn.XLOOKUP("DstZone_IsAny",'Scoring_Config'!$A:$A,'Scoring_Config'!$D:$D,"Yes")="Yes",_xlfn.XLOOKUP("DstZone_IsAny",'Scoring_Config'!$A:$A,'Scoring_Config'!$C:$C,5),0),"False,0")</f>
        <v>0</v>
      </c>
      <c r="AK45" s="4" cm="1">
        <f t="array" ref="AK4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" s="4" cm="1">
        <f t="array" ref="AL45">IF(FALSE,"True," &amp; IF(_xlfn.XLOOKUP("App_Any_OR_RangeGt1000",'Scoring_Config'!$A:$A,'Scoring_Config'!$D:$D,"Yes")="Yes",_xlfn.XLOOKUP("App_Any_OR_RangeGt1000",'Scoring_Config'!$A:$A,'Scoring_Config'!$C:$C,25),0),"False,0")</f>
        <v>0</v>
      </c>
      <c r="AM45" s="5" cm="1">
        <f t="array" ref="AM45">IF(TRUE,"True," &amp; IF(_xlfn.XLOOKUP("Service_Insecure_Match",'Scoring_Config'!$A:$A,'Scoring_Config'!$D:$D,"Yes")="Yes",_xlfn.XLOOKUP("Service_Insecure_Match",'Scoring_Config'!$A:$A,'Scoring_Config'!$C:$C,20),0),"False,0")</f>
        <v>0</v>
      </c>
      <c r="AN45" s="4" cm="1">
        <f t="array" ref="AN45">IF(FALSE,"True," &amp; IF(_xlfn.XLOOKUP("Risky_Inbound",'Scoring_Config'!$A:$A,'Scoring_Config'!$D:$D,"Yes")="Yes",_xlfn.XLOOKUP("Risky_Inbound",'Scoring_Config'!$A:$A,'Scoring_Config'!$C:$C,20),0),"False,0")</f>
        <v>0</v>
      </c>
      <c r="AO45" s="4" cm="1">
        <f t="array" ref="AO45">IF(FALSE,"True," &amp; IF(_xlfn.XLOOKUP("Risky_Outbound",'Scoring_Config'!$A:$A,'Scoring_Config'!$D:$D,"Yes")="Yes",_xlfn.XLOOKUP("Risky_Outbound",'Scoring_Config'!$A:$A,'Scoring_Config'!$C:$C,10),0),"False,0")</f>
        <v>0</v>
      </c>
      <c r="AP45" s="5" t="s">
        <v>2595</v>
      </c>
      <c r="AQ45" s="5" cm="1">
        <f t="array" ref="AQ4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" s="5" t="s">
        <v>2598</v>
      </c>
      <c r="AS45" s="5" t="s">
        <v>2595</v>
      </c>
      <c r="AT45" s="5" t="s">
        <v>2595</v>
      </c>
      <c r="AU45" s="4" cm="1">
        <f t="array" ref="AU45">IF(FALSE,"True," &amp; IF(_xlfn.XLOOKUP("Action_IsDenyOrDrop",'Scoring_Config'!$A:$A,'Scoring_Config'!$D:$D,"Yes")="Yes",_xlfn.XLOOKUP("Action_IsDenyOrDrop",'Scoring_Config'!$A:$A,'Scoring_Config'!$C:$C,0),0),"False,0")</f>
        <v>0</v>
      </c>
      <c r="AV45" s="4"/>
      <c r="AW45" s="4" cm="1">
        <f t="array" ref="AW45">IF(FALSE,"True," &amp; IF(_xlfn.XLOOKUP("Migrate_Insecure",'Scoring_Config'!$A:$A,'Scoring_Config'!$D:$D,"Yes")="Yes",_xlfn.XLOOKUP("Migrate_Insecure",'Scoring_Config'!$A:$A,'Scoring_Config'!$C:$C,15),0),"False,0")</f>
        <v>0</v>
      </c>
      <c r="AX45" s="4"/>
      <c r="AY45" s="4" cm="1">
        <f t="array" ref="AY45">IF(FALSE,"True," &amp; IF(_xlfn.XLOOKUP("Migrate_Other_Ports",'Scoring_Config'!$A:$A,'Scoring_Config'!$D:$D,"Yes")="Yes",_xlfn.XLOOKUP("Migrate_Other_Ports",'Scoring_Config'!$A:$A,'Scoring_Config'!$C:$C,5),0),"False,0")</f>
        <v>0</v>
      </c>
      <c r="AZ45" s="4" cm="1">
        <f t="array" ref="AZ45">IF(LEFT(AU45,4)="True",0,(IF(LEFT(AC45,4)="True",IF(_xlfn.XLOOKUP("Src_IsAny",'Scoring_Config'!$A:$A,'Scoring_Config'!$D:$D,"Yes")="Yes",_xlfn.XLOOKUP("Src_IsAny",'Scoring_Config'!$A:$A,'Scoring_Config'!$C:$C,25),0),0)+IF(LEFT(AD45,4)="True",IF(_xlfn.XLOOKUP("Src_CIDR_Le_16",'Scoring_Config'!$A:$A,'Scoring_Config'!$D:$D,"Yes")="Yes",_xlfn.XLOOKUP("Src_CIDR_Le_16",'Scoring_Config'!$A:$A,'Scoring_Config'!$C:$C,25),0),0)+IF(LEFT(AE45,4)="True",IF(_xlfn.XLOOKUP("Src_CIDR_17_22",'Scoring_Config'!$A:$A,'Scoring_Config'!$D:$D,"Yes")="Yes",_xlfn.XLOOKUP("Src_CIDR_17_22",'Scoring_Config'!$A:$A,'Scoring_Config'!$C:$C,15),0),0)+IF(LEFT(AF45,4)="True",IF(_xlfn.XLOOKUP("Dst_IsAny",'Scoring_Config'!$A:$A,'Scoring_Config'!$D:$D,"Yes")="Yes",_xlfn.XLOOKUP("Dst_IsAny",'Scoring_Config'!$A:$A,'Scoring_Config'!$C:$C,25),0),0)+IF(LEFT(AG45,4)="True",IF(_xlfn.XLOOKUP("Dst_CIDR_Le_16",'Scoring_Config'!$A:$A,'Scoring_Config'!$D:$D,"Yes")="Yes",_xlfn.XLOOKUP("Dst_CIDR_Le_16",'Scoring_Config'!$A:$A,'Scoring_Config'!$C:$C,25),0),0)+IF(LEFT(AH45,4)="True",IF(_xlfn.XLOOKUP("Dst_CIDR_17_22",'Scoring_Config'!$A:$A,'Scoring_Config'!$D:$D,"Yes")="Yes",_xlfn.XLOOKUP("Dst_CIDR_17_22",'Scoring_Config'!$A:$A,'Scoring_Config'!$C:$C,15),0),0)+IF(LEFT(AI45,4)="True",IF(_xlfn.XLOOKUP("SrcZone_IsAny",'Scoring_Config'!$A:$A,'Scoring_Config'!$D:$D,"Yes")="Yes",_xlfn.XLOOKUP("SrcZone_IsAny",'Scoring_Config'!$A:$A,'Scoring_Config'!$C:$C,5),0),0)+IF(LEFT(AJ45,4)="True",IF(_xlfn.XLOOKUP("DstZone_IsAny",'Scoring_Config'!$A:$A,'Scoring_Config'!$D:$D,"Yes")="Yes",_xlfn.XLOOKUP("DstZone_IsAny",'Scoring_Config'!$A:$A,'Scoring_Config'!$C:$C,5),0),0)+IF(LEFT(AK45,4)="True",IF(_xlfn.XLOOKUP("Service_Any_OR_RangeGt1000",'Scoring_Config'!$A:$A,'Scoring_Config'!$D:$D,"Yes")="Yes",_xlfn.XLOOKUP("Service_Any_OR_RangeGt1000",'Scoring_Config'!$A:$A,'Scoring_Config'!$C:$C,25),0),0)+IF(LEFT(AL45,4)="True",IF(_xlfn.XLOOKUP("App_Any_OR_RangeGt1000",'Scoring_Config'!$A:$A,'Scoring_Config'!$D:$D,"Yes")="Yes",_xlfn.XLOOKUP("App_Any_OR_RangeGt1000",'Scoring_Config'!$A:$A,'Scoring_Config'!$C:$C,25),0),0)+IF(LEFT(AM45,4)="True",IF(_xlfn.XLOOKUP("Service_Insecure_Match",'Scoring_Config'!$A:$A,'Scoring_Config'!$D:$D,"Yes")="Yes",_xlfn.XLOOKUP("Service_Insecure_Match",'Scoring_Config'!$A:$A,'Scoring_Config'!$C:$C,20),0),0)+IF(LEFT(AN45,4)="True",IF(_xlfn.XLOOKUP("Risky_Inbound",'Scoring_Config'!$A:$A,'Scoring_Config'!$D:$D,"Yes")="Yes",_xlfn.XLOOKUP("Risky_Inbound",'Scoring_Config'!$A:$A,'Scoring_Config'!$C:$C,20),0),0)+IF(LEFT(AO45,4)="True",IF(_xlfn.XLOOKUP("Risky_Outbound",'Scoring_Config'!$A:$A,'Scoring_Config'!$D:$D,"Yes")="Yes",_xlfn.XLOOKUP("Risky_Outbound",'Scoring_Config'!$A:$A,'Scoring_Config'!$C:$C,10),0),0)+IF(LEFT(AW45,4)="True",IF(_xlfn.XLOOKUP("Migrate_Insecure",'Scoring_Config'!$A:$A,'Scoring_Config'!$D:$D,"Yes")="Yes",_xlfn.XLOOKUP("Migrate_Insecure",'Scoring_Config'!$A:$A,'Scoring_Config'!$C:$C,15),0),0)+IF(LEFT(AY45,4)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,FIND(",",AP45)+1,100)),0)+IF(LEFT(AQ45,4)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,FIND(",",AR45)+1,100)),0)+IF(_xlfn.XLOOKUP("Profile_Scoring",'Scoring_Config'!$A:$A,'Scoring_Config'!$D:$D,"Yes")="Yes",VALUE(MID(AS45,FIND(",",AS45)+1,100)),0)+IF(_xlfn.XLOOKUP("Options_Scoring",'Scoring_Config'!$A:$A,'Scoring_Config'!$D:$D,"Yes")="Yes",VALUE(MID(AT45,FIND(",",AT45)+1,100)),0)))</f>
        <v>0</v>
      </c>
    </row>
    <row r="46" spans="1:52">
      <c r="A46" s="3" t="s">
        <v>52</v>
      </c>
      <c r="B46" s="3" t="s">
        <v>95</v>
      </c>
      <c r="C46" s="3" t="s">
        <v>329</v>
      </c>
      <c r="D46" s="3"/>
      <c r="E46" s="3" t="s">
        <v>359</v>
      </c>
      <c r="F46" s="3" t="s">
        <v>364</v>
      </c>
      <c r="G46" s="3" t="s">
        <v>381</v>
      </c>
      <c r="H46" s="3" t="s">
        <v>547</v>
      </c>
      <c r="I46" s="3" t="s">
        <v>624</v>
      </c>
      <c r="J46" s="3" t="s">
        <v>360</v>
      </c>
      <c r="K46" s="3" t="s">
        <v>626</v>
      </c>
      <c r="L46" s="3" t="s">
        <v>626</v>
      </c>
      <c r="M46" s="3" t="s">
        <v>769</v>
      </c>
      <c r="N46" s="3" t="s">
        <v>792</v>
      </c>
      <c r="O46" s="4" t="s">
        <v>830</v>
      </c>
      <c r="P46" s="3" t="s">
        <v>891</v>
      </c>
      <c r="Q46" s="3" t="s">
        <v>905</v>
      </c>
      <c r="R46" s="3" t="s">
        <v>910</v>
      </c>
      <c r="S46" s="3" t="s">
        <v>916</v>
      </c>
      <c r="T46" s="3" t="s">
        <v>919</v>
      </c>
      <c r="U46" s="3" t="s">
        <v>1157</v>
      </c>
      <c r="V46" s="3" t="s">
        <v>1387</v>
      </c>
      <c r="W46" s="3" t="s">
        <v>1424</v>
      </c>
      <c r="X46" s="3" t="s">
        <v>1650</v>
      </c>
      <c r="Y46" s="3" t="s">
        <v>2119</v>
      </c>
      <c r="Z46" s="3"/>
      <c r="AA46" s="3"/>
      <c r="AB46" s="3"/>
      <c r="AC46" s="4" cm="1">
        <f t="array" ref="AC46">IF(FALSE,"True," &amp; IF(_xlfn.XLOOKUP("Src_IsAny",'Scoring_Config'!$A:$A,'Scoring_Config'!$D:$D,"Yes")="Yes",_xlfn.XLOOKUP("Src_IsAny",'Scoring_Config'!$A:$A,'Scoring_Config'!$C:$C,25),0),"False,0")</f>
        <v>0</v>
      </c>
      <c r="AD46" s="4" cm="1">
        <f t="array" ref="AD46">IF(FALSE,"True," &amp; IF(_xlfn.XLOOKUP("Src_CIDR_Le_16",'Scoring_Config'!$A:$A,'Scoring_Config'!$D:$D,"Yes")="Yes",_xlfn.XLOOKUP("Src_CIDR_Le_16",'Scoring_Config'!$A:$A,'Scoring_Config'!$C:$C,25),0),"False,0")</f>
        <v>0</v>
      </c>
      <c r="AE46" s="4" cm="1">
        <f t="array" ref="AE46">IF(FALSE,"True," &amp; IF(_xlfn.XLOOKUP("Src_CIDR_17_22",'Scoring_Config'!$A:$A,'Scoring_Config'!$D:$D,"Yes")="Yes",_xlfn.XLOOKUP("Src_CIDR_17_22",'Scoring_Config'!$A:$A,'Scoring_Config'!$C:$C,15),0),"False,0")</f>
        <v>0</v>
      </c>
      <c r="AF46" s="4" cm="1">
        <f t="array" ref="AF46">IF(FALSE,"True," &amp; IF(_xlfn.XLOOKUP("Dst_IsAny",'Scoring_Config'!$A:$A,'Scoring_Config'!$D:$D,"Yes")="Yes",_xlfn.XLOOKUP("Dst_IsAny",'Scoring_Config'!$A:$A,'Scoring_Config'!$C:$C,25),0),"False,0")</f>
        <v>0</v>
      </c>
      <c r="AG46" s="4" cm="1">
        <f t="array" ref="AG46">IF(FALSE,"True," &amp; IF(_xlfn.XLOOKUP("Dst_CIDR_Le_16",'Scoring_Config'!$A:$A,'Scoring_Config'!$D:$D,"Yes")="Yes",_xlfn.XLOOKUP("Dst_CIDR_Le_16",'Scoring_Config'!$A:$A,'Scoring_Config'!$C:$C,25),0),"False,0")</f>
        <v>0</v>
      </c>
      <c r="AH46" s="4" cm="1">
        <f t="array" ref="AH46">IF(FALSE,"True," &amp; IF(_xlfn.XLOOKUP("Dst_CIDR_17_22",'Scoring_Config'!$A:$A,'Scoring_Config'!$D:$D,"Yes")="Yes",_xlfn.XLOOKUP("Dst_CIDR_17_22",'Scoring_Config'!$A:$A,'Scoring_Config'!$C:$C,15),0),"False,0")</f>
        <v>0</v>
      </c>
      <c r="AI46" s="4" cm="1">
        <f t="array" ref="AI46">IF(FALSE,"True," &amp; IF(_xlfn.XLOOKUP("SrcZone_IsAny",'Scoring_Config'!$A:$A,'Scoring_Config'!$D:$D,"Yes")="Yes",_xlfn.XLOOKUP("SrcZone_IsAny",'Scoring_Config'!$A:$A,'Scoring_Config'!$C:$C,5),0),"False,0")</f>
        <v>0</v>
      </c>
      <c r="AJ46" s="4" cm="1">
        <f t="array" ref="AJ46">IF(FALSE,"True," &amp; IF(_xlfn.XLOOKUP("DstZone_IsAny",'Scoring_Config'!$A:$A,'Scoring_Config'!$D:$D,"Yes")="Yes",_xlfn.XLOOKUP("DstZone_IsAny",'Scoring_Config'!$A:$A,'Scoring_Config'!$C:$C,5),0),"False,0")</f>
        <v>0</v>
      </c>
      <c r="AK46" s="4" cm="1">
        <f t="array" ref="AK4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" s="4" cm="1">
        <f t="array" ref="AL46">IF(FALSE,"True," &amp; IF(_xlfn.XLOOKUP("App_Any_OR_RangeGt1000",'Scoring_Config'!$A:$A,'Scoring_Config'!$D:$D,"Yes")="Yes",_xlfn.XLOOKUP("App_Any_OR_RangeGt1000",'Scoring_Config'!$A:$A,'Scoring_Config'!$C:$C,25),0),"False,0")</f>
        <v>0</v>
      </c>
      <c r="AM46" s="5" cm="1">
        <f t="array" ref="AM46">IF(TRUE,"True," &amp; IF(_xlfn.XLOOKUP("Service_Insecure_Match",'Scoring_Config'!$A:$A,'Scoring_Config'!$D:$D,"Yes")="Yes",_xlfn.XLOOKUP("Service_Insecure_Match",'Scoring_Config'!$A:$A,'Scoring_Config'!$C:$C,20),0),"False,0")</f>
        <v>0</v>
      </c>
      <c r="AN46" s="4" cm="1">
        <f t="array" ref="AN46">IF(FALSE,"True," &amp; IF(_xlfn.XLOOKUP("Risky_Inbound",'Scoring_Config'!$A:$A,'Scoring_Config'!$D:$D,"Yes")="Yes",_xlfn.XLOOKUP("Risky_Inbound",'Scoring_Config'!$A:$A,'Scoring_Config'!$C:$C,20),0),"False,0")</f>
        <v>0</v>
      </c>
      <c r="AO46" s="4" cm="1">
        <f t="array" ref="AO46">IF(FALSE,"True," &amp; IF(_xlfn.XLOOKUP("Risky_Outbound",'Scoring_Config'!$A:$A,'Scoring_Config'!$D:$D,"Yes")="Yes",_xlfn.XLOOKUP("Risky_Outbound",'Scoring_Config'!$A:$A,'Scoring_Config'!$C:$C,10),0),"False,0")</f>
        <v>0</v>
      </c>
      <c r="AP46" s="5" t="s">
        <v>2595</v>
      </c>
      <c r="AQ46" s="5" cm="1">
        <f t="array" ref="AQ4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" s="5" t="s">
        <v>2598</v>
      </c>
      <c r="AS46" s="4" t="s">
        <v>2592</v>
      </c>
      <c r="AT46" s="4" t="s">
        <v>2592</v>
      </c>
      <c r="AU46" s="4" cm="1">
        <f t="array" ref="AU46">IF(FALSE,"True," &amp; IF(_xlfn.XLOOKUP("Action_IsDenyOrDrop",'Scoring_Config'!$A:$A,'Scoring_Config'!$D:$D,"Yes")="Yes",_xlfn.XLOOKUP("Action_IsDenyOrDrop",'Scoring_Config'!$A:$A,'Scoring_Config'!$C:$C,0),0),"False,0")</f>
        <v>0</v>
      </c>
      <c r="AV46" s="4"/>
      <c r="AW46" s="4" cm="1">
        <f t="array" ref="AW46">IF(FALSE,"True," &amp; IF(_xlfn.XLOOKUP("Migrate_Insecure",'Scoring_Config'!$A:$A,'Scoring_Config'!$D:$D,"Yes")="Yes",_xlfn.XLOOKUP("Migrate_Insecure",'Scoring_Config'!$A:$A,'Scoring_Config'!$C:$C,15),0),"False,0")</f>
        <v>0</v>
      </c>
      <c r="AX46" s="4"/>
      <c r="AY46" s="4" cm="1">
        <f t="array" ref="AY46">IF(FALSE,"True," &amp; IF(_xlfn.XLOOKUP("Migrate_Other_Ports",'Scoring_Config'!$A:$A,'Scoring_Config'!$D:$D,"Yes")="Yes",_xlfn.XLOOKUP("Migrate_Other_Ports",'Scoring_Config'!$A:$A,'Scoring_Config'!$C:$C,5),0),"False,0")</f>
        <v>0</v>
      </c>
      <c r="AZ46" s="4" cm="1">
        <f t="array" ref="AZ46">IF(LEFT(AU46,4)="True",0,(IF(LEFT(AC46,4)="True",IF(_xlfn.XLOOKUP("Src_IsAny",'Scoring_Config'!$A:$A,'Scoring_Config'!$D:$D,"Yes")="Yes",_xlfn.XLOOKUP("Src_IsAny",'Scoring_Config'!$A:$A,'Scoring_Config'!$C:$C,25),0),0)+IF(LEFT(AD46,4)="True",IF(_xlfn.XLOOKUP("Src_CIDR_Le_16",'Scoring_Config'!$A:$A,'Scoring_Config'!$D:$D,"Yes")="Yes",_xlfn.XLOOKUP("Src_CIDR_Le_16",'Scoring_Config'!$A:$A,'Scoring_Config'!$C:$C,25),0),0)+IF(LEFT(AE46,4)="True",IF(_xlfn.XLOOKUP("Src_CIDR_17_22",'Scoring_Config'!$A:$A,'Scoring_Config'!$D:$D,"Yes")="Yes",_xlfn.XLOOKUP("Src_CIDR_17_22",'Scoring_Config'!$A:$A,'Scoring_Config'!$C:$C,15),0),0)+IF(LEFT(AF46,4)="True",IF(_xlfn.XLOOKUP("Dst_IsAny",'Scoring_Config'!$A:$A,'Scoring_Config'!$D:$D,"Yes")="Yes",_xlfn.XLOOKUP("Dst_IsAny",'Scoring_Config'!$A:$A,'Scoring_Config'!$C:$C,25),0),0)+IF(LEFT(AG46,4)="True",IF(_xlfn.XLOOKUP("Dst_CIDR_Le_16",'Scoring_Config'!$A:$A,'Scoring_Config'!$D:$D,"Yes")="Yes",_xlfn.XLOOKUP("Dst_CIDR_Le_16",'Scoring_Config'!$A:$A,'Scoring_Config'!$C:$C,25),0),0)+IF(LEFT(AH46,4)="True",IF(_xlfn.XLOOKUP("Dst_CIDR_17_22",'Scoring_Config'!$A:$A,'Scoring_Config'!$D:$D,"Yes")="Yes",_xlfn.XLOOKUP("Dst_CIDR_17_22",'Scoring_Config'!$A:$A,'Scoring_Config'!$C:$C,15),0),0)+IF(LEFT(AI46,4)="True",IF(_xlfn.XLOOKUP("SrcZone_IsAny",'Scoring_Config'!$A:$A,'Scoring_Config'!$D:$D,"Yes")="Yes",_xlfn.XLOOKUP("SrcZone_IsAny",'Scoring_Config'!$A:$A,'Scoring_Config'!$C:$C,5),0),0)+IF(LEFT(AJ46,4)="True",IF(_xlfn.XLOOKUP("DstZone_IsAny",'Scoring_Config'!$A:$A,'Scoring_Config'!$D:$D,"Yes")="Yes",_xlfn.XLOOKUP("DstZone_IsAny",'Scoring_Config'!$A:$A,'Scoring_Config'!$C:$C,5),0),0)+IF(LEFT(AK46,4)="True",IF(_xlfn.XLOOKUP("Service_Any_OR_RangeGt1000",'Scoring_Config'!$A:$A,'Scoring_Config'!$D:$D,"Yes")="Yes",_xlfn.XLOOKUP("Service_Any_OR_RangeGt1000",'Scoring_Config'!$A:$A,'Scoring_Config'!$C:$C,25),0),0)+IF(LEFT(AL46,4)="True",IF(_xlfn.XLOOKUP("App_Any_OR_RangeGt1000",'Scoring_Config'!$A:$A,'Scoring_Config'!$D:$D,"Yes")="Yes",_xlfn.XLOOKUP("App_Any_OR_RangeGt1000",'Scoring_Config'!$A:$A,'Scoring_Config'!$C:$C,25),0),0)+IF(LEFT(AM46,4)="True",IF(_xlfn.XLOOKUP("Service_Insecure_Match",'Scoring_Config'!$A:$A,'Scoring_Config'!$D:$D,"Yes")="Yes",_xlfn.XLOOKUP("Service_Insecure_Match",'Scoring_Config'!$A:$A,'Scoring_Config'!$C:$C,20),0),0)+IF(LEFT(AN46,4)="True",IF(_xlfn.XLOOKUP("Risky_Inbound",'Scoring_Config'!$A:$A,'Scoring_Config'!$D:$D,"Yes")="Yes",_xlfn.XLOOKUP("Risky_Inbound",'Scoring_Config'!$A:$A,'Scoring_Config'!$C:$C,20),0),0)+IF(LEFT(AO46,4)="True",IF(_xlfn.XLOOKUP("Risky_Outbound",'Scoring_Config'!$A:$A,'Scoring_Config'!$D:$D,"Yes")="Yes",_xlfn.XLOOKUP("Risky_Outbound",'Scoring_Config'!$A:$A,'Scoring_Config'!$C:$C,10),0),0)+IF(LEFT(AW46,4)="True",IF(_xlfn.XLOOKUP("Migrate_Insecure",'Scoring_Config'!$A:$A,'Scoring_Config'!$D:$D,"Yes")="Yes",_xlfn.XLOOKUP("Migrate_Insecure",'Scoring_Config'!$A:$A,'Scoring_Config'!$C:$C,15),0),0)+IF(LEFT(AY46,4)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,FIND(",",AP46)+1,100)),0)+IF(LEFT(AQ46,4)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,FIND(",",AR46)+1,100)),0)+IF(_xlfn.XLOOKUP("Profile_Scoring",'Scoring_Config'!$A:$A,'Scoring_Config'!$D:$D,"Yes")="Yes",VALUE(MID(AS46,FIND(",",AS46)+1,100)),0)+IF(_xlfn.XLOOKUP("Options_Scoring",'Scoring_Config'!$A:$A,'Scoring_Config'!$D:$D,"Yes")="Yes",VALUE(MID(AT46,FIND(",",AT46)+1,100)),0)))</f>
        <v>0</v>
      </c>
    </row>
    <row r="47" spans="1:52">
      <c r="A47" s="3" t="s">
        <v>52</v>
      </c>
      <c r="B47" s="3" t="s">
        <v>96</v>
      </c>
      <c r="C47" s="3" t="s">
        <v>329</v>
      </c>
      <c r="D47" s="3"/>
      <c r="E47" s="3" t="s">
        <v>359</v>
      </c>
      <c r="F47" s="3" t="s">
        <v>361</v>
      </c>
      <c r="G47" s="3" t="s">
        <v>385</v>
      </c>
      <c r="H47" s="3" t="s">
        <v>549</v>
      </c>
      <c r="I47" s="3" t="s">
        <v>365</v>
      </c>
      <c r="J47" s="3" t="s">
        <v>363</v>
      </c>
      <c r="K47" s="3" t="s">
        <v>365</v>
      </c>
      <c r="L47" s="3" t="s">
        <v>365</v>
      </c>
      <c r="M47" s="3" t="s">
        <v>365</v>
      </c>
      <c r="N47" s="3" t="s">
        <v>365</v>
      </c>
      <c r="O47" s="4" t="s">
        <v>807</v>
      </c>
      <c r="P47" s="3" t="s">
        <v>868</v>
      </c>
      <c r="Q47" s="3" t="s">
        <v>905</v>
      </c>
      <c r="R47" s="3" t="s">
        <v>908</v>
      </c>
      <c r="S47" s="3" t="s">
        <v>916</v>
      </c>
      <c r="T47" s="3" t="s">
        <v>950</v>
      </c>
      <c r="U47" s="3" t="s">
        <v>1176</v>
      </c>
      <c r="V47" s="3" t="s">
        <v>770</v>
      </c>
      <c r="W47" s="3" t="s">
        <v>1425</v>
      </c>
      <c r="X47" s="3" t="s">
        <v>1651</v>
      </c>
      <c r="Y47" s="3" t="s">
        <v>2120</v>
      </c>
      <c r="Z47" s="3"/>
      <c r="AA47" s="3"/>
      <c r="AB47" s="3"/>
      <c r="AC47" s="4" cm="1">
        <f t="array" ref="AC47">IF(FALSE,"True," &amp; IF(_xlfn.XLOOKUP("Src_IsAny",'Scoring_Config'!$A:$A,'Scoring_Config'!$D:$D,"Yes")="Yes",_xlfn.XLOOKUP("Src_IsAny",'Scoring_Config'!$A:$A,'Scoring_Config'!$C:$C,25),0),"False,0")</f>
        <v>0</v>
      </c>
      <c r="AD47" s="4" cm="1">
        <f t="array" ref="AD47">IF(FALSE,"True," &amp; IF(_xlfn.XLOOKUP("Src_CIDR_Le_16",'Scoring_Config'!$A:$A,'Scoring_Config'!$D:$D,"Yes")="Yes",_xlfn.XLOOKUP("Src_CIDR_Le_16",'Scoring_Config'!$A:$A,'Scoring_Config'!$C:$C,25),0),"False,0")</f>
        <v>0</v>
      </c>
      <c r="AE47" s="4" cm="1">
        <f t="array" ref="AE47">IF(FALSE,"True," &amp; IF(_xlfn.XLOOKUP("Src_CIDR_17_22",'Scoring_Config'!$A:$A,'Scoring_Config'!$D:$D,"Yes")="Yes",_xlfn.XLOOKUP("Src_CIDR_17_22",'Scoring_Config'!$A:$A,'Scoring_Config'!$C:$C,15),0),"False,0")</f>
        <v>0</v>
      </c>
      <c r="AF47" s="5" cm="1">
        <f t="array" ref="AF47">IF(TRUE,"True," &amp; IF(_xlfn.XLOOKUP("Dst_IsAny",'Scoring_Config'!$A:$A,'Scoring_Config'!$D:$D,"Yes")="Yes",_xlfn.XLOOKUP("Dst_IsAny",'Scoring_Config'!$A:$A,'Scoring_Config'!$C:$C,25),0),"False,0")</f>
        <v>0</v>
      </c>
      <c r="AG47" s="4" cm="1">
        <f t="array" ref="AG47">IF(FALSE,"True," &amp; IF(_xlfn.XLOOKUP("Dst_CIDR_Le_16",'Scoring_Config'!$A:$A,'Scoring_Config'!$D:$D,"Yes")="Yes",_xlfn.XLOOKUP("Dst_CIDR_Le_16",'Scoring_Config'!$A:$A,'Scoring_Config'!$C:$C,25),0),"False,0")</f>
        <v>0</v>
      </c>
      <c r="AH47" s="4" cm="1">
        <f t="array" ref="AH47">IF(FALSE,"True," &amp; IF(_xlfn.XLOOKUP("Dst_CIDR_17_22",'Scoring_Config'!$A:$A,'Scoring_Config'!$D:$D,"Yes")="Yes",_xlfn.XLOOKUP("Dst_CIDR_17_22",'Scoring_Config'!$A:$A,'Scoring_Config'!$C:$C,15),0),"False,0")</f>
        <v>0</v>
      </c>
      <c r="AI47" s="4" cm="1">
        <f t="array" ref="AI47">IF(FALSE,"True," &amp; IF(_xlfn.XLOOKUP("SrcZone_IsAny",'Scoring_Config'!$A:$A,'Scoring_Config'!$D:$D,"Yes")="Yes",_xlfn.XLOOKUP("SrcZone_IsAny",'Scoring_Config'!$A:$A,'Scoring_Config'!$C:$C,5),0),"False,0")</f>
        <v>0</v>
      </c>
      <c r="AJ47" s="4" cm="1">
        <f t="array" ref="AJ47">IF(FALSE,"True," &amp; IF(_xlfn.XLOOKUP("DstZone_IsAny",'Scoring_Config'!$A:$A,'Scoring_Config'!$D:$D,"Yes")="Yes",_xlfn.XLOOKUP("DstZone_IsAny",'Scoring_Config'!$A:$A,'Scoring_Config'!$C:$C,5),0),"False,0")</f>
        <v>0</v>
      </c>
      <c r="AK47" s="4" cm="1">
        <f t="array" ref="AK4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7" s="5" cm="1">
        <f t="array" ref="AL47">IF(TRUE,"True," &amp; IF(_xlfn.XLOOKUP("App_Any_OR_RangeGt1000",'Scoring_Config'!$A:$A,'Scoring_Config'!$D:$D,"Yes")="Yes",_xlfn.XLOOKUP("App_Any_OR_RangeGt1000",'Scoring_Config'!$A:$A,'Scoring_Config'!$C:$C,25),0),"False,0")</f>
        <v>0</v>
      </c>
      <c r="AM47" s="5" cm="1">
        <f t="array" ref="AM47">IF(TRUE,"True," &amp; IF(_xlfn.XLOOKUP("Service_Insecure_Match",'Scoring_Config'!$A:$A,'Scoring_Config'!$D:$D,"Yes")="Yes",_xlfn.XLOOKUP("Service_Insecure_Match",'Scoring_Config'!$A:$A,'Scoring_Config'!$C:$C,20),0),"False,0")</f>
        <v>0</v>
      </c>
      <c r="AN47" s="4" cm="1">
        <f t="array" ref="AN47">IF(FALSE,"True," &amp; IF(_xlfn.XLOOKUP("Risky_Inbound",'Scoring_Config'!$A:$A,'Scoring_Config'!$D:$D,"Yes")="Yes",_xlfn.XLOOKUP("Risky_Inbound",'Scoring_Config'!$A:$A,'Scoring_Config'!$C:$C,20),0),"False,0")</f>
        <v>0</v>
      </c>
      <c r="AO47" s="4" cm="1">
        <f t="array" ref="AO47">IF(FALSE,"True," &amp; IF(_xlfn.XLOOKUP("Risky_Outbound",'Scoring_Config'!$A:$A,'Scoring_Config'!$D:$D,"Yes")="Yes",_xlfn.XLOOKUP("Risky_Outbound",'Scoring_Config'!$A:$A,'Scoring_Config'!$C:$C,10),0),"False,0")</f>
        <v>0</v>
      </c>
      <c r="AP47" s="5" t="s">
        <v>2595</v>
      </c>
      <c r="AQ47" s="4" cm="1">
        <f t="array" ref="AQ4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7" s="4" t="s">
        <v>2592</v>
      </c>
      <c r="AS47" s="4" t="s">
        <v>2592</v>
      </c>
      <c r="AT47" s="4" t="s">
        <v>2592</v>
      </c>
      <c r="AU47" s="4" cm="1">
        <f t="array" ref="AU47">IF(FALSE,"True," &amp; IF(_xlfn.XLOOKUP("Action_IsDenyOrDrop",'Scoring_Config'!$A:$A,'Scoring_Config'!$D:$D,"Yes")="Yes",_xlfn.XLOOKUP("Action_IsDenyOrDrop",'Scoring_Config'!$A:$A,'Scoring_Config'!$C:$C,0),0),"False,0")</f>
        <v>0</v>
      </c>
      <c r="AV47" s="4"/>
      <c r="AW47" s="4" cm="1">
        <f t="array" ref="AW47">IF(FALSE,"True," &amp; IF(_xlfn.XLOOKUP("Migrate_Insecure",'Scoring_Config'!$A:$A,'Scoring_Config'!$D:$D,"Yes")="Yes",_xlfn.XLOOKUP("Migrate_Insecure",'Scoring_Config'!$A:$A,'Scoring_Config'!$C:$C,15),0),"False,0")</f>
        <v>0</v>
      </c>
      <c r="AX47" s="4"/>
      <c r="AY47" s="4" cm="1">
        <f t="array" ref="AY47">IF(FALSE,"True," &amp; IF(_xlfn.XLOOKUP("Migrate_Other_Ports",'Scoring_Config'!$A:$A,'Scoring_Config'!$D:$D,"Yes")="Yes",_xlfn.XLOOKUP("Migrate_Other_Ports",'Scoring_Config'!$A:$A,'Scoring_Config'!$C:$C,5),0),"False,0")</f>
        <v>0</v>
      </c>
      <c r="AZ47" s="4" cm="1">
        <f t="array" ref="AZ47">IF(LEFT(AU47,4)="True",0,(IF(LEFT(AC47,4)="True",IF(_xlfn.XLOOKUP("Src_IsAny",'Scoring_Config'!$A:$A,'Scoring_Config'!$D:$D,"Yes")="Yes",_xlfn.XLOOKUP("Src_IsAny",'Scoring_Config'!$A:$A,'Scoring_Config'!$C:$C,25),0),0)+IF(LEFT(AD47,4)="True",IF(_xlfn.XLOOKUP("Src_CIDR_Le_16",'Scoring_Config'!$A:$A,'Scoring_Config'!$D:$D,"Yes")="Yes",_xlfn.XLOOKUP("Src_CIDR_Le_16",'Scoring_Config'!$A:$A,'Scoring_Config'!$C:$C,25),0),0)+IF(LEFT(AE47,4)="True",IF(_xlfn.XLOOKUP("Src_CIDR_17_22",'Scoring_Config'!$A:$A,'Scoring_Config'!$D:$D,"Yes")="Yes",_xlfn.XLOOKUP("Src_CIDR_17_22",'Scoring_Config'!$A:$A,'Scoring_Config'!$C:$C,15),0),0)+IF(LEFT(AF47,4)="True",IF(_xlfn.XLOOKUP("Dst_IsAny",'Scoring_Config'!$A:$A,'Scoring_Config'!$D:$D,"Yes")="Yes",_xlfn.XLOOKUP("Dst_IsAny",'Scoring_Config'!$A:$A,'Scoring_Config'!$C:$C,25),0),0)+IF(LEFT(AG47,4)="True",IF(_xlfn.XLOOKUP("Dst_CIDR_Le_16",'Scoring_Config'!$A:$A,'Scoring_Config'!$D:$D,"Yes")="Yes",_xlfn.XLOOKUP("Dst_CIDR_Le_16",'Scoring_Config'!$A:$A,'Scoring_Config'!$C:$C,25),0),0)+IF(LEFT(AH47,4)="True",IF(_xlfn.XLOOKUP("Dst_CIDR_17_22",'Scoring_Config'!$A:$A,'Scoring_Config'!$D:$D,"Yes")="Yes",_xlfn.XLOOKUP("Dst_CIDR_17_22",'Scoring_Config'!$A:$A,'Scoring_Config'!$C:$C,15),0),0)+IF(LEFT(AI47,4)="True",IF(_xlfn.XLOOKUP("SrcZone_IsAny",'Scoring_Config'!$A:$A,'Scoring_Config'!$D:$D,"Yes")="Yes",_xlfn.XLOOKUP("SrcZone_IsAny",'Scoring_Config'!$A:$A,'Scoring_Config'!$C:$C,5),0),0)+IF(LEFT(AJ47,4)="True",IF(_xlfn.XLOOKUP("DstZone_IsAny",'Scoring_Config'!$A:$A,'Scoring_Config'!$D:$D,"Yes")="Yes",_xlfn.XLOOKUP("DstZone_IsAny",'Scoring_Config'!$A:$A,'Scoring_Config'!$C:$C,5),0),0)+IF(LEFT(AK47,4)="True",IF(_xlfn.XLOOKUP("Service_Any_OR_RangeGt1000",'Scoring_Config'!$A:$A,'Scoring_Config'!$D:$D,"Yes")="Yes",_xlfn.XLOOKUP("Service_Any_OR_RangeGt1000",'Scoring_Config'!$A:$A,'Scoring_Config'!$C:$C,25),0),0)+IF(LEFT(AL47,4)="True",IF(_xlfn.XLOOKUP("App_Any_OR_RangeGt1000",'Scoring_Config'!$A:$A,'Scoring_Config'!$D:$D,"Yes")="Yes",_xlfn.XLOOKUP("App_Any_OR_RangeGt1000",'Scoring_Config'!$A:$A,'Scoring_Config'!$C:$C,25),0),0)+IF(LEFT(AM47,4)="True",IF(_xlfn.XLOOKUP("Service_Insecure_Match",'Scoring_Config'!$A:$A,'Scoring_Config'!$D:$D,"Yes")="Yes",_xlfn.XLOOKUP("Service_Insecure_Match",'Scoring_Config'!$A:$A,'Scoring_Config'!$C:$C,20),0),0)+IF(LEFT(AN47,4)="True",IF(_xlfn.XLOOKUP("Risky_Inbound",'Scoring_Config'!$A:$A,'Scoring_Config'!$D:$D,"Yes")="Yes",_xlfn.XLOOKUP("Risky_Inbound",'Scoring_Config'!$A:$A,'Scoring_Config'!$C:$C,20),0),0)+IF(LEFT(AO47,4)="True",IF(_xlfn.XLOOKUP("Risky_Outbound",'Scoring_Config'!$A:$A,'Scoring_Config'!$D:$D,"Yes")="Yes",_xlfn.XLOOKUP("Risky_Outbound",'Scoring_Config'!$A:$A,'Scoring_Config'!$C:$C,10),0),0)+IF(LEFT(AW47,4)="True",IF(_xlfn.XLOOKUP("Migrate_Insecure",'Scoring_Config'!$A:$A,'Scoring_Config'!$D:$D,"Yes")="Yes",_xlfn.XLOOKUP("Migrate_Insecure",'Scoring_Config'!$A:$A,'Scoring_Config'!$C:$C,15),0),0)+IF(LEFT(AY47,4)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47,FIND(",",AP47)+1,100)),0)+IF(LEFT(AQ47,4)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47,FIND(",",AR47)+1,100)),0)+IF(_xlfn.XLOOKUP("Profile_Scoring",'Scoring_Config'!$A:$A,'Scoring_Config'!$D:$D,"Yes")="Yes",VALUE(MID(AS47,FIND(",",AS47)+1,100)),0)+IF(_xlfn.XLOOKUP("Options_Scoring",'Scoring_Config'!$A:$A,'Scoring_Config'!$D:$D,"Yes")="Yes",VALUE(MID(AT47,FIND(",",AT47)+1,100)),0)))</f>
        <v>0</v>
      </c>
    </row>
    <row r="48" spans="1:52">
      <c r="A48" s="3" t="s">
        <v>52</v>
      </c>
      <c r="B48" s="3" t="s">
        <v>97</v>
      </c>
      <c r="C48" s="3" t="s">
        <v>329</v>
      </c>
      <c r="D48" s="3"/>
      <c r="E48" s="3" t="s">
        <v>359</v>
      </c>
      <c r="F48" s="3" t="s">
        <v>361</v>
      </c>
      <c r="G48" s="3" t="s">
        <v>386</v>
      </c>
      <c r="H48" s="3" t="s">
        <v>386</v>
      </c>
      <c r="I48" s="3" t="s">
        <v>625</v>
      </c>
      <c r="J48" s="3" t="s">
        <v>362</v>
      </c>
      <c r="K48" s="3" t="s">
        <v>401</v>
      </c>
      <c r="L48" s="3" t="s">
        <v>560</v>
      </c>
      <c r="M48" s="3" t="s">
        <v>771</v>
      </c>
      <c r="N48" s="3" t="s">
        <v>793</v>
      </c>
      <c r="O48" s="4" t="s">
        <v>831</v>
      </c>
      <c r="P48" s="3" t="s">
        <v>892</v>
      </c>
      <c r="Q48" s="3" t="s">
        <v>905</v>
      </c>
      <c r="R48" s="3" t="s">
        <v>911</v>
      </c>
      <c r="S48" s="3" t="s">
        <v>913</v>
      </c>
      <c r="T48" s="3" t="s">
        <v>951</v>
      </c>
      <c r="U48" s="3" t="s">
        <v>1177</v>
      </c>
      <c r="V48" s="3" t="s">
        <v>770</v>
      </c>
      <c r="W48" s="3" t="s">
        <v>1426</v>
      </c>
      <c r="X48" s="3" t="s">
        <v>1652</v>
      </c>
      <c r="Y48" s="3" t="s">
        <v>2121</v>
      </c>
      <c r="Z48" s="3"/>
      <c r="AA48" s="3"/>
      <c r="AB48" s="3"/>
      <c r="AC48" s="4" cm="1">
        <f t="array" ref="AC48">IF(FALSE,"True," &amp; IF(_xlfn.XLOOKUP("Src_IsAny",'Scoring_Config'!$A:$A,'Scoring_Config'!$D:$D,"Yes")="Yes",_xlfn.XLOOKUP("Src_IsAny",'Scoring_Config'!$A:$A,'Scoring_Config'!$C:$C,25),0),"False,0")</f>
        <v>0</v>
      </c>
      <c r="AD48" s="4" cm="1">
        <f t="array" ref="AD48">IF(FALSE,"True," &amp; IF(_xlfn.XLOOKUP("Src_CIDR_Le_16",'Scoring_Config'!$A:$A,'Scoring_Config'!$D:$D,"Yes")="Yes",_xlfn.XLOOKUP("Src_CIDR_Le_16",'Scoring_Config'!$A:$A,'Scoring_Config'!$C:$C,25),0),"False,0")</f>
        <v>0</v>
      </c>
      <c r="AE48" s="4" cm="1">
        <f t="array" ref="AE48">IF(FALSE,"True," &amp; IF(_xlfn.XLOOKUP("Src_CIDR_17_22",'Scoring_Config'!$A:$A,'Scoring_Config'!$D:$D,"Yes")="Yes",_xlfn.XLOOKUP("Src_CIDR_17_22",'Scoring_Config'!$A:$A,'Scoring_Config'!$C:$C,15),0),"False,0")</f>
        <v>0</v>
      </c>
      <c r="AF48" s="4" cm="1">
        <f t="array" ref="AF48">IF(FALSE,"True," &amp; IF(_xlfn.XLOOKUP("Dst_IsAny",'Scoring_Config'!$A:$A,'Scoring_Config'!$D:$D,"Yes")="Yes",_xlfn.XLOOKUP("Dst_IsAny",'Scoring_Config'!$A:$A,'Scoring_Config'!$C:$C,25),0),"False,0")</f>
        <v>0</v>
      </c>
      <c r="AG48" s="4" cm="1">
        <f t="array" ref="AG48">IF(FALSE,"True," &amp; IF(_xlfn.XLOOKUP("Dst_CIDR_Le_16",'Scoring_Config'!$A:$A,'Scoring_Config'!$D:$D,"Yes")="Yes",_xlfn.XLOOKUP("Dst_CIDR_Le_16",'Scoring_Config'!$A:$A,'Scoring_Config'!$C:$C,25),0),"False,0")</f>
        <v>0</v>
      </c>
      <c r="AH48" s="4" cm="1">
        <f t="array" ref="AH48">IF(FALSE,"True," &amp; IF(_xlfn.XLOOKUP("Dst_CIDR_17_22",'Scoring_Config'!$A:$A,'Scoring_Config'!$D:$D,"Yes")="Yes",_xlfn.XLOOKUP("Dst_CIDR_17_22",'Scoring_Config'!$A:$A,'Scoring_Config'!$C:$C,15),0),"False,0")</f>
        <v>0</v>
      </c>
      <c r="AI48" s="4" cm="1">
        <f t="array" ref="AI48">IF(FALSE,"True," &amp; IF(_xlfn.XLOOKUP("SrcZone_IsAny",'Scoring_Config'!$A:$A,'Scoring_Config'!$D:$D,"Yes")="Yes",_xlfn.XLOOKUP("SrcZone_IsAny",'Scoring_Config'!$A:$A,'Scoring_Config'!$C:$C,5),0),"False,0")</f>
        <v>0</v>
      </c>
      <c r="AJ48" s="4" cm="1">
        <f t="array" ref="AJ48">IF(FALSE,"True," &amp; IF(_xlfn.XLOOKUP("DstZone_IsAny",'Scoring_Config'!$A:$A,'Scoring_Config'!$D:$D,"Yes")="Yes",_xlfn.XLOOKUP("DstZone_IsAny",'Scoring_Config'!$A:$A,'Scoring_Config'!$C:$C,5),0),"False,0")</f>
        <v>0</v>
      </c>
      <c r="AK48" s="4" cm="1">
        <f t="array" ref="AK4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8" s="4" cm="1">
        <f t="array" ref="AL48">IF(FALSE,"True," &amp; IF(_xlfn.XLOOKUP("App_Any_OR_RangeGt1000",'Scoring_Config'!$A:$A,'Scoring_Config'!$D:$D,"Yes")="Yes",_xlfn.XLOOKUP("App_Any_OR_RangeGt1000",'Scoring_Config'!$A:$A,'Scoring_Config'!$C:$C,25),0),"False,0")</f>
        <v>0</v>
      </c>
      <c r="AM48" s="5" cm="1">
        <f t="array" ref="AM48">IF(TRUE,"True," &amp; IF(_xlfn.XLOOKUP("Service_Insecure_Match",'Scoring_Config'!$A:$A,'Scoring_Config'!$D:$D,"Yes")="Yes",_xlfn.XLOOKUP("Service_Insecure_Match",'Scoring_Config'!$A:$A,'Scoring_Config'!$C:$C,20),0),"False,0")</f>
        <v>0</v>
      </c>
      <c r="AN48" s="4" cm="1">
        <f t="array" ref="AN48">IF(FALSE,"True," &amp; IF(_xlfn.XLOOKUP("Risky_Inbound",'Scoring_Config'!$A:$A,'Scoring_Config'!$D:$D,"Yes")="Yes",_xlfn.XLOOKUP("Risky_Inbound",'Scoring_Config'!$A:$A,'Scoring_Config'!$C:$C,20),0),"False,0")</f>
        <v>0</v>
      </c>
      <c r="AO48" s="4" cm="1">
        <f t="array" ref="AO48">IF(FALSE,"True," &amp; IF(_xlfn.XLOOKUP("Risky_Outbound",'Scoring_Config'!$A:$A,'Scoring_Config'!$D:$D,"Yes")="Yes",_xlfn.XLOOKUP("Risky_Outbound",'Scoring_Config'!$A:$A,'Scoring_Config'!$C:$C,10),0),"False,0")</f>
        <v>0</v>
      </c>
      <c r="AP48" s="5" t="s">
        <v>2595</v>
      </c>
      <c r="AQ48" s="4" cm="1">
        <f t="array" ref="AQ4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8" s="5" t="s">
        <v>2598</v>
      </c>
      <c r="AS48" s="4" t="s">
        <v>2592</v>
      </c>
      <c r="AT48" s="4" t="s">
        <v>2592</v>
      </c>
      <c r="AU48" s="4" cm="1">
        <f t="array" ref="AU48">IF(FALSE,"True," &amp; IF(_xlfn.XLOOKUP("Action_IsDenyOrDrop",'Scoring_Config'!$A:$A,'Scoring_Config'!$D:$D,"Yes")="Yes",_xlfn.XLOOKUP("Action_IsDenyOrDrop",'Scoring_Config'!$A:$A,'Scoring_Config'!$C:$C,0),0),"False,0")</f>
        <v>0</v>
      </c>
      <c r="AV48" s="4"/>
      <c r="AW48" s="4" cm="1">
        <f t="array" ref="AW48">IF(FALSE,"True," &amp; IF(_xlfn.XLOOKUP("Migrate_Insecure",'Scoring_Config'!$A:$A,'Scoring_Config'!$D:$D,"Yes")="Yes",_xlfn.XLOOKUP("Migrate_Insecure",'Scoring_Config'!$A:$A,'Scoring_Config'!$C:$C,15),0),"False,0")</f>
        <v>0</v>
      </c>
      <c r="AX48" s="4"/>
      <c r="AY48" s="4" cm="1">
        <f t="array" ref="AY48">IF(FALSE,"True," &amp; IF(_xlfn.XLOOKUP("Migrate_Other_Ports",'Scoring_Config'!$A:$A,'Scoring_Config'!$D:$D,"Yes")="Yes",_xlfn.XLOOKUP("Migrate_Other_Ports",'Scoring_Config'!$A:$A,'Scoring_Config'!$C:$C,5),0),"False,0")</f>
        <v>0</v>
      </c>
      <c r="AZ48" s="4" cm="1">
        <f t="array" ref="AZ48">IF(LEFT(AU48,4)="True",0,(IF(LEFT(AC48,4)="True",IF(_xlfn.XLOOKUP("Src_IsAny",'Scoring_Config'!$A:$A,'Scoring_Config'!$D:$D,"Yes")="Yes",_xlfn.XLOOKUP("Src_IsAny",'Scoring_Config'!$A:$A,'Scoring_Config'!$C:$C,25),0),0)+IF(LEFT(AD48,4)="True",IF(_xlfn.XLOOKUP("Src_CIDR_Le_16",'Scoring_Config'!$A:$A,'Scoring_Config'!$D:$D,"Yes")="Yes",_xlfn.XLOOKUP("Src_CIDR_Le_16",'Scoring_Config'!$A:$A,'Scoring_Config'!$C:$C,25),0),0)+IF(LEFT(AE48,4)="True",IF(_xlfn.XLOOKUP("Src_CIDR_17_22",'Scoring_Config'!$A:$A,'Scoring_Config'!$D:$D,"Yes")="Yes",_xlfn.XLOOKUP("Src_CIDR_17_22",'Scoring_Config'!$A:$A,'Scoring_Config'!$C:$C,15),0),0)+IF(LEFT(AF48,4)="True",IF(_xlfn.XLOOKUP("Dst_IsAny",'Scoring_Config'!$A:$A,'Scoring_Config'!$D:$D,"Yes")="Yes",_xlfn.XLOOKUP("Dst_IsAny",'Scoring_Config'!$A:$A,'Scoring_Config'!$C:$C,25),0),0)+IF(LEFT(AG48,4)="True",IF(_xlfn.XLOOKUP("Dst_CIDR_Le_16",'Scoring_Config'!$A:$A,'Scoring_Config'!$D:$D,"Yes")="Yes",_xlfn.XLOOKUP("Dst_CIDR_Le_16",'Scoring_Config'!$A:$A,'Scoring_Config'!$C:$C,25),0),0)+IF(LEFT(AH48,4)="True",IF(_xlfn.XLOOKUP("Dst_CIDR_17_22",'Scoring_Config'!$A:$A,'Scoring_Config'!$D:$D,"Yes")="Yes",_xlfn.XLOOKUP("Dst_CIDR_17_22",'Scoring_Config'!$A:$A,'Scoring_Config'!$C:$C,15),0),0)+IF(LEFT(AI48,4)="True",IF(_xlfn.XLOOKUP("SrcZone_IsAny",'Scoring_Config'!$A:$A,'Scoring_Config'!$D:$D,"Yes")="Yes",_xlfn.XLOOKUP("SrcZone_IsAny",'Scoring_Config'!$A:$A,'Scoring_Config'!$C:$C,5),0),0)+IF(LEFT(AJ48,4)="True",IF(_xlfn.XLOOKUP("DstZone_IsAny",'Scoring_Config'!$A:$A,'Scoring_Config'!$D:$D,"Yes")="Yes",_xlfn.XLOOKUP("DstZone_IsAny",'Scoring_Config'!$A:$A,'Scoring_Config'!$C:$C,5),0),0)+IF(LEFT(AK48,4)="True",IF(_xlfn.XLOOKUP("Service_Any_OR_RangeGt1000",'Scoring_Config'!$A:$A,'Scoring_Config'!$D:$D,"Yes")="Yes",_xlfn.XLOOKUP("Service_Any_OR_RangeGt1000",'Scoring_Config'!$A:$A,'Scoring_Config'!$C:$C,25),0),0)+IF(LEFT(AL48,4)="True",IF(_xlfn.XLOOKUP("App_Any_OR_RangeGt1000",'Scoring_Config'!$A:$A,'Scoring_Config'!$D:$D,"Yes")="Yes",_xlfn.XLOOKUP("App_Any_OR_RangeGt1000",'Scoring_Config'!$A:$A,'Scoring_Config'!$C:$C,25),0),0)+IF(LEFT(AM48,4)="True",IF(_xlfn.XLOOKUP("Service_Insecure_Match",'Scoring_Config'!$A:$A,'Scoring_Config'!$D:$D,"Yes")="Yes",_xlfn.XLOOKUP("Service_Insecure_Match",'Scoring_Config'!$A:$A,'Scoring_Config'!$C:$C,20),0),0)+IF(LEFT(AN48,4)="True",IF(_xlfn.XLOOKUP("Risky_Inbound",'Scoring_Config'!$A:$A,'Scoring_Config'!$D:$D,"Yes")="Yes",_xlfn.XLOOKUP("Risky_Inbound",'Scoring_Config'!$A:$A,'Scoring_Config'!$C:$C,20),0),0)+IF(LEFT(AO48,4)="True",IF(_xlfn.XLOOKUP("Risky_Outbound",'Scoring_Config'!$A:$A,'Scoring_Config'!$D:$D,"Yes")="Yes",_xlfn.XLOOKUP("Risky_Outbound",'Scoring_Config'!$A:$A,'Scoring_Config'!$C:$C,10),0),0)+IF(LEFT(AW48,4)="True",IF(_xlfn.XLOOKUP("Migrate_Insecure",'Scoring_Config'!$A:$A,'Scoring_Config'!$D:$D,"Yes")="Yes",_xlfn.XLOOKUP("Migrate_Insecure",'Scoring_Config'!$A:$A,'Scoring_Config'!$C:$C,15),0),0)+IF(LEFT(AY48,4)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48,FIND(",",AP48)+1,100)),0)+IF(LEFT(AQ48,4)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48,FIND(",",AR48)+1,100)),0)+IF(_xlfn.XLOOKUP("Profile_Scoring",'Scoring_Config'!$A:$A,'Scoring_Config'!$D:$D,"Yes")="Yes",VALUE(MID(AS48,FIND(",",AS48)+1,100)),0)+IF(_xlfn.XLOOKUP("Options_Scoring",'Scoring_Config'!$A:$A,'Scoring_Config'!$D:$D,"Yes")="Yes",VALUE(MID(AT48,FIND(",",AT48)+1,100)),0)))</f>
        <v>0</v>
      </c>
    </row>
    <row r="49" spans="1:52">
      <c r="A49" s="3" t="s">
        <v>52</v>
      </c>
      <c r="B49" s="3" t="s">
        <v>98</v>
      </c>
      <c r="C49" s="3" t="s">
        <v>329</v>
      </c>
      <c r="D49" s="3"/>
      <c r="E49" s="3" t="s">
        <v>359</v>
      </c>
      <c r="F49" s="3" t="s">
        <v>364</v>
      </c>
      <c r="G49" s="3" t="s">
        <v>378</v>
      </c>
      <c r="H49" s="3" t="s">
        <v>378</v>
      </c>
      <c r="I49" s="3" t="s">
        <v>623</v>
      </c>
      <c r="J49" s="3" t="s">
        <v>361</v>
      </c>
      <c r="K49" s="3" t="s">
        <v>639</v>
      </c>
      <c r="L49" s="3" t="s">
        <v>639</v>
      </c>
      <c r="M49" s="3" t="s">
        <v>770</v>
      </c>
      <c r="N49" s="3" t="s">
        <v>770</v>
      </c>
      <c r="O49" s="4" t="s">
        <v>802</v>
      </c>
      <c r="P49" s="3" t="s">
        <v>863</v>
      </c>
      <c r="Q49" s="3" t="s">
        <v>905</v>
      </c>
      <c r="R49" s="3" t="s">
        <v>909</v>
      </c>
      <c r="S49" s="3" t="s">
        <v>912</v>
      </c>
      <c r="T49" s="3" t="s">
        <v>952</v>
      </c>
      <c r="U49" s="3" t="s">
        <v>1178</v>
      </c>
      <c r="V49" s="3" t="s">
        <v>772</v>
      </c>
      <c r="W49" s="3" t="s">
        <v>1427</v>
      </c>
      <c r="X49" s="3" t="s">
        <v>1653</v>
      </c>
      <c r="Y49" s="3" t="s">
        <v>2122</v>
      </c>
      <c r="Z49" s="3"/>
      <c r="AA49" s="3"/>
      <c r="AB49" s="3"/>
      <c r="AC49" s="4" cm="1">
        <f t="array" ref="AC49">IF(FALSE,"True," &amp; IF(_xlfn.XLOOKUP("Src_IsAny",'Scoring_Config'!$A:$A,'Scoring_Config'!$D:$D,"Yes")="Yes",_xlfn.XLOOKUP("Src_IsAny",'Scoring_Config'!$A:$A,'Scoring_Config'!$C:$C,25),0),"False,0")</f>
        <v>0</v>
      </c>
      <c r="AD49" s="4" cm="1">
        <f t="array" ref="AD49">IF(FALSE,"True," &amp; IF(_xlfn.XLOOKUP("Src_CIDR_Le_16",'Scoring_Config'!$A:$A,'Scoring_Config'!$D:$D,"Yes")="Yes",_xlfn.XLOOKUP("Src_CIDR_Le_16",'Scoring_Config'!$A:$A,'Scoring_Config'!$C:$C,25),0),"False,0")</f>
        <v>0</v>
      </c>
      <c r="AE49" s="4" cm="1">
        <f t="array" ref="AE49">IF(FALSE,"True," &amp; IF(_xlfn.XLOOKUP("Src_CIDR_17_22",'Scoring_Config'!$A:$A,'Scoring_Config'!$D:$D,"Yes")="Yes",_xlfn.XLOOKUP("Src_CIDR_17_22",'Scoring_Config'!$A:$A,'Scoring_Config'!$C:$C,15),0),"False,0")</f>
        <v>0</v>
      </c>
      <c r="AF49" s="4" cm="1">
        <f t="array" ref="AF49">IF(FALSE,"True," &amp; IF(_xlfn.XLOOKUP("Dst_IsAny",'Scoring_Config'!$A:$A,'Scoring_Config'!$D:$D,"Yes")="Yes",_xlfn.XLOOKUP("Dst_IsAny",'Scoring_Config'!$A:$A,'Scoring_Config'!$C:$C,25),0),"False,0")</f>
        <v>0</v>
      </c>
      <c r="AG49" s="5" cm="1">
        <f t="array" ref="AG49">IF(TRUE,"True," &amp; IF(_xlfn.XLOOKUP("Dst_CIDR_Le_16",'Scoring_Config'!$A:$A,'Scoring_Config'!$D:$D,"Yes")="Yes",_xlfn.XLOOKUP("Dst_CIDR_Le_16",'Scoring_Config'!$A:$A,'Scoring_Config'!$C:$C,25),0),"False,0")</f>
        <v>0</v>
      </c>
      <c r="AH49" s="4" cm="1">
        <f t="array" ref="AH49">IF(FALSE,"True," &amp; IF(_xlfn.XLOOKUP("Dst_CIDR_17_22",'Scoring_Config'!$A:$A,'Scoring_Config'!$D:$D,"Yes")="Yes",_xlfn.XLOOKUP("Dst_CIDR_17_22",'Scoring_Config'!$A:$A,'Scoring_Config'!$C:$C,15),0),"False,0")</f>
        <v>0</v>
      </c>
      <c r="AI49" s="4" cm="1">
        <f t="array" ref="AI49">IF(FALSE,"True," &amp; IF(_xlfn.XLOOKUP("SrcZone_IsAny",'Scoring_Config'!$A:$A,'Scoring_Config'!$D:$D,"Yes")="Yes",_xlfn.XLOOKUP("SrcZone_IsAny",'Scoring_Config'!$A:$A,'Scoring_Config'!$C:$C,5),0),"False,0")</f>
        <v>0</v>
      </c>
      <c r="AJ49" s="4" cm="1">
        <f t="array" ref="AJ49">IF(FALSE,"True," &amp; IF(_xlfn.XLOOKUP("DstZone_IsAny",'Scoring_Config'!$A:$A,'Scoring_Config'!$D:$D,"Yes")="Yes",_xlfn.XLOOKUP("DstZone_IsAny",'Scoring_Config'!$A:$A,'Scoring_Config'!$C:$C,5),0),"False,0")</f>
        <v>0</v>
      </c>
      <c r="AK49" s="4" cm="1">
        <f t="array" ref="AK4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9" s="4" cm="1">
        <f t="array" ref="AL49">IF(FALSE,"True," &amp; IF(_xlfn.XLOOKUP("App_Any_OR_RangeGt1000",'Scoring_Config'!$A:$A,'Scoring_Config'!$D:$D,"Yes")="Yes",_xlfn.XLOOKUP("App_Any_OR_RangeGt1000",'Scoring_Config'!$A:$A,'Scoring_Config'!$C:$C,25),0),"False,0")</f>
        <v>0</v>
      </c>
      <c r="AM49" s="5" cm="1">
        <f t="array" ref="AM49">IF(TRUE,"True," &amp; IF(_xlfn.XLOOKUP("Service_Insecure_Match",'Scoring_Config'!$A:$A,'Scoring_Config'!$D:$D,"Yes")="Yes",_xlfn.XLOOKUP("Service_Insecure_Match",'Scoring_Config'!$A:$A,'Scoring_Config'!$C:$C,20),0),"False,0")</f>
        <v>0</v>
      </c>
      <c r="AN49" s="4" cm="1">
        <f t="array" ref="AN49">IF(FALSE,"True," &amp; IF(_xlfn.XLOOKUP("Risky_Inbound",'Scoring_Config'!$A:$A,'Scoring_Config'!$D:$D,"Yes")="Yes",_xlfn.XLOOKUP("Risky_Inbound",'Scoring_Config'!$A:$A,'Scoring_Config'!$C:$C,20),0),"False,0")</f>
        <v>0</v>
      </c>
      <c r="AO49" s="5" cm="1">
        <f t="array" ref="AO49">IF(TRUE,"True," &amp; IF(_xlfn.XLOOKUP("Risky_Outbound",'Scoring_Config'!$A:$A,'Scoring_Config'!$D:$D,"Yes")="Yes",_xlfn.XLOOKUP("Risky_Outbound",'Scoring_Config'!$A:$A,'Scoring_Config'!$C:$C,10),0),"False,0")</f>
        <v>0</v>
      </c>
      <c r="AP49" s="5" t="s">
        <v>2595</v>
      </c>
      <c r="AQ49" s="4" cm="1">
        <f t="array" ref="AQ4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9" s="5" t="s">
        <v>2598</v>
      </c>
      <c r="AS49" s="4" t="s">
        <v>2592</v>
      </c>
      <c r="AT49" s="4" t="s">
        <v>2592</v>
      </c>
      <c r="AU49" s="4" cm="1">
        <f t="array" ref="AU49">IF(FALSE,"True," &amp; IF(_xlfn.XLOOKUP("Action_IsDenyOrDrop",'Scoring_Config'!$A:$A,'Scoring_Config'!$D:$D,"Yes")="Yes",_xlfn.XLOOKUP("Action_IsDenyOrDrop",'Scoring_Config'!$A:$A,'Scoring_Config'!$C:$C,0),0),"False,0")</f>
        <v>0</v>
      </c>
      <c r="AV49" s="4"/>
      <c r="AW49" s="4" cm="1">
        <f t="array" ref="AW49">IF(FALSE,"True," &amp; IF(_xlfn.XLOOKUP("Migrate_Insecure",'Scoring_Config'!$A:$A,'Scoring_Config'!$D:$D,"Yes")="Yes",_xlfn.XLOOKUP("Migrate_Insecure",'Scoring_Config'!$A:$A,'Scoring_Config'!$C:$C,15),0),"False,0")</f>
        <v>0</v>
      </c>
      <c r="AX49" s="4"/>
      <c r="AY49" s="4" cm="1">
        <f t="array" ref="AY49">IF(FALSE,"True," &amp; IF(_xlfn.XLOOKUP("Migrate_Other_Ports",'Scoring_Config'!$A:$A,'Scoring_Config'!$D:$D,"Yes")="Yes",_xlfn.XLOOKUP("Migrate_Other_Ports",'Scoring_Config'!$A:$A,'Scoring_Config'!$C:$C,5),0),"False,0")</f>
        <v>0</v>
      </c>
      <c r="AZ49" s="4" cm="1">
        <f t="array" ref="AZ49">IF(LEFT(AU49,4)="True",0,(IF(LEFT(AC49,4)="True",IF(_xlfn.XLOOKUP("Src_IsAny",'Scoring_Config'!$A:$A,'Scoring_Config'!$D:$D,"Yes")="Yes",_xlfn.XLOOKUP("Src_IsAny",'Scoring_Config'!$A:$A,'Scoring_Config'!$C:$C,25),0),0)+IF(LEFT(AD49,4)="True",IF(_xlfn.XLOOKUP("Src_CIDR_Le_16",'Scoring_Config'!$A:$A,'Scoring_Config'!$D:$D,"Yes")="Yes",_xlfn.XLOOKUP("Src_CIDR_Le_16",'Scoring_Config'!$A:$A,'Scoring_Config'!$C:$C,25),0),0)+IF(LEFT(AE49,4)="True",IF(_xlfn.XLOOKUP("Src_CIDR_17_22",'Scoring_Config'!$A:$A,'Scoring_Config'!$D:$D,"Yes")="Yes",_xlfn.XLOOKUP("Src_CIDR_17_22",'Scoring_Config'!$A:$A,'Scoring_Config'!$C:$C,15),0),0)+IF(LEFT(AF49,4)="True",IF(_xlfn.XLOOKUP("Dst_IsAny",'Scoring_Config'!$A:$A,'Scoring_Config'!$D:$D,"Yes")="Yes",_xlfn.XLOOKUP("Dst_IsAny",'Scoring_Config'!$A:$A,'Scoring_Config'!$C:$C,25),0),0)+IF(LEFT(AG49,4)="True",IF(_xlfn.XLOOKUP("Dst_CIDR_Le_16",'Scoring_Config'!$A:$A,'Scoring_Config'!$D:$D,"Yes")="Yes",_xlfn.XLOOKUP("Dst_CIDR_Le_16",'Scoring_Config'!$A:$A,'Scoring_Config'!$C:$C,25),0),0)+IF(LEFT(AH49,4)="True",IF(_xlfn.XLOOKUP("Dst_CIDR_17_22",'Scoring_Config'!$A:$A,'Scoring_Config'!$D:$D,"Yes")="Yes",_xlfn.XLOOKUP("Dst_CIDR_17_22",'Scoring_Config'!$A:$A,'Scoring_Config'!$C:$C,15),0),0)+IF(LEFT(AI49,4)="True",IF(_xlfn.XLOOKUP("SrcZone_IsAny",'Scoring_Config'!$A:$A,'Scoring_Config'!$D:$D,"Yes")="Yes",_xlfn.XLOOKUP("SrcZone_IsAny",'Scoring_Config'!$A:$A,'Scoring_Config'!$C:$C,5),0),0)+IF(LEFT(AJ49,4)="True",IF(_xlfn.XLOOKUP("DstZone_IsAny",'Scoring_Config'!$A:$A,'Scoring_Config'!$D:$D,"Yes")="Yes",_xlfn.XLOOKUP("DstZone_IsAny",'Scoring_Config'!$A:$A,'Scoring_Config'!$C:$C,5),0),0)+IF(LEFT(AK49,4)="True",IF(_xlfn.XLOOKUP("Service_Any_OR_RangeGt1000",'Scoring_Config'!$A:$A,'Scoring_Config'!$D:$D,"Yes")="Yes",_xlfn.XLOOKUP("Service_Any_OR_RangeGt1000",'Scoring_Config'!$A:$A,'Scoring_Config'!$C:$C,25),0),0)+IF(LEFT(AL49,4)="True",IF(_xlfn.XLOOKUP("App_Any_OR_RangeGt1000",'Scoring_Config'!$A:$A,'Scoring_Config'!$D:$D,"Yes")="Yes",_xlfn.XLOOKUP("App_Any_OR_RangeGt1000",'Scoring_Config'!$A:$A,'Scoring_Config'!$C:$C,25),0),0)+IF(LEFT(AM49,4)="True",IF(_xlfn.XLOOKUP("Service_Insecure_Match",'Scoring_Config'!$A:$A,'Scoring_Config'!$D:$D,"Yes")="Yes",_xlfn.XLOOKUP("Service_Insecure_Match",'Scoring_Config'!$A:$A,'Scoring_Config'!$C:$C,20),0),0)+IF(LEFT(AN49,4)="True",IF(_xlfn.XLOOKUP("Risky_Inbound",'Scoring_Config'!$A:$A,'Scoring_Config'!$D:$D,"Yes")="Yes",_xlfn.XLOOKUP("Risky_Inbound",'Scoring_Config'!$A:$A,'Scoring_Config'!$C:$C,20),0),0)+IF(LEFT(AO49,4)="True",IF(_xlfn.XLOOKUP("Risky_Outbound",'Scoring_Config'!$A:$A,'Scoring_Config'!$D:$D,"Yes")="Yes",_xlfn.XLOOKUP("Risky_Outbound",'Scoring_Config'!$A:$A,'Scoring_Config'!$C:$C,10),0),0)+IF(LEFT(AW49,4)="True",IF(_xlfn.XLOOKUP("Migrate_Insecure",'Scoring_Config'!$A:$A,'Scoring_Config'!$D:$D,"Yes")="Yes",_xlfn.XLOOKUP("Migrate_Insecure",'Scoring_Config'!$A:$A,'Scoring_Config'!$C:$C,15),0),0)+IF(LEFT(AY49,4)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49,FIND(",",AP49)+1,100)),0)+IF(LEFT(AQ49,4)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49,FIND(",",AR49)+1,100)),0)+IF(_xlfn.XLOOKUP("Profile_Scoring",'Scoring_Config'!$A:$A,'Scoring_Config'!$D:$D,"Yes")="Yes",VALUE(MID(AS49,FIND(",",AS49)+1,100)),0)+IF(_xlfn.XLOOKUP("Options_Scoring",'Scoring_Config'!$A:$A,'Scoring_Config'!$D:$D,"Yes")="Yes",VALUE(MID(AT49,FIND(",",AT49)+1,100)),0)))</f>
        <v>0</v>
      </c>
    </row>
    <row r="50" spans="1:52">
      <c r="A50" s="3" t="s">
        <v>52</v>
      </c>
      <c r="B50" s="3" t="s">
        <v>99</v>
      </c>
      <c r="C50" s="3" t="s">
        <v>329</v>
      </c>
      <c r="D50" s="3"/>
      <c r="E50" s="3" t="s">
        <v>359</v>
      </c>
      <c r="F50" s="3" t="s">
        <v>363</v>
      </c>
      <c r="G50" s="3" t="s">
        <v>365</v>
      </c>
      <c r="H50" s="3" t="s">
        <v>365</v>
      </c>
      <c r="I50" s="3" t="s">
        <v>365</v>
      </c>
      <c r="J50" s="3" t="s">
        <v>360</v>
      </c>
      <c r="K50" s="3" t="s">
        <v>365</v>
      </c>
      <c r="L50" s="3" t="s">
        <v>365</v>
      </c>
      <c r="M50" s="3" t="s">
        <v>775</v>
      </c>
      <c r="N50" s="3" t="s">
        <v>796</v>
      </c>
      <c r="O50" s="4" t="s">
        <v>801</v>
      </c>
      <c r="P50" s="3" t="s">
        <v>862</v>
      </c>
      <c r="Q50" s="3" t="s">
        <v>904</v>
      </c>
      <c r="R50" s="3" t="s">
        <v>908</v>
      </c>
      <c r="S50" s="3" t="s">
        <v>914</v>
      </c>
      <c r="T50" s="3" t="s">
        <v>953</v>
      </c>
      <c r="U50" s="3" t="s">
        <v>1179</v>
      </c>
      <c r="V50" s="3" t="s">
        <v>789</v>
      </c>
      <c r="W50" s="3" t="s">
        <v>1083</v>
      </c>
      <c r="X50" s="3" t="s">
        <v>1654</v>
      </c>
      <c r="Y50" s="3" t="s">
        <v>2123</v>
      </c>
      <c r="Z50" s="3"/>
      <c r="AA50" s="3"/>
      <c r="AB50" s="3"/>
      <c r="AC50" s="5" cm="1">
        <f t="array" ref="AC50">IF(TRUE,"True," &amp; IF(_xlfn.XLOOKUP("Src_IsAny",'Scoring_Config'!$A:$A,'Scoring_Config'!$D:$D,"Yes")="Yes",_xlfn.XLOOKUP("Src_IsAny",'Scoring_Config'!$A:$A,'Scoring_Config'!$C:$C,25),0),"False,0")</f>
        <v>0</v>
      </c>
      <c r="AD50" s="4" cm="1">
        <f t="array" ref="AD50">IF(FALSE,"True," &amp; IF(_xlfn.XLOOKUP("Src_CIDR_Le_16",'Scoring_Config'!$A:$A,'Scoring_Config'!$D:$D,"Yes")="Yes",_xlfn.XLOOKUP("Src_CIDR_Le_16",'Scoring_Config'!$A:$A,'Scoring_Config'!$C:$C,25),0),"False,0")</f>
        <v>0</v>
      </c>
      <c r="AE50" s="4" cm="1">
        <f t="array" ref="AE50">IF(FALSE,"True," &amp; IF(_xlfn.XLOOKUP("Src_CIDR_17_22",'Scoring_Config'!$A:$A,'Scoring_Config'!$D:$D,"Yes")="Yes",_xlfn.XLOOKUP("Src_CIDR_17_22",'Scoring_Config'!$A:$A,'Scoring_Config'!$C:$C,15),0),"False,0")</f>
        <v>0</v>
      </c>
      <c r="AF50" s="5" cm="1">
        <f t="array" ref="AF50">IF(TRUE,"True," &amp; IF(_xlfn.XLOOKUP("Dst_IsAny",'Scoring_Config'!$A:$A,'Scoring_Config'!$D:$D,"Yes")="Yes",_xlfn.XLOOKUP("Dst_IsAny",'Scoring_Config'!$A:$A,'Scoring_Config'!$C:$C,25),0),"False,0")</f>
        <v>0</v>
      </c>
      <c r="AG50" s="4" cm="1">
        <f t="array" ref="AG50">IF(FALSE,"True," &amp; IF(_xlfn.XLOOKUP("Dst_CIDR_Le_16",'Scoring_Config'!$A:$A,'Scoring_Config'!$D:$D,"Yes")="Yes",_xlfn.XLOOKUP("Dst_CIDR_Le_16",'Scoring_Config'!$A:$A,'Scoring_Config'!$C:$C,25),0),"False,0")</f>
        <v>0</v>
      </c>
      <c r="AH50" s="4" cm="1">
        <f t="array" ref="AH50">IF(FALSE,"True," &amp; IF(_xlfn.XLOOKUP("Dst_CIDR_17_22",'Scoring_Config'!$A:$A,'Scoring_Config'!$D:$D,"Yes")="Yes",_xlfn.XLOOKUP("Dst_CIDR_17_22",'Scoring_Config'!$A:$A,'Scoring_Config'!$C:$C,15),0),"False,0")</f>
        <v>0</v>
      </c>
      <c r="AI50" s="4" cm="1">
        <f t="array" ref="AI50">IF(FALSE,"True," &amp; IF(_xlfn.XLOOKUP("SrcZone_IsAny",'Scoring_Config'!$A:$A,'Scoring_Config'!$D:$D,"Yes")="Yes",_xlfn.XLOOKUP("SrcZone_IsAny",'Scoring_Config'!$A:$A,'Scoring_Config'!$C:$C,5),0),"False,0")</f>
        <v>0</v>
      </c>
      <c r="AJ50" s="4" cm="1">
        <f t="array" ref="AJ50">IF(FALSE,"True," &amp; IF(_xlfn.XLOOKUP("DstZone_IsAny",'Scoring_Config'!$A:$A,'Scoring_Config'!$D:$D,"Yes")="Yes",_xlfn.XLOOKUP("DstZone_IsAny",'Scoring_Config'!$A:$A,'Scoring_Config'!$C:$C,5),0),"False,0")</f>
        <v>0</v>
      </c>
      <c r="AK50" s="4" cm="1">
        <f t="array" ref="AK5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0" s="4" cm="1">
        <f t="array" ref="AL50">IF(FALSE,"True," &amp; IF(_xlfn.XLOOKUP("App_Any_OR_RangeGt1000",'Scoring_Config'!$A:$A,'Scoring_Config'!$D:$D,"Yes")="Yes",_xlfn.XLOOKUP("App_Any_OR_RangeGt1000",'Scoring_Config'!$A:$A,'Scoring_Config'!$C:$C,25),0),"False,0")</f>
        <v>0</v>
      </c>
      <c r="AM50" s="5" cm="1">
        <f t="array" ref="AM50">IF(TRUE,"True," &amp; IF(_xlfn.XLOOKUP("Service_Insecure_Match",'Scoring_Config'!$A:$A,'Scoring_Config'!$D:$D,"Yes")="Yes",_xlfn.XLOOKUP("Service_Insecure_Match",'Scoring_Config'!$A:$A,'Scoring_Config'!$C:$C,20),0),"False,0")</f>
        <v>0</v>
      </c>
      <c r="AN50" s="4" cm="1">
        <f t="array" ref="AN50">IF(FALSE,"True," &amp; IF(_xlfn.XLOOKUP("Risky_Inbound",'Scoring_Config'!$A:$A,'Scoring_Config'!$D:$D,"Yes")="Yes",_xlfn.XLOOKUP("Risky_Inbound",'Scoring_Config'!$A:$A,'Scoring_Config'!$C:$C,20),0),"False,0")</f>
        <v>0</v>
      </c>
      <c r="AO50" s="4" cm="1">
        <f t="array" ref="AO50">IF(FALSE,"True," &amp; IF(_xlfn.XLOOKUP("Risky_Outbound",'Scoring_Config'!$A:$A,'Scoring_Config'!$D:$D,"Yes")="Yes",_xlfn.XLOOKUP("Risky_Outbound",'Scoring_Config'!$A:$A,'Scoring_Config'!$C:$C,10),0),"False,0")</f>
        <v>0</v>
      </c>
      <c r="AP50" s="5" t="s">
        <v>2595</v>
      </c>
      <c r="AQ50" s="4" cm="1">
        <f t="array" ref="AQ5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0" s="4" t="s">
        <v>2592</v>
      </c>
      <c r="AS50" s="4" t="s">
        <v>2592</v>
      </c>
      <c r="AT50" s="4" t="s">
        <v>2592</v>
      </c>
      <c r="AU50" s="5" cm="1">
        <f t="array" ref="AU50">IF(TRUE,"True," &amp; IF(_xlfn.XLOOKUP("Action_IsDenyOrDrop",'Scoring_Config'!$A:$A,'Scoring_Config'!$D:$D,"Yes")="Yes",_xlfn.XLOOKUP("Action_IsDenyOrDrop",'Scoring_Config'!$A:$A,'Scoring_Config'!$C:$C,0),0),"False,0")</f>
        <v>0</v>
      </c>
      <c r="AV50" s="4"/>
      <c r="AW50" s="4" cm="1">
        <f t="array" ref="AW50">IF(FALSE,"True," &amp; IF(_xlfn.XLOOKUP("Migrate_Insecure",'Scoring_Config'!$A:$A,'Scoring_Config'!$D:$D,"Yes")="Yes",_xlfn.XLOOKUP("Migrate_Insecure",'Scoring_Config'!$A:$A,'Scoring_Config'!$C:$C,15),0),"False,0")</f>
        <v>0</v>
      </c>
      <c r="AX50" s="4"/>
      <c r="AY50" s="4" cm="1">
        <f t="array" ref="AY50">IF(FALSE,"True," &amp; IF(_xlfn.XLOOKUP("Migrate_Other_Ports",'Scoring_Config'!$A:$A,'Scoring_Config'!$D:$D,"Yes")="Yes",_xlfn.XLOOKUP("Migrate_Other_Ports",'Scoring_Config'!$A:$A,'Scoring_Config'!$C:$C,5),0),"False,0")</f>
        <v>0</v>
      </c>
      <c r="AZ50" s="4" cm="1">
        <f t="array" ref="AZ50">IF(LEFT(AU50,4)="True",0,(IF(LEFT(AC50,4)="True",IF(_xlfn.XLOOKUP("Src_IsAny",'Scoring_Config'!$A:$A,'Scoring_Config'!$D:$D,"Yes")="Yes",_xlfn.XLOOKUP("Src_IsAny",'Scoring_Config'!$A:$A,'Scoring_Config'!$C:$C,25),0),0)+IF(LEFT(AD50,4)="True",IF(_xlfn.XLOOKUP("Src_CIDR_Le_16",'Scoring_Config'!$A:$A,'Scoring_Config'!$D:$D,"Yes")="Yes",_xlfn.XLOOKUP("Src_CIDR_Le_16",'Scoring_Config'!$A:$A,'Scoring_Config'!$C:$C,25),0),0)+IF(LEFT(AE50,4)="True",IF(_xlfn.XLOOKUP("Src_CIDR_17_22",'Scoring_Config'!$A:$A,'Scoring_Config'!$D:$D,"Yes")="Yes",_xlfn.XLOOKUP("Src_CIDR_17_22",'Scoring_Config'!$A:$A,'Scoring_Config'!$C:$C,15),0),0)+IF(LEFT(AF50,4)="True",IF(_xlfn.XLOOKUP("Dst_IsAny",'Scoring_Config'!$A:$A,'Scoring_Config'!$D:$D,"Yes")="Yes",_xlfn.XLOOKUP("Dst_IsAny",'Scoring_Config'!$A:$A,'Scoring_Config'!$C:$C,25),0),0)+IF(LEFT(AG50,4)="True",IF(_xlfn.XLOOKUP("Dst_CIDR_Le_16",'Scoring_Config'!$A:$A,'Scoring_Config'!$D:$D,"Yes")="Yes",_xlfn.XLOOKUP("Dst_CIDR_Le_16",'Scoring_Config'!$A:$A,'Scoring_Config'!$C:$C,25),0),0)+IF(LEFT(AH50,4)="True",IF(_xlfn.XLOOKUP("Dst_CIDR_17_22",'Scoring_Config'!$A:$A,'Scoring_Config'!$D:$D,"Yes")="Yes",_xlfn.XLOOKUP("Dst_CIDR_17_22",'Scoring_Config'!$A:$A,'Scoring_Config'!$C:$C,15),0),0)+IF(LEFT(AI50,4)="True",IF(_xlfn.XLOOKUP("SrcZone_IsAny",'Scoring_Config'!$A:$A,'Scoring_Config'!$D:$D,"Yes")="Yes",_xlfn.XLOOKUP("SrcZone_IsAny",'Scoring_Config'!$A:$A,'Scoring_Config'!$C:$C,5),0),0)+IF(LEFT(AJ50,4)="True",IF(_xlfn.XLOOKUP("DstZone_IsAny",'Scoring_Config'!$A:$A,'Scoring_Config'!$D:$D,"Yes")="Yes",_xlfn.XLOOKUP("DstZone_IsAny",'Scoring_Config'!$A:$A,'Scoring_Config'!$C:$C,5),0),0)+IF(LEFT(AK50,4)="True",IF(_xlfn.XLOOKUP("Service_Any_OR_RangeGt1000",'Scoring_Config'!$A:$A,'Scoring_Config'!$D:$D,"Yes")="Yes",_xlfn.XLOOKUP("Service_Any_OR_RangeGt1000",'Scoring_Config'!$A:$A,'Scoring_Config'!$C:$C,25),0),0)+IF(LEFT(AL50,4)="True",IF(_xlfn.XLOOKUP("App_Any_OR_RangeGt1000",'Scoring_Config'!$A:$A,'Scoring_Config'!$D:$D,"Yes")="Yes",_xlfn.XLOOKUP("App_Any_OR_RangeGt1000",'Scoring_Config'!$A:$A,'Scoring_Config'!$C:$C,25),0),0)+IF(LEFT(AM50,4)="True",IF(_xlfn.XLOOKUP("Service_Insecure_Match",'Scoring_Config'!$A:$A,'Scoring_Config'!$D:$D,"Yes")="Yes",_xlfn.XLOOKUP("Service_Insecure_Match",'Scoring_Config'!$A:$A,'Scoring_Config'!$C:$C,20),0),0)+IF(LEFT(AN50,4)="True",IF(_xlfn.XLOOKUP("Risky_Inbound",'Scoring_Config'!$A:$A,'Scoring_Config'!$D:$D,"Yes")="Yes",_xlfn.XLOOKUP("Risky_Inbound",'Scoring_Config'!$A:$A,'Scoring_Config'!$C:$C,20),0),0)+IF(LEFT(AO50,4)="True",IF(_xlfn.XLOOKUP("Risky_Outbound",'Scoring_Config'!$A:$A,'Scoring_Config'!$D:$D,"Yes")="Yes",_xlfn.XLOOKUP("Risky_Outbound",'Scoring_Config'!$A:$A,'Scoring_Config'!$C:$C,10),0),0)+IF(LEFT(AW50,4)="True",IF(_xlfn.XLOOKUP("Migrate_Insecure",'Scoring_Config'!$A:$A,'Scoring_Config'!$D:$D,"Yes")="Yes",_xlfn.XLOOKUP("Migrate_Insecure",'Scoring_Config'!$A:$A,'Scoring_Config'!$C:$C,15),0),0)+IF(LEFT(AY50,4)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50,FIND(",",AP50)+1,100)),0)+IF(LEFT(AQ50,4)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50,FIND(",",AR50)+1,100)),0)+IF(_xlfn.XLOOKUP("Profile_Scoring",'Scoring_Config'!$A:$A,'Scoring_Config'!$D:$D,"Yes")="Yes",VALUE(MID(AS50,FIND(",",AS50)+1,100)),0)+IF(_xlfn.XLOOKUP("Options_Scoring",'Scoring_Config'!$A:$A,'Scoring_Config'!$D:$D,"Yes")="Yes",VALUE(MID(AT50,FIND(",",AT50)+1,100)),0)))</f>
        <v>0</v>
      </c>
    </row>
    <row r="51" spans="1:52">
      <c r="A51" s="3" t="s">
        <v>52</v>
      </c>
      <c r="B51" s="3" t="s">
        <v>100</v>
      </c>
      <c r="C51" s="3" t="s">
        <v>329</v>
      </c>
      <c r="D51" s="3"/>
      <c r="E51" s="3" t="s">
        <v>359</v>
      </c>
      <c r="F51" s="3" t="s">
        <v>363</v>
      </c>
      <c r="G51" s="3" t="s">
        <v>387</v>
      </c>
      <c r="H51" s="3" t="s">
        <v>387</v>
      </c>
      <c r="I51" s="3" t="s">
        <v>623</v>
      </c>
      <c r="J51" s="3" t="s">
        <v>360</v>
      </c>
      <c r="K51" s="3" t="s">
        <v>379</v>
      </c>
      <c r="L51" s="3" t="s">
        <v>545</v>
      </c>
      <c r="M51" s="3" t="s">
        <v>772</v>
      </c>
      <c r="N51" s="3" t="s">
        <v>794</v>
      </c>
      <c r="O51" s="4" t="s">
        <v>828</v>
      </c>
      <c r="P51" s="3" t="s">
        <v>889</v>
      </c>
      <c r="Q51" s="3" t="s">
        <v>905</v>
      </c>
      <c r="R51" s="3" t="s">
        <v>909</v>
      </c>
      <c r="S51" s="3" t="s">
        <v>907</v>
      </c>
      <c r="T51" s="3" t="s">
        <v>919</v>
      </c>
      <c r="U51" s="3" t="s">
        <v>1147</v>
      </c>
      <c r="V51" s="3" t="s">
        <v>1386</v>
      </c>
      <c r="W51" s="3" t="s">
        <v>1428</v>
      </c>
      <c r="X51" s="3" t="s">
        <v>1655</v>
      </c>
      <c r="Y51" s="3" t="s">
        <v>2124</v>
      </c>
      <c r="Z51" s="3"/>
      <c r="AA51" s="3"/>
      <c r="AB51" s="3"/>
      <c r="AC51" s="4" cm="1">
        <f t="array" ref="AC51">IF(FALSE,"True," &amp; IF(_xlfn.XLOOKUP("Src_IsAny",'Scoring_Config'!$A:$A,'Scoring_Config'!$D:$D,"Yes")="Yes",_xlfn.XLOOKUP("Src_IsAny",'Scoring_Config'!$A:$A,'Scoring_Config'!$C:$C,25),0),"False,0")</f>
        <v>0</v>
      </c>
      <c r="AD51" s="4" cm="1">
        <f t="array" ref="AD51">IF(FALSE,"True," &amp; IF(_xlfn.XLOOKUP("Src_CIDR_Le_16",'Scoring_Config'!$A:$A,'Scoring_Config'!$D:$D,"Yes")="Yes",_xlfn.XLOOKUP("Src_CIDR_Le_16",'Scoring_Config'!$A:$A,'Scoring_Config'!$C:$C,25),0),"False,0")</f>
        <v>0</v>
      </c>
      <c r="AE51" s="4" cm="1">
        <f t="array" ref="AE51">IF(FALSE,"True," &amp; IF(_xlfn.XLOOKUP("Src_CIDR_17_22",'Scoring_Config'!$A:$A,'Scoring_Config'!$D:$D,"Yes")="Yes",_xlfn.XLOOKUP("Src_CIDR_17_22",'Scoring_Config'!$A:$A,'Scoring_Config'!$C:$C,15),0),"False,0")</f>
        <v>0</v>
      </c>
      <c r="AF51" s="4" cm="1">
        <f t="array" ref="AF51">IF(FALSE,"True," &amp; IF(_xlfn.XLOOKUP("Dst_IsAny",'Scoring_Config'!$A:$A,'Scoring_Config'!$D:$D,"Yes")="Yes",_xlfn.XLOOKUP("Dst_IsAny",'Scoring_Config'!$A:$A,'Scoring_Config'!$C:$C,25),0),"False,0")</f>
        <v>0</v>
      </c>
      <c r="AG51" s="4" cm="1">
        <f t="array" ref="AG51">IF(FALSE,"True," &amp; IF(_xlfn.XLOOKUP("Dst_CIDR_Le_16",'Scoring_Config'!$A:$A,'Scoring_Config'!$D:$D,"Yes")="Yes",_xlfn.XLOOKUP("Dst_CIDR_Le_16",'Scoring_Config'!$A:$A,'Scoring_Config'!$C:$C,25),0),"False,0")</f>
        <v>0</v>
      </c>
      <c r="AH51" s="4" cm="1">
        <f t="array" ref="AH51">IF(FALSE,"True," &amp; IF(_xlfn.XLOOKUP("Dst_CIDR_17_22",'Scoring_Config'!$A:$A,'Scoring_Config'!$D:$D,"Yes")="Yes",_xlfn.XLOOKUP("Dst_CIDR_17_22",'Scoring_Config'!$A:$A,'Scoring_Config'!$C:$C,15),0),"False,0")</f>
        <v>0</v>
      </c>
      <c r="AI51" s="4" cm="1">
        <f t="array" ref="AI51">IF(FALSE,"True," &amp; IF(_xlfn.XLOOKUP("SrcZone_IsAny",'Scoring_Config'!$A:$A,'Scoring_Config'!$D:$D,"Yes")="Yes",_xlfn.XLOOKUP("SrcZone_IsAny",'Scoring_Config'!$A:$A,'Scoring_Config'!$C:$C,5),0),"False,0")</f>
        <v>0</v>
      </c>
      <c r="AJ51" s="4" cm="1">
        <f t="array" ref="AJ51">IF(FALSE,"True," &amp; IF(_xlfn.XLOOKUP("DstZone_IsAny",'Scoring_Config'!$A:$A,'Scoring_Config'!$D:$D,"Yes")="Yes",_xlfn.XLOOKUP("DstZone_IsAny",'Scoring_Config'!$A:$A,'Scoring_Config'!$C:$C,5),0),"False,0")</f>
        <v>0</v>
      </c>
      <c r="AK51" s="4" cm="1">
        <f t="array" ref="AK5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1" s="4" cm="1">
        <f t="array" ref="AL51">IF(FALSE,"True," &amp; IF(_xlfn.XLOOKUP("App_Any_OR_RangeGt1000",'Scoring_Config'!$A:$A,'Scoring_Config'!$D:$D,"Yes")="Yes",_xlfn.XLOOKUP("App_Any_OR_RangeGt1000",'Scoring_Config'!$A:$A,'Scoring_Config'!$C:$C,25),0),"False,0")</f>
        <v>0</v>
      </c>
      <c r="AM51" s="5" cm="1">
        <f t="array" ref="AM51">IF(TRUE,"True," &amp; IF(_xlfn.XLOOKUP("Service_Insecure_Match",'Scoring_Config'!$A:$A,'Scoring_Config'!$D:$D,"Yes")="Yes",_xlfn.XLOOKUP("Service_Insecure_Match",'Scoring_Config'!$A:$A,'Scoring_Config'!$C:$C,20),0),"False,0")</f>
        <v>0</v>
      </c>
      <c r="AN51" s="4" cm="1">
        <f t="array" ref="AN51">IF(FALSE,"True," &amp; IF(_xlfn.XLOOKUP("Risky_Inbound",'Scoring_Config'!$A:$A,'Scoring_Config'!$D:$D,"Yes")="Yes",_xlfn.XLOOKUP("Risky_Inbound",'Scoring_Config'!$A:$A,'Scoring_Config'!$C:$C,20),0),"False,0")</f>
        <v>0</v>
      </c>
      <c r="AO51" s="4" cm="1">
        <f t="array" ref="AO51">IF(FALSE,"True," &amp; IF(_xlfn.XLOOKUP("Risky_Outbound",'Scoring_Config'!$A:$A,'Scoring_Config'!$D:$D,"Yes")="Yes",_xlfn.XLOOKUP("Risky_Outbound",'Scoring_Config'!$A:$A,'Scoring_Config'!$C:$C,10),0),"False,0")</f>
        <v>0</v>
      </c>
      <c r="AP51" s="5" t="s">
        <v>2595</v>
      </c>
      <c r="AQ51" s="5" cm="1">
        <f t="array" ref="AQ5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1" s="5" t="s">
        <v>2598</v>
      </c>
      <c r="AS51" s="4" t="s">
        <v>2592</v>
      </c>
      <c r="AT51" s="5" t="s">
        <v>2595</v>
      </c>
      <c r="AU51" s="4" cm="1">
        <f t="array" ref="AU51">IF(FALSE,"True," &amp; IF(_xlfn.XLOOKUP("Action_IsDenyOrDrop",'Scoring_Config'!$A:$A,'Scoring_Config'!$D:$D,"Yes")="Yes",_xlfn.XLOOKUP("Action_IsDenyOrDrop",'Scoring_Config'!$A:$A,'Scoring_Config'!$C:$C,0),0),"False,0")</f>
        <v>0</v>
      </c>
      <c r="AV51" s="4"/>
      <c r="AW51" s="4" cm="1">
        <f t="array" ref="AW51">IF(FALSE,"True," &amp; IF(_xlfn.XLOOKUP("Migrate_Insecure",'Scoring_Config'!$A:$A,'Scoring_Config'!$D:$D,"Yes")="Yes",_xlfn.XLOOKUP("Migrate_Insecure",'Scoring_Config'!$A:$A,'Scoring_Config'!$C:$C,15),0),"False,0")</f>
        <v>0</v>
      </c>
      <c r="AX51" s="4"/>
      <c r="AY51" s="4" cm="1">
        <f t="array" ref="AY51">IF(FALSE,"True," &amp; IF(_xlfn.XLOOKUP("Migrate_Other_Ports",'Scoring_Config'!$A:$A,'Scoring_Config'!$D:$D,"Yes")="Yes",_xlfn.XLOOKUP("Migrate_Other_Ports",'Scoring_Config'!$A:$A,'Scoring_Config'!$C:$C,5),0),"False,0")</f>
        <v>0</v>
      </c>
      <c r="AZ51" s="4" cm="1">
        <f t="array" ref="AZ51">IF(LEFT(AU51,4)="True",0,(IF(LEFT(AC51,4)="True",IF(_xlfn.XLOOKUP("Src_IsAny",'Scoring_Config'!$A:$A,'Scoring_Config'!$D:$D,"Yes")="Yes",_xlfn.XLOOKUP("Src_IsAny",'Scoring_Config'!$A:$A,'Scoring_Config'!$C:$C,25),0),0)+IF(LEFT(AD51,4)="True",IF(_xlfn.XLOOKUP("Src_CIDR_Le_16",'Scoring_Config'!$A:$A,'Scoring_Config'!$D:$D,"Yes")="Yes",_xlfn.XLOOKUP("Src_CIDR_Le_16",'Scoring_Config'!$A:$A,'Scoring_Config'!$C:$C,25),0),0)+IF(LEFT(AE51,4)="True",IF(_xlfn.XLOOKUP("Src_CIDR_17_22",'Scoring_Config'!$A:$A,'Scoring_Config'!$D:$D,"Yes")="Yes",_xlfn.XLOOKUP("Src_CIDR_17_22",'Scoring_Config'!$A:$A,'Scoring_Config'!$C:$C,15),0),0)+IF(LEFT(AF51,4)="True",IF(_xlfn.XLOOKUP("Dst_IsAny",'Scoring_Config'!$A:$A,'Scoring_Config'!$D:$D,"Yes")="Yes",_xlfn.XLOOKUP("Dst_IsAny",'Scoring_Config'!$A:$A,'Scoring_Config'!$C:$C,25),0),0)+IF(LEFT(AG51,4)="True",IF(_xlfn.XLOOKUP("Dst_CIDR_Le_16",'Scoring_Config'!$A:$A,'Scoring_Config'!$D:$D,"Yes")="Yes",_xlfn.XLOOKUP("Dst_CIDR_Le_16",'Scoring_Config'!$A:$A,'Scoring_Config'!$C:$C,25),0),0)+IF(LEFT(AH51,4)="True",IF(_xlfn.XLOOKUP("Dst_CIDR_17_22",'Scoring_Config'!$A:$A,'Scoring_Config'!$D:$D,"Yes")="Yes",_xlfn.XLOOKUP("Dst_CIDR_17_22",'Scoring_Config'!$A:$A,'Scoring_Config'!$C:$C,15),0),0)+IF(LEFT(AI51,4)="True",IF(_xlfn.XLOOKUP("SrcZone_IsAny",'Scoring_Config'!$A:$A,'Scoring_Config'!$D:$D,"Yes")="Yes",_xlfn.XLOOKUP("SrcZone_IsAny",'Scoring_Config'!$A:$A,'Scoring_Config'!$C:$C,5),0),0)+IF(LEFT(AJ51,4)="True",IF(_xlfn.XLOOKUP("DstZone_IsAny",'Scoring_Config'!$A:$A,'Scoring_Config'!$D:$D,"Yes")="Yes",_xlfn.XLOOKUP("DstZone_IsAny",'Scoring_Config'!$A:$A,'Scoring_Config'!$C:$C,5),0),0)+IF(LEFT(AK51,4)="True",IF(_xlfn.XLOOKUP("Service_Any_OR_RangeGt1000",'Scoring_Config'!$A:$A,'Scoring_Config'!$D:$D,"Yes")="Yes",_xlfn.XLOOKUP("Service_Any_OR_RangeGt1000",'Scoring_Config'!$A:$A,'Scoring_Config'!$C:$C,25),0),0)+IF(LEFT(AL51,4)="True",IF(_xlfn.XLOOKUP("App_Any_OR_RangeGt1000",'Scoring_Config'!$A:$A,'Scoring_Config'!$D:$D,"Yes")="Yes",_xlfn.XLOOKUP("App_Any_OR_RangeGt1000",'Scoring_Config'!$A:$A,'Scoring_Config'!$C:$C,25),0),0)+IF(LEFT(AM51,4)="True",IF(_xlfn.XLOOKUP("Service_Insecure_Match",'Scoring_Config'!$A:$A,'Scoring_Config'!$D:$D,"Yes")="Yes",_xlfn.XLOOKUP("Service_Insecure_Match",'Scoring_Config'!$A:$A,'Scoring_Config'!$C:$C,20),0),0)+IF(LEFT(AN51,4)="True",IF(_xlfn.XLOOKUP("Risky_Inbound",'Scoring_Config'!$A:$A,'Scoring_Config'!$D:$D,"Yes")="Yes",_xlfn.XLOOKUP("Risky_Inbound",'Scoring_Config'!$A:$A,'Scoring_Config'!$C:$C,20),0),0)+IF(LEFT(AO51,4)="True",IF(_xlfn.XLOOKUP("Risky_Outbound",'Scoring_Config'!$A:$A,'Scoring_Config'!$D:$D,"Yes")="Yes",_xlfn.XLOOKUP("Risky_Outbound",'Scoring_Config'!$A:$A,'Scoring_Config'!$C:$C,10),0),0)+IF(LEFT(AW51,4)="True",IF(_xlfn.XLOOKUP("Migrate_Insecure",'Scoring_Config'!$A:$A,'Scoring_Config'!$D:$D,"Yes")="Yes",_xlfn.XLOOKUP("Migrate_Insecure",'Scoring_Config'!$A:$A,'Scoring_Config'!$C:$C,15),0),0)+IF(LEFT(AY51,4)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51,FIND(",",AP51)+1,100)),0)+IF(LEFT(AQ51,4)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51,FIND(",",AR51)+1,100)),0)+IF(_xlfn.XLOOKUP("Profile_Scoring",'Scoring_Config'!$A:$A,'Scoring_Config'!$D:$D,"Yes")="Yes",VALUE(MID(AS51,FIND(",",AS51)+1,100)),0)+IF(_xlfn.XLOOKUP("Options_Scoring",'Scoring_Config'!$A:$A,'Scoring_Config'!$D:$D,"Yes")="Yes",VALUE(MID(AT51,FIND(",",AT51)+1,100)),0)))</f>
        <v>0</v>
      </c>
    </row>
    <row r="52" spans="1:52">
      <c r="A52" s="3" t="s">
        <v>52</v>
      </c>
      <c r="B52" s="3" t="s">
        <v>78</v>
      </c>
      <c r="C52" s="3" t="s">
        <v>329</v>
      </c>
      <c r="D52" s="3"/>
      <c r="E52" s="3" t="s">
        <v>359</v>
      </c>
      <c r="F52" s="3" t="s">
        <v>364</v>
      </c>
      <c r="G52" s="3" t="s">
        <v>374</v>
      </c>
      <c r="H52" s="3" t="s">
        <v>543</v>
      </c>
      <c r="I52" s="3" t="s">
        <v>625</v>
      </c>
      <c r="J52" s="3" t="s">
        <v>360</v>
      </c>
      <c r="K52" s="3" t="s">
        <v>368</v>
      </c>
      <c r="L52" s="3" t="s">
        <v>368</v>
      </c>
      <c r="M52" s="3" t="s">
        <v>774</v>
      </c>
      <c r="N52" s="3" t="s">
        <v>795</v>
      </c>
      <c r="O52" s="4" t="s">
        <v>831</v>
      </c>
      <c r="P52" s="3" t="s">
        <v>892</v>
      </c>
      <c r="Q52" s="3" t="s">
        <v>905</v>
      </c>
      <c r="R52" s="3" t="s">
        <v>906</v>
      </c>
      <c r="S52" s="3" t="s">
        <v>916</v>
      </c>
      <c r="T52" s="3" t="s">
        <v>919</v>
      </c>
      <c r="U52" s="3" t="s">
        <v>1147</v>
      </c>
      <c r="V52" s="3" t="s">
        <v>772</v>
      </c>
      <c r="W52" s="3" t="s">
        <v>1395</v>
      </c>
      <c r="X52" s="3" t="s">
        <v>1656</v>
      </c>
      <c r="Y52" s="3" t="s">
        <v>2125</v>
      </c>
      <c r="Z52" s="3"/>
      <c r="AA52" s="3"/>
      <c r="AB52" s="3"/>
      <c r="AC52" s="4" cm="1">
        <f t="array" ref="AC52">IF(FALSE,"True," &amp; IF(_xlfn.XLOOKUP("Src_IsAny",'Scoring_Config'!$A:$A,'Scoring_Config'!$D:$D,"Yes")="Yes",_xlfn.XLOOKUP("Src_IsAny",'Scoring_Config'!$A:$A,'Scoring_Config'!$C:$C,25),0),"False,0")</f>
        <v>0</v>
      </c>
      <c r="AD52" s="4" cm="1">
        <f t="array" ref="AD52">IF(FALSE,"True," &amp; IF(_xlfn.XLOOKUP("Src_CIDR_Le_16",'Scoring_Config'!$A:$A,'Scoring_Config'!$D:$D,"Yes")="Yes",_xlfn.XLOOKUP("Src_CIDR_Le_16",'Scoring_Config'!$A:$A,'Scoring_Config'!$C:$C,25),0),"False,0")</f>
        <v>0</v>
      </c>
      <c r="AE52" s="4" cm="1">
        <f t="array" ref="AE52">IF(FALSE,"True," &amp; IF(_xlfn.XLOOKUP("Src_CIDR_17_22",'Scoring_Config'!$A:$A,'Scoring_Config'!$D:$D,"Yes")="Yes",_xlfn.XLOOKUP("Src_CIDR_17_22",'Scoring_Config'!$A:$A,'Scoring_Config'!$C:$C,15),0),"False,0")</f>
        <v>0</v>
      </c>
      <c r="AF52" s="4" cm="1">
        <f t="array" ref="AF52">IF(FALSE,"True," &amp; IF(_xlfn.XLOOKUP("Dst_IsAny",'Scoring_Config'!$A:$A,'Scoring_Config'!$D:$D,"Yes")="Yes",_xlfn.XLOOKUP("Dst_IsAny",'Scoring_Config'!$A:$A,'Scoring_Config'!$C:$C,25),0),"False,0")</f>
        <v>0</v>
      </c>
      <c r="AG52" s="4" cm="1">
        <f t="array" ref="AG52">IF(FALSE,"True," &amp; IF(_xlfn.XLOOKUP("Dst_CIDR_Le_16",'Scoring_Config'!$A:$A,'Scoring_Config'!$D:$D,"Yes")="Yes",_xlfn.XLOOKUP("Dst_CIDR_Le_16",'Scoring_Config'!$A:$A,'Scoring_Config'!$C:$C,25),0),"False,0")</f>
        <v>0</v>
      </c>
      <c r="AH52" s="4" cm="1">
        <f t="array" ref="AH52">IF(FALSE,"True," &amp; IF(_xlfn.XLOOKUP("Dst_CIDR_17_22",'Scoring_Config'!$A:$A,'Scoring_Config'!$D:$D,"Yes")="Yes",_xlfn.XLOOKUP("Dst_CIDR_17_22",'Scoring_Config'!$A:$A,'Scoring_Config'!$C:$C,15),0),"False,0")</f>
        <v>0</v>
      </c>
      <c r="AI52" s="4" cm="1">
        <f t="array" ref="AI52">IF(FALSE,"True," &amp; IF(_xlfn.XLOOKUP("SrcZone_IsAny",'Scoring_Config'!$A:$A,'Scoring_Config'!$D:$D,"Yes")="Yes",_xlfn.XLOOKUP("SrcZone_IsAny",'Scoring_Config'!$A:$A,'Scoring_Config'!$C:$C,5),0),"False,0")</f>
        <v>0</v>
      </c>
      <c r="AJ52" s="4" cm="1">
        <f t="array" ref="AJ52">IF(FALSE,"True," &amp; IF(_xlfn.XLOOKUP("DstZone_IsAny",'Scoring_Config'!$A:$A,'Scoring_Config'!$D:$D,"Yes")="Yes",_xlfn.XLOOKUP("DstZone_IsAny",'Scoring_Config'!$A:$A,'Scoring_Config'!$C:$C,5),0),"False,0")</f>
        <v>0</v>
      </c>
      <c r="AK52" s="4" cm="1">
        <f t="array" ref="AK5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2" s="4" cm="1">
        <f t="array" ref="AL52">IF(FALSE,"True," &amp; IF(_xlfn.XLOOKUP("App_Any_OR_RangeGt1000",'Scoring_Config'!$A:$A,'Scoring_Config'!$D:$D,"Yes")="Yes",_xlfn.XLOOKUP("App_Any_OR_RangeGt1000",'Scoring_Config'!$A:$A,'Scoring_Config'!$C:$C,25),0),"False,0")</f>
        <v>0</v>
      </c>
      <c r="AM52" s="5" cm="1">
        <f t="array" ref="AM52">IF(TRUE,"True," &amp; IF(_xlfn.XLOOKUP("Service_Insecure_Match",'Scoring_Config'!$A:$A,'Scoring_Config'!$D:$D,"Yes")="Yes",_xlfn.XLOOKUP("Service_Insecure_Match",'Scoring_Config'!$A:$A,'Scoring_Config'!$C:$C,20),0),"False,0")</f>
        <v>0</v>
      </c>
      <c r="AN52" s="4" cm="1">
        <f t="array" ref="AN52">IF(FALSE,"True," &amp; IF(_xlfn.XLOOKUP("Risky_Inbound",'Scoring_Config'!$A:$A,'Scoring_Config'!$D:$D,"Yes")="Yes",_xlfn.XLOOKUP("Risky_Inbound",'Scoring_Config'!$A:$A,'Scoring_Config'!$C:$C,20),0),"False,0")</f>
        <v>0</v>
      </c>
      <c r="AO52" s="4" cm="1">
        <f t="array" ref="AO52">IF(FALSE,"True," &amp; IF(_xlfn.XLOOKUP("Risky_Outbound",'Scoring_Config'!$A:$A,'Scoring_Config'!$D:$D,"Yes")="Yes",_xlfn.XLOOKUP("Risky_Outbound",'Scoring_Config'!$A:$A,'Scoring_Config'!$C:$C,10),0),"False,0")</f>
        <v>0</v>
      </c>
      <c r="AP52" s="5" t="s">
        <v>2595</v>
      </c>
      <c r="AQ52" s="5" cm="1">
        <f t="array" ref="AQ5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2" s="5" t="s">
        <v>2598</v>
      </c>
      <c r="AS52" s="4" t="s">
        <v>2592</v>
      </c>
      <c r="AT52" s="4" t="s">
        <v>2592</v>
      </c>
      <c r="AU52" s="4" cm="1">
        <f t="array" ref="AU52">IF(FALSE,"True," &amp; IF(_xlfn.XLOOKUP("Action_IsDenyOrDrop",'Scoring_Config'!$A:$A,'Scoring_Config'!$D:$D,"Yes")="Yes",_xlfn.XLOOKUP("Action_IsDenyOrDrop",'Scoring_Config'!$A:$A,'Scoring_Config'!$C:$C,0),0),"False,0")</f>
        <v>0</v>
      </c>
      <c r="AV52" s="4"/>
      <c r="AW52" s="4" cm="1">
        <f t="array" ref="AW52">IF(FALSE,"True," &amp; IF(_xlfn.XLOOKUP("Migrate_Insecure",'Scoring_Config'!$A:$A,'Scoring_Config'!$D:$D,"Yes")="Yes",_xlfn.XLOOKUP("Migrate_Insecure",'Scoring_Config'!$A:$A,'Scoring_Config'!$C:$C,15),0),"False,0")</f>
        <v>0</v>
      </c>
      <c r="AX52" s="4"/>
      <c r="AY52" s="4" cm="1">
        <f t="array" ref="AY52">IF(FALSE,"True," &amp; IF(_xlfn.XLOOKUP("Migrate_Other_Ports",'Scoring_Config'!$A:$A,'Scoring_Config'!$D:$D,"Yes")="Yes",_xlfn.XLOOKUP("Migrate_Other_Ports",'Scoring_Config'!$A:$A,'Scoring_Config'!$C:$C,5),0),"False,0")</f>
        <v>0</v>
      </c>
      <c r="AZ52" s="4" cm="1">
        <f t="array" ref="AZ52">IF(LEFT(AU52,4)="True",0,(IF(LEFT(AC52,4)="True",IF(_xlfn.XLOOKUP("Src_IsAny",'Scoring_Config'!$A:$A,'Scoring_Config'!$D:$D,"Yes")="Yes",_xlfn.XLOOKUP("Src_IsAny",'Scoring_Config'!$A:$A,'Scoring_Config'!$C:$C,25),0),0)+IF(LEFT(AD52,4)="True",IF(_xlfn.XLOOKUP("Src_CIDR_Le_16",'Scoring_Config'!$A:$A,'Scoring_Config'!$D:$D,"Yes")="Yes",_xlfn.XLOOKUP("Src_CIDR_Le_16",'Scoring_Config'!$A:$A,'Scoring_Config'!$C:$C,25),0),0)+IF(LEFT(AE52,4)="True",IF(_xlfn.XLOOKUP("Src_CIDR_17_22",'Scoring_Config'!$A:$A,'Scoring_Config'!$D:$D,"Yes")="Yes",_xlfn.XLOOKUP("Src_CIDR_17_22",'Scoring_Config'!$A:$A,'Scoring_Config'!$C:$C,15),0),0)+IF(LEFT(AF52,4)="True",IF(_xlfn.XLOOKUP("Dst_IsAny",'Scoring_Config'!$A:$A,'Scoring_Config'!$D:$D,"Yes")="Yes",_xlfn.XLOOKUP("Dst_IsAny",'Scoring_Config'!$A:$A,'Scoring_Config'!$C:$C,25),0),0)+IF(LEFT(AG52,4)="True",IF(_xlfn.XLOOKUP("Dst_CIDR_Le_16",'Scoring_Config'!$A:$A,'Scoring_Config'!$D:$D,"Yes")="Yes",_xlfn.XLOOKUP("Dst_CIDR_Le_16",'Scoring_Config'!$A:$A,'Scoring_Config'!$C:$C,25),0),0)+IF(LEFT(AH52,4)="True",IF(_xlfn.XLOOKUP("Dst_CIDR_17_22",'Scoring_Config'!$A:$A,'Scoring_Config'!$D:$D,"Yes")="Yes",_xlfn.XLOOKUP("Dst_CIDR_17_22",'Scoring_Config'!$A:$A,'Scoring_Config'!$C:$C,15),0),0)+IF(LEFT(AI52,4)="True",IF(_xlfn.XLOOKUP("SrcZone_IsAny",'Scoring_Config'!$A:$A,'Scoring_Config'!$D:$D,"Yes")="Yes",_xlfn.XLOOKUP("SrcZone_IsAny",'Scoring_Config'!$A:$A,'Scoring_Config'!$C:$C,5),0),0)+IF(LEFT(AJ52,4)="True",IF(_xlfn.XLOOKUP("DstZone_IsAny",'Scoring_Config'!$A:$A,'Scoring_Config'!$D:$D,"Yes")="Yes",_xlfn.XLOOKUP("DstZone_IsAny",'Scoring_Config'!$A:$A,'Scoring_Config'!$C:$C,5),0),0)+IF(LEFT(AK52,4)="True",IF(_xlfn.XLOOKUP("Service_Any_OR_RangeGt1000",'Scoring_Config'!$A:$A,'Scoring_Config'!$D:$D,"Yes")="Yes",_xlfn.XLOOKUP("Service_Any_OR_RangeGt1000",'Scoring_Config'!$A:$A,'Scoring_Config'!$C:$C,25),0),0)+IF(LEFT(AL52,4)="True",IF(_xlfn.XLOOKUP("App_Any_OR_RangeGt1000",'Scoring_Config'!$A:$A,'Scoring_Config'!$D:$D,"Yes")="Yes",_xlfn.XLOOKUP("App_Any_OR_RangeGt1000",'Scoring_Config'!$A:$A,'Scoring_Config'!$C:$C,25),0),0)+IF(LEFT(AM52,4)="True",IF(_xlfn.XLOOKUP("Service_Insecure_Match",'Scoring_Config'!$A:$A,'Scoring_Config'!$D:$D,"Yes")="Yes",_xlfn.XLOOKUP("Service_Insecure_Match",'Scoring_Config'!$A:$A,'Scoring_Config'!$C:$C,20),0),0)+IF(LEFT(AN52,4)="True",IF(_xlfn.XLOOKUP("Risky_Inbound",'Scoring_Config'!$A:$A,'Scoring_Config'!$D:$D,"Yes")="Yes",_xlfn.XLOOKUP("Risky_Inbound",'Scoring_Config'!$A:$A,'Scoring_Config'!$C:$C,20),0),0)+IF(LEFT(AO52,4)="True",IF(_xlfn.XLOOKUP("Risky_Outbound",'Scoring_Config'!$A:$A,'Scoring_Config'!$D:$D,"Yes")="Yes",_xlfn.XLOOKUP("Risky_Outbound",'Scoring_Config'!$A:$A,'Scoring_Config'!$C:$C,10),0),0)+IF(LEFT(AW52,4)="True",IF(_xlfn.XLOOKUP("Migrate_Insecure",'Scoring_Config'!$A:$A,'Scoring_Config'!$D:$D,"Yes")="Yes",_xlfn.XLOOKUP("Migrate_Insecure",'Scoring_Config'!$A:$A,'Scoring_Config'!$C:$C,15),0),0)+IF(LEFT(AY52,4)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52,FIND(",",AP52)+1,100)),0)+IF(LEFT(AQ52,4)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52,FIND(",",AR52)+1,100)),0)+IF(_xlfn.XLOOKUP("Profile_Scoring",'Scoring_Config'!$A:$A,'Scoring_Config'!$D:$D,"Yes")="Yes",VALUE(MID(AS52,FIND(",",AS52)+1,100)),0)+IF(_xlfn.XLOOKUP("Options_Scoring",'Scoring_Config'!$A:$A,'Scoring_Config'!$D:$D,"Yes")="Yes",VALUE(MID(AT52,FIND(",",AT52)+1,100)),0)))</f>
        <v>0</v>
      </c>
    </row>
    <row r="53" spans="1:52">
      <c r="A53" s="3" t="s">
        <v>52</v>
      </c>
      <c r="B53" s="3" t="s">
        <v>83</v>
      </c>
      <c r="C53" s="3" t="s">
        <v>329</v>
      </c>
      <c r="D53" s="3"/>
      <c r="E53" s="3" t="s">
        <v>359</v>
      </c>
      <c r="F53" s="3" t="s">
        <v>364</v>
      </c>
      <c r="G53" s="3" t="s">
        <v>365</v>
      </c>
      <c r="H53" s="3" t="s">
        <v>365</v>
      </c>
      <c r="I53" s="3" t="s">
        <v>622</v>
      </c>
      <c r="J53" s="3" t="s">
        <v>364</v>
      </c>
      <c r="K53" s="3" t="s">
        <v>365</v>
      </c>
      <c r="L53" s="3" t="s">
        <v>365</v>
      </c>
      <c r="M53" s="3" t="s">
        <v>774</v>
      </c>
      <c r="N53" s="3" t="s">
        <v>795</v>
      </c>
      <c r="O53" s="4" t="s">
        <v>807</v>
      </c>
      <c r="P53" s="3" t="s">
        <v>868</v>
      </c>
      <c r="Q53" s="3" t="s">
        <v>905</v>
      </c>
      <c r="R53" s="3" t="s">
        <v>906</v>
      </c>
      <c r="S53" s="3" t="s">
        <v>914</v>
      </c>
      <c r="T53" s="3" t="s">
        <v>919</v>
      </c>
      <c r="U53" s="3" t="s">
        <v>1157</v>
      </c>
      <c r="V53" s="3" t="s">
        <v>1388</v>
      </c>
      <c r="W53" s="3" t="s">
        <v>1429</v>
      </c>
      <c r="X53" s="3" t="s">
        <v>1657</v>
      </c>
      <c r="Y53" s="3" t="s">
        <v>2126</v>
      </c>
      <c r="Z53" s="3"/>
      <c r="AA53" s="3"/>
      <c r="AB53" s="3"/>
      <c r="AC53" s="5" cm="1">
        <f t="array" ref="AC53">IF(TRUE,"True," &amp; IF(_xlfn.XLOOKUP("Src_IsAny",'Scoring_Config'!$A:$A,'Scoring_Config'!$D:$D,"Yes")="Yes",_xlfn.XLOOKUP("Src_IsAny",'Scoring_Config'!$A:$A,'Scoring_Config'!$C:$C,25),0),"False,0")</f>
        <v>0</v>
      </c>
      <c r="AD53" s="4" cm="1">
        <f t="array" ref="AD53">IF(FALSE,"True," &amp; IF(_xlfn.XLOOKUP("Src_CIDR_Le_16",'Scoring_Config'!$A:$A,'Scoring_Config'!$D:$D,"Yes")="Yes",_xlfn.XLOOKUP("Src_CIDR_Le_16",'Scoring_Config'!$A:$A,'Scoring_Config'!$C:$C,25),0),"False,0")</f>
        <v>0</v>
      </c>
      <c r="AE53" s="4" cm="1">
        <f t="array" ref="AE53">IF(FALSE,"True," &amp; IF(_xlfn.XLOOKUP("Src_CIDR_17_22",'Scoring_Config'!$A:$A,'Scoring_Config'!$D:$D,"Yes")="Yes",_xlfn.XLOOKUP("Src_CIDR_17_22",'Scoring_Config'!$A:$A,'Scoring_Config'!$C:$C,15),0),"False,0")</f>
        <v>0</v>
      </c>
      <c r="AF53" s="5" cm="1">
        <f t="array" ref="AF53">IF(TRUE,"True," &amp; IF(_xlfn.XLOOKUP("Dst_IsAny",'Scoring_Config'!$A:$A,'Scoring_Config'!$D:$D,"Yes")="Yes",_xlfn.XLOOKUP("Dst_IsAny",'Scoring_Config'!$A:$A,'Scoring_Config'!$C:$C,25),0),"False,0")</f>
        <v>0</v>
      </c>
      <c r="AG53" s="4" cm="1">
        <f t="array" ref="AG53">IF(FALSE,"True," &amp; IF(_xlfn.XLOOKUP("Dst_CIDR_Le_16",'Scoring_Config'!$A:$A,'Scoring_Config'!$D:$D,"Yes")="Yes",_xlfn.XLOOKUP("Dst_CIDR_Le_16",'Scoring_Config'!$A:$A,'Scoring_Config'!$C:$C,25),0),"False,0")</f>
        <v>0</v>
      </c>
      <c r="AH53" s="4" cm="1">
        <f t="array" ref="AH53">IF(FALSE,"True," &amp; IF(_xlfn.XLOOKUP("Dst_CIDR_17_22",'Scoring_Config'!$A:$A,'Scoring_Config'!$D:$D,"Yes")="Yes",_xlfn.XLOOKUP("Dst_CIDR_17_22",'Scoring_Config'!$A:$A,'Scoring_Config'!$C:$C,15),0),"False,0")</f>
        <v>0</v>
      </c>
      <c r="AI53" s="4" cm="1">
        <f t="array" ref="AI53">IF(FALSE,"True," &amp; IF(_xlfn.XLOOKUP("SrcZone_IsAny",'Scoring_Config'!$A:$A,'Scoring_Config'!$D:$D,"Yes")="Yes",_xlfn.XLOOKUP("SrcZone_IsAny",'Scoring_Config'!$A:$A,'Scoring_Config'!$C:$C,5),0),"False,0")</f>
        <v>0</v>
      </c>
      <c r="AJ53" s="4" cm="1">
        <f t="array" ref="AJ53">IF(FALSE,"True," &amp; IF(_xlfn.XLOOKUP("DstZone_IsAny",'Scoring_Config'!$A:$A,'Scoring_Config'!$D:$D,"Yes")="Yes",_xlfn.XLOOKUP("DstZone_IsAny",'Scoring_Config'!$A:$A,'Scoring_Config'!$C:$C,5),0),"False,0")</f>
        <v>0</v>
      </c>
      <c r="AK53" s="4" cm="1">
        <f t="array" ref="AK5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3" s="4" cm="1">
        <f t="array" ref="AL53">IF(FALSE,"True," &amp; IF(_xlfn.XLOOKUP("App_Any_OR_RangeGt1000",'Scoring_Config'!$A:$A,'Scoring_Config'!$D:$D,"Yes")="Yes",_xlfn.XLOOKUP("App_Any_OR_RangeGt1000",'Scoring_Config'!$A:$A,'Scoring_Config'!$C:$C,25),0),"False,0")</f>
        <v>0</v>
      </c>
      <c r="AM53" s="5" cm="1">
        <f t="array" ref="AM53">IF(TRUE,"True," &amp; IF(_xlfn.XLOOKUP("Service_Insecure_Match",'Scoring_Config'!$A:$A,'Scoring_Config'!$D:$D,"Yes")="Yes",_xlfn.XLOOKUP("Service_Insecure_Match",'Scoring_Config'!$A:$A,'Scoring_Config'!$C:$C,20),0),"False,0")</f>
        <v>0</v>
      </c>
      <c r="AN53" s="4" cm="1">
        <f t="array" ref="AN53">IF(FALSE,"True," &amp; IF(_xlfn.XLOOKUP("Risky_Inbound",'Scoring_Config'!$A:$A,'Scoring_Config'!$D:$D,"Yes")="Yes",_xlfn.XLOOKUP("Risky_Inbound",'Scoring_Config'!$A:$A,'Scoring_Config'!$C:$C,20),0),"False,0")</f>
        <v>0</v>
      </c>
      <c r="AO53" s="4" cm="1">
        <f t="array" ref="AO53">IF(FALSE,"True," &amp; IF(_xlfn.XLOOKUP("Risky_Outbound",'Scoring_Config'!$A:$A,'Scoring_Config'!$D:$D,"Yes")="Yes",_xlfn.XLOOKUP("Risky_Outbound",'Scoring_Config'!$A:$A,'Scoring_Config'!$C:$C,10),0),"False,0")</f>
        <v>0</v>
      </c>
      <c r="AP53" s="5" t="s">
        <v>2595</v>
      </c>
      <c r="AQ53" s="5" cm="1">
        <f t="array" ref="AQ5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3" s="5" t="s">
        <v>2598</v>
      </c>
      <c r="AS53" s="4" t="s">
        <v>2592</v>
      </c>
      <c r="AT53" s="4" t="s">
        <v>2592</v>
      </c>
      <c r="AU53" s="4" cm="1">
        <f t="array" ref="AU53">IF(FALSE,"True," &amp; IF(_xlfn.XLOOKUP("Action_IsDenyOrDrop",'Scoring_Config'!$A:$A,'Scoring_Config'!$D:$D,"Yes")="Yes",_xlfn.XLOOKUP("Action_IsDenyOrDrop",'Scoring_Config'!$A:$A,'Scoring_Config'!$C:$C,0),0),"False,0")</f>
        <v>0</v>
      </c>
      <c r="AV53" s="4"/>
      <c r="AW53" s="4" cm="1">
        <f t="array" ref="AW53">IF(FALSE,"True," &amp; IF(_xlfn.XLOOKUP("Migrate_Insecure",'Scoring_Config'!$A:$A,'Scoring_Config'!$D:$D,"Yes")="Yes",_xlfn.XLOOKUP("Migrate_Insecure",'Scoring_Config'!$A:$A,'Scoring_Config'!$C:$C,15),0),"False,0")</f>
        <v>0</v>
      </c>
      <c r="AX53" s="4"/>
      <c r="AY53" s="4" cm="1">
        <f t="array" ref="AY53">IF(FALSE,"True," &amp; IF(_xlfn.XLOOKUP("Migrate_Other_Ports",'Scoring_Config'!$A:$A,'Scoring_Config'!$D:$D,"Yes")="Yes",_xlfn.XLOOKUP("Migrate_Other_Ports",'Scoring_Config'!$A:$A,'Scoring_Config'!$C:$C,5),0),"False,0")</f>
        <v>0</v>
      </c>
      <c r="AZ53" s="4" cm="1">
        <f t="array" ref="AZ53">IF(LEFT(AU53,4)="True",0,(IF(LEFT(AC53,4)="True",IF(_xlfn.XLOOKUP("Src_IsAny",'Scoring_Config'!$A:$A,'Scoring_Config'!$D:$D,"Yes")="Yes",_xlfn.XLOOKUP("Src_IsAny",'Scoring_Config'!$A:$A,'Scoring_Config'!$C:$C,25),0),0)+IF(LEFT(AD53,4)="True",IF(_xlfn.XLOOKUP("Src_CIDR_Le_16",'Scoring_Config'!$A:$A,'Scoring_Config'!$D:$D,"Yes")="Yes",_xlfn.XLOOKUP("Src_CIDR_Le_16",'Scoring_Config'!$A:$A,'Scoring_Config'!$C:$C,25),0),0)+IF(LEFT(AE53,4)="True",IF(_xlfn.XLOOKUP("Src_CIDR_17_22",'Scoring_Config'!$A:$A,'Scoring_Config'!$D:$D,"Yes")="Yes",_xlfn.XLOOKUP("Src_CIDR_17_22",'Scoring_Config'!$A:$A,'Scoring_Config'!$C:$C,15),0),0)+IF(LEFT(AF53,4)="True",IF(_xlfn.XLOOKUP("Dst_IsAny",'Scoring_Config'!$A:$A,'Scoring_Config'!$D:$D,"Yes")="Yes",_xlfn.XLOOKUP("Dst_IsAny",'Scoring_Config'!$A:$A,'Scoring_Config'!$C:$C,25),0),0)+IF(LEFT(AG53,4)="True",IF(_xlfn.XLOOKUP("Dst_CIDR_Le_16",'Scoring_Config'!$A:$A,'Scoring_Config'!$D:$D,"Yes")="Yes",_xlfn.XLOOKUP("Dst_CIDR_Le_16",'Scoring_Config'!$A:$A,'Scoring_Config'!$C:$C,25),0),0)+IF(LEFT(AH53,4)="True",IF(_xlfn.XLOOKUP("Dst_CIDR_17_22",'Scoring_Config'!$A:$A,'Scoring_Config'!$D:$D,"Yes")="Yes",_xlfn.XLOOKUP("Dst_CIDR_17_22",'Scoring_Config'!$A:$A,'Scoring_Config'!$C:$C,15),0),0)+IF(LEFT(AI53,4)="True",IF(_xlfn.XLOOKUP("SrcZone_IsAny",'Scoring_Config'!$A:$A,'Scoring_Config'!$D:$D,"Yes")="Yes",_xlfn.XLOOKUP("SrcZone_IsAny",'Scoring_Config'!$A:$A,'Scoring_Config'!$C:$C,5),0),0)+IF(LEFT(AJ53,4)="True",IF(_xlfn.XLOOKUP("DstZone_IsAny",'Scoring_Config'!$A:$A,'Scoring_Config'!$D:$D,"Yes")="Yes",_xlfn.XLOOKUP("DstZone_IsAny",'Scoring_Config'!$A:$A,'Scoring_Config'!$C:$C,5),0),0)+IF(LEFT(AK53,4)="True",IF(_xlfn.XLOOKUP("Service_Any_OR_RangeGt1000",'Scoring_Config'!$A:$A,'Scoring_Config'!$D:$D,"Yes")="Yes",_xlfn.XLOOKUP("Service_Any_OR_RangeGt1000",'Scoring_Config'!$A:$A,'Scoring_Config'!$C:$C,25),0),0)+IF(LEFT(AL53,4)="True",IF(_xlfn.XLOOKUP("App_Any_OR_RangeGt1000",'Scoring_Config'!$A:$A,'Scoring_Config'!$D:$D,"Yes")="Yes",_xlfn.XLOOKUP("App_Any_OR_RangeGt1000",'Scoring_Config'!$A:$A,'Scoring_Config'!$C:$C,25),0),0)+IF(LEFT(AM53,4)="True",IF(_xlfn.XLOOKUP("Service_Insecure_Match",'Scoring_Config'!$A:$A,'Scoring_Config'!$D:$D,"Yes")="Yes",_xlfn.XLOOKUP("Service_Insecure_Match",'Scoring_Config'!$A:$A,'Scoring_Config'!$C:$C,20),0),0)+IF(LEFT(AN53,4)="True",IF(_xlfn.XLOOKUP("Risky_Inbound",'Scoring_Config'!$A:$A,'Scoring_Config'!$D:$D,"Yes")="Yes",_xlfn.XLOOKUP("Risky_Inbound",'Scoring_Config'!$A:$A,'Scoring_Config'!$C:$C,20),0),0)+IF(LEFT(AO53,4)="True",IF(_xlfn.XLOOKUP("Risky_Outbound",'Scoring_Config'!$A:$A,'Scoring_Config'!$D:$D,"Yes")="Yes",_xlfn.XLOOKUP("Risky_Outbound",'Scoring_Config'!$A:$A,'Scoring_Config'!$C:$C,10),0),0)+IF(LEFT(AW53,4)="True",IF(_xlfn.XLOOKUP("Migrate_Insecure",'Scoring_Config'!$A:$A,'Scoring_Config'!$D:$D,"Yes")="Yes",_xlfn.XLOOKUP("Migrate_Insecure",'Scoring_Config'!$A:$A,'Scoring_Config'!$C:$C,15),0),0)+IF(LEFT(AY53,4)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53,FIND(",",AP53)+1,100)),0)+IF(LEFT(AQ53,4)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53,FIND(",",AR53)+1,100)),0)+IF(_xlfn.XLOOKUP("Profile_Scoring",'Scoring_Config'!$A:$A,'Scoring_Config'!$D:$D,"Yes")="Yes",VALUE(MID(AS53,FIND(",",AS53)+1,100)),0)+IF(_xlfn.XLOOKUP("Options_Scoring",'Scoring_Config'!$A:$A,'Scoring_Config'!$D:$D,"Yes")="Yes",VALUE(MID(AT53,FIND(",",AT53)+1,100)),0)))</f>
        <v>0</v>
      </c>
    </row>
    <row r="54" spans="1:52">
      <c r="A54" s="3" t="s">
        <v>52</v>
      </c>
      <c r="B54" s="3" t="s">
        <v>101</v>
      </c>
      <c r="C54" s="3" t="s">
        <v>329</v>
      </c>
      <c r="D54" s="3"/>
      <c r="E54" s="3" t="s">
        <v>359</v>
      </c>
      <c r="F54" s="3" t="s">
        <v>360</v>
      </c>
      <c r="G54" s="3" t="s">
        <v>367</v>
      </c>
      <c r="H54" s="3" t="s">
        <v>539</v>
      </c>
      <c r="I54" s="3" t="s">
        <v>365</v>
      </c>
      <c r="J54" s="3" t="s">
        <v>360</v>
      </c>
      <c r="K54" s="3" t="s">
        <v>640</v>
      </c>
      <c r="L54" s="3" t="s">
        <v>640</v>
      </c>
      <c r="M54" s="3" t="s">
        <v>770</v>
      </c>
      <c r="N54" s="3" t="s">
        <v>770</v>
      </c>
      <c r="O54" s="4" t="s">
        <v>802</v>
      </c>
      <c r="P54" s="3" t="s">
        <v>863</v>
      </c>
      <c r="Q54" s="3" t="s">
        <v>904</v>
      </c>
      <c r="R54" s="3" t="s">
        <v>911</v>
      </c>
      <c r="S54" s="3" t="s">
        <v>913</v>
      </c>
      <c r="T54" s="3" t="s">
        <v>954</v>
      </c>
      <c r="U54" s="3" t="s">
        <v>1180</v>
      </c>
      <c r="V54" s="3" t="s">
        <v>1389</v>
      </c>
      <c r="W54" s="3" t="s">
        <v>1057</v>
      </c>
      <c r="X54" s="3" t="s">
        <v>1658</v>
      </c>
      <c r="Y54" s="3" t="s">
        <v>2127</v>
      </c>
      <c r="Z54" s="3"/>
      <c r="AA54" s="3"/>
      <c r="AB54" s="3"/>
      <c r="AC54" s="5" cm="1">
        <f t="array" ref="AC54">IF(TRUE,"True," &amp; IF(_xlfn.XLOOKUP("Src_IsAny",'Scoring_Config'!$A:$A,'Scoring_Config'!$D:$D,"Yes")="Yes",_xlfn.XLOOKUP("Src_IsAny",'Scoring_Config'!$A:$A,'Scoring_Config'!$C:$C,25),0),"False,0")</f>
        <v>0</v>
      </c>
      <c r="AD54" s="4" cm="1">
        <f t="array" ref="AD54">IF(FALSE,"True," &amp; IF(_xlfn.XLOOKUP("Src_CIDR_Le_16",'Scoring_Config'!$A:$A,'Scoring_Config'!$D:$D,"Yes")="Yes",_xlfn.XLOOKUP("Src_CIDR_Le_16",'Scoring_Config'!$A:$A,'Scoring_Config'!$C:$C,25),0),"False,0")</f>
        <v>0</v>
      </c>
      <c r="AE54" s="4" cm="1">
        <f t="array" ref="AE54">IF(FALSE,"True," &amp; IF(_xlfn.XLOOKUP("Src_CIDR_17_22",'Scoring_Config'!$A:$A,'Scoring_Config'!$D:$D,"Yes")="Yes",_xlfn.XLOOKUP("Src_CIDR_17_22",'Scoring_Config'!$A:$A,'Scoring_Config'!$C:$C,15),0),"False,0")</f>
        <v>0</v>
      </c>
      <c r="AF54" s="4" cm="1">
        <f t="array" ref="AF54">IF(FALSE,"True," &amp; IF(_xlfn.XLOOKUP("Dst_IsAny",'Scoring_Config'!$A:$A,'Scoring_Config'!$D:$D,"Yes")="Yes",_xlfn.XLOOKUP("Dst_IsAny",'Scoring_Config'!$A:$A,'Scoring_Config'!$C:$C,25),0),"False,0")</f>
        <v>0</v>
      </c>
      <c r="AG54" s="4" cm="1">
        <f t="array" ref="AG54">IF(FALSE,"True," &amp; IF(_xlfn.XLOOKUP("Dst_CIDR_Le_16",'Scoring_Config'!$A:$A,'Scoring_Config'!$D:$D,"Yes")="Yes",_xlfn.XLOOKUP("Dst_CIDR_Le_16",'Scoring_Config'!$A:$A,'Scoring_Config'!$C:$C,25),0),"False,0")</f>
        <v>0</v>
      </c>
      <c r="AH54" s="4" cm="1">
        <f t="array" ref="AH54">IF(FALSE,"True," &amp; IF(_xlfn.XLOOKUP("Dst_CIDR_17_22",'Scoring_Config'!$A:$A,'Scoring_Config'!$D:$D,"Yes")="Yes",_xlfn.XLOOKUP("Dst_CIDR_17_22",'Scoring_Config'!$A:$A,'Scoring_Config'!$C:$C,15),0),"False,0")</f>
        <v>0</v>
      </c>
      <c r="AI54" s="4" cm="1">
        <f t="array" ref="AI54">IF(FALSE,"True," &amp; IF(_xlfn.XLOOKUP("SrcZone_IsAny",'Scoring_Config'!$A:$A,'Scoring_Config'!$D:$D,"Yes")="Yes",_xlfn.XLOOKUP("SrcZone_IsAny",'Scoring_Config'!$A:$A,'Scoring_Config'!$C:$C,5),0),"False,0")</f>
        <v>0</v>
      </c>
      <c r="AJ54" s="4" cm="1">
        <f t="array" ref="AJ54">IF(FALSE,"True," &amp; IF(_xlfn.XLOOKUP("DstZone_IsAny",'Scoring_Config'!$A:$A,'Scoring_Config'!$D:$D,"Yes")="Yes",_xlfn.XLOOKUP("DstZone_IsAny",'Scoring_Config'!$A:$A,'Scoring_Config'!$C:$C,5),0),"False,0")</f>
        <v>0</v>
      </c>
      <c r="AK54" s="4" cm="1">
        <f t="array" ref="AK5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4" s="4" cm="1">
        <f t="array" ref="AL54">IF(FALSE,"True," &amp; IF(_xlfn.XLOOKUP("App_Any_OR_RangeGt1000",'Scoring_Config'!$A:$A,'Scoring_Config'!$D:$D,"Yes")="Yes",_xlfn.XLOOKUP("App_Any_OR_RangeGt1000",'Scoring_Config'!$A:$A,'Scoring_Config'!$C:$C,25),0),"False,0")</f>
        <v>0</v>
      </c>
      <c r="AM54" s="5" cm="1">
        <f t="array" ref="AM54">IF(TRUE,"True," &amp; IF(_xlfn.XLOOKUP("Service_Insecure_Match",'Scoring_Config'!$A:$A,'Scoring_Config'!$D:$D,"Yes")="Yes",_xlfn.XLOOKUP("Service_Insecure_Match",'Scoring_Config'!$A:$A,'Scoring_Config'!$C:$C,20),0),"False,0")</f>
        <v>0</v>
      </c>
      <c r="AN54" s="4" cm="1">
        <f t="array" ref="AN54">IF(FALSE,"True," &amp; IF(_xlfn.XLOOKUP("Risky_Inbound",'Scoring_Config'!$A:$A,'Scoring_Config'!$D:$D,"Yes")="Yes",_xlfn.XLOOKUP("Risky_Inbound",'Scoring_Config'!$A:$A,'Scoring_Config'!$C:$C,20),0),"False,0")</f>
        <v>0</v>
      </c>
      <c r="AO54" s="4" cm="1">
        <f t="array" ref="AO54">IF(FALSE,"True," &amp; IF(_xlfn.XLOOKUP("Risky_Outbound",'Scoring_Config'!$A:$A,'Scoring_Config'!$D:$D,"Yes")="Yes",_xlfn.XLOOKUP("Risky_Outbound",'Scoring_Config'!$A:$A,'Scoring_Config'!$C:$C,10),0),"False,0")</f>
        <v>0</v>
      </c>
      <c r="AP54" s="5" t="s">
        <v>2595</v>
      </c>
      <c r="AQ54" s="4" cm="1">
        <f t="array" ref="AQ5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4" s="4" t="s">
        <v>2592</v>
      </c>
      <c r="AS54" s="4" t="s">
        <v>2592</v>
      </c>
      <c r="AT54" s="4" t="s">
        <v>2592</v>
      </c>
      <c r="AU54" s="5" cm="1">
        <f t="array" ref="AU54">IF(TRUE,"True," &amp; IF(_xlfn.XLOOKUP("Action_IsDenyOrDrop",'Scoring_Config'!$A:$A,'Scoring_Config'!$D:$D,"Yes")="Yes",_xlfn.XLOOKUP("Action_IsDenyOrDrop",'Scoring_Config'!$A:$A,'Scoring_Config'!$C:$C,0),0),"False,0")</f>
        <v>0</v>
      </c>
      <c r="AV54" s="4"/>
      <c r="AW54" s="4" cm="1">
        <f t="array" ref="AW54">IF(FALSE,"True," &amp; IF(_xlfn.XLOOKUP("Migrate_Insecure",'Scoring_Config'!$A:$A,'Scoring_Config'!$D:$D,"Yes")="Yes",_xlfn.XLOOKUP("Migrate_Insecure",'Scoring_Config'!$A:$A,'Scoring_Config'!$C:$C,15),0),"False,0")</f>
        <v>0</v>
      </c>
      <c r="AX54" s="4"/>
      <c r="AY54" s="4" cm="1">
        <f t="array" ref="AY54">IF(FALSE,"True," &amp; IF(_xlfn.XLOOKUP("Migrate_Other_Ports",'Scoring_Config'!$A:$A,'Scoring_Config'!$D:$D,"Yes")="Yes",_xlfn.XLOOKUP("Migrate_Other_Ports",'Scoring_Config'!$A:$A,'Scoring_Config'!$C:$C,5),0),"False,0")</f>
        <v>0</v>
      </c>
      <c r="AZ54" s="4" cm="1">
        <f t="array" ref="AZ54">IF(LEFT(AU54,4)="True",0,(IF(LEFT(AC54,4)="True",IF(_xlfn.XLOOKUP("Src_IsAny",'Scoring_Config'!$A:$A,'Scoring_Config'!$D:$D,"Yes")="Yes",_xlfn.XLOOKUP("Src_IsAny",'Scoring_Config'!$A:$A,'Scoring_Config'!$C:$C,25),0),0)+IF(LEFT(AD54,4)="True",IF(_xlfn.XLOOKUP("Src_CIDR_Le_16",'Scoring_Config'!$A:$A,'Scoring_Config'!$D:$D,"Yes")="Yes",_xlfn.XLOOKUP("Src_CIDR_Le_16",'Scoring_Config'!$A:$A,'Scoring_Config'!$C:$C,25),0),0)+IF(LEFT(AE54,4)="True",IF(_xlfn.XLOOKUP("Src_CIDR_17_22",'Scoring_Config'!$A:$A,'Scoring_Config'!$D:$D,"Yes")="Yes",_xlfn.XLOOKUP("Src_CIDR_17_22",'Scoring_Config'!$A:$A,'Scoring_Config'!$C:$C,15),0),0)+IF(LEFT(AF54,4)="True",IF(_xlfn.XLOOKUP("Dst_IsAny",'Scoring_Config'!$A:$A,'Scoring_Config'!$D:$D,"Yes")="Yes",_xlfn.XLOOKUP("Dst_IsAny",'Scoring_Config'!$A:$A,'Scoring_Config'!$C:$C,25),0),0)+IF(LEFT(AG54,4)="True",IF(_xlfn.XLOOKUP("Dst_CIDR_Le_16",'Scoring_Config'!$A:$A,'Scoring_Config'!$D:$D,"Yes")="Yes",_xlfn.XLOOKUP("Dst_CIDR_Le_16",'Scoring_Config'!$A:$A,'Scoring_Config'!$C:$C,25),0),0)+IF(LEFT(AH54,4)="True",IF(_xlfn.XLOOKUP("Dst_CIDR_17_22",'Scoring_Config'!$A:$A,'Scoring_Config'!$D:$D,"Yes")="Yes",_xlfn.XLOOKUP("Dst_CIDR_17_22",'Scoring_Config'!$A:$A,'Scoring_Config'!$C:$C,15),0),0)+IF(LEFT(AI54,4)="True",IF(_xlfn.XLOOKUP("SrcZone_IsAny",'Scoring_Config'!$A:$A,'Scoring_Config'!$D:$D,"Yes")="Yes",_xlfn.XLOOKUP("SrcZone_IsAny",'Scoring_Config'!$A:$A,'Scoring_Config'!$C:$C,5),0),0)+IF(LEFT(AJ54,4)="True",IF(_xlfn.XLOOKUP("DstZone_IsAny",'Scoring_Config'!$A:$A,'Scoring_Config'!$D:$D,"Yes")="Yes",_xlfn.XLOOKUP("DstZone_IsAny",'Scoring_Config'!$A:$A,'Scoring_Config'!$C:$C,5),0),0)+IF(LEFT(AK54,4)="True",IF(_xlfn.XLOOKUP("Service_Any_OR_RangeGt1000",'Scoring_Config'!$A:$A,'Scoring_Config'!$D:$D,"Yes")="Yes",_xlfn.XLOOKUP("Service_Any_OR_RangeGt1000",'Scoring_Config'!$A:$A,'Scoring_Config'!$C:$C,25),0),0)+IF(LEFT(AL54,4)="True",IF(_xlfn.XLOOKUP("App_Any_OR_RangeGt1000",'Scoring_Config'!$A:$A,'Scoring_Config'!$D:$D,"Yes")="Yes",_xlfn.XLOOKUP("App_Any_OR_RangeGt1000",'Scoring_Config'!$A:$A,'Scoring_Config'!$C:$C,25),0),0)+IF(LEFT(AM54,4)="True",IF(_xlfn.XLOOKUP("Service_Insecure_Match",'Scoring_Config'!$A:$A,'Scoring_Config'!$D:$D,"Yes")="Yes",_xlfn.XLOOKUP("Service_Insecure_Match",'Scoring_Config'!$A:$A,'Scoring_Config'!$C:$C,20),0),0)+IF(LEFT(AN54,4)="True",IF(_xlfn.XLOOKUP("Risky_Inbound",'Scoring_Config'!$A:$A,'Scoring_Config'!$D:$D,"Yes")="Yes",_xlfn.XLOOKUP("Risky_Inbound",'Scoring_Config'!$A:$A,'Scoring_Config'!$C:$C,20),0),0)+IF(LEFT(AO54,4)="True",IF(_xlfn.XLOOKUP("Risky_Outbound",'Scoring_Config'!$A:$A,'Scoring_Config'!$D:$D,"Yes")="Yes",_xlfn.XLOOKUP("Risky_Outbound",'Scoring_Config'!$A:$A,'Scoring_Config'!$C:$C,10),0),0)+IF(LEFT(AW54,4)="True",IF(_xlfn.XLOOKUP("Migrate_Insecure",'Scoring_Config'!$A:$A,'Scoring_Config'!$D:$D,"Yes")="Yes",_xlfn.XLOOKUP("Migrate_Insecure",'Scoring_Config'!$A:$A,'Scoring_Config'!$C:$C,15),0),0)+IF(LEFT(AY54,4)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54,FIND(",",AP54)+1,100)),0)+IF(LEFT(AQ54,4)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54,FIND(",",AR54)+1,100)),0)+IF(_xlfn.XLOOKUP("Profile_Scoring",'Scoring_Config'!$A:$A,'Scoring_Config'!$D:$D,"Yes")="Yes",VALUE(MID(AS54,FIND(",",AS54)+1,100)),0)+IF(_xlfn.XLOOKUP("Options_Scoring",'Scoring_Config'!$A:$A,'Scoring_Config'!$D:$D,"Yes")="Yes",VALUE(MID(AT54,FIND(",",AT54)+1,100)),0)))</f>
        <v>0</v>
      </c>
    </row>
    <row r="55" spans="1:52">
      <c r="A55" s="3" t="s">
        <v>52</v>
      </c>
      <c r="B55" s="3" t="s">
        <v>102</v>
      </c>
      <c r="C55" s="3" t="s">
        <v>329</v>
      </c>
      <c r="D55" s="3"/>
      <c r="E55" s="3" t="s">
        <v>359</v>
      </c>
      <c r="F55" s="3" t="s">
        <v>364</v>
      </c>
      <c r="G55" s="3" t="s">
        <v>382</v>
      </c>
      <c r="H55" s="3" t="s">
        <v>382</v>
      </c>
      <c r="I55" s="3" t="s">
        <v>365</v>
      </c>
      <c r="J55" s="3" t="s">
        <v>362</v>
      </c>
      <c r="K55" s="3" t="s">
        <v>380</v>
      </c>
      <c r="L55" s="3" t="s">
        <v>546</v>
      </c>
      <c r="M55" s="3" t="s">
        <v>774</v>
      </c>
      <c r="N55" s="3" t="s">
        <v>795</v>
      </c>
      <c r="O55" s="4" t="s">
        <v>819</v>
      </c>
      <c r="P55" s="3" t="s">
        <v>880</v>
      </c>
      <c r="Q55" s="3" t="s">
        <v>905</v>
      </c>
      <c r="R55" s="3" t="s">
        <v>907</v>
      </c>
      <c r="S55" s="3" t="s">
        <v>907</v>
      </c>
      <c r="T55" s="3" t="s">
        <v>955</v>
      </c>
      <c r="U55" s="3" t="s">
        <v>1157</v>
      </c>
      <c r="V55" s="3" t="s">
        <v>1386</v>
      </c>
      <c r="W55" s="3" t="s">
        <v>1430</v>
      </c>
      <c r="X55" s="3" t="s">
        <v>1659</v>
      </c>
      <c r="Y55" s="3" t="s">
        <v>2128</v>
      </c>
      <c r="Z55" s="3"/>
      <c r="AA55" s="3"/>
      <c r="AB55" s="3"/>
      <c r="AC55" s="4" cm="1">
        <f t="array" ref="AC55">IF(FALSE,"True," &amp; IF(_xlfn.XLOOKUP("Src_IsAny",'Scoring_Config'!$A:$A,'Scoring_Config'!$D:$D,"Yes")="Yes",_xlfn.XLOOKUP("Src_IsAny",'Scoring_Config'!$A:$A,'Scoring_Config'!$C:$C,25),0),"False,0")</f>
        <v>0</v>
      </c>
      <c r="AD55" s="4" cm="1">
        <f t="array" ref="AD55">IF(FALSE,"True," &amp; IF(_xlfn.XLOOKUP("Src_CIDR_Le_16",'Scoring_Config'!$A:$A,'Scoring_Config'!$D:$D,"Yes")="Yes",_xlfn.XLOOKUP("Src_CIDR_Le_16",'Scoring_Config'!$A:$A,'Scoring_Config'!$C:$C,25),0),"False,0")</f>
        <v>0</v>
      </c>
      <c r="AE55" s="4" cm="1">
        <f t="array" ref="AE55">IF(FALSE,"True," &amp; IF(_xlfn.XLOOKUP("Src_CIDR_17_22",'Scoring_Config'!$A:$A,'Scoring_Config'!$D:$D,"Yes")="Yes",_xlfn.XLOOKUP("Src_CIDR_17_22",'Scoring_Config'!$A:$A,'Scoring_Config'!$C:$C,15),0),"False,0")</f>
        <v>0</v>
      </c>
      <c r="AF55" s="5" cm="1">
        <f t="array" ref="AF55">IF(TRUE,"True," &amp; IF(_xlfn.XLOOKUP("Dst_IsAny",'Scoring_Config'!$A:$A,'Scoring_Config'!$D:$D,"Yes")="Yes",_xlfn.XLOOKUP("Dst_IsAny",'Scoring_Config'!$A:$A,'Scoring_Config'!$C:$C,25),0),"False,0")</f>
        <v>0</v>
      </c>
      <c r="AG55" s="4" cm="1">
        <f t="array" ref="AG55">IF(FALSE,"True," &amp; IF(_xlfn.XLOOKUP("Dst_CIDR_Le_16",'Scoring_Config'!$A:$A,'Scoring_Config'!$D:$D,"Yes")="Yes",_xlfn.XLOOKUP("Dst_CIDR_Le_16",'Scoring_Config'!$A:$A,'Scoring_Config'!$C:$C,25),0),"False,0")</f>
        <v>0</v>
      </c>
      <c r="AH55" s="4" cm="1">
        <f t="array" ref="AH55">IF(FALSE,"True," &amp; IF(_xlfn.XLOOKUP("Dst_CIDR_17_22",'Scoring_Config'!$A:$A,'Scoring_Config'!$D:$D,"Yes")="Yes",_xlfn.XLOOKUP("Dst_CIDR_17_22",'Scoring_Config'!$A:$A,'Scoring_Config'!$C:$C,15),0),"False,0")</f>
        <v>0</v>
      </c>
      <c r="AI55" s="4" cm="1">
        <f t="array" ref="AI55">IF(FALSE,"True," &amp; IF(_xlfn.XLOOKUP("SrcZone_IsAny",'Scoring_Config'!$A:$A,'Scoring_Config'!$D:$D,"Yes")="Yes",_xlfn.XLOOKUP("SrcZone_IsAny",'Scoring_Config'!$A:$A,'Scoring_Config'!$C:$C,5),0),"False,0")</f>
        <v>0</v>
      </c>
      <c r="AJ55" s="4" cm="1">
        <f t="array" ref="AJ55">IF(FALSE,"True," &amp; IF(_xlfn.XLOOKUP("DstZone_IsAny",'Scoring_Config'!$A:$A,'Scoring_Config'!$D:$D,"Yes")="Yes",_xlfn.XLOOKUP("DstZone_IsAny",'Scoring_Config'!$A:$A,'Scoring_Config'!$C:$C,5),0),"False,0")</f>
        <v>0</v>
      </c>
      <c r="AK55" s="4" cm="1">
        <f t="array" ref="AK5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5" s="4" cm="1">
        <f t="array" ref="AL55">IF(FALSE,"True," &amp; IF(_xlfn.XLOOKUP("App_Any_OR_RangeGt1000",'Scoring_Config'!$A:$A,'Scoring_Config'!$D:$D,"Yes")="Yes",_xlfn.XLOOKUP("App_Any_OR_RangeGt1000",'Scoring_Config'!$A:$A,'Scoring_Config'!$C:$C,25),0),"False,0")</f>
        <v>0</v>
      </c>
      <c r="AM55" s="5" cm="1">
        <f t="array" ref="AM55">IF(TRUE,"True," &amp; IF(_xlfn.XLOOKUP("Service_Insecure_Match",'Scoring_Config'!$A:$A,'Scoring_Config'!$D:$D,"Yes")="Yes",_xlfn.XLOOKUP("Service_Insecure_Match",'Scoring_Config'!$A:$A,'Scoring_Config'!$C:$C,20),0),"False,0")</f>
        <v>0</v>
      </c>
      <c r="AN55" s="4" cm="1">
        <f t="array" ref="AN55">IF(FALSE,"True," &amp; IF(_xlfn.XLOOKUP("Risky_Inbound",'Scoring_Config'!$A:$A,'Scoring_Config'!$D:$D,"Yes")="Yes",_xlfn.XLOOKUP("Risky_Inbound",'Scoring_Config'!$A:$A,'Scoring_Config'!$C:$C,20),0),"False,0")</f>
        <v>0</v>
      </c>
      <c r="AO55" s="4" cm="1">
        <f t="array" ref="AO55">IF(FALSE,"True," &amp; IF(_xlfn.XLOOKUP("Risky_Outbound",'Scoring_Config'!$A:$A,'Scoring_Config'!$D:$D,"Yes")="Yes",_xlfn.XLOOKUP("Risky_Outbound",'Scoring_Config'!$A:$A,'Scoring_Config'!$C:$C,10),0),"False,0")</f>
        <v>0</v>
      </c>
      <c r="AP55" s="5" t="s">
        <v>2595</v>
      </c>
      <c r="AQ55" s="5" cm="1">
        <f t="array" ref="AQ5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5" s="4" t="s">
        <v>2592</v>
      </c>
      <c r="AS55" s="5" t="s">
        <v>2595</v>
      </c>
      <c r="AT55" s="5" t="s">
        <v>2595</v>
      </c>
      <c r="AU55" s="4" cm="1">
        <f t="array" ref="AU55">IF(FALSE,"True," &amp; IF(_xlfn.XLOOKUP("Action_IsDenyOrDrop",'Scoring_Config'!$A:$A,'Scoring_Config'!$D:$D,"Yes")="Yes",_xlfn.XLOOKUP("Action_IsDenyOrDrop",'Scoring_Config'!$A:$A,'Scoring_Config'!$C:$C,0),0),"False,0")</f>
        <v>0</v>
      </c>
      <c r="AV55" s="4"/>
      <c r="AW55" s="4" cm="1">
        <f t="array" ref="AW55">IF(FALSE,"True," &amp; IF(_xlfn.XLOOKUP("Migrate_Insecure",'Scoring_Config'!$A:$A,'Scoring_Config'!$D:$D,"Yes")="Yes",_xlfn.XLOOKUP("Migrate_Insecure",'Scoring_Config'!$A:$A,'Scoring_Config'!$C:$C,15),0),"False,0")</f>
        <v>0</v>
      </c>
      <c r="AX55" s="4"/>
      <c r="AY55" s="4" cm="1">
        <f t="array" ref="AY55">IF(FALSE,"True," &amp; IF(_xlfn.XLOOKUP("Migrate_Other_Ports",'Scoring_Config'!$A:$A,'Scoring_Config'!$D:$D,"Yes")="Yes",_xlfn.XLOOKUP("Migrate_Other_Ports",'Scoring_Config'!$A:$A,'Scoring_Config'!$C:$C,5),0),"False,0")</f>
        <v>0</v>
      </c>
      <c r="AZ55" s="4" cm="1">
        <f t="array" ref="AZ55">IF(LEFT(AU55,4)="True",0,(IF(LEFT(AC55,4)="True",IF(_xlfn.XLOOKUP("Src_IsAny",'Scoring_Config'!$A:$A,'Scoring_Config'!$D:$D,"Yes")="Yes",_xlfn.XLOOKUP("Src_IsAny",'Scoring_Config'!$A:$A,'Scoring_Config'!$C:$C,25),0),0)+IF(LEFT(AD55,4)="True",IF(_xlfn.XLOOKUP("Src_CIDR_Le_16",'Scoring_Config'!$A:$A,'Scoring_Config'!$D:$D,"Yes")="Yes",_xlfn.XLOOKUP("Src_CIDR_Le_16",'Scoring_Config'!$A:$A,'Scoring_Config'!$C:$C,25),0),0)+IF(LEFT(AE55,4)="True",IF(_xlfn.XLOOKUP("Src_CIDR_17_22",'Scoring_Config'!$A:$A,'Scoring_Config'!$D:$D,"Yes")="Yes",_xlfn.XLOOKUP("Src_CIDR_17_22",'Scoring_Config'!$A:$A,'Scoring_Config'!$C:$C,15),0),0)+IF(LEFT(AF55,4)="True",IF(_xlfn.XLOOKUP("Dst_IsAny",'Scoring_Config'!$A:$A,'Scoring_Config'!$D:$D,"Yes")="Yes",_xlfn.XLOOKUP("Dst_IsAny",'Scoring_Config'!$A:$A,'Scoring_Config'!$C:$C,25),0),0)+IF(LEFT(AG55,4)="True",IF(_xlfn.XLOOKUP("Dst_CIDR_Le_16",'Scoring_Config'!$A:$A,'Scoring_Config'!$D:$D,"Yes")="Yes",_xlfn.XLOOKUP("Dst_CIDR_Le_16",'Scoring_Config'!$A:$A,'Scoring_Config'!$C:$C,25),0),0)+IF(LEFT(AH55,4)="True",IF(_xlfn.XLOOKUP("Dst_CIDR_17_22",'Scoring_Config'!$A:$A,'Scoring_Config'!$D:$D,"Yes")="Yes",_xlfn.XLOOKUP("Dst_CIDR_17_22",'Scoring_Config'!$A:$A,'Scoring_Config'!$C:$C,15),0),0)+IF(LEFT(AI55,4)="True",IF(_xlfn.XLOOKUP("SrcZone_IsAny",'Scoring_Config'!$A:$A,'Scoring_Config'!$D:$D,"Yes")="Yes",_xlfn.XLOOKUP("SrcZone_IsAny",'Scoring_Config'!$A:$A,'Scoring_Config'!$C:$C,5),0),0)+IF(LEFT(AJ55,4)="True",IF(_xlfn.XLOOKUP("DstZone_IsAny",'Scoring_Config'!$A:$A,'Scoring_Config'!$D:$D,"Yes")="Yes",_xlfn.XLOOKUP("DstZone_IsAny",'Scoring_Config'!$A:$A,'Scoring_Config'!$C:$C,5),0),0)+IF(LEFT(AK55,4)="True",IF(_xlfn.XLOOKUP("Service_Any_OR_RangeGt1000",'Scoring_Config'!$A:$A,'Scoring_Config'!$D:$D,"Yes")="Yes",_xlfn.XLOOKUP("Service_Any_OR_RangeGt1000",'Scoring_Config'!$A:$A,'Scoring_Config'!$C:$C,25),0),0)+IF(LEFT(AL55,4)="True",IF(_xlfn.XLOOKUP("App_Any_OR_RangeGt1000",'Scoring_Config'!$A:$A,'Scoring_Config'!$D:$D,"Yes")="Yes",_xlfn.XLOOKUP("App_Any_OR_RangeGt1000",'Scoring_Config'!$A:$A,'Scoring_Config'!$C:$C,25),0),0)+IF(LEFT(AM55,4)="True",IF(_xlfn.XLOOKUP("Service_Insecure_Match",'Scoring_Config'!$A:$A,'Scoring_Config'!$D:$D,"Yes")="Yes",_xlfn.XLOOKUP("Service_Insecure_Match",'Scoring_Config'!$A:$A,'Scoring_Config'!$C:$C,20),0),0)+IF(LEFT(AN55,4)="True",IF(_xlfn.XLOOKUP("Risky_Inbound",'Scoring_Config'!$A:$A,'Scoring_Config'!$D:$D,"Yes")="Yes",_xlfn.XLOOKUP("Risky_Inbound",'Scoring_Config'!$A:$A,'Scoring_Config'!$C:$C,20),0),0)+IF(LEFT(AO55,4)="True",IF(_xlfn.XLOOKUP("Risky_Outbound",'Scoring_Config'!$A:$A,'Scoring_Config'!$D:$D,"Yes")="Yes",_xlfn.XLOOKUP("Risky_Outbound",'Scoring_Config'!$A:$A,'Scoring_Config'!$C:$C,10),0),0)+IF(LEFT(AW55,4)="True",IF(_xlfn.XLOOKUP("Migrate_Insecure",'Scoring_Config'!$A:$A,'Scoring_Config'!$D:$D,"Yes")="Yes",_xlfn.XLOOKUP("Migrate_Insecure",'Scoring_Config'!$A:$A,'Scoring_Config'!$C:$C,15),0),0)+IF(LEFT(AY55,4)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55,FIND(",",AP55)+1,100)),0)+IF(LEFT(AQ55,4)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55,FIND(",",AR55)+1,100)),0)+IF(_xlfn.XLOOKUP("Profile_Scoring",'Scoring_Config'!$A:$A,'Scoring_Config'!$D:$D,"Yes")="Yes",VALUE(MID(AS55,FIND(",",AS55)+1,100)),0)+IF(_xlfn.XLOOKUP("Options_Scoring",'Scoring_Config'!$A:$A,'Scoring_Config'!$D:$D,"Yes")="Yes",VALUE(MID(AT55,FIND(",",AT55)+1,100)),0)))</f>
        <v>0</v>
      </c>
    </row>
    <row r="56" spans="1:52">
      <c r="A56" s="3" t="s">
        <v>52</v>
      </c>
      <c r="B56" s="3" t="s">
        <v>103</v>
      </c>
      <c r="C56" s="3" t="s">
        <v>329</v>
      </c>
      <c r="D56" s="3"/>
      <c r="E56" s="3" t="s">
        <v>359</v>
      </c>
      <c r="F56" s="3" t="s">
        <v>361</v>
      </c>
      <c r="G56" s="3" t="s">
        <v>365</v>
      </c>
      <c r="H56" s="3" t="s">
        <v>365</v>
      </c>
      <c r="I56" s="3" t="s">
        <v>365</v>
      </c>
      <c r="J56" s="3" t="s">
        <v>360</v>
      </c>
      <c r="K56" s="3" t="s">
        <v>365</v>
      </c>
      <c r="L56" s="3" t="s">
        <v>365</v>
      </c>
      <c r="M56" s="3" t="s">
        <v>365</v>
      </c>
      <c r="N56" s="3" t="s">
        <v>365</v>
      </c>
      <c r="O56" s="4" t="s">
        <v>802</v>
      </c>
      <c r="P56" s="3" t="s">
        <v>863</v>
      </c>
      <c r="Q56" s="3" t="s">
        <v>905</v>
      </c>
      <c r="R56" s="3" t="s">
        <v>907</v>
      </c>
      <c r="S56" s="3" t="s">
        <v>907</v>
      </c>
      <c r="T56" s="3" t="s">
        <v>956</v>
      </c>
      <c r="U56" s="3" t="s">
        <v>1181</v>
      </c>
      <c r="V56" s="3" t="s">
        <v>1387</v>
      </c>
      <c r="W56" s="3" t="s">
        <v>1114</v>
      </c>
      <c r="X56" s="3" t="s">
        <v>1660</v>
      </c>
      <c r="Y56" s="3" t="s">
        <v>2129</v>
      </c>
      <c r="Z56" s="3"/>
      <c r="AA56" s="3"/>
      <c r="AB56" s="3"/>
      <c r="AC56" s="5" cm="1">
        <f t="array" ref="AC56">IF(TRUE,"True," &amp; IF(_xlfn.XLOOKUP("Src_IsAny",'Scoring_Config'!$A:$A,'Scoring_Config'!$D:$D,"Yes")="Yes",_xlfn.XLOOKUP("Src_IsAny",'Scoring_Config'!$A:$A,'Scoring_Config'!$C:$C,25),0),"False,0")</f>
        <v>0</v>
      </c>
      <c r="AD56" s="4" cm="1">
        <f t="array" ref="AD56">IF(FALSE,"True," &amp; IF(_xlfn.XLOOKUP("Src_CIDR_Le_16",'Scoring_Config'!$A:$A,'Scoring_Config'!$D:$D,"Yes")="Yes",_xlfn.XLOOKUP("Src_CIDR_Le_16",'Scoring_Config'!$A:$A,'Scoring_Config'!$C:$C,25),0),"False,0")</f>
        <v>0</v>
      </c>
      <c r="AE56" s="4" cm="1">
        <f t="array" ref="AE56">IF(FALSE,"True," &amp; IF(_xlfn.XLOOKUP("Src_CIDR_17_22",'Scoring_Config'!$A:$A,'Scoring_Config'!$D:$D,"Yes")="Yes",_xlfn.XLOOKUP("Src_CIDR_17_22",'Scoring_Config'!$A:$A,'Scoring_Config'!$C:$C,15),0),"False,0")</f>
        <v>0</v>
      </c>
      <c r="AF56" s="5" cm="1">
        <f t="array" ref="AF56">IF(TRUE,"True," &amp; IF(_xlfn.XLOOKUP("Dst_IsAny",'Scoring_Config'!$A:$A,'Scoring_Config'!$D:$D,"Yes")="Yes",_xlfn.XLOOKUP("Dst_IsAny",'Scoring_Config'!$A:$A,'Scoring_Config'!$C:$C,25),0),"False,0")</f>
        <v>0</v>
      </c>
      <c r="AG56" s="4" cm="1">
        <f t="array" ref="AG56">IF(FALSE,"True," &amp; IF(_xlfn.XLOOKUP("Dst_CIDR_Le_16",'Scoring_Config'!$A:$A,'Scoring_Config'!$D:$D,"Yes")="Yes",_xlfn.XLOOKUP("Dst_CIDR_Le_16",'Scoring_Config'!$A:$A,'Scoring_Config'!$C:$C,25),0),"False,0")</f>
        <v>0</v>
      </c>
      <c r="AH56" s="4" cm="1">
        <f t="array" ref="AH56">IF(FALSE,"True," &amp; IF(_xlfn.XLOOKUP("Dst_CIDR_17_22",'Scoring_Config'!$A:$A,'Scoring_Config'!$D:$D,"Yes")="Yes",_xlfn.XLOOKUP("Dst_CIDR_17_22",'Scoring_Config'!$A:$A,'Scoring_Config'!$C:$C,15),0),"False,0")</f>
        <v>0</v>
      </c>
      <c r="AI56" s="4" cm="1">
        <f t="array" ref="AI56">IF(FALSE,"True," &amp; IF(_xlfn.XLOOKUP("SrcZone_IsAny",'Scoring_Config'!$A:$A,'Scoring_Config'!$D:$D,"Yes")="Yes",_xlfn.XLOOKUP("SrcZone_IsAny",'Scoring_Config'!$A:$A,'Scoring_Config'!$C:$C,5),0),"False,0")</f>
        <v>0</v>
      </c>
      <c r="AJ56" s="4" cm="1">
        <f t="array" ref="AJ56">IF(FALSE,"True," &amp; IF(_xlfn.XLOOKUP("DstZone_IsAny",'Scoring_Config'!$A:$A,'Scoring_Config'!$D:$D,"Yes")="Yes",_xlfn.XLOOKUP("DstZone_IsAny",'Scoring_Config'!$A:$A,'Scoring_Config'!$C:$C,5),0),"False,0")</f>
        <v>0</v>
      </c>
      <c r="AK56" s="4" cm="1">
        <f t="array" ref="AK5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6" s="5" cm="1">
        <f t="array" ref="AL56">IF(TRUE,"True," &amp; IF(_xlfn.XLOOKUP("App_Any_OR_RangeGt1000",'Scoring_Config'!$A:$A,'Scoring_Config'!$D:$D,"Yes")="Yes",_xlfn.XLOOKUP("App_Any_OR_RangeGt1000",'Scoring_Config'!$A:$A,'Scoring_Config'!$C:$C,25),0),"False,0")</f>
        <v>0</v>
      </c>
      <c r="AM56" s="5" cm="1">
        <f t="array" ref="AM56">IF(TRUE,"True," &amp; IF(_xlfn.XLOOKUP("Service_Insecure_Match",'Scoring_Config'!$A:$A,'Scoring_Config'!$D:$D,"Yes")="Yes",_xlfn.XLOOKUP("Service_Insecure_Match",'Scoring_Config'!$A:$A,'Scoring_Config'!$C:$C,20),0),"False,0")</f>
        <v>0</v>
      </c>
      <c r="AN56" s="4" cm="1">
        <f t="array" ref="AN56">IF(FALSE,"True," &amp; IF(_xlfn.XLOOKUP("Risky_Inbound",'Scoring_Config'!$A:$A,'Scoring_Config'!$D:$D,"Yes")="Yes",_xlfn.XLOOKUP("Risky_Inbound",'Scoring_Config'!$A:$A,'Scoring_Config'!$C:$C,20),0),"False,0")</f>
        <v>0</v>
      </c>
      <c r="AO56" s="4" cm="1">
        <f t="array" ref="AO56">IF(FALSE,"True," &amp; IF(_xlfn.XLOOKUP("Risky_Outbound",'Scoring_Config'!$A:$A,'Scoring_Config'!$D:$D,"Yes")="Yes",_xlfn.XLOOKUP("Risky_Outbound",'Scoring_Config'!$A:$A,'Scoring_Config'!$C:$C,10),0),"False,0")</f>
        <v>0</v>
      </c>
      <c r="AP56" s="5" t="s">
        <v>2595</v>
      </c>
      <c r="AQ56" s="4" cm="1">
        <f t="array" ref="AQ5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6" s="4" t="s">
        <v>2592</v>
      </c>
      <c r="AS56" s="5" t="s">
        <v>2595</v>
      </c>
      <c r="AT56" s="5" t="s">
        <v>2595</v>
      </c>
      <c r="AU56" s="4" cm="1">
        <f t="array" ref="AU56">IF(FALSE,"True," &amp; IF(_xlfn.XLOOKUP("Action_IsDenyOrDrop",'Scoring_Config'!$A:$A,'Scoring_Config'!$D:$D,"Yes")="Yes",_xlfn.XLOOKUP("Action_IsDenyOrDrop",'Scoring_Config'!$A:$A,'Scoring_Config'!$C:$C,0),0),"False,0")</f>
        <v>0</v>
      </c>
      <c r="AV56" s="4"/>
      <c r="AW56" s="4" cm="1">
        <f t="array" ref="AW56">IF(FALSE,"True," &amp; IF(_xlfn.XLOOKUP("Migrate_Insecure",'Scoring_Config'!$A:$A,'Scoring_Config'!$D:$D,"Yes")="Yes",_xlfn.XLOOKUP("Migrate_Insecure",'Scoring_Config'!$A:$A,'Scoring_Config'!$C:$C,15),0),"False,0")</f>
        <v>0</v>
      </c>
      <c r="AX56" s="4"/>
      <c r="AY56" s="4" cm="1">
        <f t="array" ref="AY56">IF(FALSE,"True," &amp; IF(_xlfn.XLOOKUP("Migrate_Other_Ports",'Scoring_Config'!$A:$A,'Scoring_Config'!$D:$D,"Yes")="Yes",_xlfn.XLOOKUP("Migrate_Other_Ports",'Scoring_Config'!$A:$A,'Scoring_Config'!$C:$C,5),0),"False,0")</f>
        <v>0</v>
      </c>
      <c r="AZ56" s="4" cm="1">
        <f t="array" ref="AZ56">IF(LEFT(AU56,4)="True",0,(IF(LEFT(AC56,4)="True",IF(_xlfn.XLOOKUP("Src_IsAny",'Scoring_Config'!$A:$A,'Scoring_Config'!$D:$D,"Yes")="Yes",_xlfn.XLOOKUP("Src_IsAny",'Scoring_Config'!$A:$A,'Scoring_Config'!$C:$C,25),0),0)+IF(LEFT(AD56,4)="True",IF(_xlfn.XLOOKUP("Src_CIDR_Le_16",'Scoring_Config'!$A:$A,'Scoring_Config'!$D:$D,"Yes")="Yes",_xlfn.XLOOKUP("Src_CIDR_Le_16",'Scoring_Config'!$A:$A,'Scoring_Config'!$C:$C,25),0),0)+IF(LEFT(AE56,4)="True",IF(_xlfn.XLOOKUP("Src_CIDR_17_22",'Scoring_Config'!$A:$A,'Scoring_Config'!$D:$D,"Yes")="Yes",_xlfn.XLOOKUP("Src_CIDR_17_22",'Scoring_Config'!$A:$A,'Scoring_Config'!$C:$C,15),0),0)+IF(LEFT(AF56,4)="True",IF(_xlfn.XLOOKUP("Dst_IsAny",'Scoring_Config'!$A:$A,'Scoring_Config'!$D:$D,"Yes")="Yes",_xlfn.XLOOKUP("Dst_IsAny",'Scoring_Config'!$A:$A,'Scoring_Config'!$C:$C,25),0),0)+IF(LEFT(AG56,4)="True",IF(_xlfn.XLOOKUP("Dst_CIDR_Le_16",'Scoring_Config'!$A:$A,'Scoring_Config'!$D:$D,"Yes")="Yes",_xlfn.XLOOKUP("Dst_CIDR_Le_16",'Scoring_Config'!$A:$A,'Scoring_Config'!$C:$C,25),0),0)+IF(LEFT(AH56,4)="True",IF(_xlfn.XLOOKUP("Dst_CIDR_17_22",'Scoring_Config'!$A:$A,'Scoring_Config'!$D:$D,"Yes")="Yes",_xlfn.XLOOKUP("Dst_CIDR_17_22",'Scoring_Config'!$A:$A,'Scoring_Config'!$C:$C,15),0),0)+IF(LEFT(AI56,4)="True",IF(_xlfn.XLOOKUP("SrcZone_IsAny",'Scoring_Config'!$A:$A,'Scoring_Config'!$D:$D,"Yes")="Yes",_xlfn.XLOOKUP("SrcZone_IsAny",'Scoring_Config'!$A:$A,'Scoring_Config'!$C:$C,5),0),0)+IF(LEFT(AJ56,4)="True",IF(_xlfn.XLOOKUP("DstZone_IsAny",'Scoring_Config'!$A:$A,'Scoring_Config'!$D:$D,"Yes")="Yes",_xlfn.XLOOKUP("DstZone_IsAny",'Scoring_Config'!$A:$A,'Scoring_Config'!$C:$C,5),0),0)+IF(LEFT(AK56,4)="True",IF(_xlfn.XLOOKUP("Service_Any_OR_RangeGt1000",'Scoring_Config'!$A:$A,'Scoring_Config'!$D:$D,"Yes")="Yes",_xlfn.XLOOKUP("Service_Any_OR_RangeGt1000",'Scoring_Config'!$A:$A,'Scoring_Config'!$C:$C,25),0),0)+IF(LEFT(AL56,4)="True",IF(_xlfn.XLOOKUP("App_Any_OR_RangeGt1000",'Scoring_Config'!$A:$A,'Scoring_Config'!$D:$D,"Yes")="Yes",_xlfn.XLOOKUP("App_Any_OR_RangeGt1000",'Scoring_Config'!$A:$A,'Scoring_Config'!$C:$C,25),0),0)+IF(LEFT(AM56,4)="True",IF(_xlfn.XLOOKUP("Service_Insecure_Match",'Scoring_Config'!$A:$A,'Scoring_Config'!$D:$D,"Yes")="Yes",_xlfn.XLOOKUP("Service_Insecure_Match",'Scoring_Config'!$A:$A,'Scoring_Config'!$C:$C,20),0),0)+IF(LEFT(AN56,4)="True",IF(_xlfn.XLOOKUP("Risky_Inbound",'Scoring_Config'!$A:$A,'Scoring_Config'!$D:$D,"Yes")="Yes",_xlfn.XLOOKUP("Risky_Inbound",'Scoring_Config'!$A:$A,'Scoring_Config'!$C:$C,20),0),0)+IF(LEFT(AO56,4)="True",IF(_xlfn.XLOOKUP("Risky_Outbound",'Scoring_Config'!$A:$A,'Scoring_Config'!$D:$D,"Yes")="Yes",_xlfn.XLOOKUP("Risky_Outbound",'Scoring_Config'!$A:$A,'Scoring_Config'!$C:$C,10),0),0)+IF(LEFT(AW56,4)="True",IF(_xlfn.XLOOKUP("Migrate_Insecure",'Scoring_Config'!$A:$A,'Scoring_Config'!$D:$D,"Yes")="Yes",_xlfn.XLOOKUP("Migrate_Insecure",'Scoring_Config'!$A:$A,'Scoring_Config'!$C:$C,15),0),0)+IF(LEFT(AY56,4)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56,FIND(",",AP56)+1,100)),0)+IF(LEFT(AQ56,4)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56,FIND(",",AR56)+1,100)),0)+IF(_xlfn.XLOOKUP("Profile_Scoring",'Scoring_Config'!$A:$A,'Scoring_Config'!$D:$D,"Yes")="Yes",VALUE(MID(AS56,FIND(",",AS56)+1,100)),0)+IF(_xlfn.XLOOKUP("Options_Scoring",'Scoring_Config'!$A:$A,'Scoring_Config'!$D:$D,"Yes")="Yes",VALUE(MID(AT56,FIND(",",AT56)+1,100)),0)))</f>
        <v>0</v>
      </c>
    </row>
    <row r="57" spans="1:52">
      <c r="A57" s="3" t="s">
        <v>52</v>
      </c>
      <c r="B57" s="3" t="s">
        <v>104</v>
      </c>
      <c r="C57" s="3" t="s">
        <v>329</v>
      </c>
      <c r="D57" s="3"/>
      <c r="E57" s="3" t="s">
        <v>359</v>
      </c>
      <c r="F57" s="3" t="s">
        <v>361</v>
      </c>
      <c r="G57" s="3" t="s">
        <v>365</v>
      </c>
      <c r="H57" s="3" t="s">
        <v>365</v>
      </c>
      <c r="I57" s="3" t="s">
        <v>624</v>
      </c>
      <c r="J57" s="3" t="s">
        <v>364</v>
      </c>
      <c r="K57" s="3" t="s">
        <v>365</v>
      </c>
      <c r="L57" s="3" t="s">
        <v>365</v>
      </c>
      <c r="M57" s="3" t="s">
        <v>365</v>
      </c>
      <c r="N57" s="3" t="s">
        <v>365</v>
      </c>
      <c r="O57" s="4" t="s">
        <v>801</v>
      </c>
      <c r="P57" s="3" t="s">
        <v>862</v>
      </c>
      <c r="Q57" s="3" t="s">
        <v>905</v>
      </c>
      <c r="R57" s="3" t="s">
        <v>907</v>
      </c>
      <c r="S57" s="3" t="s">
        <v>915</v>
      </c>
      <c r="T57" s="3" t="s">
        <v>919</v>
      </c>
      <c r="U57" s="3" t="s">
        <v>1150</v>
      </c>
      <c r="V57" s="3" t="s">
        <v>1387</v>
      </c>
      <c r="W57" s="3" t="s">
        <v>1431</v>
      </c>
      <c r="X57" s="3" t="s">
        <v>1661</v>
      </c>
      <c r="Y57" s="3" t="s">
        <v>2130</v>
      </c>
      <c r="Z57" s="3"/>
      <c r="AA57" s="3"/>
      <c r="AB57" s="3"/>
      <c r="AC57" s="5" cm="1">
        <f t="array" ref="AC57">IF(TRUE,"True," &amp; IF(_xlfn.XLOOKUP("Src_IsAny",'Scoring_Config'!$A:$A,'Scoring_Config'!$D:$D,"Yes")="Yes",_xlfn.XLOOKUP("Src_IsAny",'Scoring_Config'!$A:$A,'Scoring_Config'!$C:$C,25),0),"False,0")</f>
        <v>0</v>
      </c>
      <c r="AD57" s="4" cm="1">
        <f t="array" ref="AD57">IF(FALSE,"True," &amp; IF(_xlfn.XLOOKUP("Src_CIDR_Le_16",'Scoring_Config'!$A:$A,'Scoring_Config'!$D:$D,"Yes")="Yes",_xlfn.XLOOKUP("Src_CIDR_Le_16",'Scoring_Config'!$A:$A,'Scoring_Config'!$C:$C,25),0),"False,0")</f>
        <v>0</v>
      </c>
      <c r="AE57" s="4" cm="1">
        <f t="array" ref="AE57">IF(FALSE,"True," &amp; IF(_xlfn.XLOOKUP("Src_CIDR_17_22",'Scoring_Config'!$A:$A,'Scoring_Config'!$D:$D,"Yes")="Yes",_xlfn.XLOOKUP("Src_CIDR_17_22",'Scoring_Config'!$A:$A,'Scoring_Config'!$C:$C,15),0),"False,0")</f>
        <v>0</v>
      </c>
      <c r="AF57" s="5" cm="1">
        <f t="array" ref="AF57">IF(TRUE,"True," &amp; IF(_xlfn.XLOOKUP("Dst_IsAny",'Scoring_Config'!$A:$A,'Scoring_Config'!$D:$D,"Yes")="Yes",_xlfn.XLOOKUP("Dst_IsAny",'Scoring_Config'!$A:$A,'Scoring_Config'!$C:$C,25),0),"False,0")</f>
        <v>0</v>
      </c>
      <c r="AG57" s="4" cm="1">
        <f t="array" ref="AG57">IF(FALSE,"True," &amp; IF(_xlfn.XLOOKUP("Dst_CIDR_Le_16",'Scoring_Config'!$A:$A,'Scoring_Config'!$D:$D,"Yes")="Yes",_xlfn.XLOOKUP("Dst_CIDR_Le_16",'Scoring_Config'!$A:$A,'Scoring_Config'!$C:$C,25),0),"False,0")</f>
        <v>0</v>
      </c>
      <c r="AH57" s="4" cm="1">
        <f t="array" ref="AH57">IF(FALSE,"True," &amp; IF(_xlfn.XLOOKUP("Dst_CIDR_17_22",'Scoring_Config'!$A:$A,'Scoring_Config'!$D:$D,"Yes")="Yes",_xlfn.XLOOKUP("Dst_CIDR_17_22",'Scoring_Config'!$A:$A,'Scoring_Config'!$C:$C,15),0),"False,0")</f>
        <v>0</v>
      </c>
      <c r="AI57" s="4" cm="1">
        <f t="array" ref="AI57">IF(FALSE,"True," &amp; IF(_xlfn.XLOOKUP("SrcZone_IsAny",'Scoring_Config'!$A:$A,'Scoring_Config'!$D:$D,"Yes")="Yes",_xlfn.XLOOKUP("SrcZone_IsAny",'Scoring_Config'!$A:$A,'Scoring_Config'!$C:$C,5),0),"False,0")</f>
        <v>0</v>
      </c>
      <c r="AJ57" s="4" cm="1">
        <f t="array" ref="AJ57">IF(FALSE,"True," &amp; IF(_xlfn.XLOOKUP("DstZone_IsAny",'Scoring_Config'!$A:$A,'Scoring_Config'!$D:$D,"Yes")="Yes",_xlfn.XLOOKUP("DstZone_IsAny",'Scoring_Config'!$A:$A,'Scoring_Config'!$C:$C,5),0),"False,0")</f>
        <v>0</v>
      </c>
      <c r="AK57" s="4" cm="1">
        <f t="array" ref="AK5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7" s="5" cm="1">
        <f t="array" ref="AL57">IF(TRUE,"True," &amp; IF(_xlfn.XLOOKUP("App_Any_OR_RangeGt1000",'Scoring_Config'!$A:$A,'Scoring_Config'!$D:$D,"Yes")="Yes",_xlfn.XLOOKUP("App_Any_OR_RangeGt1000",'Scoring_Config'!$A:$A,'Scoring_Config'!$C:$C,25),0),"False,0")</f>
        <v>0</v>
      </c>
      <c r="AM57" s="5" cm="1">
        <f t="array" ref="AM57">IF(TRUE,"True," &amp; IF(_xlfn.XLOOKUP("Service_Insecure_Match",'Scoring_Config'!$A:$A,'Scoring_Config'!$D:$D,"Yes")="Yes",_xlfn.XLOOKUP("Service_Insecure_Match",'Scoring_Config'!$A:$A,'Scoring_Config'!$C:$C,20),0),"False,0")</f>
        <v>0</v>
      </c>
      <c r="AN57" s="4" cm="1">
        <f t="array" ref="AN57">IF(FALSE,"True," &amp; IF(_xlfn.XLOOKUP("Risky_Inbound",'Scoring_Config'!$A:$A,'Scoring_Config'!$D:$D,"Yes")="Yes",_xlfn.XLOOKUP("Risky_Inbound",'Scoring_Config'!$A:$A,'Scoring_Config'!$C:$C,20),0),"False,0")</f>
        <v>0</v>
      </c>
      <c r="AO57" s="4" cm="1">
        <f t="array" ref="AO57">IF(FALSE,"True," &amp; IF(_xlfn.XLOOKUP("Risky_Outbound",'Scoring_Config'!$A:$A,'Scoring_Config'!$D:$D,"Yes")="Yes",_xlfn.XLOOKUP("Risky_Outbound",'Scoring_Config'!$A:$A,'Scoring_Config'!$C:$C,10),0),"False,0")</f>
        <v>0</v>
      </c>
      <c r="AP57" s="5" t="s">
        <v>2595</v>
      </c>
      <c r="AQ57" s="5" cm="1">
        <f t="array" ref="AQ5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7" s="5" t="s">
        <v>2598</v>
      </c>
      <c r="AS57" s="5" t="s">
        <v>2595</v>
      </c>
      <c r="AT57" s="4" t="s">
        <v>2592</v>
      </c>
      <c r="AU57" s="4" cm="1">
        <f t="array" ref="AU57">IF(FALSE,"True," &amp; IF(_xlfn.XLOOKUP("Action_IsDenyOrDrop",'Scoring_Config'!$A:$A,'Scoring_Config'!$D:$D,"Yes")="Yes",_xlfn.XLOOKUP("Action_IsDenyOrDrop",'Scoring_Config'!$A:$A,'Scoring_Config'!$C:$C,0),0),"False,0")</f>
        <v>0</v>
      </c>
      <c r="AV57" s="4"/>
      <c r="AW57" s="4" cm="1">
        <f t="array" ref="AW57">IF(FALSE,"True," &amp; IF(_xlfn.XLOOKUP("Migrate_Insecure",'Scoring_Config'!$A:$A,'Scoring_Config'!$D:$D,"Yes")="Yes",_xlfn.XLOOKUP("Migrate_Insecure",'Scoring_Config'!$A:$A,'Scoring_Config'!$C:$C,15),0),"False,0")</f>
        <v>0</v>
      </c>
      <c r="AX57" s="4"/>
      <c r="AY57" s="4" cm="1">
        <f t="array" ref="AY57">IF(FALSE,"True," &amp; IF(_xlfn.XLOOKUP("Migrate_Other_Ports",'Scoring_Config'!$A:$A,'Scoring_Config'!$D:$D,"Yes")="Yes",_xlfn.XLOOKUP("Migrate_Other_Ports",'Scoring_Config'!$A:$A,'Scoring_Config'!$C:$C,5),0),"False,0")</f>
        <v>0</v>
      </c>
      <c r="AZ57" s="4" cm="1">
        <f t="array" ref="AZ57">IF(LEFT(AU57,4)="True",0,(IF(LEFT(AC57,4)="True",IF(_xlfn.XLOOKUP("Src_IsAny",'Scoring_Config'!$A:$A,'Scoring_Config'!$D:$D,"Yes")="Yes",_xlfn.XLOOKUP("Src_IsAny",'Scoring_Config'!$A:$A,'Scoring_Config'!$C:$C,25),0),0)+IF(LEFT(AD57,4)="True",IF(_xlfn.XLOOKUP("Src_CIDR_Le_16",'Scoring_Config'!$A:$A,'Scoring_Config'!$D:$D,"Yes")="Yes",_xlfn.XLOOKUP("Src_CIDR_Le_16",'Scoring_Config'!$A:$A,'Scoring_Config'!$C:$C,25),0),0)+IF(LEFT(AE57,4)="True",IF(_xlfn.XLOOKUP("Src_CIDR_17_22",'Scoring_Config'!$A:$A,'Scoring_Config'!$D:$D,"Yes")="Yes",_xlfn.XLOOKUP("Src_CIDR_17_22",'Scoring_Config'!$A:$A,'Scoring_Config'!$C:$C,15),0),0)+IF(LEFT(AF57,4)="True",IF(_xlfn.XLOOKUP("Dst_IsAny",'Scoring_Config'!$A:$A,'Scoring_Config'!$D:$D,"Yes")="Yes",_xlfn.XLOOKUP("Dst_IsAny",'Scoring_Config'!$A:$A,'Scoring_Config'!$C:$C,25),0),0)+IF(LEFT(AG57,4)="True",IF(_xlfn.XLOOKUP("Dst_CIDR_Le_16",'Scoring_Config'!$A:$A,'Scoring_Config'!$D:$D,"Yes")="Yes",_xlfn.XLOOKUP("Dst_CIDR_Le_16",'Scoring_Config'!$A:$A,'Scoring_Config'!$C:$C,25),0),0)+IF(LEFT(AH57,4)="True",IF(_xlfn.XLOOKUP("Dst_CIDR_17_22",'Scoring_Config'!$A:$A,'Scoring_Config'!$D:$D,"Yes")="Yes",_xlfn.XLOOKUP("Dst_CIDR_17_22",'Scoring_Config'!$A:$A,'Scoring_Config'!$C:$C,15),0),0)+IF(LEFT(AI57,4)="True",IF(_xlfn.XLOOKUP("SrcZone_IsAny",'Scoring_Config'!$A:$A,'Scoring_Config'!$D:$D,"Yes")="Yes",_xlfn.XLOOKUP("SrcZone_IsAny",'Scoring_Config'!$A:$A,'Scoring_Config'!$C:$C,5),0),0)+IF(LEFT(AJ57,4)="True",IF(_xlfn.XLOOKUP("DstZone_IsAny",'Scoring_Config'!$A:$A,'Scoring_Config'!$D:$D,"Yes")="Yes",_xlfn.XLOOKUP("DstZone_IsAny",'Scoring_Config'!$A:$A,'Scoring_Config'!$C:$C,5),0),0)+IF(LEFT(AK57,4)="True",IF(_xlfn.XLOOKUP("Service_Any_OR_RangeGt1000",'Scoring_Config'!$A:$A,'Scoring_Config'!$D:$D,"Yes")="Yes",_xlfn.XLOOKUP("Service_Any_OR_RangeGt1000",'Scoring_Config'!$A:$A,'Scoring_Config'!$C:$C,25),0),0)+IF(LEFT(AL57,4)="True",IF(_xlfn.XLOOKUP("App_Any_OR_RangeGt1000",'Scoring_Config'!$A:$A,'Scoring_Config'!$D:$D,"Yes")="Yes",_xlfn.XLOOKUP("App_Any_OR_RangeGt1000",'Scoring_Config'!$A:$A,'Scoring_Config'!$C:$C,25),0),0)+IF(LEFT(AM57,4)="True",IF(_xlfn.XLOOKUP("Service_Insecure_Match",'Scoring_Config'!$A:$A,'Scoring_Config'!$D:$D,"Yes")="Yes",_xlfn.XLOOKUP("Service_Insecure_Match",'Scoring_Config'!$A:$A,'Scoring_Config'!$C:$C,20),0),0)+IF(LEFT(AN57,4)="True",IF(_xlfn.XLOOKUP("Risky_Inbound",'Scoring_Config'!$A:$A,'Scoring_Config'!$D:$D,"Yes")="Yes",_xlfn.XLOOKUP("Risky_Inbound",'Scoring_Config'!$A:$A,'Scoring_Config'!$C:$C,20),0),0)+IF(LEFT(AO57,4)="True",IF(_xlfn.XLOOKUP("Risky_Outbound",'Scoring_Config'!$A:$A,'Scoring_Config'!$D:$D,"Yes")="Yes",_xlfn.XLOOKUP("Risky_Outbound",'Scoring_Config'!$A:$A,'Scoring_Config'!$C:$C,10),0),0)+IF(LEFT(AW57,4)="True",IF(_xlfn.XLOOKUP("Migrate_Insecure",'Scoring_Config'!$A:$A,'Scoring_Config'!$D:$D,"Yes")="Yes",_xlfn.XLOOKUP("Migrate_Insecure",'Scoring_Config'!$A:$A,'Scoring_Config'!$C:$C,15),0),0)+IF(LEFT(AY57,4)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57,FIND(",",AP57)+1,100)),0)+IF(LEFT(AQ57,4)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57,FIND(",",AR57)+1,100)),0)+IF(_xlfn.XLOOKUP("Profile_Scoring",'Scoring_Config'!$A:$A,'Scoring_Config'!$D:$D,"Yes")="Yes",VALUE(MID(AS57,FIND(",",AS57)+1,100)),0)+IF(_xlfn.XLOOKUP("Options_Scoring",'Scoring_Config'!$A:$A,'Scoring_Config'!$D:$D,"Yes")="Yes",VALUE(MID(AT57,FIND(",",AT57)+1,100)),0)))</f>
        <v>0</v>
      </c>
    </row>
    <row r="58" spans="1:52">
      <c r="A58" s="3" t="s">
        <v>52</v>
      </c>
      <c r="B58" s="3" t="s">
        <v>105</v>
      </c>
      <c r="C58" s="3" t="s">
        <v>329</v>
      </c>
      <c r="D58" s="3"/>
      <c r="E58" s="3" t="s">
        <v>359</v>
      </c>
      <c r="F58" s="3" t="s">
        <v>361</v>
      </c>
      <c r="G58" s="3" t="s">
        <v>365</v>
      </c>
      <c r="H58" s="3" t="s">
        <v>365</v>
      </c>
      <c r="I58" s="3" t="s">
        <v>624</v>
      </c>
      <c r="J58" s="3" t="s">
        <v>364</v>
      </c>
      <c r="K58" s="3" t="s">
        <v>365</v>
      </c>
      <c r="L58" s="3" t="s">
        <v>365</v>
      </c>
      <c r="M58" s="3" t="s">
        <v>365</v>
      </c>
      <c r="N58" s="3" t="s">
        <v>365</v>
      </c>
      <c r="O58" s="4" t="s">
        <v>832</v>
      </c>
      <c r="P58" s="3" t="s">
        <v>893</v>
      </c>
      <c r="Q58" s="3" t="s">
        <v>905</v>
      </c>
      <c r="R58" s="3" t="s">
        <v>907</v>
      </c>
      <c r="S58" s="3" t="s">
        <v>913</v>
      </c>
      <c r="T58" s="3" t="s">
        <v>919</v>
      </c>
      <c r="U58" s="3" t="s">
        <v>1145</v>
      </c>
      <c r="V58" s="3" t="s">
        <v>772</v>
      </c>
      <c r="W58" s="3" t="s">
        <v>1432</v>
      </c>
      <c r="X58" s="3" t="s">
        <v>1662</v>
      </c>
      <c r="Y58" s="3" t="s">
        <v>2131</v>
      </c>
      <c r="Z58" s="3"/>
      <c r="AA58" s="3"/>
      <c r="AB58" s="3"/>
      <c r="AC58" s="5" cm="1">
        <f t="array" ref="AC58">IF(TRUE,"True," &amp; IF(_xlfn.XLOOKUP("Src_IsAny",'Scoring_Config'!$A:$A,'Scoring_Config'!$D:$D,"Yes")="Yes",_xlfn.XLOOKUP("Src_IsAny",'Scoring_Config'!$A:$A,'Scoring_Config'!$C:$C,25),0),"False,0")</f>
        <v>0</v>
      </c>
      <c r="AD58" s="4" cm="1">
        <f t="array" ref="AD58">IF(FALSE,"True," &amp; IF(_xlfn.XLOOKUP("Src_CIDR_Le_16",'Scoring_Config'!$A:$A,'Scoring_Config'!$D:$D,"Yes")="Yes",_xlfn.XLOOKUP("Src_CIDR_Le_16",'Scoring_Config'!$A:$A,'Scoring_Config'!$C:$C,25),0),"False,0")</f>
        <v>0</v>
      </c>
      <c r="AE58" s="4" cm="1">
        <f t="array" ref="AE58">IF(FALSE,"True," &amp; IF(_xlfn.XLOOKUP("Src_CIDR_17_22",'Scoring_Config'!$A:$A,'Scoring_Config'!$D:$D,"Yes")="Yes",_xlfn.XLOOKUP("Src_CIDR_17_22",'Scoring_Config'!$A:$A,'Scoring_Config'!$C:$C,15),0),"False,0")</f>
        <v>0</v>
      </c>
      <c r="AF58" s="5" cm="1">
        <f t="array" ref="AF58">IF(TRUE,"True," &amp; IF(_xlfn.XLOOKUP("Dst_IsAny",'Scoring_Config'!$A:$A,'Scoring_Config'!$D:$D,"Yes")="Yes",_xlfn.XLOOKUP("Dst_IsAny",'Scoring_Config'!$A:$A,'Scoring_Config'!$C:$C,25),0),"False,0")</f>
        <v>0</v>
      </c>
      <c r="AG58" s="4" cm="1">
        <f t="array" ref="AG58">IF(FALSE,"True," &amp; IF(_xlfn.XLOOKUP("Dst_CIDR_Le_16",'Scoring_Config'!$A:$A,'Scoring_Config'!$D:$D,"Yes")="Yes",_xlfn.XLOOKUP("Dst_CIDR_Le_16",'Scoring_Config'!$A:$A,'Scoring_Config'!$C:$C,25),0),"False,0")</f>
        <v>0</v>
      </c>
      <c r="AH58" s="4" cm="1">
        <f t="array" ref="AH58">IF(FALSE,"True," &amp; IF(_xlfn.XLOOKUP("Dst_CIDR_17_22",'Scoring_Config'!$A:$A,'Scoring_Config'!$D:$D,"Yes")="Yes",_xlfn.XLOOKUP("Dst_CIDR_17_22",'Scoring_Config'!$A:$A,'Scoring_Config'!$C:$C,15),0),"False,0")</f>
        <v>0</v>
      </c>
      <c r="AI58" s="4" cm="1">
        <f t="array" ref="AI58">IF(FALSE,"True," &amp; IF(_xlfn.XLOOKUP("SrcZone_IsAny",'Scoring_Config'!$A:$A,'Scoring_Config'!$D:$D,"Yes")="Yes",_xlfn.XLOOKUP("SrcZone_IsAny",'Scoring_Config'!$A:$A,'Scoring_Config'!$C:$C,5),0),"False,0")</f>
        <v>0</v>
      </c>
      <c r="AJ58" s="4" cm="1">
        <f t="array" ref="AJ58">IF(FALSE,"True," &amp; IF(_xlfn.XLOOKUP("DstZone_IsAny",'Scoring_Config'!$A:$A,'Scoring_Config'!$D:$D,"Yes")="Yes",_xlfn.XLOOKUP("DstZone_IsAny",'Scoring_Config'!$A:$A,'Scoring_Config'!$C:$C,5),0),"False,0")</f>
        <v>0</v>
      </c>
      <c r="AK58" s="4" cm="1">
        <f t="array" ref="AK5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8" s="5" cm="1">
        <f t="array" ref="AL58">IF(TRUE,"True," &amp; IF(_xlfn.XLOOKUP("App_Any_OR_RangeGt1000",'Scoring_Config'!$A:$A,'Scoring_Config'!$D:$D,"Yes")="Yes",_xlfn.XLOOKUP("App_Any_OR_RangeGt1000",'Scoring_Config'!$A:$A,'Scoring_Config'!$C:$C,25),0),"False,0")</f>
        <v>0</v>
      </c>
      <c r="AM58" s="5" cm="1">
        <f t="array" ref="AM58">IF(TRUE,"True," &amp; IF(_xlfn.XLOOKUP("Service_Insecure_Match",'Scoring_Config'!$A:$A,'Scoring_Config'!$D:$D,"Yes")="Yes",_xlfn.XLOOKUP("Service_Insecure_Match",'Scoring_Config'!$A:$A,'Scoring_Config'!$C:$C,20),0),"False,0")</f>
        <v>0</v>
      </c>
      <c r="AN58" s="4" cm="1">
        <f t="array" ref="AN58">IF(FALSE,"True," &amp; IF(_xlfn.XLOOKUP("Risky_Inbound",'Scoring_Config'!$A:$A,'Scoring_Config'!$D:$D,"Yes")="Yes",_xlfn.XLOOKUP("Risky_Inbound",'Scoring_Config'!$A:$A,'Scoring_Config'!$C:$C,20),0),"False,0")</f>
        <v>0</v>
      </c>
      <c r="AO58" s="4" cm="1">
        <f t="array" ref="AO58">IF(FALSE,"True," &amp; IF(_xlfn.XLOOKUP("Risky_Outbound",'Scoring_Config'!$A:$A,'Scoring_Config'!$D:$D,"Yes")="Yes",_xlfn.XLOOKUP("Risky_Outbound",'Scoring_Config'!$A:$A,'Scoring_Config'!$C:$C,10),0),"False,0")</f>
        <v>0</v>
      </c>
      <c r="AP58" s="5" t="s">
        <v>2595</v>
      </c>
      <c r="AQ58" s="5" cm="1">
        <f t="array" ref="AQ5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8" s="5" t="s">
        <v>2598</v>
      </c>
      <c r="AS58" s="5" t="s">
        <v>2595</v>
      </c>
      <c r="AT58" s="4" t="s">
        <v>2592</v>
      </c>
      <c r="AU58" s="4" cm="1">
        <f t="array" ref="AU58">IF(FALSE,"True," &amp; IF(_xlfn.XLOOKUP("Action_IsDenyOrDrop",'Scoring_Config'!$A:$A,'Scoring_Config'!$D:$D,"Yes")="Yes",_xlfn.XLOOKUP("Action_IsDenyOrDrop",'Scoring_Config'!$A:$A,'Scoring_Config'!$C:$C,0),0),"False,0")</f>
        <v>0</v>
      </c>
      <c r="AV58" s="4"/>
      <c r="AW58" s="4" cm="1">
        <f t="array" ref="AW58">IF(FALSE,"True," &amp; IF(_xlfn.XLOOKUP("Migrate_Insecure",'Scoring_Config'!$A:$A,'Scoring_Config'!$D:$D,"Yes")="Yes",_xlfn.XLOOKUP("Migrate_Insecure",'Scoring_Config'!$A:$A,'Scoring_Config'!$C:$C,15),0),"False,0")</f>
        <v>0</v>
      </c>
      <c r="AX58" s="4"/>
      <c r="AY58" s="4" cm="1">
        <f t="array" ref="AY58">IF(FALSE,"True," &amp; IF(_xlfn.XLOOKUP("Migrate_Other_Ports",'Scoring_Config'!$A:$A,'Scoring_Config'!$D:$D,"Yes")="Yes",_xlfn.XLOOKUP("Migrate_Other_Ports",'Scoring_Config'!$A:$A,'Scoring_Config'!$C:$C,5),0),"False,0")</f>
        <v>0</v>
      </c>
      <c r="AZ58" s="4" cm="1">
        <f t="array" ref="AZ58">IF(LEFT(AU58,4)="True",0,(IF(LEFT(AC58,4)="True",IF(_xlfn.XLOOKUP("Src_IsAny",'Scoring_Config'!$A:$A,'Scoring_Config'!$D:$D,"Yes")="Yes",_xlfn.XLOOKUP("Src_IsAny",'Scoring_Config'!$A:$A,'Scoring_Config'!$C:$C,25),0),0)+IF(LEFT(AD58,4)="True",IF(_xlfn.XLOOKUP("Src_CIDR_Le_16",'Scoring_Config'!$A:$A,'Scoring_Config'!$D:$D,"Yes")="Yes",_xlfn.XLOOKUP("Src_CIDR_Le_16",'Scoring_Config'!$A:$A,'Scoring_Config'!$C:$C,25),0),0)+IF(LEFT(AE58,4)="True",IF(_xlfn.XLOOKUP("Src_CIDR_17_22",'Scoring_Config'!$A:$A,'Scoring_Config'!$D:$D,"Yes")="Yes",_xlfn.XLOOKUP("Src_CIDR_17_22",'Scoring_Config'!$A:$A,'Scoring_Config'!$C:$C,15),0),0)+IF(LEFT(AF58,4)="True",IF(_xlfn.XLOOKUP("Dst_IsAny",'Scoring_Config'!$A:$A,'Scoring_Config'!$D:$D,"Yes")="Yes",_xlfn.XLOOKUP("Dst_IsAny",'Scoring_Config'!$A:$A,'Scoring_Config'!$C:$C,25),0),0)+IF(LEFT(AG58,4)="True",IF(_xlfn.XLOOKUP("Dst_CIDR_Le_16",'Scoring_Config'!$A:$A,'Scoring_Config'!$D:$D,"Yes")="Yes",_xlfn.XLOOKUP("Dst_CIDR_Le_16",'Scoring_Config'!$A:$A,'Scoring_Config'!$C:$C,25),0),0)+IF(LEFT(AH58,4)="True",IF(_xlfn.XLOOKUP("Dst_CIDR_17_22",'Scoring_Config'!$A:$A,'Scoring_Config'!$D:$D,"Yes")="Yes",_xlfn.XLOOKUP("Dst_CIDR_17_22",'Scoring_Config'!$A:$A,'Scoring_Config'!$C:$C,15),0),0)+IF(LEFT(AI58,4)="True",IF(_xlfn.XLOOKUP("SrcZone_IsAny",'Scoring_Config'!$A:$A,'Scoring_Config'!$D:$D,"Yes")="Yes",_xlfn.XLOOKUP("SrcZone_IsAny",'Scoring_Config'!$A:$A,'Scoring_Config'!$C:$C,5),0),0)+IF(LEFT(AJ58,4)="True",IF(_xlfn.XLOOKUP("DstZone_IsAny",'Scoring_Config'!$A:$A,'Scoring_Config'!$D:$D,"Yes")="Yes",_xlfn.XLOOKUP("DstZone_IsAny",'Scoring_Config'!$A:$A,'Scoring_Config'!$C:$C,5),0),0)+IF(LEFT(AK58,4)="True",IF(_xlfn.XLOOKUP("Service_Any_OR_RangeGt1000",'Scoring_Config'!$A:$A,'Scoring_Config'!$D:$D,"Yes")="Yes",_xlfn.XLOOKUP("Service_Any_OR_RangeGt1000",'Scoring_Config'!$A:$A,'Scoring_Config'!$C:$C,25),0),0)+IF(LEFT(AL58,4)="True",IF(_xlfn.XLOOKUP("App_Any_OR_RangeGt1000",'Scoring_Config'!$A:$A,'Scoring_Config'!$D:$D,"Yes")="Yes",_xlfn.XLOOKUP("App_Any_OR_RangeGt1000",'Scoring_Config'!$A:$A,'Scoring_Config'!$C:$C,25),0),0)+IF(LEFT(AM58,4)="True",IF(_xlfn.XLOOKUP("Service_Insecure_Match",'Scoring_Config'!$A:$A,'Scoring_Config'!$D:$D,"Yes")="Yes",_xlfn.XLOOKUP("Service_Insecure_Match",'Scoring_Config'!$A:$A,'Scoring_Config'!$C:$C,20),0),0)+IF(LEFT(AN58,4)="True",IF(_xlfn.XLOOKUP("Risky_Inbound",'Scoring_Config'!$A:$A,'Scoring_Config'!$D:$D,"Yes")="Yes",_xlfn.XLOOKUP("Risky_Inbound",'Scoring_Config'!$A:$A,'Scoring_Config'!$C:$C,20),0),0)+IF(LEFT(AO58,4)="True",IF(_xlfn.XLOOKUP("Risky_Outbound",'Scoring_Config'!$A:$A,'Scoring_Config'!$D:$D,"Yes")="Yes",_xlfn.XLOOKUP("Risky_Outbound",'Scoring_Config'!$A:$A,'Scoring_Config'!$C:$C,10),0),0)+IF(LEFT(AW58,4)="True",IF(_xlfn.XLOOKUP("Migrate_Insecure",'Scoring_Config'!$A:$A,'Scoring_Config'!$D:$D,"Yes")="Yes",_xlfn.XLOOKUP("Migrate_Insecure",'Scoring_Config'!$A:$A,'Scoring_Config'!$C:$C,15),0),0)+IF(LEFT(AY58,4)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58,FIND(",",AP58)+1,100)),0)+IF(LEFT(AQ58,4)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58,FIND(",",AR58)+1,100)),0)+IF(_xlfn.XLOOKUP("Profile_Scoring",'Scoring_Config'!$A:$A,'Scoring_Config'!$D:$D,"Yes")="Yes",VALUE(MID(AS58,FIND(",",AS58)+1,100)),0)+IF(_xlfn.XLOOKUP("Options_Scoring",'Scoring_Config'!$A:$A,'Scoring_Config'!$D:$D,"Yes")="Yes",VALUE(MID(AT58,FIND(",",AT58)+1,100)),0)))</f>
        <v>0</v>
      </c>
    </row>
    <row r="59" spans="1:52">
      <c r="A59" s="3" t="s">
        <v>52</v>
      </c>
      <c r="B59" s="3" t="s">
        <v>106</v>
      </c>
      <c r="C59" s="3" t="s">
        <v>329</v>
      </c>
      <c r="D59" s="3"/>
      <c r="E59" s="3" t="s">
        <v>359</v>
      </c>
      <c r="F59" s="3" t="s">
        <v>361</v>
      </c>
      <c r="G59" s="3" t="s">
        <v>368</v>
      </c>
      <c r="H59" s="3" t="s">
        <v>368</v>
      </c>
      <c r="I59" s="3" t="s">
        <v>622</v>
      </c>
      <c r="J59" s="3" t="s">
        <v>362</v>
      </c>
      <c r="K59" s="3" t="s">
        <v>365</v>
      </c>
      <c r="L59" s="3" t="s">
        <v>365</v>
      </c>
      <c r="M59" s="3" t="s">
        <v>769</v>
      </c>
      <c r="N59" s="3" t="s">
        <v>792</v>
      </c>
      <c r="O59" s="4" t="s">
        <v>816</v>
      </c>
      <c r="P59" s="3" t="s">
        <v>877</v>
      </c>
      <c r="Q59" s="3" t="s">
        <v>905</v>
      </c>
      <c r="R59" s="3" t="s">
        <v>911</v>
      </c>
      <c r="S59" s="3" t="s">
        <v>907</v>
      </c>
      <c r="T59" s="3" t="s">
        <v>919</v>
      </c>
      <c r="U59" s="3" t="s">
        <v>1182</v>
      </c>
      <c r="V59" s="3" t="s">
        <v>772</v>
      </c>
      <c r="W59" s="3" t="s">
        <v>1433</v>
      </c>
      <c r="X59" s="3" t="s">
        <v>1663</v>
      </c>
      <c r="Y59" s="3" t="s">
        <v>2132</v>
      </c>
      <c r="Z59" s="3"/>
      <c r="AA59" s="3"/>
      <c r="AB59" s="3"/>
      <c r="AC59" s="4" cm="1">
        <f t="array" ref="AC59">IF(FALSE,"True," &amp; IF(_xlfn.XLOOKUP("Src_IsAny",'Scoring_Config'!$A:$A,'Scoring_Config'!$D:$D,"Yes")="Yes",_xlfn.XLOOKUP("Src_IsAny",'Scoring_Config'!$A:$A,'Scoring_Config'!$C:$C,25),0),"False,0")</f>
        <v>0</v>
      </c>
      <c r="AD59" s="4" cm="1">
        <f t="array" ref="AD59">IF(FALSE,"True," &amp; IF(_xlfn.XLOOKUP("Src_CIDR_Le_16",'Scoring_Config'!$A:$A,'Scoring_Config'!$D:$D,"Yes")="Yes",_xlfn.XLOOKUP("Src_CIDR_Le_16",'Scoring_Config'!$A:$A,'Scoring_Config'!$C:$C,25),0),"False,0")</f>
        <v>0</v>
      </c>
      <c r="AE59" s="4" cm="1">
        <f t="array" ref="AE59">IF(FALSE,"True," &amp; IF(_xlfn.XLOOKUP("Src_CIDR_17_22",'Scoring_Config'!$A:$A,'Scoring_Config'!$D:$D,"Yes")="Yes",_xlfn.XLOOKUP("Src_CIDR_17_22",'Scoring_Config'!$A:$A,'Scoring_Config'!$C:$C,15),0),"False,0")</f>
        <v>0</v>
      </c>
      <c r="AF59" s="5" cm="1">
        <f t="array" ref="AF59">IF(TRUE,"True," &amp; IF(_xlfn.XLOOKUP("Dst_IsAny",'Scoring_Config'!$A:$A,'Scoring_Config'!$D:$D,"Yes")="Yes",_xlfn.XLOOKUP("Dst_IsAny",'Scoring_Config'!$A:$A,'Scoring_Config'!$C:$C,25),0),"False,0")</f>
        <v>0</v>
      </c>
      <c r="AG59" s="4" cm="1">
        <f t="array" ref="AG59">IF(FALSE,"True," &amp; IF(_xlfn.XLOOKUP("Dst_CIDR_Le_16",'Scoring_Config'!$A:$A,'Scoring_Config'!$D:$D,"Yes")="Yes",_xlfn.XLOOKUP("Dst_CIDR_Le_16",'Scoring_Config'!$A:$A,'Scoring_Config'!$C:$C,25),0),"False,0")</f>
        <v>0</v>
      </c>
      <c r="AH59" s="4" cm="1">
        <f t="array" ref="AH59">IF(FALSE,"True," &amp; IF(_xlfn.XLOOKUP("Dst_CIDR_17_22",'Scoring_Config'!$A:$A,'Scoring_Config'!$D:$D,"Yes")="Yes",_xlfn.XLOOKUP("Dst_CIDR_17_22",'Scoring_Config'!$A:$A,'Scoring_Config'!$C:$C,15),0),"False,0")</f>
        <v>0</v>
      </c>
      <c r="AI59" s="4" cm="1">
        <f t="array" ref="AI59">IF(FALSE,"True," &amp; IF(_xlfn.XLOOKUP("SrcZone_IsAny",'Scoring_Config'!$A:$A,'Scoring_Config'!$D:$D,"Yes")="Yes",_xlfn.XLOOKUP("SrcZone_IsAny",'Scoring_Config'!$A:$A,'Scoring_Config'!$C:$C,5),0),"False,0")</f>
        <v>0</v>
      </c>
      <c r="AJ59" s="4" cm="1">
        <f t="array" ref="AJ59">IF(FALSE,"True," &amp; IF(_xlfn.XLOOKUP("DstZone_IsAny",'Scoring_Config'!$A:$A,'Scoring_Config'!$D:$D,"Yes")="Yes",_xlfn.XLOOKUP("DstZone_IsAny",'Scoring_Config'!$A:$A,'Scoring_Config'!$C:$C,5),0),"False,0")</f>
        <v>0</v>
      </c>
      <c r="AK59" s="4" cm="1">
        <f t="array" ref="AK5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59" s="4" cm="1">
        <f t="array" ref="AL59">IF(FALSE,"True," &amp; IF(_xlfn.XLOOKUP("App_Any_OR_RangeGt1000",'Scoring_Config'!$A:$A,'Scoring_Config'!$D:$D,"Yes")="Yes",_xlfn.XLOOKUP("App_Any_OR_RangeGt1000",'Scoring_Config'!$A:$A,'Scoring_Config'!$C:$C,25),0),"False,0")</f>
        <v>0</v>
      </c>
      <c r="AM59" s="5" cm="1">
        <f t="array" ref="AM59">IF(TRUE,"True," &amp; IF(_xlfn.XLOOKUP("Service_Insecure_Match",'Scoring_Config'!$A:$A,'Scoring_Config'!$D:$D,"Yes")="Yes",_xlfn.XLOOKUP("Service_Insecure_Match",'Scoring_Config'!$A:$A,'Scoring_Config'!$C:$C,20),0),"False,0")</f>
        <v>0</v>
      </c>
      <c r="AN59" s="4" cm="1">
        <f t="array" ref="AN59">IF(FALSE,"True," &amp; IF(_xlfn.XLOOKUP("Risky_Inbound",'Scoring_Config'!$A:$A,'Scoring_Config'!$D:$D,"Yes")="Yes",_xlfn.XLOOKUP("Risky_Inbound",'Scoring_Config'!$A:$A,'Scoring_Config'!$C:$C,20),0),"False,0")</f>
        <v>0</v>
      </c>
      <c r="AO59" s="4" cm="1">
        <f t="array" ref="AO59">IF(FALSE,"True," &amp; IF(_xlfn.XLOOKUP("Risky_Outbound",'Scoring_Config'!$A:$A,'Scoring_Config'!$D:$D,"Yes")="Yes",_xlfn.XLOOKUP("Risky_Outbound",'Scoring_Config'!$A:$A,'Scoring_Config'!$C:$C,10),0),"False,0")</f>
        <v>0</v>
      </c>
      <c r="AP59" s="5" t="s">
        <v>2595</v>
      </c>
      <c r="AQ59" s="4" cm="1">
        <f t="array" ref="AQ5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59" s="5" t="s">
        <v>2598</v>
      </c>
      <c r="AS59" s="4" t="s">
        <v>2592</v>
      </c>
      <c r="AT59" s="5" t="s">
        <v>2595</v>
      </c>
      <c r="AU59" s="4" cm="1">
        <f t="array" ref="AU59">IF(FALSE,"True," &amp; IF(_xlfn.XLOOKUP("Action_IsDenyOrDrop",'Scoring_Config'!$A:$A,'Scoring_Config'!$D:$D,"Yes")="Yes",_xlfn.XLOOKUP("Action_IsDenyOrDrop",'Scoring_Config'!$A:$A,'Scoring_Config'!$C:$C,0),0),"False,0")</f>
        <v>0</v>
      </c>
      <c r="AV59" s="4"/>
      <c r="AW59" s="4" cm="1">
        <f t="array" ref="AW59">IF(FALSE,"True," &amp; IF(_xlfn.XLOOKUP("Migrate_Insecure",'Scoring_Config'!$A:$A,'Scoring_Config'!$D:$D,"Yes")="Yes",_xlfn.XLOOKUP("Migrate_Insecure",'Scoring_Config'!$A:$A,'Scoring_Config'!$C:$C,15),0),"False,0")</f>
        <v>0</v>
      </c>
      <c r="AX59" s="4"/>
      <c r="AY59" s="4" cm="1">
        <f t="array" ref="AY59">IF(FALSE,"True," &amp; IF(_xlfn.XLOOKUP("Migrate_Other_Ports",'Scoring_Config'!$A:$A,'Scoring_Config'!$D:$D,"Yes")="Yes",_xlfn.XLOOKUP("Migrate_Other_Ports",'Scoring_Config'!$A:$A,'Scoring_Config'!$C:$C,5),0),"False,0")</f>
        <v>0</v>
      </c>
      <c r="AZ59" s="4" cm="1">
        <f t="array" ref="AZ59">IF(LEFT(AU59,4)="True",0,(IF(LEFT(AC59,4)="True",IF(_xlfn.XLOOKUP("Src_IsAny",'Scoring_Config'!$A:$A,'Scoring_Config'!$D:$D,"Yes")="Yes",_xlfn.XLOOKUP("Src_IsAny",'Scoring_Config'!$A:$A,'Scoring_Config'!$C:$C,25),0),0)+IF(LEFT(AD59,4)="True",IF(_xlfn.XLOOKUP("Src_CIDR_Le_16",'Scoring_Config'!$A:$A,'Scoring_Config'!$D:$D,"Yes")="Yes",_xlfn.XLOOKUP("Src_CIDR_Le_16",'Scoring_Config'!$A:$A,'Scoring_Config'!$C:$C,25),0),0)+IF(LEFT(AE59,4)="True",IF(_xlfn.XLOOKUP("Src_CIDR_17_22",'Scoring_Config'!$A:$A,'Scoring_Config'!$D:$D,"Yes")="Yes",_xlfn.XLOOKUP("Src_CIDR_17_22",'Scoring_Config'!$A:$A,'Scoring_Config'!$C:$C,15),0),0)+IF(LEFT(AF59,4)="True",IF(_xlfn.XLOOKUP("Dst_IsAny",'Scoring_Config'!$A:$A,'Scoring_Config'!$D:$D,"Yes")="Yes",_xlfn.XLOOKUP("Dst_IsAny",'Scoring_Config'!$A:$A,'Scoring_Config'!$C:$C,25),0),0)+IF(LEFT(AG59,4)="True",IF(_xlfn.XLOOKUP("Dst_CIDR_Le_16",'Scoring_Config'!$A:$A,'Scoring_Config'!$D:$D,"Yes")="Yes",_xlfn.XLOOKUP("Dst_CIDR_Le_16",'Scoring_Config'!$A:$A,'Scoring_Config'!$C:$C,25),0),0)+IF(LEFT(AH59,4)="True",IF(_xlfn.XLOOKUP("Dst_CIDR_17_22",'Scoring_Config'!$A:$A,'Scoring_Config'!$D:$D,"Yes")="Yes",_xlfn.XLOOKUP("Dst_CIDR_17_22",'Scoring_Config'!$A:$A,'Scoring_Config'!$C:$C,15),0),0)+IF(LEFT(AI59,4)="True",IF(_xlfn.XLOOKUP("SrcZone_IsAny",'Scoring_Config'!$A:$A,'Scoring_Config'!$D:$D,"Yes")="Yes",_xlfn.XLOOKUP("SrcZone_IsAny",'Scoring_Config'!$A:$A,'Scoring_Config'!$C:$C,5),0),0)+IF(LEFT(AJ59,4)="True",IF(_xlfn.XLOOKUP("DstZone_IsAny",'Scoring_Config'!$A:$A,'Scoring_Config'!$D:$D,"Yes")="Yes",_xlfn.XLOOKUP("DstZone_IsAny",'Scoring_Config'!$A:$A,'Scoring_Config'!$C:$C,5),0),0)+IF(LEFT(AK59,4)="True",IF(_xlfn.XLOOKUP("Service_Any_OR_RangeGt1000",'Scoring_Config'!$A:$A,'Scoring_Config'!$D:$D,"Yes")="Yes",_xlfn.XLOOKUP("Service_Any_OR_RangeGt1000",'Scoring_Config'!$A:$A,'Scoring_Config'!$C:$C,25),0),0)+IF(LEFT(AL59,4)="True",IF(_xlfn.XLOOKUP("App_Any_OR_RangeGt1000",'Scoring_Config'!$A:$A,'Scoring_Config'!$D:$D,"Yes")="Yes",_xlfn.XLOOKUP("App_Any_OR_RangeGt1000",'Scoring_Config'!$A:$A,'Scoring_Config'!$C:$C,25),0),0)+IF(LEFT(AM59,4)="True",IF(_xlfn.XLOOKUP("Service_Insecure_Match",'Scoring_Config'!$A:$A,'Scoring_Config'!$D:$D,"Yes")="Yes",_xlfn.XLOOKUP("Service_Insecure_Match",'Scoring_Config'!$A:$A,'Scoring_Config'!$C:$C,20),0),0)+IF(LEFT(AN59,4)="True",IF(_xlfn.XLOOKUP("Risky_Inbound",'Scoring_Config'!$A:$A,'Scoring_Config'!$D:$D,"Yes")="Yes",_xlfn.XLOOKUP("Risky_Inbound",'Scoring_Config'!$A:$A,'Scoring_Config'!$C:$C,20),0),0)+IF(LEFT(AO59,4)="True",IF(_xlfn.XLOOKUP("Risky_Outbound",'Scoring_Config'!$A:$A,'Scoring_Config'!$D:$D,"Yes")="Yes",_xlfn.XLOOKUP("Risky_Outbound",'Scoring_Config'!$A:$A,'Scoring_Config'!$C:$C,10),0),0)+IF(LEFT(AW59,4)="True",IF(_xlfn.XLOOKUP("Migrate_Insecure",'Scoring_Config'!$A:$A,'Scoring_Config'!$D:$D,"Yes")="Yes",_xlfn.XLOOKUP("Migrate_Insecure",'Scoring_Config'!$A:$A,'Scoring_Config'!$C:$C,15),0),0)+IF(LEFT(AY59,4)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59,FIND(",",AP59)+1,100)),0)+IF(LEFT(AQ59,4)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59,FIND(",",AR59)+1,100)),0)+IF(_xlfn.XLOOKUP("Profile_Scoring",'Scoring_Config'!$A:$A,'Scoring_Config'!$D:$D,"Yes")="Yes",VALUE(MID(AS59,FIND(",",AS59)+1,100)),0)+IF(_xlfn.XLOOKUP("Options_Scoring",'Scoring_Config'!$A:$A,'Scoring_Config'!$D:$D,"Yes")="Yes",VALUE(MID(AT59,FIND(",",AT59)+1,100)),0)))</f>
        <v>0</v>
      </c>
    </row>
    <row r="60" spans="1:52">
      <c r="A60" s="3" t="s">
        <v>52</v>
      </c>
      <c r="B60" s="3" t="s">
        <v>107</v>
      </c>
      <c r="C60" s="3" t="s">
        <v>329</v>
      </c>
      <c r="D60" s="3"/>
      <c r="E60" s="3" t="s">
        <v>359</v>
      </c>
      <c r="F60" s="3" t="s">
        <v>361</v>
      </c>
      <c r="G60" s="3" t="s">
        <v>388</v>
      </c>
      <c r="H60" s="3" t="s">
        <v>550</v>
      </c>
      <c r="I60" s="3" t="s">
        <v>622</v>
      </c>
      <c r="J60" s="3" t="s">
        <v>360</v>
      </c>
      <c r="K60" s="3" t="s">
        <v>365</v>
      </c>
      <c r="L60" s="3" t="s">
        <v>365</v>
      </c>
      <c r="M60" s="3" t="s">
        <v>365</v>
      </c>
      <c r="N60" s="3" t="s">
        <v>365</v>
      </c>
      <c r="O60" s="4" t="s">
        <v>816</v>
      </c>
      <c r="P60" s="3" t="s">
        <v>877</v>
      </c>
      <c r="Q60" s="3" t="s">
        <v>905</v>
      </c>
      <c r="R60" s="3" t="s">
        <v>908</v>
      </c>
      <c r="S60" s="3" t="s">
        <v>912</v>
      </c>
      <c r="T60" s="3" t="s">
        <v>919</v>
      </c>
      <c r="U60" s="3" t="s">
        <v>1183</v>
      </c>
      <c r="V60" s="3" t="s">
        <v>789</v>
      </c>
      <c r="W60" s="3" t="s">
        <v>1434</v>
      </c>
      <c r="X60" s="3" t="s">
        <v>1664</v>
      </c>
      <c r="Y60" s="3" t="s">
        <v>2133</v>
      </c>
      <c r="Z60" s="3"/>
      <c r="AA60" s="3"/>
      <c r="AB60" s="3"/>
      <c r="AC60" s="4" cm="1">
        <f t="array" ref="AC60">IF(FALSE,"True," &amp; IF(_xlfn.XLOOKUP("Src_IsAny",'Scoring_Config'!$A:$A,'Scoring_Config'!$D:$D,"Yes")="Yes",_xlfn.XLOOKUP("Src_IsAny",'Scoring_Config'!$A:$A,'Scoring_Config'!$C:$C,25),0),"False,0")</f>
        <v>0</v>
      </c>
      <c r="AD60" s="4" cm="1">
        <f t="array" ref="AD60">IF(FALSE,"True," &amp; IF(_xlfn.XLOOKUP("Src_CIDR_Le_16",'Scoring_Config'!$A:$A,'Scoring_Config'!$D:$D,"Yes")="Yes",_xlfn.XLOOKUP("Src_CIDR_Le_16",'Scoring_Config'!$A:$A,'Scoring_Config'!$C:$C,25),0),"False,0")</f>
        <v>0</v>
      </c>
      <c r="AE60" s="4" cm="1">
        <f t="array" ref="AE60">IF(FALSE,"True," &amp; IF(_xlfn.XLOOKUP("Src_CIDR_17_22",'Scoring_Config'!$A:$A,'Scoring_Config'!$D:$D,"Yes")="Yes",_xlfn.XLOOKUP("Src_CIDR_17_22",'Scoring_Config'!$A:$A,'Scoring_Config'!$C:$C,15),0),"False,0")</f>
        <v>0</v>
      </c>
      <c r="AF60" s="5" cm="1">
        <f t="array" ref="AF60">IF(TRUE,"True," &amp; IF(_xlfn.XLOOKUP("Dst_IsAny",'Scoring_Config'!$A:$A,'Scoring_Config'!$D:$D,"Yes")="Yes",_xlfn.XLOOKUP("Dst_IsAny",'Scoring_Config'!$A:$A,'Scoring_Config'!$C:$C,25),0),"False,0")</f>
        <v>0</v>
      </c>
      <c r="AG60" s="4" cm="1">
        <f t="array" ref="AG60">IF(FALSE,"True," &amp; IF(_xlfn.XLOOKUP("Dst_CIDR_Le_16",'Scoring_Config'!$A:$A,'Scoring_Config'!$D:$D,"Yes")="Yes",_xlfn.XLOOKUP("Dst_CIDR_Le_16",'Scoring_Config'!$A:$A,'Scoring_Config'!$C:$C,25),0),"False,0")</f>
        <v>0</v>
      </c>
      <c r="AH60" s="4" cm="1">
        <f t="array" ref="AH60">IF(FALSE,"True," &amp; IF(_xlfn.XLOOKUP("Dst_CIDR_17_22",'Scoring_Config'!$A:$A,'Scoring_Config'!$D:$D,"Yes")="Yes",_xlfn.XLOOKUP("Dst_CIDR_17_22",'Scoring_Config'!$A:$A,'Scoring_Config'!$C:$C,15),0),"False,0")</f>
        <v>0</v>
      </c>
      <c r="AI60" s="4" cm="1">
        <f t="array" ref="AI60">IF(FALSE,"True," &amp; IF(_xlfn.XLOOKUP("SrcZone_IsAny",'Scoring_Config'!$A:$A,'Scoring_Config'!$D:$D,"Yes")="Yes",_xlfn.XLOOKUP("SrcZone_IsAny",'Scoring_Config'!$A:$A,'Scoring_Config'!$C:$C,5),0),"False,0")</f>
        <v>0</v>
      </c>
      <c r="AJ60" s="4" cm="1">
        <f t="array" ref="AJ60">IF(FALSE,"True," &amp; IF(_xlfn.XLOOKUP("DstZone_IsAny",'Scoring_Config'!$A:$A,'Scoring_Config'!$D:$D,"Yes")="Yes",_xlfn.XLOOKUP("DstZone_IsAny",'Scoring_Config'!$A:$A,'Scoring_Config'!$C:$C,5),0),"False,0")</f>
        <v>0</v>
      </c>
      <c r="AK60" s="4" cm="1">
        <f t="array" ref="AK6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0" s="5" cm="1">
        <f t="array" ref="AL60">IF(TRUE,"True," &amp; IF(_xlfn.XLOOKUP("App_Any_OR_RangeGt1000",'Scoring_Config'!$A:$A,'Scoring_Config'!$D:$D,"Yes")="Yes",_xlfn.XLOOKUP("App_Any_OR_RangeGt1000",'Scoring_Config'!$A:$A,'Scoring_Config'!$C:$C,25),0),"False,0")</f>
        <v>0</v>
      </c>
      <c r="AM60" s="5" cm="1">
        <f t="array" ref="AM60">IF(TRUE,"True," &amp; IF(_xlfn.XLOOKUP("Service_Insecure_Match",'Scoring_Config'!$A:$A,'Scoring_Config'!$D:$D,"Yes")="Yes",_xlfn.XLOOKUP("Service_Insecure_Match",'Scoring_Config'!$A:$A,'Scoring_Config'!$C:$C,20),0),"False,0")</f>
        <v>0</v>
      </c>
      <c r="AN60" s="4" cm="1">
        <f t="array" ref="AN60">IF(FALSE,"True," &amp; IF(_xlfn.XLOOKUP("Risky_Inbound",'Scoring_Config'!$A:$A,'Scoring_Config'!$D:$D,"Yes")="Yes",_xlfn.XLOOKUP("Risky_Inbound",'Scoring_Config'!$A:$A,'Scoring_Config'!$C:$C,20),0),"False,0")</f>
        <v>0</v>
      </c>
      <c r="AO60" s="4" cm="1">
        <f t="array" ref="AO60">IF(FALSE,"True," &amp; IF(_xlfn.XLOOKUP("Risky_Outbound",'Scoring_Config'!$A:$A,'Scoring_Config'!$D:$D,"Yes")="Yes",_xlfn.XLOOKUP("Risky_Outbound",'Scoring_Config'!$A:$A,'Scoring_Config'!$C:$C,10),0),"False,0")</f>
        <v>0</v>
      </c>
      <c r="AP60" s="5" t="s">
        <v>2595</v>
      </c>
      <c r="AQ60" s="4" cm="1">
        <f t="array" ref="AQ6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0" s="5" t="s">
        <v>2598</v>
      </c>
      <c r="AS60" s="4" t="s">
        <v>2592</v>
      </c>
      <c r="AT60" s="4" t="s">
        <v>2592</v>
      </c>
      <c r="AU60" s="4" cm="1">
        <f t="array" ref="AU60">IF(FALSE,"True," &amp; IF(_xlfn.XLOOKUP("Action_IsDenyOrDrop",'Scoring_Config'!$A:$A,'Scoring_Config'!$D:$D,"Yes")="Yes",_xlfn.XLOOKUP("Action_IsDenyOrDrop",'Scoring_Config'!$A:$A,'Scoring_Config'!$C:$C,0),0),"False,0")</f>
        <v>0</v>
      </c>
      <c r="AV60" s="4"/>
      <c r="AW60" s="4" cm="1">
        <f t="array" ref="AW60">IF(FALSE,"True," &amp; IF(_xlfn.XLOOKUP("Migrate_Insecure",'Scoring_Config'!$A:$A,'Scoring_Config'!$D:$D,"Yes")="Yes",_xlfn.XLOOKUP("Migrate_Insecure",'Scoring_Config'!$A:$A,'Scoring_Config'!$C:$C,15),0),"False,0")</f>
        <v>0</v>
      </c>
      <c r="AX60" s="4"/>
      <c r="AY60" s="4" cm="1">
        <f t="array" ref="AY60">IF(FALSE,"True," &amp; IF(_xlfn.XLOOKUP("Migrate_Other_Ports",'Scoring_Config'!$A:$A,'Scoring_Config'!$D:$D,"Yes")="Yes",_xlfn.XLOOKUP("Migrate_Other_Ports",'Scoring_Config'!$A:$A,'Scoring_Config'!$C:$C,5),0),"False,0")</f>
        <v>0</v>
      </c>
      <c r="AZ60" s="4" cm="1">
        <f t="array" ref="AZ60">IF(LEFT(AU60,4)="True",0,(IF(LEFT(AC60,4)="True",IF(_xlfn.XLOOKUP("Src_IsAny",'Scoring_Config'!$A:$A,'Scoring_Config'!$D:$D,"Yes")="Yes",_xlfn.XLOOKUP("Src_IsAny",'Scoring_Config'!$A:$A,'Scoring_Config'!$C:$C,25),0),0)+IF(LEFT(AD60,4)="True",IF(_xlfn.XLOOKUP("Src_CIDR_Le_16",'Scoring_Config'!$A:$A,'Scoring_Config'!$D:$D,"Yes")="Yes",_xlfn.XLOOKUP("Src_CIDR_Le_16",'Scoring_Config'!$A:$A,'Scoring_Config'!$C:$C,25),0),0)+IF(LEFT(AE60,4)="True",IF(_xlfn.XLOOKUP("Src_CIDR_17_22",'Scoring_Config'!$A:$A,'Scoring_Config'!$D:$D,"Yes")="Yes",_xlfn.XLOOKUP("Src_CIDR_17_22",'Scoring_Config'!$A:$A,'Scoring_Config'!$C:$C,15),0),0)+IF(LEFT(AF60,4)="True",IF(_xlfn.XLOOKUP("Dst_IsAny",'Scoring_Config'!$A:$A,'Scoring_Config'!$D:$D,"Yes")="Yes",_xlfn.XLOOKUP("Dst_IsAny",'Scoring_Config'!$A:$A,'Scoring_Config'!$C:$C,25),0),0)+IF(LEFT(AG60,4)="True",IF(_xlfn.XLOOKUP("Dst_CIDR_Le_16",'Scoring_Config'!$A:$A,'Scoring_Config'!$D:$D,"Yes")="Yes",_xlfn.XLOOKUP("Dst_CIDR_Le_16",'Scoring_Config'!$A:$A,'Scoring_Config'!$C:$C,25),0),0)+IF(LEFT(AH60,4)="True",IF(_xlfn.XLOOKUP("Dst_CIDR_17_22",'Scoring_Config'!$A:$A,'Scoring_Config'!$D:$D,"Yes")="Yes",_xlfn.XLOOKUP("Dst_CIDR_17_22",'Scoring_Config'!$A:$A,'Scoring_Config'!$C:$C,15),0),0)+IF(LEFT(AI60,4)="True",IF(_xlfn.XLOOKUP("SrcZone_IsAny",'Scoring_Config'!$A:$A,'Scoring_Config'!$D:$D,"Yes")="Yes",_xlfn.XLOOKUP("SrcZone_IsAny",'Scoring_Config'!$A:$A,'Scoring_Config'!$C:$C,5),0),0)+IF(LEFT(AJ60,4)="True",IF(_xlfn.XLOOKUP("DstZone_IsAny",'Scoring_Config'!$A:$A,'Scoring_Config'!$D:$D,"Yes")="Yes",_xlfn.XLOOKUP("DstZone_IsAny",'Scoring_Config'!$A:$A,'Scoring_Config'!$C:$C,5),0),0)+IF(LEFT(AK60,4)="True",IF(_xlfn.XLOOKUP("Service_Any_OR_RangeGt1000",'Scoring_Config'!$A:$A,'Scoring_Config'!$D:$D,"Yes")="Yes",_xlfn.XLOOKUP("Service_Any_OR_RangeGt1000",'Scoring_Config'!$A:$A,'Scoring_Config'!$C:$C,25),0),0)+IF(LEFT(AL60,4)="True",IF(_xlfn.XLOOKUP("App_Any_OR_RangeGt1000",'Scoring_Config'!$A:$A,'Scoring_Config'!$D:$D,"Yes")="Yes",_xlfn.XLOOKUP("App_Any_OR_RangeGt1000",'Scoring_Config'!$A:$A,'Scoring_Config'!$C:$C,25),0),0)+IF(LEFT(AM60,4)="True",IF(_xlfn.XLOOKUP("Service_Insecure_Match",'Scoring_Config'!$A:$A,'Scoring_Config'!$D:$D,"Yes")="Yes",_xlfn.XLOOKUP("Service_Insecure_Match",'Scoring_Config'!$A:$A,'Scoring_Config'!$C:$C,20),0),0)+IF(LEFT(AN60,4)="True",IF(_xlfn.XLOOKUP("Risky_Inbound",'Scoring_Config'!$A:$A,'Scoring_Config'!$D:$D,"Yes")="Yes",_xlfn.XLOOKUP("Risky_Inbound",'Scoring_Config'!$A:$A,'Scoring_Config'!$C:$C,20),0),0)+IF(LEFT(AO60,4)="True",IF(_xlfn.XLOOKUP("Risky_Outbound",'Scoring_Config'!$A:$A,'Scoring_Config'!$D:$D,"Yes")="Yes",_xlfn.XLOOKUP("Risky_Outbound",'Scoring_Config'!$A:$A,'Scoring_Config'!$C:$C,10),0),0)+IF(LEFT(AW60,4)="True",IF(_xlfn.XLOOKUP("Migrate_Insecure",'Scoring_Config'!$A:$A,'Scoring_Config'!$D:$D,"Yes")="Yes",_xlfn.XLOOKUP("Migrate_Insecure",'Scoring_Config'!$A:$A,'Scoring_Config'!$C:$C,15),0),0)+IF(LEFT(AY60,4)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60,FIND(",",AP60)+1,100)),0)+IF(LEFT(AQ60,4)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60,FIND(",",AR60)+1,100)),0)+IF(_xlfn.XLOOKUP("Profile_Scoring",'Scoring_Config'!$A:$A,'Scoring_Config'!$D:$D,"Yes")="Yes",VALUE(MID(AS60,FIND(",",AS60)+1,100)),0)+IF(_xlfn.XLOOKUP("Options_Scoring",'Scoring_Config'!$A:$A,'Scoring_Config'!$D:$D,"Yes")="Yes",VALUE(MID(AT60,FIND(",",AT60)+1,100)),0)))</f>
        <v>0</v>
      </c>
    </row>
    <row r="61" spans="1:52">
      <c r="A61" s="3" t="s">
        <v>52</v>
      </c>
      <c r="B61" s="3" t="s">
        <v>108</v>
      </c>
      <c r="C61" s="3" t="s">
        <v>329</v>
      </c>
      <c r="D61" s="3"/>
      <c r="E61" s="3" t="s">
        <v>359</v>
      </c>
      <c r="F61" s="3" t="s">
        <v>364</v>
      </c>
      <c r="G61" s="3" t="s">
        <v>389</v>
      </c>
      <c r="H61" s="3" t="s">
        <v>551</v>
      </c>
      <c r="I61" s="3" t="s">
        <v>365</v>
      </c>
      <c r="J61" s="3" t="s">
        <v>360</v>
      </c>
      <c r="K61" s="3" t="s">
        <v>374</v>
      </c>
      <c r="L61" s="3" t="s">
        <v>543</v>
      </c>
      <c r="M61" s="3" t="s">
        <v>769</v>
      </c>
      <c r="N61" s="3" t="s">
        <v>792</v>
      </c>
      <c r="O61" s="4" t="s">
        <v>816</v>
      </c>
      <c r="P61" s="3" t="s">
        <v>877</v>
      </c>
      <c r="Q61" s="3" t="s">
        <v>904</v>
      </c>
      <c r="R61" s="3" t="s">
        <v>909</v>
      </c>
      <c r="S61" s="3" t="s">
        <v>913</v>
      </c>
      <c r="T61" s="3" t="s">
        <v>919</v>
      </c>
      <c r="U61" s="3" t="s">
        <v>1184</v>
      </c>
      <c r="V61" s="3" t="s">
        <v>770</v>
      </c>
      <c r="W61" s="3" t="s">
        <v>1435</v>
      </c>
      <c r="X61" s="3" t="s">
        <v>1665</v>
      </c>
      <c r="Y61" s="3" t="s">
        <v>2134</v>
      </c>
      <c r="Z61" s="3"/>
      <c r="AA61" s="3"/>
      <c r="AB61" s="3"/>
      <c r="AC61" s="4" cm="1">
        <f t="array" ref="AC61">IF(FALSE,"True," &amp; IF(_xlfn.XLOOKUP("Src_IsAny",'Scoring_Config'!$A:$A,'Scoring_Config'!$D:$D,"Yes")="Yes",_xlfn.XLOOKUP("Src_IsAny",'Scoring_Config'!$A:$A,'Scoring_Config'!$C:$C,25),0),"False,0")</f>
        <v>0</v>
      </c>
      <c r="AD61" s="4" cm="1">
        <f t="array" ref="AD61">IF(FALSE,"True," &amp; IF(_xlfn.XLOOKUP("Src_CIDR_Le_16",'Scoring_Config'!$A:$A,'Scoring_Config'!$D:$D,"Yes")="Yes",_xlfn.XLOOKUP("Src_CIDR_Le_16",'Scoring_Config'!$A:$A,'Scoring_Config'!$C:$C,25),0),"False,0")</f>
        <v>0</v>
      </c>
      <c r="AE61" s="4" cm="1">
        <f t="array" ref="AE61">IF(FALSE,"True," &amp; IF(_xlfn.XLOOKUP("Src_CIDR_17_22",'Scoring_Config'!$A:$A,'Scoring_Config'!$D:$D,"Yes")="Yes",_xlfn.XLOOKUP("Src_CIDR_17_22",'Scoring_Config'!$A:$A,'Scoring_Config'!$C:$C,15),0),"False,0")</f>
        <v>0</v>
      </c>
      <c r="AF61" s="4" cm="1">
        <f t="array" ref="AF61">IF(FALSE,"True," &amp; IF(_xlfn.XLOOKUP("Dst_IsAny",'Scoring_Config'!$A:$A,'Scoring_Config'!$D:$D,"Yes")="Yes",_xlfn.XLOOKUP("Dst_IsAny",'Scoring_Config'!$A:$A,'Scoring_Config'!$C:$C,25),0),"False,0")</f>
        <v>0</v>
      </c>
      <c r="AG61" s="4" cm="1">
        <f t="array" ref="AG61">IF(FALSE,"True," &amp; IF(_xlfn.XLOOKUP("Dst_CIDR_Le_16",'Scoring_Config'!$A:$A,'Scoring_Config'!$D:$D,"Yes")="Yes",_xlfn.XLOOKUP("Dst_CIDR_Le_16",'Scoring_Config'!$A:$A,'Scoring_Config'!$C:$C,25),0),"False,0")</f>
        <v>0</v>
      </c>
      <c r="AH61" s="4" cm="1">
        <f t="array" ref="AH61">IF(FALSE,"True," &amp; IF(_xlfn.XLOOKUP("Dst_CIDR_17_22",'Scoring_Config'!$A:$A,'Scoring_Config'!$D:$D,"Yes")="Yes",_xlfn.XLOOKUP("Dst_CIDR_17_22",'Scoring_Config'!$A:$A,'Scoring_Config'!$C:$C,15),0),"False,0")</f>
        <v>0</v>
      </c>
      <c r="AI61" s="4" cm="1">
        <f t="array" ref="AI61">IF(FALSE,"True," &amp; IF(_xlfn.XLOOKUP("SrcZone_IsAny",'Scoring_Config'!$A:$A,'Scoring_Config'!$D:$D,"Yes")="Yes",_xlfn.XLOOKUP("SrcZone_IsAny",'Scoring_Config'!$A:$A,'Scoring_Config'!$C:$C,5),0),"False,0")</f>
        <v>0</v>
      </c>
      <c r="AJ61" s="4" cm="1">
        <f t="array" ref="AJ61">IF(FALSE,"True," &amp; IF(_xlfn.XLOOKUP("DstZone_IsAny",'Scoring_Config'!$A:$A,'Scoring_Config'!$D:$D,"Yes")="Yes",_xlfn.XLOOKUP("DstZone_IsAny",'Scoring_Config'!$A:$A,'Scoring_Config'!$C:$C,5),0),"False,0")</f>
        <v>0</v>
      </c>
      <c r="AK61" s="4" cm="1">
        <f t="array" ref="AK6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1" s="4" cm="1">
        <f t="array" ref="AL61">IF(FALSE,"True," &amp; IF(_xlfn.XLOOKUP("App_Any_OR_RangeGt1000",'Scoring_Config'!$A:$A,'Scoring_Config'!$D:$D,"Yes")="Yes",_xlfn.XLOOKUP("App_Any_OR_RangeGt1000",'Scoring_Config'!$A:$A,'Scoring_Config'!$C:$C,25),0),"False,0")</f>
        <v>0</v>
      </c>
      <c r="AM61" s="5" cm="1">
        <f t="array" ref="AM61">IF(TRUE,"True," &amp; IF(_xlfn.XLOOKUP("Service_Insecure_Match",'Scoring_Config'!$A:$A,'Scoring_Config'!$D:$D,"Yes")="Yes",_xlfn.XLOOKUP("Service_Insecure_Match",'Scoring_Config'!$A:$A,'Scoring_Config'!$C:$C,20),0),"False,0")</f>
        <v>0</v>
      </c>
      <c r="AN61" s="4" cm="1">
        <f t="array" ref="AN61">IF(FALSE,"True," &amp; IF(_xlfn.XLOOKUP("Risky_Inbound",'Scoring_Config'!$A:$A,'Scoring_Config'!$D:$D,"Yes")="Yes",_xlfn.XLOOKUP("Risky_Inbound",'Scoring_Config'!$A:$A,'Scoring_Config'!$C:$C,20),0),"False,0")</f>
        <v>0</v>
      </c>
      <c r="AO61" s="4" cm="1">
        <f t="array" ref="AO61">IF(FALSE,"True," &amp; IF(_xlfn.XLOOKUP("Risky_Outbound",'Scoring_Config'!$A:$A,'Scoring_Config'!$D:$D,"Yes")="Yes",_xlfn.XLOOKUP("Risky_Outbound",'Scoring_Config'!$A:$A,'Scoring_Config'!$C:$C,10),0),"False,0")</f>
        <v>0</v>
      </c>
      <c r="AP61" s="5" t="s">
        <v>2595</v>
      </c>
      <c r="AQ61" s="4" cm="1">
        <f t="array" ref="AQ6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1" s="4" t="s">
        <v>2592</v>
      </c>
      <c r="AS61" s="4" t="s">
        <v>2592</v>
      </c>
      <c r="AT61" s="4" t="s">
        <v>2592</v>
      </c>
      <c r="AU61" s="5" cm="1">
        <f t="array" ref="AU61">IF(TRUE,"True," &amp; IF(_xlfn.XLOOKUP("Action_IsDenyOrDrop",'Scoring_Config'!$A:$A,'Scoring_Config'!$D:$D,"Yes")="Yes",_xlfn.XLOOKUP("Action_IsDenyOrDrop",'Scoring_Config'!$A:$A,'Scoring_Config'!$C:$C,0),0),"False,0")</f>
        <v>0</v>
      </c>
      <c r="AV61" s="4"/>
      <c r="AW61" s="4" cm="1">
        <f t="array" ref="AW61">IF(FALSE,"True," &amp; IF(_xlfn.XLOOKUP("Migrate_Insecure",'Scoring_Config'!$A:$A,'Scoring_Config'!$D:$D,"Yes")="Yes",_xlfn.XLOOKUP("Migrate_Insecure",'Scoring_Config'!$A:$A,'Scoring_Config'!$C:$C,15),0),"False,0")</f>
        <v>0</v>
      </c>
      <c r="AX61" s="4"/>
      <c r="AY61" s="4" cm="1">
        <f t="array" ref="AY61">IF(FALSE,"True," &amp; IF(_xlfn.XLOOKUP("Migrate_Other_Ports",'Scoring_Config'!$A:$A,'Scoring_Config'!$D:$D,"Yes")="Yes",_xlfn.XLOOKUP("Migrate_Other_Ports",'Scoring_Config'!$A:$A,'Scoring_Config'!$C:$C,5),0),"False,0")</f>
        <v>0</v>
      </c>
      <c r="AZ61" s="4" cm="1">
        <f t="array" ref="AZ61">IF(LEFT(AU61,4)="True",0,(IF(LEFT(AC61,4)="True",IF(_xlfn.XLOOKUP("Src_IsAny",'Scoring_Config'!$A:$A,'Scoring_Config'!$D:$D,"Yes")="Yes",_xlfn.XLOOKUP("Src_IsAny",'Scoring_Config'!$A:$A,'Scoring_Config'!$C:$C,25),0),0)+IF(LEFT(AD61,4)="True",IF(_xlfn.XLOOKUP("Src_CIDR_Le_16",'Scoring_Config'!$A:$A,'Scoring_Config'!$D:$D,"Yes")="Yes",_xlfn.XLOOKUP("Src_CIDR_Le_16",'Scoring_Config'!$A:$A,'Scoring_Config'!$C:$C,25),0),0)+IF(LEFT(AE61,4)="True",IF(_xlfn.XLOOKUP("Src_CIDR_17_22",'Scoring_Config'!$A:$A,'Scoring_Config'!$D:$D,"Yes")="Yes",_xlfn.XLOOKUP("Src_CIDR_17_22",'Scoring_Config'!$A:$A,'Scoring_Config'!$C:$C,15),0),0)+IF(LEFT(AF61,4)="True",IF(_xlfn.XLOOKUP("Dst_IsAny",'Scoring_Config'!$A:$A,'Scoring_Config'!$D:$D,"Yes")="Yes",_xlfn.XLOOKUP("Dst_IsAny",'Scoring_Config'!$A:$A,'Scoring_Config'!$C:$C,25),0),0)+IF(LEFT(AG61,4)="True",IF(_xlfn.XLOOKUP("Dst_CIDR_Le_16",'Scoring_Config'!$A:$A,'Scoring_Config'!$D:$D,"Yes")="Yes",_xlfn.XLOOKUP("Dst_CIDR_Le_16",'Scoring_Config'!$A:$A,'Scoring_Config'!$C:$C,25),0),0)+IF(LEFT(AH61,4)="True",IF(_xlfn.XLOOKUP("Dst_CIDR_17_22",'Scoring_Config'!$A:$A,'Scoring_Config'!$D:$D,"Yes")="Yes",_xlfn.XLOOKUP("Dst_CIDR_17_22",'Scoring_Config'!$A:$A,'Scoring_Config'!$C:$C,15),0),0)+IF(LEFT(AI61,4)="True",IF(_xlfn.XLOOKUP("SrcZone_IsAny",'Scoring_Config'!$A:$A,'Scoring_Config'!$D:$D,"Yes")="Yes",_xlfn.XLOOKUP("SrcZone_IsAny",'Scoring_Config'!$A:$A,'Scoring_Config'!$C:$C,5),0),0)+IF(LEFT(AJ61,4)="True",IF(_xlfn.XLOOKUP("DstZone_IsAny",'Scoring_Config'!$A:$A,'Scoring_Config'!$D:$D,"Yes")="Yes",_xlfn.XLOOKUP("DstZone_IsAny",'Scoring_Config'!$A:$A,'Scoring_Config'!$C:$C,5),0),0)+IF(LEFT(AK61,4)="True",IF(_xlfn.XLOOKUP("Service_Any_OR_RangeGt1000",'Scoring_Config'!$A:$A,'Scoring_Config'!$D:$D,"Yes")="Yes",_xlfn.XLOOKUP("Service_Any_OR_RangeGt1000",'Scoring_Config'!$A:$A,'Scoring_Config'!$C:$C,25),0),0)+IF(LEFT(AL61,4)="True",IF(_xlfn.XLOOKUP("App_Any_OR_RangeGt1000",'Scoring_Config'!$A:$A,'Scoring_Config'!$D:$D,"Yes")="Yes",_xlfn.XLOOKUP("App_Any_OR_RangeGt1000",'Scoring_Config'!$A:$A,'Scoring_Config'!$C:$C,25),0),0)+IF(LEFT(AM61,4)="True",IF(_xlfn.XLOOKUP("Service_Insecure_Match",'Scoring_Config'!$A:$A,'Scoring_Config'!$D:$D,"Yes")="Yes",_xlfn.XLOOKUP("Service_Insecure_Match",'Scoring_Config'!$A:$A,'Scoring_Config'!$C:$C,20),0),0)+IF(LEFT(AN61,4)="True",IF(_xlfn.XLOOKUP("Risky_Inbound",'Scoring_Config'!$A:$A,'Scoring_Config'!$D:$D,"Yes")="Yes",_xlfn.XLOOKUP("Risky_Inbound",'Scoring_Config'!$A:$A,'Scoring_Config'!$C:$C,20),0),0)+IF(LEFT(AO61,4)="True",IF(_xlfn.XLOOKUP("Risky_Outbound",'Scoring_Config'!$A:$A,'Scoring_Config'!$D:$D,"Yes")="Yes",_xlfn.XLOOKUP("Risky_Outbound",'Scoring_Config'!$A:$A,'Scoring_Config'!$C:$C,10),0),0)+IF(LEFT(AW61,4)="True",IF(_xlfn.XLOOKUP("Migrate_Insecure",'Scoring_Config'!$A:$A,'Scoring_Config'!$D:$D,"Yes")="Yes",_xlfn.XLOOKUP("Migrate_Insecure",'Scoring_Config'!$A:$A,'Scoring_Config'!$C:$C,15),0),0)+IF(LEFT(AY61,4)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61,FIND(",",AP61)+1,100)),0)+IF(LEFT(AQ61,4)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61,FIND(",",AR61)+1,100)),0)+IF(_xlfn.XLOOKUP("Profile_Scoring",'Scoring_Config'!$A:$A,'Scoring_Config'!$D:$D,"Yes")="Yes",VALUE(MID(AS61,FIND(",",AS61)+1,100)),0)+IF(_xlfn.XLOOKUP("Options_Scoring",'Scoring_Config'!$A:$A,'Scoring_Config'!$D:$D,"Yes")="Yes",VALUE(MID(AT61,FIND(",",AT61)+1,100)),0)))</f>
        <v>0</v>
      </c>
    </row>
    <row r="62" spans="1:52">
      <c r="A62" s="3" t="s">
        <v>52</v>
      </c>
      <c r="B62" s="3" t="s">
        <v>58</v>
      </c>
      <c r="C62" s="3" t="s">
        <v>329</v>
      </c>
      <c r="D62" s="3"/>
      <c r="E62" s="3" t="s">
        <v>359</v>
      </c>
      <c r="F62" s="3" t="s">
        <v>361</v>
      </c>
      <c r="G62" s="3" t="s">
        <v>365</v>
      </c>
      <c r="H62" s="3" t="s">
        <v>365</v>
      </c>
      <c r="I62" s="3" t="s">
        <v>623</v>
      </c>
      <c r="J62" s="3" t="s">
        <v>360</v>
      </c>
      <c r="K62" s="3" t="s">
        <v>365</v>
      </c>
      <c r="L62" s="3" t="s">
        <v>365</v>
      </c>
      <c r="M62" s="3" t="s">
        <v>365</v>
      </c>
      <c r="N62" s="3" t="s">
        <v>365</v>
      </c>
      <c r="O62" s="4" t="s">
        <v>806</v>
      </c>
      <c r="P62" s="3" t="s">
        <v>867</v>
      </c>
      <c r="Q62" s="3" t="s">
        <v>905</v>
      </c>
      <c r="R62" s="3" t="s">
        <v>907</v>
      </c>
      <c r="S62" s="3" t="s">
        <v>907</v>
      </c>
      <c r="T62" s="3" t="s">
        <v>957</v>
      </c>
      <c r="U62" s="3" t="s">
        <v>1185</v>
      </c>
      <c r="V62" s="3" t="s">
        <v>772</v>
      </c>
      <c r="W62" s="3" t="s">
        <v>1048</v>
      </c>
      <c r="X62" s="3" t="s">
        <v>1666</v>
      </c>
      <c r="Y62" s="3" t="s">
        <v>2135</v>
      </c>
      <c r="Z62" s="3"/>
      <c r="AA62" s="3"/>
      <c r="AB62" s="3"/>
      <c r="AC62" s="5" cm="1">
        <f t="array" ref="AC62">IF(TRUE,"True," &amp; IF(_xlfn.XLOOKUP("Src_IsAny",'Scoring_Config'!$A:$A,'Scoring_Config'!$D:$D,"Yes")="Yes",_xlfn.XLOOKUP("Src_IsAny",'Scoring_Config'!$A:$A,'Scoring_Config'!$C:$C,25),0),"False,0")</f>
        <v>0</v>
      </c>
      <c r="AD62" s="4" cm="1">
        <f t="array" ref="AD62">IF(FALSE,"True," &amp; IF(_xlfn.XLOOKUP("Src_CIDR_Le_16",'Scoring_Config'!$A:$A,'Scoring_Config'!$D:$D,"Yes")="Yes",_xlfn.XLOOKUP("Src_CIDR_Le_16",'Scoring_Config'!$A:$A,'Scoring_Config'!$C:$C,25),0),"False,0")</f>
        <v>0</v>
      </c>
      <c r="AE62" s="4" cm="1">
        <f t="array" ref="AE62">IF(FALSE,"True," &amp; IF(_xlfn.XLOOKUP("Src_CIDR_17_22",'Scoring_Config'!$A:$A,'Scoring_Config'!$D:$D,"Yes")="Yes",_xlfn.XLOOKUP("Src_CIDR_17_22",'Scoring_Config'!$A:$A,'Scoring_Config'!$C:$C,15),0),"False,0")</f>
        <v>0</v>
      </c>
      <c r="AF62" s="5" cm="1">
        <f t="array" ref="AF62">IF(TRUE,"True," &amp; IF(_xlfn.XLOOKUP("Dst_IsAny",'Scoring_Config'!$A:$A,'Scoring_Config'!$D:$D,"Yes")="Yes",_xlfn.XLOOKUP("Dst_IsAny",'Scoring_Config'!$A:$A,'Scoring_Config'!$C:$C,25),0),"False,0")</f>
        <v>0</v>
      </c>
      <c r="AG62" s="4" cm="1">
        <f t="array" ref="AG62">IF(FALSE,"True," &amp; IF(_xlfn.XLOOKUP("Dst_CIDR_Le_16",'Scoring_Config'!$A:$A,'Scoring_Config'!$D:$D,"Yes")="Yes",_xlfn.XLOOKUP("Dst_CIDR_Le_16",'Scoring_Config'!$A:$A,'Scoring_Config'!$C:$C,25),0),"False,0")</f>
        <v>0</v>
      </c>
      <c r="AH62" s="4" cm="1">
        <f t="array" ref="AH62">IF(FALSE,"True," &amp; IF(_xlfn.XLOOKUP("Dst_CIDR_17_22",'Scoring_Config'!$A:$A,'Scoring_Config'!$D:$D,"Yes")="Yes",_xlfn.XLOOKUP("Dst_CIDR_17_22",'Scoring_Config'!$A:$A,'Scoring_Config'!$C:$C,15),0),"False,0")</f>
        <v>0</v>
      </c>
      <c r="AI62" s="4" cm="1">
        <f t="array" ref="AI62">IF(FALSE,"True," &amp; IF(_xlfn.XLOOKUP("SrcZone_IsAny",'Scoring_Config'!$A:$A,'Scoring_Config'!$D:$D,"Yes")="Yes",_xlfn.XLOOKUP("SrcZone_IsAny",'Scoring_Config'!$A:$A,'Scoring_Config'!$C:$C,5),0),"False,0")</f>
        <v>0</v>
      </c>
      <c r="AJ62" s="4" cm="1">
        <f t="array" ref="AJ62">IF(FALSE,"True," &amp; IF(_xlfn.XLOOKUP("DstZone_IsAny",'Scoring_Config'!$A:$A,'Scoring_Config'!$D:$D,"Yes")="Yes",_xlfn.XLOOKUP("DstZone_IsAny",'Scoring_Config'!$A:$A,'Scoring_Config'!$C:$C,5),0),"False,0")</f>
        <v>0</v>
      </c>
      <c r="AK62" s="4" cm="1">
        <f t="array" ref="AK6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2" s="5" cm="1">
        <f t="array" ref="AL62">IF(TRUE,"True," &amp; IF(_xlfn.XLOOKUP("App_Any_OR_RangeGt1000",'Scoring_Config'!$A:$A,'Scoring_Config'!$D:$D,"Yes")="Yes",_xlfn.XLOOKUP("App_Any_OR_RangeGt1000",'Scoring_Config'!$A:$A,'Scoring_Config'!$C:$C,25),0),"False,0")</f>
        <v>0</v>
      </c>
      <c r="AM62" s="5" cm="1">
        <f t="array" ref="AM62">IF(TRUE,"True," &amp; IF(_xlfn.XLOOKUP("Service_Insecure_Match",'Scoring_Config'!$A:$A,'Scoring_Config'!$D:$D,"Yes")="Yes",_xlfn.XLOOKUP("Service_Insecure_Match",'Scoring_Config'!$A:$A,'Scoring_Config'!$C:$C,20),0),"False,0")</f>
        <v>0</v>
      </c>
      <c r="AN62" s="4" cm="1">
        <f t="array" ref="AN62">IF(FALSE,"True," &amp; IF(_xlfn.XLOOKUP("Risky_Inbound",'Scoring_Config'!$A:$A,'Scoring_Config'!$D:$D,"Yes")="Yes",_xlfn.XLOOKUP("Risky_Inbound",'Scoring_Config'!$A:$A,'Scoring_Config'!$C:$C,20),0),"False,0")</f>
        <v>0</v>
      </c>
      <c r="AO62" s="4" cm="1">
        <f t="array" ref="AO62">IF(FALSE,"True," &amp; IF(_xlfn.XLOOKUP("Risky_Outbound",'Scoring_Config'!$A:$A,'Scoring_Config'!$D:$D,"Yes")="Yes",_xlfn.XLOOKUP("Risky_Outbound",'Scoring_Config'!$A:$A,'Scoring_Config'!$C:$C,10),0),"False,0")</f>
        <v>0</v>
      </c>
      <c r="AP62" s="5" t="s">
        <v>2595</v>
      </c>
      <c r="AQ62" s="4" cm="1">
        <f t="array" ref="AQ6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2" s="5" t="s">
        <v>2598</v>
      </c>
      <c r="AS62" s="5" t="s">
        <v>2595</v>
      </c>
      <c r="AT62" s="5" t="s">
        <v>2595</v>
      </c>
      <c r="AU62" s="4" cm="1">
        <f t="array" ref="AU62">IF(FALSE,"True," &amp; IF(_xlfn.XLOOKUP("Action_IsDenyOrDrop",'Scoring_Config'!$A:$A,'Scoring_Config'!$D:$D,"Yes")="Yes",_xlfn.XLOOKUP("Action_IsDenyOrDrop",'Scoring_Config'!$A:$A,'Scoring_Config'!$C:$C,0),0),"False,0")</f>
        <v>0</v>
      </c>
      <c r="AV62" s="4"/>
      <c r="AW62" s="4" cm="1">
        <f t="array" ref="AW62">IF(FALSE,"True," &amp; IF(_xlfn.XLOOKUP("Migrate_Insecure",'Scoring_Config'!$A:$A,'Scoring_Config'!$D:$D,"Yes")="Yes",_xlfn.XLOOKUP("Migrate_Insecure",'Scoring_Config'!$A:$A,'Scoring_Config'!$C:$C,15),0),"False,0")</f>
        <v>0</v>
      </c>
      <c r="AX62" s="4"/>
      <c r="AY62" s="4" cm="1">
        <f t="array" ref="AY62">IF(FALSE,"True," &amp; IF(_xlfn.XLOOKUP("Migrate_Other_Ports",'Scoring_Config'!$A:$A,'Scoring_Config'!$D:$D,"Yes")="Yes",_xlfn.XLOOKUP("Migrate_Other_Ports",'Scoring_Config'!$A:$A,'Scoring_Config'!$C:$C,5),0),"False,0")</f>
        <v>0</v>
      </c>
      <c r="AZ62" s="4" cm="1">
        <f t="array" ref="AZ62">IF(LEFT(AU62,4)="True",0,(IF(LEFT(AC62,4)="True",IF(_xlfn.XLOOKUP("Src_IsAny",'Scoring_Config'!$A:$A,'Scoring_Config'!$D:$D,"Yes")="Yes",_xlfn.XLOOKUP("Src_IsAny",'Scoring_Config'!$A:$A,'Scoring_Config'!$C:$C,25),0),0)+IF(LEFT(AD62,4)="True",IF(_xlfn.XLOOKUP("Src_CIDR_Le_16",'Scoring_Config'!$A:$A,'Scoring_Config'!$D:$D,"Yes")="Yes",_xlfn.XLOOKUP("Src_CIDR_Le_16",'Scoring_Config'!$A:$A,'Scoring_Config'!$C:$C,25),0),0)+IF(LEFT(AE62,4)="True",IF(_xlfn.XLOOKUP("Src_CIDR_17_22",'Scoring_Config'!$A:$A,'Scoring_Config'!$D:$D,"Yes")="Yes",_xlfn.XLOOKUP("Src_CIDR_17_22",'Scoring_Config'!$A:$A,'Scoring_Config'!$C:$C,15),0),0)+IF(LEFT(AF62,4)="True",IF(_xlfn.XLOOKUP("Dst_IsAny",'Scoring_Config'!$A:$A,'Scoring_Config'!$D:$D,"Yes")="Yes",_xlfn.XLOOKUP("Dst_IsAny",'Scoring_Config'!$A:$A,'Scoring_Config'!$C:$C,25),0),0)+IF(LEFT(AG62,4)="True",IF(_xlfn.XLOOKUP("Dst_CIDR_Le_16",'Scoring_Config'!$A:$A,'Scoring_Config'!$D:$D,"Yes")="Yes",_xlfn.XLOOKUP("Dst_CIDR_Le_16",'Scoring_Config'!$A:$A,'Scoring_Config'!$C:$C,25),0),0)+IF(LEFT(AH62,4)="True",IF(_xlfn.XLOOKUP("Dst_CIDR_17_22",'Scoring_Config'!$A:$A,'Scoring_Config'!$D:$D,"Yes")="Yes",_xlfn.XLOOKUP("Dst_CIDR_17_22",'Scoring_Config'!$A:$A,'Scoring_Config'!$C:$C,15),0),0)+IF(LEFT(AI62,4)="True",IF(_xlfn.XLOOKUP("SrcZone_IsAny",'Scoring_Config'!$A:$A,'Scoring_Config'!$D:$D,"Yes")="Yes",_xlfn.XLOOKUP("SrcZone_IsAny",'Scoring_Config'!$A:$A,'Scoring_Config'!$C:$C,5),0),0)+IF(LEFT(AJ62,4)="True",IF(_xlfn.XLOOKUP("DstZone_IsAny",'Scoring_Config'!$A:$A,'Scoring_Config'!$D:$D,"Yes")="Yes",_xlfn.XLOOKUP("DstZone_IsAny",'Scoring_Config'!$A:$A,'Scoring_Config'!$C:$C,5),0),0)+IF(LEFT(AK62,4)="True",IF(_xlfn.XLOOKUP("Service_Any_OR_RangeGt1000",'Scoring_Config'!$A:$A,'Scoring_Config'!$D:$D,"Yes")="Yes",_xlfn.XLOOKUP("Service_Any_OR_RangeGt1000",'Scoring_Config'!$A:$A,'Scoring_Config'!$C:$C,25),0),0)+IF(LEFT(AL62,4)="True",IF(_xlfn.XLOOKUP("App_Any_OR_RangeGt1000",'Scoring_Config'!$A:$A,'Scoring_Config'!$D:$D,"Yes")="Yes",_xlfn.XLOOKUP("App_Any_OR_RangeGt1000",'Scoring_Config'!$A:$A,'Scoring_Config'!$C:$C,25),0),0)+IF(LEFT(AM62,4)="True",IF(_xlfn.XLOOKUP("Service_Insecure_Match",'Scoring_Config'!$A:$A,'Scoring_Config'!$D:$D,"Yes")="Yes",_xlfn.XLOOKUP("Service_Insecure_Match",'Scoring_Config'!$A:$A,'Scoring_Config'!$C:$C,20),0),0)+IF(LEFT(AN62,4)="True",IF(_xlfn.XLOOKUP("Risky_Inbound",'Scoring_Config'!$A:$A,'Scoring_Config'!$D:$D,"Yes")="Yes",_xlfn.XLOOKUP("Risky_Inbound",'Scoring_Config'!$A:$A,'Scoring_Config'!$C:$C,20),0),0)+IF(LEFT(AO62,4)="True",IF(_xlfn.XLOOKUP("Risky_Outbound",'Scoring_Config'!$A:$A,'Scoring_Config'!$D:$D,"Yes")="Yes",_xlfn.XLOOKUP("Risky_Outbound",'Scoring_Config'!$A:$A,'Scoring_Config'!$C:$C,10),0),0)+IF(LEFT(AW62,4)="True",IF(_xlfn.XLOOKUP("Migrate_Insecure",'Scoring_Config'!$A:$A,'Scoring_Config'!$D:$D,"Yes")="Yes",_xlfn.XLOOKUP("Migrate_Insecure",'Scoring_Config'!$A:$A,'Scoring_Config'!$C:$C,15),0),0)+IF(LEFT(AY62,4)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62,FIND(",",AP62)+1,100)),0)+IF(LEFT(AQ62,4)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62,FIND(",",AR62)+1,100)),0)+IF(_xlfn.XLOOKUP("Profile_Scoring",'Scoring_Config'!$A:$A,'Scoring_Config'!$D:$D,"Yes")="Yes",VALUE(MID(AS62,FIND(",",AS62)+1,100)),0)+IF(_xlfn.XLOOKUP("Options_Scoring",'Scoring_Config'!$A:$A,'Scoring_Config'!$D:$D,"Yes")="Yes",VALUE(MID(AT62,FIND(",",AT62)+1,100)),0)))</f>
        <v>0</v>
      </c>
    </row>
    <row r="63" spans="1:52">
      <c r="A63" s="3" t="s">
        <v>52</v>
      </c>
      <c r="B63" s="3" t="s">
        <v>109</v>
      </c>
      <c r="C63" s="3" t="s">
        <v>329</v>
      </c>
      <c r="D63" s="3"/>
      <c r="E63" s="3" t="s">
        <v>359</v>
      </c>
      <c r="F63" s="3" t="s">
        <v>361</v>
      </c>
      <c r="G63" s="3" t="s">
        <v>365</v>
      </c>
      <c r="H63" s="3" t="s">
        <v>365</v>
      </c>
      <c r="I63" s="3" t="s">
        <v>624</v>
      </c>
      <c r="J63" s="3" t="s">
        <v>360</v>
      </c>
      <c r="K63" s="3" t="s">
        <v>365</v>
      </c>
      <c r="L63" s="3" t="s">
        <v>365</v>
      </c>
      <c r="M63" s="3" t="s">
        <v>365</v>
      </c>
      <c r="N63" s="3" t="s">
        <v>365</v>
      </c>
      <c r="O63" s="4" t="s">
        <v>825</v>
      </c>
      <c r="P63" s="3" t="s">
        <v>886</v>
      </c>
      <c r="Q63" s="3" t="s">
        <v>905</v>
      </c>
      <c r="R63" s="3" t="s">
        <v>907</v>
      </c>
      <c r="S63" s="3" t="s">
        <v>907</v>
      </c>
      <c r="T63" s="3" t="s">
        <v>919</v>
      </c>
      <c r="U63" s="3"/>
      <c r="V63" s="3" t="s">
        <v>770</v>
      </c>
      <c r="W63" s="3" t="s">
        <v>1436</v>
      </c>
      <c r="X63" s="3" t="s">
        <v>1667</v>
      </c>
      <c r="Y63" s="3" t="s">
        <v>2136</v>
      </c>
      <c r="Z63" s="3"/>
      <c r="AA63" s="3"/>
      <c r="AB63" s="3"/>
      <c r="AC63" s="5" cm="1">
        <f t="array" ref="AC63">IF(TRUE,"True," &amp; IF(_xlfn.XLOOKUP("Src_IsAny",'Scoring_Config'!$A:$A,'Scoring_Config'!$D:$D,"Yes")="Yes",_xlfn.XLOOKUP("Src_IsAny",'Scoring_Config'!$A:$A,'Scoring_Config'!$C:$C,25),0),"False,0")</f>
        <v>0</v>
      </c>
      <c r="AD63" s="4" cm="1">
        <f t="array" ref="AD63">IF(FALSE,"True," &amp; IF(_xlfn.XLOOKUP("Src_CIDR_Le_16",'Scoring_Config'!$A:$A,'Scoring_Config'!$D:$D,"Yes")="Yes",_xlfn.XLOOKUP("Src_CIDR_Le_16",'Scoring_Config'!$A:$A,'Scoring_Config'!$C:$C,25),0),"False,0")</f>
        <v>0</v>
      </c>
      <c r="AE63" s="4" cm="1">
        <f t="array" ref="AE63">IF(FALSE,"True," &amp; IF(_xlfn.XLOOKUP("Src_CIDR_17_22",'Scoring_Config'!$A:$A,'Scoring_Config'!$D:$D,"Yes")="Yes",_xlfn.XLOOKUP("Src_CIDR_17_22",'Scoring_Config'!$A:$A,'Scoring_Config'!$C:$C,15),0),"False,0")</f>
        <v>0</v>
      </c>
      <c r="AF63" s="5" cm="1">
        <f t="array" ref="AF63">IF(TRUE,"True," &amp; IF(_xlfn.XLOOKUP("Dst_IsAny",'Scoring_Config'!$A:$A,'Scoring_Config'!$D:$D,"Yes")="Yes",_xlfn.XLOOKUP("Dst_IsAny",'Scoring_Config'!$A:$A,'Scoring_Config'!$C:$C,25),0),"False,0")</f>
        <v>0</v>
      </c>
      <c r="AG63" s="4" cm="1">
        <f t="array" ref="AG63">IF(FALSE,"True," &amp; IF(_xlfn.XLOOKUP("Dst_CIDR_Le_16",'Scoring_Config'!$A:$A,'Scoring_Config'!$D:$D,"Yes")="Yes",_xlfn.XLOOKUP("Dst_CIDR_Le_16",'Scoring_Config'!$A:$A,'Scoring_Config'!$C:$C,25),0),"False,0")</f>
        <v>0</v>
      </c>
      <c r="AH63" s="4" cm="1">
        <f t="array" ref="AH63">IF(FALSE,"True," &amp; IF(_xlfn.XLOOKUP("Dst_CIDR_17_22",'Scoring_Config'!$A:$A,'Scoring_Config'!$D:$D,"Yes")="Yes",_xlfn.XLOOKUP("Dst_CIDR_17_22",'Scoring_Config'!$A:$A,'Scoring_Config'!$C:$C,15),0),"False,0")</f>
        <v>0</v>
      </c>
      <c r="AI63" s="4" cm="1">
        <f t="array" ref="AI63">IF(FALSE,"True," &amp; IF(_xlfn.XLOOKUP("SrcZone_IsAny",'Scoring_Config'!$A:$A,'Scoring_Config'!$D:$D,"Yes")="Yes",_xlfn.XLOOKUP("SrcZone_IsAny",'Scoring_Config'!$A:$A,'Scoring_Config'!$C:$C,5),0),"False,0")</f>
        <v>0</v>
      </c>
      <c r="AJ63" s="4" cm="1">
        <f t="array" ref="AJ63">IF(FALSE,"True," &amp; IF(_xlfn.XLOOKUP("DstZone_IsAny",'Scoring_Config'!$A:$A,'Scoring_Config'!$D:$D,"Yes")="Yes",_xlfn.XLOOKUP("DstZone_IsAny",'Scoring_Config'!$A:$A,'Scoring_Config'!$C:$C,5),0),"False,0")</f>
        <v>0</v>
      </c>
      <c r="AK63" s="4" cm="1">
        <f t="array" ref="AK6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3" s="5" cm="1">
        <f t="array" ref="AL63">IF(TRUE,"True," &amp; IF(_xlfn.XLOOKUP("App_Any_OR_RangeGt1000",'Scoring_Config'!$A:$A,'Scoring_Config'!$D:$D,"Yes")="Yes",_xlfn.XLOOKUP("App_Any_OR_RangeGt1000",'Scoring_Config'!$A:$A,'Scoring_Config'!$C:$C,25),0),"False,0")</f>
        <v>0</v>
      </c>
      <c r="AM63" s="5" cm="1">
        <f t="array" ref="AM63">IF(TRUE,"True," &amp; IF(_xlfn.XLOOKUP("Service_Insecure_Match",'Scoring_Config'!$A:$A,'Scoring_Config'!$D:$D,"Yes")="Yes",_xlfn.XLOOKUP("Service_Insecure_Match",'Scoring_Config'!$A:$A,'Scoring_Config'!$C:$C,20),0),"False,0")</f>
        <v>0</v>
      </c>
      <c r="AN63" s="4" cm="1">
        <f t="array" ref="AN63">IF(FALSE,"True," &amp; IF(_xlfn.XLOOKUP("Risky_Inbound",'Scoring_Config'!$A:$A,'Scoring_Config'!$D:$D,"Yes")="Yes",_xlfn.XLOOKUP("Risky_Inbound",'Scoring_Config'!$A:$A,'Scoring_Config'!$C:$C,20),0),"False,0")</f>
        <v>0</v>
      </c>
      <c r="AO63" s="4" cm="1">
        <f t="array" ref="AO63">IF(FALSE,"True," &amp; IF(_xlfn.XLOOKUP("Risky_Outbound",'Scoring_Config'!$A:$A,'Scoring_Config'!$D:$D,"Yes")="Yes",_xlfn.XLOOKUP("Risky_Outbound",'Scoring_Config'!$A:$A,'Scoring_Config'!$C:$C,10),0),"False,0")</f>
        <v>0</v>
      </c>
      <c r="AP63" s="5" t="s">
        <v>2595</v>
      </c>
      <c r="AQ63" s="5" cm="1">
        <f t="array" ref="AQ6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3" s="5" t="s">
        <v>2598</v>
      </c>
      <c r="AS63" s="5" t="s">
        <v>2595</v>
      </c>
      <c r="AT63" s="5" t="s">
        <v>2595</v>
      </c>
      <c r="AU63" s="4" cm="1">
        <f t="array" ref="AU63">IF(FALSE,"True," &amp; IF(_xlfn.XLOOKUP("Action_IsDenyOrDrop",'Scoring_Config'!$A:$A,'Scoring_Config'!$D:$D,"Yes")="Yes",_xlfn.XLOOKUP("Action_IsDenyOrDrop",'Scoring_Config'!$A:$A,'Scoring_Config'!$C:$C,0),0),"False,0")</f>
        <v>0</v>
      </c>
      <c r="AV63" s="4"/>
      <c r="AW63" s="4" cm="1">
        <f t="array" ref="AW63">IF(FALSE,"True," &amp; IF(_xlfn.XLOOKUP("Migrate_Insecure",'Scoring_Config'!$A:$A,'Scoring_Config'!$D:$D,"Yes")="Yes",_xlfn.XLOOKUP("Migrate_Insecure",'Scoring_Config'!$A:$A,'Scoring_Config'!$C:$C,15),0),"False,0")</f>
        <v>0</v>
      </c>
      <c r="AX63" s="4"/>
      <c r="AY63" s="4" cm="1">
        <f t="array" ref="AY63">IF(FALSE,"True," &amp; IF(_xlfn.XLOOKUP("Migrate_Other_Ports",'Scoring_Config'!$A:$A,'Scoring_Config'!$D:$D,"Yes")="Yes",_xlfn.XLOOKUP("Migrate_Other_Ports",'Scoring_Config'!$A:$A,'Scoring_Config'!$C:$C,5),0),"False,0")</f>
        <v>0</v>
      </c>
      <c r="AZ63" s="4" cm="1">
        <f t="array" ref="AZ63">IF(LEFT(AU63,4)="True",0,(IF(LEFT(AC63,4)="True",IF(_xlfn.XLOOKUP("Src_IsAny",'Scoring_Config'!$A:$A,'Scoring_Config'!$D:$D,"Yes")="Yes",_xlfn.XLOOKUP("Src_IsAny",'Scoring_Config'!$A:$A,'Scoring_Config'!$C:$C,25),0),0)+IF(LEFT(AD63,4)="True",IF(_xlfn.XLOOKUP("Src_CIDR_Le_16",'Scoring_Config'!$A:$A,'Scoring_Config'!$D:$D,"Yes")="Yes",_xlfn.XLOOKUP("Src_CIDR_Le_16",'Scoring_Config'!$A:$A,'Scoring_Config'!$C:$C,25),0),0)+IF(LEFT(AE63,4)="True",IF(_xlfn.XLOOKUP("Src_CIDR_17_22",'Scoring_Config'!$A:$A,'Scoring_Config'!$D:$D,"Yes")="Yes",_xlfn.XLOOKUP("Src_CIDR_17_22",'Scoring_Config'!$A:$A,'Scoring_Config'!$C:$C,15),0),0)+IF(LEFT(AF63,4)="True",IF(_xlfn.XLOOKUP("Dst_IsAny",'Scoring_Config'!$A:$A,'Scoring_Config'!$D:$D,"Yes")="Yes",_xlfn.XLOOKUP("Dst_IsAny",'Scoring_Config'!$A:$A,'Scoring_Config'!$C:$C,25),0),0)+IF(LEFT(AG63,4)="True",IF(_xlfn.XLOOKUP("Dst_CIDR_Le_16",'Scoring_Config'!$A:$A,'Scoring_Config'!$D:$D,"Yes")="Yes",_xlfn.XLOOKUP("Dst_CIDR_Le_16",'Scoring_Config'!$A:$A,'Scoring_Config'!$C:$C,25),0),0)+IF(LEFT(AH63,4)="True",IF(_xlfn.XLOOKUP("Dst_CIDR_17_22",'Scoring_Config'!$A:$A,'Scoring_Config'!$D:$D,"Yes")="Yes",_xlfn.XLOOKUP("Dst_CIDR_17_22",'Scoring_Config'!$A:$A,'Scoring_Config'!$C:$C,15),0),0)+IF(LEFT(AI63,4)="True",IF(_xlfn.XLOOKUP("SrcZone_IsAny",'Scoring_Config'!$A:$A,'Scoring_Config'!$D:$D,"Yes")="Yes",_xlfn.XLOOKUP("SrcZone_IsAny",'Scoring_Config'!$A:$A,'Scoring_Config'!$C:$C,5),0),0)+IF(LEFT(AJ63,4)="True",IF(_xlfn.XLOOKUP("DstZone_IsAny",'Scoring_Config'!$A:$A,'Scoring_Config'!$D:$D,"Yes")="Yes",_xlfn.XLOOKUP("DstZone_IsAny",'Scoring_Config'!$A:$A,'Scoring_Config'!$C:$C,5),0),0)+IF(LEFT(AK63,4)="True",IF(_xlfn.XLOOKUP("Service_Any_OR_RangeGt1000",'Scoring_Config'!$A:$A,'Scoring_Config'!$D:$D,"Yes")="Yes",_xlfn.XLOOKUP("Service_Any_OR_RangeGt1000",'Scoring_Config'!$A:$A,'Scoring_Config'!$C:$C,25),0),0)+IF(LEFT(AL63,4)="True",IF(_xlfn.XLOOKUP("App_Any_OR_RangeGt1000",'Scoring_Config'!$A:$A,'Scoring_Config'!$D:$D,"Yes")="Yes",_xlfn.XLOOKUP("App_Any_OR_RangeGt1000",'Scoring_Config'!$A:$A,'Scoring_Config'!$C:$C,25),0),0)+IF(LEFT(AM63,4)="True",IF(_xlfn.XLOOKUP("Service_Insecure_Match",'Scoring_Config'!$A:$A,'Scoring_Config'!$D:$D,"Yes")="Yes",_xlfn.XLOOKUP("Service_Insecure_Match",'Scoring_Config'!$A:$A,'Scoring_Config'!$C:$C,20),0),0)+IF(LEFT(AN63,4)="True",IF(_xlfn.XLOOKUP("Risky_Inbound",'Scoring_Config'!$A:$A,'Scoring_Config'!$D:$D,"Yes")="Yes",_xlfn.XLOOKUP("Risky_Inbound",'Scoring_Config'!$A:$A,'Scoring_Config'!$C:$C,20),0),0)+IF(LEFT(AO63,4)="True",IF(_xlfn.XLOOKUP("Risky_Outbound",'Scoring_Config'!$A:$A,'Scoring_Config'!$D:$D,"Yes")="Yes",_xlfn.XLOOKUP("Risky_Outbound",'Scoring_Config'!$A:$A,'Scoring_Config'!$C:$C,10),0),0)+IF(LEFT(AW63,4)="True",IF(_xlfn.XLOOKUP("Migrate_Insecure",'Scoring_Config'!$A:$A,'Scoring_Config'!$D:$D,"Yes")="Yes",_xlfn.XLOOKUP("Migrate_Insecure",'Scoring_Config'!$A:$A,'Scoring_Config'!$C:$C,15),0),0)+IF(LEFT(AY63,4)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63,FIND(",",AP63)+1,100)),0)+IF(LEFT(AQ63,4)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63,FIND(",",AR63)+1,100)),0)+IF(_xlfn.XLOOKUP("Profile_Scoring",'Scoring_Config'!$A:$A,'Scoring_Config'!$D:$D,"Yes")="Yes",VALUE(MID(AS63,FIND(",",AS63)+1,100)),0)+IF(_xlfn.XLOOKUP("Options_Scoring",'Scoring_Config'!$A:$A,'Scoring_Config'!$D:$D,"Yes")="Yes",VALUE(MID(AT63,FIND(",",AT63)+1,100)),0)))</f>
        <v>0</v>
      </c>
    </row>
    <row r="64" spans="1:52">
      <c r="A64" s="3" t="s">
        <v>52</v>
      </c>
      <c r="B64" s="3" t="s">
        <v>110</v>
      </c>
      <c r="C64" s="3" t="s">
        <v>329</v>
      </c>
      <c r="D64" s="3"/>
      <c r="E64" s="3" t="s">
        <v>359</v>
      </c>
      <c r="F64" s="3" t="s">
        <v>363</v>
      </c>
      <c r="G64" s="3" t="s">
        <v>390</v>
      </c>
      <c r="H64" s="3" t="s">
        <v>552</v>
      </c>
      <c r="I64" s="3" t="s">
        <v>623</v>
      </c>
      <c r="J64" s="3" t="s">
        <v>360</v>
      </c>
      <c r="K64" s="3" t="s">
        <v>365</v>
      </c>
      <c r="L64" s="3" t="s">
        <v>365</v>
      </c>
      <c r="M64" s="3" t="s">
        <v>772</v>
      </c>
      <c r="N64" s="3" t="s">
        <v>794</v>
      </c>
      <c r="O64" s="4" t="s">
        <v>814</v>
      </c>
      <c r="P64" s="3" t="s">
        <v>875</v>
      </c>
      <c r="Q64" s="3" t="s">
        <v>905</v>
      </c>
      <c r="R64" s="3" t="s">
        <v>908</v>
      </c>
      <c r="S64" s="3" t="s">
        <v>913</v>
      </c>
      <c r="T64" s="3" t="s">
        <v>958</v>
      </c>
      <c r="U64" s="3" t="s">
        <v>1147</v>
      </c>
      <c r="V64" s="3" t="s">
        <v>772</v>
      </c>
      <c r="W64" s="3" t="s">
        <v>1437</v>
      </c>
      <c r="X64" s="3" t="s">
        <v>1668</v>
      </c>
      <c r="Y64" s="3" t="s">
        <v>2137</v>
      </c>
      <c r="Z64" s="3"/>
      <c r="AA64" s="3"/>
      <c r="AB64" s="3"/>
      <c r="AC64" s="4" cm="1">
        <f t="array" ref="AC64">IF(FALSE,"True," &amp; IF(_xlfn.XLOOKUP("Src_IsAny",'Scoring_Config'!$A:$A,'Scoring_Config'!$D:$D,"Yes")="Yes",_xlfn.XLOOKUP("Src_IsAny",'Scoring_Config'!$A:$A,'Scoring_Config'!$C:$C,25),0),"False,0")</f>
        <v>0</v>
      </c>
      <c r="AD64" s="4" cm="1">
        <f t="array" ref="AD64">IF(FALSE,"True," &amp; IF(_xlfn.XLOOKUP("Src_CIDR_Le_16",'Scoring_Config'!$A:$A,'Scoring_Config'!$D:$D,"Yes")="Yes",_xlfn.XLOOKUP("Src_CIDR_Le_16",'Scoring_Config'!$A:$A,'Scoring_Config'!$C:$C,25),0),"False,0")</f>
        <v>0</v>
      </c>
      <c r="AE64" s="4" cm="1">
        <f t="array" ref="AE64">IF(FALSE,"True," &amp; IF(_xlfn.XLOOKUP("Src_CIDR_17_22",'Scoring_Config'!$A:$A,'Scoring_Config'!$D:$D,"Yes")="Yes",_xlfn.XLOOKUP("Src_CIDR_17_22",'Scoring_Config'!$A:$A,'Scoring_Config'!$C:$C,15),0),"False,0")</f>
        <v>0</v>
      </c>
      <c r="AF64" s="5" cm="1">
        <f t="array" ref="AF64">IF(TRUE,"True," &amp; IF(_xlfn.XLOOKUP("Dst_IsAny",'Scoring_Config'!$A:$A,'Scoring_Config'!$D:$D,"Yes")="Yes",_xlfn.XLOOKUP("Dst_IsAny",'Scoring_Config'!$A:$A,'Scoring_Config'!$C:$C,25),0),"False,0")</f>
        <v>0</v>
      </c>
      <c r="AG64" s="4" cm="1">
        <f t="array" ref="AG64">IF(FALSE,"True," &amp; IF(_xlfn.XLOOKUP("Dst_CIDR_Le_16",'Scoring_Config'!$A:$A,'Scoring_Config'!$D:$D,"Yes")="Yes",_xlfn.XLOOKUP("Dst_CIDR_Le_16",'Scoring_Config'!$A:$A,'Scoring_Config'!$C:$C,25),0),"False,0")</f>
        <v>0</v>
      </c>
      <c r="AH64" s="4" cm="1">
        <f t="array" ref="AH64">IF(FALSE,"True," &amp; IF(_xlfn.XLOOKUP("Dst_CIDR_17_22",'Scoring_Config'!$A:$A,'Scoring_Config'!$D:$D,"Yes")="Yes",_xlfn.XLOOKUP("Dst_CIDR_17_22",'Scoring_Config'!$A:$A,'Scoring_Config'!$C:$C,15),0),"False,0")</f>
        <v>0</v>
      </c>
      <c r="AI64" s="4" cm="1">
        <f t="array" ref="AI64">IF(FALSE,"True," &amp; IF(_xlfn.XLOOKUP("SrcZone_IsAny",'Scoring_Config'!$A:$A,'Scoring_Config'!$D:$D,"Yes")="Yes",_xlfn.XLOOKUP("SrcZone_IsAny",'Scoring_Config'!$A:$A,'Scoring_Config'!$C:$C,5),0),"False,0")</f>
        <v>0</v>
      </c>
      <c r="AJ64" s="4" cm="1">
        <f t="array" ref="AJ64">IF(FALSE,"True," &amp; IF(_xlfn.XLOOKUP("DstZone_IsAny",'Scoring_Config'!$A:$A,'Scoring_Config'!$D:$D,"Yes")="Yes",_xlfn.XLOOKUP("DstZone_IsAny",'Scoring_Config'!$A:$A,'Scoring_Config'!$C:$C,5),0),"False,0")</f>
        <v>0</v>
      </c>
      <c r="AK64" s="4" cm="1">
        <f t="array" ref="AK6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4" s="4" cm="1">
        <f t="array" ref="AL64">IF(FALSE,"True," &amp; IF(_xlfn.XLOOKUP("App_Any_OR_RangeGt1000",'Scoring_Config'!$A:$A,'Scoring_Config'!$D:$D,"Yes")="Yes",_xlfn.XLOOKUP("App_Any_OR_RangeGt1000",'Scoring_Config'!$A:$A,'Scoring_Config'!$C:$C,25),0),"False,0")</f>
        <v>0</v>
      </c>
      <c r="AM64" s="5" cm="1">
        <f t="array" ref="AM64">IF(TRUE,"True," &amp; IF(_xlfn.XLOOKUP("Service_Insecure_Match",'Scoring_Config'!$A:$A,'Scoring_Config'!$D:$D,"Yes")="Yes",_xlfn.XLOOKUP("Service_Insecure_Match",'Scoring_Config'!$A:$A,'Scoring_Config'!$C:$C,20),0),"False,0")</f>
        <v>0</v>
      </c>
      <c r="AN64" s="4" cm="1">
        <f t="array" ref="AN64">IF(FALSE,"True," &amp; IF(_xlfn.XLOOKUP("Risky_Inbound",'Scoring_Config'!$A:$A,'Scoring_Config'!$D:$D,"Yes")="Yes",_xlfn.XLOOKUP("Risky_Inbound",'Scoring_Config'!$A:$A,'Scoring_Config'!$C:$C,20),0),"False,0")</f>
        <v>0</v>
      </c>
      <c r="AO64" s="4" cm="1">
        <f t="array" ref="AO64">IF(FALSE,"True," &amp; IF(_xlfn.XLOOKUP("Risky_Outbound",'Scoring_Config'!$A:$A,'Scoring_Config'!$D:$D,"Yes")="Yes",_xlfn.XLOOKUP("Risky_Outbound",'Scoring_Config'!$A:$A,'Scoring_Config'!$C:$C,10),0),"False,0")</f>
        <v>0</v>
      </c>
      <c r="AP64" s="5" t="s">
        <v>2595</v>
      </c>
      <c r="AQ64" s="5" cm="1">
        <f t="array" ref="AQ6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4" s="5" t="s">
        <v>2598</v>
      </c>
      <c r="AS64" s="4" t="s">
        <v>2592</v>
      </c>
      <c r="AT64" s="4" t="s">
        <v>2592</v>
      </c>
      <c r="AU64" s="4" cm="1">
        <f t="array" ref="AU64">IF(FALSE,"True," &amp; IF(_xlfn.XLOOKUP("Action_IsDenyOrDrop",'Scoring_Config'!$A:$A,'Scoring_Config'!$D:$D,"Yes")="Yes",_xlfn.XLOOKUP("Action_IsDenyOrDrop",'Scoring_Config'!$A:$A,'Scoring_Config'!$C:$C,0),0),"False,0")</f>
        <v>0</v>
      </c>
      <c r="AV64" s="4"/>
      <c r="AW64" s="4" cm="1">
        <f t="array" ref="AW64">IF(FALSE,"True," &amp; IF(_xlfn.XLOOKUP("Migrate_Insecure",'Scoring_Config'!$A:$A,'Scoring_Config'!$D:$D,"Yes")="Yes",_xlfn.XLOOKUP("Migrate_Insecure",'Scoring_Config'!$A:$A,'Scoring_Config'!$C:$C,15),0),"False,0")</f>
        <v>0</v>
      </c>
      <c r="AX64" s="4"/>
      <c r="AY64" s="4" cm="1">
        <f t="array" ref="AY64">IF(FALSE,"True," &amp; IF(_xlfn.XLOOKUP("Migrate_Other_Ports",'Scoring_Config'!$A:$A,'Scoring_Config'!$D:$D,"Yes")="Yes",_xlfn.XLOOKUP("Migrate_Other_Ports",'Scoring_Config'!$A:$A,'Scoring_Config'!$C:$C,5),0),"False,0")</f>
        <v>0</v>
      </c>
      <c r="AZ64" s="4" cm="1">
        <f t="array" ref="AZ64">IF(LEFT(AU64,4)="True",0,(IF(LEFT(AC64,4)="True",IF(_xlfn.XLOOKUP("Src_IsAny",'Scoring_Config'!$A:$A,'Scoring_Config'!$D:$D,"Yes")="Yes",_xlfn.XLOOKUP("Src_IsAny",'Scoring_Config'!$A:$A,'Scoring_Config'!$C:$C,25),0),0)+IF(LEFT(AD64,4)="True",IF(_xlfn.XLOOKUP("Src_CIDR_Le_16",'Scoring_Config'!$A:$A,'Scoring_Config'!$D:$D,"Yes")="Yes",_xlfn.XLOOKUP("Src_CIDR_Le_16",'Scoring_Config'!$A:$A,'Scoring_Config'!$C:$C,25),0),0)+IF(LEFT(AE64,4)="True",IF(_xlfn.XLOOKUP("Src_CIDR_17_22",'Scoring_Config'!$A:$A,'Scoring_Config'!$D:$D,"Yes")="Yes",_xlfn.XLOOKUP("Src_CIDR_17_22",'Scoring_Config'!$A:$A,'Scoring_Config'!$C:$C,15),0),0)+IF(LEFT(AF64,4)="True",IF(_xlfn.XLOOKUP("Dst_IsAny",'Scoring_Config'!$A:$A,'Scoring_Config'!$D:$D,"Yes")="Yes",_xlfn.XLOOKUP("Dst_IsAny",'Scoring_Config'!$A:$A,'Scoring_Config'!$C:$C,25),0),0)+IF(LEFT(AG64,4)="True",IF(_xlfn.XLOOKUP("Dst_CIDR_Le_16",'Scoring_Config'!$A:$A,'Scoring_Config'!$D:$D,"Yes")="Yes",_xlfn.XLOOKUP("Dst_CIDR_Le_16",'Scoring_Config'!$A:$A,'Scoring_Config'!$C:$C,25),0),0)+IF(LEFT(AH64,4)="True",IF(_xlfn.XLOOKUP("Dst_CIDR_17_22",'Scoring_Config'!$A:$A,'Scoring_Config'!$D:$D,"Yes")="Yes",_xlfn.XLOOKUP("Dst_CIDR_17_22",'Scoring_Config'!$A:$A,'Scoring_Config'!$C:$C,15),0),0)+IF(LEFT(AI64,4)="True",IF(_xlfn.XLOOKUP("SrcZone_IsAny",'Scoring_Config'!$A:$A,'Scoring_Config'!$D:$D,"Yes")="Yes",_xlfn.XLOOKUP("SrcZone_IsAny",'Scoring_Config'!$A:$A,'Scoring_Config'!$C:$C,5),0),0)+IF(LEFT(AJ64,4)="True",IF(_xlfn.XLOOKUP("DstZone_IsAny",'Scoring_Config'!$A:$A,'Scoring_Config'!$D:$D,"Yes")="Yes",_xlfn.XLOOKUP("DstZone_IsAny",'Scoring_Config'!$A:$A,'Scoring_Config'!$C:$C,5),0),0)+IF(LEFT(AK64,4)="True",IF(_xlfn.XLOOKUP("Service_Any_OR_RangeGt1000",'Scoring_Config'!$A:$A,'Scoring_Config'!$D:$D,"Yes")="Yes",_xlfn.XLOOKUP("Service_Any_OR_RangeGt1000",'Scoring_Config'!$A:$A,'Scoring_Config'!$C:$C,25),0),0)+IF(LEFT(AL64,4)="True",IF(_xlfn.XLOOKUP("App_Any_OR_RangeGt1000",'Scoring_Config'!$A:$A,'Scoring_Config'!$D:$D,"Yes")="Yes",_xlfn.XLOOKUP("App_Any_OR_RangeGt1000",'Scoring_Config'!$A:$A,'Scoring_Config'!$C:$C,25),0),0)+IF(LEFT(AM64,4)="True",IF(_xlfn.XLOOKUP("Service_Insecure_Match",'Scoring_Config'!$A:$A,'Scoring_Config'!$D:$D,"Yes")="Yes",_xlfn.XLOOKUP("Service_Insecure_Match",'Scoring_Config'!$A:$A,'Scoring_Config'!$C:$C,20),0),0)+IF(LEFT(AN64,4)="True",IF(_xlfn.XLOOKUP("Risky_Inbound",'Scoring_Config'!$A:$A,'Scoring_Config'!$D:$D,"Yes")="Yes",_xlfn.XLOOKUP("Risky_Inbound",'Scoring_Config'!$A:$A,'Scoring_Config'!$C:$C,20),0),0)+IF(LEFT(AO64,4)="True",IF(_xlfn.XLOOKUP("Risky_Outbound",'Scoring_Config'!$A:$A,'Scoring_Config'!$D:$D,"Yes")="Yes",_xlfn.XLOOKUP("Risky_Outbound",'Scoring_Config'!$A:$A,'Scoring_Config'!$C:$C,10),0),0)+IF(LEFT(AW64,4)="True",IF(_xlfn.XLOOKUP("Migrate_Insecure",'Scoring_Config'!$A:$A,'Scoring_Config'!$D:$D,"Yes")="Yes",_xlfn.XLOOKUP("Migrate_Insecure",'Scoring_Config'!$A:$A,'Scoring_Config'!$C:$C,15),0),0)+IF(LEFT(AY64,4)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64,FIND(",",AP64)+1,100)),0)+IF(LEFT(AQ64,4)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64,FIND(",",AR64)+1,100)),0)+IF(_xlfn.XLOOKUP("Profile_Scoring",'Scoring_Config'!$A:$A,'Scoring_Config'!$D:$D,"Yes")="Yes",VALUE(MID(AS64,FIND(",",AS64)+1,100)),0)+IF(_xlfn.XLOOKUP("Options_Scoring",'Scoring_Config'!$A:$A,'Scoring_Config'!$D:$D,"Yes")="Yes",VALUE(MID(AT64,FIND(",",AT64)+1,100)),0)))</f>
        <v>0</v>
      </c>
    </row>
    <row r="65" spans="1:52">
      <c r="A65" s="3" t="s">
        <v>52</v>
      </c>
      <c r="B65" s="3" t="s">
        <v>56</v>
      </c>
      <c r="C65" s="3" t="s">
        <v>329</v>
      </c>
      <c r="D65" s="3"/>
      <c r="E65" s="3" t="s">
        <v>359</v>
      </c>
      <c r="F65" s="3" t="s">
        <v>360</v>
      </c>
      <c r="G65" s="3" t="s">
        <v>383</v>
      </c>
      <c r="H65" s="3" t="s">
        <v>548</v>
      </c>
      <c r="I65" s="3" t="s">
        <v>623</v>
      </c>
      <c r="J65" s="3" t="s">
        <v>363</v>
      </c>
      <c r="K65" s="3" t="s">
        <v>393</v>
      </c>
      <c r="L65" s="3" t="s">
        <v>554</v>
      </c>
      <c r="M65" s="3" t="s">
        <v>771</v>
      </c>
      <c r="N65" s="3" t="s">
        <v>793</v>
      </c>
      <c r="O65" s="4" t="s">
        <v>801</v>
      </c>
      <c r="P65" s="3" t="s">
        <v>862</v>
      </c>
      <c r="Q65" s="3" t="s">
        <v>904</v>
      </c>
      <c r="R65" s="3" t="s">
        <v>911</v>
      </c>
      <c r="S65" s="3" t="s">
        <v>914</v>
      </c>
      <c r="T65" s="3" t="s">
        <v>959</v>
      </c>
      <c r="U65" s="3" t="s">
        <v>1145</v>
      </c>
      <c r="V65" s="3" t="s">
        <v>1388</v>
      </c>
      <c r="W65" s="3" t="s">
        <v>1438</v>
      </c>
      <c r="X65" s="3" t="s">
        <v>1669</v>
      </c>
      <c r="Y65" s="3" t="s">
        <v>2138</v>
      </c>
      <c r="Z65" s="3"/>
      <c r="AA65" s="3"/>
      <c r="AB65" s="3"/>
      <c r="AC65" s="4" cm="1">
        <f t="array" ref="AC65">IF(FALSE,"True," &amp; IF(_xlfn.XLOOKUP("Src_IsAny",'Scoring_Config'!$A:$A,'Scoring_Config'!$D:$D,"Yes")="Yes",_xlfn.XLOOKUP("Src_IsAny",'Scoring_Config'!$A:$A,'Scoring_Config'!$C:$C,25),0),"False,0")</f>
        <v>0</v>
      </c>
      <c r="AD65" s="4" cm="1">
        <f t="array" ref="AD65">IF(FALSE,"True," &amp; IF(_xlfn.XLOOKUP("Src_CIDR_Le_16",'Scoring_Config'!$A:$A,'Scoring_Config'!$D:$D,"Yes")="Yes",_xlfn.XLOOKUP("Src_CIDR_Le_16",'Scoring_Config'!$A:$A,'Scoring_Config'!$C:$C,25),0),"False,0")</f>
        <v>0</v>
      </c>
      <c r="AE65" s="4" cm="1">
        <f t="array" ref="AE65">IF(FALSE,"True," &amp; IF(_xlfn.XLOOKUP("Src_CIDR_17_22",'Scoring_Config'!$A:$A,'Scoring_Config'!$D:$D,"Yes")="Yes",_xlfn.XLOOKUP("Src_CIDR_17_22",'Scoring_Config'!$A:$A,'Scoring_Config'!$C:$C,15),0),"False,0")</f>
        <v>0</v>
      </c>
      <c r="AF65" s="4" cm="1">
        <f t="array" ref="AF65">IF(FALSE,"True," &amp; IF(_xlfn.XLOOKUP("Dst_IsAny",'Scoring_Config'!$A:$A,'Scoring_Config'!$D:$D,"Yes")="Yes",_xlfn.XLOOKUP("Dst_IsAny",'Scoring_Config'!$A:$A,'Scoring_Config'!$C:$C,25),0),"False,0")</f>
        <v>0</v>
      </c>
      <c r="AG65" s="4" cm="1">
        <f t="array" ref="AG65">IF(FALSE,"True," &amp; IF(_xlfn.XLOOKUP("Dst_CIDR_Le_16",'Scoring_Config'!$A:$A,'Scoring_Config'!$D:$D,"Yes")="Yes",_xlfn.XLOOKUP("Dst_CIDR_Le_16",'Scoring_Config'!$A:$A,'Scoring_Config'!$C:$C,25),0),"False,0")</f>
        <v>0</v>
      </c>
      <c r="AH65" s="4" cm="1">
        <f t="array" ref="AH65">IF(FALSE,"True," &amp; IF(_xlfn.XLOOKUP("Dst_CIDR_17_22",'Scoring_Config'!$A:$A,'Scoring_Config'!$D:$D,"Yes")="Yes",_xlfn.XLOOKUP("Dst_CIDR_17_22",'Scoring_Config'!$A:$A,'Scoring_Config'!$C:$C,15),0),"False,0")</f>
        <v>0</v>
      </c>
      <c r="AI65" s="4" cm="1">
        <f t="array" ref="AI65">IF(FALSE,"True," &amp; IF(_xlfn.XLOOKUP("SrcZone_IsAny",'Scoring_Config'!$A:$A,'Scoring_Config'!$D:$D,"Yes")="Yes",_xlfn.XLOOKUP("SrcZone_IsAny",'Scoring_Config'!$A:$A,'Scoring_Config'!$C:$C,5),0),"False,0")</f>
        <v>0</v>
      </c>
      <c r="AJ65" s="4" cm="1">
        <f t="array" ref="AJ65">IF(FALSE,"True," &amp; IF(_xlfn.XLOOKUP("DstZone_IsAny",'Scoring_Config'!$A:$A,'Scoring_Config'!$D:$D,"Yes")="Yes",_xlfn.XLOOKUP("DstZone_IsAny",'Scoring_Config'!$A:$A,'Scoring_Config'!$C:$C,5),0),"False,0")</f>
        <v>0</v>
      </c>
      <c r="AK65" s="4" cm="1">
        <f t="array" ref="AK6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5" s="4" cm="1">
        <f t="array" ref="AL65">IF(FALSE,"True," &amp; IF(_xlfn.XLOOKUP("App_Any_OR_RangeGt1000",'Scoring_Config'!$A:$A,'Scoring_Config'!$D:$D,"Yes")="Yes",_xlfn.XLOOKUP("App_Any_OR_RangeGt1000",'Scoring_Config'!$A:$A,'Scoring_Config'!$C:$C,25),0),"False,0")</f>
        <v>0</v>
      </c>
      <c r="AM65" s="5" cm="1">
        <f t="array" ref="AM65">IF(TRUE,"True," &amp; IF(_xlfn.XLOOKUP("Service_Insecure_Match",'Scoring_Config'!$A:$A,'Scoring_Config'!$D:$D,"Yes")="Yes",_xlfn.XLOOKUP("Service_Insecure_Match",'Scoring_Config'!$A:$A,'Scoring_Config'!$C:$C,20),0),"False,0")</f>
        <v>0</v>
      </c>
      <c r="AN65" s="4" cm="1">
        <f t="array" ref="AN65">IF(FALSE,"True," &amp; IF(_xlfn.XLOOKUP("Risky_Inbound",'Scoring_Config'!$A:$A,'Scoring_Config'!$D:$D,"Yes")="Yes",_xlfn.XLOOKUP("Risky_Inbound",'Scoring_Config'!$A:$A,'Scoring_Config'!$C:$C,20),0),"False,0")</f>
        <v>0</v>
      </c>
      <c r="AO65" s="4" cm="1">
        <f t="array" ref="AO65">IF(FALSE,"True," &amp; IF(_xlfn.XLOOKUP("Risky_Outbound",'Scoring_Config'!$A:$A,'Scoring_Config'!$D:$D,"Yes")="Yes",_xlfn.XLOOKUP("Risky_Outbound",'Scoring_Config'!$A:$A,'Scoring_Config'!$C:$C,10),0),"False,0")</f>
        <v>0</v>
      </c>
      <c r="AP65" s="5" t="s">
        <v>2595</v>
      </c>
      <c r="AQ65" s="5" cm="1">
        <f t="array" ref="AQ6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5" s="5" t="s">
        <v>2598</v>
      </c>
      <c r="AS65" s="4" t="s">
        <v>2592</v>
      </c>
      <c r="AT65" s="4" t="s">
        <v>2592</v>
      </c>
      <c r="AU65" s="5" cm="1">
        <f t="array" ref="AU65">IF(TRUE,"True," &amp; IF(_xlfn.XLOOKUP("Action_IsDenyOrDrop",'Scoring_Config'!$A:$A,'Scoring_Config'!$D:$D,"Yes")="Yes",_xlfn.XLOOKUP("Action_IsDenyOrDrop",'Scoring_Config'!$A:$A,'Scoring_Config'!$C:$C,0),0),"False,0")</f>
        <v>0</v>
      </c>
      <c r="AV65" s="4"/>
      <c r="AW65" s="4" cm="1">
        <f t="array" ref="AW65">IF(FALSE,"True," &amp; IF(_xlfn.XLOOKUP("Migrate_Insecure",'Scoring_Config'!$A:$A,'Scoring_Config'!$D:$D,"Yes")="Yes",_xlfn.XLOOKUP("Migrate_Insecure",'Scoring_Config'!$A:$A,'Scoring_Config'!$C:$C,15),0),"False,0")</f>
        <v>0</v>
      </c>
      <c r="AX65" s="4"/>
      <c r="AY65" s="4" cm="1">
        <f t="array" ref="AY65">IF(FALSE,"True," &amp; IF(_xlfn.XLOOKUP("Migrate_Other_Ports",'Scoring_Config'!$A:$A,'Scoring_Config'!$D:$D,"Yes")="Yes",_xlfn.XLOOKUP("Migrate_Other_Ports",'Scoring_Config'!$A:$A,'Scoring_Config'!$C:$C,5),0),"False,0")</f>
        <v>0</v>
      </c>
      <c r="AZ65" s="4" cm="1">
        <f t="array" ref="AZ65">IF(LEFT(AU65,4)="True",0,(IF(LEFT(AC65,4)="True",IF(_xlfn.XLOOKUP("Src_IsAny",'Scoring_Config'!$A:$A,'Scoring_Config'!$D:$D,"Yes")="Yes",_xlfn.XLOOKUP("Src_IsAny",'Scoring_Config'!$A:$A,'Scoring_Config'!$C:$C,25),0),0)+IF(LEFT(AD65,4)="True",IF(_xlfn.XLOOKUP("Src_CIDR_Le_16",'Scoring_Config'!$A:$A,'Scoring_Config'!$D:$D,"Yes")="Yes",_xlfn.XLOOKUP("Src_CIDR_Le_16",'Scoring_Config'!$A:$A,'Scoring_Config'!$C:$C,25),0),0)+IF(LEFT(AE65,4)="True",IF(_xlfn.XLOOKUP("Src_CIDR_17_22",'Scoring_Config'!$A:$A,'Scoring_Config'!$D:$D,"Yes")="Yes",_xlfn.XLOOKUP("Src_CIDR_17_22",'Scoring_Config'!$A:$A,'Scoring_Config'!$C:$C,15),0),0)+IF(LEFT(AF65,4)="True",IF(_xlfn.XLOOKUP("Dst_IsAny",'Scoring_Config'!$A:$A,'Scoring_Config'!$D:$D,"Yes")="Yes",_xlfn.XLOOKUP("Dst_IsAny",'Scoring_Config'!$A:$A,'Scoring_Config'!$C:$C,25),0),0)+IF(LEFT(AG65,4)="True",IF(_xlfn.XLOOKUP("Dst_CIDR_Le_16",'Scoring_Config'!$A:$A,'Scoring_Config'!$D:$D,"Yes")="Yes",_xlfn.XLOOKUP("Dst_CIDR_Le_16",'Scoring_Config'!$A:$A,'Scoring_Config'!$C:$C,25),0),0)+IF(LEFT(AH65,4)="True",IF(_xlfn.XLOOKUP("Dst_CIDR_17_22",'Scoring_Config'!$A:$A,'Scoring_Config'!$D:$D,"Yes")="Yes",_xlfn.XLOOKUP("Dst_CIDR_17_22",'Scoring_Config'!$A:$A,'Scoring_Config'!$C:$C,15),0),0)+IF(LEFT(AI65,4)="True",IF(_xlfn.XLOOKUP("SrcZone_IsAny",'Scoring_Config'!$A:$A,'Scoring_Config'!$D:$D,"Yes")="Yes",_xlfn.XLOOKUP("SrcZone_IsAny",'Scoring_Config'!$A:$A,'Scoring_Config'!$C:$C,5),0),0)+IF(LEFT(AJ65,4)="True",IF(_xlfn.XLOOKUP("DstZone_IsAny",'Scoring_Config'!$A:$A,'Scoring_Config'!$D:$D,"Yes")="Yes",_xlfn.XLOOKUP("DstZone_IsAny",'Scoring_Config'!$A:$A,'Scoring_Config'!$C:$C,5),0),0)+IF(LEFT(AK65,4)="True",IF(_xlfn.XLOOKUP("Service_Any_OR_RangeGt1000",'Scoring_Config'!$A:$A,'Scoring_Config'!$D:$D,"Yes")="Yes",_xlfn.XLOOKUP("Service_Any_OR_RangeGt1000",'Scoring_Config'!$A:$A,'Scoring_Config'!$C:$C,25),0),0)+IF(LEFT(AL65,4)="True",IF(_xlfn.XLOOKUP("App_Any_OR_RangeGt1000",'Scoring_Config'!$A:$A,'Scoring_Config'!$D:$D,"Yes")="Yes",_xlfn.XLOOKUP("App_Any_OR_RangeGt1000",'Scoring_Config'!$A:$A,'Scoring_Config'!$C:$C,25),0),0)+IF(LEFT(AM65,4)="True",IF(_xlfn.XLOOKUP("Service_Insecure_Match",'Scoring_Config'!$A:$A,'Scoring_Config'!$D:$D,"Yes")="Yes",_xlfn.XLOOKUP("Service_Insecure_Match",'Scoring_Config'!$A:$A,'Scoring_Config'!$C:$C,20),0),0)+IF(LEFT(AN65,4)="True",IF(_xlfn.XLOOKUP("Risky_Inbound",'Scoring_Config'!$A:$A,'Scoring_Config'!$D:$D,"Yes")="Yes",_xlfn.XLOOKUP("Risky_Inbound",'Scoring_Config'!$A:$A,'Scoring_Config'!$C:$C,20),0),0)+IF(LEFT(AO65,4)="True",IF(_xlfn.XLOOKUP("Risky_Outbound",'Scoring_Config'!$A:$A,'Scoring_Config'!$D:$D,"Yes")="Yes",_xlfn.XLOOKUP("Risky_Outbound",'Scoring_Config'!$A:$A,'Scoring_Config'!$C:$C,10),0),0)+IF(LEFT(AW65,4)="True",IF(_xlfn.XLOOKUP("Migrate_Insecure",'Scoring_Config'!$A:$A,'Scoring_Config'!$D:$D,"Yes")="Yes",_xlfn.XLOOKUP("Migrate_Insecure",'Scoring_Config'!$A:$A,'Scoring_Config'!$C:$C,15),0),0)+IF(LEFT(AY65,4)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65,FIND(",",AP65)+1,100)),0)+IF(LEFT(AQ65,4)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65,FIND(",",AR65)+1,100)),0)+IF(_xlfn.XLOOKUP("Profile_Scoring",'Scoring_Config'!$A:$A,'Scoring_Config'!$D:$D,"Yes")="Yes",VALUE(MID(AS65,FIND(",",AS65)+1,100)),0)+IF(_xlfn.XLOOKUP("Options_Scoring",'Scoring_Config'!$A:$A,'Scoring_Config'!$D:$D,"Yes")="Yes",VALUE(MID(AT65,FIND(",",AT65)+1,100)),0)))</f>
        <v>0</v>
      </c>
    </row>
    <row r="66" spans="1:52">
      <c r="A66" s="3" t="s">
        <v>52</v>
      </c>
      <c r="B66" s="3" t="s">
        <v>111</v>
      </c>
      <c r="C66" s="3" t="s">
        <v>329</v>
      </c>
      <c r="D66" s="3"/>
      <c r="E66" s="3" t="s">
        <v>359</v>
      </c>
      <c r="F66" s="3" t="s">
        <v>360</v>
      </c>
      <c r="G66" s="3" t="s">
        <v>365</v>
      </c>
      <c r="H66" s="3" t="s">
        <v>365</v>
      </c>
      <c r="I66" s="3" t="s">
        <v>365</v>
      </c>
      <c r="J66" s="3" t="s">
        <v>362</v>
      </c>
      <c r="K66" s="3" t="s">
        <v>380</v>
      </c>
      <c r="L66" s="3" t="s">
        <v>546</v>
      </c>
      <c r="M66" s="3" t="s">
        <v>772</v>
      </c>
      <c r="N66" s="3" t="s">
        <v>794</v>
      </c>
      <c r="O66" s="4" t="s">
        <v>827</v>
      </c>
      <c r="P66" s="3" t="s">
        <v>888</v>
      </c>
      <c r="Q66" s="3" t="s">
        <v>905</v>
      </c>
      <c r="R66" s="3" t="s">
        <v>911</v>
      </c>
      <c r="S66" s="3" t="s">
        <v>914</v>
      </c>
      <c r="T66" s="3" t="s">
        <v>919</v>
      </c>
      <c r="U66" s="3" t="s">
        <v>1186</v>
      </c>
      <c r="V66" s="3" t="s">
        <v>1389</v>
      </c>
      <c r="W66" s="3" t="s">
        <v>919</v>
      </c>
      <c r="X66" s="3" t="s">
        <v>1670</v>
      </c>
      <c r="Y66" s="3" t="s">
        <v>2139</v>
      </c>
      <c r="Z66" s="3"/>
      <c r="AA66" s="3"/>
      <c r="AB66" s="3"/>
      <c r="AC66" s="5" cm="1">
        <f t="array" ref="AC66">IF(TRUE,"True," &amp; IF(_xlfn.XLOOKUP("Src_IsAny",'Scoring_Config'!$A:$A,'Scoring_Config'!$D:$D,"Yes")="Yes",_xlfn.XLOOKUP("Src_IsAny",'Scoring_Config'!$A:$A,'Scoring_Config'!$C:$C,25),0),"False,0")</f>
        <v>0</v>
      </c>
      <c r="AD66" s="4" cm="1">
        <f t="array" ref="AD66">IF(FALSE,"True," &amp; IF(_xlfn.XLOOKUP("Src_CIDR_Le_16",'Scoring_Config'!$A:$A,'Scoring_Config'!$D:$D,"Yes")="Yes",_xlfn.XLOOKUP("Src_CIDR_Le_16",'Scoring_Config'!$A:$A,'Scoring_Config'!$C:$C,25),0),"False,0")</f>
        <v>0</v>
      </c>
      <c r="AE66" s="4" cm="1">
        <f t="array" ref="AE66">IF(FALSE,"True," &amp; IF(_xlfn.XLOOKUP("Src_CIDR_17_22",'Scoring_Config'!$A:$A,'Scoring_Config'!$D:$D,"Yes")="Yes",_xlfn.XLOOKUP("Src_CIDR_17_22",'Scoring_Config'!$A:$A,'Scoring_Config'!$C:$C,15),0),"False,0")</f>
        <v>0</v>
      </c>
      <c r="AF66" s="5" cm="1">
        <f t="array" ref="AF66">IF(TRUE,"True," &amp; IF(_xlfn.XLOOKUP("Dst_IsAny",'Scoring_Config'!$A:$A,'Scoring_Config'!$D:$D,"Yes")="Yes",_xlfn.XLOOKUP("Dst_IsAny",'Scoring_Config'!$A:$A,'Scoring_Config'!$C:$C,25),0),"False,0")</f>
        <v>0</v>
      </c>
      <c r="AG66" s="4" cm="1">
        <f t="array" ref="AG66">IF(FALSE,"True," &amp; IF(_xlfn.XLOOKUP("Dst_CIDR_Le_16",'Scoring_Config'!$A:$A,'Scoring_Config'!$D:$D,"Yes")="Yes",_xlfn.XLOOKUP("Dst_CIDR_Le_16",'Scoring_Config'!$A:$A,'Scoring_Config'!$C:$C,25),0),"False,0")</f>
        <v>0</v>
      </c>
      <c r="AH66" s="4" cm="1">
        <f t="array" ref="AH66">IF(FALSE,"True," &amp; IF(_xlfn.XLOOKUP("Dst_CIDR_17_22",'Scoring_Config'!$A:$A,'Scoring_Config'!$D:$D,"Yes")="Yes",_xlfn.XLOOKUP("Dst_CIDR_17_22",'Scoring_Config'!$A:$A,'Scoring_Config'!$C:$C,15),0),"False,0")</f>
        <v>0</v>
      </c>
      <c r="AI66" s="4" cm="1">
        <f t="array" ref="AI66">IF(FALSE,"True," &amp; IF(_xlfn.XLOOKUP("SrcZone_IsAny",'Scoring_Config'!$A:$A,'Scoring_Config'!$D:$D,"Yes")="Yes",_xlfn.XLOOKUP("SrcZone_IsAny",'Scoring_Config'!$A:$A,'Scoring_Config'!$C:$C,5),0),"False,0")</f>
        <v>0</v>
      </c>
      <c r="AJ66" s="4" cm="1">
        <f t="array" ref="AJ66">IF(FALSE,"True," &amp; IF(_xlfn.XLOOKUP("DstZone_IsAny",'Scoring_Config'!$A:$A,'Scoring_Config'!$D:$D,"Yes")="Yes",_xlfn.XLOOKUP("DstZone_IsAny",'Scoring_Config'!$A:$A,'Scoring_Config'!$C:$C,5),0),"False,0")</f>
        <v>0</v>
      </c>
      <c r="AK66" s="4" cm="1">
        <f t="array" ref="AK6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6" s="4" cm="1">
        <f t="array" ref="AL66">IF(FALSE,"True," &amp; IF(_xlfn.XLOOKUP("App_Any_OR_RangeGt1000",'Scoring_Config'!$A:$A,'Scoring_Config'!$D:$D,"Yes")="Yes",_xlfn.XLOOKUP("App_Any_OR_RangeGt1000",'Scoring_Config'!$A:$A,'Scoring_Config'!$C:$C,25),0),"False,0")</f>
        <v>0</v>
      </c>
      <c r="AM66" s="5" cm="1">
        <f t="array" ref="AM66">IF(TRUE,"True," &amp; IF(_xlfn.XLOOKUP("Service_Insecure_Match",'Scoring_Config'!$A:$A,'Scoring_Config'!$D:$D,"Yes")="Yes",_xlfn.XLOOKUP("Service_Insecure_Match",'Scoring_Config'!$A:$A,'Scoring_Config'!$C:$C,20),0),"False,0")</f>
        <v>0</v>
      </c>
      <c r="AN66" s="4" cm="1">
        <f t="array" ref="AN66">IF(FALSE,"True," &amp; IF(_xlfn.XLOOKUP("Risky_Inbound",'Scoring_Config'!$A:$A,'Scoring_Config'!$D:$D,"Yes")="Yes",_xlfn.XLOOKUP("Risky_Inbound",'Scoring_Config'!$A:$A,'Scoring_Config'!$C:$C,20),0),"False,0")</f>
        <v>0</v>
      </c>
      <c r="AO66" s="4" cm="1">
        <f t="array" ref="AO66">IF(FALSE,"True," &amp; IF(_xlfn.XLOOKUP("Risky_Outbound",'Scoring_Config'!$A:$A,'Scoring_Config'!$D:$D,"Yes")="Yes",_xlfn.XLOOKUP("Risky_Outbound",'Scoring_Config'!$A:$A,'Scoring_Config'!$C:$C,10),0),"False,0")</f>
        <v>0</v>
      </c>
      <c r="AP66" s="5" t="s">
        <v>2595</v>
      </c>
      <c r="AQ66" s="4" cm="1">
        <f t="array" ref="AQ6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6" s="4" t="s">
        <v>2592</v>
      </c>
      <c r="AS66" s="4" t="s">
        <v>2592</v>
      </c>
      <c r="AT66" s="4" t="s">
        <v>2592</v>
      </c>
      <c r="AU66" s="4" cm="1">
        <f t="array" ref="AU66">IF(FALSE,"True," &amp; IF(_xlfn.XLOOKUP("Action_IsDenyOrDrop",'Scoring_Config'!$A:$A,'Scoring_Config'!$D:$D,"Yes")="Yes",_xlfn.XLOOKUP("Action_IsDenyOrDrop",'Scoring_Config'!$A:$A,'Scoring_Config'!$C:$C,0),0),"False,0")</f>
        <v>0</v>
      </c>
      <c r="AV66" s="4"/>
      <c r="AW66" s="4" cm="1">
        <f t="array" ref="AW66">IF(FALSE,"True," &amp; IF(_xlfn.XLOOKUP("Migrate_Insecure",'Scoring_Config'!$A:$A,'Scoring_Config'!$D:$D,"Yes")="Yes",_xlfn.XLOOKUP("Migrate_Insecure",'Scoring_Config'!$A:$A,'Scoring_Config'!$C:$C,15),0),"False,0")</f>
        <v>0</v>
      </c>
      <c r="AX66" s="4"/>
      <c r="AY66" s="4" cm="1">
        <f t="array" ref="AY66">IF(FALSE,"True," &amp; IF(_xlfn.XLOOKUP("Migrate_Other_Ports",'Scoring_Config'!$A:$A,'Scoring_Config'!$D:$D,"Yes")="Yes",_xlfn.XLOOKUP("Migrate_Other_Ports",'Scoring_Config'!$A:$A,'Scoring_Config'!$C:$C,5),0),"False,0")</f>
        <v>0</v>
      </c>
      <c r="AZ66" s="4" cm="1">
        <f t="array" ref="AZ66">IF(LEFT(AU66,4)="True",0,(IF(LEFT(AC66,4)="True",IF(_xlfn.XLOOKUP("Src_IsAny",'Scoring_Config'!$A:$A,'Scoring_Config'!$D:$D,"Yes")="Yes",_xlfn.XLOOKUP("Src_IsAny",'Scoring_Config'!$A:$A,'Scoring_Config'!$C:$C,25),0),0)+IF(LEFT(AD66,4)="True",IF(_xlfn.XLOOKUP("Src_CIDR_Le_16",'Scoring_Config'!$A:$A,'Scoring_Config'!$D:$D,"Yes")="Yes",_xlfn.XLOOKUP("Src_CIDR_Le_16",'Scoring_Config'!$A:$A,'Scoring_Config'!$C:$C,25),0),0)+IF(LEFT(AE66,4)="True",IF(_xlfn.XLOOKUP("Src_CIDR_17_22",'Scoring_Config'!$A:$A,'Scoring_Config'!$D:$D,"Yes")="Yes",_xlfn.XLOOKUP("Src_CIDR_17_22",'Scoring_Config'!$A:$A,'Scoring_Config'!$C:$C,15),0),0)+IF(LEFT(AF66,4)="True",IF(_xlfn.XLOOKUP("Dst_IsAny",'Scoring_Config'!$A:$A,'Scoring_Config'!$D:$D,"Yes")="Yes",_xlfn.XLOOKUP("Dst_IsAny",'Scoring_Config'!$A:$A,'Scoring_Config'!$C:$C,25),0),0)+IF(LEFT(AG66,4)="True",IF(_xlfn.XLOOKUP("Dst_CIDR_Le_16",'Scoring_Config'!$A:$A,'Scoring_Config'!$D:$D,"Yes")="Yes",_xlfn.XLOOKUP("Dst_CIDR_Le_16",'Scoring_Config'!$A:$A,'Scoring_Config'!$C:$C,25),0),0)+IF(LEFT(AH66,4)="True",IF(_xlfn.XLOOKUP("Dst_CIDR_17_22",'Scoring_Config'!$A:$A,'Scoring_Config'!$D:$D,"Yes")="Yes",_xlfn.XLOOKUP("Dst_CIDR_17_22",'Scoring_Config'!$A:$A,'Scoring_Config'!$C:$C,15),0),0)+IF(LEFT(AI66,4)="True",IF(_xlfn.XLOOKUP("SrcZone_IsAny",'Scoring_Config'!$A:$A,'Scoring_Config'!$D:$D,"Yes")="Yes",_xlfn.XLOOKUP("SrcZone_IsAny",'Scoring_Config'!$A:$A,'Scoring_Config'!$C:$C,5),0),0)+IF(LEFT(AJ66,4)="True",IF(_xlfn.XLOOKUP("DstZone_IsAny",'Scoring_Config'!$A:$A,'Scoring_Config'!$D:$D,"Yes")="Yes",_xlfn.XLOOKUP("DstZone_IsAny",'Scoring_Config'!$A:$A,'Scoring_Config'!$C:$C,5),0),0)+IF(LEFT(AK66,4)="True",IF(_xlfn.XLOOKUP("Service_Any_OR_RangeGt1000",'Scoring_Config'!$A:$A,'Scoring_Config'!$D:$D,"Yes")="Yes",_xlfn.XLOOKUP("Service_Any_OR_RangeGt1000",'Scoring_Config'!$A:$A,'Scoring_Config'!$C:$C,25),0),0)+IF(LEFT(AL66,4)="True",IF(_xlfn.XLOOKUP("App_Any_OR_RangeGt1000",'Scoring_Config'!$A:$A,'Scoring_Config'!$D:$D,"Yes")="Yes",_xlfn.XLOOKUP("App_Any_OR_RangeGt1000",'Scoring_Config'!$A:$A,'Scoring_Config'!$C:$C,25),0),0)+IF(LEFT(AM66,4)="True",IF(_xlfn.XLOOKUP("Service_Insecure_Match",'Scoring_Config'!$A:$A,'Scoring_Config'!$D:$D,"Yes")="Yes",_xlfn.XLOOKUP("Service_Insecure_Match",'Scoring_Config'!$A:$A,'Scoring_Config'!$C:$C,20),0),0)+IF(LEFT(AN66,4)="True",IF(_xlfn.XLOOKUP("Risky_Inbound",'Scoring_Config'!$A:$A,'Scoring_Config'!$D:$D,"Yes")="Yes",_xlfn.XLOOKUP("Risky_Inbound",'Scoring_Config'!$A:$A,'Scoring_Config'!$C:$C,20),0),0)+IF(LEFT(AO66,4)="True",IF(_xlfn.XLOOKUP("Risky_Outbound",'Scoring_Config'!$A:$A,'Scoring_Config'!$D:$D,"Yes")="Yes",_xlfn.XLOOKUP("Risky_Outbound",'Scoring_Config'!$A:$A,'Scoring_Config'!$C:$C,10),0),0)+IF(LEFT(AW66,4)="True",IF(_xlfn.XLOOKUP("Migrate_Insecure",'Scoring_Config'!$A:$A,'Scoring_Config'!$D:$D,"Yes")="Yes",_xlfn.XLOOKUP("Migrate_Insecure",'Scoring_Config'!$A:$A,'Scoring_Config'!$C:$C,15),0),0)+IF(LEFT(AY66,4)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66,FIND(",",AP66)+1,100)),0)+IF(LEFT(AQ66,4)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66,FIND(",",AR66)+1,100)),0)+IF(_xlfn.XLOOKUP("Profile_Scoring",'Scoring_Config'!$A:$A,'Scoring_Config'!$D:$D,"Yes")="Yes",VALUE(MID(AS66,FIND(",",AS66)+1,100)),0)+IF(_xlfn.XLOOKUP("Options_Scoring",'Scoring_Config'!$A:$A,'Scoring_Config'!$D:$D,"Yes")="Yes",VALUE(MID(AT66,FIND(",",AT66)+1,100)),0)))</f>
        <v>0</v>
      </c>
    </row>
    <row r="67" spans="1:52">
      <c r="A67" s="3" t="s">
        <v>52</v>
      </c>
      <c r="B67" s="3" t="s">
        <v>68</v>
      </c>
      <c r="C67" s="3" t="s">
        <v>329</v>
      </c>
      <c r="D67" s="3"/>
      <c r="E67" s="3" t="s">
        <v>359</v>
      </c>
      <c r="F67" s="3" t="s">
        <v>361</v>
      </c>
      <c r="G67" s="3" t="s">
        <v>365</v>
      </c>
      <c r="H67" s="3" t="s">
        <v>365</v>
      </c>
      <c r="I67" s="3" t="s">
        <v>623</v>
      </c>
      <c r="J67" s="3" t="s">
        <v>364</v>
      </c>
      <c r="K67" s="3" t="s">
        <v>365</v>
      </c>
      <c r="L67" s="3" t="s">
        <v>365</v>
      </c>
      <c r="M67" s="3" t="s">
        <v>365</v>
      </c>
      <c r="N67" s="3" t="s">
        <v>365</v>
      </c>
      <c r="O67" s="4" t="s">
        <v>821</v>
      </c>
      <c r="P67" s="3" t="s">
        <v>882</v>
      </c>
      <c r="Q67" s="3" t="s">
        <v>905</v>
      </c>
      <c r="R67" s="3" t="s">
        <v>907</v>
      </c>
      <c r="S67" s="3" t="s">
        <v>912</v>
      </c>
      <c r="T67" s="3" t="s">
        <v>960</v>
      </c>
      <c r="U67" s="3" t="s">
        <v>1150</v>
      </c>
      <c r="V67" s="3" t="s">
        <v>772</v>
      </c>
      <c r="W67" s="3" t="s">
        <v>1427</v>
      </c>
      <c r="X67" s="3" t="s">
        <v>1671</v>
      </c>
      <c r="Y67" s="3" t="s">
        <v>2140</v>
      </c>
      <c r="Z67" s="3"/>
      <c r="AA67" s="3"/>
      <c r="AB67" s="3"/>
      <c r="AC67" s="5" cm="1">
        <f t="array" ref="AC67">IF(TRUE,"True," &amp; IF(_xlfn.XLOOKUP("Src_IsAny",'Scoring_Config'!$A:$A,'Scoring_Config'!$D:$D,"Yes")="Yes",_xlfn.XLOOKUP("Src_IsAny",'Scoring_Config'!$A:$A,'Scoring_Config'!$C:$C,25),0),"False,0")</f>
        <v>0</v>
      </c>
      <c r="AD67" s="4" cm="1">
        <f t="array" ref="AD67">IF(FALSE,"True," &amp; IF(_xlfn.XLOOKUP("Src_CIDR_Le_16",'Scoring_Config'!$A:$A,'Scoring_Config'!$D:$D,"Yes")="Yes",_xlfn.XLOOKUP("Src_CIDR_Le_16",'Scoring_Config'!$A:$A,'Scoring_Config'!$C:$C,25),0),"False,0")</f>
        <v>0</v>
      </c>
      <c r="AE67" s="4" cm="1">
        <f t="array" ref="AE67">IF(FALSE,"True," &amp; IF(_xlfn.XLOOKUP("Src_CIDR_17_22",'Scoring_Config'!$A:$A,'Scoring_Config'!$D:$D,"Yes")="Yes",_xlfn.XLOOKUP("Src_CIDR_17_22",'Scoring_Config'!$A:$A,'Scoring_Config'!$C:$C,15),0),"False,0")</f>
        <v>0</v>
      </c>
      <c r="AF67" s="5" cm="1">
        <f t="array" ref="AF67">IF(TRUE,"True," &amp; IF(_xlfn.XLOOKUP("Dst_IsAny",'Scoring_Config'!$A:$A,'Scoring_Config'!$D:$D,"Yes")="Yes",_xlfn.XLOOKUP("Dst_IsAny",'Scoring_Config'!$A:$A,'Scoring_Config'!$C:$C,25),0),"False,0")</f>
        <v>0</v>
      </c>
      <c r="AG67" s="4" cm="1">
        <f t="array" ref="AG67">IF(FALSE,"True," &amp; IF(_xlfn.XLOOKUP("Dst_CIDR_Le_16",'Scoring_Config'!$A:$A,'Scoring_Config'!$D:$D,"Yes")="Yes",_xlfn.XLOOKUP("Dst_CIDR_Le_16",'Scoring_Config'!$A:$A,'Scoring_Config'!$C:$C,25),0),"False,0")</f>
        <v>0</v>
      </c>
      <c r="AH67" s="4" cm="1">
        <f t="array" ref="AH67">IF(FALSE,"True," &amp; IF(_xlfn.XLOOKUP("Dst_CIDR_17_22",'Scoring_Config'!$A:$A,'Scoring_Config'!$D:$D,"Yes")="Yes",_xlfn.XLOOKUP("Dst_CIDR_17_22",'Scoring_Config'!$A:$A,'Scoring_Config'!$C:$C,15),0),"False,0")</f>
        <v>0</v>
      </c>
      <c r="AI67" s="4" cm="1">
        <f t="array" ref="AI67">IF(FALSE,"True," &amp; IF(_xlfn.XLOOKUP("SrcZone_IsAny",'Scoring_Config'!$A:$A,'Scoring_Config'!$D:$D,"Yes")="Yes",_xlfn.XLOOKUP("SrcZone_IsAny",'Scoring_Config'!$A:$A,'Scoring_Config'!$C:$C,5),0),"False,0")</f>
        <v>0</v>
      </c>
      <c r="AJ67" s="4" cm="1">
        <f t="array" ref="AJ67">IF(FALSE,"True," &amp; IF(_xlfn.XLOOKUP("DstZone_IsAny",'Scoring_Config'!$A:$A,'Scoring_Config'!$D:$D,"Yes")="Yes",_xlfn.XLOOKUP("DstZone_IsAny",'Scoring_Config'!$A:$A,'Scoring_Config'!$C:$C,5),0),"False,0")</f>
        <v>0</v>
      </c>
      <c r="AK67" s="4" cm="1">
        <f t="array" ref="AK6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7" s="5" cm="1">
        <f t="array" ref="AL67">IF(TRUE,"True," &amp; IF(_xlfn.XLOOKUP("App_Any_OR_RangeGt1000",'Scoring_Config'!$A:$A,'Scoring_Config'!$D:$D,"Yes")="Yes",_xlfn.XLOOKUP("App_Any_OR_RangeGt1000",'Scoring_Config'!$A:$A,'Scoring_Config'!$C:$C,25),0),"False,0")</f>
        <v>0</v>
      </c>
      <c r="AM67" s="5" cm="1">
        <f t="array" ref="AM67">IF(TRUE,"True," &amp; IF(_xlfn.XLOOKUP("Service_Insecure_Match",'Scoring_Config'!$A:$A,'Scoring_Config'!$D:$D,"Yes")="Yes",_xlfn.XLOOKUP("Service_Insecure_Match",'Scoring_Config'!$A:$A,'Scoring_Config'!$C:$C,20),0),"False,0")</f>
        <v>0</v>
      </c>
      <c r="AN67" s="4" cm="1">
        <f t="array" ref="AN67">IF(FALSE,"True," &amp; IF(_xlfn.XLOOKUP("Risky_Inbound",'Scoring_Config'!$A:$A,'Scoring_Config'!$D:$D,"Yes")="Yes",_xlfn.XLOOKUP("Risky_Inbound",'Scoring_Config'!$A:$A,'Scoring_Config'!$C:$C,20),0),"False,0")</f>
        <v>0</v>
      </c>
      <c r="AO67" s="4" cm="1">
        <f t="array" ref="AO67">IF(FALSE,"True," &amp; IF(_xlfn.XLOOKUP("Risky_Outbound",'Scoring_Config'!$A:$A,'Scoring_Config'!$D:$D,"Yes")="Yes",_xlfn.XLOOKUP("Risky_Outbound",'Scoring_Config'!$A:$A,'Scoring_Config'!$C:$C,10),0),"False,0")</f>
        <v>0</v>
      </c>
      <c r="AP67" s="5" t="s">
        <v>2595</v>
      </c>
      <c r="AQ67" s="5" cm="1">
        <f t="array" ref="AQ6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7" s="5" t="s">
        <v>2598</v>
      </c>
      <c r="AS67" s="5" t="s">
        <v>2595</v>
      </c>
      <c r="AT67" s="4" t="s">
        <v>2592</v>
      </c>
      <c r="AU67" s="4" cm="1">
        <f t="array" ref="AU67">IF(FALSE,"True," &amp; IF(_xlfn.XLOOKUP("Action_IsDenyOrDrop",'Scoring_Config'!$A:$A,'Scoring_Config'!$D:$D,"Yes")="Yes",_xlfn.XLOOKUP("Action_IsDenyOrDrop",'Scoring_Config'!$A:$A,'Scoring_Config'!$C:$C,0),0),"False,0")</f>
        <v>0</v>
      </c>
      <c r="AV67" s="4"/>
      <c r="AW67" s="4" cm="1">
        <f t="array" ref="AW67">IF(FALSE,"True," &amp; IF(_xlfn.XLOOKUP("Migrate_Insecure",'Scoring_Config'!$A:$A,'Scoring_Config'!$D:$D,"Yes")="Yes",_xlfn.XLOOKUP("Migrate_Insecure",'Scoring_Config'!$A:$A,'Scoring_Config'!$C:$C,15),0),"False,0")</f>
        <v>0</v>
      </c>
      <c r="AX67" s="4"/>
      <c r="AY67" s="4" cm="1">
        <f t="array" ref="AY67">IF(FALSE,"True," &amp; IF(_xlfn.XLOOKUP("Migrate_Other_Ports",'Scoring_Config'!$A:$A,'Scoring_Config'!$D:$D,"Yes")="Yes",_xlfn.XLOOKUP("Migrate_Other_Ports",'Scoring_Config'!$A:$A,'Scoring_Config'!$C:$C,5),0),"False,0")</f>
        <v>0</v>
      </c>
      <c r="AZ67" s="4" cm="1">
        <f t="array" ref="AZ67">IF(LEFT(AU67,4)="True",0,(IF(LEFT(AC67,4)="True",IF(_xlfn.XLOOKUP("Src_IsAny",'Scoring_Config'!$A:$A,'Scoring_Config'!$D:$D,"Yes")="Yes",_xlfn.XLOOKUP("Src_IsAny",'Scoring_Config'!$A:$A,'Scoring_Config'!$C:$C,25),0),0)+IF(LEFT(AD67,4)="True",IF(_xlfn.XLOOKUP("Src_CIDR_Le_16",'Scoring_Config'!$A:$A,'Scoring_Config'!$D:$D,"Yes")="Yes",_xlfn.XLOOKUP("Src_CIDR_Le_16",'Scoring_Config'!$A:$A,'Scoring_Config'!$C:$C,25),0),0)+IF(LEFT(AE67,4)="True",IF(_xlfn.XLOOKUP("Src_CIDR_17_22",'Scoring_Config'!$A:$A,'Scoring_Config'!$D:$D,"Yes")="Yes",_xlfn.XLOOKUP("Src_CIDR_17_22",'Scoring_Config'!$A:$A,'Scoring_Config'!$C:$C,15),0),0)+IF(LEFT(AF67,4)="True",IF(_xlfn.XLOOKUP("Dst_IsAny",'Scoring_Config'!$A:$A,'Scoring_Config'!$D:$D,"Yes")="Yes",_xlfn.XLOOKUP("Dst_IsAny",'Scoring_Config'!$A:$A,'Scoring_Config'!$C:$C,25),0),0)+IF(LEFT(AG67,4)="True",IF(_xlfn.XLOOKUP("Dst_CIDR_Le_16",'Scoring_Config'!$A:$A,'Scoring_Config'!$D:$D,"Yes")="Yes",_xlfn.XLOOKUP("Dst_CIDR_Le_16",'Scoring_Config'!$A:$A,'Scoring_Config'!$C:$C,25),0),0)+IF(LEFT(AH67,4)="True",IF(_xlfn.XLOOKUP("Dst_CIDR_17_22",'Scoring_Config'!$A:$A,'Scoring_Config'!$D:$D,"Yes")="Yes",_xlfn.XLOOKUP("Dst_CIDR_17_22",'Scoring_Config'!$A:$A,'Scoring_Config'!$C:$C,15),0),0)+IF(LEFT(AI67,4)="True",IF(_xlfn.XLOOKUP("SrcZone_IsAny",'Scoring_Config'!$A:$A,'Scoring_Config'!$D:$D,"Yes")="Yes",_xlfn.XLOOKUP("SrcZone_IsAny",'Scoring_Config'!$A:$A,'Scoring_Config'!$C:$C,5),0),0)+IF(LEFT(AJ67,4)="True",IF(_xlfn.XLOOKUP("DstZone_IsAny",'Scoring_Config'!$A:$A,'Scoring_Config'!$D:$D,"Yes")="Yes",_xlfn.XLOOKUP("DstZone_IsAny",'Scoring_Config'!$A:$A,'Scoring_Config'!$C:$C,5),0),0)+IF(LEFT(AK67,4)="True",IF(_xlfn.XLOOKUP("Service_Any_OR_RangeGt1000",'Scoring_Config'!$A:$A,'Scoring_Config'!$D:$D,"Yes")="Yes",_xlfn.XLOOKUP("Service_Any_OR_RangeGt1000",'Scoring_Config'!$A:$A,'Scoring_Config'!$C:$C,25),0),0)+IF(LEFT(AL67,4)="True",IF(_xlfn.XLOOKUP("App_Any_OR_RangeGt1000",'Scoring_Config'!$A:$A,'Scoring_Config'!$D:$D,"Yes")="Yes",_xlfn.XLOOKUP("App_Any_OR_RangeGt1000",'Scoring_Config'!$A:$A,'Scoring_Config'!$C:$C,25),0),0)+IF(LEFT(AM67,4)="True",IF(_xlfn.XLOOKUP("Service_Insecure_Match",'Scoring_Config'!$A:$A,'Scoring_Config'!$D:$D,"Yes")="Yes",_xlfn.XLOOKUP("Service_Insecure_Match",'Scoring_Config'!$A:$A,'Scoring_Config'!$C:$C,20),0),0)+IF(LEFT(AN67,4)="True",IF(_xlfn.XLOOKUP("Risky_Inbound",'Scoring_Config'!$A:$A,'Scoring_Config'!$D:$D,"Yes")="Yes",_xlfn.XLOOKUP("Risky_Inbound",'Scoring_Config'!$A:$A,'Scoring_Config'!$C:$C,20),0),0)+IF(LEFT(AO67,4)="True",IF(_xlfn.XLOOKUP("Risky_Outbound",'Scoring_Config'!$A:$A,'Scoring_Config'!$D:$D,"Yes")="Yes",_xlfn.XLOOKUP("Risky_Outbound",'Scoring_Config'!$A:$A,'Scoring_Config'!$C:$C,10),0),0)+IF(LEFT(AW67,4)="True",IF(_xlfn.XLOOKUP("Migrate_Insecure",'Scoring_Config'!$A:$A,'Scoring_Config'!$D:$D,"Yes")="Yes",_xlfn.XLOOKUP("Migrate_Insecure",'Scoring_Config'!$A:$A,'Scoring_Config'!$C:$C,15),0),0)+IF(LEFT(AY67,4)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67,FIND(",",AP67)+1,100)),0)+IF(LEFT(AQ67,4)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67,FIND(",",AR67)+1,100)),0)+IF(_xlfn.XLOOKUP("Profile_Scoring",'Scoring_Config'!$A:$A,'Scoring_Config'!$D:$D,"Yes")="Yes",VALUE(MID(AS67,FIND(",",AS67)+1,100)),0)+IF(_xlfn.XLOOKUP("Options_Scoring",'Scoring_Config'!$A:$A,'Scoring_Config'!$D:$D,"Yes")="Yes",VALUE(MID(AT67,FIND(",",AT67)+1,100)),0)))</f>
        <v>0</v>
      </c>
    </row>
    <row r="68" spans="1:52">
      <c r="A68" s="3" t="s">
        <v>52</v>
      </c>
      <c r="B68" s="3" t="s">
        <v>106</v>
      </c>
      <c r="C68" s="3" t="s">
        <v>329</v>
      </c>
      <c r="D68" s="3"/>
      <c r="E68" s="3" t="s">
        <v>359</v>
      </c>
      <c r="F68" s="3" t="s">
        <v>361</v>
      </c>
      <c r="G68" s="3" t="s">
        <v>365</v>
      </c>
      <c r="H68" s="3" t="s">
        <v>365</v>
      </c>
      <c r="I68" s="3" t="s">
        <v>625</v>
      </c>
      <c r="J68" s="3" t="s">
        <v>362</v>
      </c>
      <c r="K68" s="3" t="s">
        <v>641</v>
      </c>
      <c r="L68" s="3" t="s">
        <v>747</v>
      </c>
      <c r="M68" s="3" t="s">
        <v>769</v>
      </c>
      <c r="N68" s="3" t="s">
        <v>792</v>
      </c>
      <c r="O68" s="4" t="s">
        <v>810</v>
      </c>
      <c r="P68" s="3" t="s">
        <v>871</v>
      </c>
      <c r="Q68" s="3" t="s">
        <v>905</v>
      </c>
      <c r="R68" s="3" t="s">
        <v>908</v>
      </c>
      <c r="S68" s="3" t="s">
        <v>907</v>
      </c>
      <c r="T68" s="3" t="s">
        <v>961</v>
      </c>
      <c r="U68" s="3" t="s">
        <v>1150</v>
      </c>
      <c r="V68" s="3" t="s">
        <v>772</v>
      </c>
      <c r="W68" s="3" t="s">
        <v>1429</v>
      </c>
      <c r="X68" s="3" t="s">
        <v>1672</v>
      </c>
      <c r="Y68" s="3" t="s">
        <v>2141</v>
      </c>
      <c r="Z68" s="3"/>
      <c r="AA68" s="3"/>
      <c r="AB68" s="3"/>
      <c r="AC68" s="5" cm="1">
        <f t="array" ref="AC68">IF(TRUE,"True," &amp; IF(_xlfn.XLOOKUP("Src_IsAny",'Scoring_Config'!$A:$A,'Scoring_Config'!$D:$D,"Yes")="Yes",_xlfn.XLOOKUP("Src_IsAny",'Scoring_Config'!$A:$A,'Scoring_Config'!$C:$C,25),0),"False,0")</f>
        <v>0</v>
      </c>
      <c r="AD68" s="4" cm="1">
        <f t="array" ref="AD68">IF(FALSE,"True," &amp; IF(_xlfn.XLOOKUP("Src_CIDR_Le_16",'Scoring_Config'!$A:$A,'Scoring_Config'!$D:$D,"Yes")="Yes",_xlfn.XLOOKUP("Src_CIDR_Le_16",'Scoring_Config'!$A:$A,'Scoring_Config'!$C:$C,25),0),"False,0")</f>
        <v>0</v>
      </c>
      <c r="AE68" s="4" cm="1">
        <f t="array" ref="AE68">IF(FALSE,"True," &amp; IF(_xlfn.XLOOKUP("Src_CIDR_17_22",'Scoring_Config'!$A:$A,'Scoring_Config'!$D:$D,"Yes")="Yes",_xlfn.XLOOKUP("Src_CIDR_17_22",'Scoring_Config'!$A:$A,'Scoring_Config'!$C:$C,15),0),"False,0")</f>
        <v>0</v>
      </c>
      <c r="AF68" s="4" cm="1">
        <f t="array" ref="AF68">IF(FALSE,"True," &amp; IF(_xlfn.XLOOKUP("Dst_IsAny",'Scoring_Config'!$A:$A,'Scoring_Config'!$D:$D,"Yes")="Yes",_xlfn.XLOOKUP("Dst_IsAny",'Scoring_Config'!$A:$A,'Scoring_Config'!$C:$C,25),0),"False,0")</f>
        <v>0</v>
      </c>
      <c r="AG68" s="4" cm="1">
        <f t="array" ref="AG68">IF(FALSE,"True," &amp; IF(_xlfn.XLOOKUP("Dst_CIDR_Le_16",'Scoring_Config'!$A:$A,'Scoring_Config'!$D:$D,"Yes")="Yes",_xlfn.XLOOKUP("Dst_CIDR_Le_16",'Scoring_Config'!$A:$A,'Scoring_Config'!$C:$C,25),0),"False,0")</f>
        <v>0</v>
      </c>
      <c r="AH68" s="4" cm="1">
        <f t="array" ref="AH68">IF(FALSE,"True," &amp; IF(_xlfn.XLOOKUP("Dst_CIDR_17_22",'Scoring_Config'!$A:$A,'Scoring_Config'!$D:$D,"Yes")="Yes",_xlfn.XLOOKUP("Dst_CIDR_17_22",'Scoring_Config'!$A:$A,'Scoring_Config'!$C:$C,15),0),"False,0")</f>
        <v>0</v>
      </c>
      <c r="AI68" s="4" cm="1">
        <f t="array" ref="AI68">IF(FALSE,"True," &amp; IF(_xlfn.XLOOKUP("SrcZone_IsAny",'Scoring_Config'!$A:$A,'Scoring_Config'!$D:$D,"Yes")="Yes",_xlfn.XLOOKUP("SrcZone_IsAny",'Scoring_Config'!$A:$A,'Scoring_Config'!$C:$C,5),0),"False,0")</f>
        <v>0</v>
      </c>
      <c r="AJ68" s="4" cm="1">
        <f t="array" ref="AJ68">IF(FALSE,"True," &amp; IF(_xlfn.XLOOKUP("DstZone_IsAny",'Scoring_Config'!$A:$A,'Scoring_Config'!$D:$D,"Yes")="Yes",_xlfn.XLOOKUP("DstZone_IsAny",'Scoring_Config'!$A:$A,'Scoring_Config'!$C:$C,5),0),"False,0")</f>
        <v>0</v>
      </c>
      <c r="AK68" s="4" cm="1">
        <f t="array" ref="AK6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8" s="4" cm="1">
        <f t="array" ref="AL68">IF(FALSE,"True," &amp; IF(_xlfn.XLOOKUP("App_Any_OR_RangeGt1000",'Scoring_Config'!$A:$A,'Scoring_Config'!$D:$D,"Yes")="Yes",_xlfn.XLOOKUP("App_Any_OR_RangeGt1000",'Scoring_Config'!$A:$A,'Scoring_Config'!$C:$C,25),0),"False,0")</f>
        <v>0</v>
      </c>
      <c r="AM68" s="5" cm="1">
        <f t="array" ref="AM68">IF(TRUE,"True," &amp; IF(_xlfn.XLOOKUP("Service_Insecure_Match",'Scoring_Config'!$A:$A,'Scoring_Config'!$D:$D,"Yes")="Yes",_xlfn.XLOOKUP("Service_Insecure_Match",'Scoring_Config'!$A:$A,'Scoring_Config'!$C:$C,20),0),"False,0")</f>
        <v>0</v>
      </c>
      <c r="AN68" s="4" cm="1">
        <f t="array" ref="AN68">IF(FALSE,"True," &amp; IF(_xlfn.XLOOKUP("Risky_Inbound",'Scoring_Config'!$A:$A,'Scoring_Config'!$D:$D,"Yes")="Yes",_xlfn.XLOOKUP("Risky_Inbound",'Scoring_Config'!$A:$A,'Scoring_Config'!$C:$C,20),0),"False,0")</f>
        <v>0</v>
      </c>
      <c r="AO68" s="4" cm="1">
        <f t="array" ref="AO68">IF(FALSE,"True," &amp; IF(_xlfn.XLOOKUP("Risky_Outbound",'Scoring_Config'!$A:$A,'Scoring_Config'!$D:$D,"Yes")="Yes",_xlfn.XLOOKUP("Risky_Outbound",'Scoring_Config'!$A:$A,'Scoring_Config'!$C:$C,10),0),"False,0")</f>
        <v>0</v>
      </c>
      <c r="AP68" s="5" t="s">
        <v>2595</v>
      </c>
      <c r="AQ68" s="5" cm="1">
        <f t="array" ref="AQ6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8" s="5" t="s">
        <v>2598</v>
      </c>
      <c r="AS68" s="4" t="s">
        <v>2592</v>
      </c>
      <c r="AT68" s="5" t="s">
        <v>2595</v>
      </c>
      <c r="AU68" s="4" cm="1">
        <f t="array" ref="AU68">IF(FALSE,"True," &amp; IF(_xlfn.XLOOKUP("Action_IsDenyOrDrop",'Scoring_Config'!$A:$A,'Scoring_Config'!$D:$D,"Yes")="Yes",_xlfn.XLOOKUP("Action_IsDenyOrDrop",'Scoring_Config'!$A:$A,'Scoring_Config'!$C:$C,0),0),"False,0")</f>
        <v>0</v>
      </c>
      <c r="AV68" s="4"/>
      <c r="AW68" s="4" cm="1">
        <f t="array" ref="AW68">IF(FALSE,"True," &amp; IF(_xlfn.XLOOKUP("Migrate_Insecure",'Scoring_Config'!$A:$A,'Scoring_Config'!$D:$D,"Yes")="Yes",_xlfn.XLOOKUP("Migrate_Insecure",'Scoring_Config'!$A:$A,'Scoring_Config'!$C:$C,15),0),"False,0")</f>
        <v>0</v>
      </c>
      <c r="AX68" s="4"/>
      <c r="AY68" s="4" cm="1">
        <f t="array" ref="AY68">IF(FALSE,"True," &amp; IF(_xlfn.XLOOKUP("Migrate_Other_Ports",'Scoring_Config'!$A:$A,'Scoring_Config'!$D:$D,"Yes")="Yes",_xlfn.XLOOKUP("Migrate_Other_Ports",'Scoring_Config'!$A:$A,'Scoring_Config'!$C:$C,5),0),"False,0")</f>
        <v>0</v>
      </c>
      <c r="AZ68" s="4" cm="1">
        <f t="array" ref="AZ68">IF(LEFT(AU68,4)="True",0,(IF(LEFT(AC68,4)="True",IF(_xlfn.XLOOKUP("Src_IsAny",'Scoring_Config'!$A:$A,'Scoring_Config'!$D:$D,"Yes")="Yes",_xlfn.XLOOKUP("Src_IsAny",'Scoring_Config'!$A:$A,'Scoring_Config'!$C:$C,25),0),0)+IF(LEFT(AD68,4)="True",IF(_xlfn.XLOOKUP("Src_CIDR_Le_16",'Scoring_Config'!$A:$A,'Scoring_Config'!$D:$D,"Yes")="Yes",_xlfn.XLOOKUP("Src_CIDR_Le_16",'Scoring_Config'!$A:$A,'Scoring_Config'!$C:$C,25),0),0)+IF(LEFT(AE68,4)="True",IF(_xlfn.XLOOKUP("Src_CIDR_17_22",'Scoring_Config'!$A:$A,'Scoring_Config'!$D:$D,"Yes")="Yes",_xlfn.XLOOKUP("Src_CIDR_17_22",'Scoring_Config'!$A:$A,'Scoring_Config'!$C:$C,15),0),0)+IF(LEFT(AF68,4)="True",IF(_xlfn.XLOOKUP("Dst_IsAny",'Scoring_Config'!$A:$A,'Scoring_Config'!$D:$D,"Yes")="Yes",_xlfn.XLOOKUP("Dst_IsAny",'Scoring_Config'!$A:$A,'Scoring_Config'!$C:$C,25),0),0)+IF(LEFT(AG68,4)="True",IF(_xlfn.XLOOKUP("Dst_CIDR_Le_16",'Scoring_Config'!$A:$A,'Scoring_Config'!$D:$D,"Yes")="Yes",_xlfn.XLOOKUP("Dst_CIDR_Le_16",'Scoring_Config'!$A:$A,'Scoring_Config'!$C:$C,25),0),0)+IF(LEFT(AH68,4)="True",IF(_xlfn.XLOOKUP("Dst_CIDR_17_22",'Scoring_Config'!$A:$A,'Scoring_Config'!$D:$D,"Yes")="Yes",_xlfn.XLOOKUP("Dst_CIDR_17_22",'Scoring_Config'!$A:$A,'Scoring_Config'!$C:$C,15),0),0)+IF(LEFT(AI68,4)="True",IF(_xlfn.XLOOKUP("SrcZone_IsAny",'Scoring_Config'!$A:$A,'Scoring_Config'!$D:$D,"Yes")="Yes",_xlfn.XLOOKUP("SrcZone_IsAny",'Scoring_Config'!$A:$A,'Scoring_Config'!$C:$C,5),0),0)+IF(LEFT(AJ68,4)="True",IF(_xlfn.XLOOKUP("DstZone_IsAny",'Scoring_Config'!$A:$A,'Scoring_Config'!$D:$D,"Yes")="Yes",_xlfn.XLOOKUP("DstZone_IsAny",'Scoring_Config'!$A:$A,'Scoring_Config'!$C:$C,5),0),0)+IF(LEFT(AK68,4)="True",IF(_xlfn.XLOOKUP("Service_Any_OR_RangeGt1000",'Scoring_Config'!$A:$A,'Scoring_Config'!$D:$D,"Yes")="Yes",_xlfn.XLOOKUP("Service_Any_OR_RangeGt1000",'Scoring_Config'!$A:$A,'Scoring_Config'!$C:$C,25),0),0)+IF(LEFT(AL68,4)="True",IF(_xlfn.XLOOKUP("App_Any_OR_RangeGt1000",'Scoring_Config'!$A:$A,'Scoring_Config'!$D:$D,"Yes")="Yes",_xlfn.XLOOKUP("App_Any_OR_RangeGt1000",'Scoring_Config'!$A:$A,'Scoring_Config'!$C:$C,25),0),0)+IF(LEFT(AM68,4)="True",IF(_xlfn.XLOOKUP("Service_Insecure_Match",'Scoring_Config'!$A:$A,'Scoring_Config'!$D:$D,"Yes")="Yes",_xlfn.XLOOKUP("Service_Insecure_Match",'Scoring_Config'!$A:$A,'Scoring_Config'!$C:$C,20),0),0)+IF(LEFT(AN68,4)="True",IF(_xlfn.XLOOKUP("Risky_Inbound",'Scoring_Config'!$A:$A,'Scoring_Config'!$D:$D,"Yes")="Yes",_xlfn.XLOOKUP("Risky_Inbound",'Scoring_Config'!$A:$A,'Scoring_Config'!$C:$C,20),0),0)+IF(LEFT(AO68,4)="True",IF(_xlfn.XLOOKUP("Risky_Outbound",'Scoring_Config'!$A:$A,'Scoring_Config'!$D:$D,"Yes")="Yes",_xlfn.XLOOKUP("Risky_Outbound",'Scoring_Config'!$A:$A,'Scoring_Config'!$C:$C,10),0),0)+IF(LEFT(AW68,4)="True",IF(_xlfn.XLOOKUP("Migrate_Insecure",'Scoring_Config'!$A:$A,'Scoring_Config'!$D:$D,"Yes")="Yes",_xlfn.XLOOKUP("Migrate_Insecure",'Scoring_Config'!$A:$A,'Scoring_Config'!$C:$C,15),0),0)+IF(LEFT(AY68,4)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68,FIND(",",AP68)+1,100)),0)+IF(LEFT(AQ68,4)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68,FIND(",",AR68)+1,100)),0)+IF(_xlfn.XLOOKUP("Profile_Scoring",'Scoring_Config'!$A:$A,'Scoring_Config'!$D:$D,"Yes")="Yes",VALUE(MID(AS68,FIND(",",AS68)+1,100)),0)+IF(_xlfn.XLOOKUP("Options_Scoring",'Scoring_Config'!$A:$A,'Scoring_Config'!$D:$D,"Yes")="Yes",VALUE(MID(AT68,FIND(",",AT68)+1,100)),0)))</f>
        <v>0</v>
      </c>
    </row>
    <row r="69" spans="1:52">
      <c r="A69" s="3" t="s">
        <v>52</v>
      </c>
      <c r="B69" s="3" t="s">
        <v>112</v>
      </c>
      <c r="C69" s="3" t="s">
        <v>329</v>
      </c>
      <c r="D69" s="3"/>
      <c r="E69" s="3" t="s">
        <v>359</v>
      </c>
      <c r="F69" s="3" t="s">
        <v>361</v>
      </c>
      <c r="G69" s="3" t="s">
        <v>381</v>
      </c>
      <c r="H69" s="3" t="s">
        <v>547</v>
      </c>
      <c r="I69" s="3" t="s">
        <v>625</v>
      </c>
      <c r="J69" s="3" t="s">
        <v>362</v>
      </c>
      <c r="K69" s="3" t="s">
        <v>637</v>
      </c>
      <c r="L69" s="3" t="s">
        <v>637</v>
      </c>
      <c r="M69" s="3" t="s">
        <v>773</v>
      </c>
      <c r="N69" s="3" t="s">
        <v>773</v>
      </c>
      <c r="O69" s="4" t="s">
        <v>808</v>
      </c>
      <c r="P69" s="3" t="s">
        <v>869</v>
      </c>
      <c r="Q69" s="3" t="s">
        <v>904</v>
      </c>
      <c r="R69" s="3" t="s">
        <v>908</v>
      </c>
      <c r="S69" s="3" t="s">
        <v>916</v>
      </c>
      <c r="T69" s="3" t="s">
        <v>919</v>
      </c>
      <c r="U69" s="3" t="s">
        <v>1187</v>
      </c>
      <c r="V69" s="3" t="s">
        <v>1387</v>
      </c>
      <c r="W69" s="3" t="s">
        <v>1439</v>
      </c>
      <c r="X69" s="3" t="s">
        <v>1673</v>
      </c>
      <c r="Y69" s="3" t="s">
        <v>2142</v>
      </c>
      <c r="Z69" s="3"/>
      <c r="AA69" s="3"/>
      <c r="AB69" s="3"/>
      <c r="AC69" s="4" cm="1">
        <f t="array" ref="AC69">IF(FALSE,"True," &amp; IF(_xlfn.XLOOKUP("Src_IsAny",'Scoring_Config'!$A:$A,'Scoring_Config'!$D:$D,"Yes")="Yes",_xlfn.XLOOKUP("Src_IsAny",'Scoring_Config'!$A:$A,'Scoring_Config'!$C:$C,25),0),"False,0")</f>
        <v>0</v>
      </c>
      <c r="AD69" s="4" cm="1">
        <f t="array" ref="AD69">IF(FALSE,"True," &amp; IF(_xlfn.XLOOKUP("Src_CIDR_Le_16",'Scoring_Config'!$A:$A,'Scoring_Config'!$D:$D,"Yes")="Yes",_xlfn.XLOOKUP("Src_CIDR_Le_16",'Scoring_Config'!$A:$A,'Scoring_Config'!$C:$C,25),0),"False,0")</f>
        <v>0</v>
      </c>
      <c r="AE69" s="4" cm="1">
        <f t="array" ref="AE69">IF(FALSE,"True," &amp; IF(_xlfn.XLOOKUP("Src_CIDR_17_22",'Scoring_Config'!$A:$A,'Scoring_Config'!$D:$D,"Yes")="Yes",_xlfn.XLOOKUP("Src_CIDR_17_22",'Scoring_Config'!$A:$A,'Scoring_Config'!$C:$C,15),0),"False,0")</f>
        <v>0</v>
      </c>
      <c r="AF69" s="4" cm="1">
        <f t="array" ref="AF69">IF(FALSE,"True," &amp; IF(_xlfn.XLOOKUP("Dst_IsAny",'Scoring_Config'!$A:$A,'Scoring_Config'!$D:$D,"Yes")="Yes",_xlfn.XLOOKUP("Dst_IsAny",'Scoring_Config'!$A:$A,'Scoring_Config'!$C:$C,25),0),"False,0")</f>
        <v>0</v>
      </c>
      <c r="AG69" s="4" cm="1">
        <f t="array" ref="AG69">IF(FALSE,"True," &amp; IF(_xlfn.XLOOKUP("Dst_CIDR_Le_16",'Scoring_Config'!$A:$A,'Scoring_Config'!$D:$D,"Yes")="Yes",_xlfn.XLOOKUP("Dst_CIDR_Le_16",'Scoring_Config'!$A:$A,'Scoring_Config'!$C:$C,25),0),"False,0")</f>
        <v>0</v>
      </c>
      <c r="AH69" s="4" cm="1">
        <f t="array" ref="AH69">IF(FALSE,"True," &amp; IF(_xlfn.XLOOKUP("Dst_CIDR_17_22",'Scoring_Config'!$A:$A,'Scoring_Config'!$D:$D,"Yes")="Yes",_xlfn.XLOOKUP("Dst_CIDR_17_22",'Scoring_Config'!$A:$A,'Scoring_Config'!$C:$C,15),0),"False,0")</f>
        <v>0</v>
      </c>
      <c r="AI69" s="4" cm="1">
        <f t="array" ref="AI69">IF(FALSE,"True," &amp; IF(_xlfn.XLOOKUP("SrcZone_IsAny",'Scoring_Config'!$A:$A,'Scoring_Config'!$D:$D,"Yes")="Yes",_xlfn.XLOOKUP("SrcZone_IsAny",'Scoring_Config'!$A:$A,'Scoring_Config'!$C:$C,5),0),"False,0")</f>
        <v>0</v>
      </c>
      <c r="AJ69" s="4" cm="1">
        <f t="array" ref="AJ69">IF(FALSE,"True," &amp; IF(_xlfn.XLOOKUP("DstZone_IsAny",'Scoring_Config'!$A:$A,'Scoring_Config'!$D:$D,"Yes")="Yes",_xlfn.XLOOKUP("DstZone_IsAny",'Scoring_Config'!$A:$A,'Scoring_Config'!$C:$C,5),0),"False,0")</f>
        <v>0</v>
      </c>
      <c r="AK69" s="4" cm="1">
        <f t="array" ref="AK6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69" s="4" cm="1">
        <f t="array" ref="AL69">IF(FALSE,"True," &amp; IF(_xlfn.XLOOKUP("App_Any_OR_RangeGt1000",'Scoring_Config'!$A:$A,'Scoring_Config'!$D:$D,"Yes")="Yes",_xlfn.XLOOKUP("App_Any_OR_RangeGt1000",'Scoring_Config'!$A:$A,'Scoring_Config'!$C:$C,25),0),"False,0")</f>
        <v>0</v>
      </c>
      <c r="AM69" s="5" cm="1">
        <f t="array" ref="AM69">IF(TRUE,"True," &amp; IF(_xlfn.XLOOKUP("Service_Insecure_Match",'Scoring_Config'!$A:$A,'Scoring_Config'!$D:$D,"Yes")="Yes",_xlfn.XLOOKUP("Service_Insecure_Match",'Scoring_Config'!$A:$A,'Scoring_Config'!$C:$C,20),0),"False,0")</f>
        <v>0</v>
      </c>
      <c r="AN69" s="4" cm="1">
        <f t="array" ref="AN69">IF(FALSE,"True," &amp; IF(_xlfn.XLOOKUP("Risky_Inbound",'Scoring_Config'!$A:$A,'Scoring_Config'!$D:$D,"Yes")="Yes",_xlfn.XLOOKUP("Risky_Inbound",'Scoring_Config'!$A:$A,'Scoring_Config'!$C:$C,20),0),"False,0")</f>
        <v>0</v>
      </c>
      <c r="AO69" s="4" cm="1">
        <f t="array" ref="AO69">IF(FALSE,"True," &amp; IF(_xlfn.XLOOKUP("Risky_Outbound",'Scoring_Config'!$A:$A,'Scoring_Config'!$D:$D,"Yes")="Yes",_xlfn.XLOOKUP("Risky_Outbound",'Scoring_Config'!$A:$A,'Scoring_Config'!$C:$C,10),0),"False,0")</f>
        <v>0</v>
      </c>
      <c r="AP69" s="5" t="s">
        <v>2595</v>
      </c>
      <c r="AQ69" s="4" cm="1">
        <f t="array" ref="AQ6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69" s="5" t="s">
        <v>2598</v>
      </c>
      <c r="AS69" s="4" t="s">
        <v>2592</v>
      </c>
      <c r="AT69" s="4" t="s">
        <v>2592</v>
      </c>
      <c r="AU69" s="5" cm="1">
        <f t="array" ref="AU69">IF(TRUE,"True," &amp; IF(_xlfn.XLOOKUP("Action_IsDenyOrDrop",'Scoring_Config'!$A:$A,'Scoring_Config'!$D:$D,"Yes")="Yes",_xlfn.XLOOKUP("Action_IsDenyOrDrop",'Scoring_Config'!$A:$A,'Scoring_Config'!$C:$C,0),0),"False,0")</f>
        <v>0</v>
      </c>
      <c r="AV69" s="4"/>
      <c r="AW69" s="4" cm="1">
        <f t="array" ref="AW69">IF(FALSE,"True," &amp; IF(_xlfn.XLOOKUP("Migrate_Insecure",'Scoring_Config'!$A:$A,'Scoring_Config'!$D:$D,"Yes")="Yes",_xlfn.XLOOKUP("Migrate_Insecure",'Scoring_Config'!$A:$A,'Scoring_Config'!$C:$C,15),0),"False,0")</f>
        <v>0</v>
      </c>
      <c r="AX69" s="4"/>
      <c r="AY69" s="4" cm="1">
        <f t="array" ref="AY69">IF(FALSE,"True," &amp; IF(_xlfn.XLOOKUP("Migrate_Other_Ports",'Scoring_Config'!$A:$A,'Scoring_Config'!$D:$D,"Yes")="Yes",_xlfn.XLOOKUP("Migrate_Other_Ports",'Scoring_Config'!$A:$A,'Scoring_Config'!$C:$C,5),0),"False,0")</f>
        <v>0</v>
      </c>
      <c r="AZ69" s="4" cm="1">
        <f t="array" ref="AZ69">IF(LEFT(AU69,4)="True",0,(IF(LEFT(AC69,4)="True",IF(_xlfn.XLOOKUP("Src_IsAny",'Scoring_Config'!$A:$A,'Scoring_Config'!$D:$D,"Yes")="Yes",_xlfn.XLOOKUP("Src_IsAny",'Scoring_Config'!$A:$A,'Scoring_Config'!$C:$C,25),0),0)+IF(LEFT(AD69,4)="True",IF(_xlfn.XLOOKUP("Src_CIDR_Le_16",'Scoring_Config'!$A:$A,'Scoring_Config'!$D:$D,"Yes")="Yes",_xlfn.XLOOKUP("Src_CIDR_Le_16",'Scoring_Config'!$A:$A,'Scoring_Config'!$C:$C,25),0),0)+IF(LEFT(AE69,4)="True",IF(_xlfn.XLOOKUP("Src_CIDR_17_22",'Scoring_Config'!$A:$A,'Scoring_Config'!$D:$D,"Yes")="Yes",_xlfn.XLOOKUP("Src_CIDR_17_22",'Scoring_Config'!$A:$A,'Scoring_Config'!$C:$C,15),0),0)+IF(LEFT(AF69,4)="True",IF(_xlfn.XLOOKUP("Dst_IsAny",'Scoring_Config'!$A:$A,'Scoring_Config'!$D:$D,"Yes")="Yes",_xlfn.XLOOKUP("Dst_IsAny",'Scoring_Config'!$A:$A,'Scoring_Config'!$C:$C,25),0),0)+IF(LEFT(AG69,4)="True",IF(_xlfn.XLOOKUP("Dst_CIDR_Le_16",'Scoring_Config'!$A:$A,'Scoring_Config'!$D:$D,"Yes")="Yes",_xlfn.XLOOKUP("Dst_CIDR_Le_16",'Scoring_Config'!$A:$A,'Scoring_Config'!$C:$C,25),0),0)+IF(LEFT(AH69,4)="True",IF(_xlfn.XLOOKUP("Dst_CIDR_17_22",'Scoring_Config'!$A:$A,'Scoring_Config'!$D:$D,"Yes")="Yes",_xlfn.XLOOKUP("Dst_CIDR_17_22",'Scoring_Config'!$A:$A,'Scoring_Config'!$C:$C,15),0),0)+IF(LEFT(AI69,4)="True",IF(_xlfn.XLOOKUP("SrcZone_IsAny",'Scoring_Config'!$A:$A,'Scoring_Config'!$D:$D,"Yes")="Yes",_xlfn.XLOOKUP("SrcZone_IsAny",'Scoring_Config'!$A:$A,'Scoring_Config'!$C:$C,5),0),0)+IF(LEFT(AJ69,4)="True",IF(_xlfn.XLOOKUP("DstZone_IsAny",'Scoring_Config'!$A:$A,'Scoring_Config'!$D:$D,"Yes")="Yes",_xlfn.XLOOKUP("DstZone_IsAny",'Scoring_Config'!$A:$A,'Scoring_Config'!$C:$C,5),0),0)+IF(LEFT(AK69,4)="True",IF(_xlfn.XLOOKUP("Service_Any_OR_RangeGt1000",'Scoring_Config'!$A:$A,'Scoring_Config'!$D:$D,"Yes")="Yes",_xlfn.XLOOKUP("Service_Any_OR_RangeGt1000",'Scoring_Config'!$A:$A,'Scoring_Config'!$C:$C,25),0),0)+IF(LEFT(AL69,4)="True",IF(_xlfn.XLOOKUP("App_Any_OR_RangeGt1000",'Scoring_Config'!$A:$A,'Scoring_Config'!$D:$D,"Yes")="Yes",_xlfn.XLOOKUP("App_Any_OR_RangeGt1000",'Scoring_Config'!$A:$A,'Scoring_Config'!$C:$C,25),0),0)+IF(LEFT(AM69,4)="True",IF(_xlfn.XLOOKUP("Service_Insecure_Match",'Scoring_Config'!$A:$A,'Scoring_Config'!$D:$D,"Yes")="Yes",_xlfn.XLOOKUP("Service_Insecure_Match",'Scoring_Config'!$A:$A,'Scoring_Config'!$C:$C,20),0),0)+IF(LEFT(AN69,4)="True",IF(_xlfn.XLOOKUP("Risky_Inbound",'Scoring_Config'!$A:$A,'Scoring_Config'!$D:$D,"Yes")="Yes",_xlfn.XLOOKUP("Risky_Inbound",'Scoring_Config'!$A:$A,'Scoring_Config'!$C:$C,20),0),0)+IF(LEFT(AO69,4)="True",IF(_xlfn.XLOOKUP("Risky_Outbound",'Scoring_Config'!$A:$A,'Scoring_Config'!$D:$D,"Yes")="Yes",_xlfn.XLOOKUP("Risky_Outbound",'Scoring_Config'!$A:$A,'Scoring_Config'!$C:$C,10),0),0)+IF(LEFT(AW69,4)="True",IF(_xlfn.XLOOKUP("Migrate_Insecure",'Scoring_Config'!$A:$A,'Scoring_Config'!$D:$D,"Yes")="Yes",_xlfn.XLOOKUP("Migrate_Insecure",'Scoring_Config'!$A:$A,'Scoring_Config'!$C:$C,15),0),0)+IF(LEFT(AY69,4)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69,FIND(",",AP69)+1,100)),0)+IF(LEFT(AQ69,4)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69,FIND(",",AR69)+1,100)),0)+IF(_xlfn.XLOOKUP("Profile_Scoring",'Scoring_Config'!$A:$A,'Scoring_Config'!$D:$D,"Yes")="Yes",VALUE(MID(AS69,FIND(",",AS69)+1,100)),0)+IF(_xlfn.XLOOKUP("Options_Scoring",'Scoring_Config'!$A:$A,'Scoring_Config'!$D:$D,"Yes")="Yes",VALUE(MID(AT69,FIND(",",AT69)+1,100)),0)))</f>
        <v>0</v>
      </c>
    </row>
    <row r="70" spans="1:52">
      <c r="A70" s="3" t="s">
        <v>52</v>
      </c>
      <c r="B70" s="3" t="s">
        <v>113</v>
      </c>
      <c r="C70" s="3" t="s">
        <v>329</v>
      </c>
      <c r="D70" s="3"/>
      <c r="E70" s="3" t="s">
        <v>359</v>
      </c>
      <c r="F70" s="3" t="s">
        <v>360</v>
      </c>
      <c r="G70" s="3" t="s">
        <v>387</v>
      </c>
      <c r="H70" s="3" t="s">
        <v>387</v>
      </c>
      <c r="I70" s="3" t="s">
        <v>365</v>
      </c>
      <c r="J70" s="3" t="s">
        <v>360</v>
      </c>
      <c r="K70" s="3" t="s">
        <v>642</v>
      </c>
      <c r="L70" s="3" t="s">
        <v>402</v>
      </c>
      <c r="M70" s="3" t="s">
        <v>771</v>
      </c>
      <c r="N70" s="3" t="s">
        <v>793</v>
      </c>
      <c r="O70" s="4" t="s">
        <v>826</v>
      </c>
      <c r="P70" s="3" t="s">
        <v>887</v>
      </c>
      <c r="Q70" s="3" t="s">
        <v>904</v>
      </c>
      <c r="R70" s="3" t="s">
        <v>911</v>
      </c>
      <c r="S70" s="3" t="s">
        <v>913</v>
      </c>
      <c r="T70" s="3" t="s">
        <v>919</v>
      </c>
      <c r="U70" s="3" t="s">
        <v>1157</v>
      </c>
      <c r="V70" s="3" t="s">
        <v>1386</v>
      </c>
      <c r="W70" s="3" t="s">
        <v>1440</v>
      </c>
      <c r="X70" s="3" t="s">
        <v>1674</v>
      </c>
      <c r="Y70" s="3" t="s">
        <v>2143</v>
      </c>
      <c r="Z70" s="3"/>
      <c r="AA70" s="3"/>
      <c r="AB70" s="3"/>
      <c r="AC70" s="4" cm="1">
        <f t="array" ref="AC70">IF(FALSE,"True," &amp; IF(_xlfn.XLOOKUP("Src_IsAny",'Scoring_Config'!$A:$A,'Scoring_Config'!$D:$D,"Yes")="Yes",_xlfn.XLOOKUP("Src_IsAny",'Scoring_Config'!$A:$A,'Scoring_Config'!$C:$C,25),0),"False,0")</f>
        <v>0</v>
      </c>
      <c r="AD70" s="4" cm="1">
        <f t="array" ref="AD70">IF(FALSE,"True," &amp; IF(_xlfn.XLOOKUP("Src_CIDR_Le_16",'Scoring_Config'!$A:$A,'Scoring_Config'!$D:$D,"Yes")="Yes",_xlfn.XLOOKUP("Src_CIDR_Le_16",'Scoring_Config'!$A:$A,'Scoring_Config'!$C:$C,25),0),"False,0")</f>
        <v>0</v>
      </c>
      <c r="AE70" s="4" cm="1">
        <f t="array" ref="AE70">IF(FALSE,"True," &amp; IF(_xlfn.XLOOKUP("Src_CIDR_17_22",'Scoring_Config'!$A:$A,'Scoring_Config'!$D:$D,"Yes")="Yes",_xlfn.XLOOKUP("Src_CIDR_17_22",'Scoring_Config'!$A:$A,'Scoring_Config'!$C:$C,15),0),"False,0")</f>
        <v>0</v>
      </c>
      <c r="AF70" s="4" cm="1">
        <f t="array" ref="AF70">IF(FALSE,"True," &amp; IF(_xlfn.XLOOKUP("Dst_IsAny",'Scoring_Config'!$A:$A,'Scoring_Config'!$D:$D,"Yes")="Yes",_xlfn.XLOOKUP("Dst_IsAny",'Scoring_Config'!$A:$A,'Scoring_Config'!$C:$C,25),0),"False,0")</f>
        <v>0</v>
      </c>
      <c r="AG70" s="4" cm="1">
        <f t="array" ref="AG70">IF(FALSE,"True," &amp; IF(_xlfn.XLOOKUP("Dst_CIDR_Le_16",'Scoring_Config'!$A:$A,'Scoring_Config'!$D:$D,"Yes")="Yes",_xlfn.XLOOKUP("Dst_CIDR_Le_16",'Scoring_Config'!$A:$A,'Scoring_Config'!$C:$C,25),0),"False,0")</f>
        <v>0</v>
      </c>
      <c r="AH70" s="4" cm="1">
        <f t="array" ref="AH70">IF(FALSE,"True," &amp; IF(_xlfn.XLOOKUP("Dst_CIDR_17_22",'Scoring_Config'!$A:$A,'Scoring_Config'!$D:$D,"Yes")="Yes",_xlfn.XLOOKUP("Dst_CIDR_17_22",'Scoring_Config'!$A:$A,'Scoring_Config'!$C:$C,15),0),"False,0")</f>
        <v>0</v>
      </c>
      <c r="AI70" s="4" cm="1">
        <f t="array" ref="AI70">IF(FALSE,"True," &amp; IF(_xlfn.XLOOKUP("SrcZone_IsAny",'Scoring_Config'!$A:$A,'Scoring_Config'!$D:$D,"Yes")="Yes",_xlfn.XLOOKUP("SrcZone_IsAny",'Scoring_Config'!$A:$A,'Scoring_Config'!$C:$C,5),0),"False,0")</f>
        <v>0</v>
      </c>
      <c r="AJ70" s="4" cm="1">
        <f t="array" ref="AJ70">IF(FALSE,"True," &amp; IF(_xlfn.XLOOKUP("DstZone_IsAny",'Scoring_Config'!$A:$A,'Scoring_Config'!$D:$D,"Yes")="Yes",_xlfn.XLOOKUP("DstZone_IsAny",'Scoring_Config'!$A:$A,'Scoring_Config'!$C:$C,5),0),"False,0")</f>
        <v>0</v>
      </c>
      <c r="AK70" s="4" cm="1">
        <f t="array" ref="AK7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0" s="4" cm="1">
        <f t="array" ref="AL70">IF(FALSE,"True," &amp; IF(_xlfn.XLOOKUP("App_Any_OR_RangeGt1000",'Scoring_Config'!$A:$A,'Scoring_Config'!$D:$D,"Yes")="Yes",_xlfn.XLOOKUP("App_Any_OR_RangeGt1000",'Scoring_Config'!$A:$A,'Scoring_Config'!$C:$C,25),0),"False,0")</f>
        <v>0</v>
      </c>
      <c r="AM70" s="5" cm="1">
        <f t="array" ref="AM70">IF(TRUE,"True," &amp; IF(_xlfn.XLOOKUP("Service_Insecure_Match",'Scoring_Config'!$A:$A,'Scoring_Config'!$D:$D,"Yes")="Yes",_xlfn.XLOOKUP("Service_Insecure_Match",'Scoring_Config'!$A:$A,'Scoring_Config'!$C:$C,20),0),"False,0")</f>
        <v>0</v>
      </c>
      <c r="AN70" s="4" cm="1">
        <f t="array" ref="AN70">IF(FALSE,"True," &amp; IF(_xlfn.XLOOKUP("Risky_Inbound",'Scoring_Config'!$A:$A,'Scoring_Config'!$D:$D,"Yes")="Yes",_xlfn.XLOOKUP("Risky_Inbound",'Scoring_Config'!$A:$A,'Scoring_Config'!$C:$C,20),0),"False,0")</f>
        <v>0</v>
      </c>
      <c r="AO70" s="4" cm="1">
        <f t="array" ref="AO70">IF(FALSE,"True," &amp; IF(_xlfn.XLOOKUP("Risky_Outbound",'Scoring_Config'!$A:$A,'Scoring_Config'!$D:$D,"Yes")="Yes",_xlfn.XLOOKUP("Risky_Outbound",'Scoring_Config'!$A:$A,'Scoring_Config'!$C:$C,10),0),"False,0")</f>
        <v>0</v>
      </c>
      <c r="AP70" s="5" t="s">
        <v>2595</v>
      </c>
      <c r="AQ70" s="5" cm="1">
        <f t="array" ref="AQ7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0" s="4" t="s">
        <v>2592</v>
      </c>
      <c r="AS70" s="4" t="s">
        <v>2592</v>
      </c>
      <c r="AT70" s="4" t="s">
        <v>2592</v>
      </c>
      <c r="AU70" s="5" cm="1">
        <f t="array" ref="AU70">IF(TRUE,"True," &amp; IF(_xlfn.XLOOKUP("Action_IsDenyOrDrop",'Scoring_Config'!$A:$A,'Scoring_Config'!$D:$D,"Yes")="Yes",_xlfn.XLOOKUP("Action_IsDenyOrDrop",'Scoring_Config'!$A:$A,'Scoring_Config'!$C:$C,0),0),"False,0")</f>
        <v>0</v>
      </c>
      <c r="AV70" s="4"/>
      <c r="AW70" s="4" cm="1">
        <f t="array" ref="AW70">IF(FALSE,"True," &amp; IF(_xlfn.XLOOKUP("Migrate_Insecure",'Scoring_Config'!$A:$A,'Scoring_Config'!$D:$D,"Yes")="Yes",_xlfn.XLOOKUP("Migrate_Insecure",'Scoring_Config'!$A:$A,'Scoring_Config'!$C:$C,15),0),"False,0")</f>
        <v>0</v>
      </c>
      <c r="AX70" s="4"/>
      <c r="AY70" s="4" cm="1">
        <f t="array" ref="AY70">IF(FALSE,"True," &amp; IF(_xlfn.XLOOKUP("Migrate_Other_Ports",'Scoring_Config'!$A:$A,'Scoring_Config'!$D:$D,"Yes")="Yes",_xlfn.XLOOKUP("Migrate_Other_Ports",'Scoring_Config'!$A:$A,'Scoring_Config'!$C:$C,5),0),"False,0")</f>
        <v>0</v>
      </c>
      <c r="AZ70" s="4" cm="1">
        <f t="array" ref="AZ70">IF(LEFT(AU70,4)="True",0,(IF(LEFT(AC70,4)="True",IF(_xlfn.XLOOKUP("Src_IsAny",'Scoring_Config'!$A:$A,'Scoring_Config'!$D:$D,"Yes")="Yes",_xlfn.XLOOKUP("Src_IsAny",'Scoring_Config'!$A:$A,'Scoring_Config'!$C:$C,25),0),0)+IF(LEFT(AD70,4)="True",IF(_xlfn.XLOOKUP("Src_CIDR_Le_16",'Scoring_Config'!$A:$A,'Scoring_Config'!$D:$D,"Yes")="Yes",_xlfn.XLOOKUP("Src_CIDR_Le_16",'Scoring_Config'!$A:$A,'Scoring_Config'!$C:$C,25),0),0)+IF(LEFT(AE70,4)="True",IF(_xlfn.XLOOKUP("Src_CIDR_17_22",'Scoring_Config'!$A:$A,'Scoring_Config'!$D:$D,"Yes")="Yes",_xlfn.XLOOKUP("Src_CIDR_17_22",'Scoring_Config'!$A:$A,'Scoring_Config'!$C:$C,15),0),0)+IF(LEFT(AF70,4)="True",IF(_xlfn.XLOOKUP("Dst_IsAny",'Scoring_Config'!$A:$A,'Scoring_Config'!$D:$D,"Yes")="Yes",_xlfn.XLOOKUP("Dst_IsAny",'Scoring_Config'!$A:$A,'Scoring_Config'!$C:$C,25),0),0)+IF(LEFT(AG70,4)="True",IF(_xlfn.XLOOKUP("Dst_CIDR_Le_16",'Scoring_Config'!$A:$A,'Scoring_Config'!$D:$D,"Yes")="Yes",_xlfn.XLOOKUP("Dst_CIDR_Le_16",'Scoring_Config'!$A:$A,'Scoring_Config'!$C:$C,25),0),0)+IF(LEFT(AH70,4)="True",IF(_xlfn.XLOOKUP("Dst_CIDR_17_22",'Scoring_Config'!$A:$A,'Scoring_Config'!$D:$D,"Yes")="Yes",_xlfn.XLOOKUP("Dst_CIDR_17_22",'Scoring_Config'!$A:$A,'Scoring_Config'!$C:$C,15),0),0)+IF(LEFT(AI70,4)="True",IF(_xlfn.XLOOKUP("SrcZone_IsAny",'Scoring_Config'!$A:$A,'Scoring_Config'!$D:$D,"Yes")="Yes",_xlfn.XLOOKUP("SrcZone_IsAny",'Scoring_Config'!$A:$A,'Scoring_Config'!$C:$C,5),0),0)+IF(LEFT(AJ70,4)="True",IF(_xlfn.XLOOKUP("DstZone_IsAny",'Scoring_Config'!$A:$A,'Scoring_Config'!$D:$D,"Yes")="Yes",_xlfn.XLOOKUP("DstZone_IsAny",'Scoring_Config'!$A:$A,'Scoring_Config'!$C:$C,5),0),0)+IF(LEFT(AK70,4)="True",IF(_xlfn.XLOOKUP("Service_Any_OR_RangeGt1000",'Scoring_Config'!$A:$A,'Scoring_Config'!$D:$D,"Yes")="Yes",_xlfn.XLOOKUP("Service_Any_OR_RangeGt1000",'Scoring_Config'!$A:$A,'Scoring_Config'!$C:$C,25),0),0)+IF(LEFT(AL70,4)="True",IF(_xlfn.XLOOKUP("App_Any_OR_RangeGt1000",'Scoring_Config'!$A:$A,'Scoring_Config'!$D:$D,"Yes")="Yes",_xlfn.XLOOKUP("App_Any_OR_RangeGt1000",'Scoring_Config'!$A:$A,'Scoring_Config'!$C:$C,25),0),0)+IF(LEFT(AM70,4)="True",IF(_xlfn.XLOOKUP("Service_Insecure_Match",'Scoring_Config'!$A:$A,'Scoring_Config'!$D:$D,"Yes")="Yes",_xlfn.XLOOKUP("Service_Insecure_Match",'Scoring_Config'!$A:$A,'Scoring_Config'!$C:$C,20),0),0)+IF(LEFT(AN70,4)="True",IF(_xlfn.XLOOKUP("Risky_Inbound",'Scoring_Config'!$A:$A,'Scoring_Config'!$D:$D,"Yes")="Yes",_xlfn.XLOOKUP("Risky_Inbound",'Scoring_Config'!$A:$A,'Scoring_Config'!$C:$C,20),0),0)+IF(LEFT(AO70,4)="True",IF(_xlfn.XLOOKUP("Risky_Outbound",'Scoring_Config'!$A:$A,'Scoring_Config'!$D:$D,"Yes")="Yes",_xlfn.XLOOKUP("Risky_Outbound",'Scoring_Config'!$A:$A,'Scoring_Config'!$C:$C,10),0),0)+IF(LEFT(AW70,4)="True",IF(_xlfn.XLOOKUP("Migrate_Insecure",'Scoring_Config'!$A:$A,'Scoring_Config'!$D:$D,"Yes")="Yes",_xlfn.XLOOKUP("Migrate_Insecure",'Scoring_Config'!$A:$A,'Scoring_Config'!$C:$C,15),0),0)+IF(LEFT(AY70,4)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70,FIND(",",AP70)+1,100)),0)+IF(LEFT(AQ70,4)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70,FIND(",",AR70)+1,100)),0)+IF(_xlfn.XLOOKUP("Profile_Scoring",'Scoring_Config'!$A:$A,'Scoring_Config'!$D:$D,"Yes")="Yes",VALUE(MID(AS70,FIND(",",AS70)+1,100)),0)+IF(_xlfn.XLOOKUP("Options_Scoring",'Scoring_Config'!$A:$A,'Scoring_Config'!$D:$D,"Yes")="Yes",VALUE(MID(AT70,FIND(",",AT70)+1,100)),0)))</f>
        <v>0</v>
      </c>
    </row>
    <row r="71" spans="1:52">
      <c r="A71" s="3" t="s">
        <v>52</v>
      </c>
      <c r="B71" s="3" t="s">
        <v>81</v>
      </c>
      <c r="C71" s="3" t="s">
        <v>329</v>
      </c>
      <c r="D71" s="3"/>
      <c r="E71" s="3" t="s">
        <v>359</v>
      </c>
      <c r="F71" s="3" t="s">
        <v>362</v>
      </c>
      <c r="G71" s="3" t="s">
        <v>367</v>
      </c>
      <c r="H71" s="3" t="s">
        <v>539</v>
      </c>
      <c r="I71" s="3" t="s">
        <v>365</v>
      </c>
      <c r="J71" s="3" t="s">
        <v>362</v>
      </c>
      <c r="K71" s="3" t="s">
        <v>387</v>
      </c>
      <c r="L71" s="3" t="s">
        <v>387</v>
      </c>
      <c r="M71" s="3" t="s">
        <v>768</v>
      </c>
      <c r="N71" s="3" t="s">
        <v>791</v>
      </c>
      <c r="O71" s="4" t="s">
        <v>823</v>
      </c>
      <c r="P71" s="3" t="s">
        <v>884</v>
      </c>
      <c r="Q71" s="3" t="s">
        <v>905</v>
      </c>
      <c r="R71" s="3" t="s">
        <v>910</v>
      </c>
      <c r="S71" s="3" t="s">
        <v>914</v>
      </c>
      <c r="T71" s="3" t="s">
        <v>962</v>
      </c>
      <c r="U71" s="3" t="s">
        <v>1147</v>
      </c>
      <c r="V71" s="3" t="s">
        <v>772</v>
      </c>
      <c r="W71" s="3" t="s">
        <v>995</v>
      </c>
      <c r="X71" s="3" t="s">
        <v>1675</v>
      </c>
      <c r="Y71" s="3" t="s">
        <v>2144</v>
      </c>
      <c r="Z71" s="3"/>
      <c r="AA71" s="3"/>
      <c r="AB71" s="3"/>
      <c r="AC71" s="5" cm="1">
        <f t="array" ref="AC71">IF(TRUE,"True," &amp; IF(_xlfn.XLOOKUP("Src_IsAny",'Scoring_Config'!$A:$A,'Scoring_Config'!$D:$D,"Yes")="Yes",_xlfn.XLOOKUP("Src_IsAny",'Scoring_Config'!$A:$A,'Scoring_Config'!$C:$C,25),0),"False,0")</f>
        <v>0</v>
      </c>
      <c r="AD71" s="4" cm="1">
        <f t="array" ref="AD71">IF(FALSE,"True," &amp; IF(_xlfn.XLOOKUP("Src_CIDR_Le_16",'Scoring_Config'!$A:$A,'Scoring_Config'!$D:$D,"Yes")="Yes",_xlfn.XLOOKUP("Src_CIDR_Le_16",'Scoring_Config'!$A:$A,'Scoring_Config'!$C:$C,25),0),"False,0")</f>
        <v>0</v>
      </c>
      <c r="AE71" s="4" cm="1">
        <f t="array" ref="AE71">IF(FALSE,"True," &amp; IF(_xlfn.XLOOKUP("Src_CIDR_17_22",'Scoring_Config'!$A:$A,'Scoring_Config'!$D:$D,"Yes")="Yes",_xlfn.XLOOKUP("Src_CIDR_17_22",'Scoring_Config'!$A:$A,'Scoring_Config'!$C:$C,15),0),"False,0")</f>
        <v>0</v>
      </c>
      <c r="AF71" s="4" cm="1">
        <f t="array" ref="AF71">IF(FALSE,"True," &amp; IF(_xlfn.XLOOKUP("Dst_IsAny",'Scoring_Config'!$A:$A,'Scoring_Config'!$D:$D,"Yes")="Yes",_xlfn.XLOOKUP("Dst_IsAny",'Scoring_Config'!$A:$A,'Scoring_Config'!$C:$C,25),0),"False,0")</f>
        <v>0</v>
      </c>
      <c r="AG71" s="4" cm="1">
        <f t="array" ref="AG71">IF(FALSE,"True," &amp; IF(_xlfn.XLOOKUP("Dst_CIDR_Le_16",'Scoring_Config'!$A:$A,'Scoring_Config'!$D:$D,"Yes")="Yes",_xlfn.XLOOKUP("Dst_CIDR_Le_16",'Scoring_Config'!$A:$A,'Scoring_Config'!$C:$C,25),0),"False,0")</f>
        <v>0</v>
      </c>
      <c r="AH71" s="4" cm="1">
        <f t="array" ref="AH71">IF(FALSE,"True," &amp; IF(_xlfn.XLOOKUP("Dst_CIDR_17_22",'Scoring_Config'!$A:$A,'Scoring_Config'!$D:$D,"Yes")="Yes",_xlfn.XLOOKUP("Dst_CIDR_17_22",'Scoring_Config'!$A:$A,'Scoring_Config'!$C:$C,15),0),"False,0")</f>
        <v>0</v>
      </c>
      <c r="AI71" s="4" cm="1">
        <f t="array" ref="AI71">IF(FALSE,"True," &amp; IF(_xlfn.XLOOKUP("SrcZone_IsAny",'Scoring_Config'!$A:$A,'Scoring_Config'!$D:$D,"Yes")="Yes",_xlfn.XLOOKUP("SrcZone_IsAny",'Scoring_Config'!$A:$A,'Scoring_Config'!$C:$C,5),0),"False,0")</f>
        <v>0</v>
      </c>
      <c r="AJ71" s="4" cm="1">
        <f t="array" ref="AJ71">IF(FALSE,"True," &amp; IF(_xlfn.XLOOKUP("DstZone_IsAny",'Scoring_Config'!$A:$A,'Scoring_Config'!$D:$D,"Yes")="Yes",_xlfn.XLOOKUP("DstZone_IsAny",'Scoring_Config'!$A:$A,'Scoring_Config'!$C:$C,5),0),"False,0")</f>
        <v>0</v>
      </c>
      <c r="AK71" s="4" cm="1">
        <f t="array" ref="AK7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1" s="5" cm="1">
        <f t="array" ref="AL71">IF(TRUE,"True," &amp; IF(_xlfn.XLOOKUP("App_Any_OR_RangeGt1000",'Scoring_Config'!$A:$A,'Scoring_Config'!$D:$D,"Yes")="Yes",_xlfn.XLOOKUP("App_Any_OR_RangeGt1000",'Scoring_Config'!$A:$A,'Scoring_Config'!$C:$C,25),0),"False,0")</f>
        <v>0</v>
      </c>
      <c r="AM71" s="5" cm="1">
        <f t="array" ref="AM71">IF(TRUE,"True," &amp; IF(_xlfn.XLOOKUP("Service_Insecure_Match",'Scoring_Config'!$A:$A,'Scoring_Config'!$D:$D,"Yes")="Yes",_xlfn.XLOOKUP("Service_Insecure_Match",'Scoring_Config'!$A:$A,'Scoring_Config'!$C:$C,20),0),"False,0")</f>
        <v>0</v>
      </c>
      <c r="AN71" s="4" cm="1">
        <f t="array" ref="AN71">IF(FALSE,"True," &amp; IF(_xlfn.XLOOKUP("Risky_Inbound",'Scoring_Config'!$A:$A,'Scoring_Config'!$D:$D,"Yes")="Yes",_xlfn.XLOOKUP("Risky_Inbound",'Scoring_Config'!$A:$A,'Scoring_Config'!$C:$C,20),0),"False,0")</f>
        <v>0</v>
      </c>
      <c r="AO71" s="4" cm="1">
        <f t="array" ref="AO71">IF(FALSE,"True," &amp; IF(_xlfn.XLOOKUP("Risky_Outbound",'Scoring_Config'!$A:$A,'Scoring_Config'!$D:$D,"Yes")="Yes",_xlfn.XLOOKUP("Risky_Outbound",'Scoring_Config'!$A:$A,'Scoring_Config'!$C:$C,10),0),"False,0")</f>
        <v>0</v>
      </c>
      <c r="AP71" s="5" t="s">
        <v>2595</v>
      </c>
      <c r="AQ71" s="5" cm="1">
        <f t="array" ref="AQ7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1" s="4" t="s">
        <v>2592</v>
      </c>
      <c r="AS71" s="4" t="s">
        <v>2592</v>
      </c>
      <c r="AT71" s="4" t="s">
        <v>2592</v>
      </c>
      <c r="AU71" s="4" cm="1">
        <f t="array" ref="AU71">IF(FALSE,"True," &amp; IF(_xlfn.XLOOKUP("Action_IsDenyOrDrop",'Scoring_Config'!$A:$A,'Scoring_Config'!$D:$D,"Yes")="Yes",_xlfn.XLOOKUP("Action_IsDenyOrDrop",'Scoring_Config'!$A:$A,'Scoring_Config'!$C:$C,0),0),"False,0")</f>
        <v>0</v>
      </c>
      <c r="AV71" s="4"/>
      <c r="AW71" s="4" cm="1">
        <f t="array" ref="AW71">IF(FALSE,"True," &amp; IF(_xlfn.XLOOKUP("Migrate_Insecure",'Scoring_Config'!$A:$A,'Scoring_Config'!$D:$D,"Yes")="Yes",_xlfn.XLOOKUP("Migrate_Insecure",'Scoring_Config'!$A:$A,'Scoring_Config'!$C:$C,15),0),"False,0")</f>
        <v>0</v>
      </c>
      <c r="AX71" s="4"/>
      <c r="AY71" s="4" cm="1">
        <f t="array" ref="AY71">IF(FALSE,"True," &amp; IF(_xlfn.XLOOKUP("Migrate_Other_Ports",'Scoring_Config'!$A:$A,'Scoring_Config'!$D:$D,"Yes")="Yes",_xlfn.XLOOKUP("Migrate_Other_Ports",'Scoring_Config'!$A:$A,'Scoring_Config'!$C:$C,5),0),"False,0")</f>
        <v>0</v>
      </c>
      <c r="AZ71" s="4" cm="1">
        <f t="array" ref="AZ71">IF(LEFT(AU71,4)="True",0,(IF(LEFT(AC71,4)="True",IF(_xlfn.XLOOKUP("Src_IsAny",'Scoring_Config'!$A:$A,'Scoring_Config'!$D:$D,"Yes")="Yes",_xlfn.XLOOKUP("Src_IsAny",'Scoring_Config'!$A:$A,'Scoring_Config'!$C:$C,25),0),0)+IF(LEFT(AD71,4)="True",IF(_xlfn.XLOOKUP("Src_CIDR_Le_16",'Scoring_Config'!$A:$A,'Scoring_Config'!$D:$D,"Yes")="Yes",_xlfn.XLOOKUP("Src_CIDR_Le_16",'Scoring_Config'!$A:$A,'Scoring_Config'!$C:$C,25),0),0)+IF(LEFT(AE71,4)="True",IF(_xlfn.XLOOKUP("Src_CIDR_17_22",'Scoring_Config'!$A:$A,'Scoring_Config'!$D:$D,"Yes")="Yes",_xlfn.XLOOKUP("Src_CIDR_17_22",'Scoring_Config'!$A:$A,'Scoring_Config'!$C:$C,15),0),0)+IF(LEFT(AF71,4)="True",IF(_xlfn.XLOOKUP("Dst_IsAny",'Scoring_Config'!$A:$A,'Scoring_Config'!$D:$D,"Yes")="Yes",_xlfn.XLOOKUP("Dst_IsAny",'Scoring_Config'!$A:$A,'Scoring_Config'!$C:$C,25),0),0)+IF(LEFT(AG71,4)="True",IF(_xlfn.XLOOKUP("Dst_CIDR_Le_16",'Scoring_Config'!$A:$A,'Scoring_Config'!$D:$D,"Yes")="Yes",_xlfn.XLOOKUP("Dst_CIDR_Le_16",'Scoring_Config'!$A:$A,'Scoring_Config'!$C:$C,25),0),0)+IF(LEFT(AH71,4)="True",IF(_xlfn.XLOOKUP("Dst_CIDR_17_22",'Scoring_Config'!$A:$A,'Scoring_Config'!$D:$D,"Yes")="Yes",_xlfn.XLOOKUP("Dst_CIDR_17_22",'Scoring_Config'!$A:$A,'Scoring_Config'!$C:$C,15),0),0)+IF(LEFT(AI71,4)="True",IF(_xlfn.XLOOKUP("SrcZone_IsAny",'Scoring_Config'!$A:$A,'Scoring_Config'!$D:$D,"Yes")="Yes",_xlfn.XLOOKUP("SrcZone_IsAny",'Scoring_Config'!$A:$A,'Scoring_Config'!$C:$C,5),0),0)+IF(LEFT(AJ71,4)="True",IF(_xlfn.XLOOKUP("DstZone_IsAny",'Scoring_Config'!$A:$A,'Scoring_Config'!$D:$D,"Yes")="Yes",_xlfn.XLOOKUP("DstZone_IsAny",'Scoring_Config'!$A:$A,'Scoring_Config'!$C:$C,5),0),0)+IF(LEFT(AK71,4)="True",IF(_xlfn.XLOOKUP("Service_Any_OR_RangeGt1000",'Scoring_Config'!$A:$A,'Scoring_Config'!$D:$D,"Yes")="Yes",_xlfn.XLOOKUP("Service_Any_OR_RangeGt1000",'Scoring_Config'!$A:$A,'Scoring_Config'!$C:$C,25),0),0)+IF(LEFT(AL71,4)="True",IF(_xlfn.XLOOKUP("App_Any_OR_RangeGt1000",'Scoring_Config'!$A:$A,'Scoring_Config'!$D:$D,"Yes")="Yes",_xlfn.XLOOKUP("App_Any_OR_RangeGt1000",'Scoring_Config'!$A:$A,'Scoring_Config'!$C:$C,25),0),0)+IF(LEFT(AM71,4)="True",IF(_xlfn.XLOOKUP("Service_Insecure_Match",'Scoring_Config'!$A:$A,'Scoring_Config'!$D:$D,"Yes")="Yes",_xlfn.XLOOKUP("Service_Insecure_Match",'Scoring_Config'!$A:$A,'Scoring_Config'!$C:$C,20),0),0)+IF(LEFT(AN71,4)="True",IF(_xlfn.XLOOKUP("Risky_Inbound",'Scoring_Config'!$A:$A,'Scoring_Config'!$D:$D,"Yes")="Yes",_xlfn.XLOOKUP("Risky_Inbound",'Scoring_Config'!$A:$A,'Scoring_Config'!$C:$C,20),0),0)+IF(LEFT(AO71,4)="True",IF(_xlfn.XLOOKUP("Risky_Outbound",'Scoring_Config'!$A:$A,'Scoring_Config'!$D:$D,"Yes")="Yes",_xlfn.XLOOKUP("Risky_Outbound",'Scoring_Config'!$A:$A,'Scoring_Config'!$C:$C,10),0),0)+IF(LEFT(AW71,4)="True",IF(_xlfn.XLOOKUP("Migrate_Insecure",'Scoring_Config'!$A:$A,'Scoring_Config'!$D:$D,"Yes")="Yes",_xlfn.XLOOKUP("Migrate_Insecure",'Scoring_Config'!$A:$A,'Scoring_Config'!$C:$C,15),0),0)+IF(LEFT(AY71,4)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71,FIND(",",AP71)+1,100)),0)+IF(LEFT(AQ71,4)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71,FIND(",",AR71)+1,100)),0)+IF(_xlfn.XLOOKUP("Profile_Scoring",'Scoring_Config'!$A:$A,'Scoring_Config'!$D:$D,"Yes")="Yes",VALUE(MID(AS71,FIND(",",AS71)+1,100)),0)+IF(_xlfn.XLOOKUP("Options_Scoring",'Scoring_Config'!$A:$A,'Scoring_Config'!$D:$D,"Yes")="Yes",VALUE(MID(AT71,FIND(",",AT71)+1,100)),0)))</f>
        <v>0</v>
      </c>
    </row>
    <row r="72" spans="1:52">
      <c r="A72" s="3" t="s">
        <v>52</v>
      </c>
      <c r="B72" s="3" t="s">
        <v>114</v>
      </c>
      <c r="C72" s="3" t="s">
        <v>329</v>
      </c>
      <c r="D72" s="3"/>
      <c r="E72" s="3" t="s">
        <v>359</v>
      </c>
      <c r="F72" s="3" t="s">
        <v>363</v>
      </c>
      <c r="G72" s="3" t="s">
        <v>391</v>
      </c>
      <c r="H72" s="3" t="s">
        <v>553</v>
      </c>
      <c r="I72" s="3" t="s">
        <v>365</v>
      </c>
      <c r="J72" s="3" t="s">
        <v>363</v>
      </c>
      <c r="K72" s="3" t="s">
        <v>628</v>
      </c>
      <c r="L72" s="3" t="s">
        <v>595</v>
      </c>
      <c r="M72" s="3" t="s">
        <v>769</v>
      </c>
      <c r="N72" s="3" t="s">
        <v>792</v>
      </c>
      <c r="O72" s="4" t="s">
        <v>808</v>
      </c>
      <c r="P72" s="3" t="s">
        <v>869</v>
      </c>
      <c r="Q72" s="3" t="s">
        <v>905</v>
      </c>
      <c r="R72" s="3" t="s">
        <v>911</v>
      </c>
      <c r="S72" s="3" t="s">
        <v>916</v>
      </c>
      <c r="T72" s="3" t="s">
        <v>963</v>
      </c>
      <c r="U72" s="3" t="s">
        <v>1145</v>
      </c>
      <c r="V72" s="3" t="s">
        <v>1388</v>
      </c>
      <c r="W72" s="3" t="s">
        <v>1027</v>
      </c>
      <c r="X72" s="3" t="s">
        <v>1676</v>
      </c>
      <c r="Y72" s="3" t="s">
        <v>2145</v>
      </c>
      <c r="Z72" s="3"/>
      <c r="AA72" s="3"/>
      <c r="AB72" s="3"/>
      <c r="AC72" s="4" cm="1">
        <f t="array" ref="AC72">IF(FALSE,"True," &amp; IF(_xlfn.XLOOKUP("Src_IsAny",'Scoring_Config'!$A:$A,'Scoring_Config'!$D:$D,"Yes")="Yes",_xlfn.XLOOKUP("Src_IsAny",'Scoring_Config'!$A:$A,'Scoring_Config'!$C:$C,25),0),"False,0")</f>
        <v>0</v>
      </c>
      <c r="AD72" s="4" cm="1">
        <f t="array" ref="AD72">IF(FALSE,"True," &amp; IF(_xlfn.XLOOKUP("Src_CIDR_Le_16",'Scoring_Config'!$A:$A,'Scoring_Config'!$D:$D,"Yes")="Yes",_xlfn.XLOOKUP("Src_CIDR_Le_16",'Scoring_Config'!$A:$A,'Scoring_Config'!$C:$C,25),0),"False,0")</f>
        <v>0</v>
      </c>
      <c r="AE72" s="4" cm="1">
        <f t="array" ref="AE72">IF(FALSE,"True," &amp; IF(_xlfn.XLOOKUP("Src_CIDR_17_22",'Scoring_Config'!$A:$A,'Scoring_Config'!$D:$D,"Yes")="Yes",_xlfn.XLOOKUP("Src_CIDR_17_22",'Scoring_Config'!$A:$A,'Scoring_Config'!$C:$C,15),0),"False,0")</f>
        <v>0</v>
      </c>
      <c r="AF72" s="4" cm="1">
        <f t="array" ref="AF72">IF(FALSE,"True," &amp; IF(_xlfn.XLOOKUP("Dst_IsAny",'Scoring_Config'!$A:$A,'Scoring_Config'!$D:$D,"Yes")="Yes",_xlfn.XLOOKUP("Dst_IsAny",'Scoring_Config'!$A:$A,'Scoring_Config'!$C:$C,25),0),"False,0")</f>
        <v>0</v>
      </c>
      <c r="AG72" s="4" cm="1">
        <f t="array" ref="AG72">IF(FALSE,"True," &amp; IF(_xlfn.XLOOKUP("Dst_CIDR_Le_16",'Scoring_Config'!$A:$A,'Scoring_Config'!$D:$D,"Yes")="Yes",_xlfn.XLOOKUP("Dst_CIDR_Le_16",'Scoring_Config'!$A:$A,'Scoring_Config'!$C:$C,25),0),"False,0")</f>
        <v>0</v>
      </c>
      <c r="AH72" s="4" cm="1">
        <f t="array" ref="AH72">IF(FALSE,"True," &amp; IF(_xlfn.XLOOKUP("Dst_CIDR_17_22",'Scoring_Config'!$A:$A,'Scoring_Config'!$D:$D,"Yes")="Yes",_xlfn.XLOOKUP("Dst_CIDR_17_22",'Scoring_Config'!$A:$A,'Scoring_Config'!$C:$C,15),0),"False,0")</f>
        <v>0</v>
      </c>
      <c r="AI72" s="4" cm="1">
        <f t="array" ref="AI72">IF(FALSE,"True," &amp; IF(_xlfn.XLOOKUP("SrcZone_IsAny",'Scoring_Config'!$A:$A,'Scoring_Config'!$D:$D,"Yes")="Yes",_xlfn.XLOOKUP("SrcZone_IsAny",'Scoring_Config'!$A:$A,'Scoring_Config'!$C:$C,5),0),"False,0")</f>
        <v>0</v>
      </c>
      <c r="AJ72" s="4" cm="1">
        <f t="array" ref="AJ72">IF(FALSE,"True," &amp; IF(_xlfn.XLOOKUP("DstZone_IsAny",'Scoring_Config'!$A:$A,'Scoring_Config'!$D:$D,"Yes")="Yes",_xlfn.XLOOKUP("DstZone_IsAny",'Scoring_Config'!$A:$A,'Scoring_Config'!$C:$C,5),0),"False,0")</f>
        <v>0</v>
      </c>
      <c r="AK72" s="4" cm="1">
        <f t="array" ref="AK7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2" s="4" cm="1">
        <f t="array" ref="AL72">IF(FALSE,"True," &amp; IF(_xlfn.XLOOKUP("App_Any_OR_RangeGt1000",'Scoring_Config'!$A:$A,'Scoring_Config'!$D:$D,"Yes")="Yes",_xlfn.XLOOKUP("App_Any_OR_RangeGt1000",'Scoring_Config'!$A:$A,'Scoring_Config'!$C:$C,25),0),"False,0")</f>
        <v>0</v>
      </c>
      <c r="AM72" s="5" cm="1">
        <f t="array" ref="AM72">IF(TRUE,"True," &amp; IF(_xlfn.XLOOKUP("Service_Insecure_Match",'Scoring_Config'!$A:$A,'Scoring_Config'!$D:$D,"Yes")="Yes",_xlfn.XLOOKUP("Service_Insecure_Match",'Scoring_Config'!$A:$A,'Scoring_Config'!$C:$C,20),0),"False,0")</f>
        <v>0</v>
      </c>
      <c r="AN72" s="4" cm="1">
        <f t="array" ref="AN72">IF(FALSE,"True," &amp; IF(_xlfn.XLOOKUP("Risky_Inbound",'Scoring_Config'!$A:$A,'Scoring_Config'!$D:$D,"Yes")="Yes",_xlfn.XLOOKUP("Risky_Inbound",'Scoring_Config'!$A:$A,'Scoring_Config'!$C:$C,20),0),"False,0")</f>
        <v>0</v>
      </c>
      <c r="AO72" s="4" cm="1">
        <f t="array" ref="AO72">IF(FALSE,"True," &amp; IF(_xlfn.XLOOKUP("Risky_Outbound",'Scoring_Config'!$A:$A,'Scoring_Config'!$D:$D,"Yes")="Yes",_xlfn.XLOOKUP("Risky_Outbound",'Scoring_Config'!$A:$A,'Scoring_Config'!$C:$C,10),0),"False,0")</f>
        <v>0</v>
      </c>
      <c r="AP72" s="5" t="s">
        <v>2595</v>
      </c>
      <c r="AQ72" s="5" cm="1">
        <f t="array" ref="AQ7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2" s="4" t="s">
        <v>2592</v>
      </c>
      <c r="AS72" s="4" t="s">
        <v>2592</v>
      </c>
      <c r="AT72" s="4" t="s">
        <v>2592</v>
      </c>
      <c r="AU72" s="4" cm="1">
        <f t="array" ref="AU72">IF(FALSE,"True," &amp; IF(_xlfn.XLOOKUP("Action_IsDenyOrDrop",'Scoring_Config'!$A:$A,'Scoring_Config'!$D:$D,"Yes")="Yes",_xlfn.XLOOKUP("Action_IsDenyOrDrop",'Scoring_Config'!$A:$A,'Scoring_Config'!$C:$C,0),0),"False,0")</f>
        <v>0</v>
      </c>
      <c r="AV72" s="4"/>
      <c r="AW72" s="4" cm="1">
        <f t="array" ref="AW72">IF(FALSE,"True," &amp; IF(_xlfn.XLOOKUP("Migrate_Insecure",'Scoring_Config'!$A:$A,'Scoring_Config'!$D:$D,"Yes")="Yes",_xlfn.XLOOKUP("Migrate_Insecure",'Scoring_Config'!$A:$A,'Scoring_Config'!$C:$C,15),0),"False,0")</f>
        <v>0</v>
      </c>
      <c r="AX72" s="4"/>
      <c r="AY72" s="4" cm="1">
        <f t="array" ref="AY72">IF(FALSE,"True," &amp; IF(_xlfn.XLOOKUP("Migrate_Other_Ports",'Scoring_Config'!$A:$A,'Scoring_Config'!$D:$D,"Yes")="Yes",_xlfn.XLOOKUP("Migrate_Other_Ports",'Scoring_Config'!$A:$A,'Scoring_Config'!$C:$C,5),0),"False,0")</f>
        <v>0</v>
      </c>
      <c r="AZ72" s="4" cm="1">
        <f t="array" ref="AZ72">IF(LEFT(AU72,4)="True",0,(IF(LEFT(AC72,4)="True",IF(_xlfn.XLOOKUP("Src_IsAny",'Scoring_Config'!$A:$A,'Scoring_Config'!$D:$D,"Yes")="Yes",_xlfn.XLOOKUP("Src_IsAny",'Scoring_Config'!$A:$A,'Scoring_Config'!$C:$C,25),0),0)+IF(LEFT(AD72,4)="True",IF(_xlfn.XLOOKUP("Src_CIDR_Le_16",'Scoring_Config'!$A:$A,'Scoring_Config'!$D:$D,"Yes")="Yes",_xlfn.XLOOKUP("Src_CIDR_Le_16",'Scoring_Config'!$A:$A,'Scoring_Config'!$C:$C,25),0),0)+IF(LEFT(AE72,4)="True",IF(_xlfn.XLOOKUP("Src_CIDR_17_22",'Scoring_Config'!$A:$A,'Scoring_Config'!$D:$D,"Yes")="Yes",_xlfn.XLOOKUP("Src_CIDR_17_22",'Scoring_Config'!$A:$A,'Scoring_Config'!$C:$C,15),0),0)+IF(LEFT(AF72,4)="True",IF(_xlfn.XLOOKUP("Dst_IsAny",'Scoring_Config'!$A:$A,'Scoring_Config'!$D:$D,"Yes")="Yes",_xlfn.XLOOKUP("Dst_IsAny",'Scoring_Config'!$A:$A,'Scoring_Config'!$C:$C,25),0),0)+IF(LEFT(AG72,4)="True",IF(_xlfn.XLOOKUP("Dst_CIDR_Le_16",'Scoring_Config'!$A:$A,'Scoring_Config'!$D:$D,"Yes")="Yes",_xlfn.XLOOKUP("Dst_CIDR_Le_16",'Scoring_Config'!$A:$A,'Scoring_Config'!$C:$C,25),0),0)+IF(LEFT(AH72,4)="True",IF(_xlfn.XLOOKUP("Dst_CIDR_17_22",'Scoring_Config'!$A:$A,'Scoring_Config'!$D:$D,"Yes")="Yes",_xlfn.XLOOKUP("Dst_CIDR_17_22",'Scoring_Config'!$A:$A,'Scoring_Config'!$C:$C,15),0),0)+IF(LEFT(AI72,4)="True",IF(_xlfn.XLOOKUP("SrcZone_IsAny",'Scoring_Config'!$A:$A,'Scoring_Config'!$D:$D,"Yes")="Yes",_xlfn.XLOOKUP("SrcZone_IsAny",'Scoring_Config'!$A:$A,'Scoring_Config'!$C:$C,5),0),0)+IF(LEFT(AJ72,4)="True",IF(_xlfn.XLOOKUP("DstZone_IsAny",'Scoring_Config'!$A:$A,'Scoring_Config'!$D:$D,"Yes")="Yes",_xlfn.XLOOKUP("DstZone_IsAny",'Scoring_Config'!$A:$A,'Scoring_Config'!$C:$C,5),0),0)+IF(LEFT(AK72,4)="True",IF(_xlfn.XLOOKUP("Service_Any_OR_RangeGt1000",'Scoring_Config'!$A:$A,'Scoring_Config'!$D:$D,"Yes")="Yes",_xlfn.XLOOKUP("Service_Any_OR_RangeGt1000",'Scoring_Config'!$A:$A,'Scoring_Config'!$C:$C,25),0),0)+IF(LEFT(AL72,4)="True",IF(_xlfn.XLOOKUP("App_Any_OR_RangeGt1000",'Scoring_Config'!$A:$A,'Scoring_Config'!$D:$D,"Yes")="Yes",_xlfn.XLOOKUP("App_Any_OR_RangeGt1000",'Scoring_Config'!$A:$A,'Scoring_Config'!$C:$C,25),0),0)+IF(LEFT(AM72,4)="True",IF(_xlfn.XLOOKUP("Service_Insecure_Match",'Scoring_Config'!$A:$A,'Scoring_Config'!$D:$D,"Yes")="Yes",_xlfn.XLOOKUP("Service_Insecure_Match",'Scoring_Config'!$A:$A,'Scoring_Config'!$C:$C,20),0),0)+IF(LEFT(AN72,4)="True",IF(_xlfn.XLOOKUP("Risky_Inbound",'Scoring_Config'!$A:$A,'Scoring_Config'!$D:$D,"Yes")="Yes",_xlfn.XLOOKUP("Risky_Inbound",'Scoring_Config'!$A:$A,'Scoring_Config'!$C:$C,20),0),0)+IF(LEFT(AO72,4)="True",IF(_xlfn.XLOOKUP("Risky_Outbound",'Scoring_Config'!$A:$A,'Scoring_Config'!$D:$D,"Yes")="Yes",_xlfn.XLOOKUP("Risky_Outbound",'Scoring_Config'!$A:$A,'Scoring_Config'!$C:$C,10),0),0)+IF(LEFT(AW72,4)="True",IF(_xlfn.XLOOKUP("Migrate_Insecure",'Scoring_Config'!$A:$A,'Scoring_Config'!$D:$D,"Yes")="Yes",_xlfn.XLOOKUP("Migrate_Insecure",'Scoring_Config'!$A:$A,'Scoring_Config'!$C:$C,15),0),0)+IF(LEFT(AY72,4)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72,FIND(",",AP72)+1,100)),0)+IF(LEFT(AQ72,4)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72,FIND(",",AR72)+1,100)),0)+IF(_xlfn.XLOOKUP("Profile_Scoring",'Scoring_Config'!$A:$A,'Scoring_Config'!$D:$D,"Yes")="Yes",VALUE(MID(AS72,FIND(",",AS72)+1,100)),0)+IF(_xlfn.XLOOKUP("Options_Scoring",'Scoring_Config'!$A:$A,'Scoring_Config'!$D:$D,"Yes")="Yes",VALUE(MID(AT72,FIND(",",AT72)+1,100)),0)))</f>
        <v>0</v>
      </c>
    </row>
    <row r="73" spans="1:52">
      <c r="A73" s="3" t="s">
        <v>52</v>
      </c>
      <c r="B73" s="3" t="s">
        <v>115</v>
      </c>
      <c r="C73" s="3" t="s">
        <v>329</v>
      </c>
      <c r="D73" s="3"/>
      <c r="E73" s="3" t="s">
        <v>359</v>
      </c>
      <c r="F73" s="3" t="s">
        <v>362</v>
      </c>
      <c r="G73" s="3" t="s">
        <v>389</v>
      </c>
      <c r="H73" s="3" t="s">
        <v>551</v>
      </c>
      <c r="I73" s="3" t="s">
        <v>622</v>
      </c>
      <c r="J73" s="3" t="s">
        <v>362</v>
      </c>
      <c r="K73" s="3" t="s">
        <v>643</v>
      </c>
      <c r="L73" s="3" t="s">
        <v>748</v>
      </c>
      <c r="M73" s="3" t="s">
        <v>773</v>
      </c>
      <c r="N73" s="3" t="s">
        <v>773</v>
      </c>
      <c r="O73" s="4" t="s">
        <v>822</v>
      </c>
      <c r="P73" s="3" t="s">
        <v>883</v>
      </c>
      <c r="Q73" s="3" t="s">
        <v>905</v>
      </c>
      <c r="R73" s="3" t="s">
        <v>911</v>
      </c>
      <c r="S73" s="3" t="s">
        <v>913</v>
      </c>
      <c r="T73" s="3" t="s">
        <v>964</v>
      </c>
      <c r="U73" s="3" t="s">
        <v>1188</v>
      </c>
      <c r="V73" s="3" t="s">
        <v>789</v>
      </c>
      <c r="W73" s="3" t="s">
        <v>1441</v>
      </c>
      <c r="X73" s="3" t="s">
        <v>1677</v>
      </c>
      <c r="Y73" s="3" t="s">
        <v>2146</v>
      </c>
      <c r="Z73" s="3"/>
      <c r="AA73" s="3"/>
      <c r="AB73" s="3"/>
      <c r="AC73" s="4" cm="1">
        <f t="array" ref="AC73">IF(FALSE,"True," &amp; IF(_xlfn.XLOOKUP("Src_IsAny",'Scoring_Config'!$A:$A,'Scoring_Config'!$D:$D,"Yes")="Yes",_xlfn.XLOOKUP("Src_IsAny",'Scoring_Config'!$A:$A,'Scoring_Config'!$C:$C,25),0),"False,0")</f>
        <v>0</v>
      </c>
      <c r="AD73" s="4" cm="1">
        <f t="array" ref="AD73">IF(FALSE,"True," &amp; IF(_xlfn.XLOOKUP("Src_CIDR_Le_16",'Scoring_Config'!$A:$A,'Scoring_Config'!$D:$D,"Yes")="Yes",_xlfn.XLOOKUP("Src_CIDR_Le_16",'Scoring_Config'!$A:$A,'Scoring_Config'!$C:$C,25),0),"False,0")</f>
        <v>0</v>
      </c>
      <c r="AE73" s="4" cm="1">
        <f t="array" ref="AE73">IF(FALSE,"True," &amp; IF(_xlfn.XLOOKUP("Src_CIDR_17_22",'Scoring_Config'!$A:$A,'Scoring_Config'!$D:$D,"Yes")="Yes",_xlfn.XLOOKUP("Src_CIDR_17_22",'Scoring_Config'!$A:$A,'Scoring_Config'!$C:$C,15),0),"False,0")</f>
        <v>0</v>
      </c>
      <c r="AF73" s="4" cm="1">
        <f t="array" ref="AF73">IF(FALSE,"True," &amp; IF(_xlfn.XLOOKUP("Dst_IsAny",'Scoring_Config'!$A:$A,'Scoring_Config'!$D:$D,"Yes")="Yes",_xlfn.XLOOKUP("Dst_IsAny",'Scoring_Config'!$A:$A,'Scoring_Config'!$C:$C,25),0),"False,0")</f>
        <v>0</v>
      </c>
      <c r="AG73" s="4" cm="1">
        <f t="array" ref="AG73">IF(FALSE,"True," &amp; IF(_xlfn.XLOOKUP("Dst_CIDR_Le_16",'Scoring_Config'!$A:$A,'Scoring_Config'!$D:$D,"Yes")="Yes",_xlfn.XLOOKUP("Dst_CIDR_Le_16",'Scoring_Config'!$A:$A,'Scoring_Config'!$C:$C,25),0),"False,0")</f>
        <v>0</v>
      </c>
      <c r="AH73" s="4" cm="1">
        <f t="array" ref="AH73">IF(FALSE,"True," &amp; IF(_xlfn.XLOOKUP("Dst_CIDR_17_22",'Scoring_Config'!$A:$A,'Scoring_Config'!$D:$D,"Yes")="Yes",_xlfn.XLOOKUP("Dst_CIDR_17_22",'Scoring_Config'!$A:$A,'Scoring_Config'!$C:$C,15),0),"False,0")</f>
        <v>0</v>
      </c>
      <c r="AI73" s="4" cm="1">
        <f t="array" ref="AI73">IF(FALSE,"True," &amp; IF(_xlfn.XLOOKUP("SrcZone_IsAny",'Scoring_Config'!$A:$A,'Scoring_Config'!$D:$D,"Yes")="Yes",_xlfn.XLOOKUP("SrcZone_IsAny",'Scoring_Config'!$A:$A,'Scoring_Config'!$C:$C,5),0),"False,0")</f>
        <v>0</v>
      </c>
      <c r="AJ73" s="4" cm="1">
        <f t="array" ref="AJ73">IF(FALSE,"True," &amp; IF(_xlfn.XLOOKUP("DstZone_IsAny",'Scoring_Config'!$A:$A,'Scoring_Config'!$D:$D,"Yes")="Yes",_xlfn.XLOOKUP("DstZone_IsAny",'Scoring_Config'!$A:$A,'Scoring_Config'!$C:$C,5),0),"False,0")</f>
        <v>0</v>
      </c>
      <c r="AK73" s="5" cm="1">
        <f t="array" ref="AK7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73" s="4" cm="1">
        <f t="array" ref="AL73">IF(FALSE,"True," &amp; IF(_xlfn.XLOOKUP("App_Any_OR_RangeGt1000",'Scoring_Config'!$A:$A,'Scoring_Config'!$D:$D,"Yes")="Yes",_xlfn.XLOOKUP("App_Any_OR_RangeGt1000",'Scoring_Config'!$A:$A,'Scoring_Config'!$C:$C,25),0),"False,0")</f>
        <v>0</v>
      </c>
      <c r="AM73" s="5" cm="1">
        <f t="array" ref="AM73">IF(TRUE,"True," &amp; IF(_xlfn.XLOOKUP("Service_Insecure_Match",'Scoring_Config'!$A:$A,'Scoring_Config'!$D:$D,"Yes")="Yes",_xlfn.XLOOKUP("Service_Insecure_Match",'Scoring_Config'!$A:$A,'Scoring_Config'!$C:$C,20),0),"False,0")</f>
        <v>0</v>
      </c>
      <c r="AN73" s="4" cm="1">
        <f t="array" ref="AN73">IF(FALSE,"True," &amp; IF(_xlfn.XLOOKUP("Risky_Inbound",'Scoring_Config'!$A:$A,'Scoring_Config'!$D:$D,"Yes")="Yes",_xlfn.XLOOKUP("Risky_Inbound",'Scoring_Config'!$A:$A,'Scoring_Config'!$C:$C,20),0),"False,0")</f>
        <v>0</v>
      </c>
      <c r="AO73" s="4" cm="1">
        <f t="array" ref="AO73">IF(FALSE,"True," &amp; IF(_xlfn.XLOOKUP("Risky_Outbound",'Scoring_Config'!$A:$A,'Scoring_Config'!$D:$D,"Yes")="Yes",_xlfn.XLOOKUP("Risky_Outbound",'Scoring_Config'!$A:$A,'Scoring_Config'!$C:$C,10),0),"False,0")</f>
        <v>0</v>
      </c>
      <c r="AP73" s="5" t="s">
        <v>2595</v>
      </c>
      <c r="AQ73" s="4" cm="1">
        <f t="array" ref="AQ7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3" s="5" t="s">
        <v>2598</v>
      </c>
      <c r="AS73" s="4" t="s">
        <v>2592</v>
      </c>
      <c r="AT73" s="4" t="s">
        <v>2592</v>
      </c>
      <c r="AU73" s="4" cm="1">
        <f t="array" ref="AU73">IF(FALSE,"True," &amp; IF(_xlfn.XLOOKUP("Action_IsDenyOrDrop",'Scoring_Config'!$A:$A,'Scoring_Config'!$D:$D,"Yes")="Yes",_xlfn.XLOOKUP("Action_IsDenyOrDrop",'Scoring_Config'!$A:$A,'Scoring_Config'!$C:$C,0),0),"False,0")</f>
        <v>0</v>
      </c>
      <c r="AV73" s="4"/>
      <c r="AW73" s="4" cm="1">
        <f t="array" ref="AW73">IF(FALSE,"True," &amp; IF(_xlfn.XLOOKUP("Migrate_Insecure",'Scoring_Config'!$A:$A,'Scoring_Config'!$D:$D,"Yes")="Yes",_xlfn.XLOOKUP("Migrate_Insecure",'Scoring_Config'!$A:$A,'Scoring_Config'!$C:$C,15),0),"False,0")</f>
        <v>0</v>
      </c>
      <c r="AX73" s="4"/>
      <c r="AY73" s="4" cm="1">
        <f t="array" ref="AY73">IF(FALSE,"True," &amp; IF(_xlfn.XLOOKUP("Migrate_Other_Ports",'Scoring_Config'!$A:$A,'Scoring_Config'!$D:$D,"Yes")="Yes",_xlfn.XLOOKUP("Migrate_Other_Ports",'Scoring_Config'!$A:$A,'Scoring_Config'!$C:$C,5),0),"False,0")</f>
        <v>0</v>
      </c>
      <c r="AZ73" s="4" cm="1">
        <f t="array" ref="AZ73">IF(LEFT(AU73,4)="True",0,(IF(LEFT(AC73,4)="True",IF(_xlfn.XLOOKUP("Src_IsAny",'Scoring_Config'!$A:$A,'Scoring_Config'!$D:$D,"Yes")="Yes",_xlfn.XLOOKUP("Src_IsAny",'Scoring_Config'!$A:$A,'Scoring_Config'!$C:$C,25),0),0)+IF(LEFT(AD73,4)="True",IF(_xlfn.XLOOKUP("Src_CIDR_Le_16",'Scoring_Config'!$A:$A,'Scoring_Config'!$D:$D,"Yes")="Yes",_xlfn.XLOOKUP("Src_CIDR_Le_16",'Scoring_Config'!$A:$A,'Scoring_Config'!$C:$C,25),0),0)+IF(LEFT(AE73,4)="True",IF(_xlfn.XLOOKUP("Src_CIDR_17_22",'Scoring_Config'!$A:$A,'Scoring_Config'!$D:$D,"Yes")="Yes",_xlfn.XLOOKUP("Src_CIDR_17_22",'Scoring_Config'!$A:$A,'Scoring_Config'!$C:$C,15),0),0)+IF(LEFT(AF73,4)="True",IF(_xlfn.XLOOKUP("Dst_IsAny",'Scoring_Config'!$A:$A,'Scoring_Config'!$D:$D,"Yes")="Yes",_xlfn.XLOOKUP("Dst_IsAny",'Scoring_Config'!$A:$A,'Scoring_Config'!$C:$C,25),0),0)+IF(LEFT(AG73,4)="True",IF(_xlfn.XLOOKUP("Dst_CIDR_Le_16",'Scoring_Config'!$A:$A,'Scoring_Config'!$D:$D,"Yes")="Yes",_xlfn.XLOOKUP("Dst_CIDR_Le_16",'Scoring_Config'!$A:$A,'Scoring_Config'!$C:$C,25),0),0)+IF(LEFT(AH73,4)="True",IF(_xlfn.XLOOKUP("Dst_CIDR_17_22",'Scoring_Config'!$A:$A,'Scoring_Config'!$D:$D,"Yes")="Yes",_xlfn.XLOOKUP("Dst_CIDR_17_22",'Scoring_Config'!$A:$A,'Scoring_Config'!$C:$C,15),0),0)+IF(LEFT(AI73,4)="True",IF(_xlfn.XLOOKUP("SrcZone_IsAny",'Scoring_Config'!$A:$A,'Scoring_Config'!$D:$D,"Yes")="Yes",_xlfn.XLOOKUP("SrcZone_IsAny",'Scoring_Config'!$A:$A,'Scoring_Config'!$C:$C,5),0),0)+IF(LEFT(AJ73,4)="True",IF(_xlfn.XLOOKUP("DstZone_IsAny",'Scoring_Config'!$A:$A,'Scoring_Config'!$D:$D,"Yes")="Yes",_xlfn.XLOOKUP("DstZone_IsAny",'Scoring_Config'!$A:$A,'Scoring_Config'!$C:$C,5),0),0)+IF(LEFT(AK73,4)="True",IF(_xlfn.XLOOKUP("Service_Any_OR_RangeGt1000",'Scoring_Config'!$A:$A,'Scoring_Config'!$D:$D,"Yes")="Yes",_xlfn.XLOOKUP("Service_Any_OR_RangeGt1000",'Scoring_Config'!$A:$A,'Scoring_Config'!$C:$C,25),0),0)+IF(LEFT(AL73,4)="True",IF(_xlfn.XLOOKUP("App_Any_OR_RangeGt1000",'Scoring_Config'!$A:$A,'Scoring_Config'!$D:$D,"Yes")="Yes",_xlfn.XLOOKUP("App_Any_OR_RangeGt1000",'Scoring_Config'!$A:$A,'Scoring_Config'!$C:$C,25),0),0)+IF(LEFT(AM73,4)="True",IF(_xlfn.XLOOKUP("Service_Insecure_Match",'Scoring_Config'!$A:$A,'Scoring_Config'!$D:$D,"Yes")="Yes",_xlfn.XLOOKUP("Service_Insecure_Match",'Scoring_Config'!$A:$A,'Scoring_Config'!$C:$C,20),0),0)+IF(LEFT(AN73,4)="True",IF(_xlfn.XLOOKUP("Risky_Inbound",'Scoring_Config'!$A:$A,'Scoring_Config'!$D:$D,"Yes")="Yes",_xlfn.XLOOKUP("Risky_Inbound",'Scoring_Config'!$A:$A,'Scoring_Config'!$C:$C,20),0),0)+IF(LEFT(AO73,4)="True",IF(_xlfn.XLOOKUP("Risky_Outbound",'Scoring_Config'!$A:$A,'Scoring_Config'!$D:$D,"Yes")="Yes",_xlfn.XLOOKUP("Risky_Outbound",'Scoring_Config'!$A:$A,'Scoring_Config'!$C:$C,10),0),0)+IF(LEFT(AW73,4)="True",IF(_xlfn.XLOOKUP("Migrate_Insecure",'Scoring_Config'!$A:$A,'Scoring_Config'!$D:$D,"Yes")="Yes",_xlfn.XLOOKUP("Migrate_Insecure",'Scoring_Config'!$A:$A,'Scoring_Config'!$C:$C,15),0),0)+IF(LEFT(AY73,4)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73,FIND(",",AP73)+1,100)),0)+IF(LEFT(AQ73,4)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73,FIND(",",AR73)+1,100)),0)+IF(_xlfn.XLOOKUP("Profile_Scoring",'Scoring_Config'!$A:$A,'Scoring_Config'!$D:$D,"Yes")="Yes",VALUE(MID(AS73,FIND(",",AS73)+1,100)),0)+IF(_xlfn.XLOOKUP("Options_Scoring",'Scoring_Config'!$A:$A,'Scoring_Config'!$D:$D,"Yes")="Yes",VALUE(MID(AT73,FIND(",",AT73)+1,100)),0)))</f>
        <v>0</v>
      </c>
    </row>
    <row r="74" spans="1:52">
      <c r="A74" s="3" t="s">
        <v>52</v>
      </c>
      <c r="B74" s="3" t="s">
        <v>116</v>
      </c>
      <c r="C74" s="3" t="s">
        <v>329</v>
      </c>
      <c r="D74" s="3"/>
      <c r="E74" s="3" t="s">
        <v>359</v>
      </c>
      <c r="F74" s="3" t="s">
        <v>360</v>
      </c>
      <c r="G74" s="3" t="s">
        <v>392</v>
      </c>
      <c r="H74" s="3" t="s">
        <v>392</v>
      </c>
      <c r="I74" s="3" t="s">
        <v>365</v>
      </c>
      <c r="J74" s="3" t="s">
        <v>363</v>
      </c>
      <c r="K74" s="3" t="s">
        <v>380</v>
      </c>
      <c r="L74" s="3" t="s">
        <v>546</v>
      </c>
      <c r="M74" s="3" t="s">
        <v>365</v>
      </c>
      <c r="N74" s="3" t="s">
        <v>365</v>
      </c>
      <c r="O74" s="4" t="s">
        <v>811</v>
      </c>
      <c r="P74" s="3" t="s">
        <v>872</v>
      </c>
      <c r="Q74" s="3" t="s">
        <v>905</v>
      </c>
      <c r="R74" s="3" t="s">
        <v>907</v>
      </c>
      <c r="S74" s="3" t="s">
        <v>907</v>
      </c>
      <c r="T74" s="3" t="s">
        <v>965</v>
      </c>
      <c r="U74" s="3" t="s">
        <v>1189</v>
      </c>
      <c r="V74" s="3" t="s">
        <v>1389</v>
      </c>
      <c r="W74" s="3" t="s">
        <v>1440</v>
      </c>
      <c r="X74" s="3" t="s">
        <v>1678</v>
      </c>
      <c r="Y74" s="3" t="s">
        <v>2147</v>
      </c>
      <c r="Z74" s="3"/>
      <c r="AA74" s="3"/>
      <c r="AB74" s="3"/>
      <c r="AC74" s="4" cm="1">
        <f t="array" ref="AC74">IF(FALSE,"True," &amp; IF(_xlfn.XLOOKUP("Src_IsAny",'Scoring_Config'!$A:$A,'Scoring_Config'!$D:$D,"Yes")="Yes",_xlfn.XLOOKUP("Src_IsAny",'Scoring_Config'!$A:$A,'Scoring_Config'!$C:$C,25),0),"False,0")</f>
        <v>0</v>
      </c>
      <c r="AD74" s="4" cm="1">
        <f t="array" ref="AD74">IF(FALSE,"True," &amp; IF(_xlfn.XLOOKUP("Src_CIDR_Le_16",'Scoring_Config'!$A:$A,'Scoring_Config'!$D:$D,"Yes")="Yes",_xlfn.XLOOKUP("Src_CIDR_Le_16",'Scoring_Config'!$A:$A,'Scoring_Config'!$C:$C,25),0),"False,0")</f>
        <v>0</v>
      </c>
      <c r="AE74" s="4" cm="1">
        <f t="array" ref="AE74">IF(FALSE,"True," &amp; IF(_xlfn.XLOOKUP("Src_CIDR_17_22",'Scoring_Config'!$A:$A,'Scoring_Config'!$D:$D,"Yes")="Yes",_xlfn.XLOOKUP("Src_CIDR_17_22",'Scoring_Config'!$A:$A,'Scoring_Config'!$C:$C,15),0),"False,0")</f>
        <v>0</v>
      </c>
      <c r="AF74" s="5" cm="1">
        <f t="array" ref="AF74">IF(TRUE,"True," &amp; IF(_xlfn.XLOOKUP("Dst_IsAny",'Scoring_Config'!$A:$A,'Scoring_Config'!$D:$D,"Yes")="Yes",_xlfn.XLOOKUP("Dst_IsAny",'Scoring_Config'!$A:$A,'Scoring_Config'!$C:$C,25),0),"False,0")</f>
        <v>0</v>
      </c>
      <c r="AG74" s="4" cm="1">
        <f t="array" ref="AG74">IF(FALSE,"True," &amp; IF(_xlfn.XLOOKUP("Dst_CIDR_Le_16",'Scoring_Config'!$A:$A,'Scoring_Config'!$D:$D,"Yes")="Yes",_xlfn.XLOOKUP("Dst_CIDR_Le_16",'Scoring_Config'!$A:$A,'Scoring_Config'!$C:$C,25),0),"False,0")</f>
        <v>0</v>
      </c>
      <c r="AH74" s="4" cm="1">
        <f t="array" ref="AH74">IF(FALSE,"True," &amp; IF(_xlfn.XLOOKUP("Dst_CIDR_17_22",'Scoring_Config'!$A:$A,'Scoring_Config'!$D:$D,"Yes")="Yes",_xlfn.XLOOKUP("Dst_CIDR_17_22",'Scoring_Config'!$A:$A,'Scoring_Config'!$C:$C,15),0),"False,0")</f>
        <v>0</v>
      </c>
      <c r="AI74" s="4" cm="1">
        <f t="array" ref="AI74">IF(FALSE,"True," &amp; IF(_xlfn.XLOOKUP("SrcZone_IsAny",'Scoring_Config'!$A:$A,'Scoring_Config'!$D:$D,"Yes")="Yes",_xlfn.XLOOKUP("SrcZone_IsAny",'Scoring_Config'!$A:$A,'Scoring_Config'!$C:$C,5),0),"False,0")</f>
        <v>0</v>
      </c>
      <c r="AJ74" s="4" cm="1">
        <f t="array" ref="AJ74">IF(FALSE,"True," &amp; IF(_xlfn.XLOOKUP("DstZone_IsAny",'Scoring_Config'!$A:$A,'Scoring_Config'!$D:$D,"Yes")="Yes",_xlfn.XLOOKUP("DstZone_IsAny",'Scoring_Config'!$A:$A,'Scoring_Config'!$C:$C,5),0),"False,0")</f>
        <v>0</v>
      </c>
      <c r="AK74" s="4" cm="1">
        <f t="array" ref="AK7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4" s="5" cm="1">
        <f t="array" ref="AL74">IF(TRUE,"True," &amp; IF(_xlfn.XLOOKUP("App_Any_OR_RangeGt1000",'Scoring_Config'!$A:$A,'Scoring_Config'!$D:$D,"Yes")="Yes",_xlfn.XLOOKUP("App_Any_OR_RangeGt1000",'Scoring_Config'!$A:$A,'Scoring_Config'!$C:$C,25),0),"False,0")</f>
        <v>0</v>
      </c>
      <c r="AM74" s="5" cm="1">
        <f t="array" ref="AM74">IF(TRUE,"True," &amp; IF(_xlfn.XLOOKUP("Service_Insecure_Match",'Scoring_Config'!$A:$A,'Scoring_Config'!$D:$D,"Yes")="Yes",_xlfn.XLOOKUP("Service_Insecure_Match",'Scoring_Config'!$A:$A,'Scoring_Config'!$C:$C,20),0),"False,0")</f>
        <v>0</v>
      </c>
      <c r="AN74" s="4" cm="1">
        <f t="array" ref="AN74">IF(FALSE,"True," &amp; IF(_xlfn.XLOOKUP("Risky_Inbound",'Scoring_Config'!$A:$A,'Scoring_Config'!$D:$D,"Yes")="Yes",_xlfn.XLOOKUP("Risky_Inbound",'Scoring_Config'!$A:$A,'Scoring_Config'!$C:$C,20),0),"False,0")</f>
        <v>0</v>
      </c>
      <c r="AO74" s="4" cm="1">
        <f t="array" ref="AO74">IF(FALSE,"True," &amp; IF(_xlfn.XLOOKUP("Risky_Outbound",'Scoring_Config'!$A:$A,'Scoring_Config'!$D:$D,"Yes")="Yes",_xlfn.XLOOKUP("Risky_Outbound",'Scoring_Config'!$A:$A,'Scoring_Config'!$C:$C,10),0),"False,0")</f>
        <v>0</v>
      </c>
      <c r="AP74" s="5" t="s">
        <v>2595</v>
      </c>
      <c r="AQ74" s="4" cm="1">
        <f t="array" ref="AQ7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4" s="4" t="s">
        <v>2592</v>
      </c>
      <c r="AS74" s="5" t="s">
        <v>2595</v>
      </c>
      <c r="AT74" s="5" t="s">
        <v>2595</v>
      </c>
      <c r="AU74" s="4" cm="1">
        <f t="array" ref="AU74">IF(FALSE,"True," &amp; IF(_xlfn.XLOOKUP("Action_IsDenyOrDrop",'Scoring_Config'!$A:$A,'Scoring_Config'!$D:$D,"Yes")="Yes",_xlfn.XLOOKUP("Action_IsDenyOrDrop",'Scoring_Config'!$A:$A,'Scoring_Config'!$C:$C,0),0),"False,0")</f>
        <v>0</v>
      </c>
      <c r="AV74" s="4"/>
      <c r="AW74" s="4" cm="1">
        <f t="array" ref="AW74">IF(FALSE,"True," &amp; IF(_xlfn.XLOOKUP("Migrate_Insecure",'Scoring_Config'!$A:$A,'Scoring_Config'!$D:$D,"Yes")="Yes",_xlfn.XLOOKUP("Migrate_Insecure",'Scoring_Config'!$A:$A,'Scoring_Config'!$C:$C,15),0),"False,0")</f>
        <v>0</v>
      </c>
      <c r="AX74" s="4"/>
      <c r="AY74" s="4" cm="1">
        <f t="array" ref="AY74">IF(FALSE,"True," &amp; IF(_xlfn.XLOOKUP("Migrate_Other_Ports",'Scoring_Config'!$A:$A,'Scoring_Config'!$D:$D,"Yes")="Yes",_xlfn.XLOOKUP("Migrate_Other_Ports",'Scoring_Config'!$A:$A,'Scoring_Config'!$C:$C,5),0),"False,0")</f>
        <v>0</v>
      </c>
      <c r="AZ74" s="4" cm="1">
        <f t="array" ref="AZ74">IF(LEFT(AU74,4)="True",0,(IF(LEFT(AC74,4)="True",IF(_xlfn.XLOOKUP("Src_IsAny",'Scoring_Config'!$A:$A,'Scoring_Config'!$D:$D,"Yes")="Yes",_xlfn.XLOOKUP("Src_IsAny",'Scoring_Config'!$A:$A,'Scoring_Config'!$C:$C,25),0),0)+IF(LEFT(AD74,4)="True",IF(_xlfn.XLOOKUP("Src_CIDR_Le_16",'Scoring_Config'!$A:$A,'Scoring_Config'!$D:$D,"Yes")="Yes",_xlfn.XLOOKUP("Src_CIDR_Le_16",'Scoring_Config'!$A:$A,'Scoring_Config'!$C:$C,25),0),0)+IF(LEFT(AE74,4)="True",IF(_xlfn.XLOOKUP("Src_CIDR_17_22",'Scoring_Config'!$A:$A,'Scoring_Config'!$D:$D,"Yes")="Yes",_xlfn.XLOOKUP("Src_CIDR_17_22",'Scoring_Config'!$A:$A,'Scoring_Config'!$C:$C,15),0),0)+IF(LEFT(AF74,4)="True",IF(_xlfn.XLOOKUP("Dst_IsAny",'Scoring_Config'!$A:$A,'Scoring_Config'!$D:$D,"Yes")="Yes",_xlfn.XLOOKUP("Dst_IsAny",'Scoring_Config'!$A:$A,'Scoring_Config'!$C:$C,25),0),0)+IF(LEFT(AG74,4)="True",IF(_xlfn.XLOOKUP("Dst_CIDR_Le_16",'Scoring_Config'!$A:$A,'Scoring_Config'!$D:$D,"Yes")="Yes",_xlfn.XLOOKUP("Dst_CIDR_Le_16",'Scoring_Config'!$A:$A,'Scoring_Config'!$C:$C,25),0),0)+IF(LEFT(AH74,4)="True",IF(_xlfn.XLOOKUP("Dst_CIDR_17_22",'Scoring_Config'!$A:$A,'Scoring_Config'!$D:$D,"Yes")="Yes",_xlfn.XLOOKUP("Dst_CIDR_17_22",'Scoring_Config'!$A:$A,'Scoring_Config'!$C:$C,15),0),0)+IF(LEFT(AI74,4)="True",IF(_xlfn.XLOOKUP("SrcZone_IsAny",'Scoring_Config'!$A:$A,'Scoring_Config'!$D:$D,"Yes")="Yes",_xlfn.XLOOKUP("SrcZone_IsAny",'Scoring_Config'!$A:$A,'Scoring_Config'!$C:$C,5),0),0)+IF(LEFT(AJ74,4)="True",IF(_xlfn.XLOOKUP("DstZone_IsAny",'Scoring_Config'!$A:$A,'Scoring_Config'!$D:$D,"Yes")="Yes",_xlfn.XLOOKUP("DstZone_IsAny",'Scoring_Config'!$A:$A,'Scoring_Config'!$C:$C,5),0),0)+IF(LEFT(AK74,4)="True",IF(_xlfn.XLOOKUP("Service_Any_OR_RangeGt1000",'Scoring_Config'!$A:$A,'Scoring_Config'!$D:$D,"Yes")="Yes",_xlfn.XLOOKUP("Service_Any_OR_RangeGt1000",'Scoring_Config'!$A:$A,'Scoring_Config'!$C:$C,25),0),0)+IF(LEFT(AL74,4)="True",IF(_xlfn.XLOOKUP("App_Any_OR_RangeGt1000",'Scoring_Config'!$A:$A,'Scoring_Config'!$D:$D,"Yes")="Yes",_xlfn.XLOOKUP("App_Any_OR_RangeGt1000",'Scoring_Config'!$A:$A,'Scoring_Config'!$C:$C,25),0),0)+IF(LEFT(AM74,4)="True",IF(_xlfn.XLOOKUP("Service_Insecure_Match",'Scoring_Config'!$A:$A,'Scoring_Config'!$D:$D,"Yes")="Yes",_xlfn.XLOOKUP("Service_Insecure_Match",'Scoring_Config'!$A:$A,'Scoring_Config'!$C:$C,20),0),0)+IF(LEFT(AN74,4)="True",IF(_xlfn.XLOOKUP("Risky_Inbound",'Scoring_Config'!$A:$A,'Scoring_Config'!$D:$D,"Yes")="Yes",_xlfn.XLOOKUP("Risky_Inbound",'Scoring_Config'!$A:$A,'Scoring_Config'!$C:$C,20),0),0)+IF(LEFT(AO74,4)="True",IF(_xlfn.XLOOKUP("Risky_Outbound",'Scoring_Config'!$A:$A,'Scoring_Config'!$D:$D,"Yes")="Yes",_xlfn.XLOOKUP("Risky_Outbound",'Scoring_Config'!$A:$A,'Scoring_Config'!$C:$C,10),0),0)+IF(LEFT(AW74,4)="True",IF(_xlfn.XLOOKUP("Migrate_Insecure",'Scoring_Config'!$A:$A,'Scoring_Config'!$D:$D,"Yes")="Yes",_xlfn.XLOOKUP("Migrate_Insecure",'Scoring_Config'!$A:$A,'Scoring_Config'!$C:$C,15),0),0)+IF(LEFT(AY74,4)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74,FIND(",",AP74)+1,100)),0)+IF(LEFT(AQ74,4)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74,FIND(",",AR74)+1,100)),0)+IF(_xlfn.XLOOKUP("Profile_Scoring",'Scoring_Config'!$A:$A,'Scoring_Config'!$D:$D,"Yes")="Yes",VALUE(MID(AS74,FIND(",",AS74)+1,100)),0)+IF(_xlfn.XLOOKUP("Options_Scoring",'Scoring_Config'!$A:$A,'Scoring_Config'!$D:$D,"Yes")="Yes",VALUE(MID(AT74,FIND(",",AT74)+1,100)),0)))</f>
        <v>0</v>
      </c>
    </row>
    <row r="75" spans="1:52">
      <c r="A75" s="3" t="s">
        <v>52</v>
      </c>
      <c r="B75" s="3" t="s">
        <v>117</v>
      </c>
      <c r="C75" s="3" t="s">
        <v>329</v>
      </c>
      <c r="D75" s="3"/>
      <c r="E75" s="3" t="s">
        <v>359</v>
      </c>
      <c r="F75" s="3" t="s">
        <v>363</v>
      </c>
      <c r="G75" s="3" t="s">
        <v>380</v>
      </c>
      <c r="H75" s="3" t="s">
        <v>546</v>
      </c>
      <c r="I75" s="3" t="s">
        <v>365</v>
      </c>
      <c r="J75" s="3" t="s">
        <v>360</v>
      </c>
      <c r="K75" s="3" t="s">
        <v>365</v>
      </c>
      <c r="L75" s="3" t="s">
        <v>365</v>
      </c>
      <c r="M75" s="3" t="s">
        <v>774</v>
      </c>
      <c r="N75" s="3" t="s">
        <v>795</v>
      </c>
      <c r="O75" s="4" t="s">
        <v>805</v>
      </c>
      <c r="P75" s="3" t="s">
        <v>866</v>
      </c>
      <c r="Q75" s="3" t="s">
        <v>905</v>
      </c>
      <c r="R75" s="3" t="s">
        <v>907</v>
      </c>
      <c r="S75" s="3" t="s">
        <v>916</v>
      </c>
      <c r="T75" s="3" t="s">
        <v>919</v>
      </c>
      <c r="U75" s="3" t="s">
        <v>1190</v>
      </c>
      <c r="V75" s="3" t="s">
        <v>1386</v>
      </c>
      <c r="W75" s="3" t="s">
        <v>1395</v>
      </c>
      <c r="X75" s="3" t="s">
        <v>1679</v>
      </c>
      <c r="Y75" s="3" t="s">
        <v>2148</v>
      </c>
      <c r="Z75" s="3"/>
      <c r="AA75" s="3"/>
      <c r="AB75" s="3"/>
      <c r="AC75" s="5" cm="1">
        <f t="array" ref="AC75">IF(TRUE,"True," &amp; IF(_xlfn.XLOOKUP("Src_IsAny",'Scoring_Config'!$A:$A,'Scoring_Config'!$D:$D,"Yes")="Yes",_xlfn.XLOOKUP("Src_IsAny",'Scoring_Config'!$A:$A,'Scoring_Config'!$C:$C,25),0),"False,0")</f>
        <v>0</v>
      </c>
      <c r="AD75" s="4" cm="1">
        <f t="array" ref="AD75">IF(FALSE,"True," &amp; IF(_xlfn.XLOOKUP("Src_CIDR_Le_16",'Scoring_Config'!$A:$A,'Scoring_Config'!$D:$D,"Yes")="Yes",_xlfn.XLOOKUP("Src_CIDR_Le_16",'Scoring_Config'!$A:$A,'Scoring_Config'!$C:$C,25),0),"False,0")</f>
        <v>0</v>
      </c>
      <c r="AE75" s="4" cm="1">
        <f t="array" ref="AE75">IF(FALSE,"True," &amp; IF(_xlfn.XLOOKUP("Src_CIDR_17_22",'Scoring_Config'!$A:$A,'Scoring_Config'!$D:$D,"Yes")="Yes",_xlfn.XLOOKUP("Src_CIDR_17_22",'Scoring_Config'!$A:$A,'Scoring_Config'!$C:$C,15),0),"False,0")</f>
        <v>0</v>
      </c>
      <c r="AF75" s="5" cm="1">
        <f t="array" ref="AF75">IF(TRUE,"True," &amp; IF(_xlfn.XLOOKUP("Dst_IsAny",'Scoring_Config'!$A:$A,'Scoring_Config'!$D:$D,"Yes")="Yes",_xlfn.XLOOKUP("Dst_IsAny",'Scoring_Config'!$A:$A,'Scoring_Config'!$C:$C,25),0),"False,0")</f>
        <v>0</v>
      </c>
      <c r="AG75" s="4" cm="1">
        <f t="array" ref="AG75">IF(FALSE,"True," &amp; IF(_xlfn.XLOOKUP("Dst_CIDR_Le_16",'Scoring_Config'!$A:$A,'Scoring_Config'!$D:$D,"Yes")="Yes",_xlfn.XLOOKUP("Dst_CIDR_Le_16",'Scoring_Config'!$A:$A,'Scoring_Config'!$C:$C,25),0),"False,0")</f>
        <v>0</v>
      </c>
      <c r="AH75" s="4" cm="1">
        <f t="array" ref="AH75">IF(FALSE,"True," &amp; IF(_xlfn.XLOOKUP("Dst_CIDR_17_22",'Scoring_Config'!$A:$A,'Scoring_Config'!$D:$D,"Yes")="Yes",_xlfn.XLOOKUP("Dst_CIDR_17_22",'Scoring_Config'!$A:$A,'Scoring_Config'!$C:$C,15),0),"False,0")</f>
        <v>0</v>
      </c>
      <c r="AI75" s="4" cm="1">
        <f t="array" ref="AI75">IF(FALSE,"True," &amp; IF(_xlfn.XLOOKUP("SrcZone_IsAny",'Scoring_Config'!$A:$A,'Scoring_Config'!$D:$D,"Yes")="Yes",_xlfn.XLOOKUP("SrcZone_IsAny",'Scoring_Config'!$A:$A,'Scoring_Config'!$C:$C,5),0),"False,0")</f>
        <v>0</v>
      </c>
      <c r="AJ75" s="4" cm="1">
        <f t="array" ref="AJ75">IF(FALSE,"True," &amp; IF(_xlfn.XLOOKUP("DstZone_IsAny",'Scoring_Config'!$A:$A,'Scoring_Config'!$D:$D,"Yes")="Yes",_xlfn.XLOOKUP("DstZone_IsAny",'Scoring_Config'!$A:$A,'Scoring_Config'!$C:$C,5),0),"False,0")</f>
        <v>0</v>
      </c>
      <c r="AK75" s="4" cm="1">
        <f t="array" ref="AK7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5" s="4" cm="1">
        <f t="array" ref="AL75">IF(FALSE,"True," &amp; IF(_xlfn.XLOOKUP("App_Any_OR_RangeGt1000",'Scoring_Config'!$A:$A,'Scoring_Config'!$D:$D,"Yes")="Yes",_xlfn.XLOOKUP("App_Any_OR_RangeGt1000",'Scoring_Config'!$A:$A,'Scoring_Config'!$C:$C,25),0),"False,0")</f>
        <v>0</v>
      </c>
      <c r="AM75" s="5" cm="1">
        <f t="array" ref="AM75">IF(TRUE,"True," &amp; IF(_xlfn.XLOOKUP("Service_Insecure_Match",'Scoring_Config'!$A:$A,'Scoring_Config'!$D:$D,"Yes")="Yes",_xlfn.XLOOKUP("Service_Insecure_Match",'Scoring_Config'!$A:$A,'Scoring_Config'!$C:$C,20),0),"False,0")</f>
        <v>0</v>
      </c>
      <c r="AN75" s="4" cm="1">
        <f t="array" ref="AN75">IF(FALSE,"True," &amp; IF(_xlfn.XLOOKUP("Risky_Inbound",'Scoring_Config'!$A:$A,'Scoring_Config'!$D:$D,"Yes")="Yes",_xlfn.XLOOKUP("Risky_Inbound",'Scoring_Config'!$A:$A,'Scoring_Config'!$C:$C,20),0),"False,0")</f>
        <v>0</v>
      </c>
      <c r="AO75" s="4" cm="1">
        <f t="array" ref="AO75">IF(FALSE,"True," &amp; IF(_xlfn.XLOOKUP("Risky_Outbound",'Scoring_Config'!$A:$A,'Scoring_Config'!$D:$D,"Yes")="Yes",_xlfn.XLOOKUP("Risky_Outbound",'Scoring_Config'!$A:$A,'Scoring_Config'!$C:$C,10),0),"False,0")</f>
        <v>0</v>
      </c>
      <c r="AP75" s="5" t="s">
        <v>2595</v>
      </c>
      <c r="AQ75" s="4" cm="1">
        <f t="array" ref="AQ7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5" s="4" t="s">
        <v>2592</v>
      </c>
      <c r="AS75" s="5" t="s">
        <v>2595</v>
      </c>
      <c r="AT75" s="4" t="s">
        <v>2592</v>
      </c>
      <c r="AU75" s="4" cm="1">
        <f t="array" ref="AU75">IF(FALSE,"True," &amp; IF(_xlfn.XLOOKUP("Action_IsDenyOrDrop",'Scoring_Config'!$A:$A,'Scoring_Config'!$D:$D,"Yes")="Yes",_xlfn.XLOOKUP("Action_IsDenyOrDrop",'Scoring_Config'!$A:$A,'Scoring_Config'!$C:$C,0),0),"False,0")</f>
        <v>0</v>
      </c>
      <c r="AV75" s="4"/>
      <c r="AW75" s="4" cm="1">
        <f t="array" ref="AW75">IF(FALSE,"True," &amp; IF(_xlfn.XLOOKUP("Migrate_Insecure",'Scoring_Config'!$A:$A,'Scoring_Config'!$D:$D,"Yes")="Yes",_xlfn.XLOOKUP("Migrate_Insecure",'Scoring_Config'!$A:$A,'Scoring_Config'!$C:$C,15),0),"False,0")</f>
        <v>0</v>
      </c>
      <c r="AX75" s="4"/>
      <c r="AY75" s="4" cm="1">
        <f t="array" ref="AY75">IF(FALSE,"True," &amp; IF(_xlfn.XLOOKUP("Migrate_Other_Ports",'Scoring_Config'!$A:$A,'Scoring_Config'!$D:$D,"Yes")="Yes",_xlfn.XLOOKUP("Migrate_Other_Ports",'Scoring_Config'!$A:$A,'Scoring_Config'!$C:$C,5),0),"False,0")</f>
        <v>0</v>
      </c>
      <c r="AZ75" s="4" cm="1">
        <f t="array" ref="AZ75">IF(LEFT(AU75,4)="True",0,(IF(LEFT(AC75,4)="True",IF(_xlfn.XLOOKUP("Src_IsAny",'Scoring_Config'!$A:$A,'Scoring_Config'!$D:$D,"Yes")="Yes",_xlfn.XLOOKUP("Src_IsAny",'Scoring_Config'!$A:$A,'Scoring_Config'!$C:$C,25),0),0)+IF(LEFT(AD75,4)="True",IF(_xlfn.XLOOKUP("Src_CIDR_Le_16",'Scoring_Config'!$A:$A,'Scoring_Config'!$D:$D,"Yes")="Yes",_xlfn.XLOOKUP("Src_CIDR_Le_16",'Scoring_Config'!$A:$A,'Scoring_Config'!$C:$C,25),0),0)+IF(LEFT(AE75,4)="True",IF(_xlfn.XLOOKUP("Src_CIDR_17_22",'Scoring_Config'!$A:$A,'Scoring_Config'!$D:$D,"Yes")="Yes",_xlfn.XLOOKUP("Src_CIDR_17_22",'Scoring_Config'!$A:$A,'Scoring_Config'!$C:$C,15),0),0)+IF(LEFT(AF75,4)="True",IF(_xlfn.XLOOKUP("Dst_IsAny",'Scoring_Config'!$A:$A,'Scoring_Config'!$D:$D,"Yes")="Yes",_xlfn.XLOOKUP("Dst_IsAny",'Scoring_Config'!$A:$A,'Scoring_Config'!$C:$C,25),0),0)+IF(LEFT(AG75,4)="True",IF(_xlfn.XLOOKUP("Dst_CIDR_Le_16",'Scoring_Config'!$A:$A,'Scoring_Config'!$D:$D,"Yes")="Yes",_xlfn.XLOOKUP("Dst_CIDR_Le_16",'Scoring_Config'!$A:$A,'Scoring_Config'!$C:$C,25),0),0)+IF(LEFT(AH75,4)="True",IF(_xlfn.XLOOKUP("Dst_CIDR_17_22",'Scoring_Config'!$A:$A,'Scoring_Config'!$D:$D,"Yes")="Yes",_xlfn.XLOOKUP("Dst_CIDR_17_22",'Scoring_Config'!$A:$A,'Scoring_Config'!$C:$C,15),0),0)+IF(LEFT(AI75,4)="True",IF(_xlfn.XLOOKUP("SrcZone_IsAny",'Scoring_Config'!$A:$A,'Scoring_Config'!$D:$D,"Yes")="Yes",_xlfn.XLOOKUP("SrcZone_IsAny",'Scoring_Config'!$A:$A,'Scoring_Config'!$C:$C,5),0),0)+IF(LEFT(AJ75,4)="True",IF(_xlfn.XLOOKUP("DstZone_IsAny",'Scoring_Config'!$A:$A,'Scoring_Config'!$D:$D,"Yes")="Yes",_xlfn.XLOOKUP("DstZone_IsAny",'Scoring_Config'!$A:$A,'Scoring_Config'!$C:$C,5),0),0)+IF(LEFT(AK75,4)="True",IF(_xlfn.XLOOKUP("Service_Any_OR_RangeGt1000",'Scoring_Config'!$A:$A,'Scoring_Config'!$D:$D,"Yes")="Yes",_xlfn.XLOOKUP("Service_Any_OR_RangeGt1000",'Scoring_Config'!$A:$A,'Scoring_Config'!$C:$C,25),0),0)+IF(LEFT(AL75,4)="True",IF(_xlfn.XLOOKUP("App_Any_OR_RangeGt1000",'Scoring_Config'!$A:$A,'Scoring_Config'!$D:$D,"Yes")="Yes",_xlfn.XLOOKUP("App_Any_OR_RangeGt1000",'Scoring_Config'!$A:$A,'Scoring_Config'!$C:$C,25),0),0)+IF(LEFT(AM75,4)="True",IF(_xlfn.XLOOKUP("Service_Insecure_Match",'Scoring_Config'!$A:$A,'Scoring_Config'!$D:$D,"Yes")="Yes",_xlfn.XLOOKUP("Service_Insecure_Match",'Scoring_Config'!$A:$A,'Scoring_Config'!$C:$C,20),0),0)+IF(LEFT(AN75,4)="True",IF(_xlfn.XLOOKUP("Risky_Inbound",'Scoring_Config'!$A:$A,'Scoring_Config'!$D:$D,"Yes")="Yes",_xlfn.XLOOKUP("Risky_Inbound",'Scoring_Config'!$A:$A,'Scoring_Config'!$C:$C,20),0),0)+IF(LEFT(AO75,4)="True",IF(_xlfn.XLOOKUP("Risky_Outbound",'Scoring_Config'!$A:$A,'Scoring_Config'!$D:$D,"Yes")="Yes",_xlfn.XLOOKUP("Risky_Outbound",'Scoring_Config'!$A:$A,'Scoring_Config'!$C:$C,10),0),0)+IF(LEFT(AW75,4)="True",IF(_xlfn.XLOOKUP("Migrate_Insecure",'Scoring_Config'!$A:$A,'Scoring_Config'!$D:$D,"Yes")="Yes",_xlfn.XLOOKUP("Migrate_Insecure",'Scoring_Config'!$A:$A,'Scoring_Config'!$C:$C,15),0),0)+IF(LEFT(AY75,4)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75,FIND(",",AP75)+1,100)),0)+IF(LEFT(AQ75,4)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75,FIND(",",AR75)+1,100)),0)+IF(_xlfn.XLOOKUP("Profile_Scoring",'Scoring_Config'!$A:$A,'Scoring_Config'!$D:$D,"Yes")="Yes",VALUE(MID(AS75,FIND(",",AS75)+1,100)),0)+IF(_xlfn.XLOOKUP("Options_Scoring",'Scoring_Config'!$A:$A,'Scoring_Config'!$D:$D,"Yes")="Yes",VALUE(MID(AT75,FIND(",",AT75)+1,100)),0)))</f>
        <v>0</v>
      </c>
    </row>
    <row r="76" spans="1:52">
      <c r="A76" s="3" t="s">
        <v>52</v>
      </c>
      <c r="B76" s="3" t="s">
        <v>118</v>
      </c>
      <c r="C76" s="3" t="s">
        <v>329</v>
      </c>
      <c r="D76" s="3"/>
      <c r="E76" s="3" t="s">
        <v>359</v>
      </c>
      <c r="F76" s="3" t="s">
        <v>361</v>
      </c>
      <c r="G76" s="3" t="s">
        <v>365</v>
      </c>
      <c r="H76" s="3" t="s">
        <v>365</v>
      </c>
      <c r="I76" s="3" t="s">
        <v>622</v>
      </c>
      <c r="J76" s="3" t="s">
        <v>364</v>
      </c>
      <c r="K76" s="3" t="s">
        <v>365</v>
      </c>
      <c r="L76" s="3" t="s">
        <v>365</v>
      </c>
      <c r="M76" s="3" t="s">
        <v>365</v>
      </c>
      <c r="N76" s="3" t="s">
        <v>365</v>
      </c>
      <c r="O76" s="4" t="s">
        <v>814</v>
      </c>
      <c r="P76" s="3" t="s">
        <v>875</v>
      </c>
      <c r="Q76" s="3" t="s">
        <v>905</v>
      </c>
      <c r="R76" s="3" t="s">
        <v>907</v>
      </c>
      <c r="S76" s="3" t="s">
        <v>907</v>
      </c>
      <c r="T76" s="3" t="s">
        <v>919</v>
      </c>
      <c r="U76" s="3" t="s">
        <v>1191</v>
      </c>
      <c r="V76" s="3" t="s">
        <v>1388</v>
      </c>
      <c r="W76" s="3" t="s">
        <v>1442</v>
      </c>
      <c r="X76" s="3" t="s">
        <v>1680</v>
      </c>
      <c r="Y76" s="3" t="s">
        <v>2149</v>
      </c>
      <c r="Z76" s="3"/>
      <c r="AA76" s="3"/>
      <c r="AB76" s="3"/>
      <c r="AC76" s="5" cm="1">
        <f t="array" ref="AC76">IF(TRUE,"True," &amp; IF(_xlfn.XLOOKUP("Src_IsAny",'Scoring_Config'!$A:$A,'Scoring_Config'!$D:$D,"Yes")="Yes",_xlfn.XLOOKUP("Src_IsAny",'Scoring_Config'!$A:$A,'Scoring_Config'!$C:$C,25),0),"False,0")</f>
        <v>0</v>
      </c>
      <c r="AD76" s="4" cm="1">
        <f t="array" ref="AD76">IF(FALSE,"True," &amp; IF(_xlfn.XLOOKUP("Src_CIDR_Le_16",'Scoring_Config'!$A:$A,'Scoring_Config'!$D:$D,"Yes")="Yes",_xlfn.XLOOKUP("Src_CIDR_Le_16",'Scoring_Config'!$A:$A,'Scoring_Config'!$C:$C,25),0),"False,0")</f>
        <v>0</v>
      </c>
      <c r="AE76" s="4" cm="1">
        <f t="array" ref="AE76">IF(FALSE,"True," &amp; IF(_xlfn.XLOOKUP("Src_CIDR_17_22",'Scoring_Config'!$A:$A,'Scoring_Config'!$D:$D,"Yes")="Yes",_xlfn.XLOOKUP("Src_CIDR_17_22",'Scoring_Config'!$A:$A,'Scoring_Config'!$C:$C,15),0),"False,0")</f>
        <v>0</v>
      </c>
      <c r="AF76" s="5" cm="1">
        <f t="array" ref="AF76">IF(TRUE,"True," &amp; IF(_xlfn.XLOOKUP("Dst_IsAny",'Scoring_Config'!$A:$A,'Scoring_Config'!$D:$D,"Yes")="Yes",_xlfn.XLOOKUP("Dst_IsAny",'Scoring_Config'!$A:$A,'Scoring_Config'!$C:$C,25),0),"False,0")</f>
        <v>0</v>
      </c>
      <c r="AG76" s="4" cm="1">
        <f t="array" ref="AG76">IF(FALSE,"True," &amp; IF(_xlfn.XLOOKUP("Dst_CIDR_Le_16",'Scoring_Config'!$A:$A,'Scoring_Config'!$D:$D,"Yes")="Yes",_xlfn.XLOOKUP("Dst_CIDR_Le_16",'Scoring_Config'!$A:$A,'Scoring_Config'!$C:$C,25),0),"False,0")</f>
        <v>0</v>
      </c>
      <c r="AH76" s="4" cm="1">
        <f t="array" ref="AH76">IF(FALSE,"True," &amp; IF(_xlfn.XLOOKUP("Dst_CIDR_17_22",'Scoring_Config'!$A:$A,'Scoring_Config'!$D:$D,"Yes")="Yes",_xlfn.XLOOKUP("Dst_CIDR_17_22",'Scoring_Config'!$A:$A,'Scoring_Config'!$C:$C,15),0),"False,0")</f>
        <v>0</v>
      </c>
      <c r="AI76" s="4" cm="1">
        <f t="array" ref="AI76">IF(FALSE,"True," &amp; IF(_xlfn.XLOOKUP("SrcZone_IsAny",'Scoring_Config'!$A:$A,'Scoring_Config'!$D:$D,"Yes")="Yes",_xlfn.XLOOKUP("SrcZone_IsAny",'Scoring_Config'!$A:$A,'Scoring_Config'!$C:$C,5),0),"False,0")</f>
        <v>0</v>
      </c>
      <c r="AJ76" s="4" cm="1">
        <f t="array" ref="AJ76">IF(FALSE,"True," &amp; IF(_xlfn.XLOOKUP("DstZone_IsAny",'Scoring_Config'!$A:$A,'Scoring_Config'!$D:$D,"Yes")="Yes",_xlfn.XLOOKUP("DstZone_IsAny",'Scoring_Config'!$A:$A,'Scoring_Config'!$C:$C,5),0),"False,0")</f>
        <v>0</v>
      </c>
      <c r="AK76" s="4" cm="1">
        <f t="array" ref="AK7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6" s="5" cm="1">
        <f t="array" ref="AL76">IF(TRUE,"True," &amp; IF(_xlfn.XLOOKUP("App_Any_OR_RangeGt1000",'Scoring_Config'!$A:$A,'Scoring_Config'!$D:$D,"Yes")="Yes",_xlfn.XLOOKUP("App_Any_OR_RangeGt1000",'Scoring_Config'!$A:$A,'Scoring_Config'!$C:$C,25),0),"False,0")</f>
        <v>0</v>
      </c>
      <c r="AM76" s="5" cm="1">
        <f t="array" ref="AM76">IF(TRUE,"True," &amp; IF(_xlfn.XLOOKUP("Service_Insecure_Match",'Scoring_Config'!$A:$A,'Scoring_Config'!$D:$D,"Yes")="Yes",_xlfn.XLOOKUP("Service_Insecure_Match",'Scoring_Config'!$A:$A,'Scoring_Config'!$C:$C,20),0),"False,0")</f>
        <v>0</v>
      </c>
      <c r="AN76" s="4" cm="1">
        <f t="array" ref="AN76">IF(FALSE,"True," &amp; IF(_xlfn.XLOOKUP("Risky_Inbound",'Scoring_Config'!$A:$A,'Scoring_Config'!$D:$D,"Yes")="Yes",_xlfn.XLOOKUP("Risky_Inbound",'Scoring_Config'!$A:$A,'Scoring_Config'!$C:$C,20),0),"False,0")</f>
        <v>0</v>
      </c>
      <c r="AO76" s="4" cm="1">
        <f t="array" ref="AO76">IF(FALSE,"True," &amp; IF(_xlfn.XLOOKUP("Risky_Outbound",'Scoring_Config'!$A:$A,'Scoring_Config'!$D:$D,"Yes")="Yes",_xlfn.XLOOKUP("Risky_Outbound",'Scoring_Config'!$A:$A,'Scoring_Config'!$C:$C,10),0),"False,0")</f>
        <v>0</v>
      </c>
      <c r="AP76" s="5" t="s">
        <v>2595</v>
      </c>
      <c r="AQ76" s="4" cm="1">
        <f t="array" ref="AQ7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6" s="5" t="s">
        <v>2598</v>
      </c>
      <c r="AS76" s="5" t="s">
        <v>2595</v>
      </c>
      <c r="AT76" s="5" t="s">
        <v>2595</v>
      </c>
      <c r="AU76" s="4" cm="1">
        <f t="array" ref="AU76">IF(FALSE,"True," &amp; IF(_xlfn.XLOOKUP("Action_IsDenyOrDrop",'Scoring_Config'!$A:$A,'Scoring_Config'!$D:$D,"Yes")="Yes",_xlfn.XLOOKUP("Action_IsDenyOrDrop",'Scoring_Config'!$A:$A,'Scoring_Config'!$C:$C,0),0),"False,0")</f>
        <v>0</v>
      </c>
      <c r="AV76" s="4"/>
      <c r="AW76" s="4" cm="1">
        <f t="array" ref="AW76">IF(FALSE,"True," &amp; IF(_xlfn.XLOOKUP("Migrate_Insecure",'Scoring_Config'!$A:$A,'Scoring_Config'!$D:$D,"Yes")="Yes",_xlfn.XLOOKUP("Migrate_Insecure",'Scoring_Config'!$A:$A,'Scoring_Config'!$C:$C,15),0),"False,0")</f>
        <v>0</v>
      </c>
      <c r="AX76" s="4"/>
      <c r="AY76" s="4" cm="1">
        <f t="array" ref="AY76">IF(FALSE,"True," &amp; IF(_xlfn.XLOOKUP("Migrate_Other_Ports",'Scoring_Config'!$A:$A,'Scoring_Config'!$D:$D,"Yes")="Yes",_xlfn.XLOOKUP("Migrate_Other_Ports",'Scoring_Config'!$A:$A,'Scoring_Config'!$C:$C,5),0),"False,0")</f>
        <v>0</v>
      </c>
      <c r="AZ76" s="4" cm="1">
        <f t="array" ref="AZ76">IF(LEFT(AU76,4)="True",0,(IF(LEFT(AC76,4)="True",IF(_xlfn.XLOOKUP("Src_IsAny",'Scoring_Config'!$A:$A,'Scoring_Config'!$D:$D,"Yes")="Yes",_xlfn.XLOOKUP("Src_IsAny",'Scoring_Config'!$A:$A,'Scoring_Config'!$C:$C,25),0),0)+IF(LEFT(AD76,4)="True",IF(_xlfn.XLOOKUP("Src_CIDR_Le_16",'Scoring_Config'!$A:$A,'Scoring_Config'!$D:$D,"Yes")="Yes",_xlfn.XLOOKUP("Src_CIDR_Le_16",'Scoring_Config'!$A:$A,'Scoring_Config'!$C:$C,25),0),0)+IF(LEFT(AE76,4)="True",IF(_xlfn.XLOOKUP("Src_CIDR_17_22",'Scoring_Config'!$A:$A,'Scoring_Config'!$D:$D,"Yes")="Yes",_xlfn.XLOOKUP("Src_CIDR_17_22",'Scoring_Config'!$A:$A,'Scoring_Config'!$C:$C,15),0),0)+IF(LEFT(AF76,4)="True",IF(_xlfn.XLOOKUP("Dst_IsAny",'Scoring_Config'!$A:$A,'Scoring_Config'!$D:$D,"Yes")="Yes",_xlfn.XLOOKUP("Dst_IsAny",'Scoring_Config'!$A:$A,'Scoring_Config'!$C:$C,25),0),0)+IF(LEFT(AG76,4)="True",IF(_xlfn.XLOOKUP("Dst_CIDR_Le_16",'Scoring_Config'!$A:$A,'Scoring_Config'!$D:$D,"Yes")="Yes",_xlfn.XLOOKUP("Dst_CIDR_Le_16",'Scoring_Config'!$A:$A,'Scoring_Config'!$C:$C,25),0),0)+IF(LEFT(AH76,4)="True",IF(_xlfn.XLOOKUP("Dst_CIDR_17_22",'Scoring_Config'!$A:$A,'Scoring_Config'!$D:$D,"Yes")="Yes",_xlfn.XLOOKUP("Dst_CIDR_17_22",'Scoring_Config'!$A:$A,'Scoring_Config'!$C:$C,15),0),0)+IF(LEFT(AI76,4)="True",IF(_xlfn.XLOOKUP("SrcZone_IsAny",'Scoring_Config'!$A:$A,'Scoring_Config'!$D:$D,"Yes")="Yes",_xlfn.XLOOKUP("SrcZone_IsAny",'Scoring_Config'!$A:$A,'Scoring_Config'!$C:$C,5),0),0)+IF(LEFT(AJ76,4)="True",IF(_xlfn.XLOOKUP("DstZone_IsAny",'Scoring_Config'!$A:$A,'Scoring_Config'!$D:$D,"Yes")="Yes",_xlfn.XLOOKUP("DstZone_IsAny",'Scoring_Config'!$A:$A,'Scoring_Config'!$C:$C,5),0),0)+IF(LEFT(AK76,4)="True",IF(_xlfn.XLOOKUP("Service_Any_OR_RangeGt1000",'Scoring_Config'!$A:$A,'Scoring_Config'!$D:$D,"Yes")="Yes",_xlfn.XLOOKUP("Service_Any_OR_RangeGt1000",'Scoring_Config'!$A:$A,'Scoring_Config'!$C:$C,25),0),0)+IF(LEFT(AL76,4)="True",IF(_xlfn.XLOOKUP("App_Any_OR_RangeGt1000",'Scoring_Config'!$A:$A,'Scoring_Config'!$D:$D,"Yes")="Yes",_xlfn.XLOOKUP("App_Any_OR_RangeGt1000",'Scoring_Config'!$A:$A,'Scoring_Config'!$C:$C,25),0),0)+IF(LEFT(AM76,4)="True",IF(_xlfn.XLOOKUP("Service_Insecure_Match",'Scoring_Config'!$A:$A,'Scoring_Config'!$D:$D,"Yes")="Yes",_xlfn.XLOOKUP("Service_Insecure_Match",'Scoring_Config'!$A:$A,'Scoring_Config'!$C:$C,20),0),0)+IF(LEFT(AN76,4)="True",IF(_xlfn.XLOOKUP("Risky_Inbound",'Scoring_Config'!$A:$A,'Scoring_Config'!$D:$D,"Yes")="Yes",_xlfn.XLOOKUP("Risky_Inbound",'Scoring_Config'!$A:$A,'Scoring_Config'!$C:$C,20),0),0)+IF(LEFT(AO76,4)="True",IF(_xlfn.XLOOKUP("Risky_Outbound",'Scoring_Config'!$A:$A,'Scoring_Config'!$D:$D,"Yes")="Yes",_xlfn.XLOOKUP("Risky_Outbound",'Scoring_Config'!$A:$A,'Scoring_Config'!$C:$C,10),0),0)+IF(LEFT(AW76,4)="True",IF(_xlfn.XLOOKUP("Migrate_Insecure",'Scoring_Config'!$A:$A,'Scoring_Config'!$D:$D,"Yes")="Yes",_xlfn.XLOOKUP("Migrate_Insecure",'Scoring_Config'!$A:$A,'Scoring_Config'!$C:$C,15),0),0)+IF(LEFT(AY76,4)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76,FIND(",",AP76)+1,100)),0)+IF(LEFT(AQ76,4)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76,FIND(",",AR76)+1,100)),0)+IF(_xlfn.XLOOKUP("Profile_Scoring",'Scoring_Config'!$A:$A,'Scoring_Config'!$D:$D,"Yes")="Yes",VALUE(MID(AS76,FIND(",",AS76)+1,100)),0)+IF(_xlfn.XLOOKUP("Options_Scoring",'Scoring_Config'!$A:$A,'Scoring_Config'!$D:$D,"Yes")="Yes",VALUE(MID(AT76,FIND(",",AT76)+1,100)),0)))</f>
        <v>0</v>
      </c>
    </row>
    <row r="77" spans="1:52">
      <c r="A77" s="3" t="s">
        <v>52</v>
      </c>
      <c r="B77" s="3" t="s">
        <v>119</v>
      </c>
      <c r="C77" s="3" t="s">
        <v>329</v>
      </c>
      <c r="D77" s="3"/>
      <c r="E77" s="3" t="s">
        <v>359</v>
      </c>
      <c r="F77" s="3" t="s">
        <v>360</v>
      </c>
      <c r="G77" s="3" t="s">
        <v>393</v>
      </c>
      <c r="H77" s="3" t="s">
        <v>554</v>
      </c>
      <c r="I77" s="3" t="s">
        <v>624</v>
      </c>
      <c r="J77" s="3" t="s">
        <v>363</v>
      </c>
      <c r="K77" s="3" t="s">
        <v>389</v>
      </c>
      <c r="L77" s="3" t="s">
        <v>551</v>
      </c>
      <c r="M77" s="3" t="s">
        <v>771</v>
      </c>
      <c r="N77" s="3" t="s">
        <v>793</v>
      </c>
      <c r="O77" s="4" t="s">
        <v>807</v>
      </c>
      <c r="P77" s="3" t="s">
        <v>868</v>
      </c>
      <c r="Q77" s="3" t="s">
        <v>905</v>
      </c>
      <c r="R77" s="3" t="s">
        <v>906</v>
      </c>
      <c r="S77" s="3" t="s">
        <v>916</v>
      </c>
      <c r="T77" s="3" t="s">
        <v>966</v>
      </c>
      <c r="U77" s="3" t="s">
        <v>1157</v>
      </c>
      <c r="V77" s="3" t="s">
        <v>1388</v>
      </c>
      <c r="W77" s="3" t="s">
        <v>1443</v>
      </c>
      <c r="X77" s="3" t="s">
        <v>1681</v>
      </c>
      <c r="Y77" s="3" t="s">
        <v>2150</v>
      </c>
      <c r="Z77" s="3"/>
      <c r="AA77" s="3"/>
      <c r="AB77" s="3"/>
      <c r="AC77" s="4" cm="1">
        <f t="array" ref="AC77">IF(FALSE,"True," &amp; IF(_xlfn.XLOOKUP("Src_IsAny",'Scoring_Config'!$A:$A,'Scoring_Config'!$D:$D,"Yes")="Yes",_xlfn.XLOOKUP("Src_IsAny",'Scoring_Config'!$A:$A,'Scoring_Config'!$C:$C,25),0),"False,0")</f>
        <v>0</v>
      </c>
      <c r="AD77" s="4" cm="1">
        <f t="array" ref="AD77">IF(FALSE,"True," &amp; IF(_xlfn.XLOOKUP("Src_CIDR_Le_16",'Scoring_Config'!$A:$A,'Scoring_Config'!$D:$D,"Yes")="Yes",_xlfn.XLOOKUP("Src_CIDR_Le_16",'Scoring_Config'!$A:$A,'Scoring_Config'!$C:$C,25),0),"False,0")</f>
        <v>0</v>
      </c>
      <c r="AE77" s="4" cm="1">
        <f t="array" ref="AE77">IF(FALSE,"True," &amp; IF(_xlfn.XLOOKUP("Src_CIDR_17_22",'Scoring_Config'!$A:$A,'Scoring_Config'!$D:$D,"Yes")="Yes",_xlfn.XLOOKUP("Src_CIDR_17_22",'Scoring_Config'!$A:$A,'Scoring_Config'!$C:$C,15),0),"False,0")</f>
        <v>0</v>
      </c>
      <c r="AF77" s="4" cm="1">
        <f t="array" ref="AF77">IF(FALSE,"True," &amp; IF(_xlfn.XLOOKUP("Dst_IsAny",'Scoring_Config'!$A:$A,'Scoring_Config'!$D:$D,"Yes")="Yes",_xlfn.XLOOKUP("Dst_IsAny",'Scoring_Config'!$A:$A,'Scoring_Config'!$C:$C,25),0),"False,0")</f>
        <v>0</v>
      </c>
      <c r="AG77" s="4" cm="1">
        <f t="array" ref="AG77">IF(FALSE,"True," &amp; IF(_xlfn.XLOOKUP("Dst_CIDR_Le_16",'Scoring_Config'!$A:$A,'Scoring_Config'!$D:$D,"Yes")="Yes",_xlfn.XLOOKUP("Dst_CIDR_Le_16",'Scoring_Config'!$A:$A,'Scoring_Config'!$C:$C,25),0),"False,0")</f>
        <v>0</v>
      </c>
      <c r="AH77" s="4" cm="1">
        <f t="array" ref="AH77">IF(FALSE,"True," &amp; IF(_xlfn.XLOOKUP("Dst_CIDR_17_22",'Scoring_Config'!$A:$A,'Scoring_Config'!$D:$D,"Yes")="Yes",_xlfn.XLOOKUP("Dst_CIDR_17_22",'Scoring_Config'!$A:$A,'Scoring_Config'!$C:$C,15),0),"False,0")</f>
        <v>0</v>
      </c>
      <c r="AI77" s="4" cm="1">
        <f t="array" ref="AI77">IF(FALSE,"True," &amp; IF(_xlfn.XLOOKUP("SrcZone_IsAny",'Scoring_Config'!$A:$A,'Scoring_Config'!$D:$D,"Yes")="Yes",_xlfn.XLOOKUP("SrcZone_IsAny",'Scoring_Config'!$A:$A,'Scoring_Config'!$C:$C,5),0),"False,0")</f>
        <v>0</v>
      </c>
      <c r="AJ77" s="4" cm="1">
        <f t="array" ref="AJ77">IF(FALSE,"True," &amp; IF(_xlfn.XLOOKUP("DstZone_IsAny",'Scoring_Config'!$A:$A,'Scoring_Config'!$D:$D,"Yes")="Yes",_xlfn.XLOOKUP("DstZone_IsAny",'Scoring_Config'!$A:$A,'Scoring_Config'!$C:$C,5),0),"False,0")</f>
        <v>0</v>
      </c>
      <c r="AK77" s="4" cm="1">
        <f t="array" ref="AK7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7" s="4" cm="1">
        <f t="array" ref="AL77">IF(FALSE,"True," &amp; IF(_xlfn.XLOOKUP("App_Any_OR_RangeGt1000",'Scoring_Config'!$A:$A,'Scoring_Config'!$D:$D,"Yes")="Yes",_xlfn.XLOOKUP("App_Any_OR_RangeGt1000",'Scoring_Config'!$A:$A,'Scoring_Config'!$C:$C,25),0),"False,0")</f>
        <v>0</v>
      </c>
      <c r="AM77" s="5" cm="1">
        <f t="array" ref="AM77">IF(TRUE,"True," &amp; IF(_xlfn.XLOOKUP("Service_Insecure_Match",'Scoring_Config'!$A:$A,'Scoring_Config'!$D:$D,"Yes")="Yes",_xlfn.XLOOKUP("Service_Insecure_Match",'Scoring_Config'!$A:$A,'Scoring_Config'!$C:$C,20),0),"False,0")</f>
        <v>0</v>
      </c>
      <c r="AN77" s="4" cm="1">
        <f t="array" ref="AN77">IF(FALSE,"True," &amp; IF(_xlfn.XLOOKUP("Risky_Inbound",'Scoring_Config'!$A:$A,'Scoring_Config'!$D:$D,"Yes")="Yes",_xlfn.XLOOKUP("Risky_Inbound",'Scoring_Config'!$A:$A,'Scoring_Config'!$C:$C,20),0),"False,0")</f>
        <v>0</v>
      </c>
      <c r="AO77" s="4" cm="1">
        <f t="array" ref="AO77">IF(FALSE,"True," &amp; IF(_xlfn.XLOOKUP("Risky_Outbound",'Scoring_Config'!$A:$A,'Scoring_Config'!$D:$D,"Yes")="Yes",_xlfn.XLOOKUP("Risky_Outbound",'Scoring_Config'!$A:$A,'Scoring_Config'!$C:$C,10),0),"False,0")</f>
        <v>0</v>
      </c>
      <c r="AP77" s="5" t="s">
        <v>2595</v>
      </c>
      <c r="AQ77" s="5" cm="1">
        <f t="array" ref="AQ7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7" s="5" t="s">
        <v>2598</v>
      </c>
      <c r="AS77" s="4" t="s">
        <v>2592</v>
      </c>
      <c r="AT77" s="4" t="s">
        <v>2592</v>
      </c>
      <c r="AU77" s="4" cm="1">
        <f t="array" ref="AU77">IF(FALSE,"True," &amp; IF(_xlfn.XLOOKUP("Action_IsDenyOrDrop",'Scoring_Config'!$A:$A,'Scoring_Config'!$D:$D,"Yes")="Yes",_xlfn.XLOOKUP("Action_IsDenyOrDrop",'Scoring_Config'!$A:$A,'Scoring_Config'!$C:$C,0),0),"False,0")</f>
        <v>0</v>
      </c>
      <c r="AV77" s="4"/>
      <c r="AW77" s="4" cm="1">
        <f t="array" ref="AW77">IF(FALSE,"True," &amp; IF(_xlfn.XLOOKUP("Migrate_Insecure",'Scoring_Config'!$A:$A,'Scoring_Config'!$D:$D,"Yes")="Yes",_xlfn.XLOOKUP("Migrate_Insecure",'Scoring_Config'!$A:$A,'Scoring_Config'!$C:$C,15),0),"False,0")</f>
        <v>0</v>
      </c>
      <c r="AX77" s="4"/>
      <c r="AY77" s="4" cm="1">
        <f t="array" ref="AY77">IF(FALSE,"True," &amp; IF(_xlfn.XLOOKUP("Migrate_Other_Ports",'Scoring_Config'!$A:$A,'Scoring_Config'!$D:$D,"Yes")="Yes",_xlfn.XLOOKUP("Migrate_Other_Ports",'Scoring_Config'!$A:$A,'Scoring_Config'!$C:$C,5),0),"False,0")</f>
        <v>0</v>
      </c>
      <c r="AZ77" s="4" cm="1">
        <f t="array" ref="AZ77">IF(LEFT(AU77,4)="True",0,(IF(LEFT(AC77,4)="True",IF(_xlfn.XLOOKUP("Src_IsAny",'Scoring_Config'!$A:$A,'Scoring_Config'!$D:$D,"Yes")="Yes",_xlfn.XLOOKUP("Src_IsAny",'Scoring_Config'!$A:$A,'Scoring_Config'!$C:$C,25),0),0)+IF(LEFT(AD77,4)="True",IF(_xlfn.XLOOKUP("Src_CIDR_Le_16",'Scoring_Config'!$A:$A,'Scoring_Config'!$D:$D,"Yes")="Yes",_xlfn.XLOOKUP("Src_CIDR_Le_16",'Scoring_Config'!$A:$A,'Scoring_Config'!$C:$C,25),0),0)+IF(LEFT(AE77,4)="True",IF(_xlfn.XLOOKUP("Src_CIDR_17_22",'Scoring_Config'!$A:$A,'Scoring_Config'!$D:$D,"Yes")="Yes",_xlfn.XLOOKUP("Src_CIDR_17_22",'Scoring_Config'!$A:$A,'Scoring_Config'!$C:$C,15),0),0)+IF(LEFT(AF77,4)="True",IF(_xlfn.XLOOKUP("Dst_IsAny",'Scoring_Config'!$A:$A,'Scoring_Config'!$D:$D,"Yes")="Yes",_xlfn.XLOOKUP("Dst_IsAny",'Scoring_Config'!$A:$A,'Scoring_Config'!$C:$C,25),0),0)+IF(LEFT(AG77,4)="True",IF(_xlfn.XLOOKUP("Dst_CIDR_Le_16",'Scoring_Config'!$A:$A,'Scoring_Config'!$D:$D,"Yes")="Yes",_xlfn.XLOOKUP("Dst_CIDR_Le_16",'Scoring_Config'!$A:$A,'Scoring_Config'!$C:$C,25),0),0)+IF(LEFT(AH77,4)="True",IF(_xlfn.XLOOKUP("Dst_CIDR_17_22",'Scoring_Config'!$A:$A,'Scoring_Config'!$D:$D,"Yes")="Yes",_xlfn.XLOOKUP("Dst_CIDR_17_22",'Scoring_Config'!$A:$A,'Scoring_Config'!$C:$C,15),0),0)+IF(LEFT(AI77,4)="True",IF(_xlfn.XLOOKUP("SrcZone_IsAny",'Scoring_Config'!$A:$A,'Scoring_Config'!$D:$D,"Yes")="Yes",_xlfn.XLOOKUP("SrcZone_IsAny",'Scoring_Config'!$A:$A,'Scoring_Config'!$C:$C,5),0),0)+IF(LEFT(AJ77,4)="True",IF(_xlfn.XLOOKUP("DstZone_IsAny",'Scoring_Config'!$A:$A,'Scoring_Config'!$D:$D,"Yes")="Yes",_xlfn.XLOOKUP("DstZone_IsAny",'Scoring_Config'!$A:$A,'Scoring_Config'!$C:$C,5),0),0)+IF(LEFT(AK77,4)="True",IF(_xlfn.XLOOKUP("Service_Any_OR_RangeGt1000",'Scoring_Config'!$A:$A,'Scoring_Config'!$D:$D,"Yes")="Yes",_xlfn.XLOOKUP("Service_Any_OR_RangeGt1000",'Scoring_Config'!$A:$A,'Scoring_Config'!$C:$C,25),0),0)+IF(LEFT(AL77,4)="True",IF(_xlfn.XLOOKUP("App_Any_OR_RangeGt1000",'Scoring_Config'!$A:$A,'Scoring_Config'!$D:$D,"Yes")="Yes",_xlfn.XLOOKUP("App_Any_OR_RangeGt1000",'Scoring_Config'!$A:$A,'Scoring_Config'!$C:$C,25),0),0)+IF(LEFT(AM77,4)="True",IF(_xlfn.XLOOKUP("Service_Insecure_Match",'Scoring_Config'!$A:$A,'Scoring_Config'!$D:$D,"Yes")="Yes",_xlfn.XLOOKUP("Service_Insecure_Match",'Scoring_Config'!$A:$A,'Scoring_Config'!$C:$C,20),0),0)+IF(LEFT(AN77,4)="True",IF(_xlfn.XLOOKUP("Risky_Inbound",'Scoring_Config'!$A:$A,'Scoring_Config'!$D:$D,"Yes")="Yes",_xlfn.XLOOKUP("Risky_Inbound",'Scoring_Config'!$A:$A,'Scoring_Config'!$C:$C,20),0),0)+IF(LEFT(AO77,4)="True",IF(_xlfn.XLOOKUP("Risky_Outbound",'Scoring_Config'!$A:$A,'Scoring_Config'!$D:$D,"Yes")="Yes",_xlfn.XLOOKUP("Risky_Outbound",'Scoring_Config'!$A:$A,'Scoring_Config'!$C:$C,10),0),0)+IF(LEFT(AW77,4)="True",IF(_xlfn.XLOOKUP("Migrate_Insecure",'Scoring_Config'!$A:$A,'Scoring_Config'!$D:$D,"Yes")="Yes",_xlfn.XLOOKUP("Migrate_Insecure",'Scoring_Config'!$A:$A,'Scoring_Config'!$C:$C,15),0),0)+IF(LEFT(AY77,4)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77,FIND(",",AP77)+1,100)),0)+IF(LEFT(AQ77,4)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77,FIND(",",AR77)+1,100)),0)+IF(_xlfn.XLOOKUP("Profile_Scoring",'Scoring_Config'!$A:$A,'Scoring_Config'!$D:$D,"Yes")="Yes",VALUE(MID(AS77,FIND(",",AS77)+1,100)),0)+IF(_xlfn.XLOOKUP("Options_Scoring",'Scoring_Config'!$A:$A,'Scoring_Config'!$D:$D,"Yes")="Yes",VALUE(MID(AT77,FIND(",",AT77)+1,100)),0)))</f>
        <v>0</v>
      </c>
    </row>
    <row r="78" spans="1:52">
      <c r="A78" s="3" t="s">
        <v>52</v>
      </c>
      <c r="B78" s="3" t="s">
        <v>120</v>
      </c>
      <c r="C78" s="3" t="s">
        <v>329</v>
      </c>
      <c r="D78" s="3"/>
      <c r="E78" s="3" t="s">
        <v>359</v>
      </c>
      <c r="F78" s="3" t="s">
        <v>363</v>
      </c>
      <c r="G78" s="3" t="s">
        <v>365</v>
      </c>
      <c r="H78" s="3" t="s">
        <v>365</v>
      </c>
      <c r="I78" s="3" t="s">
        <v>622</v>
      </c>
      <c r="J78" s="3" t="s">
        <v>363</v>
      </c>
      <c r="K78" s="3" t="s">
        <v>393</v>
      </c>
      <c r="L78" s="3" t="s">
        <v>554</v>
      </c>
      <c r="M78" s="3" t="s">
        <v>768</v>
      </c>
      <c r="N78" s="3" t="s">
        <v>791</v>
      </c>
      <c r="O78" s="4" t="s">
        <v>820</v>
      </c>
      <c r="P78" s="3" t="s">
        <v>881</v>
      </c>
      <c r="Q78" s="3" t="s">
        <v>905</v>
      </c>
      <c r="R78" s="3" t="s">
        <v>910</v>
      </c>
      <c r="S78" s="3" t="s">
        <v>914</v>
      </c>
      <c r="T78" s="3" t="s">
        <v>919</v>
      </c>
      <c r="U78" s="3" t="s">
        <v>1157</v>
      </c>
      <c r="V78" s="3" t="s">
        <v>789</v>
      </c>
      <c r="W78" s="3" t="s">
        <v>1444</v>
      </c>
      <c r="X78" s="3" t="s">
        <v>1682</v>
      </c>
      <c r="Y78" s="3" t="s">
        <v>2151</v>
      </c>
      <c r="Z78" s="3"/>
      <c r="AA78" s="3"/>
      <c r="AB78" s="3"/>
      <c r="AC78" s="5" cm="1">
        <f t="array" ref="AC78">IF(TRUE,"True," &amp; IF(_xlfn.XLOOKUP("Src_IsAny",'Scoring_Config'!$A:$A,'Scoring_Config'!$D:$D,"Yes")="Yes",_xlfn.XLOOKUP("Src_IsAny",'Scoring_Config'!$A:$A,'Scoring_Config'!$C:$C,25),0),"False,0")</f>
        <v>0</v>
      </c>
      <c r="AD78" s="4" cm="1">
        <f t="array" ref="AD78">IF(FALSE,"True," &amp; IF(_xlfn.XLOOKUP("Src_CIDR_Le_16",'Scoring_Config'!$A:$A,'Scoring_Config'!$D:$D,"Yes")="Yes",_xlfn.XLOOKUP("Src_CIDR_Le_16",'Scoring_Config'!$A:$A,'Scoring_Config'!$C:$C,25),0),"False,0")</f>
        <v>0</v>
      </c>
      <c r="AE78" s="4" cm="1">
        <f t="array" ref="AE78">IF(FALSE,"True," &amp; IF(_xlfn.XLOOKUP("Src_CIDR_17_22",'Scoring_Config'!$A:$A,'Scoring_Config'!$D:$D,"Yes")="Yes",_xlfn.XLOOKUP("Src_CIDR_17_22",'Scoring_Config'!$A:$A,'Scoring_Config'!$C:$C,15),0),"False,0")</f>
        <v>0</v>
      </c>
      <c r="AF78" s="4" cm="1">
        <f t="array" ref="AF78">IF(FALSE,"True," &amp; IF(_xlfn.XLOOKUP("Dst_IsAny",'Scoring_Config'!$A:$A,'Scoring_Config'!$D:$D,"Yes")="Yes",_xlfn.XLOOKUP("Dst_IsAny",'Scoring_Config'!$A:$A,'Scoring_Config'!$C:$C,25),0),"False,0")</f>
        <v>0</v>
      </c>
      <c r="AG78" s="4" cm="1">
        <f t="array" ref="AG78">IF(FALSE,"True," &amp; IF(_xlfn.XLOOKUP("Dst_CIDR_Le_16",'Scoring_Config'!$A:$A,'Scoring_Config'!$D:$D,"Yes")="Yes",_xlfn.XLOOKUP("Dst_CIDR_Le_16",'Scoring_Config'!$A:$A,'Scoring_Config'!$C:$C,25),0),"False,0")</f>
        <v>0</v>
      </c>
      <c r="AH78" s="4" cm="1">
        <f t="array" ref="AH78">IF(FALSE,"True," &amp; IF(_xlfn.XLOOKUP("Dst_CIDR_17_22",'Scoring_Config'!$A:$A,'Scoring_Config'!$D:$D,"Yes")="Yes",_xlfn.XLOOKUP("Dst_CIDR_17_22",'Scoring_Config'!$A:$A,'Scoring_Config'!$C:$C,15),0),"False,0")</f>
        <v>0</v>
      </c>
      <c r="AI78" s="4" cm="1">
        <f t="array" ref="AI78">IF(FALSE,"True," &amp; IF(_xlfn.XLOOKUP("SrcZone_IsAny",'Scoring_Config'!$A:$A,'Scoring_Config'!$D:$D,"Yes")="Yes",_xlfn.XLOOKUP("SrcZone_IsAny",'Scoring_Config'!$A:$A,'Scoring_Config'!$C:$C,5),0),"False,0")</f>
        <v>0</v>
      </c>
      <c r="AJ78" s="4" cm="1">
        <f t="array" ref="AJ78">IF(FALSE,"True," &amp; IF(_xlfn.XLOOKUP("DstZone_IsAny",'Scoring_Config'!$A:$A,'Scoring_Config'!$D:$D,"Yes")="Yes",_xlfn.XLOOKUP("DstZone_IsAny",'Scoring_Config'!$A:$A,'Scoring_Config'!$C:$C,5),0),"False,0")</f>
        <v>0</v>
      </c>
      <c r="AK78" s="4" cm="1">
        <f t="array" ref="AK7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8" s="5" cm="1">
        <f t="array" ref="AL78">IF(TRUE,"True," &amp; IF(_xlfn.XLOOKUP("App_Any_OR_RangeGt1000",'Scoring_Config'!$A:$A,'Scoring_Config'!$D:$D,"Yes")="Yes",_xlfn.XLOOKUP("App_Any_OR_RangeGt1000",'Scoring_Config'!$A:$A,'Scoring_Config'!$C:$C,25),0),"False,0")</f>
        <v>0</v>
      </c>
      <c r="AM78" s="5" cm="1">
        <f t="array" ref="AM78">IF(TRUE,"True," &amp; IF(_xlfn.XLOOKUP("Service_Insecure_Match",'Scoring_Config'!$A:$A,'Scoring_Config'!$D:$D,"Yes")="Yes",_xlfn.XLOOKUP("Service_Insecure_Match",'Scoring_Config'!$A:$A,'Scoring_Config'!$C:$C,20),0),"False,0")</f>
        <v>0</v>
      </c>
      <c r="AN78" s="4" cm="1">
        <f t="array" ref="AN78">IF(FALSE,"True," &amp; IF(_xlfn.XLOOKUP("Risky_Inbound",'Scoring_Config'!$A:$A,'Scoring_Config'!$D:$D,"Yes")="Yes",_xlfn.XLOOKUP("Risky_Inbound",'Scoring_Config'!$A:$A,'Scoring_Config'!$C:$C,20),0),"False,0")</f>
        <v>0</v>
      </c>
      <c r="AO78" s="4" cm="1">
        <f t="array" ref="AO78">IF(FALSE,"True," &amp; IF(_xlfn.XLOOKUP("Risky_Outbound",'Scoring_Config'!$A:$A,'Scoring_Config'!$D:$D,"Yes")="Yes",_xlfn.XLOOKUP("Risky_Outbound",'Scoring_Config'!$A:$A,'Scoring_Config'!$C:$C,10),0),"False,0")</f>
        <v>0</v>
      </c>
      <c r="AP78" s="5" t="s">
        <v>2595</v>
      </c>
      <c r="AQ78" s="5" cm="1">
        <f t="array" ref="AQ7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8" s="5" t="s">
        <v>2598</v>
      </c>
      <c r="AS78" s="4" t="s">
        <v>2592</v>
      </c>
      <c r="AT78" s="4" t="s">
        <v>2592</v>
      </c>
      <c r="AU78" s="4" cm="1">
        <f t="array" ref="AU78">IF(FALSE,"True," &amp; IF(_xlfn.XLOOKUP("Action_IsDenyOrDrop",'Scoring_Config'!$A:$A,'Scoring_Config'!$D:$D,"Yes")="Yes",_xlfn.XLOOKUP("Action_IsDenyOrDrop",'Scoring_Config'!$A:$A,'Scoring_Config'!$C:$C,0),0),"False,0")</f>
        <v>0</v>
      </c>
      <c r="AV78" s="4"/>
      <c r="AW78" s="4" cm="1">
        <f t="array" ref="AW78">IF(FALSE,"True," &amp; IF(_xlfn.XLOOKUP("Migrate_Insecure",'Scoring_Config'!$A:$A,'Scoring_Config'!$D:$D,"Yes")="Yes",_xlfn.XLOOKUP("Migrate_Insecure",'Scoring_Config'!$A:$A,'Scoring_Config'!$C:$C,15),0),"False,0")</f>
        <v>0</v>
      </c>
      <c r="AX78" s="4"/>
      <c r="AY78" s="4" cm="1">
        <f t="array" ref="AY78">IF(FALSE,"True," &amp; IF(_xlfn.XLOOKUP("Migrate_Other_Ports",'Scoring_Config'!$A:$A,'Scoring_Config'!$D:$D,"Yes")="Yes",_xlfn.XLOOKUP("Migrate_Other_Ports",'Scoring_Config'!$A:$A,'Scoring_Config'!$C:$C,5),0),"False,0")</f>
        <v>0</v>
      </c>
      <c r="AZ78" s="4" cm="1">
        <f t="array" ref="AZ78">IF(LEFT(AU78,4)="True",0,(IF(LEFT(AC78,4)="True",IF(_xlfn.XLOOKUP("Src_IsAny",'Scoring_Config'!$A:$A,'Scoring_Config'!$D:$D,"Yes")="Yes",_xlfn.XLOOKUP("Src_IsAny",'Scoring_Config'!$A:$A,'Scoring_Config'!$C:$C,25),0),0)+IF(LEFT(AD78,4)="True",IF(_xlfn.XLOOKUP("Src_CIDR_Le_16",'Scoring_Config'!$A:$A,'Scoring_Config'!$D:$D,"Yes")="Yes",_xlfn.XLOOKUP("Src_CIDR_Le_16",'Scoring_Config'!$A:$A,'Scoring_Config'!$C:$C,25),0),0)+IF(LEFT(AE78,4)="True",IF(_xlfn.XLOOKUP("Src_CIDR_17_22",'Scoring_Config'!$A:$A,'Scoring_Config'!$D:$D,"Yes")="Yes",_xlfn.XLOOKUP("Src_CIDR_17_22",'Scoring_Config'!$A:$A,'Scoring_Config'!$C:$C,15),0),0)+IF(LEFT(AF78,4)="True",IF(_xlfn.XLOOKUP("Dst_IsAny",'Scoring_Config'!$A:$A,'Scoring_Config'!$D:$D,"Yes")="Yes",_xlfn.XLOOKUP("Dst_IsAny",'Scoring_Config'!$A:$A,'Scoring_Config'!$C:$C,25),0),0)+IF(LEFT(AG78,4)="True",IF(_xlfn.XLOOKUP("Dst_CIDR_Le_16",'Scoring_Config'!$A:$A,'Scoring_Config'!$D:$D,"Yes")="Yes",_xlfn.XLOOKUP("Dst_CIDR_Le_16",'Scoring_Config'!$A:$A,'Scoring_Config'!$C:$C,25),0),0)+IF(LEFT(AH78,4)="True",IF(_xlfn.XLOOKUP("Dst_CIDR_17_22",'Scoring_Config'!$A:$A,'Scoring_Config'!$D:$D,"Yes")="Yes",_xlfn.XLOOKUP("Dst_CIDR_17_22",'Scoring_Config'!$A:$A,'Scoring_Config'!$C:$C,15),0),0)+IF(LEFT(AI78,4)="True",IF(_xlfn.XLOOKUP("SrcZone_IsAny",'Scoring_Config'!$A:$A,'Scoring_Config'!$D:$D,"Yes")="Yes",_xlfn.XLOOKUP("SrcZone_IsAny",'Scoring_Config'!$A:$A,'Scoring_Config'!$C:$C,5),0),0)+IF(LEFT(AJ78,4)="True",IF(_xlfn.XLOOKUP("DstZone_IsAny",'Scoring_Config'!$A:$A,'Scoring_Config'!$D:$D,"Yes")="Yes",_xlfn.XLOOKUP("DstZone_IsAny",'Scoring_Config'!$A:$A,'Scoring_Config'!$C:$C,5),0),0)+IF(LEFT(AK78,4)="True",IF(_xlfn.XLOOKUP("Service_Any_OR_RangeGt1000",'Scoring_Config'!$A:$A,'Scoring_Config'!$D:$D,"Yes")="Yes",_xlfn.XLOOKUP("Service_Any_OR_RangeGt1000",'Scoring_Config'!$A:$A,'Scoring_Config'!$C:$C,25),0),0)+IF(LEFT(AL78,4)="True",IF(_xlfn.XLOOKUP("App_Any_OR_RangeGt1000",'Scoring_Config'!$A:$A,'Scoring_Config'!$D:$D,"Yes")="Yes",_xlfn.XLOOKUP("App_Any_OR_RangeGt1000",'Scoring_Config'!$A:$A,'Scoring_Config'!$C:$C,25),0),0)+IF(LEFT(AM78,4)="True",IF(_xlfn.XLOOKUP("Service_Insecure_Match",'Scoring_Config'!$A:$A,'Scoring_Config'!$D:$D,"Yes")="Yes",_xlfn.XLOOKUP("Service_Insecure_Match",'Scoring_Config'!$A:$A,'Scoring_Config'!$C:$C,20),0),0)+IF(LEFT(AN78,4)="True",IF(_xlfn.XLOOKUP("Risky_Inbound",'Scoring_Config'!$A:$A,'Scoring_Config'!$D:$D,"Yes")="Yes",_xlfn.XLOOKUP("Risky_Inbound",'Scoring_Config'!$A:$A,'Scoring_Config'!$C:$C,20),0),0)+IF(LEFT(AO78,4)="True",IF(_xlfn.XLOOKUP("Risky_Outbound",'Scoring_Config'!$A:$A,'Scoring_Config'!$D:$D,"Yes")="Yes",_xlfn.XLOOKUP("Risky_Outbound",'Scoring_Config'!$A:$A,'Scoring_Config'!$C:$C,10),0),0)+IF(LEFT(AW78,4)="True",IF(_xlfn.XLOOKUP("Migrate_Insecure",'Scoring_Config'!$A:$A,'Scoring_Config'!$D:$D,"Yes")="Yes",_xlfn.XLOOKUP("Migrate_Insecure",'Scoring_Config'!$A:$A,'Scoring_Config'!$C:$C,15),0),0)+IF(LEFT(AY78,4)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78,FIND(",",AP78)+1,100)),0)+IF(LEFT(AQ78,4)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78,FIND(",",AR78)+1,100)),0)+IF(_xlfn.XLOOKUP("Profile_Scoring",'Scoring_Config'!$A:$A,'Scoring_Config'!$D:$D,"Yes")="Yes",VALUE(MID(AS78,FIND(",",AS78)+1,100)),0)+IF(_xlfn.XLOOKUP("Options_Scoring",'Scoring_Config'!$A:$A,'Scoring_Config'!$D:$D,"Yes")="Yes",VALUE(MID(AT78,FIND(",",AT78)+1,100)),0)))</f>
        <v>0</v>
      </c>
    </row>
    <row r="79" spans="1:52">
      <c r="A79" s="3" t="s">
        <v>52</v>
      </c>
      <c r="B79" s="3" t="s">
        <v>121</v>
      </c>
      <c r="C79" s="3" t="s">
        <v>329</v>
      </c>
      <c r="D79" s="3"/>
      <c r="E79" s="3" t="s">
        <v>359</v>
      </c>
      <c r="F79" s="3" t="s">
        <v>364</v>
      </c>
      <c r="G79" s="3" t="s">
        <v>367</v>
      </c>
      <c r="H79" s="3" t="s">
        <v>539</v>
      </c>
      <c r="I79" s="3" t="s">
        <v>365</v>
      </c>
      <c r="J79" s="3" t="s">
        <v>361</v>
      </c>
      <c r="K79" s="3" t="s">
        <v>365</v>
      </c>
      <c r="L79" s="3" t="s">
        <v>365</v>
      </c>
      <c r="M79" s="3" t="s">
        <v>768</v>
      </c>
      <c r="N79" s="3" t="s">
        <v>791</v>
      </c>
      <c r="O79" s="4" t="s">
        <v>827</v>
      </c>
      <c r="P79" s="3" t="s">
        <v>888</v>
      </c>
      <c r="Q79" s="3" t="s">
        <v>905</v>
      </c>
      <c r="R79" s="3" t="s">
        <v>906</v>
      </c>
      <c r="S79" s="3" t="s">
        <v>916</v>
      </c>
      <c r="T79" s="3" t="s">
        <v>953</v>
      </c>
      <c r="U79" s="3" t="s">
        <v>1157</v>
      </c>
      <c r="V79" s="3" t="s">
        <v>1388</v>
      </c>
      <c r="W79" s="3" t="s">
        <v>1441</v>
      </c>
      <c r="X79" s="3" t="s">
        <v>1683</v>
      </c>
      <c r="Y79" s="3" t="s">
        <v>2152</v>
      </c>
      <c r="Z79" s="3"/>
      <c r="AA79" s="3"/>
      <c r="AB79" s="3"/>
      <c r="AC79" s="5" cm="1">
        <f t="array" ref="AC79">IF(TRUE,"True," &amp; IF(_xlfn.XLOOKUP("Src_IsAny",'Scoring_Config'!$A:$A,'Scoring_Config'!$D:$D,"Yes")="Yes",_xlfn.XLOOKUP("Src_IsAny",'Scoring_Config'!$A:$A,'Scoring_Config'!$C:$C,25),0),"False,0")</f>
        <v>0</v>
      </c>
      <c r="AD79" s="4" cm="1">
        <f t="array" ref="AD79">IF(FALSE,"True," &amp; IF(_xlfn.XLOOKUP("Src_CIDR_Le_16",'Scoring_Config'!$A:$A,'Scoring_Config'!$D:$D,"Yes")="Yes",_xlfn.XLOOKUP("Src_CIDR_Le_16",'Scoring_Config'!$A:$A,'Scoring_Config'!$C:$C,25),0),"False,0")</f>
        <v>0</v>
      </c>
      <c r="AE79" s="4" cm="1">
        <f t="array" ref="AE79">IF(FALSE,"True," &amp; IF(_xlfn.XLOOKUP("Src_CIDR_17_22",'Scoring_Config'!$A:$A,'Scoring_Config'!$D:$D,"Yes")="Yes",_xlfn.XLOOKUP("Src_CIDR_17_22",'Scoring_Config'!$A:$A,'Scoring_Config'!$C:$C,15),0),"False,0")</f>
        <v>0</v>
      </c>
      <c r="AF79" s="5" cm="1">
        <f t="array" ref="AF79">IF(TRUE,"True," &amp; IF(_xlfn.XLOOKUP("Dst_IsAny",'Scoring_Config'!$A:$A,'Scoring_Config'!$D:$D,"Yes")="Yes",_xlfn.XLOOKUP("Dst_IsAny",'Scoring_Config'!$A:$A,'Scoring_Config'!$C:$C,25),0),"False,0")</f>
        <v>0</v>
      </c>
      <c r="AG79" s="4" cm="1">
        <f t="array" ref="AG79">IF(FALSE,"True," &amp; IF(_xlfn.XLOOKUP("Dst_CIDR_Le_16",'Scoring_Config'!$A:$A,'Scoring_Config'!$D:$D,"Yes")="Yes",_xlfn.XLOOKUP("Dst_CIDR_Le_16",'Scoring_Config'!$A:$A,'Scoring_Config'!$C:$C,25),0),"False,0")</f>
        <v>0</v>
      </c>
      <c r="AH79" s="4" cm="1">
        <f t="array" ref="AH79">IF(FALSE,"True," &amp; IF(_xlfn.XLOOKUP("Dst_CIDR_17_22",'Scoring_Config'!$A:$A,'Scoring_Config'!$D:$D,"Yes")="Yes",_xlfn.XLOOKUP("Dst_CIDR_17_22",'Scoring_Config'!$A:$A,'Scoring_Config'!$C:$C,15),0),"False,0")</f>
        <v>0</v>
      </c>
      <c r="AI79" s="4" cm="1">
        <f t="array" ref="AI79">IF(FALSE,"True," &amp; IF(_xlfn.XLOOKUP("SrcZone_IsAny",'Scoring_Config'!$A:$A,'Scoring_Config'!$D:$D,"Yes")="Yes",_xlfn.XLOOKUP("SrcZone_IsAny",'Scoring_Config'!$A:$A,'Scoring_Config'!$C:$C,5),0),"False,0")</f>
        <v>0</v>
      </c>
      <c r="AJ79" s="4" cm="1">
        <f t="array" ref="AJ79">IF(FALSE,"True," &amp; IF(_xlfn.XLOOKUP("DstZone_IsAny",'Scoring_Config'!$A:$A,'Scoring_Config'!$D:$D,"Yes")="Yes",_xlfn.XLOOKUP("DstZone_IsAny",'Scoring_Config'!$A:$A,'Scoring_Config'!$C:$C,5),0),"False,0")</f>
        <v>0</v>
      </c>
      <c r="AK79" s="4" cm="1">
        <f t="array" ref="AK7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79" s="5" cm="1">
        <f t="array" ref="AL79">IF(TRUE,"True," &amp; IF(_xlfn.XLOOKUP("App_Any_OR_RangeGt1000",'Scoring_Config'!$A:$A,'Scoring_Config'!$D:$D,"Yes")="Yes",_xlfn.XLOOKUP("App_Any_OR_RangeGt1000",'Scoring_Config'!$A:$A,'Scoring_Config'!$C:$C,25),0),"False,0")</f>
        <v>0</v>
      </c>
      <c r="AM79" s="5" cm="1">
        <f t="array" ref="AM79">IF(TRUE,"True," &amp; IF(_xlfn.XLOOKUP("Service_Insecure_Match",'Scoring_Config'!$A:$A,'Scoring_Config'!$D:$D,"Yes")="Yes",_xlfn.XLOOKUP("Service_Insecure_Match",'Scoring_Config'!$A:$A,'Scoring_Config'!$C:$C,20),0),"False,0")</f>
        <v>0</v>
      </c>
      <c r="AN79" s="4" cm="1">
        <f t="array" ref="AN79">IF(FALSE,"True," &amp; IF(_xlfn.XLOOKUP("Risky_Inbound",'Scoring_Config'!$A:$A,'Scoring_Config'!$D:$D,"Yes")="Yes",_xlfn.XLOOKUP("Risky_Inbound",'Scoring_Config'!$A:$A,'Scoring_Config'!$C:$C,20),0),"False,0")</f>
        <v>0</v>
      </c>
      <c r="AO79" s="4" cm="1">
        <f t="array" ref="AO79">IF(FALSE,"True," &amp; IF(_xlfn.XLOOKUP("Risky_Outbound",'Scoring_Config'!$A:$A,'Scoring_Config'!$D:$D,"Yes")="Yes",_xlfn.XLOOKUP("Risky_Outbound",'Scoring_Config'!$A:$A,'Scoring_Config'!$C:$C,10),0),"False,0")</f>
        <v>0</v>
      </c>
      <c r="AP79" s="5" t="s">
        <v>2595</v>
      </c>
      <c r="AQ79" s="5" cm="1">
        <f t="array" ref="AQ7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79" s="4" t="s">
        <v>2592</v>
      </c>
      <c r="AS79" s="4" t="s">
        <v>2592</v>
      </c>
      <c r="AT79" s="4" t="s">
        <v>2592</v>
      </c>
      <c r="AU79" s="4" cm="1">
        <f t="array" ref="AU79">IF(FALSE,"True," &amp; IF(_xlfn.XLOOKUP("Action_IsDenyOrDrop",'Scoring_Config'!$A:$A,'Scoring_Config'!$D:$D,"Yes")="Yes",_xlfn.XLOOKUP("Action_IsDenyOrDrop",'Scoring_Config'!$A:$A,'Scoring_Config'!$C:$C,0),0),"False,0")</f>
        <v>0</v>
      </c>
      <c r="AV79" s="4"/>
      <c r="AW79" s="4" cm="1">
        <f t="array" ref="AW79">IF(FALSE,"True," &amp; IF(_xlfn.XLOOKUP("Migrate_Insecure",'Scoring_Config'!$A:$A,'Scoring_Config'!$D:$D,"Yes")="Yes",_xlfn.XLOOKUP("Migrate_Insecure",'Scoring_Config'!$A:$A,'Scoring_Config'!$C:$C,15),0),"False,0")</f>
        <v>0</v>
      </c>
      <c r="AX79" s="4"/>
      <c r="AY79" s="4" cm="1">
        <f t="array" ref="AY79">IF(FALSE,"True," &amp; IF(_xlfn.XLOOKUP("Migrate_Other_Ports",'Scoring_Config'!$A:$A,'Scoring_Config'!$D:$D,"Yes")="Yes",_xlfn.XLOOKUP("Migrate_Other_Ports",'Scoring_Config'!$A:$A,'Scoring_Config'!$C:$C,5),0),"False,0")</f>
        <v>0</v>
      </c>
      <c r="AZ79" s="4" cm="1">
        <f t="array" ref="AZ79">IF(LEFT(AU79,4)="True",0,(IF(LEFT(AC79,4)="True",IF(_xlfn.XLOOKUP("Src_IsAny",'Scoring_Config'!$A:$A,'Scoring_Config'!$D:$D,"Yes")="Yes",_xlfn.XLOOKUP("Src_IsAny",'Scoring_Config'!$A:$A,'Scoring_Config'!$C:$C,25),0),0)+IF(LEFT(AD79,4)="True",IF(_xlfn.XLOOKUP("Src_CIDR_Le_16",'Scoring_Config'!$A:$A,'Scoring_Config'!$D:$D,"Yes")="Yes",_xlfn.XLOOKUP("Src_CIDR_Le_16",'Scoring_Config'!$A:$A,'Scoring_Config'!$C:$C,25),0),0)+IF(LEFT(AE79,4)="True",IF(_xlfn.XLOOKUP("Src_CIDR_17_22",'Scoring_Config'!$A:$A,'Scoring_Config'!$D:$D,"Yes")="Yes",_xlfn.XLOOKUP("Src_CIDR_17_22",'Scoring_Config'!$A:$A,'Scoring_Config'!$C:$C,15),0),0)+IF(LEFT(AF79,4)="True",IF(_xlfn.XLOOKUP("Dst_IsAny",'Scoring_Config'!$A:$A,'Scoring_Config'!$D:$D,"Yes")="Yes",_xlfn.XLOOKUP("Dst_IsAny",'Scoring_Config'!$A:$A,'Scoring_Config'!$C:$C,25),0),0)+IF(LEFT(AG79,4)="True",IF(_xlfn.XLOOKUP("Dst_CIDR_Le_16",'Scoring_Config'!$A:$A,'Scoring_Config'!$D:$D,"Yes")="Yes",_xlfn.XLOOKUP("Dst_CIDR_Le_16",'Scoring_Config'!$A:$A,'Scoring_Config'!$C:$C,25),0),0)+IF(LEFT(AH79,4)="True",IF(_xlfn.XLOOKUP("Dst_CIDR_17_22",'Scoring_Config'!$A:$A,'Scoring_Config'!$D:$D,"Yes")="Yes",_xlfn.XLOOKUP("Dst_CIDR_17_22",'Scoring_Config'!$A:$A,'Scoring_Config'!$C:$C,15),0),0)+IF(LEFT(AI79,4)="True",IF(_xlfn.XLOOKUP("SrcZone_IsAny",'Scoring_Config'!$A:$A,'Scoring_Config'!$D:$D,"Yes")="Yes",_xlfn.XLOOKUP("SrcZone_IsAny",'Scoring_Config'!$A:$A,'Scoring_Config'!$C:$C,5),0),0)+IF(LEFT(AJ79,4)="True",IF(_xlfn.XLOOKUP("DstZone_IsAny",'Scoring_Config'!$A:$A,'Scoring_Config'!$D:$D,"Yes")="Yes",_xlfn.XLOOKUP("DstZone_IsAny",'Scoring_Config'!$A:$A,'Scoring_Config'!$C:$C,5),0),0)+IF(LEFT(AK79,4)="True",IF(_xlfn.XLOOKUP("Service_Any_OR_RangeGt1000",'Scoring_Config'!$A:$A,'Scoring_Config'!$D:$D,"Yes")="Yes",_xlfn.XLOOKUP("Service_Any_OR_RangeGt1000",'Scoring_Config'!$A:$A,'Scoring_Config'!$C:$C,25),0),0)+IF(LEFT(AL79,4)="True",IF(_xlfn.XLOOKUP("App_Any_OR_RangeGt1000",'Scoring_Config'!$A:$A,'Scoring_Config'!$D:$D,"Yes")="Yes",_xlfn.XLOOKUP("App_Any_OR_RangeGt1000",'Scoring_Config'!$A:$A,'Scoring_Config'!$C:$C,25),0),0)+IF(LEFT(AM79,4)="True",IF(_xlfn.XLOOKUP("Service_Insecure_Match",'Scoring_Config'!$A:$A,'Scoring_Config'!$D:$D,"Yes")="Yes",_xlfn.XLOOKUP("Service_Insecure_Match",'Scoring_Config'!$A:$A,'Scoring_Config'!$C:$C,20),0),0)+IF(LEFT(AN79,4)="True",IF(_xlfn.XLOOKUP("Risky_Inbound",'Scoring_Config'!$A:$A,'Scoring_Config'!$D:$D,"Yes")="Yes",_xlfn.XLOOKUP("Risky_Inbound",'Scoring_Config'!$A:$A,'Scoring_Config'!$C:$C,20),0),0)+IF(LEFT(AO79,4)="True",IF(_xlfn.XLOOKUP("Risky_Outbound",'Scoring_Config'!$A:$A,'Scoring_Config'!$D:$D,"Yes")="Yes",_xlfn.XLOOKUP("Risky_Outbound",'Scoring_Config'!$A:$A,'Scoring_Config'!$C:$C,10),0),0)+IF(LEFT(AW79,4)="True",IF(_xlfn.XLOOKUP("Migrate_Insecure",'Scoring_Config'!$A:$A,'Scoring_Config'!$D:$D,"Yes")="Yes",_xlfn.XLOOKUP("Migrate_Insecure",'Scoring_Config'!$A:$A,'Scoring_Config'!$C:$C,15),0),0)+IF(LEFT(AY79,4)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79,FIND(",",AP79)+1,100)),0)+IF(LEFT(AQ79,4)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79,FIND(",",AR79)+1,100)),0)+IF(_xlfn.XLOOKUP("Profile_Scoring",'Scoring_Config'!$A:$A,'Scoring_Config'!$D:$D,"Yes")="Yes",VALUE(MID(AS79,FIND(",",AS79)+1,100)),0)+IF(_xlfn.XLOOKUP("Options_Scoring",'Scoring_Config'!$A:$A,'Scoring_Config'!$D:$D,"Yes")="Yes",VALUE(MID(AT79,FIND(",",AT79)+1,100)),0)))</f>
        <v>0</v>
      </c>
    </row>
    <row r="80" spans="1:52">
      <c r="A80" s="3" t="s">
        <v>52</v>
      </c>
      <c r="B80" s="3" t="s">
        <v>122</v>
      </c>
      <c r="C80" s="3" t="s">
        <v>329</v>
      </c>
      <c r="D80" s="3"/>
      <c r="E80" s="3" t="s">
        <v>359</v>
      </c>
      <c r="F80" s="3" t="s">
        <v>361</v>
      </c>
      <c r="G80" s="3" t="s">
        <v>365</v>
      </c>
      <c r="H80" s="3" t="s">
        <v>365</v>
      </c>
      <c r="I80" s="3" t="s">
        <v>625</v>
      </c>
      <c r="J80" s="3" t="s">
        <v>360</v>
      </c>
      <c r="K80" s="3" t="s">
        <v>365</v>
      </c>
      <c r="L80" s="3" t="s">
        <v>365</v>
      </c>
      <c r="M80" s="3" t="s">
        <v>365</v>
      </c>
      <c r="N80" s="3" t="s">
        <v>365</v>
      </c>
      <c r="O80" s="4" t="s">
        <v>827</v>
      </c>
      <c r="P80" s="3" t="s">
        <v>888</v>
      </c>
      <c r="Q80" s="3" t="s">
        <v>905</v>
      </c>
      <c r="R80" s="3" t="s">
        <v>907</v>
      </c>
      <c r="S80" s="3" t="s">
        <v>913</v>
      </c>
      <c r="T80" s="3" t="s">
        <v>967</v>
      </c>
      <c r="U80" s="3" t="s">
        <v>1192</v>
      </c>
      <c r="V80" s="3" t="s">
        <v>772</v>
      </c>
      <c r="W80" s="3" t="s">
        <v>994</v>
      </c>
      <c r="X80" s="3" t="s">
        <v>1684</v>
      </c>
      <c r="Y80" s="3" t="s">
        <v>2153</v>
      </c>
      <c r="Z80" s="3"/>
      <c r="AA80" s="3"/>
      <c r="AB80" s="3"/>
      <c r="AC80" s="5" cm="1">
        <f t="array" ref="AC80">IF(TRUE,"True," &amp; IF(_xlfn.XLOOKUP("Src_IsAny",'Scoring_Config'!$A:$A,'Scoring_Config'!$D:$D,"Yes")="Yes",_xlfn.XLOOKUP("Src_IsAny",'Scoring_Config'!$A:$A,'Scoring_Config'!$C:$C,25),0),"False,0")</f>
        <v>0</v>
      </c>
      <c r="AD80" s="4" cm="1">
        <f t="array" ref="AD80">IF(FALSE,"True," &amp; IF(_xlfn.XLOOKUP("Src_CIDR_Le_16",'Scoring_Config'!$A:$A,'Scoring_Config'!$D:$D,"Yes")="Yes",_xlfn.XLOOKUP("Src_CIDR_Le_16",'Scoring_Config'!$A:$A,'Scoring_Config'!$C:$C,25),0),"False,0")</f>
        <v>0</v>
      </c>
      <c r="AE80" s="4" cm="1">
        <f t="array" ref="AE80">IF(FALSE,"True," &amp; IF(_xlfn.XLOOKUP("Src_CIDR_17_22",'Scoring_Config'!$A:$A,'Scoring_Config'!$D:$D,"Yes")="Yes",_xlfn.XLOOKUP("Src_CIDR_17_22",'Scoring_Config'!$A:$A,'Scoring_Config'!$C:$C,15),0),"False,0")</f>
        <v>0</v>
      </c>
      <c r="AF80" s="5" cm="1">
        <f t="array" ref="AF80">IF(TRUE,"True," &amp; IF(_xlfn.XLOOKUP("Dst_IsAny",'Scoring_Config'!$A:$A,'Scoring_Config'!$D:$D,"Yes")="Yes",_xlfn.XLOOKUP("Dst_IsAny",'Scoring_Config'!$A:$A,'Scoring_Config'!$C:$C,25),0),"False,0")</f>
        <v>0</v>
      </c>
      <c r="AG80" s="4" cm="1">
        <f t="array" ref="AG80">IF(FALSE,"True," &amp; IF(_xlfn.XLOOKUP("Dst_CIDR_Le_16",'Scoring_Config'!$A:$A,'Scoring_Config'!$D:$D,"Yes")="Yes",_xlfn.XLOOKUP("Dst_CIDR_Le_16",'Scoring_Config'!$A:$A,'Scoring_Config'!$C:$C,25),0),"False,0")</f>
        <v>0</v>
      </c>
      <c r="AH80" s="4" cm="1">
        <f t="array" ref="AH80">IF(FALSE,"True," &amp; IF(_xlfn.XLOOKUP("Dst_CIDR_17_22",'Scoring_Config'!$A:$A,'Scoring_Config'!$D:$D,"Yes")="Yes",_xlfn.XLOOKUP("Dst_CIDR_17_22",'Scoring_Config'!$A:$A,'Scoring_Config'!$C:$C,15),0),"False,0")</f>
        <v>0</v>
      </c>
      <c r="AI80" s="4" cm="1">
        <f t="array" ref="AI80">IF(FALSE,"True," &amp; IF(_xlfn.XLOOKUP("SrcZone_IsAny",'Scoring_Config'!$A:$A,'Scoring_Config'!$D:$D,"Yes")="Yes",_xlfn.XLOOKUP("SrcZone_IsAny",'Scoring_Config'!$A:$A,'Scoring_Config'!$C:$C,5),0),"False,0")</f>
        <v>0</v>
      </c>
      <c r="AJ80" s="4" cm="1">
        <f t="array" ref="AJ80">IF(FALSE,"True," &amp; IF(_xlfn.XLOOKUP("DstZone_IsAny",'Scoring_Config'!$A:$A,'Scoring_Config'!$D:$D,"Yes")="Yes",_xlfn.XLOOKUP("DstZone_IsAny",'Scoring_Config'!$A:$A,'Scoring_Config'!$C:$C,5),0),"False,0")</f>
        <v>0</v>
      </c>
      <c r="AK80" s="4" cm="1">
        <f t="array" ref="AK8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0" s="5" cm="1">
        <f t="array" ref="AL80">IF(TRUE,"True," &amp; IF(_xlfn.XLOOKUP("App_Any_OR_RangeGt1000",'Scoring_Config'!$A:$A,'Scoring_Config'!$D:$D,"Yes")="Yes",_xlfn.XLOOKUP("App_Any_OR_RangeGt1000",'Scoring_Config'!$A:$A,'Scoring_Config'!$C:$C,25),0),"False,0")</f>
        <v>0</v>
      </c>
      <c r="AM80" s="5" cm="1">
        <f t="array" ref="AM80">IF(TRUE,"True," &amp; IF(_xlfn.XLOOKUP("Service_Insecure_Match",'Scoring_Config'!$A:$A,'Scoring_Config'!$D:$D,"Yes")="Yes",_xlfn.XLOOKUP("Service_Insecure_Match",'Scoring_Config'!$A:$A,'Scoring_Config'!$C:$C,20),0),"False,0")</f>
        <v>0</v>
      </c>
      <c r="AN80" s="4" cm="1">
        <f t="array" ref="AN80">IF(FALSE,"True," &amp; IF(_xlfn.XLOOKUP("Risky_Inbound",'Scoring_Config'!$A:$A,'Scoring_Config'!$D:$D,"Yes")="Yes",_xlfn.XLOOKUP("Risky_Inbound",'Scoring_Config'!$A:$A,'Scoring_Config'!$C:$C,20),0),"False,0")</f>
        <v>0</v>
      </c>
      <c r="AO80" s="4" cm="1">
        <f t="array" ref="AO80">IF(FALSE,"True," &amp; IF(_xlfn.XLOOKUP("Risky_Outbound",'Scoring_Config'!$A:$A,'Scoring_Config'!$D:$D,"Yes")="Yes",_xlfn.XLOOKUP("Risky_Outbound",'Scoring_Config'!$A:$A,'Scoring_Config'!$C:$C,10),0),"False,0")</f>
        <v>0</v>
      </c>
      <c r="AP80" s="5" t="s">
        <v>2595</v>
      </c>
      <c r="AQ80" s="4" cm="1">
        <f t="array" ref="AQ8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0" s="5" t="s">
        <v>2598</v>
      </c>
      <c r="AS80" s="5" t="s">
        <v>2595</v>
      </c>
      <c r="AT80" s="4" t="s">
        <v>2592</v>
      </c>
      <c r="AU80" s="4" cm="1">
        <f t="array" ref="AU80">IF(FALSE,"True," &amp; IF(_xlfn.XLOOKUP("Action_IsDenyOrDrop",'Scoring_Config'!$A:$A,'Scoring_Config'!$D:$D,"Yes")="Yes",_xlfn.XLOOKUP("Action_IsDenyOrDrop",'Scoring_Config'!$A:$A,'Scoring_Config'!$C:$C,0),0),"False,0")</f>
        <v>0</v>
      </c>
      <c r="AV80" s="4"/>
      <c r="AW80" s="4" cm="1">
        <f t="array" ref="AW80">IF(FALSE,"True," &amp; IF(_xlfn.XLOOKUP("Migrate_Insecure",'Scoring_Config'!$A:$A,'Scoring_Config'!$D:$D,"Yes")="Yes",_xlfn.XLOOKUP("Migrate_Insecure",'Scoring_Config'!$A:$A,'Scoring_Config'!$C:$C,15),0),"False,0")</f>
        <v>0</v>
      </c>
      <c r="AX80" s="4"/>
      <c r="AY80" s="4" cm="1">
        <f t="array" ref="AY80">IF(FALSE,"True," &amp; IF(_xlfn.XLOOKUP("Migrate_Other_Ports",'Scoring_Config'!$A:$A,'Scoring_Config'!$D:$D,"Yes")="Yes",_xlfn.XLOOKUP("Migrate_Other_Ports",'Scoring_Config'!$A:$A,'Scoring_Config'!$C:$C,5),0),"False,0")</f>
        <v>0</v>
      </c>
      <c r="AZ80" s="4" cm="1">
        <f t="array" ref="AZ80">IF(LEFT(AU80,4)="True",0,(IF(LEFT(AC80,4)="True",IF(_xlfn.XLOOKUP("Src_IsAny",'Scoring_Config'!$A:$A,'Scoring_Config'!$D:$D,"Yes")="Yes",_xlfn.XLOOKUP("Src_IsAny",'Scoring_Config'!$A:$A,'Scoring_Config'!$C:$C,25),0),0)+IF(LEFT(AD80,4)="True",IF(_xlfn.XLOOKUP("Src_CIDR_Le_16",'Scoring_Config'!$A:$A,'Scoring_Config'!$D:$D,"Yes")="Yes",_xlfn.XLOOKUP("Src_CIDR_Le_16",'Scoring_Config'!$A:$A,'Scoring_Config'!$C:$C,25),0),0)+IF(LEFT(AE80,4)="True",IF(_xlfn.XLOOKUP("Src_CIDR_17_22",'Scoring_Config'!$A:$A,'Scoring_Config'!$D:$D,"Yes")="Yes",_xlfn.XLOOKUP("Src_CIDR_17_22",'Scoring_Config'!$A:$A,'Scoring_Config'!$C:$C,15),0),0)+IF(LEFT(AF80,4)="True",IF(_xlfn.XLOOKUP("Dst_IsAny",'Scoring_Config'!$A:$A,'Scoring_Config'!$D:$D,"Yes")="Yes",_xlfn.XLOOKUP("Dst_IsAny",'Scoring_Config'!$A:$A,'Scoring_Config'!$C:$C,25),0),0)+IF(LEFT(AG80,4)="True",IF(_xlfn.XLOOKUP("Dst_CIDR_Le_16",'Scoring_Config'!$A:$A,'Scoring_Config'!$D:$D,"Yes")="Yes",_xlfn.XLOOKUP("Dst_CIDR_Le_16",'Scoring_Config'!$A:$A,'Scoring_Config'!$C:$C,25),0),0)+IF(LEFT(AH80,4)="True",IF(_xlfn.XLOOKUP("Dst_CIDR_17_22",'Scoring_Config'!$A:$A,'Scoring_Config'!$D:$D,"Yes")="Yes",_xlfn.XLOOKUP("Dst_CIDR_17_22",'Scoring_Config'!$A:$A,'Scoring_Config'!$C:$C,15),0),0)+IF(LEFT(AI80,4)="True",IF(_xlfn.XLOOKUP("SrcZone_IsAny",'Scoring_Config'!$A:$A,'Scoring_Config'!$D:$D,"Yes")="Yes",_xlfn.XLOOKUP("SrcZone_IsAny",'Scoring_Config'!$A:$A,'Scoring_Config'!$C:$C,5),0),0)+IF(LEFT(AJ80,4)="True",IF(_xlfn.XLOOKUP("DstZone_IsAny",'Scoring_Config'!$A:$A,'Scoring_Config'!$D:$D,"Yes")="Yes",_xlfn.XLOOKUP("DstZone_IsAny",'Scoring_Config'!$A:$A,'Scoring_Config'!$C:$C,5),0),0)+IF(LEFT(AK80,4)="True",IF(_xlfn.XLOOKUP("Service_Any_OR_RangeGt1000",'Scoring_Config'!$A:$A,'Scoring_Config'!$D:$D,"Yes")="Yes",_xlfn.XLOOKUP("Service_Any_OR_RangeGt1000",'Scoring_Config'!$A:$A,'Scoring_Config'!$C:$C,25),0),0)+IF(LEFT(AL80,4)="True",IF(_xlfn.XLOOKUP("App_Any_OR_RangeGt1000",'Scoring_Config'!$A:$A,'Scoring_Config'!$D:$D,"Yes")="Yes",_xlfn.XLOOKUP("App_Any_OR_RangeGt1000",'Scoring_Config'!$A:$A,'Scoring_Config'!$C:$C,25),0),0)+IF(LEFT(AM80,4)="True",IF(_xlfn.XLOOKUP("Service_Insecure_Match",'Scoring_Config'!$A:$A,'Scoring_Config'!$D:$D,"Yes")="Yes",_xlfn.XLOOKUP("Service_Insecure_Match",'Scoring_Config'!$A:$A,'Scoring_Config'!$C:$C,20),0),0)+IF(LEFT(AN80,4)="True",IF(_xlfn.XLOOKUP("Risky_Inbound",'Scoring_Config'!$A:$A,'Scoring_Config'!$D:$D,"Yes")="Yes",_xlfn.XLOOKUP("Risky_Inbound",'Scoring_Config'!$A:$A,'Scoring_Config'!$C:$C,20),0),0)+IF(LEFT(AO80,4)="True",IF(_xlfn.XLOOKUP("Risky_Outbound",'Scoring_Config'!$A:$A,'Scoring_Config'!$D:$D,"Yes")="Yes",_xlfn.XLOOKUP("Risky_Outbound",'Scoring_Config'!$A:$A,'Scoring_Config'!$C:$C,10),0),0)+IF(LEFT(AW80,4)="True",IF(_xlfn.XLOOKUP("Migrate_Insecure",'Scoring_Config'!$A:$A,'Scoring_Config'!$D:$D,"Yes")="Yes",_xlfn.XLOOKUP("Migrate_Insecure",'Scoring_Config'!$A:$A,'Scoring_Config'!$C:$C,15),0),0)+IF(LEFT(AY80,4)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80,FIND(",",AP80)+1,100)),0)+IF(LEFT(AQ80,4)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80,FIND(",",AR80)+1,100)),0)+IF(_xlfn.XLOOKUP("Profile_Scoring",'Scoring_Config'!$A:$A,'Scoring_Config'!$D:$D,"Yes")="Yes",VALUE(MID(AS80,FIND(",",AS80)+1,100)),0)+IF(_xlfn.XLOOKUP("Options_Scoring",'Scoring_Config'!$A:$A,'Scoring_Config'!$D:$D,"Yes")="Yes",VALUE(MID(AT80,FIND(",",AT80)+1,100)),0)))</f>
        <v>0</v>
      </c>
    </row>
    <row r="81" spans="1:52">
      <c r="A81" s="3" t="s">
        <v>52</v>
      </c>
      <c r="B81" s="3" t="s">
        <v>123</v>
      </c>
      <c r="C81" s="3" t="s">
        <v>329</v>
      </c>
      <c r="D81" s="3"/>
      <c r="E81" s="3" t="s">
        <v>359</v>
      </c>
      <c r="F81" s="3" t="s">
        <v>364</v>
      </c>
      <c r="G81" s="3" t="s">
        <v>374</v>
      </c>
      <c r="H81" s="3" t="s">
        <v>543</v>
      </c>
      <c r="I81" s="3" t="s">
        <v>365</v>
      </c>
      <c r="J81" s="3" t="s">
        <v>363</v>
      </c>
      <c r="K81" s="3" t="s">
        <v>365</v>
      </c>
      <c r="L81" s="3" t="s">
        <v>365</v>
      </c>
      <c r="M81" s="3" t="s">
        <v>775</v>
      </c>
      <c r="N81" s="3" t="s">
        <v>796</v>
      </c>
      <c r="O81" s="4" t="s">
        <v>827</v>
      </c>
      <c r="P81" s="3" t="s">
        <v>888</v>
      </c>
      <c r="Q81" s="3" t="s">
        <v>905</v>
      </c>
      <c r="R81" s="3" t="s">
        <v>910</v>
      </c>
      <c r="S81" s="3" t="s">
        <v>913</v>
      </c>
      <c r="T81" s="3" t="s">
        <v>968</v>
      </c>
      <c r="U81" s="3" t="s">
        <v>1193</v>
      </c>
      <c r="V81" s="3" t="s">
        <v>1388</v>
      </c>
      <c r="W81" s="3" t="s">
        <v>1445</v>
      </c>
      <c r="X81" s="3" t="s">
        <v>1685</v>
      </c>
      <c r="Y81" s="3" t="s">
        <v>2154</v>
      </c>
      <c r="Z81" s="3"/>
      <c r="AA81" s="3"/>
      <c r="AB81" s="3"/>
      <c r="AC81" s="4" cm="1">
        <f t="array" ref="AC81">IF(FALSE,"True," &amp; IF(_xlfn.XLOOKUP("Src_IsAny",'Scoring_Config'!$A:$A,'Scoring_Config'!$D:$D,"Yes")="Yes",_xlfn.XLOOKUP("Src_IsAny",'Scoring_Config'!$A:$A,'Scoring_Config'!$C:$C,25),0),"False,0")</f>
        <v>0</v>
      </c>
      <c r="AD81" s="4" cm="1">
        <f t="array" ref="AD81">IF(FALSE,"True," &amp; IF(_xlfn.XLOOKUP("Src_CIDR_Le_16",'Scoring_Config'!$A:$A,'Scoring_Config'!$D:$D,"Yes")="Yes",_xlfn.XLOOKUP("Src_CIDR_Le_16",'Scoring_Config'!$A:$A,'Scoring_Config'!$C:$C,25),0),"False,0")</f>
        <v>0</v>
      </c>
      <c r="AE81" s="4" cm="1">
        <f t="array" ref="AE81">IF(FALSE,"True," &amp; IF(_xlfn.XLOOKUP("Src_CIDR_17_22",'Scoring_Config'!$A:$A,'Scoring_Config'!$D:$D,"Yes")="Yes",_xlfn.XLOOKUP("Src_CIDR_17_22",'Scoring_Config'!$A:$A,'Scoring_Config'!$C:$C,15),0),"False,0")</f>
        <v>0</v>
      </c>
      <c r="AF81" s="5" cm="1">
        <f t="array" ref="AF81">IF(TRUE,"True," &amp; IF(_xlfn.XLOOKUP("Dst_IsAny",'Scoring_Config'!$A:$A,'Scoring_Config'!$D:$D,"Yes")="Yes",_xlfn.XLOOKUP("Dst_IsAny",'Scoring_Config'!$A:$A,'Scoring_Config'!$C:$C,25),0),"False,0")</f>
        <v>0</v>
      </c>
      <c r="AG81" s="4" cm="1">
        <f t="array" ref="AG81">IF(FALSE,"True," &amp; IF(_xlfn.XLOOKUP("Dst_CIDR_Le_16",'Scoring_Config'!$A:$A,'Scoring_Config'!$D:$D,"Yes")="Yes",_xlfn.XLOOKUP("Dst_CIDR_Le_16",'Scoring_Config'!$A:$A,'Scoring_Config'!$C:$C,25),0),"False,0")</f>
        <v>0</v>
      </c>
      <c r="AH81" s="4" cm="1">
        <f t="array" ref="AH81">IF(FALSE,"True," &amp; IF(_xlfn.XLOOKUP("Dst_CIDR_17_22",'Scoring_Config'!$A:$A,'Scoring_Config'!$D:$D,"Yes")="Yes",_xlfn.XLOOKUP("Dst_CIDR_17_22",'Scoring_Config'!$A:$A,'Scoring_Config'!$C:$C,15),0),"False,0")</f>
        <v>0</v>
      </c>
      <c r="AI81" s="4" cm="1">
        <f t="array" ref="AI81">IF(FALSE,"True," &amp; IF(_xlfn.XLOOKUP("SrcZone_IsAny",'Scoring_Config'!$A:$A,'Scoring_Config'!$D:$D,"Yes")="Yes",_xlfn.XLOOKUP("SrcZone_IsAny",'Scoring_Config'!$A:$A,'Scoring_Config'!$C:$C,5),0),"False,0")</f>
        <v>0</v>
      </c>
      <c r="AJ81" s="4" cm="1">
        <f t="array" ref="AJ81">IF(FALSE,"True," &amp; IF(_xlfn.XLOOKUP("DstZone_IsAny",'Scoring_Config'!$A:$A,'Scoring_Config'!$D:$D,"Yes")="Yes",_xlfn.XLOOKUP("DstZone_IsAny",'Scoring_Config'!$A:$A,'Scoring_Config'!$C:$C,5),0),"False,0")</f>
        <v>0</v>
      </c>
      <c r="AK81" s="4" cm="1">
        <f t="array" ref="AK8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1" s="4" cm="1">
        <f t="array" ref="AL81">IF(FALSE,"True," &amp; IF(_xlfn.XLOOKUP("App_Any_OR_RangeGt1000",'Scoring_Config'!$A:$A,'Scoring_Config'!$D:$D,"Yes")="Yes",_xlfn.XLOOKUP("App_Any_OR_RangeGt1000",'Scoring_Config'!$A:$A,'Scoring_Config'!$C:$C,25),0),"False,0")</f>
        <v>0</v>
      </c>
      <c r="AM81" s="5" cm="1">
        <f t="array" ref="AM81">IF(TRUE,"True," &amp; IF(_xlfn.XLOOKUP("Service_Insecure_Match",'Scoring_Config'!$A:$A,'Scoring_Config'!$D:$D,"Yes")="Yes",_xlfn.XLOOKUP("Service_Insecure_Match",'Scoring_Config'!$A:$A,'Scoring_Config'!$C:$C,20),0),"False,0")</f>
        <v>0</v>
      </c>
      <c r="AN81" s="4" cm="1">
        <f t="array" ref="AN81">IF(FALSE,"True," &amp; IF(_xlfn.XLOOKUP("Risky_Inbound",'Scoring_Config'!$A:$A,'Scoring_Config'!$D:$D,"Yes")="Yes",_xlfn.XLOOKUP("Risky_Inbound",'Scoring_Config'!$A:$A,'Scoring_Config'!$C:$C,20),0),"False,0")</f>
        <v>0</v>
      </c>
      <c r="AO81" s="4" cm="1">
        <f t="array" ref="AO81">IF(FALSE,"True," &amp; IF(_xlfn.XLOOKUP("Risky_Outbound",'Scoring_Config'!$A:$A,'Scoring_Config'!$D:$D,"Yes")="Yes",_xlfn.XLOOKUP("Risky_Outbound",'Scoring_Config'!$A:$A,'Scoring_Config'!$C:$C,10),0),"False,0")</f>
        <v>0</v>
      </c>
      <c r="AP81" s="5" t="s">
        <v>2595</v>
      </c>
      <c r="AQ81" s="4" cm="1">
        <f t="array" ref="AQ8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1" s="4" t="s">
        <v>2592</v>
      </c>
      <c r="AS81" s="4" t="s">
        <v>2592</v>
      </c>
      <c r="AT81" s="4" t="s">
        <v>2592</v>
      </c>
      <c r="AU81" s="4" cm="1">
        <f t="array" ref="AU81">IF(FALSE,"True," &amp; IF(_xlfn.XLOOKUP("Action_IsDenyOrDrop",'Scoring_Config'!$A:$A,'Scoring_Config'!$D:$D,"Yes")="Yes",_xlfn.XLOOKUP("Action_IsDenyOrDrop",'Scoring_Config'!$A:$A,'Scoring_Config'!$C:$C,0),0),"False,0")</f>
        <v>0</v>
      </c>
      <c r="AV81" s="4"/>
      <c r="AW81" s="4" cm="1">
        <f t="array" ref="AW81">IF(FALSE,"True," &amp; IF(_xlfn.XLOOKUP("Migrate_Insecure",'Scoring_Config'!$A:$A,'Scoring_Config'!$D:$D,"Yes")="Yes",_xlfn.XLOOKUP("Migrate_Insecure",'Scoring_Config'!$A:$A,'Scoring_Config'!$C:$C,15),0),"False,0")</f>
        <v>0</v>
      </c>
      <c r="AX81" s="4"/>
      <c r="AY81" s="4" cm="1">
        <f t="array" ref="AY81">IF(FALSE,"True," &amp; IF(_xlfn.XLOOKUP("Migrate_Other_Ports",'Scoring_Config'!$A:$A,'Scoring_Config'!$D:$D,"Yes")="Yes",_xlfn.XLOOKUP("Migrate_Other_Ports",'Scoring_Config'!$A:$A,'Scoring_Config'!$C:$C,5),0),"False,0")</f>
        <v>0</v>
      </c>
      <c r="AZ81" s="4" cm="1">
        <f t="array" ref="AZ81">IF(LEFT(AU81,4)="True",0,(IF(LEFT(AC81,4)="True",IF(_xlfn.XLOOKUP("Src_IsAny",'Scoring_Config'!$A:$A,'Scoring_Config'!$D:$D,"Yes")="Yes",_xlfn.XLOOKUP("Src_IsAny",'Scoring_Config'!$A:$A,'Scoring_Config'!$C:$C,25),0),0)+IF(LEFT(AD81,4)="True",IF(_xlfn.XLOOKUP("Src_CIDR_Le_16",'Scoring_Config'!$A:$A,'Scoring_Config'!$D:$D,"Yes")="Yes",_xlfn.XLOOKUP("Src_CIDR_Le_16",'Scoring_Config'!$A:$A,'Scoring_Config'!$C:$C,25),0),0)+IF(LEFT(AE81,4)="True",IF(_xlfn.XLOOKUP("Src_CIDR_17_22",'Scoring_Config'!$A:$A,'Scoring_Config'!$D:$D,"Yes")="Yes",_xlfn.XLOOKUP("Src_CIDR_17_22",'Scoring_Config'!$A:$A,'Scoring_Config'!$C:$C,15),0),0)+IF(LEFT(AF81,4)="True",IF(_xlfn.XLOOKUP("Dst_IsAny",'Scoring_Config'!$A:$A,'Scoring_Config'!$D:$D,"Yes")="Yes",_xlfn.XLOOKUP("Dst_IsAny",'Scoring_Config'!$A:$A,'Scoring_Config'!$C:$C,25),0),0)+IF(LEFT(AG81,4)="True",IF(_xlfn.XLOOKUP("Dst_CIDR_Le_16",'Scoring_Config'!$A:$A,'Scoring_Config'!$D:$D,"Yes")="Yes",_xlfn.XLOOKUP("Dst_CIDR_Le_16",'Scoring_Config'!$A:$A,'Scoring_Config'!$C:$C,25),0),0)+IF(LEFT(AH81,4)="True",IF(_xlfn.XLOOKUP("Dst_CIDR_17_22",'Scoring_Config'!$A:$A,'Scoring_Config'!$D:$D,"Yes")="Yes",_xlfn.XLOOKUP("Dst_CIDR_17_22",'Scoring_Config'!$A:$A,'Scoring_Config'!$C:$C,15),0),0)+IF(LEFT(AI81,4)="True",IF(_xlfn.XLOOKUP("SrcZone_IsAny",'Scoring_Config'!$A:$A,'Scoring_Config'!$D:$D,"Yes")="Yes",_xlfn.XLOOKUP("SrcZone_IsAny",'Scoring_Config'!$A:$A,'Scoring_Config'!$C:$C,5),0),0)+IF(LEFT(AJ81,4)="True",IF(_xlfn.XLOOKUP("DstZone_IsAny",'Scoring_Config'!$A:$A,'Scoring_Config'!$D:$D,"Yes")="Yes",_xlfn.XLOOKUP("DstZone_IsAny",'Scoring_Config'!$A:$A,'Scoring_Config'!$C:$C,5),0),0)+IF(LEFT(AK81,4)="True",IF(_xlfn.XLOOKUP("Service_Any_OR_RangeGt1000",'Scoring_Config'!$A:$A,'Scoring_Config'!$D:$D,"Yes")="Yes",_xlfn.XLOOKUP("Service_Any_OR_RangeGt1000",'Scoring_Config'!$A:$A,'Scoring_Config'!$C:$C,25),0),0)+IF(LEFT(AL81,4)="True",IF(_xlfn.XLOOKUP("App_Any_OR_RangeGt1000",'Scoring_Config'!$A:$A,'Scoring_Config'!$D:$D,"Yes")="Yes",_xlfn.XLOOKUP("App_Any_OR_RangeGt1000",'Scoring_Config'!$A:$A,'Scoring_Config'!$C:$C,25),0),0)+IF(LEFT(AM81,4)="True",IF(_xlfn.XLOOKUP("Service_Insecure_Match",'Scoring_Config'!$A:$A,'Scoring_Config'!$D:$D,"Yes")="Yes",_xlfn.XLOOKUP("Service_Insecure_Match",'Scoring_Config'!$A:$A,'Scoring_Config'!$C:$C,20),0),0)+IF(LEFT(AN81,4)="True",IF(_xlfn.XLOOKUP("Risky_Inbound",'Scoring_Config'!$A:$A,'Scoring_Config'!$D:$D,"Yes")="Yes",_xlfn.XLOOKUP("Risky_Inbound",'Scoring_Config'!$A:$A,'Scoring_Config'!$C:$C,20),0),0)+IF(LEFT(AO81,4)="True",IF(_xlfn.XLOOKUP("Risky_Outbound",'Scoring_Config'!$A:$A,'Scoring_Config'!$D:$D,"Yes")="Yes",_xlfn.XLOOKUP("Risky_Outbound",'Scoring_Config'!$A:$A,'Scoring_Config'!$C:$C,10),0),0)+IF(LEFT(AW81,4)="True",IF(_xlfn.XLOOKUP("Migrate_Insecure",'Scoring_Config'!$A:$A,'Scoring_Config'!$D:$D,"Yes")="Yes",_xlfn.XLOOKUP("Migrate_Insecure",'Scoring_Config'!$A:$A,'Scoring_Config'!$C:$C,15),0),0)+IF(LEFT(AY81,4)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81,FIND(",",AP81)+1,100)),0)+IF(LEFT(AQ81,4)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81,FIND(",",AR81)+1,100)),0)+IF(_xlfn.XLOOKUP("Profile_Scoring",'Scoring_Config'!$A:$A,'Scoring_Config'!$D:$D,"Yes")="Yes",VALUE(MID(AS81,FIND(",",AS81)+1,100)),0)+IF(_xlfn.XLOOKUP("Options_Scoring",'Scoring_Config'!$A:$A,'Scoring_Config'!$D:$D,"Yes")="Yes",VALUE(MID(AT81,FIND(",",AT81)+1,100)),0)))</f>
        <v>0</v>
      </c>
    </row>
    <row r="82" spans="1:52">
      <c r="A82" s="3" t="s">
        <v>52</v>
      </c>
      <c r="B82" s="3" t="s">
        <v>124</v>
      </c>
      <c r="C82" s="3" t="s">
        <v>329</v>
      </c>
      <c r="D82" s="3"/>
      <c r="E82" s="3" t="s">
        <v>359</v>
      </c>
      <c r="F82" s="3" t="s">
        <v>361</v>
      </c>
      <c r="G82" s="3" t="s">
        <v>365</v>
      </c>
      <c r="H82" s="3" t="s">
        <v>365</v>
      </c>
      <c r="I82" s="3" t="s">
        <v>622</v>
      </c>
      <c r="J82" s="3" t="s">
        <v>360</v>
      </c>
      <c r="K82" s="3" t="s">
        <v>365</v>
      </c>
      <c r="L82" s="3" t="s">
        <v>365</v>
      </c>
      <c r="M82" s="3" t="s">
        <v>365</v>
      </c>
      <c r="N82" s="3" t="s">
        <v>365</v>
      </c>
      <c r="O82" s="4" t="s">
        <v>816</v>
      </c>
      <c r="P82" s="3" t="s">
        <v>877</v>
      </c>
      <c r="Q82" s="3" t="s">
        <v>905</v>
      </c>
      <c r="R82" s="3" t="s">
        <v>907</v>
      </c>
      <c r="S82" s="3" t="s">
        <v>912</v>
      </c>
      <c r="T82" s="3" t="s">
        <v>919</v>
      </c>
      <c r="U82" s="3" t="s">
        <v>1194</v>
      </c>
      <c r="V82" s="3" t="s">
        <v>1389</v>
      </c>
      <c r="W82" s="3" t="s">
        <v>1446</v>
      </c>
      <c r="X82" s="3" t="s">
        <v>1686</v>
      </c>
      <c r="Y82" s="3" t="s">
        <v>2155</v>
      </c>
      <c r="Z82" s="3"/>
      <c r="AA82" s="3"/>
      <c r="AB82" s="3"/>
      <c r="AC82" s="5" cm="1">
        <f t="array" ref="AC82">IF(TRUE,"True," &amp; IF(_xlfn.XLOOKUP("Src_IsAny",'Scoring_Config'!$A:$A,'Scoring_Config'!$D:$D,"Yes")="Yes",_xlfn.XLOOKUP("Src_IsAny",'Scoring_Config'!$A:$A,'Scoring_Config'!$C:$C,25),0),"False,0")</f>
        <v>0</v>
      </c>
      <c r="AD82" s="4" cm="1">
        <f t="array" ref="AD82">IF(FALSE,"True," &amp; IF(_xlfn.XLOOKUP("Src_CIDR_Le_16",'Scoring_Config'!$A:$A,'Scoring_Config'!$D:$D,"Yes")="Yes",_xlfn.XLOOKUP("Src_CIDR_Le_16",'Scoring_Config'!$A:$A,'Scoring_Config'!$C:$C,25),0),"False,0")</f>
        <v>0</v>
      </c>
      <c r="AE82" s="4" cm="1">
        <f t="array" ref="AE82">IF(FALSE,"True," &amp; IF(_xlfn.XLOOKUP("Src_CIDR_17_22",'Scoring_Config'!$A:$A,'Scoring_Config'!$D:$D,"Yes")="Yes",_xlfn.XLOOKUP("Src_CIDR_17_22",'Scoring_Config'!$A:$A,'Scoring_Config'!$C:$C,15),0),"False,0")</f>
        <v>0</v>
      </c>
      <c r="AF82" s="5" cm="1">
        <f t="array" ref="AF82">IF(TRUE,"True," &amp; IF(_xlfn.XLOOKUP("Dst_IsAny",'Scoring_Config'!$A:$A,'Scoring_Config'!$D:$D,"Yes")="Yes",_xlfn.XLOOKUP("Dst_IsAny",'Scoring_Config'!$A:$A,'Scoring_Config'!$C:$C,25),0),"False,0")</f>
        <v>0</v>
      </c>
      <c r="AG82" s="4" cm="1">
        <f t="array" ref="AG82">IF(FALSE,"True," &amp; IF(_xlfn.XLOOKUP("Dst_CIDR_Le_16",'Scoring_Config'!$A:$A,'Scoring_Config'!$D:$D,"Yes")="Yes",_xlfn.XLOOKUP("Dst_CIDR_Le_16",'Scoring_Config'!$A:$A,'Scoring_Config'!$C:$C,25),0),"False,0")</f>
        <v>0</v>
      </c>
      <c r="AH82" s="4" cm="1">
        <f t="array" ref="AH82">IF(FALSE,"True," &amp; IF(_xlfn.XLOOKUP("Dst_CIDR_17_22",'Scoring_Config'!$A:$A,'Scoring_Config'!$D:$D,"Yes")="Yes",_xlfn.XLOOKUP("Dst_CIDR_17_22",'Scoring_Config'!$A:$A,'Scoring_Config'!$C:$C,15),0),"False,0")</f>
        <v>0</v>
      </c>
      <c r="AI82" s="4" cm="1">
        <f t="array" ref="AI82">IF(FALSE,"True," &amp; IF(_xlfn.XLOOKUP("SrcZone_IsAny",'Scoring_Config'!$A:$A,'Scoring_Config'!$D:$D,"Yes")="Yes",_xlfn.XLOOKUP("SrcZone_IsAny",'Scoring_Config'!$A:$A,'Scoring_Config'!$C:$C,5),0),"False,0")</f>
        <v>0</v>
      </c>
      <c r="AJ82" s="4" cm="1">
        <f t="array" ref="AJ82">IF(FALSE,"True," &amp; IF(_xlfn.XLOOKUP("DstZone_IsAny",'Scoring_Config'!$A:$A,'Scoring_Config'!$D:$D,"Yes")="Yes",_xlfn.XLOOKUP("DstZone_IsAny",'Scoring_Config'!$A:$A,'Scoring_Config'!$C:$C,5),0),"False,0")</f>
        <v>0</v>
      </c>
      <c r="AK82" s="4" cm="1">
        <f t="array" ref="AK8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2" s="5" cm="1">
        <f t="array" ref="AL82">IF(TRUE,"True," &amp; IF(_xlfn.XLOOKUP("App_Any_OR_RangeGt1000",'Scoring_Config'!$A:$A,'Scoring_Config'!$D:$D,"Yes")="Yes",_xlfn.XLOOKUP("App_Any_OR_RangeGt1000",'Scoring_Config'!$A:$A,'Scoring_Config'!$C:$C,25),0),"False,0")</f>
        <v>0</v>
      </c>
      <c r="AM82" s="5" cm="1">
        <f t="array" ref="AM82">IF(TRUE,"True," &amp; IF(_xlfn.XLOOKUP("Service_Insecure_Match",'Scoring_Config'!$A:$A,'Scoring_Config'!$D:$D,"Yes")="Yes",_xlfn.XLOOKUP("Service_Insecure_Match",'Scoring_Config'!$A:$A,'Scoring_Config'!$C:$C,20),0),"False,0")</f>
        <v>0</v>
      </c>
      <c r="AN82" s="4" cm="1">
        <f t="array" ref="AN82">IF(FALSE,"True," &amp; IF(_xlfn.XLOOKUP("Risky_Inbound",'Scoring_Config'!$A:$A,'Scoring_Config'!$D:$D,"Yes")="Yes",_xlfn.XLOOKUP("Risky_Inbound",'Scoring_Config'!$A:$A,'Scoring_Config'!$C:$C,20),0),"False,0")</f>
        <v>0</v>
      </c>
      <c r="AO82" s="4" cm="1">
        <f t="array" ref="AO82">IF(FALSE,"True," &amp; IF(_xlfn.XLOOKUP("Risky_Outbound",'Scoring_Config'!$A:$A,'Scoring_Config'!$D:$D,"Yes")="Yes",_xlfn.XLOOKUP("Risky_Outbound",'Scoring_Config'!$A:$A,'Scoring_Config'!$C:$C,10),0),"False,0")</f>
        <v>0</v>
      </c>
      <c r="AP82" s="5" t="s">
        <v>2595</v>
      </c>
      <c r="AQ82" s="4" cm="1">
        <f t="array" ref="AQ8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2" s="5" t="s">
        <v>2598</v>
      </c>
      <c r="AS82" s="5" t="s">
        <v>2595</v>
      </c>
      <c r="AT82" s="4" t="s">
        <v>2592</v>
      </c>
      <c r="AU82" s="4" cm="1">
        <f t="array" ref="AU82">IF(FALSE,"True," &amp; IF(_xlfn.XLOOKUP("Action_IsDenyOrDrop",'Scoring_Config'!$A:$A,'Scoring_Config'!$D:$D,"Yes")="Yes",_xlfn.XLOOKUP("Action_IsDenyOrDrop",'Scoring_Config'!$A:$A,'Scoring_Config'!$C:$C,0),0),"False,0")</f>
        <v>0</v>
      </c>
      <c r="AV82" s="4"/>
      <c r="AW82" s="4" cm="1">
        <f t="array" ref="AW82">IF(FALSE,"True," &amp; IF(_xlfn.XLOOKUP("Migrate_Insecure",'Scoring_Config'!$A:$A,'Scoring_Config'!$D:$D,"Yes")="Yes",_xlfn.XLOOKUP("Migrate_Insecure",'Scoring_Config'!$A:$A,'Scoring_Config'!$C:$C,15),0),"False,0")</f>
        <v>0</v>
      </c>
      <c r="AX82" s="4"/>
      <c r="AY82" s="4" cm="1">
        <f t="array" ref="AY82">IF(FALSE,"True," &amp; IF(_xlfn.XLOOKUP("Migrate_Other_Ports",'Scoring_Config'!$A:$A,'Scoring_Config'!$D:$D,"Yes")="Yes",_xlfn.XLOOKUP("Migrate_Other_Ports",'Scoring_Config'!$A:$A,'Scoring_Config'!$C:$C,5),0),"False,0")</f>
        <v>0</v>
      </c>
      <c r="AZ82" s="4" cm="1">
        <f t="array" ref="AZ82">IF(LEFT(AU82,4)="True",0,(IF(LEFT(AC82,4)="True",IF(_xlfn.XLOOKUP("Src_IsAny",'Scoring_Config'!$A:$A,'Scoring_Config'!$D:$D,"Yes")="Yes",_xlfn.XLOOKUP("Src_IsAny",'Scoring_Config'!$A:$A,'Scoring_Config'!$C:$C,25),0),0)+IF(LEFT(AD82,4)="True",IF(_xlfn.XLOOKUP("Src_CIDR_Le_16",'Scoring_Config'!$A:$A,'Scoring_Config'!$D:$D,"Yes")="Yes",_xlfn.XLOOKUP("Src_CIDR_Le_16",'Scoring_Config'!$A:$A,'Scoring_Config'!$C:$C,25),0),0)+IF(LEFT(AE82,4)="True",IF(_xlfn.XLOOKUP("Src_CIDR_17_22",'Scoring_Config'!$A:$A,'Scoring_Config'!$D:$D,"Yes")="Yes",_xlfn.XLOOKUP("Src_CIDR_17_22",'Scoring_Config'!$A:$A,'Scoring_Config'!$C:$C,15),0),0)+IF(LEFT(AF82,4)="True",IF(_xlfn.XLOOKUP("Dst_IsAny",'Scoring_Config'!$A:$A,'Scoring_Config'!$D:$D,"Yes")="Yes",_xlfn.XLOOKUP("Dst_IsAny",'Scoring_Config'!$A:$A,'Scoring_Config'!$C:$C,25),0),0)+IF(LEFT(AG82,4)="True",IF(_xlfn.XLOOKUP("Dst_CIDR_Le_16",'Scoring_Config'!$A:$A,'Scoring_Config'!$D:$D,"Yes")="Yes",_xlfn.XLOOKUP("Dst_CIDR_Le_16",'Scoring_Config'!$A:$A,'Scoring_Config'!$C:$C,25),0),0)+IF(LEFT(AH82,4)="True",IF(_xlfn.XLOOKUP("Dst_CIDR_17_22",'Scoring_Config'!$A:$A,'Scoring_Config'!$D:$D,"Yes")="Yes",_xlfn.XLOOKUP("Dst_CIDR_17_22",'Scoring_Config'!$A:$A,'Scoring_Config'!$C:$C,15),0),0)+IF(LEFT(AI82,4)="True",IF(_xlfn.XLOOKUP("SrcZone_IsAny",'Scoring_Config'!$A:$A,'Scoring_Config'!$D:$D,"Yes")="Yes",_xlfn.XLOOKUP("SrcZone_IsAny",'Scoring_Config'!$A:$A,'Scoring_Config'!$C:$C,5),0),0)+IF(LEFT(AJ82,4)="True",IF(_xlfn.XLOOKUP("DstZone_IsAny",'Scoring_Config'!$A:$A,'Scoring_Config'!$D:$D,"Yes")="Yes",_xlfn.XLOOKUP("DstZone_IsAny",'Scoring_Config'!$A:$A,'Scoring_Config'!$C:$C,5),0),0)+IF(LEFT(AK82,4)="True",IF(_xlfn.XLOOKUP("Service_Any_OR_RangeGt1000",'Scoring_Config'!$A:$A,'Scoring_Config'!$D:$D,"Yes")="Yes",_xlfn.XLOOKUP("Service_Any_OR_RangeGt1000",'Scoring_Config'!$A:$A,'Scoring_Config'!$C:$C,25),0),0)+IF(LEFT(AL82,4)="True",IF(_xlfn.XLOOKUP("App_Any_OR_RangeGt1000",'Scoring_Config'!$A:$A,'Scoring_Config'!$D:$D,"Yes")="Yes",_xlfn.XLOOKUP("App_Any_OR_RangeGt1000",'Scoring_Config'!$A:$A,'Scoring_Config'!$C:$C,25),0),0)+IF(LEFT(AM82,4)="True",IF(_xlfn.XLOOKUP("Service_Insecure_Match",'Scoring_Config'!$A:$A,'Scoring_Config'!$D:$D,"Yes")="Yes",_xlfn.XLOOKUP("Service_Insecure_Match",'Scoring_Config'!$A:$A,'Scoring_Config'!$C:$C,20),0),0)+IF(LEFT(AN82,4)="True",IF(_xlfn.XLOOKUP("Risky_Inbound",'Scoring_Config'!$A:$A,'Scoring_Config'!$D:$D,"Yes")="Yes",_xlfn.XLOOKUP("Risky_Inbound",'Scoring_Config'!$A:$A,'Scoring_Config'!$C:$C,20),0),0)+IF(LEFT(AO82,4)="True",IF(_xlfn.XLOOKUP("Risky_Outbound",'Scoring_Config'!$A:$A,'Scoring_Config'!$D:$D,"Yes")="Yes",_xlfn.XLOOKUP("Risky_Outbound",'Scoring_Config'!$A:$A,'Scoring_Config'!$C:$C,10),0),0)+IF(LEFT(AW82,4)="True",IF(_xlfn.XLOOKUP("Migrate_Insecure",'Scoring_Config'!$A:$A,'Scoring_Config'!$D:$D,"Yes")="Yes",_xlfn.XLOOKUP("Migrate_Insecure",'Scoring_Config'!$A:$A,'Scoring_Config'!$C:$C,15),0),0)+IF(LEFT(AY82,4)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82,FIND(",",AP82)+1,100)),0)+IF(LEFT(AQ82,4)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82,FIND(",",AR82)+1,100)),0)+IF(_xlfn.XLOOKUP("Profile_Scoring",'Scoring_Config'!$A:$A,'Scoring_Config'!$D:$D,"Yes")="Yes",VALUE(MID(AS82,FIND(",",AS82)+1,100)),0)+IF(_xlfn.XLOOKUP("Options_Scoring",'Scoring_Config'!$A:$A,'Scoring_Config'!$D:$D,"Yes")="Yes",VALUE(MID(AT82,FIND(",",AT82)+1,100)),0)))</f>
        <v>0</v>
      </c>
    </row>
    <row r="83" spans="1:52">
      <c r="A83" s="3" t="s">
        <v>52</v>
      </c>
      <c r="B83" s="3" t="s">
        <v>125</v>
      </c>
      <c r="C83" s="3" t="s">
        <v>329</v>
      </c>
      <c r="D83" s="3"/>
      <c r="E83" s="3" t="s">
        <v>359</v>
      </c>
      <c r="F83" s="3" t="s">
        <v>363</v>
      </c>
      <c r="G83" s="3" t="s">
        <v>384</v>
      </c>
      <c r="H83" s="3" t="s">
        <v>384</v>
      </c>
      <c r="I83" s="3" t="s">
        <v>624</v>
      </c>
      <c r="J83" s="3" t="s">
        <v>362</v>
      </c>
      <c r="K83" s="3" t="s">
        <v>641</v>
      </c>
      <c r="L83" s="3" t="s">
        <v>747</v>
      </c>
      <c r="M83" s="3" t="s">
        <v>771</v>
      </c>
      <c r="N83" s="3" t="s">
        <v>793</v>
      </c>
      <c r="O83" s="4" t="s">
        <v>827</v>
      </c>
      <c r="P83" s="3" t="s">
        <v>888</v>
      </c>
      <c r="Q83" s="3" t="s">
        <v>904</v>
      </c>
      <c r="R83" s="3" t="s">
        <v>908</v>
      </c>
      <c r="S83" s="3" t="s">
        <v>914</v>
      </c>
      <c r="T83" s="3" t="s">
        <v>919</v>
      </c>
      <c r="U83" s="3" t="s">
        <v>1157</v>
      </c>
      <c r="V83" s="3" t="s">
        <v>772</v>
      </c>
      <c r="W83" s="3" t="s">
        <v>949</v>
      </c>
      <c r="X83" s="3" t="s">
        <v>1687</v>
      </c>
      <c r="Y83" s="3" t="s">
        <v>2156</v>
      </c>
      <c r="Z83" s="3"/>
      <c r="AA83" s="3"/>
      <c r="AB83" s="3"/>
      <c r="AC83" s="4" cm="1">
        <f t="array" ref="AC83">IF(FALSE,"True," &amp; IF(_xlfn.XLOOKUP("Src_IsAny",'Scoring_Config'!$A:$A,'Scoring_Config'!$D:$D,"Yes")="Yes",_xlfn.XLOOKUP("Src_IsAny",'Scoring_Config'!$A:$A,'Scoring_Config'!$C:$C,25),0),"False,0")</f>
        <v>0</v>
      </c>
      <c r="AD83" s="4" cm="1">
        <f t="array" ref="AD83">IF(FALSE,"True," &amp; IF(_xlfn.XLOOKUP("Src_CIDR_Le_16",'Scoring_Config'!$A:$A,'Scoring_Config'!$D:$D,"Yes")="Yes",_xlfn.XLOOKUP("Src_CIDR_Le_16",'Scoring_Config'!$A:$A,'Scoring_Config'!$C:$C,25),0),"False,0")</f>
        <v>0</v>
      </c>
      <c r="AE83" s="4" cm="1">
        <f t="array" ref="AE83">IF(FALSE,"True," &amp; IF(_xlfn.XLOOKUP("Src_CIDR_17_22",'Scoring_Config'!$A:$A,'Scoring_Config'!$D:$D,"Yes")="Yes",_xlfn.XLOOKUP("Src_CIDR_17_22",'Scoring_Config'!$A:$A,'Scoring_Config'!$C:$C,15),0),"False,0")</f>
        <v>0</v>
      </c>
      <c r="AF83" s="4" cm="1">
        <f t="array" ref="AF83">IF(FALSE,"True," &amp; IF(_xlfn.XLOOKUP("Dst_IsAny",'Scoring_Config'!$A:$A,'Scoring_Config'!$D:$D,"Yes")="Yes",_xlfn.XLOOKUP("Dst_IsAny",'Scoring_Config'!$A:$A,'Scoring_Config'!$C:$C,25),0),"False,0")</f>
        <v>0</v>
      </c>
      <c r="AG83" s="4" cm="1">
        <f t="array" ref="AG83">IF(FALSE,"True," &amp; IF(_xlfn.XLOOKUP("Dst_CIDR_Le_16",'Scoring_Config'!$A:$A,'Scoring_Config'!$D:$D,"Yes")="Yes",_xlfn.XLOOKUP("Dst_CIDR_Le_16",'Scoring_Config'!$A:$A,'Scoring_Config'!$C:$C,25),0),"False,0")</f>
        <v>0</v>
      </c>
      <c r="AH83" s="4" cm="1">
        <f t="array" ref="AH83">IF(FALSE,"True," &amp; IF(_xlfn.XLOOKUP("Dst_CIDR_17_22",'Scoring_Config'!$A:$A,'Scoring_Config'!$D:$D,"Yes")="Yes",_xlfn.XLOOKUP("Dst_CIDR_17_22",'Scoring_Config'!$A:$A,'Scoring_Config'!$C:$C,15),0),"False,0")</f>
        <v>0</v>
      </c>
      <c r="AI83" s="4" cm="1">
        <f t="array" ref="AI83">IF(FALSE,"True," &amp; IF(_xlfn.XLOOKUP("SrcZone_IsAny",'Scoring_Config'!$A:$A,'Scoring_Config'!$D:$D,"Yes")="Yes",_xlfn.XLOOKUP("SrcZone_IsAny",'Scoring_Config'!$A:$A,'Scoring_Config'!$C:$C,5),0),"False,0")</f>
        <v>0</v>
      </c>
      <c r="AJ83" s="4" cm="1">
        <f t="array" ref="AJ83">IF(FALSE,"True," &amp; IF(_xlfn.XLOOKUP("DstZone_IsAny",'Scoring_Config'!$A:$A,'Scoring_Config'!$D:$D,"Yes")="Yes",_xlfn.XLOOKUP("DstZone_IsAny",'Scoring_Config'!$A:$A,'Scoring_Config'!$C:$C,5),0),"False,0")</f>
        <v>0</v>
      </c>
      <c r="AK83" s="4" cm="1">
        <f t="array" ref="AK8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3" s="4" cm="1">
        <f t="array" ref="AL83">IF(FALSE,"True," &amp; IF(_xlfn.XLOOKUP("App_Any_OR_RangeGt1000",'Scoring_Config'!$A:$A,'Scoring_Config'!$D:$D,"Yes")="Yes",_xlfn.XLOOKUP("App_Any_OR_RangeGt1000",'Scoring_Config'!$A:$A,'Scoring_Config'!$C:$C,25),0),"False,0")</f>
        <v>0</v>
      </c>
      <c r="AM83" s="5" cm="1">
        <f t="array" ref="AM83">IF(TRUE,"True," &amp; IF(_xlfn.XLOOKUP("Service_Insecure_Match",'Scoring_Config'!$A:$A,'Scoring_Config'!$D:$D,"Yes")="Yes",_xlfn.XLOOKUP("Service_Insecure_Match",'Scoring_Config'!$A:$A,'Scoring_Config'!$C:$C,20),0),"False,0")</f>
        <v>0</v>
      </c>
      <c r="AN83" s="4" cm="1">
        <f t="array" ref="AN83">IF(FALSE,"True," &amp; IF(_xlfn.XLOOKUP("Risky_Inbound",'Scoring_Config'!$A:$A,'Scoring_Config'!$D:$D,"Yes")="Yes",_xlfn.XLOOKUP("Risky_Inbound",'Scoring_Config'!$A:$A,'Scoring_Config'!$C:$C,20),0),"False,0")</f>
        <v>0</v>
      </c>
      <c r="AO83" s="4" cm="1">
        <f t="array" ref="AO83">IF(FALSE,"True," &amp; IF(_xlfn.XLOOKUP("Risky_Outbound",'Scoring_Config'!$A:$A,'Scoring_Config'!$D:$D,"Yes")="Yes",_xlfn.XLOOKUP("Risky_Outbound",'Scoring_Config'!$A:$A,'Scoring_Config'!$C:$C,10),0),"False,0")</f>
        <v>0</v>
      </c>
      <c r="AP83" s="5" t="s">
        <v>2595</v>
      </c>
      <c r="AQ83" s="5" cm="1">
        <f t="array" ref="AQ8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3" s="5" t="s">
        <v>2598</v>
      </c>
      <c r="AS83" s="4" t="s">
        <v>2592</v>
      </c>
      <c r="AT83" s="4" t="s">
        <v>2592</v>
      </c>
      <c r="AU83" s="5" cm="1">
        <f t="array" ref="AU83">IF(TRUE,"True," &amp; IF(_xlfn.XLOOKUP("Action_IsDenyOrDrop",'Scoring_Config'!$A:$A,'Scoring_Config'!$D:$D,"Yes")="Yes",_xlfn.XLOOKUP("Action_IsDenyOrDrop",'Scoring_Config'!$A:$A,'Scoring_Config'!$C:$C,0),0),"False,0")</f>
        <v>0</v>
      </c>
      <c r="AV83" s="4" t="s">
        <v>771</v>
      </c>
      <c r="AW83" s="5" cm="1">
        <f t="array" ref="AW83">IF(TRUE,"True," &amp; IF(_xlfn.XLOOKUP("Migrate_Insecure",'Scoring_Config'!$A:$A,'Scoring_Config'!$D:$D,"Yes")="Yes",_xlfn.XLOOKUP("Migrate_Insecure",'Scoring_Config'!$A:$A,'Scoring_Config'!$C:$C,15),0),"False,0")</f>
        <v>0</v>
      </c>
      <c r="AX83" s="4"/>
      <c r="AY83" s="4" cm="1">
        <f t="array" ref="AY83">IF(FALSE,"True," &amp; IF(_xlfn.XLOOKUP("Migrate_Other_Ports",'Scoring_Config'!$A:$A,'Scoring_Config'!$D:$D,"Yes")="Yes",_xlfn.XLOOKUP("Migrate_Other_Ports",'Scoring_Config'!$A:$A,'Scoring_Config'!$C:$C,5),0),"False,0")</f>
        <v>0</v>
      </c>
      <c r="AZ83" s="4" cm="1">
        <f t="array" ref="AZ83">IF(LEFT(AU83,4)="True",0,(IF(LEFT(AC83,4)="True",IF(_xlfn.XLOOKUP("Src_IsAny",'Scoring_Config'!$A:$A,'Scoring_Config'!$D:$D,"Yes")="Yes",_xlfn.XLOOKUP("Src_IsAny",'Scoring_Config'!$A:$A,'Scoring_Config'!$C:$C,25),0),0)+IF(LEFT(AD83,4)="True",IF(_xlfn.XLOOKUP("Src_CIDR_Le_16",'Scoring_Config'!$A:$A,'Scoring_Config'!$D:$D,"Yes")="Yes",_xlfn.XLOOKUP("Src_CIDR_Le_16",'Scoring_Config'!$A:$A,'Scoring_Config'!$C:$C,25),0),0)+IF(LEFT(AE83,4)="True",IF(_xlfn.XLOOKUP("Src_CIDR_17_22",'Scoring_Config'!$A:$A,'Scoring_Config'!$D:$D,"Yes")="Yes",_xlfn.XLOOKUP("Src_CIDR_17_22",'Scoring_Config'!$A:$A,'Scoring_Config'!$C:$C,15),0),0)+IF(LEFT(AF83,4)="True",IF(_xlfn.XLOOKUP("Dst_IsAny",'Scoring_Config'!$A:$A,'Scoring_Config'!$D:$D,"Yes")="Yes",_xlfn.XLOOKUP("Dst_IsAny",'Scoring_Config'!$A:$A,'Scoring_Config'!$C:$C,25),0),0)+IF(LEFT(AG83,4)="True",IF(_xlfn.XLOOKUP("Dst_CIDR_Le_16",'Scoring_Config'!$A:$A,'Scoring_Config'!$D:$D,"Yes")="Yes",_xlfn.XLOOKUP("Dst_CIDR_Le_16",'Scoring_Config'!$A:$A,'Scoring_Config'!$C:$C,25),0),0)+IF(LEFT(AH83,4)="True",IF(_xlfn.XLOOKUP("Dst_CIDR_17_22",'Scoring_Config'!$A:$A,'Scoring_Config'!$D:$D,"Yes")="Yes",_xlfn.XLOOKUP("Dst_CIDR_17_22",'Scoring_Config'!$A:$A,'Scoring_Config'!$C:$C,15),0),0)+IF(LEFT(AI83,4)="True",IF(_xlfn.XLOOKUP("SrcZone_IsAny",'Scoring_Config'!$A:$A,'Scoring_Config'!$D:$D,"Yes")="Yes",_xlfn.XLOOKUP("SrcZone_IsAny",'Scoring_Config'!$A:$A,'Scoring_Config'!$C:$C,5),0),0)+IF(LEFT(AJ83,4)="True",IF(_xlfn.XLOOKUP("DstZone_IsAny",'Scoring_Config'!$A:$A,'Scoring_Config'!$D:$D,"Yes")="Yes",_xlfn.XLOOKUP("DstZone_IsAny",'Scoring_Config'!$A:$A,'Scoring_Config'!$C:$C,5),0),0)+IF(LEFT(AK83,4)="True",IF(_xlfn.XLOOKUP("Service_Any_OR_RangeGt1000",'Scoring_Config'!$A:$A,'Scoring_Config'!$D:$D,"Yes")="Yes",_xlfn.XLOOKUP("Service_Any_OR_RangeGt1000",'Scoring_Config'!$A:$A,'Scoring_Config'!$C:$C,25),0),0)+IF(LEFT(AL83,4)="True",IF(_xlfn.XLOOKUP("App_Any_OR_RangeGt1000",'Scoring_Config'!$A:$A,'Scoring_Config'!$D:$D,"Yes")="Yes",_xlfn.XLOOKUP("App_Any_OR_RangeGt1000",'Scoring_Config'!$A:$A,'Scoring_Config'!$C:$C,25),0),0)+IF(LEFT(AM83,4)="True",IF(_xlfn.XLOOKUP("Service_Insecure_Match",'Scoring_Config'!$A:$A,'Scoring_Config'!$D:$D,"Yes")="Yes",_xlfn.XLOOKUP("Service_Insecure_Match",'Scoring_Config'!$A:$A,'Scoring_Config'!$C:$C,20),0),0)+IF(LEFT(AN83,4)="True",IF(_xlfn.XLOOKUP("Risky_Inbound",'Scoring_Config'!$A:$A,'Scoring_Config'!$D:$D,"Yes")="Yes",_xlfn.XLOOKUP("Risky_Inbound",'Scoring_Config'!$A:$A,'Scoring_Config'!$C:$C,20),0),0)+IF(LEFT(AO83,4)="True",IF(_xlfn.XLOOKUP("Risky_Outbound",'Scoring_Config'!$A:$A,'Scoring_Config'!$D:$D,"Yes")="Yes",_xlfn.XLOOKUP("Risky_Outbound",'Scoring_Config'!$A:$A,'Scoring_Config'!$C:$C,10),0),0)+IF(LEFT(AW83,4)="True",IF(_xlfn.XLOOKUP("Migrate_Insecure",'Scoring_Config'!$A:$A,'Scoring_Config'!$D:$D,"Yes")="Yes",_xlfn.XLOOKUP("Migrate_Insecure",'Scoring_Config'!$A:$A,'Scoring_Config'!$C:$C,15),0),0)+IF(LEFT(AY83,4)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83,FIND(",",AP83)+1,100)),0)+IF(LEFT(AQ83,4)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83,FIND(",",AR83)+1,100)),0)+IF(_xlfn.XLOOKUP("Profile_Scoring",'Scoring_Config'!$A:$A,'Scoring_Config'!$D:$D,"Yes")="Yes",VALUE(MID(AS83,FIND(",",AS83)+1,100)),0)+IF(_xlfn.XLOOKUP("Options_Scoring",'Scoring_Config'!$A:$A,'Scoring_Config'!$D:$D,"Yes")="Yes",VALUE(MID(AT83,FIND(",",AT83)+1,100)),0)))</f>
        <v>0</v>
      </c>
    </row>
    <row r="84" spans="1:52">
      <c r="A84" s="3" t="s">
        <v>52</v>
      </c>
      <c r="B84" s="3" t="s">
        <v>75</v>
      </c>
      <c r="C84" s="3" t="s">
        <v>329</v>
      </c>
      <c r="D84" s="3"/>
      <c r="E84" s="3" t="s">
        <v>359</v>
      </c>
      <c r="F84" s="3" t="s">
        <v>360</v>
      </c>
      <c r="G84" s="3" t="s">
        <v>365</v>
      </c>
      <c r="H84" s="3" t="s">
        <v>365</v>
      </c>
      <c r="I84" s="3" t="s">
        <v>624</v>
      </c>
      <c r="J84" s="3" t="s">
        <v>363</v>
      </c>
      <c r="K84" s="3" t="s">
        <v>393</v>
      </c>
      <c r="L84" s="3" t="s">
        <v>554</v>
      </c>
      <c r="M84" s="3" t="s">
        <v>774</v>
      </c>
      <c r="N84" s="3" t="s">
        <v>795</v>
      </c>
      <c r="O84" s="4" t="s">
        <v>812</v>
      </c>
      <c r="P84" s="3" t="s">
        <v>873</v>
      </c>
      <c r="Q84" s="3" t="s">
        <v>905</v>
      </c>
      <c r="R84" s="3" t="s">
        <v>910</v>
      </c>
      <c r="S84" s="3" t="s">
        <v>907</v>
      </c>
      <c r="T84" s="3" t="s">
        <v>969</v>
      </c>
      <c r="U84" s="3" t="s">
        <v>1195</v>
      </c>
      <c r="V84" s="3" t="s">
        <v>1388</v>
      </c>
      <c r="W84" s="3" t="s">
        <v>1447</v>
      </c>
      <c r="X84" s="3" t="s">
        <v>1688</v>
      </c>
      <c r="Y84" s="3" t="s">
        <v>2157</v>
      </c>
      <c r="Z84" s="3"/>
      <c r="AA84" s="3"/>
      <c r="AB84" s="3"/>
      <c r="AC84" s="5" cm="1">
        <f t="array" ref="AC84">IF(TRUE,"True," &amp; IF(_xlfn.XLOOKUP("Src_IsAny",'Scoring_Config'!$A:$A,'Scoring_Config'!$D:$D,"Yes")="Yes",_xlfn.XLOOKUP("Src_IsAny",'Scoring_Config'!$A:$A,'Scoring_Config'!$C:$C,25),0),"False,0")</f>
        <v>0</v>
      </c>
      <c r="AD84" s="4" cm="1">
        <f t="array" ref="AD84">IF(FALSE,"True," &amp; IF(_xlfn.XLOOKUP("Src_CIDR_Le_16",'Scoring_Config'!$A:$A,'Scoring_Config'!$D:$D,"Yes")="Yes",_xlfn.XLOOKUP("Src_CIDR_Le_16",'Scoring_Config'!$A:$A,'Scoring_Config'!$C:$C,25),0),"False,0")</f>
        <v>0</v>
      </c>
      <c r="AE84" s="4" cm="1">
        <f t="array" ref="AE84">IF(FALSE,"True," &amp; IF(_xlfn.XLOOKUP("Src_CIDR_17_22",'Scoring_Config'!$A:$A,'Scoring_Config'!$D:$D,"Yes")="Yes",_xlfn.XLOOKUP("Src_CIDR_17_22",'Scoring_Config'!$A:$A,'Scoring_Config'!$C:$C,15),0),"False,0")</f>
        <v>0</v>
      </c>
      <c r="AF84" s="4" cm="1">
        <f t="array" ref="AF84">IF(FALSE,"True," &amp; IF(_xlfn.XLOOKUP("Dst_IsAny",'Scoring_Config'!$A:$A,'Scoring_Config'!$D:$D,"Yes")="Yes",_xlfn.XLOOKUP("Dst_IsAny",'Scoring_Config'!$A:$A,'Scoring_Config'!$C:$C,25),0),"False,0")</f>
        <v>0</v>
      </c>
      <c r="AG84" s="4" cm="1">
        <f t="array" ref="AG84">IF(FALSE,"True," &amp; IF(_xlfn.XLOOKUP("Dst_CIDR_Le_16",'Scoring_Config'!$A:$A,'Scoring_Config'!$D:$D,"Yes")="Yes",_xlfn.XLOOKUP("Dst_CIDR_Le_16",'Scoring_Config'!$A:$A,'Scoring_Config'!$C:$C,25),0),"False,0")</f>
        <v>0</v>
      </c>
      <c r="AH84" s="4" cm="1">
        <f t="array" ref="AH84">IF(FALSE,"True," &amp; IF(_xlfn.XLOOKUP("Dst_CIDR_17_22",'Scoring_Config'!$A:$A,'Scoring_Config'!$D:$D,"Yes")="Yes",_xlfn.XLOOKUP("Dst_CIDR_17_22",'Scoring_Config'!$A:$A,'Scoring_Config'!$C:$C,15),0),"False,0")</f>
        <v>0</v>
      </c>
      <c r="AI84" s="4" cm="1">
        <f t="array" ref="AI84">IF(FALSE,"True," &amp; IF(_xlfn.XLOOKUP("SrcZone_IsAny",'Scoring_Config'!$A:$A,'Scoring_Config'!$D:$D,"Yes")="Yes",_xlfn.XLOOKUP("SrcZone_IsAny",'Scoring_Config'!$A:$A,'Scoring_Config'!$C:$C,5),0),"False,0")</f>
        <v>0</v>
      </c>
      <c r="AJ84" s="4" cm="1">
        <f t="array" ref="AJ84">IF(FALSE,"True," &amp; IF(_xlfn.XLOOKUP("DstZone_IsAny",'Scoring_Config'!$A:$A,'Scoring_Config'!$D:$D,"Yes")="Yes",_xlfn.XLOOKUP("DstZone_IsAny",'Scoring_Config'!$A:$A,'Scoring_Config'!$C:$C,5),0),"False,0")</f>
        <v>0</v>
      </c>
      <c r="AK84" s="4" cm="1">
        <f t="array" ref="AK8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4" s="4" cm="1">
        <f t="array" ref="AL84">IF(FALSE,"True," &amp; IF(_xlfn.XLOOKUP("App_Any_OR_RangeGt1000",'Scoring_Config'!$A:$A,'Scoring_Config'!$D:$D,"Yes")="Yes",_xlfn.XLOOKUP("App_Any_OR_RangeGt1000",'Scoring_Config'!$A:$A,'Scoring_Config'!$C:$C,25),0),"False,0")</f>
        <v>0</v>
      </c>
      <c r="AM84" s="4" cm="1">
        <f t="array" ref="AM84">IF(FALSE,"True," &amp; IF(_xlfn.XLOOKUP("Service_Insecure_Match",'Scoring_Config'!$A:$A,'Scoring_Config'!$D:$D,"Yes")="Yes",_xlfn.XLOOKUP("Service_Insecure_Match",'Scoring_Config'!$A:$A,'Scoring_Config'!$C:$C,20),0),"False,0")</f>
        <v>0</v>
      </c>
      <c r="AN84" s="4" cm="1">
        <f t="array" ref="AN84">IF(FALSE,"True," &amp; IF(_xlfn.XLOOKUP("Risky_Inbound",'Scoring_Config'!$A:$A,'Scoring_Config'!$D:$D,"Yes")="Yes",_xlfn.XLOOKUP("Risky_Inbound",'Scoring_Config'!$A:$A,'Scoring_Config'!$C:$C,20),0),"False,0")</f>
        <v>0</v>
      </c>
      <c r="AO84" s="4" cm="1">
        <f t="array" ref="AO84">IF(FALSE,"True," &amp; IF(_xlfn.XLOOKUP("Risky_Outbound",'Scoring_Config'!$A:$A,'Scoring_Config'!$D:$D,"Yes")="Yes",_xlfn.XLOOKUP("Risky_Outbound",'Scoring_Config'!$A:$A,'Scoring_Config'!$C:$C,10),0),"False,0")</f>
        <v>0</v>
      </c>
      <c r="AP84" s="5" t="s">
        <v>2595</v>
      </c>
      <c r="AQ84" s="4" cm="1">
        <f t="array" ref="AQ8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4" s="5" t="s">
        <v>2598</v>
      </c>
      <c r="AS84" s="4" t="s">
        <v>2592</v>
      </c>
      <c r="AT84" s="5" t="s">
        <v>2595</v>
      </c>
      <c r="AU84" s="4" cm="1">
        <f t="array" ref="AU84">IF(FALSE,"True," &amp; IF(_xlfn.XLOOKUP("Action_IsDenyOrDrop",'Scoring_Config'!$A:$A,'Scoring_Config'!$D:$D,"Yes")="Yes",_xlfn.XLOOKUP("Action_IsDenyOrDrop",'Scoring_Config'!$A:$A,'Scoring_Config'!$C:$C,0),0),"False,0")</f>
        <v>0</v>
      </c>
      <c r="AV84" s="4"/>
      <c r="AW84" s="4" cm="1">
        <f t="array" ref="AW84">IF(FALSE,"True," &amp; IF(_xlfn.XLOOKUP("Migrate_Insecure",'Scoring_Config'!$A:$A,'Scoring_Config'!$D:$D,"Yes")="Yes",_xlfn.XLOOKUP("Migrate_Insecure",'Scoring_Config'!$A:$A,'Scoring_Config'!$C:$C,15),0),"False,0")</f>
        <v>0</v>
      </c>
      <c r="AX84" s="4"/>
      <c r="AY84" s="4" cm="1">
        <f t="array" ref="AY84">IF(FALSE,"True," &amp; IF(_xlfn.XLOOKUP("Migrate_Other_Ports",'Scoring_Config'!$A:$A,'Scoring_Config'!$D:$D,"Yes")="Yes",_xlfn.XLOOKUP("Migrate_Other_Ports",'Scoring_Config'!$A:$A,'Scoring_Config'!$C:$C,5),0),"False,0")</f>
        <v>0</v>
      </c>
      <c r="AZ84" s="4" cm="1">
        <f t="array" ref="AZ84">IF(LEFT(AU84,4)="True",0,(IF(LEFT(AC84,4)="True",IF(_xlfn.XLOOKUP("Src_IsAny",'Scoring_Config'!$A:$A,'Scoring_Config'!$D:$D,"Yes")="Yes",_xlfn.XLOOKUP("Src_IsAny",'Scoring_Config'!$A:$A,'Scoring_Config'!$C:$C,25),0),0)+IF(LEFT(AD84,4)="True",IF(_xlfn.XLOOKUP("Src_CIDR_Le_16",'Scoring_Config'!$A:$A,'Scoring_Config'!$D:$D,"Yes")="Yes",_xlfn.XLOOKUP("Src_CIDR_Le_16",'Scoring_Config'!$A:$A,'Scoring_Config'!$C:$C,25),0),0)+IF(LEFT(AE84,4)="True",IF(_xlfn.XLOOKUP("Src_CIDR_17_22",'Scoring_Config'!$A:$A,'Scoring_Config'!$D:$D,"Yes")="Yes",_xlfn.XLOOKUP("Src_CIDR_17_22",'Scoring_Config'!$A:$A,'Scoring_Config'!$C:$C,15),0),0)+IF(LEFT(AF84,4)="True",IF(_xlfn.XLOOKUP("Dst_IsAny",'Scoring_Config'!$A:$A,'Scoring_Config'!$D:$D,"Yes")="Yes",_xlfn.XLOOKUP("Dst_IsAny",'Scoring_Config'!$A:$A,'Scoring_Config'!$C:$C,25),0),0)+IF(LEFT(AG84,4)="True",IF(_xlfn.XLOOKUP("Dst_CIDR_Le_16",'Scoring_Config'!$A:$A,'Scoring_Config'!$D:$D,"Yes")="Yes",_xlfn.XLOOKUP("Dst_CIDR_Le_16",'Scoring_Config'!$A:$A,'Scoring_Config'!$C:$C,25),0),0)+IF(LEFT(AH84,4)="True",IF(_xlfn.XLOOKUP("Dst_CIDR_17_22",'Scoring_Config'!$A:$A,'Scoring_Config'!$D:$D,"Yes")="Yes",_xlfn.XLOOKUP("Dst_CIDR_17_22",'Scoring_Config'!$A:$A,'Scoring_Config'!$C:$C,15),0),0)+IF(LEFT(AI84,4)="True",IF(_xlfn.XLOOKUP("SrcZone_IsAny",'Scoring_Config'!$A:$A,'Scoring_Config'!$D:$D,"Yes")="Yes",_xlfn.XLOOKUP("SrcZone_IsAny",'Scoring_Config'!$A:$A,'Scoring_Config'!$C:$C,5),0),0)+IF(LEFT(AJ84,4)="True",IF(_xlfn.XLOOKUP("DstZone_IsAny",'Scoring_Config'!$A:$A,'Scoring_Config'!$D:$D,"Yes")="Yes",_xlfn.XLOOKUP("DstZone_IsAny",'Scoring_Config'!$A:$A,'Scoring_Config'!$C:$C,5),0),0)+IF(LEFT(AK84,4)="True",IF(_xlfn.XLOOKUP("Service_Any_OR_RangeGt1000",'Scoring_Config'!$A:$A,'Scoring_Config'!$D:$D,"Yes")="Yes",_xlfn.XLOOKUP("Service_Any_OR_RangeGt1000",'Scoring_Config'!$A:$A,'Scoring_Config'!$C:$C,25),0),0)+IF(LEFT(AL84,4)="True",IF(_xlfn.XLOOKUP("App_Any_OR_RangeGt1000",'Scoring_Config'!$A:$A,'Scoring_Config'!$D:$D,"Yes")="Yes",_xlfn.XLOOKUP("App_Any_OR_RangeGt1000",'Scoring_Config'!$A:$A,'Scoring_Config'!$C:$C,25),0),0)+IF(LEFT(AM84,4)="True",IF(_xlfn.XLOOKUP("Service_Insecure_Match",'Scoring_Config'!$A:$A,'Scoring_Config'!$D:$D,"Yes")="Yes",_xlfn.XLOOKUP("Service_Insecure_Match",'Scoring_Config'!$A:$A,'Scoring_Config'!$C:$C,20),0),0)+IF(LEFT(AN84,4)="True",IF(_xlfn.XLOOKUP("Risky_Inbound",'Scoring_Config'!$A:$A,'Scoring_Config'!$D:$D,"Yes")="Yes",_xlfn.XLOOKUP("Risky_Inbound",'Scoring_Config'!$A:$A,'Scoring_Config'!$C:$C,20),0),0)+IF(LEFT(AO84,4)="True",IF(_xlfn.XLOOKUP("Risky_Outbound",'Scoring_Config'!$A:$A,'Scoring_Config'!$D:$D,"Yes")="Yes",_xlfn.XLOOKUP("Risky_Outbound",'Scoring_Config'!$A:$A,'Scoring_Config'!$C:$C,10),0),0)+IF(LEFT(AW84,4)="True",IF(_xlfn.XLOOKUP("Migrate_Insecure",'Scoring_Config'!$A:$A,'Scoring_Config'!$D:$D,"Yes")="Yes",_xlfn.XLOOKUP("Migrate_Insecure",'Scoring_Config'!$A:$A,'Scoring_Config'!$C:$C,15),0),0)+IF(LEFT(AY84,4)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84,FIND(",",AP84)+1,100)),0)+IF(LEFT(AQ84,4)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84,FIND(",",AR84)+1,100)),0)+IF(_xlfn.XLOOKUP("Profile_Scoring",'Scoring_Config'!$A:$A,'Scoring_Config'!$D:$D,"Yes")="Yes",VALUE(MID(AS84,FIND(",",AS84)+1,100)),0)+IF(_xlfn.XLOOKUP("Options_Scoring",'Scoring_Config'!$A:$A,'Scoring_Config'!$D:$D,"Yes")="Yes",VALUE(MID(AT84,FIND(",",AT84)+1,100)),0)))</f>
        <v>0</v>
      </c>
    </row>
    <row r="85" spans="1:52">
      <c r="A85" s="3" t="s">
        <v>52</v>
      </c>
      <c r="B85" s="3" t="s">
        <v>126</v>
      </c>
      <c r="C85" s="3" t="s">
        <v>329</v>
      </c>
      <c r="D85" s="3"/>
      <c r="E85" s="3" t="s">
        <v>359</v>
      </c>
      <c r="F85" s="3" t="s">
        <v>362</v>
      </c>
      <c r="G85" s="3" t="s">
        <v>394</v>
      </c>
      <c r="H85" s="3" t="s">
        <v>555</v>
      </c>
      <c r="I85" s="3" t="s">
        <v>625</v>
      </c>
      <c r="J85" s="3" t="s">
        <v>362</v>
      </c>
      <c r="K85" s="3" t="s">
        <v>637</v>
      </c>
      <c r="L85" s="3" t="s">
        <v>637</v>
      </c>
      <c r="M85" s="3" t="s">
        <v>768</v>
      </c>
      <c r="N85" s="3" t="s">
        <v>791</v>
      </c>
      <c r="O85" s="4" t="s">
        <v>805</v>
      </c>
      <c r="P85" s="3" t="s">
        <v>866</v>
      </c>
      <c r="Q85" s="3" t="s">
        <v>905</v>
      </c>
      <c r="R85" s="3" t="s">
        <v>910</v>
      </c>
      <c r="S85" s="3" t="s">
        <v>916</v>
      </c>
      <c r="T85" s="3" t="s">
        <v>970</v>
      </c>
      <c r="U85" s="3" t="s">
        <v>1196</v>
      </c>
      <c r="V85" s="3" t="s">
        <v>789</v>
      </c>
      <c r="W85" s="3" t="s">
        <v>1448</v>
      </c>
      <c r="X85" s="3" t="s">
        <v>1689</v>
      </c>
      <c r="Y85" s="3" t="s">
        <v>2158</v>
      </c>
      <c r="Z85" s="3"/>
      <c r="AA85" s="3"/>
      <c r="AB85" s="3"/>
      <c r="AC85" s="5" cm="1">
        <f t="array" ref="AC85">IF(TRUE,"True," &amp; IF(_xlfn.XLOOKUP("Src_IsAny",'Scoring_Config'!$A:$A,'Scoring_Config'!$D:$D,"Yes")="Yes",_xlfn.XLOOKUP("Src_IsAny",'Scoring_Config'!$A:$A,'Scoring_Config'!$C:$C,25),0),"False,0")</f>
        <v>0</v>
      </c>
      <c r="AD85" s="4" cm="1">
        <f t="array" ref="AD85">IF(FALSE,"True," &amp; IF(_xlfn.XLOOKUP("Src_CIDR_Le_16",'Scoring_Config'!$A:$A,'Scoring_Config'!$D:$D,"Yes")="Yes",_xlfn.XLOOKUP("Src_CIDR_Le_16",'Scoring_Config'!$A:$A,'Scoring_Config'!$C:$C,25),0),"False,0")</f>
        <v>0</v>
      </c>
      <c r="AE85" s="4" cm="1">
        <f t="array" ref="AE85">IF(FALSE,"True," &amp; IF(_xlfn.XLOOKUP("Src_CIDR_17_22",'Scoring_Config'!$A:$A,'Scoring_Config'!$D:$D,"Yes")="Yes",_xlfn.XLOOKUP("Src_CIDR_17_22",'Scoring_Config'!$A:$A,'Scoring_Config'!$C:$C,15),0),"False,0")</f>
        <v>0</v>
      </c>
      <c r="AF85" s="4" cm="1">
        <f t="array" ref="AF85">IF(FALSE,"True," &amp; IF(_xlfn.XLOOKUP("Dst_IsAny",'Scoring_Config'!$A:$A,'Scoring_Config'!$D:$D,"Yes")="Yes",_xlfn.XLOOKUP("Dst_IsAny",'Scoring_Config'!$A:$A,'Scoring_Config'!$C:$C,25),0),"False,0")</f>
        <v>0</v>
      </c>
      <c r="AG85" s="4" cm="1">
        <f t="array" ref="AG85">IF(FALSE,"True," &amp; IF(_xlfn.XLOOKUP("Dst_CIDR_Le_16",'Scoring_Config'!$A:$A,'Scoring_Config'!$D:$D,"Yes")="Yes",_xlfn.XLOOKUP("Dst_CIDR_Le_16",'Scoring_Config'!$A:$A,'Scoring_Config'!$C:$C,25),0),"False,0")</f>
        <v>0</v>
      </c>
      <c r="AH85" s="4" cm="1">
        <f t="array" ref="AH85">IF(FALSE,"True," &amp; IF(_xlfn.XLOOKUP("Dst_CIDR_17_22",'Scoring_Config'!$A:$A,'Scoring_Config'!$D:$D,"Yes")="Yes",_xlfn.XLOOKUP("Dst_CIDR_17_22",'Scoring_Config'!$A:$A,'Scoring_Config'!$C:$C,15),0),"False,0")</f>
        <v>0</v>
      </c>
      <c r="AI85" s="4" cm="1">
        <f t="array" ref="AI85">IF(FALSE,"True," &amp; IF(_xlfn.XLOOKUP("SrcZone_IsAny",'Scoring_Config'!$A:$A,'Scoring_Config'!$D:$D,"Yes")="Yes",_xlfn.XLOOKUP("SrcZone_IsAny",'Scoring_Config'!$A:$A,'Scoring_Config'!$C:$C,5),0),"False,0")</f>
        <v>0</v>
      </c>
      <c r="AJ85" s="4" cm="1">
        <f t="array" ref="AJ85">IF(FALSE,"True," &amp; IF(_xlfn.XLOOKUP("DstZone_IsAny",'Scoring_Config'!$A:$A,'Scoring_Config'!$D:$D,"Yes")="Yes",_xlfn.XLOOKUP("DstZone_IsAny",'Scoring_Config'!$A:$A,'Scoring_Config'!$C:$C,5),0),"False,0")</f>
        <v>0</v>
      </c>
      <c r="AK85" s="4" cm="1">
        <f t="array" ref="AK8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5" s="5" cm="1">
        <f t="array" ref="AL85">IF(TRUE,"True," &amp; IF(_xlfn.XLOOKUP("App_Any_OR_RangeGt1000",'Scoring_Config'!$A:$A,'Scoring_Config'!$D:$D,"Yes")="Yes",_xlfn.XLOOKUP("App_Any_OR_RangeGt1000",'Scoring_Config'!$A:$A,'Scoring_Config'!$C:$C,25),0),"False,0")</f>
        <v>0</v>
      </c>
      <c r="AM85" s="5" cm="1">
        <f t="array" ref="AM85">IF(TRUE,"True," &amp; IF(_xlfn.XLOOKUP("Service_Insecure_Match",'Scoring_Config'!$A:$A,'Scoring_Config'!$D:$D,"Yes")="Yes",_xlfn.XLOOKUP("Service_Insecure_Match",'Scoring_Config'!$A:$A,'Scoring_Config'!$C:$C,20),0),"False,0")</f>
        <v>0</v>
      </c>
      <c r="AN85" s="4" cm="1">
        <f t="array" ref="AN85">IF(FALSE,"True," &amp; IF(_xlfn.XLOOKUP("Risky_Inbound",'Scoring_Config'!$A:$A,'Scoring_Config'!$D:$D,"Yes")="Yes",_xlfn.XLOOKUP("Risky_Inbound",'Scoring_Config'!$A:$A,'Scoring_Config'!$C:$C,20),0),"False,0")</f>
        <v>0</v>
      </c>
      <c r="AO85" s="4" cm="1">
        <f t="array" ref="AO85">IF(FALSE,"True," &amp; IF(_xlfn.XLOOKUP("Risky_Outbound",'Scoring_Config'!$A:$A,'Scoring_Config'!$D:$D,"Yes")="Yes",_xlfn.XLOOKUP("Risky_Outbound",'Scoring_Config'!$A:$A,'Scoring_Config'!$C:$C,10),0),"False,0")</f>
        <v>0</v>
      </c>
      <c r="AP85" s="5" t="s">
        <v>2595</v>
      </c>
      <c r="AQ85" s="4" cm="1">
        <f t="array" ref="AQ8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5" s="5" t="s">
        <v>2598</v>
      </c>
      <c r="AS85" s="4" t="s">
        <v>2592</v>
      </c>
      <c r="AT85" s="4" t="s">
        <v>2592</v>
      </c>
      <c r="AU85" s="4" cm="1">
        <f t="array" ref="AU85">IF(FALSE,"True," &amp; IF(_xlfn.XLOOKUP("Action_IsDenyOrDrop",'Scoring_Config'!$A:$A,'Scoring_Config'!$D:$D,"Yes")="Yes",_xlfn.XLOOKUP("Action_IsDenyOrDrop",'Scoring_Config'!$A:$A,'Scoring_Config'!$C:$C,0),0),"False,0")</f>
        <v>0</v>
      </c>
      <c r="AV85" s="4"/>
      <c r="AW85" s="4" cm="1">
        <f t="array" ref="AW85">IF(FALSE,"True," &amp; IF(_xlfn.XLOOKUP("Migrate_Insecure",'Scoring_Config'!$A:$A,'Scoring_Config'!$D:$D,"Yes")="Yes",_xlfn.XLOOKUP("Migrate_Insecure",'Scoring_Config'!$A:$A,'Scoring_Config'!$C:$C,15),0),"False,0")</f>
        <v>0</v>
      </c>
      <c r="AX85" s="4"/>
      <c r="AY85" s="4" cm="1">
        <f t="array" ref="AY85">IF(FALSE,"True," &amp; IF(_xlfn.XLOOKUP("Migrate_Other_Ports",'Scoring_Config'!$A:$A,'Scoring_Config'!$D:$D,"Yes")="Yes",_xlfn.XLOOKUP("Migrate_Other_Ports",'Scoring_Config'!$A:$A,'Scoring_Config'!$C:$C,5),0),"False,0")</f>
        <v>0</v>
      </c>
      <c r="AZ85" s="4" cm="1">
        <f t="array" ref="AZ85">IF(LEFT(AU85,4)="True",0,(IF(LEFT(AC85,4)="True",IF(_xlfn.XLOOKUP("Src_IsAny",'Scoring_Config'!$A:$A,'Scoring_Config'!$D:$D,"Yes")="Yes",_xlfn.XLOOKUP("Src_IsAny",'Scoring_Config'!$A:$A,'Scoring_Config'!$C:$C,25),0),0)+IF(LEFT(AD85,4)="True",IF(_xlfn.XLOOKUP("Src_CIDR_Le_16",'Scoring_Config'!$A:$A,'Scoring_Config'!$D:$D,"Yes")="Yes",_xlfn.XLOOKUP("Src_CIDR_Le_16",'Scoring_Config'!$A:$A,'Scoring_Config'!$C:$C,25),0),0)+IF(LEFT(AE85,4)="True",IF(_xlfn.XLOOKUP("Src_CIDR_17_22",'Scoring_Config'!$A:$A,'Scoring_Config'!$D:$D,"Yes")="Yes",_xlfn.XLOOKUP("Src_CIDR_17_22",'Scoring_Config'!$A:$A,'Scoring_Config'!$C:$C,15),0),0)+IF(LEFT(AF85,4)="True",IF(_xlfn.XLOOKUP("Dst_IsAny",'Scoring_Config'!$A:$A,'Scoring_Config'!$D:$D,"Yes")="Yes",_xlfn.XLOOKUP("Dst_IsAny",'Scoring_Config'!$A:$A,'Scoring_Config'!$C:$C,25),0),0)+IF(LEFT(AG85,4)="True",IF(_xlfn.XLOOKUP("Dst_CIDR_Le_16",'Scoring_Config'!$A:$A,'Scoring_Config'!$D:$D,"Yes")="Yes",_xlfn.XLOOKUP("Dst_CIDR_Le_16",'Scoring_Config'!$A:$A,'Scoring_Config'!$C:$C,25),0),0)+IF(LEFT(AH85,4)="True",IF(_xlfn.XLOOKUP("Dst_CIDR_17_22",'Scoring_Config'!$A:$A,'Scoring_Config'!$D:$D,"Yes")="Yes",_xlfn.XLOOKUP("Dst_CIDR_17_22",'Scoring_Config'!$A:$A,'Scoring_Config'!$C:$C,15),0),0)+IF(LEFT(AI85,4)="True",IF(_xlfn.XLOOKUP("SrcZone_IsAny",'Scoring_Config'!$A:$A,'Scoring_Config'!$D:$D,"Yes")="Yes",_xlfn.XLOOKUP("SrcZone_IsAny",'Scoring_Config'!$A:$A,'Scoring_Config'!$C:$C,5),0),0)+IF(LEFT(AJ85,4)="True",IF(_xlfn.XLOOKUP("DstZone_IsAny",'Scoring_Config'!$A:$A,'Scoring_Config'!$D:$D,"Yes")="Yes",_xlfn.XLOOKUP("DstZone_IsAny",'Scoring_Config'!$A:$A,'Scoring_Config'!$C:$C,5),0),0)+IF(LEFT(AK85,4)="True",IF(_xlfn.XLOOKUP("Service_Any_OR_RangeGt1000",'Scoring_Config'!$A:$A,'Scoring_Config'!$D:$D,"Yes")="Yes",_xlfn.XLOOKUP("Service_Any_OR_RangeGt1000",'Scoring_Config'!$A:$A,'Scoring_Config'!$C:$C,25),0),0)+IF(LEFT(AL85,4)="True",IF(_xlfn.XLOOKUP("App_Any_OR_RangeGt1000",'Scoring_Config'!$A:$A,'Scoring_Config'!$D:$D,"Yes")="Yes",_xlfn.XLOOKUP("App_Any_OR_RangeGt1000",'Scoring_Config'!$A:$A,'Scoring_Config'!$C:$C,25),0),0)+IF(LEFT(AM85,4)="True",IF(_xlfn.XLOOKUP("Service_Insecure_Match",'Scoring_Config'!$A:$A,'Scoring_Config'!$D:$D,"Yes")="Yes",_xlfn.XLOOKUP("Service_Insecure_Match",'Scoring_Config'!$A:$A,'Scoring_Config'!$C:$C,20),0),0)+IF(LEFT(AN85,4)="True",IF(_xlfn.XLOOKUP("Risky_Inbound",'Scoring_Config'!$A:$A,'Scoring_Config'!$D:$D,"Yes")="Yes",_xlfn.XLOOKUP("Risky_Inbound",'Scoring_Config'!$A:$A,'Scoring_Config'!$C:$C,20),0),0)+IF(LEFT(AO85,4)="True",IF(_xlfn.XLOOKUP("Risky_Outbound",'Scoring_Config'!$A:$A,'Scoring_Config'!$D:$D,"Yes")="Yes",_xlfn.XLOOKUP("Risky_Outbound",'Scoring_Config'!$A:$A,'Scoring_Config'!$C:$C,10),0),0)+IF(LEFT(AW85,4)="True",IF(_xlfn.XLOOKUP("Migrate_Insecure",'Scoring_Config'!$A:$A,'Scoring_Config'!$D:$D,"Yes")="Yes",_xlfn.XLOOKUP("Migrate_Insecure",'Scoring_Config'!$A:$A,'Scoring_Config'!$C:$C,15),0),0)+IF(LEFT(AY85,4)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85,FIND(",",AP85)+1,100)),0)+IF(LEFT(AQ85,4)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85,FIND(",",AR85)+1,100)),0)+IF(_xlfn.XLOOKUP("Profile_Scoring",'Scoring_Config'!$A:$A,'Scoring_Config'!$D:$D,"Yes")="Yes",VALUE(MID(AS85,FIND(",",AS85)+1,100)),0)+IF(_xlfn.XLOOKUP("Options_Scoring",'Scoring_Config'!$A:$A,'Scoring_Config'!$D:$D,"Yes")="Yes",VALUE(MID(AT85,FIND(",",AT85)+1,100)),0)))</f>
        <v>0</v>
      </c>
    </row>
    <row r="86" spans="1:52">
      <c r="A86" s="3" t="s">
        <v>52</v>
      </c>
      <c r="B86" s="3" t="s">
        <v>63</v>
      </c>
      <c r="C86" s="3" t="s">
        <v>329</v>
      </c>
      <c r="D86" s="3"/>
      <c r="E86" s="3" t="s">
        <v>359</v>
      </c>
      <c r="F86" s="3" t="s">
        <v>360</v>
      </c>
      <c r="G86" s="3" t="s">
        <v>395</v>
      </c>
      <c r="H86" s="3" t="s">
        <v>395</v>
      </c>
      <c r="I86" s="3" t="s">
        <v>623</v>
      </c>
      <c r="J86" s="3" t="s">
        <v>363</v>
      </c>
      <c r="K86" s="3" t="s">
        <v>405</v>
      </c>
      <c r="L86" s="3" t="s">
        <v>561</v>
      </c>
      <c r="M86" s="3" t="s">
        <v>769</v>
      </c>
      <c r="N86" s="3" t="s">
        <v>792</v>
      </c>
      <c r="O86" s="4" t="s">
        <v>815</v>
      </c>
      <c r="P86" s="3" t="s">
        <v>876</v>
      </c>
      <c r="Q86" s="3" t="s">
        <v>905</v>
      </c>
      <c r="R86" s="3" t="s">
        <v>910</v>
      </c>
      <c r="S86" s="3" t="s">
        <v>914</v>
      </c>
      <c r="T86" s="3" t="s">
        <v>971</v>
      </c>
      <c r="U86" s="3" t="s">
        <v>1197</v>
      </c>
      <c r="V86" s="3" t="s">
        <v>770</v>
      </c>
      <c r="W86" s="3" t="s">
        <v>1403</v>
      </c>
      <c r="X86" s="3" t="s">
        <v>1690</v>
      </c>
      <c r="Y86" s="3" t="s">
        <v>2159</v>
      </c>
      <c r="Z86" s="3"/>
      <c r="AA86" s="3"/>
      <c r="AB86" s="3"/>
      <c r="AC86" s="4" cm="1">
        <f t="array" ref="AC86">IF(FALSE,"True," &amp; IF(_xlfn.XLOOKUP("Src_IsAny",'Scoring_Config'!$A:$A,'Scoring_Config'!$D:$D,"Yes")="Yes",_xlfn.XLOOKUP("Src_IsAny",'Scoring_Config'!$A:$A,'Scoring_Config'!$C:$C,25),0),"False,0")</f>
        <v>0</v>
      </c>
      <c r="AD86" s="4" cm="1">
        <f t="array" ref="AD86">IF(FALSE,"True," &amp; IF(_xlfn.XLOOKUP("Src_CIDR_Le_16",'Scoring_Config'!$A:$A,'Scoring_Config'!$D:$D,"Yes")="Yes",_xlfn.XLOOKUP("Src_CIDR_Le_16",'Scoring_Config'!$A:$A,'Scoring_Config'!$C:$C,25),0),"False,0")</f>
        <v>0</v>
      </c>
      <c r="AE86" s="4" cm="1">
        <f t="array" ref="AE86">IF(FALSE,"True," &amp; IF(_xlfn.XLOOKUP("Src_CIDR_17_22",'Scoring_Config'!$A:$A,'Scoring_Config'!$D:$D,"Yes")="Yes",_xlfn.XLOOKUP("Src_CIDR_17_22",'Scoring_Config'!$A:$A,'Scoring_Config'!$C:$C,15),0),"False,0")</f>
        <v>0</v>
      </c>
      <c r="AF86" s="4" cm="1">
        <f t="array" ref="AF86">IF(FALSE,"True," &amp; IF(_xlfn.XLOOKUP("Dst_IsAny",'Scoring_Config'!$A:$A,'Scoring_Config'!$D:$D,"Yes")="Yes",_xlfn.XLOOKUP("Dst_IsAny",'Scoring_Config'!$A:$A,'Scoring_Config'!$C:$C,25),0),"False,0")</f>
        <v>0</v>
      </c>
      <c r="AG86" s="4" cm="1">
        <f t="array" ref="AG86">IF(FALSE,"True," &amp; IF(_xlfn.XLOOKUP("Dst_CIDR_Le_16",'Scoring_Config'!$A:$A,'Scoring_Config'!$D:$D,"Yes")="Yes",_xlfn.XLOOKUP("Dst_CIDR_Le_16",'Scoring_Config'!$A:$A,'Scoring_Config'!$C:$C,25),0),"False,0")</f>
        <v>0</v>
      </c>
      <c r="AH86" s="4" cm="1">
        <f t="array" ref="AH86">IF(FALSE,"True," &amp; IF(_xlfn.XLOOKUP("Dst_CIDR_17_22",'Scoring_Config'!$A:$A,'Scoring_Config'!$D:$D,"Yes")="Yes",_xlfn.XLOOKUP("Dst_CIDR_17_22",'Scoring_Config'!$A:$A,'Scoring_Config'!$C:$C,15),0),"False,0")</f>
        <v>0</v>
      </c>
      <c r="AI86" s="4" cm="1">
        <f t="array" ref="AI86">IF(FALSE,"True," &amp; IF(_xlfn.XLOOKUP("SrcZone_IsAny",'Scoring_Config'!$A:$A,'Scoring_Config'!$D:$D,"Yes")="Yes",_xlfn.XLOOKUP("SrcZone_IsAny",'Scoring_Config'!$A:$A,'Scoring_Config'!$C:$C,5),0),"False,0")</f>
        <v>0</v>
      </c>
      <c r="AJ86" s="4" cm="1">
        <f t="array" ref="AJ86">IF(FALSE,"True," &amp; IF(_xlfn.XLOOKUP("DstZone_IsAny",'Scoring_Config'!$A:$A,'Scoring_Config'!$D:$D,"Yes")="Yes",_xlfn.XLOOKUP("DstZone_IsAny",'Scoring_Config'!$A:$A,'Scoring_Config'!$C:$C,5),0),"False,0")</f>
        <v>0</v>
      </c>
      <c r="AK86" s="4" cm="1">
        <f t="array" ref="AK8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6" s="4" cm="1">
        <f t="array" ref="AL86">IF(FALSE,"True," &amp; IF(_xlfn.XLOOKUP("App_Any_OR_RangeGt1000",'Scoring_Config'!$A:$A,'Scoring_Config'!$D:$D,"Yes")="Yes",_xlfn.XLOOKUP("App_Any_OR_RangeGt1000",'Scoring_Config'!$A:$A,'Scoring_Config'!$C:$C,25),0),"False,0")</f>
        <v>0</v>
      </c>
      <c r="AM86" s="4" cm="1">
        <f t="array" ref="AM86">IF(FALSE,"True," &amp; IF(_xlfn.XLOOKUP("Service_Insecure_Match",'Scoring_Config'!$A:$A,'Scoring_Config'!$D:$D,"Yes")="Yes",_xlfn.XLOOKUP("Service_Insecure_Match",'Scoring_Config'!$A:$A,'Scoring_Config'!$C:$C,20),0),"False,0")</f>
        <v>0</v>
      </c>
      <c r="AN86" s="4" cm="1">
        <f t="array" ref="AN86">IF(FALSE,"True," &amp; IF(_xlfn.XLOOKUP("Risky_Inbound",'Scoring_Config'!$A:$A,'Scoring_Config'!$D:$D,"Yes")="Yes",_xlfn.XLOOKUP("Risky_Inbound",'Scoring_Config'!$A:$A,'Scoring_Config'!$C:$C,20),0),"False,0")</f>
        <v>0</v>
      </c>
      <c r="AO86" s="4" cm="1">
        <f t="array" ref="AO86">IF(FALSE,"True," &amp; IF(_xlfn.XLOOKUP("Risky_Outbound",'Scoring_Config'!$A:$A,'Scoring_Config'!$D:$D,"Yes")="Yes",_xlfn.XLOOKUP("Risky_Outbound",'Scoring_Config'!$A:$A,'Scoring_Config'!$C:$C,10),0),"False,0")</f>
        <v>0</v>
      </c>
      <c r="AP86" s="5" t="s">
        <v>2595</v>
      </c>
      <c r="AQ86" s="4" cm="1">
        <f t="array" ref="AQ8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6" s="5" t="s">
        <v>2598</v>
      </c>
      <c r="AS86" s="4" t="s">
        <v>2592</v>
      </c>
      <c r="AT86" s="4" t="s">
        <v>2592</v>
      </c>
      <c r="AU86" s="4" cm="1">
        <f t="array" ref="AU86">IF(FALSE,"True," &amp; IF(_xlfn.XLOOKUP("Action_IsDenyOrDrop",'Scoring_Config'!$A:$A,'Scoring_Config'!$D:$D,"Yes")="Yes",_xlfn.XLOOKUP("Action_IsDenyOrDrop",'Scoring_Config'!$A:$A,'Scoring_Config'!$C:$C,0),0),"False,0")</f>
        <v>0</v>
      </c>
      <c r="AV86" s="4"/>
      <c r="AW86" s="4" cm="1">
        <f t="array" ref="AW86">IF(FALSE,"True," &amp; IF(_xlfn.XLOOKUP("Migrate_Insecure",'Scoring_Config'!$A:$A,'Scoring_Config'!$D:$D,"Yes")="Yes",_xlfn.XLOOKUP("Migrate_Insecure",'Scoring_Config'!$A:$A,'Scoring_Config'!$C:$C,15),0),"False,0")</f>
        <v>0</v>
      </c>
      <c r="AX86" s="4"/>
      <c r="AY86" s="4" cm="1">
        <f t="array" ref="AY86">IF(FALSE,"True," &amp; IF(_xlfn.XLOOKUP("Migrate_Other_Ports",'Scoring_Config'!$A:$A,'Scoring_Config'!$D:$D,"Yes")="Yes",_xlfn.XLOOKUP("Migrate_Other_Ports",'Scoring_Config'!$A:$A,'Scoring_Config'!$C:$C,5),0),"False,0")</f>
        <v>0</v>
      </c>
      <c r="AZ86" s="4" cm="1">
        <f t="array" ref="AZ86">IF(LEFT(AU86,4)="True",0,(IF(LEFT(AC86,4)="True",IF(_xlfn.XLOOKUP("Src_IsAny",'Scoring_Config'!$A:$A,'Scoring_Config'!$D:$D,"Yes")="Yes",_xlfn.XLOOKUP("Src_IsAny",'Scoring_Config'!$A:$A,'Scoring_Config'!$C:$C,25),0),0)+IF(LEFT(AD86,4)="True",IF(_xlfn.XLOOKUP("Src_CIDR_Le_16",'Scoring_Config'!$A:$A,'Scoring_Config'!$D:$D,"Yes")="Yes",_xlfn.XLOOKUP("Src_CIDR_Le_16",'Scoring_Config'!$A:$A,'Scoring_Config'!$C:$C,25),0),0)+IF(LEFT(AE86,4)="True",IF(_xlfn.XLOOKUP("Src_CIDR_17_22",'Scoring_Config'!$A:$A,'Scoring_Config'!$D:$D,"Yes")="Yes",_xlfn.XLOOKUP("Src_CIDR_17_22",'Scoring_Config'!$A:$A,'Scoring_Config'!$C:$C,15),0),0)+IF(LEFT(AF86,4)="True",IF(_xlfn.XLOOKUP("Dst_IsAny",'Scoring_Config'!$A:$A,'Scoring_Config'!$D:$D,"Yes")="Yes",_xlfn.XLOOKUP("Dst_IsAny",'Scoring_Config'!$A:$A,'Scoring_Config'!$C:$C,25),0),0)+IF(LEFT(AG86,4)="True",IF(_xlfn.XLOOKUP("Dst_CIDR_Le_16",'Scoring_Config'!$A:$A,'Scoring_Config'!$D:$D,"Yes")="Yes",_xlfn.XLOOKUP("Dst_CIDR_Le_16",'Scoring_Config'!$A:$A,'Scoring_Config'!$C:$C,25),0),0)+IF(LEFT(AH86,4)="True",IF(_xlfn.XLOOKUP("Dst_CIDR_17_22",'Scoring_Config'!$A:$A,'Scoring_Config'!$D:$D,"Yes")="Yes",_xlfn.XLOOKUP("Dst_CIDR_17_22",'Scoring_Config'!$A:$A,'Scoring_Config'!$C:$C,15),0),0)+IF(LEFT(AI86,4)="True",IF(_xlfn.XLOOKUP("SrcZone_IsAny",'Scoring_Config'!$A:$A,'Scoring_Config'!$D:$D,"Yes")="Yes",_xlfn.XLOOKUP("SrcZone_IsAny",'Scoring_Config'!$A:$A,'Scoring_Config'!$C:$C,5),0),0)+IF(LEFT(AJ86,4)="True",IF(_xlfn.XLOOKUP("DstZone_IsAny",'Scoring_Config'!$A:$A,'Scoring_Config'!$D:$D,"Yes")="Yes",_xlfn.XLOOKUP("DstZone_IsAny",'Scoring_Config'!$A:$A,'Scoring_Config'!$C:$C,5),0),0)+IF(LEFT(AK86,4)="True",IF(_xlfn.XLOOKUP("Service_Any_OR_RangeGt1000",'Scoring_Config'!$A:$A,'Scoring_Config'!$D:$D,"Yes")="Yes",_xlfn.XLOOKUP("Service_Any_OR_RangeGt1000",'Scoring_Config'!$A:$A,'Scoring_Config'!$C:$C,25),0),0)+IF(LEFT(AL86,4)="True",IF(_xlfn.XLOOKUP("App_Any_OR_RangeGt1000",'Scoring_Config'!$A:$A,'Scoring_Config'!$D:$D,"Yes")="Yes",_xlfn.XLOOKUP("App_Any_OR_RangeGt1000",'Scoring_Config'!$A:$A,'Scoring_Config'!$C:$C,25),0),0)+IF(LEFT(AM86,4)="True",IF(_xlfn.XLOOKUP("Service_Insecure_Match",'Scoring_Config'!$A:$A,'Scoring_Config'!$D:$D,"Yes")="Yes",_xlfn.XLOOKUP("Service_Insecure_Match",'Scoring_Config'!$A:$A,'Scoring_Config'!$C:$C,20),0),0)+IF(LEFT(AN86,4)="True",IF(_xlfn.XLOOKUP("Risky_Inbound",'Scoring_Config'!$A:$A,'Scoring_Config'!$D:$D,"Yes")="Yes",_xlfn.XLOOKUP("Risky_Inbound",'Scoring_Config'!$A:$A,'Scoring_Config'!$C:$C,20),0),0)+IF(LEFT(AO86,4)="True",IF(_xlfn.XLOOKUP("Risky_Outbound",'Scoring_Config'!$A:$A,'Scoring_Config'!$D:$D,"Yes")="Yes",_xlfn.XLOOKUP("Risky_Outbound",'Scoring_Config'!$A:$A,'Scoring_Config'!$C:$C,10),0),0)+IF(LEFT(AW86,4)="True",IF(_xlfn.XLOOKUP("Migrate_Insecure",'Scoring_Config'!$A:$A,'Scoring_Config'!$D:$D,"Yes")="Yes",_xlfn.XLOOKUP("Migrate_Insecure",'Scoring_Config'!$A:$A,'Scoring_Config'!$C:$C,15),0),0)+IF(LEFT(AY86,4)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86,FIND(",",AP86)+1,100)),0)+IF(LEFT(AQ86,4)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86,FIND(",",AR86)+1,100)),0)+IF(_xlfn.XLOOKUP("Profile_Scoring",'Scoring_Config'!$A:$A,'Scoring_Config'!$D:$D,"Yes")="Yes",VALUE(MID(AS86,FIND(",",AS86)+1,100)),0)+IF(_xlfn.XLOOKUP("Options_Scoring",'Scoring_Config'!$A:$A,'Scoring_Config'!$D:$D,"Yes")="Yes",VALUE(MID(AT86,FIND(",",AT86)+1,100)),0)))</f>
        <v>0</v>
      </c>
    </row>
    <row r="87" spans="1:52">
      <c r="A87" s="3" t="s">
        <v>52</v>
      </c>
      <c r="B87" s="3" t="s">
        <v>127</v>
      </c>
      <c r="C87" s="3" t="s">
        <v>329</v>
      </c>
      <c r="D87" s="3"/>
      <c r="E87" s="3" t="s">
        <v>359</v>
      </c>
      <c r="F87" s="3" t="s">
        <v>363</v>
      </c>
      <c r="G87" s="3" t="s">
        <v>383</v>
      </c>
      <c r="H87" s="3" t="s">
        <v>548</v>
      </c>
      <c r="I87" s="3" t="s">
        <v>365</v>
      </c>
      <c r="J87" s="3" t="s">
        <v>360</v>
      </c>
      <c r="K87" s="3" t="s">
        <v>365</v>
      </c>
      <c r="L87" s="3" t="s">
        <v>365</v>
      </c>
      <c r="M87" s="3" t="s">
        <v>769</v>
      </c>
      <c r="N87" s="3" t="s">
        <v>792</v>
      </c>
      <c r="O87" s="4" t="s">
        <v>806</v>
      </c>
      <c r="P87" s="3" t="s">
        <v>867</v>
      </c>
      <c r="Q87" s="3" t="s">
        <v>905</v>
      </c>
      <c r="R87" s="3" t="s">
        <v>910</v>
      </c>
      <c r="S87" s="3" t="s">
        <v>916</v>
      </c>
      <c r="T87" s="3" t="s">
        <v>972</v>
      </c>
      <c r="U87" s="3" t="s">
        <v>1150</v>
      </c>
      <c r="V87" s="3" t="s">
        <v>1386</v>
      </c>
      <c r="W87" s="3" t="s">
        <v>1401</v>
      </c>
      <c r="X87" s="3" t="s">
        <v>1691</v>
      </c>
      <c r="Y87" s="3" t="s">
        <v>2160</v>
      </c>
      <c r="Z87" s="3"/>
      <c r="AA87" s="3"/>
      <c r="AB87" s="3"/>
      <c r="AC87" s="4" cm="1">
        <f t="array" ref="AC87">IF(FALSE,"True," &amp; IF(_xlfn.XLOOKUP("Src_IsAny",'Scoring_Config'!$A:$A,'Scoring_Config'!$D:$D,"Yes")="Yes",_xlfn.XLOOKUP("Src_IsAny",'Scoring_Config'!$A:$A,'Scoring_Config'!$C:$C,25),0),"False,0")</f>
        <v>0</v>
      </c>
      <c r="AD87" s="4" cm="1">
        <f t="array" ref="AD87">IF(FALSE,"True," &amp; IF(_xlfn.XLOOKUP("Src_CIDR_Le_16",'Scoring_Config'!$A:$A,'Scoring_Config'!$D:$D,"Yes")="Yes",_xlfn.XLOOKUP("Src_CIDR_Le_16",'Scoring_Config'!$A:$A,'Scoring_Config'!$C:$C,25),0),"False,0")</f>
        <v>0</v>
      </c>
      <c r="AE87" s="4" cm="1">
        <f t="array" ref="AE87">IF(FALSE,"True," &amp; IF(_xlfn.XLOOKUP("Src_CIDR_17_22",'Scoring_Config'!$A:$A,'Scoring_Config'!$D:$D,"Yes")="Yes",_xlfn.XLOOKUP("Src_CIDR_17_22",'Scoring_Config'!$A:$A,'Scoring_Config'!$C:$C,15),0),"False,0")</f>
        <v>0</v>
      </c>
      <c r="AF87" s="5" cm="1">
        <f t="array" ref="AF87">IF(TRUE,"True," &amp; IF(_xlfn.XLOOKUP("Dst_IsAny",'Scoring_Config'!$A:$A,'Scoring_Config'!$D:$D,"Yes")="Yes",_xlfn.XLOOKUP("Dst_IsAny",'Scoring_Config'!$A:$A,'Scoring_Config'!$C:$C,25),0),"False,0")</f>
        <v>0</v>
      </c>
      <c r="AG87" s="4" cm="1">
        <f t="array" ref="AG87">IF(FALSE,"True," &amp; IF(_xlfn.XLOOKUP("Dst_CIDR_Le_16",'Scoring_Config'!$A:$A,'Scoring_Config'!$D:$D,"Yes")="Yes",_xlfn.XLOOKUP("Dst_CIDR_Le_16",'Scoring_Config'!$A:$A,'Scoring_Config'!$C:$C,25),0),"False,0")</f>
        <v>0</v>
      </c>
      <c r="AH87" s="4" cm="1">
        <f t="array" ref="AH87">IF(FALSE,"True," &amp; IF(_xlfn.XLOOKUP("Dst_CIDR_17_22",'Scoring_Config'!$A:$A,'Scoring_Config'!$D:$D,"Yes")="Yes",_xlfn.XLOOKUP("Dst_CIDR_17_22",'Scoring_Config'!$A:$A,'Scoring_Config'!$C:$C,15),0),"False,0")</f>
        <v>0</v>
      </c>
      <c r="AI87" s="4" cm="1">
        <f t="array" ref="AI87">IF(FALSE,"True," &amp; IF(_xlfn.XLOOKUP("SrcZone_IsAny",'Scoring_Config'!$A:$A,'Scoring_Config'!$D:$D,"Yes")="Yes",_xlfn.XLOOKUP("SrcZone_IsAny",'Scoring_Config'!$A:$A,'Scoring_Config'!$C:$C,5),0),"False,0")</f>
        <v>0</v>
      </c>
      <c r="AJ87" s="4" cm="1">
        <f t="array" ref="AJ87">IF(FALSE,"True," &amp; IF(_xlfn.XLOOKUP("DstZone_IsAny",'Scoring_Config'!$A:$A,'Scoring_Config'!$D:$D,"Yes")="Yes",_xlfn.XLOOKUP("DstZone_IsAny",'Scoring_Config'!$A:$A,'Scoring_Config'!$C:$C,5),0),"False,0")</f>
        <v>0</v>
      </c>
      <c r="AK87" s="4" cm="1">
        <f t="array" ref="AK8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7" s="4" cm="1">
        <f t="array" ref="AL87">IF(FALSE,"True," &amp; IF(_xlfn.XLOOKUP("App_Any_OR_RangeGt1000",'Scoring_Config'!$A:$A,'Scoring_Config'!$D:$D,"Yes")="Yes",_xlfn.XLOOKUP("App_Any_OR_RangeGt1000",'Scoring_Config'!$A:$A,'Scoring_Config'!$C:$C,25),0),"False,0")</f>
        <v>0</v>
      </c>
      <c r="AM87" s="5" cm="1">
        <f t="array" ref="AM87">IF(TRUE,"True," &amp; IF(_xlfn.XLOOKUP("Service_Insecure_Match",'Scoring_Config'!$A:$A,'Scoring_Config'!$D:$D,"Yes")="Yes",_xlfn.XLOOKUP("Service_Insecure_Match",'Scoring_Config'!$A:$A,'Scoring_Config'!$C:$C,20),0),"False,0")</f>
        <v>0</v>
      </c>
      <c r="AN87" s="4" cm="1">
        <f t="array" ref="AN87">IF(FALSE,"True," &amp; IF(_xlfn.XLOOKUP("Risky_Inbound",'Scoring_Config'!$A:$A,'Scoring_Config'!$D:$D,"Yes")="Yes",_xlfn.XLOOKUP("Risky_Inbound",'Scoring_Config'!$A:$A,'Scoring_Config'!$C:$C,20),0),"False,0")</f>
        <v>0</v>
      </c>
      <c r="AO87" s="4" cm="1">
        <f t="array" ref="AO87">IF(FALSE,"True," &amp; IF(_xlfn.XLOOKUP("Risky_Outbound",'Scoring_Config'!$A:$A,'Scoring_Config'!$D:$D,"Yes")="Yes",_xlfn.XLOOKUP("Risky_Outbound",'Scoring_Config'!$A:$A,'Scoring_Config'!$C:$C,10),0),"False,0")</f>
        <v>0</v>
      </c>
      <c r="AP87" s="5" t="s">
        <v>2595</v>
      </c>
      <c r="AQ87" s="5" cm="1">
        <f t="array" ref="AQ8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7" s="4" t="s">
        <v>2592</v>
      </c>
      <c r="AS87" s="4" t="s">
        <v>2592</v>
      </c>
      <c r="AT87" s="4" t="s">
        <v>2592</v>
      </c>
      <c r="AU87" s="4" cm="1">
        <f t="array" ref="AU87">IF(FALSE,"True," &amp; IF(_xlfn.XLOOKUP("Action_IsDenyOrDrop",'Scoring_Config'!$A:$A,'Scoring_Config'!$D:$D,"Yes")="Yes",_xlfn.XLOOKUP("Action_IsDenyOrDrop",'Scoring_Config'!$A:$A,'Scoring_Config'!$C:$C,0),0),"False,0")</f>
        <v>0</v>
      </c>
      <c r="AV87" s="4"/>
      <c r="AW87" s="4" cm="1">
        <f t="array" ref="AW87">IF(FALSE,"True," &amp; IF(_xlfn.XLOOKUP("Migrate_Insecure",'Scoring_Config'!$A:$A,'Scoring_Config'!$D:$D,"Yes")="Yes",_xlfn.XLOOKUP("Migrate_Insecure",'Scoring_Config'!$A:$A,'Scoring_Config'!$C:$C,15),0),"False,0")</f>
        <v>0</v>
      </c>
      <c r="AX87" s="4"/>
      <c r="AY87" s="4" cm="1">
        <f t="array" ref="AY87">IF(FALSE,"True," &amp; IF(_xlfn.XLOOKUP("Migrate_Other_Ports",'Scoring_Config'!$A:$A,'Scoring_Config'!$D:$D,"Yes")="Yes",_xlfn.XLOOKUP("Migrate_Other_Ports",'Scoring_Config'!$A:$A,'Scoring_Config'!$C:$C,5),0),"False,0")</f>
        <v>0</v>
      </c>
      <c r="AZ87" s="4" cm="1">
        <f t="array" ref="AZ87">IF(LEFT(AU87,4)="True",0,(IF(LEFT(AC87,4)="True",IF(_xlfn.XLOOKUP("Src_IsAny",'Scoring_Config'!$A:$A,'Scoring_Config'!$D:$D,"Yes")="Yes",_xlfn.XLOOKUP("Src_IsAny",'Scoring_Config'!$A:$A,'Scoring_Config'!$C:$C,25),0),0)+IF(LEFT(AD87,4)="True",IF(_xlfn.XLOOKUP("Src_CIDR_Le_16",'Scoring_Config'!$A:$A,'Scoring_Config'!$D:$D,"Yes")="Yes",_xlfn.XLOOKUP("Src_CIDR_Le_16",'Scoring_Config'!$A:$A,'Scoring_Config'!$C:$C,25),0),0)+IF(LEFT(AE87,4)="True",IF(_xlfn.XLOOKUP("Src_CIDR_17_22",'Scoring_Config'!$A:$A,'Scoring_Config'!$D:$D,"Yes")="Yes",_xlfn.XLOOKUP("Src_CIDR_17_22",'Scoring_Config'!$A:$A,'Scoring_Config'!$C:$C,15),0),0)+IF(LEFT(AF87,4)="True",IF(_xlfn.XLOOKUP("Dst_IsAny",'Scoring_Config'!$A:$A,'Scoring_Config'!$D:$D,"Yes")="Yes",_xlfn.XLOOKUP("Dst_IsAny",'Scoring_Config'!$A:$A,'Scoring_Config'!$C:$C,25),0),0)+IF(LEFT(AG87,4)="True",IF(_xlfn.XLOOKUP("Dst_CIDR_Le_16",'Scoring_Config'!$A:$A,'Scoring_Config'!$D:$D,"Yes")="Yes",_xlfn.XLOOKUP("Dst_CIDR_Le_16",'Scoring_Config'!$A:$A,'Scoring_Config'!$C:$C,25),0),0)+IF(LEFT(AH87,4)="True",IF(_xlfn.XLOOKUP("Dst_CIDR_17_22",'Scoring_Config'!$A:$A,'Scoring_Config'!$D:$D,"Yes")="Yes",_xlfn.XLOOKUP("Dst_CIDR_17_22",'Scoring_Config'!$A:$A,'Scoring_Config'!$C:$C,15),0),0)+IF(LEFT(AI87,4)="True",IF(_xlfn.XLOOKUP("SrcZone_IsAny",'Scoring_Config'!$A:$A,'Scoring_Config'!$D:$D,"Yes")="Yes",_xlfn.XLOOKUP("SrcZone_IsAny",'Scoring_Config'!$A:$A,'Scoring_Config'!$C:$C,5),0),0)+IF(LEFT(AJ87,4)="True",IF(_xlfn.XLOOKUP("DstZone_IsAny",'Scoring_Config'!$A:$A,'Scoring_Config'!$D:$D,"Yes")="Yes",_xlfn.XLOOKUP("DstZone_IsAny",'Scoring_Config'!$A:$A,'Scoring_Config'!$C:$C,5),0),0)+IF(LEFT(AK87,4)="True",IF(_xlfn.XLOOKUP("Service_Any_OR_RangeGt1000",'Scoring_Config'!$A:$A,'Scoring_Config'!$D:$D,"Yes")="Yes",_xlfn.XLOOKUP("Service_Any_OR_RangeGt1000",'Scoring_Config'!$A:$A,'Scoring_Config'!$C:$C,25),0),0)+IF(LEFT(AL87,4)="True",IF(_xlfn.XLOOKUP("App_Any_OR_RangeGt1000",'Scoring_Config'!$A:$A,'Scoring_Config'!$D:$D,"Yes")="Yes",_xlfn.XLOOKUP("App_Any_OR_RangeGt1000",'Scoring_Config'!$A:$A,'Scoring_Config'!$C:$C,25),0),0)+IF(LEFT(AM87,4)="True",IF(_xlfn.XLOOKUP("Service_Insecure_Match",'Scoring_Config'!$A:$A,'Scoring_Config'!$D:$D,"Yes")="Yes",_xlfn.XLOOKUP("Service_Insecure_Match",'Scoring_Config'!$A:$A,'Scoring_Config'!$C:$C,20),0),0)+IF(LEFT(AN87,4)="True",IF(_xlfn.XLOOKUP("Risky_Inbound",'Scoring_Config'!$A:$A,'Scoring_Config'!$D:$D,"Yes")="Yes",_xlfn.XLOOKUP("Risky_Inbound",'Scoring_Config'!$A:$A,'Scoring_Config'!$C:$C,20),0),0)+IF(LEFT(AO87,4)="True",IF(_xlfn.XLOOKUP("Risky_Outbound",'Scoring_Config'!$A:$A,'Scoring_Config'!$D:$D,"Yes")="Yes",_xlfn.XLOOKUP("Risky_Outbound",'Scoring_Config'!$A:$A,'Scoring_Config'!$C:$C,10),0),0)+IF(LEFT(AW87,4)="True",IF(_xlfn.XLOOKUP("Migrate_Insecure",'Scoring_Config'!$A:$A,'Scoring_Config'!$D:$D,"Yes")="Yes",_xlfn.XLOOKUP("Migrate_Insecure",'Scoring_Config'!$A:$A,'Scoring_Config'!$C:$C,15),0),0)+IF(LEFT(AY87,4)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87,FIND(",",AP87)+1,100)),0)+IF(LEFT(AQ87,4)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87,FIND(",",AR87)+1,100)),0)+IF(_xlfn.XLOOKUP("Profile_Scoring",'Scoring_Config'!$A:$A,'Scoring_Config'!$D:$D,"Yes")="Yes",VALUE(MID(AS87,FIND(",",AS87)+1,100)),0)+IF(_xlfn.XLOOKUP("Options_Scoring",'Scoring_Config'!$A:$A,'Scoring_Config'!$D:$D,"Yes")="Yes",VALUE(MID(AT87,FIND(",",AT87)+1,100)),0)))</f>
        <v>0</v>
      </c>
    </row>
    <row r="88" spans="1:52">
      <c r="A88" s="3" t="s">
        <v>52</v>
      </c>
      <c r="B88" s="3" t="s">
        <v>128</v>
      </c>
      <c r="C88" s="3" t="s">
        <v>329</v>
      </c>
      <c r="D88" s="3"/>
      <c r="E88" s="3" t="s">
        <v>359</v>
      </c>
      <c r="F88" s="3" t="s">
        <v>360</v>
      </c>
      <c r="G88" s="3" t="s">
        <v>382</v>
      </c>
      <c r="H88" s="3" t="s">
        <v>382</v>
      </c>
      <c r="I88" s="3" t="s">
        <v>365</v>
      </c>
      <c r="J88" s="3" t="s">
        <v>364</v>
      </c>
      <c r="K88" s="3" t="s">
        <v>644</v>
      </c>
      <c r="L88" s="3" t="s">
        <v>644</v>
      </c>
      <c r="M88" s="3" t="s">
        <v>771</v>
      </c>
      <c r="N88" s="3" t="s">
        <v>793</v>
      </c>
      <c r="O88" s="4" t="s">
        <v>812</v>
      </c>
      <c r="P88" s="3" t="s">
        <v>873</v>
      </c>
      <c r="Q88" s="3" t="s">
        <v>905</v>
      </c>
      <c r="R88" s="3" t="s">
        <v>908</v>
      </c>
      <c r="S88" s="3" t="s">
        <v>914</v>
      </c>
      <c r="T88" s="3" t="s">
        <v>973</v>
      </c>
      <c r="U88" s="3" t="s">
        <v>1198</v>
      </c>
      <c r="V88" s="3" t="s">
        <v>770</v>
      </c>
      <c r="W88" s="3" t="s">
        <v>1449</v>
      </c>
      <c r="X88" s="3" t="s">
        <v>1692</v>
      </c>
      <c r="Y88" s="3" t="s">
        <v>2161</v>
      </c>
      <c r="Z88" s="3"/>
      <c r="AA88" s="3"/>
      <c r="AB88" s="3"/>
      <c r="AC88" s="4" cm="1">
        <f t="array" ref="AC88">IF(FALSE,"True," &amp; IF(_xlfn.XLOOKUP("Src_IsAny",'Scoring_Config'!$A:$A,'Scoring_Config'!$D:$D,"Yes")="Yes",_xlfn.XLOOKUP("Src_IsAny",'Scoring_Config'!$A:$A,'Scoring_Config'!$C:$C,25),0),"False,0")</f>
        <v>0</v>
      </c>
      <c r="AD88" s="4" cm="1">
        <f t="array" ref="AD88">IF(FALSE,"True," &amp; IF(_xlfn.XLOOKUP("Src_CIDR_Le_16",'Scoring_Config'!$A:$A,'Scoring_Config'!$D:$D,"Yes")="Yes",_xlfn.XLOOKUP("Src_CIDR_Le_16",'Scoring_Config'!$A:$A,'Scoring_Config'!$C:$C,25),0),"False,0")</f>
        <v>0</v>
      </c>
      <c r="AE88" s="4" cm="1">
        <f t="array" ref="AE88">IF(FALSE,"True," &amp; IF(_xlfn.XLOOKUP("Src_CIDR_17_22",'Scoring_Config'!$A:$A,'Scoring_Config'!$D:$D,"Yes")="Yes",_xlfn.XLOOKUP("Src_CIDR_17_22",'Scoring_Config'!$A:$A,'Scoring_Config'!$C:$C,15),0),"False,0")</f>
        <v>0</v>
      </c>
      <c r="AF88" s="4" cm="1">
        <f t="array" ref="AF88">IF(FALSE,"True," &amp; IF(_xlfn.XLOOKUP("Dst_IsAny",'Scoring_Config'!$A:$A,'Scoring_Config'!$D:$D,"Yes")="Yes",_xlfn.XLOOKUP("Dst_IsAny",'Scoring_Config'!$A:$A,'Scoring_Config'!$C:$C,25),0),"False,0")</f>
        <v>0</v>
      </c>
      <c r="AG88" s="4" cm="1">
        <f t="array" ref="AG88">IF(FALSE,"True," &amp; IF(_xlfn.XLOOKUP("Dst_CIDR_Le_16",'Scoring_Config'!$A:$A,'Scoring_Config'!$D:$D,"Yes")="Yes",_xlfn.XLOOKUP("Dst_CIDR_Le_16",'Scoring_Config'!$A:$A,'Scoring_Config'!$C:$C,25),0),"False,0")</f>
        <v>0</v>
      </c>
      <c r="AH88" s="4" cm="1">
        <f t="array" ref="AH88">IF(FALSE,"True," &amp; IF(_xlfn.XLOOKUP("Dst_CIDR_17_22",'Scoring_Config'!$A:$A,'Scoring_Config'!$D:$D,"Yes")="Yes",_xlfn.XLOOKUP("Dst_CIDR_17_22",'Scoring_Config'!$A:$A,'Scoring_Config'!$C:$C,15),0),"False,0")</f>
        <v>0</v>
      </c>
      <c r="AI88" s="4" cm="1">
        <f t="array" ref="AI88">IF(FALSE,"True," &amp; IF(_xlfn.XLOOKUP("SrcZone_IsAny",'Scoring_Config'!$A:$A,'Scoring_Config'!$D:$D,"Yes")="Yes",_xlfn.XLOOKUP("SrcZone_IsAny",'Scoring_Config'!$A:$A,'Scoring_Config'!$C:$C,5),0),"False,0")</f>
        <v>0</v>
      </c>
      <c r="AJ88" s="4" cm="1">
        <f t="array" ref="AJ88">IF(FALSE,"True," &amp; IF(_xlfn.XLOOKUP("DstZone_IsAny",'Scoring_Config'!$A:$A,'Scoring_Config'!$D:$D,"Yes")="Yes",_xlfn.XLOOKUP("DstZone_IsAny",'Scoring_Config'!$A:$A,'Scoring_Config'!$C:$C,5),0),"False,0")</f>
        <v>0</v>
      </c>
      <c r="AK88" s="4" cm="1">
        <f t="array" ref="AK8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8" s="4" cm="1">
        <f t="array" ref="AL88">IF(FALSE,"True," &amp; IF(_xlfn.XLOOKUP("App_Any_OR_RangeGt1000",'Scoring_Config'!$A:$A,'Scoring_Config'!$D:$D,"Yes")="Yes",_xlfn.XLOOKUP("App_Any_OR_RangeGt1000",'Scoring_Config'!$A:$A,'Scoring_Config'!$C:$C,25),0),"False,0")</f>
        <v>0</v>
      </c>
      <c r="AM88" s="4" cm="1">
        <f t="array" ref="AM88">IF(FALSE,"True," &amp; IF(_xlfn.XLOOKUP("Service_Insecure_Match",'Scoring_Config'!$A:$A,'Scoring_Config'!$D:$D,"Yes")="Yes",_xlfn.XLOOKUP("Service_Insecure_Match",'Scoring_Config'!$A:$A,'Scoring_Config'!$C:$C,20),0),"False,0")</f>
        <v>0</v>
      </c>
      <c r="AN88" s="4" cm="1">
        <f t="array" ref="AN88">IF(FALSE,"True," &amp; IF(_xlfn.XLOOKUP("Risky_Inbound",'Scoring_Config'!$A:$A,'Scoring_Config'!$D:$D,"Yes")="Yes",_xlfn.XLOOKUP("Risky_Inbound",'Scoring_Config'!$A:$A,'Scoring_Config'!$C:$C,20),0),"False,0")</f>
        <v>0</v>
      </c>
      <c r="AO88" s="4" cm="1">
        <f t="array" ref="AO88">IF(FALSE,"True," &amp; IF(_xlfn.XLOOKUP("Risky_Outbound",'Scoring_Config'!$A:$A,'Scoring_Config'!$D:$D,"Yes")="Yes",_xlfn.XLOOKUP("Risky_Outbound",'Scoring_Config'!$A:$A,'Scoring_Config'!$C:$C,10),0),"False,0")</f>
        <v>0</v>
      </c>
      <c r="AP88" s="5" t="s">
        <v>2595</v>
      </c>
      <c r="AQ88" s="4" cm="1">
        <f t="array" ref="AQ8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8" s="4" t="s">
        <v>2592</v>
      </c>
      <c r="AS88" s="4" t="s">
        <v>2592</v>
      </c>
      <c r="AT88" s="4" t="s">
        <v>2592</v>
      </c>
      <c r="AU88" s="4" cm="1">
        <f t="array" ref="AU88">IF(FALSE,"True," &amp; IF(_xlfn.XLOOKUP("Action_IsDenyOrDrop",'Scoring_Config'!$A:$A,'Scoring_Config'!$D:$D,"Yes")="Yes",_xlfn.XLOOKUP("Action_IsDenyOrDrop",'Scoring_Config'!$A:$A,'Scoring_Config'!$C:$C,0),0),"False,0")</f>
        <v>0</v>
      </c>
      <c r="AV88" s="4"/>
      <c r="AW88" s="4" cm="1">
        <f t="array" ref="AW88">IF(FALSE,"True," &amp; IF(_xlfn.XLOOKUP("Migrate_Insecure",'Scoring_Config'!$A:$A,'Scoring_Config'!$D:$D,"Yes")="Yes",_xlfn.XLOOKUP("Migrate_Insecure",'Scoring_Config'!$A:$A,'Scoring_Config'!$C:$C,15),0),"False,0")</f>
        <v>0</v>
      </c>
      <c r="AX88" s="4"/>
      <c r="AY88" s="4" cm="1">
        <f t="array" ref="AY88">IF(FALSE,"True," &amp; IF(_xlfn.XLOOKUP("Migrate_Other_Ports",'Scoring_Config'!$A:$A,'Scoring_Config'!$D:$D,"Yes")="Yes",_xlfn.XLOOKUP("Migrate_Other_Ports",'Scoring_Config'!$A:$A,'Scoring_Config'!$C:$C,5),0),"False,0")</f>
        <v>0</v>
      </c>
      <c r="AZ88" s="4" cm="1">
        <f t="array" ref="AZ88">IF(LEFT(AU88,4)="True",0,(IF(LEFT(AC88,4)="True",IF(_xlfn.XLOOKUP("Src_IsAny",'Scoring_Config'!$A:$A,'Scoring_Config'!$D:$D,"Yes")="Yes",_xlfn.XLOOKUP("Src_IsAny",'Scoring_Config'!$A:$A,'Scoring_Config'!$C:$C,25),0),0)+IF(LEFT(AD88,4)="True",IF(_xlfn.XLOOKUP("Src_CIDR_Le_16",'Scoring_Config'!$A:$A,'Scoring_Config'!$D:$D,"Yes")="Yes",_xlfn.XLOOKUP("Src_CIDR_Le_16",'Scoring_Config'!$A:$A,'Scoring_Config'!$C:$C,25),0),0)+IF(LEFT(AE88,4)="True",IF(_xlfn.XLOOKUP("Src_CIDR_17_22",'Scoring_Config'!$A:$A,'Scoring_Config'!$D:$D,"Yes")="Yes",_xlfn.XLOOKUP("Src_CIDR_17_22",'Scoring_Config'!$A:$A,'Scoring_Config'!$C:$C,15),0),0)+IF(LEFT(AF88,4)="True",IF(_xlfn.XLOOKUP("Dst_IsAny",'Scoring_Config'!$A:$A,'Scoring_Config'!$D:$D,"Yes")="Yes",_xlfn.XLOOKUP("Dst_IsAny",'Scoring_Config'!$A:$A,'Scoring_Config'!$C:$C,25),0),0)+IF(LEFT(AG88,4)="True",IF(_xlfn.XLOOKUP("Dst_CIDR_Le_16",'Scoring_Config'!$A:$A,'Scoring_Config'!$D:$D,"Yes")="Yes",_xlfn.XLOOKUP("Dst_CIDR_Le_16",'Scoring_Config'!$A:$A,'Scoring_Config'!$C:$C,25),0),0)+IF(LEFT(AH88,4)="True",IF(_xlfn.XLOOKUP("Dst_CIDR_17_22",'Scoring_Config'!$A:$A,'Scoring_Config'!$D:$D,"Yes")="Yes",_xlfn.XLOOKUP("Dst_CIDR_17_22",'Scoring_Config'!$A:$A,'Scoring_Config'!$C:$C,15),0),0)+IF(LEFT(AI88,4)="True",IF(_xlfn.XLOOKUP("SrcZone_IsAny",'Scoring_Config'!$A:$A,'Scoring_Config'!$D:$D,"Yes")="Yes",_xlfn.XLOOKUP("SrcZone_IsAny",'Scoring_Config'!$A:$A,'Scoring_Config'!$C:$C,5),0),0)+IF(LEFT(AJ88,4)="True",IF(_xlfn.XLOOKUP("DstZone_IsAny",'Scoring_Config'!$A:$A,'Scoring_Config'!$D:$D,"Yes")="Yes",_xlfn.XLOOKUP("DstZone_IsAny",'Scoring_Config'!$A:$A,'Scoring_Config'!$C:$C,5),0),0)+IF(LEFT(AK88,4)="True",IF(_xlfn.XLOOKUP("Service_Any_OR_RangeGt1000",'Scoring_Config'!$A:$A,'Scoring_Config'!$D:$D,"Yes")="Yes",_xlfn.XLOOKUP("Service_Any_OR_RangeGt1000",'Scoring_Config'!$A:$A,'Scoring_Config'!$C:$C,25),0),0)+IF(LEFT(AL88,4)="True",IF(_xlfn.XLOOKUP("App_Any_OR_RangeGt1000",'Scoring_Config'!$A:$A,'Scoring_Config'!$D:$D,"Yes")="Yes",_xlfn.XLOOKUP("App_Any_OR_RangeGt1000",'Scoring_Config'!$A:$A,'Scoring_Config'!$C:$C,25),0),0)+IF(LEFT(AM88,4)="True",IF(_xlfn.XLOOKUP("Service_Insecure_Match",'Scoring_Config'!$A:$A,'Scoring_Config'!$D:$D,"Yes")="Yes",_xlfn.XLOOKUP("Service_Insecure_Match",'Scoring_Config'!$A:$A,'Scoring_Config'!$C:$C,20),0),0)+IF(LEFT(AN88,4)="True",IF(_xlfn.XLOOKUP("Risky_Inbound",'Scoring_Config'!$A:$A,'Scoring_Config'!$D:$D,"Yes")="Yes",_xlfn.XLOOKUP("Risky_Inbound",'Scoring_Config'!$A:$A,'Scoring_Config'!$C:$C,20),0),0)+IF(LEFT(AO88,4)="True",IF(_xlfn.XLOOKUP("Risky_Outbound",'Scoring_Config'!$A:$A,'Scoring_Config'!$D:$D,"Yes")="Yes",_xlfn.XLOOKUP("Risky_Outbound",'Scoring_Config'!$A:$A,'Scoring_Config'!$C:$C,10),0),0)+IF(LEFT(AW88,4)="True",IF(_xlfn.XLOOKUP("Migrate_Insecure",'Scoring_Config'!$A:$A,'Scoring_Config'!$D:$D,"Yes")="Yes",_xlfn.XLOOKUP("Migrate_Insecure",'Scoring_Config'!$A:$A,'Scoring_Config'!$C:$C,15),0),0)+IF(LEFT(AY88,4)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88,FIND(",",AP88)+1,100)),0)+IF(LEFT(AQ88,4)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88,FIND(",",AR88)+1,100)),0)+IF(_xlfn.XLOOKUP("Profile_Scoring",'Scoring_Config'!$A:$A,'Scoring_Config'!$D:$D,"Yes")="Yes",VALUE(MID(AS88,FIND(",",AS88)+1,100)),0)+IF(_xlfn.XLOOKUP("Options_Scoring",'Scoring_Config'!$A:$A,'Scoring_Config'!$D:$D,"Yes")="Yes",VALUE(MID(AT88,FIND(",",AT88)+1,100)),0)))</f>
        <v>0</v>
      </c>
    </row>
    <row r="89" spans="1:52">
      <c r="A89" s="3" t="s">
        <v>52</v>
      </c>
      <c r="B89" s="3" t="s">
        <v>129</v>
      </c>
      <c r="C89" s="3" t="s">
        <v>329</v>
      </c>
      <c r="D89" s="3"/>
      <c r="E89" s="3" t="s">
        <v>359</v>
      </c>
      <c r="F89" s="3" t="s">
        <v>361</v>
      </c>
      <c r="G89" s="3" t="s">
        <v>365</v>
      </c>
      <c r="H89" s="3" t="s">
        <v>365</v>
      </c>
      <c r="I89" s="3" t="s">
        <v>625</v>
      </c>
      <c r="J89" s="3" t="s">
        <v>360</v>
      </c>
      <c r="K89" s="3" t="s">
        <v>365</v>
      </c>
      <c r="L89" s="3" t="s">
        <v>365</v>
      </c>
      <c r="M89" s="3" t="s">
        <v>365</v>
      </c>
      <c r="N89" s="3" t="s">
        <v>365</v>
      </c>
      <c r="O89" s="4" t="s">
        <v>816</v>
      </c>
      <c r="P89" s="3" t="s">
        <v>877</v>
      </c>
      <c r="Q89" s="3" t="s">
        <v>905</v>
      </c>
      <c r="R89" s="3" t="s">
        <v>907</v>
      </c>
      <c r="S89" s="3" t="s">
        <v>907</v>
      </c>
      <c r="T89" s="3" t="s">
        <v>919</v>
      </c>
      <c r="U89" s="3" t="s">
        <v>1145</v>
      </c>
      <c r="V89" s="3" t="s">
        <v>770</v>
      </c>
      <c r="W89" s="3" t="s">
        <v>1450</v>
      </c>
      <c r="X89" s="3" t="s">
        <v>1693</v>
      </c>
      <c r="Y89" s="3" t="s">
        <v>2162</v>
      </c>
      <c r="Z89" s="3"/>
      <c r="AA89" s="3"/>
      <c r="AB89" s="3"/>
      <c r="AC89" s="5" cm="1">
        <f t="array" ref="AC89">IF(TRUE,"True," &amp; IF(_xlfn.XLOOKUP("Src_IsAny",'Scoring_Config'!$A:$A,'Scoring_Config'!$D:$D,"Yes")="Yes",_xlfn.XLOOKUP("Src_IsAny",'Scoring_Config'!$A:$A,'Scoring_Config'!$C:$C,25),0),"False,0")</f>
        <v>0</v>
      </c>
      <c r="AD89" s="4" cm="1">
        <f t="array" ref="AD89">IF(FALSE,"True," &amp; IF(_xlfn.XLOOKUP("Src_CIDR_Le_16",'Scoring_Config'!$A:$A,'Scoring_Config'!$D:$D,"Yes")="Yes",_xlfn.XLOOKUP("Src_CIDR_Le_16",'Scoring_Config'!$A:$A,'Scoring_Config'!$C:$C,25),0),"False,0")</f>
        <v>0</v>
      </c>
      <c r="AE89" s="4" cm="1">
        <f t="array" ref="AE89">IF(FALSE,"True," &amp; IF(_xlfn.XLOOKUP("Src_CIDR_17_22",'Scoring_Config'!$A:$A,'Scoring_Config'!$D:$D,"Yes")="Yes",_xlfn.XLOOKUP("Src_CIDR_17_22",'Scoring_Config'!$A:$A,'Scoring_Config'!$C:$C,15),0),"False,0")</f>
        <v>0</v>
      </c>
      <c r="AF89" s="5" cm="1">
        <f t="array" ref="AF89">IF(TRUE,"True," &amp; IF(_xlfn.XLOOKUP("Dst_IsAny",'Scoring_Config'!$A:$A,'Scoring_Config'!$D:$D,"Yes")="Yes",_xlfn.XLOOKUP("Dst_IsAny",'Scoring_Config'!$A:$A,'Scoring_Config'!$C:$C,25),0),"False,0")</f>
        <v>0</v>
      </c>
      <c r="AG89" s="4" cm="1">
        <f t="array" ref="AG89">IF(FALSE,"True," &amp; IF(_xlfn.XLOOKUP("Dst_CIDR_Le_16",'Scoring_Config'!$A:$A,'Scoring_Config'!$D:$D,"Yes")="Yes",_xlfn.XLOOKUP("Dst_CIDR_Le_16",'Scoring_Config'!$A:$A,'Scoring_Config'!$C:$C,25),0),"False,0")</f>
        <v>0</v>
      </c>
      <c r="AH89" s="4" cm="1">
        <f t="array" ref="AH89">IF(FALSE,"True," &amp; IF(_xlfn.XLOOKUP("Dst_CIDR_17_22",'Scoring_Config'!$A:$A,'Scoring_Config'!$D:$D,"Yes")="Yes",_xlfn.XLOOKUP("Dst_CIDR_17_22",'Scoring_Config'!$A:$A,'Scoring_Config'!$C:$C,15),0),"False,0")</f>
        <v>0</v>
      </c>
      <c r="AI89" s="4" cm="1">
        <f t="array" ref="AI89">IF(FALSE,"True," &amp; IF(_xlfn.XLOOKUP("SrcZone_IsAny",'Scoring_Config'!$A:$A,'Scoring_Config'!$D:$D,"Yes")="Yes",_xlfn.XLOOKUP("SrcZone_IsAny",'Scoring_Config'!$A:$A,'Scoring_Config'!$C:$C,5),0),"False,0")</f>
        <v>0</v>
      </c>
      <c r="AJ89" s="4" cm="1">
        <f t="array" ref="AJ89">IF(FALSE,"True," &amp; IF(_xlfn.XLOOKUP("DstZone_IsAny",'Scoring_Config'!$A:$A,'Scoring_Config'!$D:$D,"Yes")="Yes",_xlfn.XLOOKUP("DstZone_IsAny",'Scoring_Config'!$A:$A,'Scoring_Config'!$C:$C,5),0),"False,0")</f>
        <v>0</v>
      </c>
      <c r="AK89" s="4" cm="1">
        <f t="array" ref="AK8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89" s="5" cm="1">
        <f t="array" ref="AL89">IF(TRUE,"True," &amp; IF(_xlfn.XLOOKUP("App_Any_OR_RangeGt1000",'Scoring_Config'!$A:$A,'Scoring_Config'!$D:$D,"Yes")="Yes",_xlfn.XLOOKUP("App_Any_OR_RangeGt1000",'Scoring_Config'!$A:$A,'Scoring_Config'!$C:$C,25),0),"False,0")</f>
        <v>0</v>
      </c>
      <c r="AM89" s="5" cm="1">
        <f t="array" ref="AM89">IF(TRUE,"True," &amp; IF(_xlfn.XLOOKUP("Service_Insecure_Match",'Scoring_Config'!$A:$A,'Scoring_Config'!$D:$D,"Yes")="Yes",_xlfn.XLOOKUP("Service_Insecure_Match",'Scoring_Config'!$A:$A,'Scoring_Config'!$C:$C,20),0),"False,0")</f>
        <v>0</v>
      </c>
      <c r="AN89" s="4" cm="1">
        <f t="array" ref="AN89">IF(FALSE,"True," &amp; IF(_xlfn.XLOOKUP("Risky_Inbound",'Scoring_Config'!$A:$A,'Scoring_Config'!$D:$D,"Yes")="Yes",_xlfn.XLOOKUP("Risky_Inbound",'Scoring_Config'!$A:$A,'Scoring_Config'!$C:$C,20),0),"False,0")</f>
        <v>0</v>
      </c>
      <c r="AO89" s="4" cm="1">
        <f t="array" ref="AO89">IF(FALSE,"True," &amp; IF(_xlfn.XLOOKUP("Risky_Outbound",'Scoring_Config'!$A:$A,'Scoring_Config'!$D:$D,"Yes")="Yes",_xlfn.XLOOKUP("Risky_Outbound",'Scoring_Config'!$A:$A,'Scoring_Config'!$C:$C,10),0),"False,0")</f>
        <v>0</v>
      </c>
      <c r="AP89" s="5" t="s">
        <v>2595</v>
      </c>
      <c r="AQ89" s="5" cm="1">
        <f t="array" ref="AQ8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89" s="5" t="s">
        <v>2598</v>
      </c>
      <c r="AS89" s="5" t="s">
        <v>2595</v>
      </c>
      <c r="AT89" s="5" t="s">
        <v>2595</v>
      </c>
      <c r="AU89" s="4" cm="1">
        <f t="array" ref="AU89">IF(FALSE,"True," &amp; IF(_xlfn.XLOOKUP("Action_IsDenyOrDrop",'Scoring_Config'!$A:$A,'Scoring_Config'!$D:$D,"Yes")="Yes",_xlfn.XLOOKUP("Action_IsDenyOrDrop",'Scoring_Config'!$A:$A,'Scoring_Config'!$C:$C,0),0),"False,0")</f>
        <v>0</v>
      </c>
      <c r="AV89" s="4"/>
      <c r="AW89" s="4" cm="1">
        <f t="array" ref="AW89">IF(FALSE,"True," &amp; IF(_xlfn.XLOOKUP("Migrate_Insecure",'Scoring_Config'!$A:$A,'Scoring_Config'!$D:$D,"Yes")="Yes",_xlfn.XLOOKUP("Migrate_Insecure",'Scoring_Config'!$A:$A,'Scoring_Config'!$C:$C,15),0),"False,0")</f>
        <v>0</v>
      </c>
      <c r="AX89" s="4"/>
      <c r="AY89" s="4" cm="1">
        <f t="array" ref="AY89">IF(FALSE,"True," &amp; IF(_xlfn.XLOOKUP("Migrate_Other_Ports",'Scoring_Config'!$A:$A,'Scoring_Config'!$D:$D,"Yes")="Yes",_xlfn.XLOOKUP("Migrate_Other_Ports",'Scoring_Config'!$A:$A,'Scoring_Config'!$C:$C,5),0),"False,0")</f>
        <v>0</v>
      </c>
      <c r="AZ89" s="4" cm="1">
        <f t="array" ref="AZ89">IF(LEFT(AU89,4)="True",0,(IF(LEFT(AC89,4)="True",IF(_xlfn.XLOOKUP("Src_IsAny",'Scoring_Config'!$A:$A,'Scoring_Config'!$D:$D,"Yes")="Yes",_xlfn.XLOOKUP("Src_IsAny",'Scoring_Config'!$A:$A,'Scoring_Config'!$C:$C,25),0),0)+IF(LEFT(AD89,4)="True",IF(_xlfn.XLOOKUP("Src_CIDR_Le_16",'Scoring_Config'!$A:$A,'Scoring_Config'!$D:$D,"Yes")="Yes",_xlfn.XLOOKUP("Src_CIDR_Le_16",'Scoring_Config'!$A:$A,'Scoring_Config'!$C:$C,25),0),0)+IF(LEFT(AE89,4)="True",IF(_xlfn.XLOOKUP("Src_CIDR_17_22",'Scoring_Config'!$A:$A,'Scoring_Config'!$D:$D,"Yes")="Yes",_xlfn.XLOOKUP("Src_CIDR_17_22",'Scoring_Config'!$A:$A,'Scoring_Config'!$C:$C,15),0),0)+IF(LEFT(AF89,4)="True",IF(_xlfn.XLOOKUP("Dst_IsAny",'Scoring_Config'!$A:$A,'Scoring_Config'!$D:$D,"Yes")="Yes",_xlfn.XLOOKUP("Dst_IsAny",'Scoring_Config'!$A:$A,'Scoring_Config'!$C:$C,25),0),0)+IF(LEFT(AG89,4)="True",IF(_xlfn.XLOOKUP("Dst_CIDR_Le_16",'Scoring_Config'!$A:$A,'Scoring_Config'!$D:$D,"Yes")="Yes",_xlfn.XLOOKUP("Dst_CIDR_Le_16",'Scoring_Config'!$A:$A,'Scoring_Config'!$C:$C,25),0),0)+IF(LEFT(AH89,4)="True",IF(_xlfn.XLOOKUP("Dst_CIDR_17_22",'Scoring_Config'!$A:$A,'Scoring_Config'!$D:$D,"Yes")="Yes",_xlfn.XLOOKUP("Dst_CIDR_17_22",'Scoring_Config'!$A:$A,'Scoring_Config'!$C:$C,15),0),0)+IF(LEFT(AI89,4)="True",IF(_xlfn.XLOOKUP("SrcZone_IsAny",'Scoring_Config'!$A:$A,'Scoring_Config'!$D:$D,"Yes")="Yes",_xlfn.XLOOKUP("SrcZone_IsAny",'Scoring_Config'!$A:$A,'Scoring_Config'!$C:$C,5),0),0)+IF(LEFT(AJ89,4)="True",IF(_xlfn.XLOOKUP("DstZone_IsAny",'Scoring_Config'!$A:$A,'Scoring_Config'!$D:$D,"Yes")="Yes",_xlfn.XLOOKUP("DstZone_IsAny",'Scoring_Config'!$A:$A,'Scoring_Config'!$C:$C,5),0),0)+IF(LEFT(AK89,4)="True",IF(_xlfn.XLOOKUP("Service_Any_OR_RangeGt1000",'Scoring_Config'!$A:$A,'Scoring_Config'!$D:$D,"Yes")="Yes",_xlfn.XLOOKUP("Service_Any_OR_RangeGt1000",'Scoring_Config'!$A:$A,'Scoring_Config'!$C:$C,25),0),0)+IF(LEFT(AL89,4)="True",IF(_xlfn.XLOOKUP("App_Any_OR_RangeGt1000",'Scoring_Config'!$A:$A,'Scoring_Config'!$D:$D,"Yes")="Yes",_xlfn.XLOOKUP("App_Any_OR_RangeGt1000",'Scoring_Config'!$A:$A,'Scoring_Config'!$C:$C,25),0),0)+IF(LEFT(AM89,4)="True",IF(_xlfn.XLOOKUP("Service_Insecure_Match",'Scoring_Config'!$A:$A,'Scoring_Config'!$D:$D,"Yes")="Yes",_xlfn.XLOOKUP("Service_Insecure_Match",'Scoring_Config'!$A:$A,'Scoring_Config'!$C:$C,20),0),0)+IF(LEFT(AN89,4)="True",IF(_xlfn.XLOOKUP("Risky_Inbound",'Scoring_Config'!$A:$A,'Scoring_Config'!$D:$D,"Yes")="Yes",_xlfn.XLOOKUP("Risky_Inbound",'Scoring_Config'!$A:$A,'Scoring_Config'!$C:$C,20),0),0)+IF(LEFT(AO89,4)="True",IF(_xlfn.XLOOKUP("Risky_Outbound",'Scoring_Config'!$A:$A,'Scoring_Config'!$D:$D,"Yes")="Yes",_xlfn.XLOOKUP("Risky_Outbound",'Scoring_Config'!$A:$A,'Scoring_Config'!$C:$C,10),0),0)+IF(LEFT(AW89,4)="True",IF(_xlfn.XLOOKUP("Migrate_Insecure",'Scoring_Config'!$A:$A,'Scoring_Config'!$D:$D,"Yes")="Yes",_xlfn.XLOOKUP("Migrate_Insecure",'Scoring_Config'!$A:$A,'Scoring_Config'!$C:$C,15),0),0)+IF(LEFT(AY89,4)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89,FIND(",",AP89)+1,100)),0)+IF(LEFT(AQ89,4)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89,FIND(",",AR89)+1,100)),0)+IF(_xlfn.XLOOKUP("Profile_Scoring",'Scoring_Config'!$A:$A,'Scoring_Config'!$D:$D,"Yes")="Yes",VALUE(MID(AS89,FIND(",",AS89)+1,100)),0)+IF(_xlfn.XLOOKUP("Options_Scoring",'Scoring_Config'!$A:$A,'Scoring_Config'!$D:$D,"Yes")="Yes",VALUE(MID(AT89,FIND(",",AT89)+1,100)),0)))</f>
        <v>0</v>
      </c>
    </row>
    <row r="90" spans="1:52">
      <c r="A90" s="3" t="s">
        <v>52</v>
      </c>
      <c r="B90" s="3" t="s">
        <v>130</v>
      </c>
      <c r="C90" s="3" t="s">
        <v>329</v>
      </c>
      <c r="D90" s="3"/>
      <c r="E90" s="3" t="s">
        <v>359</v>
      </c>
      <c r="F90" s="3" t="s">
        <v>361</v>
      </c>
      <c r="G90" s="3" t="s">
        <v>377</v>
      </c>
      <c r="H90" s="3" t="s">
        <v>377</v>
      </c>
      <c r="I90" s="3" t="s">
        <v>622</v>
      </c>
      <c r="J90" s="3" t="s">
        <v>360</v>
      </c>
      <c r="K90" s="3" t="s">
        <v>365</v>
      </c>
      <c r="L90" s="3" t="s">
        <v>365</v>
      </c>
      <c r="M90" s="3" t="s">
        <v>768</v>
      </c>
      <c r="N90" s="3" t="s">
        <v>791</v>
      </c>
      <c r="O90" s="4" t="s">
        <v>833</v>
      </c>
      <c r="P90" s="3" t="s">
        <v>894</v>
      </c>
      <c r="Q90" s="3" t="s">
        <v>905</v>
      </c>
      <c r="R90" s="3" t="s">
        <v>908</v>
      </c>
      <c r="S90" s="3" t="s">
        <v>907</v>
      </c>
      <c r="T90" s="3" t="s">
        <v>974</v>
      </c>
      <c r="U90" s="3" t="s">
        <v>1199</v>
      </c>
      <c r="V90" s="3" t="s">
        <v>789</v>
      </c>
      <c r="W90" s="3" t="s">
        <v>1451</v>
      </c>
      <c r="X90" s="3" t="s">
        <v>1694</v>
      </c>
      <c r="Y90" s="3" t="s">
        <v>2163</v>
      </c>
      <c r="Z90" s="3"/>
      <c r="AA90" s="3"/>
      <c r="AB90" s="3"/>
      <c r="AC90" s="4" cm="1">
        <f t="array" ref="AC90">IF(FALSE,"True," &amp; IF(_xlfn.XLOOKUP("Src_IsAny",'Scoring_Config'!$A:$A,'Scoring_Config'!$D:$D,"Yes")="Yes",_xlfn.XLOOKUP("Src_IsAny",'Scoring_Config'!$A:$A,'Scoring_Config'!$C:$C,25),0),"False,0")</f>
        <v>0</v>
      </c>
      <c r="AD90" s="4" cm="1">
        <f t="array" ref="AD90">IF(FALSE,"True," &amp; IF(_xlfn.XLOOKUP("Src_CIDR_Le_16",'Scoring_Config'!$A:$A,'Scoring_Config'!$D:$D,"Yes")="Yes",_xlfn.XLOOKUP("Src_CIDR_Le_16",'Scoring_Config'!$A:$A,'Scoring_Config'!$C:$C,25),0),"False,0")</f>
        <v>0</v>
      </c>
      <c r="AE90" s="4" cm="1">
        <f t="array" ref="AE90">IF(FALSE,"True," &amp; IF(_xlfn.XLOOKUP("Src_CIDR_17_22",'Scoring_Config'!$A:$A,'Scoring_Config'!$D:$D,"Yes")="Yes",_xlfn.XLOOKUP("Src_CIDR_17_22",'Scoring_Config'!$A:$A,'Scoring_Config'!$C:$C,15),0),"False,0")</f>
        <v>0</v>
      </c>
      <c r="AF90" s="5" cm="1">
        <f t="array" ref="AF90">IF(TRUE,"True," &amp; IF(_xlfn.XLOOKUP("Dst_IsAny",'Scoring_Config'!$A:$A,'Scoring_Config'!$D:$D,"Yes")="Yes",_xlfn.XLOOKUP("Dst_IsAny",'Scoring_Config'!$A:$A,'Scoring_Config'!$C:$C,25),0),"False,0")</f>
        <v>0</v>
      </c>
      <c r="AG90" s="4" cm="1">
        <f t="array" ref="AG90">IF(FALSE,"True," &amp; IF(_xlfn.XLOOKUP("Dst_CIDR_Le_16",'Scoring_Config'!$A:$A,'Scoring_Config'!$D:$D,"Yes")="Yes",_xlfn.XLOOKUP("Dst_CIDR_Le_16",'Scoring_Config'!$A:$A,'Scoring_Config'!$C:$C,25),0),"False,0")</f>
        <v>0</v>
      </c>
      <c r="AH90" s="4" cm="1">
        <f t="array" ref="AH90">IF(FALSE,"True," &amp; IF(_xlfn.XLOOKUP("Dst_CIDR_17_22",'Scoring_Config'!$A:$A,'Scoring_Config'!$D:$D,"Yes")="Yes",_xlfn.XLOOKUP("Dst_CIDR_17_22",'Scoring_Config'!$A:$A,'Scoring_Config'!$C:$C,15),0),"False,0")</f>
        <v>0</v>
      </c>
      <c r="AI90" s="4" cm="1">
        <f t="array" ref="AI90">IF(FALSE,"True," &amp; IF(_xlfn.XLOOKUP("SrcZone_IsAny",'Scoring_Config'!$A:$A,'Scoring_Config'!$D:$D,"Yes")="Yes",_xlfn.XLOOKUP("SrcZone_IsAny",'Scoring_Config'!$A:$A,'Scoring_Config'!$C:$C,5),0),"False,0")</f>
        <v>0</v>
      </c>
      <c r="AJ90" s="4" cm="1">
        <f t="array" ref="AJ90">IF(FALSE,"True," &amp; IF(_xlfn.XLOOKUP("DstZone_IsAny",'Scoring_Config'!$A:$A,'Scoring_Config'!$D:$D,"Yes")="Yes",_xlfn.XLOOKUP("DstZone_IsAny",'Scoring_Config'!$A:$A,'Scoring_Config'!$C:$C,5),0),"False,0")</f>
        <v>0</v>
      </c>
      <c r="AK90" s="5" cm="1">
        <f t="array" ref="AK90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90" s="5" cm="1">
        <f t="array" ref="AL90">IF(TRUE,"True," &amp; IF(_xlfn.XLOOKUP("App_Any_OR_RangeGt1000",'Scoring_Config'!$A:$A,'Scoring_Config'!$D:$D,"Yes")="Yes",_xlfn.XLOOKUP("App_Any_OR_RangeGt1000",'Scoring_Config'!$A:$A,'Scoring_Config'!$C:$C,25),0),"False,0")</f>
        <v>0</v>
      </c>
      <c r="AM90" s="5" cm="1">
        <f t="array" ref="AM90">IF(TRUE,"True," &amp; IF(_xlfn.XLOOKUP("Service_Insecure_Match",'Scoring_Config'!$A:$A,'Scoring_Config'!$D:$D,"Yes")="Yes",_xlfn.XLOOKUP("Service_Insecure_Match",'Scoring_Config'!$A:$A,'Scoring_Config'!$C:$C,20),0),"False,0")</f>
        <v>0</v>
      </c>
      <c r="AN90" s="4" cm="1">
        <f t="array" ref="AN90">IF(FALSE,"True," &amp; IF(_xlfn.XLOOKUP("Risky_Inbound",'Scoring_Config'!$A:$A,'Scoring_Config'!$D:$D,"Yes")="Yes",_xlfn.XLOOKUP("Risky_Inbound",'Scoring_Config'!$A:$A,'Scoring_Config'!$C:$C,20),0),"False,0")</f>
        <v>0</v>
      </c>
      <c r="AO90" s="4" cm="1">
        <f t="array" ref="AO90">IF(FALSE,"True," &amp; IF(_xlfn.XLOOKUP("Risky_Outbound",'Scoring_Config'!$A:$A,'Scoring_Config'!$D:$D,"Yes")="Yes",_xlfn.XLOOKUP("Risky_Outbound",'Scoring_Config'!$A:$A,'Scoring_Config'!$C:$C,10),0),"False,0")</f>
        <v>0</v>
      </c>
      <c r="AP90" s="5" t="s">
        <v>2595</v>
      </c>
      <c r="AQ90" s="4" cm="1">
        <f t="array" ref="AQ9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0" s="5" t="s">
        <v>2598</v>
      </c>
      <c r="AS90" s="4" t="s">
        <v>2592</v>
      </c>
      <c r="AT90" s="5" t="s">
        <v>2595</v>
      </c>
      <c r="AU90" s="4" cm="1">
        <f t="array" ref="AU90">IF(FALSE,"True," &amp; IF(_xlfn.XLOOKUP("Action_IsDenyOrDrop",'Scoring_Config'!$A:$A,'Scoring_Config'!$D:$D,"Yes")="Yes",_xlfn.XLOOKUP("Action_IsDenyOrDrop",'Scoring_Config'!$A:$A,'Scoring_Config'!$C:$C,0),0),"False,0")</f>
        <v>0</v>
      </c>
      <c r="AV90" s="4"/>
      <c r="AW90" s="4" cm="1">
        <f t="array" ref="AW90">IF(FALSE,"True," &amp; IF(_xlfn.XLOOKUP("Migrate_Insecure",'Scoring_Config'!$A:$A,'Scoring_Config'!$D:$D,"Yes")="Yes",_xlfn.XLOOKUP("Migrate_Insecure",'Scoring_Config'!$A:$A,'Scoring_Config'!$C:$C,15),0),"False,0")</f>
        <v>0</v>
      </c>
      <c r="AX90" s="4"/>
      <c r="AY90" s="4" cm="1">
        <f t="array" ref="AY90">IF(FALSE,"True," &amp; IF(_xlfn.XLOOKUP("Migrate_Other_Ports",'Scoring_Config'!$A:$A,'Scoring_Config'!$D:$D,"Yes")="Yes",_xlfn.XLOOKUP("Migrate_Other_Ports",'Scoring_Config'!$A:$A,'Scoring_Config'!$C:$C,5),0),"False,0")</f>
        <v>0</v>
      </c>
      <c r="AZ90" s="4" cm="1">
        <f t="array" ref="AZ90">IF(LEFT(AU90,4)="True",0,(IF(LEFT(AC90,4)="True",IF(_xlfn.XLOOKUP("Src_IsAny",'Scoring_Config'!$A:$A,'Scoring_Config'!$D:$D,"Yes")="Yes",_xlfn.XLOOKUP("Src_IsAny",'Scoring_Config'!$A:$A,'Scoring_Config'!$C:$C,25),0),0)+IF(LEFT(AD90,4)="True",IF(_xlfn.XLOOKUP("Src_CIDR_Le_16",'Scoring_Config'!$A:$A,'Scoring_Config'!$D:$D,"Yes")="Yes",_xlfn.XLOOKUP("Src_CIDR_Le_16",'Scoring_Config'!$A:$A,'Scoring_Config'!$C:$C,25),0),0)+IF(LEFT(AE90,4)="True",IF(_xlfn.XLOOKUP("Src_CIDR_17_22",'Scoring_Config'!$A:$A,'Scoring_Config'!$D:$D,"Yes")="Yes",_xlfn.XLOOKUP("Src_CIDR_17_22",'Scoring_Config'!$A:$A,'Scoring_Config'!$C:$C,15),0),0)+IF(LEFT(AF90,4)="True",IF(_xlfn.XLOOKUP("Dst_IsAny",'Scoring_Config'!$A:$A,'Scoring_Config'!$D:$D,"Yes")="Yes",_xlfn.XLOOKUP("Dst_IsAny",'Scoring_Config'!$A:$A,'Scoring_Config'!$C:$C,25),0),0)+IF(LEFT(AG90,4)="True",IF(_xlfn.XLOOKUP("Dst_CIDR_Le_16",'Scoring_Config'!$A:$A,'Scoring_Config'!$D:$D,"Yes")="Yes",_xlfn.XLOOKUP("Dst_CIDR_Le_16",'Scoring_Config'!$A:$A,'Scoring_Config'!$C:$C,25),0),0)+IF(LEFT(AH90,4)="True",IF(_xlfn.XLOOKUP("Dst_CIDR_17_22",'Scoring_Config'!$A:$A,'Scoring_Config'!$D:$D,"Yes")="Yes",_xlfn.XLOOKUP("Dst_CIDR_17_22",'Scoring_Config'!$A:$A,'Scoring_Config'!$C:$C,15),0),0)+IF(LEFT(AI90,4)="True",IF(_xlfn.XLOOKUP("SrcZone_IsAny",'Scoring_Config'!$A:$A,'Scoring_Config'!$D:$D,"Yes")="Yes",_xlfn.XLOOKUP("SrcZone_IsAny",'Scoring_Config'!$A:$A,'Scoring_Config'!$C:$C,5),0),0)+IF(LEFT(AJ90,4)="True",IF(_xlfn.XLOOKUP("DstZone_IsAny",'Scoring_Config'!$A:$A,'Scoring_Config'!$D:$D,"Yes")="Yes",_xlfn.XLOOKUP("DstZone_IsAny",'Scoring_Config'!$A:$A,'Scoring_Config'!$C:$C,5),0),0)+IF(LEFT(AK90,4)="True",IF(_xlfn.XLOOKUP("Service_Any_OR_RangeGt1000",'Scoring_Config'!$A:$A,'Scoring_Config'!$D:$D,"Yes")="Yes",_xlfn.XLOOKUP("Service_Any_OR_RangeGt1000",'Scoring_Config'!$A:$A,'Scoring_Config'!$C:$C,25),0),0)+IF(LEFT(AL90,4)="True",IF(_xlfn.XLOOKUP("App_Any_OR_RangeGt1000",'Scoring_Config'!$A:$A,'Scoring_Config'!$D:$D,"Yes")="Yes",_xlfn.XLOOKUP("App_Any_OR_RangeGt1000",'Scoring_Config'!$A:$A,'Scoring_Config'!$C:$C,25),0),0)+IF(LEFT(AM90,4)="True",IF(_xlfn.XLOOKUP("Service_Insecure_Match",'Scoring_Config'!$A:$A,'Scoring_Config'!$D:$D,"Yes")="Yes",_xlfn.XLOOKUP("Service_Insecure_Match",'Scoring_Config'!$A:$A,'Scoring_Config'!$C:$C,20),0),0)+IF(LEFT(AN90,4)="True",IF(_xlfn.XLOOKUP("Risky_Inbound",'Scoring_Config'!$A:$A,'Scoring_Config'!$D:$D,"Yes")="Yes",_xlfn.XLOOKUP("Risky_Inbound",'Scoring_Config'!$A:$A,'Scoring_Config'!$C:$C,20),0),0)+IF(LEFT(AO90,4)="True",IF(_xlfn.XLOOKUP("Risky_Outbound",'Scoring_Config'!$A:$A,'Scoring_Config'!$D:$D,"Yes")="Yes",_xlfn.XLOOKUP("Risky_Outbound",'Scoring_Config'!$A:$A,'Scoring_Config'!$C:$C,10),0),0)+IF(LEFT(AW90,4)="True",IF(_xlfn.XLOOKUP("Migrate_Insecure",'Scoring_Config'!$A:$A,'Scoring_Config'!$D:$D,"Yes")="Yes",_xlfn.XLOOKUP("Migrate_Insecure",'Scoring_Config'!$A:$A,'Scoring_Config'!$C:$C,15),0),0)+IF(LEFT(AY90,4)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90,FIND(",",AP90)+1,100)),0)+IF(LEFT(AQ90,4)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90,FIND(",",AR90)+1,100)),0)+IF(_xlfn.XLOOKUP("Profile_Scoring",'Scoring_Config'!$A:$A,'Scoring_Config'!$D:$D,"Yes")="Yes",VALUE(MID(AS90,FIND(",",AS90)+1,100)),0)+IF(_xlfn.XLOOKUP("Options_Scoring",'Scoring_Config'!$A:$A,'Scoring_Config'!$D:$D,"Yes")="Yes",VALUE(MID(AT90,FIND(",",AT90)+1,100)),0)))</f>
        <v>0</v>
      </c>
    </row>
    <row r="91" spans="1:52">
      <c r="A91" s="3" t="s">
        <v>52</v>
      </c>
      <c r="B91" s="3" t="s">
        <v>131</v>
      </c>
      <c r="C91" s="3" t="s">
        <v>329</v>
      </c>
      <c r="D91" s="3"/>
      <c r="E91" s="3" t="s">
        <v>359</v>
      </c>
      <c r="F91" s="3" t="s">
        <v>361</v>
      </c>
      <c r="G91" s="3" t="s">
        <v>365</v>
      </c>
      <c r="H91" s="3" t="s">
        <v>365</v>
      </c>
      <c r="I91" s="3" t="s">
        <v>625</v>
      </c>
      <c r="J91" s="3" t="s">
        <v>364</v>
      </c>
      <c r="K91" s="3" t="s">
        <v>365</v>
      </c>
      <c r="L91" s="3" t="s">
        <v>365</v>
      </c>
      <c r="M91" s="3" t="s">
        <v>365</v>
      </c>
      <c r="N91" s="3" t="s">
        <v>365</v>
      </c>
      <c r="O91" s="4" t="s">
        <v>802</v>
      </c>
      <c r="P91" s="3" t="s">
        <v>863</v>
      </c>
      <c r="Q91" s="3" t="s">
        <v>905</v>
      </c>
      <c r="R91" s="3" t="s">
        <v>907</v>
      </c>
      <c r="S91" s="3" t="s">
        <v>913</v>
      </c>
      <c r="T91" s="3" t="s">
        <v>919</v>
      </c>
      <c r="U91" s="3"/>
      <c r="V91" s="3" t="s">
        <v>770</v>
      </c>
      <c r="W91" s="3" t="s">
        <v>1452</v>
      </c>
      <c r="X91" s="3" t="s">
        <v>1695</v>
      </c>
      <c r="Y91" s="3" t="s">
        <v>2164</v>
      </c>
      <c r="Z91" s="3"/>
      <c r="AA91" s="3"/>
      <c r="AB91" s="3"/>
      <c r="AC91" s="5" cm="1">
        <f t="array" ref="AC91">IF(TRUE,"True," &amp; IF(_xlfn.XLOOKUP("Src_IsAny",'Scoring_Config'!$A:$A,'Scoring_Config'!$D:$D,"Yes")="Yes",_xlfn.XLOOKUP("Src_IsAny",'Scoring_Config'!$A:$A,'Scoring_Config'!$C:$C,25),0),"False,0")</f>
        <v>0</v>
      </c>
      <c r="AD91" s="4" cm="1">
        <f t="array" ref="AD91">IF(FALSE,"True," &amp; IF(_xlfn.XLOOKUP("Src_CIDR_Le_16",'Scoring_Config'!$A:$A,'Scoring_Config'!$D:$D,"Yes")="Yes",_xlfn.XLOOKUP("Src_CIDR_Le_16",'Scoring_Config'!$A:$A,'Scoring_Config'!$C:$C,25),0),"False,0")</f>
        <v>0</v>
      </c>
      <c r="AE91" s="4" cm="1">
        <f t="array" ref="AE91">IF(FALSE,"True," &amp; IF(_xlfn.XLOOKUP("Src_CIDR_17_22",'Scoring_Config'!$A:$A,'Scoring_Config'!$D:$D,"Yes")="Yes",_xlfn.XLOOKUP("Src_CIDR_17_22",'Scoring_Config'!$A:$A,'Scoring_Config'!$C:$C,15),0),"False,0")</f>
        <v>0</v>
      </c>
      <c r="AF91" s="5" cm="1">
        <f t="array" ref="AF91">IF(TRUE,"True," &amp; IF(_xlfn.XLOOKUP("Dst_IsAny",'Scoring_Config'!$A:$A,'Scoring_Config'!$D:$D,"Yes")="Yes",_xlfn.XLOOKUP("Dst_IsAny",'Scoring_Config'!$A:$A,'Scoring_Config'!$C:$C,25),0),"False,0")</f>
        <v>0</v>
      </c>
      <c r="AG91" s="4" cm="1">
        <f t="array" ref="AG91">IF(FALSE,"True," &amp; IF(_xlfn.XLOOKUP("Dst_CIDR_Le_16",'Scoring_Config'!$A:$A,'Scoring_Config'!$D:$D,"Yes")="Yes",_xlfn.XLOOKUP("Dst_CIDR_Le_16",'Scoring_Config'!$A:$A,'Scoring_Config'!$C:$C,25),0),"False,0")</f>
        <v>0</v>
      </c>
      <c r="AH91" s="4" cm="1">
        <f t="array" ref="AH91">IF(FALSE,"True," &amp; IF(_xlfn.XLOOKUP("Dst_CIDR_17_22",'Scoring_Config'!$A:$A,'Scoring_Config'!$D:$D,"Yes")="Yes",_xlfn.XLOOKUP("Dst_CIDR_17_22",'Scoring_Config'!$A:$A,'Scoring_Config'!$C:$C,15),0),"False,0")</f>
        <v>0</v>
      </c>
      <c r="AI91" s="4" cm="1">
        <f t="array" ref="AI91">IF(FALSE,"True," &amp; IF(_xlfn.XLOOKUP("SrcZone_IsAny",'Scoring_Config'!$A:$A,'Scoring_Config'!$D:$D,"Yes")="Yes",_xlfn.XLOOKUP("SrcZone_IsAny",'Scoring_Config'!$A:$A,'Scoring_Config'!$C:$C,5),0),"False,0")</f>
        <v>0</v>
      </c>
      <c r="AJ91" s="4" cm="1">
        <f t="array" ref="AJ91">IF(FALSE,"True," &amp; IF(_xlfn.XLOOKUP("DstZone_IsAny",'Scoring_Config'!$A:$A,'Scoring_Config'!$D:$D,"Yes")="Yes",_xlfn.XLOOKUP("DstZone_IsAny",'Scoring_Config'!$A:$A,'Scoring_Config'!$C:$C,5),0),"False,0")</f>
        <v>0</v>
      </c>
      <c r="AK91" s="4" cm="1">
        <f t="array" ref="AK9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1" s="5" cm="1">
        <f t="array" ref="AL91">IF(TRUE,"True," &amp; IF(_xlfn.XLOOKUP("App_Any_OR_RangeGt1000",'Scoring_Config'!$A:$A,'Scoring_Config'!$D:$D,"Yes")="Yes",_xlfn.XLOOKUP("App_Any_OR_RangeGt1000",'Scoring_Config'!$A:$A,'Scoring_Config'!$C:$C,25),0),"False,0")</f>
        <v>0</v>
      </c>
      <c r="AM91" s="5" cm="1">
        <f t="array" ref="AM91">IF(TRUE,"True," &amp; IF(_xlfn.XLOOKUP("Service_Insecure_Match",'Scoring_Config'!$A:$A,'Scoring_Config'!$D:$D,"Yes")="Yes",_xlfn.XLOOKUP("Service_Insecure_Match",'Scoring_Config'!$A:$A,'Scoring_Config'!$C:$C,20),0),"False,0")</f>
        <v>0</v>
      </c>
      <c r="AN91" s="4" cm="1">
        <f t="array" ref="AN91">IF(FALSE,"True," &amp; IF(_xlfn.XLOOKUP("Risky_Inbound",'Scoring_Config'!$A:$A,'Scoring_Config'!$D:$D,"Yes")="Yes",_xlfn.XLOOKUP("Risky_Inbound",'Scoring_Config'!$A:$A,'Scoring_Config'!$C:$C,20),0),"False,0")</f>
        <v>0</v>
      </c>
      <c r="AO91" s="4" cm="1">
        <f t="array" ref="AO91">IF(FALSE,"True," &amp; IF(_xlfn.XLOOKUP("Risky_Outbound",'Scoring_Config'!$A:$A,'Scoring_Config'!$D:$D,"Yes")="Yes",_xlfn.XLOOKUP("Risky_Outbound",'Scoring_Config'!$A:$A,'Scoring_Config'!$C:$C,10),0),"False,0")</f>
        <v>0</v>
      </c>
      <c r="AP91" s="5" t="s">
        <v>2595</v>
      </c>
      <c r="AQ91" s="5" cm="1">
        <f t="array" ref="AQ9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1" s="5" t="s">
        <v>2598</v>
      </c>
      <c r="AS91" s="5" t="s">
        <v>2595</v>
      </c>
      <c r="AT91" s="4" t="s">
        <v>2592</v>
      </c>
      <c r="AU91" s="4" cm="1">
        <f t="array" ref="AU91">IF(FALSE,"True," &amp; IF(_xlfn.XLOOKUP("Action_IsDenyOrDrop",'Scoring_Config'!$A:$A,'Scoring_Config'!$D:$D,"Yes")="Yes",_xlfn.XLOOKUP("Action_IsDenyOrDrop",'Scoring_Config'!$A:$A,'Scoring_Config'!$C:$C,0),0),"False,0")</f>
        <v>0</v>
      </c>
      <c r="AV91" s="4"/>
      <c r="AW91" s="4" cm="1">
        <f t="array" ref="AW91">IF(FALSE,"True," &amp; IF(_xlfn.XLOOKUP("Migrate_Insecure",'Scoring_Config'!$A:$A,'Scoring_Config'!$D:$D,"Yes")="Yes",_xlfn.XLOOKUP("Migrate_Insecure",'Scoring_Config'!$A:$A,'Scoring_Config'!$C:$C,15),0),"False,0")</f>
        <v>0</v>
      </c>
      <c r="AX91" s="4"/>
      <c r="AY91" s="4" cm="1">
        <f t="array" ref="AY91">IF(FALSE,"True," &amp; IF(_xlfn.XLOOKUP("Migrate_Other_Ports",'Scoring_Config'!$A:$A,'Scoring_Config'!$D:$D,"Yes")="Yes",_xlfn.XLOOKUP("Migrate_Other_Ports",'Scoring_Config'!$A:$A,'Scoring_Config'!$C:$C,5),0),"False,0")</f>
        <v>0</v>
      </c>
      <c r="AZ91" s="4" cm="1">
        <f t="array" ref="AZ91">IF(LEFT(AU91,4)="True",0,(IF(LEFT(AC91,4)="True",IF(_xlfn.XLOOKUP("Src_IsAny",'Scoring_Config'!$A:$A,'Scoring_Config'!$D:$D,"Yes")="Yes",_xlfn.XLOOKUP("Src_IsAny",'Scoring_Config'!$A:$A,'Scoring_Config'!$C:$C,25),0),0)+IF(LEFT(AD91,4)="True",IF(_xlfn.XLOOKUP("Src_CIDR_Le_16",'Scoring_Config'!$A:$A,'Scoring_Config'!$D:$D,"Yes")="Yes",_xlfn.XLOOKUP("Src_CIDR_Le_16",'Scoring_Config'!$A:$A,'Scoring_Config'!$C:$C,25),0),0)+IF(LEFT(AE91,4)="True",IF(_xlfn.XLOOKUP("Src_CIDR_17_22",'Scoring_Config'!$A:$A,'Scoring_Config'!$D:$D,"Yes")="Yes",_xlfn.XLOOKUP("Src_CIDR_17_22",'Scoring_Config'!$A:$A,'Scoring_Config'!$C:$C,15),0),0)+IF(LEFT(AF91,4)="True",IF(_xlfn.XLOOKUP("Dst_IsAny",'Scoring_Config'!$A:$A,'Scoring_Config'!$D:$D,"Yes")="Yes",_xlfn.XLOOKUP("Dst_IsAny",'Scoring_Config'!$A:$A,'Scoring_Config'!$C:$C,25),0),0)+IF(LEFT(AG91,4)="True",IF(_xlfn.XLOOKUP("Dst_CIDR_Le_16",'Scoring_Config'!$A:$A,'Scoring_Config'!$D:$D,"Yes")="Yes",_xlfn.XLOOKUP("Dst_CIDR_Le_16",'Scoring_Config'!$A:$A,'Scoring_Config'!$C:$C,25),0),0)+IF(LEFT(AH91,4)="True",IF(_xlfn.XLOOKUP("Dst_CIDR_17_22",'Scoring_Config'!$A:$A,'Scoring_Config'!$D:$D,"Yes")="Yes",_xlfn.XLOOKUP("Dst_CIDR_17_22",'Scoring_Config'!$A:$A,'Scoring_Config'!$C:$C,15),0),0)+IF(LEFT(AI91,4)="True",IF(_xlfn.XLOOKUP("SrcZone_IsAny",'Scoring_Config'!$A:$A,'Scoring_Config'!$D:$D,"Yes")="Yes",_xlfn.XLOOKUP("SrcZone_IsAny",'Scoring_Config'!$A:$A,'Scoring_Config'!$C:$C,5),0),0)+IF(LEFT(AJ91,4)="True",IF(_xlfn.XLOOKUP("DstZone_IsAny",'Scoring_Config'!$A:$A,'Scoring_Config'!$D:$D,"Yes")="Yes",_xlfn.XLOOKUP("DstZone_IsAny",'Scoring_Config'!$A:$A,'Scoring_Config'!$C:$C,5),0),0)+IF(LEFT(AK91,4)="True",IF(_xlfn.XLOOKUP("Service_Any_OR_RangeGt1000",'Scoring_Config'!$A:$A,'Scoring_Config'!$D:$D,"Yes")="Yes",_xlfn.XLOOKUP("Service_Any_OR_RangeGt1000",'Scoring_Config'!$A:$A,'Scoring_Config'!$C:$C,25),0),0)+IF(LEFT(AL91,4)="True",IF(_xlfn.XLOOKUP("App_Any_OR_RangeGt1000",'Scoring_Config'!$A:$A,'Scoring_Config'!$D:$D,"Yes")="Yes",_xlfn.XLOOKUP("App_Any_OR_RangeGt1000",'Scoring_Config'!$A:$A,'Scoring_Config'!$C:$C,25),0),0)+IF(LEFT(AM91,4)="True",IF(_xlfn.XLOOKUP("Service_Insecure_Match",'Scoring_Config'!$A:$A,'Scoring_Config'!$D:$D,"Yes")="Yes",_xlfn.XLOOKUP("Service_Insecure_Match",'Scoring_Config'!$A:$A,'Scoring_Config'!$C:$C,20),0),0)+IF(LEFT(AN91,4)="True",IF(_xlfn.XLOOKUP("Risky_Inbound",'Scoring_Config'!$A:$A,'Scoring_Config'!$D:$D,"Yes")="Yes",_xlfn.XLOOKUP("Risky_Inbound",'Scoring_Config'!$A:$A,'Scoring_Config'!$C:$C,20),0),0)+IF(LEFT(AO91,4)="True",IF(_xlfn.XLOOKUP("Risky_Outbound",'Scoring_Config'!$A:$A,'Scoring_Config'!$D:$D,"Yes")="Yes",_xlfn.XLOOKUP("Risky_Outbound",'Scoring_Config'!$A:$A,'Scoring_Config'!$C:$C,10),0),0)+IF(LEFT(AW91,4)="True",IF(_xlfn.XLOOKUP("Migrate_Insecure",'Scoring_Config'!$A:$A,'Scoring_Config'!$D:$D,"Yes")="Yes",_xlfn.XLOOKUP("Migrate_Insecure",'Scoring_Config'!$A:$A,'Scoring_Config'!$C:$C,15),0),0)+IF(LEFT(AY91,4)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91,FIND(",",AP91)+1,100)),0)+IF(LEFT(AQ91,4)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91,FIND(",",AR91)+1,100)),0)+IF(_xlfn.XLOOKUP("Profile_Scoring",'Scoring_Config'!$A:$A,'Scoring_Config'!$D:$D,"Yes")="Yes",VALUE(MID(AS91,FIND(",",AS91)+1,100)),0)+IF(_xlfn.XLOOKUP("Options_Scoring",'Scoring_Config'!$A:$A,'Scoring_Config'!$D:$D,"Yes")="Yes",VALUE(MID(AT91,FIND(",",AT91)+1,100)),0)))</f>
        <v>0</v>
      </c>
    </row>
    <row r="92" spans="1:52">
      <c r="A92" s="3" t="s">
        <v>52</v>
      </c>
      <c r="B92" s="3" t="s">
        <v>132</v>
      </c>
      <c r="C92" s="3" t="s">
        <v>329</v>
      </c>
      <c r="D92" s="3"/>
      <c r="E92" s="3" t="s">
        <v>359</v>
      </c>
      <c r="F92" s="3" t="s">
        <v>361</v>
      </c>
      <c r="G92" s="3" t="s">
        <v>396</v>
      </c>
      <c r="H92" s="3" t="s">
        <v>556</v>
      </c>
      <c r="I92" s="3" t="s">
        <v>624</v>
      </c>
      <c r="J92" s="3" t="s">
        <v>360</v>
      </c>
      <c r="K92" s="3" t="s">
        <v>365</v>
      </c>
      <c r="L92" s="3" t="s">
        <v>365</v>
      </c>
      <c r="M92" s="3" t="s">
        <v>772</v>
      </c>
      <c r="N92" s="3" t="s">
        <v>794</v>
      </c>
      <c r="O92" s="4" t="s">
        <v>815</v>
      </c>
      <c r="P92" s="3" t="s">
        <v>876</v>
      </c>
      <c r="Q92" s="3" t="s">
        <v>905</v>
      </c>
      <c r="R92" s="3" t="s">
        <v>910</v>
      </c>
      <c r="S92" s="3" t="s">
        <v>913</v>
      </c>
      <c r="T92" s="3" t="s">
        <v>919</v>
      </c>
      <c r="U92" s="3" t="s">
        <v>1145</v>
      </c>
      <c r="V92" s="3" t="s">
        <v>770</v>
      </c>
      <c r="W92" s="3" t="s">
        <v>1453</v>
      </c>
      <c r="X92" s="3" t="s">
        <v>1696</v>
      </c>
      <c r="Y92" s="3" t="s">
        <v>2165</v>
      </c>
      <c r="Z92" s="3"/>
      <c r="AA92" s="3"/>
      <c r="AB92" s="3"/>
      <c r="AC92" s="4" cm="1">
        <f t="array" ref="AC92">IF(FALSE,"True," &amp; IF(_xlfn.XLOOKUP("Src_IsAny",'Scoring_Config'!$A:$A,'Scoring_Config'!$D:$D,"Yes")="Yes",_xlfn.XLOOKUP("Src_IsAny",'Scoring_Config'!$A:$A,'Scoring_Config'!$C:$C,25),0),"False,0")</f>
        <v>0</v>
      </c>
      <c r="AD92" s="4" cm="1">
        <f t="array" ref="AD92">IF(FALSE,"True," &amp; IF(_xlfn.XLOOKUP("Src_CIDR_Le_16",'Scoring_Config'!$A:$A,'Scoring_Config'!$D:$D,"Yes")="Yes",_xlfn.XLOOKUP("Src_CIDR_Le_16",'Scoring_Config'!$A:$A,'Scoring_Config'!$C:$C,25),0),"False,0")</f>
        <v>0</v>
      </c>
      <c r="AE92" s="4" cm="1">
        <f t="array" ref="AE92">IF(FALSE,"True," &amp; IF(_xlfn.XLOOKUP("Src_CIDR_17_22",'Scoring_Config'!$A:$A,'Scoring_Config'!$D:$D,"Yes")="Yes",_xlfn.XLOOKUP("Src_CIDR_17_22",'Scoring_Config'!$A:$A,'Scoring_Config'!$C:$C,15),0),"False,0")</f>
        <v>0</v>
      </c>
      <c r="AF92" s="5" cm="1">
        <f t="array" ref="AF92">IF(TRUE,"True," &amp; IF(_xlfn.XLOOKUP("Dst_IsAny",'Scoring_Config'!$A:$A,'Scoring_Config'!$D:$D,"Yes")="Yes",_xlfn.XLOOKUP("Dst_IsAny",'Scoring_Config'!$A:$A,'Scoring_Config'!$C:$C,25),0),"False,0")</f>
        <v>0</v>
      </c>
      <c r="AG92" s="4" cm="1">
        <f t="array" ref="AG92">IF(FALSE,"True," &amp; IF(_xlfn.XLOOKUP("Dst_CIDR_Le_16",'Scoring_Config'!$A:$A,'Scoring_Config'!$D:$D,"Yes")="Yes",_xlfn.XLOOKUP("Dst_CIDR_Le_16",'Scoring_Config'!$A:$A,'Scoring_Config'!$C:$C,25),0),"False,0")</f>
        <v>0</v>
      </c>
      <c r="AH92" s="4" cm="1">
        <f t="array" ref="AH92">IF(FALSE,"True," &amp; IF(_xlfn.XLOOKUP("Dst_CIDR_17_22",'Scoring_Config'!$A:$A,'Scoring_Config'!$D:$D,"Yes")="Yes",_xlfn.XLOOKUP("Dst_CIDR_17_22",'Scoring_Config'!$A:$A,'Scoring_Config'!$C:$C,15),0),"False,0")</f>
        <v>0</v>
      </c>
      <c r="AI92" s="4" cm="1">
        <f t="array" ref="AI92">IF(FALSE,"True," &amp; IF(_xlfn.XLOOKUP("SrcZone_IsAny",'Scoring_Config'!$A:$A,'Scoring_Config'!$D:$D,"Yes")="Yes",_xlfn.XLOOKUP("SrcZone_IsAny",'Scoring_Config'!$A:$A,'Scoring_Config'!$C:$C,5),0),"False,0")</f>
        <v>0</v>
      </c>
      <c r="AJ92" s="4" cm="1">
        <f t="array" ref="AJ92">IF(FALSE,"True," &amp; IF(_xlfn.XLOOKUP("DstZone_IsAny",'Scoring_Config'!$A:$A,'Scoring_Config'!$D:$D,"Yes")="Yes",_xlfn.XLOOKUP("DstZone_IsAny",'Scoring_Config'!$A:$A,'Scoring_Config'!$C:$C,5),0),"False,0")</f>
        <v>0</v>
      </c>
      <c r="AK92" s="4" cm="1">
        <f t="array" ref="AK9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2" s="4" cm="1">
        <f t="array" ref="AL92">IF(FALSE,"True," &amp; IF(_xlfn.XLOOKUP("App_Any_OR_RangeGt1000",'Scoring_Config'!$A:$A,'Scoring_Config'!$D:$D,"Yes")="Yes",_xlfn.XLOOKUP("App_Any_OR_RangeGt1000",'Scoring_Config'!$A:$A,'Scoring_Config'!$C:$C,25),0),"False,0")</f>
        <v>0</v>
      </c>
      <c r="AM92" s="4" cm="1">
        <f t="array" ref="AM92">IF(FALSE,"True," &amp; IF(_xlfn.XLOOKUP("Service_Insecure_Match",'Scoring_Config'!$A:$A,'Scoring_Config'!$D:$D,"Yes")="Yes",_xlfn.XLOOKUP("Service_Insecure_Match",'Scoring_Config'!$A:$A,'Scoring_Config'!$C:$C,20),0),"False,0")</f>
        <v>0</v>
      </c>
      <c r="AN92" s="4" cm="1">
        <f t="array" ref="AN92">IF(FALSE,"True," &amp; IF(_xlfn.XLOOKUP("Risky_Inbound",'Scoring_Config'!$A:$A,'Scoring_Config'!$D:$D,"Yes")="Yes",_xlfn.XLOOKUP("Risky_Inbound",'Scoring_Config'!$A:$A,'Scoring_Config'!$C:$C,20),0),"False,0")</f>
        <v>0</v>
      </c>
      <c r="AO92" s="4" cm="1">
        <f t="array" ref="AO92">IF(FALSE,"True," &amp; IF(_xlfn.XLOOKUP("Risky_Outbound",'Scoring_Config'!$A:$A,'Scoring_Config'!$D:$D,"Yes")="Yes",_xlfn.XLOOKUP("Risky_Outbound",'Scoring_Config'!$A:$A,'Scoring_Config'!$C:$C,10),0),"False,0")</f>
        <v>0</v>
      </c>
      <c r="AP92" s="5" t="s">
        <v>2595</v>
      </c>
      <c r="AQ92" s="5" cm="1">
        <f t="array" ref="AQ9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2" s="5" t="s">
        <v>2598</v>
      </c>
      <c r="AS92" s="4" t="s">
        <v>2592</v>
      </c>
      <c r="AT92" s="4" t="s">
        <v>2592</v>
      </c>
      <c r="AU92" s="4" cm="1">
        <f t="array" ref="AU92">IF(FALSE,"True," &amp; IF(_xlfn.XLOOKUP("Action_IsDenyOrDrop",'Scoring_Config'!$A:$A,'Scoring_Config'!$D:$D,"Yes")="Yes",_xlfn.XLOOKUP("Action_IsDenyOrDrop",'Scoring_Config'!$A:$A,'Scoring_Config'!$C:$C,0),0),"False,0")</f>
        <v>0</v>
      </c>
      <c r="AV92" s="4"/>
      <c r="AW92" s="4" cm="1">
        <f t="array" ref="AW92">IF(FALSE,"True," &amp; IF(_xlfn.XLOOKUP("Migrate_Insecure",'Scoring_Config'!$A:$A,'Scoring_Config'!$D:$D,"Yes")="Yes",_xlfn.XLOOKUP("Migrate_Insecure",'Scoring_Config'!$A:$A,'Scoring_Config'!$C:$C,15),0),"False,0")</f>
        <v>0</v>
      </c>
      <c r="AX92" s="4"/>
      <c r="AY92" s="4" cm="1">
        <f t="array" ref="AY92">IF(FALSE,"True," &amp; IF(_xlfn.XLOOKUP("Migrate_Other_Ports",'Scoring_Config'!$A:$A,'Scoring_Config'!$D:$D,"Yes")="Yes",_xlfn.XLOOKUP("Migrate_Other_Ports",'Scoring_Config'!$A:$A,'Scoring_Config'!$C:$C,5),0),"False,0")</f>
        <v>0</v>
      </c>
      <c r="AZ92" s="4" cm="1">
        <f t="array" ref="AZ92">IF(LEFT(AU92,4)="True",0,(IF(LEFT(AC92,4)="True",IF(_xlfn.XLOOKUP("Src_IsAny",'Scoring_Config'!$A:$A,'Scoring_Config'!$D:$D,"Yes")="Yes",_xlfn.XLOOKUP("Src_IsAny",'Scoring_Config'!$A:$A,'Scoring_Config'!$C:$C,25),0),0)+IF(LEFT(AD92,4)="True",IF(_xlfn.XLOOKUP("Src_CIDR_Le_16",'Scoring_Config'!$A:$A,'Scoring_Config'!$D:$D,"Yes")="Yes",_xlfn.XLOOKUP("Src_CIDR_Le_16",'Scoring_Config'!$A:$A,'Scoring_Config'!$C:$C,25),0),0)+IF(LEFT(AE92,4)="True",IF(_xlfn.XLOOKUP("Src_CIDR_17_22",'Scoring_Config'!$A:$A,'Scoring_Config'!$D:$D,"Yes")="Yes",_xlfn.XLOOKUP("Src_CIDR_17_22",'Scoring_Config'!$A:$A,'Scoring_Config'!$C:$C,15),0),0)+IF(LEFT(AF92,4)="True",IF(_xlfn.XLOOKUP("Dst_IsAny",'Scoring_Config'!$A:$A,'Scoring_Config'!$D:$D,"Yes")="Yes",_xlfn.XLOOKUP("Dst_IsAny",'Scoring_Config'!$A:$A,'Scoring_Config'!$C:$C,25),0),0)+IF(LEFT(AG92,4)="True",IF(_xlfn.XLOOKUP("Dst_CIDR_Le_16",'Scoring_Config'!$A:$A,'Scoring_Config'!$D:$D,"Yes")="Yes",_xlfn.XLOOKUP("Dst_CIDR_Le_16",'Scoring_Config'!$A:$A,'Scoring_Config'!$C:$C,25),0),0)+IF(LEFT(AH92,4)="True",IF(_xlfn.XLOOKUP("Dst_CIDR_17_22",'Scoring_Config'!$A:$A,'Scoring_Config'!$D:$D,"Yes")="Yes",_xlfn.XLOOKUP("Dst_CIDR_17_22",'Scoring_Config'!$A:$A,'Scoring_Config'!$C:$C,15),0),0)+IF(LEFT(AI92,4)="True",IF(_xlfn.XLOOKUP("SrcZone_IsAny",'Scoring_Config'!$A:$A,'Scoring_Config'!$D:$D,"Yes")="Yes",_xlfn.XLOOKUP("SrcZone_IsAny",'Scoring_Config'!$A:$A,'Scoring_Config'!$C:$C,5),0),0)+IF(LEFT(AJ92,4)="True",IF(_xlfn.XLOOKUP("DstZone_IsAny",'Scoring_Config'!$A:$A,'Scoring_Config'!$D:$D,"Yes")="Yes",_xlfn.XLOOKUP("DstZone_IsAny",'Scoring_Config'!$A:$A,'Scoring_Config'!$C:$C,5),0),0)+IF(LEFT(AK92,4)="True",IF(_xlfn.XLOOKUP("Service_Any_OR_RangeGt1000",'Scoring_Config'!$A:$A,'Scoring_Config'!$D:$D,"Yes")="Yes",_xlfn.XLOOKUP("Service_Any_OR_RangeGt1000",'Scoring_Config'!$A:$A,'Scoring_Config'!$C:$C,25),0),0)+IF(LEFT(AL92,4)="True",IF(_xlfn.XLOOKUP("App_Any_OR_RangeGt1000",'Scoring_Config'!$A:$A,'Scoring_Config'!$D:$D,"Yes")="Yes",_xlfn.XLOOKUP("App_Any_OR_RangeGt1000",'Scoring_Config'!$A:$A,'Scoring_Config'!$C:$C,25),0),0)+IF(LEFT(AM92,4)="True",IF(_xlfn.XLOOKUP("Service_Insecure_Match",'Scoring_Config'!$A:$A,'Scoring_Config'!$D:$D,"Yes")="Yes",_xlfn.XLOOKUP("Service_Insecure_Match",'Scoring_Config'!$A:$A,'Scoring_Config'!$C:$C,20),0),0)+IF(LEFT(AN92,4)="True",IF(_xlfn.XLOOKUP("Risky_Inbound",'Scoring_Config'!$A:$A,'Scoring_Config'!$D:$D,"Yes")="Yes",_xlfn.XLOOKUP("Risky_Inbound",'Scoring_Config'!$A:$A,'Scoring_Config'!$C:$C,20),0),0)+IF(LEFT(AO92,4)="True",IF(_xlfn.XLOOKUP("Risky_Outbound",'Scoring_Config'!$A:$A,'Scoring_Config'!$D:$D,"Yes")="Yes",_xlfn.XLOOKUP("Risky_Outbound",'Scoring_Config'!$A:$A,'Scoring_Config'!$C:$C,10),0),0)+IF(LEFT(AW92,4)="True",IF(_xlfn.XLOOKUP("Migrate_Insecure",'Scoring_Config'!$A:$A,'Scoring_Config'!$D:$D,"Yes")="Yes",_xlfn.XLOOKUP("Migrate_Insecure",'Scoring_Config'!$A:$A,'Scoring_Config'!$C:$C,15),0),0)+IF(LEFT(AY92,4)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92,FIND(",",AP92)+1,100)),0)+IF(LEFT(AQ92,4)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92,FIND(",",AR92)+1,100)),0)+IF(_xlfn.XLOOKUP("Profile_Scoring",'Scoring_Config'!$A:$A,'Scoring_Config'!$D:$D,"Yes")="Yes",VALUE(MID(AS92,FIND(",",AS92)+1,100)),0)+IF(_xlfn.XLOOKUP("Options_Scoring",'Scoring_Config'!$A:$A,'Scoring_Config'!$D:$D,"Yes")="Yes",VALUE(MID(AT92,FIND(",",AT92)+1,100)),0)))</f>
        <v>0</v>
      </c>
    </row>
    <row r="93" spans="1:52">
      <c r="A93" s="3" t="s">
        <v>52</v>
      </c>
      <c r="B93" s="3" t="s">
        <v>133</v>
      </c>
      <c r="C93" s="3" t="s">
        <v>329</v>
      </c>
      <c r="D93" s="3"/>
      <c r="E93" s="3" t="s">
        <v>359</v>
      </c>
      <c r="F93" s="3" t="s">
        <v>364</v>
      </c>
      <c r="G93" s="3" t="s">
        <v>397</v>
      </c>
      <c r="H93" s="3" t="s">
        <v>557</v>
      </c>
      <c r="I93" s="3" t="s">
        <v>365</v>
      </c>
      <c r="J93" s="3" t="s">
        <v>362</v>
      </c>
      <c r="K93" s="3" t="s">
        <v>643</v>
      </c>
      <c r="L93" s="3" t="s">
        <v>748</v>
      </c>
      <c r="M93" s="3" t="s">
        <v>775</v>
      </c>
      <c r="N93" s="3" t="s">
        <v>796</v>
      </c>
      <c r="O93" s="4" t="s">
        <v>825</v>
      </c>
      <c r="P93" s="3" t="s">
        <v>886</v>
      </c>
      <c r="Q93" s="3" t="s">
        <v>905</v>
      </c>
      <c r="R93" s="3" t="s">
        <v>908</v>
      </c>
      <c r="S93" s="3" t="s">
        <v>907</v>
      </c>
      <c r="T93" s="3" t="s">
        <v>975</v>
      </c>
      <c r="U93" s="3" t="s">
        <v>1147</v>
      </c>
      <c r="V93" s="3" t="s">
        <v>770</v>
      </c>
      <c r="W93" s="3" t="s">
        <v>1454</v>
      </c>
      <c r="X93" s="3" t="s">
        <v>1697</v>
      </c>
      <c r="Y93" s="3" t="s">
        <v>2166</v>
      </c>
      <c r="Z93" s="3"/>
      <c r="AA93" s="3"/>
      <c r="AB93" s="3"/>
      <c r="AC93" s="4" cm="1">
        <f t="array" ref="AC93">IF(FALSE,"True," &amp; IF(_xlfn.XLOOKUP("Src_IsAny",'Scoring_Config'!$A:$A,'Scoring_Config'!$D:$D,"Yes")="Yes",_xlfn.XLOOKUP("Src_IsAny",'Scoring_Config'!$A:$A,'Scoring_Config'!$C:$C,25),0),"False,0")</f>
        <v>0</v>
      </c>
      <c r="AD93" s="4" cm="1">
        <f t="array" ref="AD93">IF(FALSE,"True," &amp; IF(_xlfn.XLOOKUP("Src_CIDR_Le_16",'Scoring_Config'!$A:$A,'Scoring_Config'!$D:$D,"Yes")="Yes",_xlfn.XLOOKUP("Src_CIDR_Le_16",'Scoring_Config'!$A:$A,'Scoring_Config'!$C:$C,25),0),"False,0")</f>
        <v>0</v>
      </c>
      <c r="AE93" s="4" cm="1">
        <f t="array" ref="AE93">IF(FALSE,"True," &amp; IF(_xlfn.XLOOKUP("Src_CIDR_17_22",'Scoring_Config'!$A:$A,'Scoring_Config'!$D:$D,"Yes")="Yes",_xlfn.XLOOKUP("Src_CIDR_17_22",'Scoring_Config'!$A:$A,'Scoring_Config'!$C:$C,15),0),"False,0")</f>
        <v>0</v>
      </c>
      <c r="AF93" s="4" cm="1">
        <f t="array" ref="AF93">IF(FALSE,"True," &amp; IF(_xlfn.XLOOKUP("Dst_IsAny",'Scoring_Config'!$A:$A,'Scoring_Config'!$D:$D,"Yes")="Yes",_xlfn.XLOOKUP("Dst_IsAny",'Scoring_Config'!$A:$A,'Scoring_Config'!$C:$C,25),0),"False,0")</f>
        <v>0</v>
      </c>
      <c r="AG93" s="4" cm="1">
        <f t="array" ref="AG93">IF(FALSE,"True," &amp; IF(_xlfn.XLOOKUP("Dst_CIDR_Le_16",'Scoring_Config'!$A:$A,'Scoring_Config'!$D:$D,"Yes")="Yes",_xlfn.XLOOKUP("Dst_CIDR_Le_16",'Scoring_Config'!$A:$A,'Scoring_Config'!$C:$C,25),0),"False,0")</f>
        <v>0</v>
      </c>
      <c r="AH93" s="4" cm="1">
        <f t="array" ref="AH93">IF(FALSE,"True," &amp; IF(_xlfn.XLOOKUP("Dst_CIDR_17_22",'Scoring_Config'!$A:$A,'Scoring_Config'!$D:$D,"Yes")="Yes",_xlfn.XLOOKUP("Dst_CIDR_17_22",'Scoring_Config'!$A:$A,'Scoring_Config'!$C:$C,15),0),"False,0")</f>
        <v>0</v>
      </c>
      <c r="AI93" s="4" cm="1">
        <f t="array" ref="AI93">IF(FALSE,"True," &amp; IF(_xlfn.XLOOKUP("SrcZone_IsAny",'Scoring_Config'!$A:$A,'Scoring_Config'!$D:$D,"Yes")="Yes",_xlfn.XLOOKUP("SrcZone_IsAny",'Scoring_Config'!$A:$A,'Scoring_Config'!$C:$C,5),0),"False,0")</f>
        <v>0</v>
      </c>
      <c r="AJ93" s="4" cm="1">
        <f t="array" ref="AJ93">IF(FALSE,"True," &amp; IF(_xlfn.XLOOKUP("DstZone_IsAny",'Scoring_Config'!$A:$A,'Scoring_Config'!$D:$D,"Yes")="Yes",_xlfn.XLOOKUP("DstZone_IsAny",'Scoring_Config'!$A:$A,'Scoring_Config'!$C:$C,5),0),"False,0")</f>
        <v>0</v>
      </c>
      <c r="AK93" s="4" cm="1">
        <f t="array" ref="AK9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3" s="4" cm="1">
        <f t="array" ref="AL93">IF(FALSE,"True," &amp; IF(_xlfn.XLOOKUP("App_Any_OR_RangeGt1000",'Scoring_Config'!$A:$A,'Scoring_Config'!$D:$D,"Yes")="Yes",_xlfn.XLOOKUP("App_Any_OR_RangeGt1000",'Scoring_Config'!$A:$A,'Scoring_Config'!$C:$C,25),0),"False,0")</f>
        <v>0</v>
      </c>
      <c r="AM93" s="5" cm="1">
        <f t="array" ref="AM93">IF(TRUE,"True," &amp; IF(_xlfn.XLOOKUP("Service_Insecure_Match",'Scoring_Config'!$A:$A,'Scoring_Config'!$D:$D,"Yes")="Yes",_xlfn.XLOOKUP("Service_Insecure_Match",'Scoring_Config'!$A:$A,'Scoring_Config'!$C:$C,20),0),"False,0")</f>
        <v>0</v>
      </c>
      <c r="AN93" s="4" cm="1">
        <f t="array" ref="AN93">IF(FALSE,"True," &amp; IF(_xlfn.XLOOKUP("Risky_Inbound",'Scoring_Config'!$A:$A,'Scoring_Config'!$D:$D,"Yes")="Yes",_xlfn.XLOOKUP("Risky_Inbound",'Scoring_Config'!$A:$A,'Scoring_Config'!$C:$C,20),0),"False,0")</f>
        <v>0</v>
      </c>
      <c r="AO93" s="4" cm="1">
        <f t="array" ref="AO93">IF(FALSE,"True," &amp; IF(_xlfn.XLOOKUP("Risky_Outbound",'Scoring_Config'!$A:$A,'Scoring_Config'!$D:$D,"Yes")="Yes",_xlfn.XLOOKUP("Risky_Outbound",'Scoring_Config'!$A:$A,'Scoring_Config'!$C:$C,10),0),"False,0")</f>
        <v>0</v>
      </c>
      <c r="AP93" s="5" t="s">
        <v>2595</v>
      </c>
      <c r="AQ93" s="5" cm="1">
        <f t="array" ref="AQ9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3" s="4" t="s">
        <v>2592</v>
      </c>
      <c r="AS93" s="4" t="s">
        <v>2592</v>
      </c>
      <c r="AT93" s="5" t="s">
        <v>2595</v>
      </c>
      <c r="AU93" s="4" cm="1">
        <f t="array" ref="AU93">IF(FALSE,"True," &amp; IF(_xlfn.XLOOKUP("Action_IsDenyOrDrop",'Scoring_Config'!$A:$A,'Scoring_Config'!$D:$D,"Yes")="Yes",_xlfn.XLOOKUP("Action_IsDenyOrDrop",'Scoring_Config'!$A:$A,'Scoring_Config'!$C:$C,0),0),"False,0")</f>
        <v>0</v>
      </c>
      <c r="AV93" s="4"/>
      <c r="AW93" s="4" cm="1">
        <f t="array" ref="AW93">IF(FALSE,"True," &amp; IF(_xlfn.XLOOKUP("Migrate_Insecure",'Scoring_Config'!$A:$A,'Scoring_Config'!$D:$D,"Yes")="Yes",_xlfn.XLOOKUP("Migrate_Insecure",'Scoring_Config'!$A:$A,'Scoring_Config'!$C:$C,15),0),"False,0")</f>
        <v>0</v>
      </c>
      <c r="AX93" s="4"/>
      <c r="AY93" s="4" cm="1">
        <f t="array" ref="AY93">IF(FALSE,"True," &amp; IF(_xlfn.XLOOKUP("Migrate_Other_Ports",'Scoring_Config'!$A:$A,'Scoring_Config'!$D:$D,"Yes")="Yes",_xlfn.XLOOKUP("Migrate_Other_Ports",'Scoring_Config'!$A:$A,'Scoring_Config'!$C:$C,5),0),"False,0")</f>
        <v>0</v>
      </c>
      <c r="AZ93" s="4" cm="1">
        <f t="array" ref="AZ93">IF(LEFT(AU93,4)="True",0,(IF(LEFT(AC93,4)="True",IF(_xlfn.XLOOKUP("Src_IsAny",'Scoring_Config'!$A:$A,'Scoring_Config'!$D:$D,"Yes")="Yes",_xlfn.XLOOKUP("Src_IsAny",'Scoring_Config'!$A:$A,'Scoring_Config'!$C:$C,25),0),0)+IF(LEFT(AD93,4)="True",IF(_xlfn.XLOOKUP("Src_CIDR_Le_16",'Scoring_Config'!$A:$A,'Scoring_Config'!$D:$D,"Yes")="Yes",_xlfn.XLOOKUP("Src_CIDR_Le_16",'Scoring_Config'!$A:$A,'Scoring_Config'!$C:$C,25),0),0)+IF(LEFT(AE93,4)="True",IF(_xlfn.XLOOKUP("Src_CIDR_17_22",'Scoring_Config'!$A:$A,'Scoring_Config'!$D:$D,"Yes")="Yes",_xlfn.XLOOKUP("Src_CIDR_17_22",'Scoring_Config'!$A:$A,'Scoring_Config'!$C:$C,15),0),0)+IF(LEFT(AF93,4)="True",IF(_xlfn.XLOOKUP("Dst_IsAny",'Scoring_Config'!$A:$A,'Scoring_Config'!$D:$D,"Yes")="Yes",_xlfn.XLOOKUP("Dst_IsAny",'Scoring_Config'!$A:$A,'Scoring_Config'!$C:$C,25),0),0)+IF(LEFT(AG93,4)="True",IF(_xlfn.XLOOKUP("Dst_CIDR_Le_16",'Scoring_Config'!$A:$A,'Scoring_Config'!$D:$D,"Yes")="Yes",_xlfn.XLOOKUP("Dst_CIDR_Le_16",'Scoring_Config'!$A:$A,'Scoring_Config'!$C:$C,25),0),0)+IF(LEFT(AH93,4)="True",IF(_xlfn.XLOOKUP("Dst_CIDR_17_22",'Scoring_Config'!$A:$A,'Scoring_Config'!$D:$D,"Yes")="Yes",_xlfn.XLOOKUP("Dst_CIDR_17_22",'Scoring_Config'!$A:$A,'Scoring_Config'!$C:$C,15),0),0)+IF(LEFT(AI93,4)="True",IF(_xlfn.XLOOKUP("SrcZone_IsAny",'Scoring_Config'!$A:$A,'Scoring_Config'!$D:$D,"Yes")="Yes",_xlfn.XLOOKUP("SrcZone_IsAny",'Scoring_Config'!$A:$A,'Scoring_Config'!$C:$C,5),0),0)+IF(LEFT(AJ93,4)="True",IF(_xlfn.XLOOKUP("DstZone_IsAny",'Scoring_Config'!$A:$A,'Scoring_Config'!$D:$D,"Yes")="Yes",_xlfn.XLOOKUP("DstZone_IsAny",'Scoring_Config'!$A:$A,'Scoring_Config'!$C:$C,5),0),0)+IF(LEFT(AK93,4)="True",IF(_xlfn.XLOOKUP("Service_Any_OR_RangeGt1000",'Scoring_Config'!$A:$A,'Scoring_Config'!$D:$D,"Yes")="Yes",_xlfn.XLOOKUP("Service_Any_OR_RangeGt1000",'Scoring_Config'!$A:$A,'Scoring_Config'!$C:$C,25),0),0)+IF(LEFT(AL93,4)="True",IF(_xlfn.XLOOKUP("App_Any_OR_RangeGt1000",'Scoring_Config'!$A:$A,'Scoring_Config'!$D:$D,"Yes")="Yes",_xlfn.XLOOKUP("App_Any_OR_RangeGt1000",'Scoring_Config'!$A:$A,'Scoring_Config'!$C:$C,25),0),0)+IF(LEFT(AM93,4)="True",IF(_xlfn.XLOOKUP("Service_Insecure_Match",'Scoring_Config'!$A:$A,'Scoring_Config'!$D:$D,"Yes")="Yes",_xlfn.XLOOKUP("Service_Insecure_Match",'Scoring_Config'!$A:$A,'Scoring_Config'!$C:$C,20),0),0)+IF(LEFT(AN93,4)="True",IF(_xlfn.XLOOKUP("Risky_Inbound",'Scoring_Config'!$A:$A,'Scoring_Config'!$D:$D,"Yes")="Yes",_xlfn.XLOOKUP("Risky_Inbound",'Scoring_Config'!$A:$A,'Scoring_Config'!$C:$C,20),0),0)+IF(LEFT(AO93,4)="True",IF(_xlfn.XLOOKUP("Risky_Outbound",'Scoring_Config'!$A:$A,'Scoring_Config'!$D:$D,"Yes")="Yes",_xlfn.XLOOKUP("Risky_Outbound",'Scoring_Config'!$A:$A,'Scoring_Config'!$C:$C,10),0),0)+IF(LEFT(AW93,4)="True",IF(_xlfn.XLOOKUP("Migrate_Insecure",'Scoring_Config'!$A:$A,'Scoring_Config'!$D:$D,"Yes")="Yes",_xlfn.XLOOKUP("Migrate_Insecure",'Scoring_Config'!$A:$A,'Scoring_Config'!$C:$C,15),0),0)+IF(LEFT(AY93,4)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93,FIND(",",AP93)+1,100)),0)+IF(LEFT(AQ93,4)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93,FIND(",",AR93)+1,100)),0)+IF(_xlfn.XLOOKUP("Profile_Scoring",'Scoring_Config'!$A:$A,'Scoring_Config'!$D:$D,"Yes")="Yes",VALUE(MID(AS93,FIND(",",AS93)+1,100)),0)+IF(_xlfn.XLOOKUP("Options_Scoring",'Scoring_Config'!$A:$A,'Scoring_Config'!$D:$D,"Yes")="Yes",VALUE(MID(AT93,FIND(",",AT93)+1,100)),0)))</f>
        <v>0</v>
      </c>
    </row>
    <row r="94" spans="1:52">
      <c r="A94" s="3" t="s">
        <v>52</v>
      </c>
      <c r="B94" s="3" t="s">
        <v>134</v>
      </c>
      <c r="C94" s="3" t="s">
        <v>329</v>
      </c>
      <c r="D94" s="3"/>
      <c r="E94" s="3" t="s">
        <v>359</v>
      </c>
      <c r="F94" s="3" t="s">
        <v>362</v>
      </c>
      <c r="G94" s="3" t="s">
        <v>398</v>
      </c>
      <c r="H94" s="3" t="s">
        <v>558</v>
      </c>
      <c r="I94" s="3" t="s">
        <v>365</v>
      </c>
      <c r="J94" s="3" t="s">
        <v>362</v>
      </c>
      <c r="K94" s="3" t="s">
        <v>626</v>
      </c>
      <c r="L94" s="3" t="s">
        <v>626</v>
      </c>
      <c r="M94" s="3" t="s">
        <v>365</v>
      </c>
      <c r="N94" s="3" t="s">
        <v>365</v>
      </c>
      <c r="O94" s="4" t="s">
        <v>806</v>
      </c>
      <c r="P94" s="3" t="s">
        <v>867</v>
      </c>
      <c r="Q94" s="3" t="s">
        <v>905</v>
      </c>
      <c r="R94" s="3" t="s">
        <v>910</v>
      </c>
      <c r="S94" s="3" t="s">
        <v>916</v>
      </c>
      <c r="T94" s="3" t="s">
        <v>976</v>
      </c>
      <c r="U94" s="3" t="s">
        <v>1147</v>
      </c>
      <c r="V94" s="3" t="s">
        <v>789</v>
      </c>
      <c r="W94" s="3" t="s">
        <v>1443</v>
      </c>
      <c r="X94" s="3" t="s">
        <v>1698</v>
      </c>
      <c r="Y94" s="3" t="s">
        <v>2167</v>
      </c>
      <c r="Z94" s="3"/>
      <c r="AA94" s="3"/>
      <c r="AB94" s="3"/>
      <c r="AC94" s="4" cm="1">
        <f t="array" ref="AC94">IF(FALSE,"True," &amp; IF(_xlfn.XLOOKUP("Src_IsAny",'Scoring_Config'!$A:$A,'Scoring_Config'!$D:$D,"Yes")="Yes",_xlfn.XLOOKUP("Src_IsAny",'Scoring_Config'!$A:$A,'Scoring_Config'!$C:$C,25),0),"False,0")</f>
        <v>0</v>
      </c>
      <c r="AD94" s="4" cm="1">
        <f t="array" ref="AD94">IF(FALSE,"True," &amp; IF(_xlfn.XLOOKUP("Src_CIDR_Le_16",'Scoring_Config'!$A:$A,'Scoring_Config'!$D:$D,"Yes")="Yes",_xlfn.XLOOKUP("Src_CIDR_Le_16",'Scoring_Config'!$A:$A,'Scoring_Config'!$C:$C,25),0),"False,0")</f>
        <v>0</v>
      </c>
      <c r="AE94" s="4" cm="1">
        <f t="array" ref="AE94">IF(FALSE,"True," &amp; IF(_xlfn.XLOOKUP("Src_CIDR_17_22",'Scoring_Config'!$A:$A,'Scoring_Config'!$D:$D,"Yes")="Yes",_xlfn.XLOOKUP("Src_CIDR_17_22",'Scoring_Config'!$A:$A,'Scoring_Config'!$C:$C,15),0),"False,0")</f>
        <v>0</v>
      </c>
      <c r="AF94" s="4" cm="1">
        <f t="array" ref="AF94">IF(FALSE,"True," &amp; IF(_xlfn.XLOOKUP("Dst_IsAny",'Scoring_Config'!$A:$A,'Scoring_Config'!$D:$D,"Yes")="Yes",_xlfn.XLOOKUP("Dst_IsAny",'Scoring_Config'!$A:$A,'Scoring_Config'!$C:$C,25),0),"False,0")</f>
        <v>0</v>
      </c>
      <c r="AG94" s="4" cm="1">
        <f t="array" ref="AG94">IF(FALSE,"True," &amp; IF(_xlfn.XLOOKUP("Dst_CIDR_Le_16",'Scoring_Config'!$A:$A,'Scoring_Config'!$D:$D,"Yes")="Yes",_xlfn.XLOOKUP("Dst_CIDR_Le_16",'Scoring_Config'!$A:$A,'Scoring_Config'!$C:$C,25),0),"False,0")</f>
        <v>0</v>
      </c>
      <c r="AH94" s="4" cm="1">
        <f t="array" ref="AH94">IF(FALSE,"True," &amp; IF(_xlfn.XLOOKUP("Dst_CIDR_17_22",'Scoring_Config'!$A:$A,'Scoring_Config'!$D:$D,"Yes")="Yes",_xlfn.XLOOKUP("Dst_CIDR_17_22",'Scoring_Config'!$A:$A,'Scoring_Config'!$C:$C,15),0),"False,0")</f>
        <v>0</v>
      </c>
      <c r="AI94" s="4" cm="1">
        <f t="array" ref="AI94">IF(FALSE,"True," &amp; IF(_xlfn.XLOOKUP("SrcZone_IsAny",'Scoring_Config'!$A:$A,'Scoring_Config'!$D:$D,"Yes")="Yes",_xlfn.XLOOKUP("SrcZone_IsAny",'Scoring_Config'!$A:$A,'Scoring_Config'!$C:$C,5),0),"False,0")</f>
        <v>0</v>
      </c>
      <c r="AJ94" s="4" cm="1">
        <f t="array" ref="AJ94">IF(FALSE,"True," &amp; IF(_xlfn.XLOOKUP("DstZone_IsAny",'Scoring_Config'!$A:$A,'Scoring_Config'!$D:$D,"Yes")="Yes",_xlfn.XLOOKUP("DstZone_IsAny",'Scoring_Config'!$A:$A,'Scoring_Config'!$C:$C,5),0),"False,0")</f>
        <v>0</v>
      </c>
      <c r="AK94" s="4" cm="1">
        <f t="array" ref="AK9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4" s="5" cm="1">
        <f t="array" ref="AL94">IF(TRUE,"True," &amp; IF(_xlfn.XLOOKUP("App_Any_OR_RangeGt1000",'Scoring_Config'!$A:$A,'Scoring_Config'!$D:$D,"Yes")="Yes",_xlfn.XLOOKUP("App_Any_OR_RangeGt1000",'Scoring_Config'!$A:$A,'Scoring_Config'!$C:$C,25),0),"False,0")</f>
        <v>0</v>
      </c>
      <c r="AM94" s="5" cm="1">
        <f t="array" ref="AM94">IF(TRUE,"True," &amp; IF(_xlfn.XLOOKUP("Service_Insecure_Match",'Scoring_Config'!$A:$A,'Scoring_Config'!$D:$D,"Yes")="Yes",_xlfn.XLOOKUP("Service_Insecure_Match",'Scoring_Config'!$A:$A,'Scoring_Config'!$C:$C,20),0),"False,0")</f>
        <v>0</v>
      </c>
      <c r="AN94" s="4" cm="1">
        <f t="array" ref="AN94">IF(FALSE,"True," &amp; IF(_xlfn.XLOOKUP("Risky_Inbound",'Scoring_Config'!$A:$A,'Scoring_Config'!$D:$D,"Yes")="Yes",_xlfn.XLOOKUP("Risky_Inbound",'Scoring_Config'!$A:$A,'Scoring_Config'!$C:$C,20),0),"False,0")</f>
        <v>0</v>
      </c>
      <c r="AO94" s="4" cm="1">
        <f t="array" ref="AO94">IF(FALSE,"True," &amp; IF(_xlfn.XLOOKUP("Risky_Outbound",'Scoring_Config'!$A:$A,'Scoring_Config'!$D:$D,"Yes")="Yes",_xlfn.XLOOKUP("Risky_Outbound",'Scoring_Config'!$A:$A,'Scoring_Config'!$C:$C,10),0),"False,0")</f>
        <v>0</v>
      </c>
      <c r="AP94" s="5" t="s">
        <v>2595</v>
      </c>
      <c r="AQ94" s="5" cm="1">
        <f t="array" ref="AQ9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4" s="4" t="s">
        <v>2592</v>
      </c>
      <c r="AS94" s="4" t="s">
        <v>2592</v>
      </c>
      <c r="AT94" s="4" t="s">
        <v>2592</v>
      </c>
      <c r="AU94" s="4" cm="1">
        <f t="array" ref="AU94">IF(FALSE,"True," &amp; IF(_xlfn.XLOOKUP("Action_IsDenyOrDrop",'Scoring_Config'!$A:$A,'Scoring_Config'!$D:$D,"Yes")="Yes",_xlfn.XLOOKUP("Action_IsDenyOrDrop",'Scoring_Config'!$A:$A,'Scoring_Config'!$C:$C,0),0),"False,0")</f>
        <v>0</v>
      </c>
      <c r="AV94" s="4"/>
      <c r="AW94" s="4" cm="1">
        <f t="array" ref="AW94">IF(FALSE,"True," &amp; IF(_xlfn.XLOOKUP("Migrate_Insecure",'Scoring_Config'!$A:$A,'Scoring_Config'!$D:$D,"Yes")="Yes",_xlfn.XLOOKUP("Migrate_Insecure",'Scoring_Config'!$A:$A,'Scoring_Config'!$C:$C,15),0),"False,0")</f>
        <v>0</v>
      </c>
      <c r="AX94" s="4"/>
      <c r="AY94" s="4" cm="1">
        <f t="array" ref="AY94">IF(FALSE,"True," &amp; IF(_xlfn.XLOOKUP("Migrate_Other_Ports",'Scoring_Config'!$A:$A,'Scoring_Config'!$D:$D,"Yes")="Yes",_xlfn.XLOOKUP("Migrate_Other_Ports",'Scoring_Config'!$A:$A,'Scoring_Config'!$C:$C,5),0),"False,0")</f>
        <v>0</v>
      </c>
      <c r="AZ94" s="4" cm="1">
        <f t="array" ref="AZ94">IF(LEFT(AU94,4)="True",0,(IF(LEFT(AC94,4)="True",IF(_xlfn.XLOOKUP("Src_IsAny",'Scoring_Config'!$A:$A,'Scoring_Config'!$D:$D,"Yes")="Yes",_xlfn.XLOOKUP("Src_IsAny",'Scoring_Config'!$A:$A,'Scoring_Config'!$C:$C,25),0),0)+IF(LEFT(AD94,4)="True",IF(_xlfn.XLOOKUP("Src_CIDR_Le_16",'Scoring_Config'!$A:$A,'Scoring_Config'!$D:$D,"Yes")="Yes",_xlfn.XLOOKUP("Src_CIDR_Le_16",'Scoring_Config'!$A:$A,'Scoring_Config'!$C:$C,25),0),0)+IF(LEFT(AE94,4)="True",IF(_xlfn.XLOOKUP("Src_CIDR_17_22",'Scoring_Config'!$A:$A,'Scoring_Config'!$D:$D,"Yes")="Yes",_xlfn.XLOOKUP("Src_CIDR_17_22",'Scoring_Config'!$A:$A,'Scoring_Config'!$C:$C,15),0),0)+IF(LEFT(AF94,4)="True",IF(_xlfn.XLOOKUP("Dst_IsAny",'Scoring_Config'!$A:$A,'Scoring_Config'!$D:$D,"Yes")="Yes",_xlfn.XLOOKUP("Dst_IsAny",'Scoring_Config'!$A:$A,'Scoring_Config'!$C:$C,25),0),0)+IF(LEFT(AG94,4)="True",IF(_xlfn.XLOOKUP("Dst_CIDR_Le_16",'Scoring_Config'!$A:$A,'Scoring_Config'!$D:$D,"Yes")="Yes",_xlfn.XLOOKUP("Dst_CIDR_Le_16",'Scoring_Config'!$A:$A,'Scoring_Config'!$C:$C,25),0),0)+IF(LEFT(AH94,4)="True",IF(_xlfn.XLOOKUP("Dst_CIDR_17_22",'Scoring_Config'!$A:$A,'Scoring_Config'!$D:$D,"Yes")="Yes",_xlfn.XLOOKUP("Dst_CIDR_17_22",'Scoring_Config'!$A:$A,'Scoring_Config'!$C:$C,15),0),0)+IF(LEFT(AI94,4)="True",IF(_xlfn.XLOOKUP("SrcZone_IsAny",'Scoring_Config'!$A:$A,'Scoring_Config'!$D:$D,"Yes")="Yes",_xlfn.XLOOKUP("SrcZone_IsAny",'Scoring_Config'!$A:$A,'Scoring_Config'!$C:$C,5),0),0)+IF(LEFT(AJ94,4)="True",IF(_xlfn.XLOOKUP("DstZone_IsAny",'Scoring_Config'!$A:$A,'Scoring_Config'!$D:$D,"Yes")="Yes",_xlfn.XLOOKUP("DstZone_IsAny",'Scoring_Config'!$A:$A,'Scoring_Config'!$C:$C,5),0),0)+IF(LEFT(AK94,4)="True",IF(_xlfn.XLOOKUP("Service_Any_OR_RangeGt1000",'Scoring_Config'!$A:$A,'Scoring_Config'!$D:$D,"Yes")="Yes",_xlfn.XLOOKUP("Service_Any_OR_RangeGt1000",'Scoring_Config'!$A:$A,'Scoring_Config'!$C:$C,25),0),0)+IF(LEFT(AL94,4)="True",IF(_xlfn.XLOOKUP("App_Any_OR_RangeGt1000",'Scoring_Config'!$A:$A,'Scoring_Config'!$D:$D,"Yes")="Yes",_xlfn.XLOOKUP("App_Any_OR_RangeGt1000",'Scoring_Config'!$A:$A,'Scoring_Config'!$C:$C,25),0),0)+IF(LEFT(AM94,4)="True",IF(_xlfn.XLOOKUP("Service_Insecure_Match",'Scoring_Config'!$A:$A,'Scoring_Config'!$D:$D,"Yes")="Yes",_xlfn.XLOOKUP("Service_Insecure_Match",'Scoring_Config'!$A:$A,'Scoring_Config'!$C:$C,20),0),0)+IF(LEFT(AN94,4)="True",IF(_xlfn.XLOOKUP("Risky_Inbound",'Scoring_Config'!$A:$A,'Scoring_Config'!$D:$D,"Yes")="Yes",_xlfn.XLOOKUP("Risky_Inbound",'Scoring_Config'!$A:$A,'Scoring_Config'!$C:$C,20),0),0)+IF(LEFT(AO94,4)="True",IF(_xlfn.XLOOKUP("Risky_Outbound",'Scoring_Config'!$A:$A,'Scoring_Config'!$D:$D,"Yes")="Yes",_xlfn.XLOOKUP("Risky_Outbound",'Scoring_Config'!$A:$A,'Scoring_Config'!$C:$C,10),0),0)+IF(LEFT(AW94,4)="True",IF(_xlfn.XLOOKUP("Migrate_Insecure",'Scoring_Config'!$A:$A,'Scoring_Config'!$D:$D,"Yes")="Yes",_xlfn.XLOOKUP("Migrate_Insecure",'Scoring_Config'!$A:$A,'Scoring_Config'!$C:$C,15),0),0)+IF(LEFT(AY94,4)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94,FIND(",",AP94)+1,100)),0)+IF(LEFT(AQ94,4)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94,FIND(",",AR94)+1,100)),0)+IF(_xlfn.XLOOKUP("Profile_Scoring",'Scoring_Config'!$A:$A,'Scoring_Config'!$D:$D,"Yes")="Yes",VALUE(MID(AS94,FIND(",",AS94)+1,100)),0)+IF(_xlfn.XLOOKUP("Options_Scoring",'Scoring_Config'!$A:$A,'Scoring_Config'!$D:$D,"Yes")="Yes",VALUE(MID(AT94,FIND(",",AT94)+1,100)),0)))</f>
        <v>0</v>
      </c>
    </row>
    <row r="95" spans="1:52">
      <c r="A95" s="3" t="s">
        <v>52</v>
      </c>
      <c r="B95" s="3" t="s">
        <v>135</v>
      </c>
      <c r="C95" s="3" t="s">
        <v>329</v>
      </c>
      <c r="D95" s="3"/>
      <c r="E95" s="3" t="s">
        <v>359</v>
      </c>
      <c r="F95" s="3" t="s">
        <v>363</v>
      </c>
      <c r="G95" s="3" t="s">
        <v>383</v>
      </c>
      <c r="H95" s="3" t="s">
        <v>548</v>
      </c>
      <c r="I95" s="3" t="s">
        <v>622</v>
      </c>
      <c r="J95" s="3" t="s">
        <v>364</v>
      </c>
      <c r="K95" s="3" t="s">
        <v>381</v>
      </c>
      <c r="L95" s="3" t="s">
        <v>547</v>
      </c>
      <c r="M95" s="3" t="s">
        <v>365</v>
      </c>
      <c r="N95" s="3" t="s">
        <v>365</v>
      </c>
      <c r="O95" s="4" t="s">
        <v>815</v>
      </c>
      <c r="P95" s="3" t="s">
        <v>876</v>
      </c>
      <c r="Q95" s="3" t="s">
        <v>905</v>
      </c>
      <c r="R95" s="3" t="s">
        <v>911</v>
      </c>
      <c r="S95" s="3" t="s">
        <v>914</v>
      </c>
      <c r="T95" s="3" t="s">
        <v>919</v>
      </c>
      <c r="U95" s="3" t="s">
        <v>1157</v>
      </c>
      <c r="V95" s="3" t="s">
        <v>1386</v>
      </c>
      <c r="W95" s="3" t="s">
        <v>1455</v>
      </c>
      <c r="X95" s="3" t="s">
        <v>1699</v>
      </c>
      <c r="Y95" s="3" t="s">
        <v>2168</v>
      </c>
      <c r="Z95" s="3"/>
      <c r="AA95" s="3"/>
      <c r="AB95" s="3"/>
      <c r="AC95" s="4" cm="1">
        <f t="array" ref="AC95">IF(FALSE,"True," &amp; IF(_xlfn.XLOOKUP("Src_IsAny",'Scoring_Config'!$A:$A,'Scoring_Config'!$D:$D,"Yes")="Yes",_xlfn.XLOOKUP("Src_IsAny",'Scoring_Config'!$A:$A,'Scoring_Config'!$C:$C,25),0),"False,0")</f>
        <v>0</v>
      </c>
      <c r="AD95" s="4" cm="1">
        <f t="array" ref="AD95">IF(FALSE,"True," &amp; IF(_xlfn.XLOOKUP("Src_CIDR_Le_16",'Scoring_Config'!$A:$A,'Scoring_Config'!$D:$D,"Yes")="Yes",_xlfn.XLOOKUP("Src_CIDR_Le_16",'Scoring_Config'!$A:$A,'Scoring_Config'!$C:$C,25),0),"False,0")</f>
        <v>0</v>
      </c>
      <c r="AE95" s="4" cm="1">
        <f t="array" ref="AE95">IF(FALSE,"True," &amp; IF(_xlfn.XLOOKUP("Src_CIDR_17_22",'Scoring_Config'!$A:$A,'Scoring_Config'!$D:$D,"Yes")="Yes",_xlfn.XLOOKUP("Src_CIDR_17_22",'Scoring_Config'!$A:$A,'Scoring_Config'!$C:$C,15),0),"False,0")</f>
        <v>0</v>
      </c>
      <c r="AF95" s="4" cm="1">
        <f t="array" ref="AF95">IF(FALSE,"True," &amp; IF(_xlfn.XLOOKUP("Dst_IsAny",'Scoring_Config'!$A:$A,'Scoring_Config'!$D:$D,"Yes")="Yes",_xlfn.XLOOKUP("Dst_IsAny",'Scoring_Config'!$A:$A,'Scoring_Config'!$C:$C,25),0),"False,0")</f>
        <v>0</v>
      </c>
      <c r="AG95" s="4" cm="1">
        <f t="array" ref="AG95">IF(FALSE,"True," &amp; IF(_xlfn.XLOOKUP("Dst_CIDR_Le_16",'Scoring_Config'!$A:$A,'Scoring_Config'!$D:$D,"Yes")="Yes",_xlfn.XLOOKUP("Dst_CIDR_Le_16",'Scoring_Config'!$A:$A,'Scoring_Config'!$C:$C,25),0),"False,0")</f>
        <v>0</v>
      </c>
      <c r="AH95" s="4" cm="1">
        <f t="array" ref="AH95">IF(FALSE,"True," &amp; IF(_xlfn.XLOOKUP("Dst_CIDR_17_22",'Scoring_Config'!$A:$A,'Scoring_Config'!$D:$D,"Yes")="Yes",_xlfn.XLOOKUP("Dst_CIDR_17_22",'Scoring_Config'!$A:$A,'Scoring_Config'!$C:$C,15),0),"False,0")</f>
        <v>0</v>
      </c>
      <c r="AI95" s="4" cm="1">
        <f t="array" ref="AI95">IF(FALSE,"True," &amp; IF(_xlfn.XLOOKUP("SrcZone_IsAny",'Scoring_Config'!$A:$A,'Scoring_Config'!$D:$D,"Yes")="Yes",_xlfn.XLOOKUP("SrcZone_IsAny",'Scoring_Config'!$A:$A,'Scoring_Config'!$C:$C,5),0),"False,0")</f>
        <v>0</v>
      </c>
      <c r="AJ95" s="4" cm="1">
        <f t="array" ref="AJ95">IF(FALSE,"True," &amp; IF(_xlfn.XLOOKUP("DstZone_IsAny",'Scoring_Config'!$A:$A,'Scoring_Config'!$D:$D,"Yes")="Yes",_xlfn.XLOOKUP("DstZone_IsAny",'Scoring_Config'!$A:$A,'Scoring_Config'!$C:$C,5),0),"False,0")</f>
        <v>0</v>
      </c>
      <c r="AK95" s="4" cm="1">
        <f t="array" ref="AK9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5" s="5" cm="1">
        <f t="array" ref="AL95">IF(TRUE,"True," &amp; IF(_xlfn.XLOOKUP("App_Any_OR_RangeGt1000",'Scoring_Config'!$A:$A,'Scoring_Config'!$D:$D,"Yes")="Yes",_xlfn.XLOOKUP("App_Any_OR_RangeGt1000",'Scoring_Config'!$A:$A,'Scoring_Config'!$C:$C,25),0),"False,0")</f>
        <v>0</v>
      </c>
      <c r="AM95" s="4" cm="1">
        <f t="array" ref="AM95">IF(FALSE,"True," &amp; IF(_xlfn.XLOOKUP("Service_Insecure_Match",'Scoring_Config'!$A:$A,'Scoring_Config'!$D:$D,"Yes")="Yes",_xlfn.XLOOKUP("Service_Insecure_Match",'Scoring_Config'!$A:$A,'Scoring_Config'!$C:$C,20),0),"False,0")</f>
        <v>0</v>
      </c>
      <c r="AN95" s="4" cm="1">
        <f t="array" ref="AN95">IF(FALSE,"True," &amp; IF(_xlfn.XLOOKUP("Risky_Inbound",'Scoring_Config'!$A:$A,'Scoring_Config'!$D:$D,"Yes")="Yes",_xlfn.XLOOKUP("Risky_Inbound",'Scoring_Config'!$A:$A,'Scoring_Config'!$C:$C,20),0),"False,0")</f>
        <v>0</v>
      </c>
      <c r="AO95" s="4" cm="1">
        <f t="array" ref="AO95">IF(FALSE,"True," &amp; IF(_xlfn.XLOOKUP("Risky_Outbound",'Scoring_Config'!$A:$A,'Scoring_Config'!$D:$D,"Yes")="Yes",_xlfn.XLOOKUP("Risky_Outbound",'Scoring_Config'!$A:$A,'Scoring_Config'!$C:$C,10),0),"False,0")</f>
        <v>0</v>
      </c>
      <c r="AP95" s="5" t="s">
        <v>2595</v>
      </c>
      <c r="AQ95" s="5" cm="1">
        <f t="array" ref="AQ9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5" s="5" t="s">
        <v>2598</v>
      </c>
      <c r="AS95" s="4" t="s">
        <v>2592</v>
      </c>
      <c r="AT95" s="4" t="s">
        <v>2592</v>
      </c>
      <c r="AU95" s="4" cm="1">
        <f t="array" ref="AU95">IF(FALSE,"True," &amp; IF(_xlfn.XLOOKUP("Action_IsDenyOrDrop",'Scoring_Config'!$A:$A,'Scoring_Config'!$D:$D,"Yes")="Yes",_xlfn.XLOOKUP("Action_IsDenyOrDrop",'Scoring_Config'!$A:$A,'Scoring_Config'!$C:$C,0),0),"False,0")</f>
        <v>0</v>
      </c>
      <c r="AV95" s="4"/>
      <c r="AW95" s="4" cm="1">
        <f t="array" ref="AW95">IF(FALSE,"True," &amp; IF(_xlfn.XLOOKUP("Migrate_Insecure",'Scoring_Config'!$A:$A,'Scoring_Config'!$D:$D,"Yes")="Yes",_xlfn.XLOOKUP("Migrate_Insecure",'Scoring_Config'!$A:$A,'Scoring_Config'!$C:$C,15),0),"False,0")</f>
        <v>0</v>
      </c>
      <c r="AX95" s="4"/>
      <c r="AY95" s="4" cm="1">
        <f t="array" ref="AY95">IF(FALSE,"True," &amp; IF(_xlfn.XLOOKUP("Migrate_Other_Ports",'Scoring_Config'!$A:$A,'Scoring_Config'!$D:$D,"Yes")="Yes",_xlfn.XLOOKUP("Migrate_Other_Ports",'Scoring_Config'!$A:$A,'Scoring_Config'!$C:$C,5),0),"False,0")</f>
        <v>0</v>
      </c>
      <c r="AZ95" s="4" cm="1">
        <f t="array" ref="AZ95">IF(LEFT(AU95,4)="True",0,(IF(LEFT(AC95,4)="True",IF(_xlfn.XLOOKUP("Src_IsAny",'Scoring_Config'!$A:$A,'Scoring_Config'!$D:$D,"Yes")="Yes",_xlfn.XLOOKUP("Src_IsAny",'Scoring_Config'!$A:$A,'Scoring_Config'!$C:$C,25),0),0)+IF(LEFT(AD95,4)="True",IF(_xlfn.XLOOKUP("Src_CIDR_Le_16",'Scoring_Config'!$A:$A,'Scoring_Config'!$D:$D,"Yes")="Yes",_xlfn.XLOOKUP("Src_CIDR_Le_16",'Scoring_Config'!$A:$A,'Scoring_Config'!$C:$C,25),0),0)+IF(LEFT(AE95,4)="True",IF(_xlfn.XLOOKUP("Src_CIDR_17_22",'Scoring_Config'!$A:$A,'Scoring_Config'!$D:$D,"Yes")="Yes",_xlfn.XLOOKUP("Src_CIDR_17_22",'Scoring_Config'!$A:$A,'Scoring_Config'!$C:$C,15),0),0)+IF(LEFT(AF95,4)="True",IF(_xlfn.XLOOKUP("Dst_IsAny",'Scoring_Config'!$A:$A,'Scoring_Config'!$D:$D,"Yes")="Yes",_xlfn.XLOOKUP("Dst_IsAny",'Scoring_Config'!$A:$A,'Scoring_Config'!$C:$C,25),0),0)+IF(LEFT(AG95,4)="True",IF(_xlfn.XLOOKUP("Dst_CIDR_Le_16",'Scoring_Config'!$A:$A,'Scoring_Config'!$D:$D,"Yes")="Yes",_xlfn.XLOOKUP("Dst_CIDR_Le_16",'Scoring_Config'!$A:$A,'Scoring_Config'!$C:$C,25),0),0)+IF(LEFT(AH95,4)="True",IF(_xlfn.XLOOKUP("Dst_CIDR_17_22",'Scoring_Config'!$A:$A,'Scoring_Config'!$D:$D,"Yes")="Yes",_xlfn.XLOOKUP("Dst_CIDR_17_22",'Scoring_Config'!$A:$A,'Scoring_Config'!$C:$C,15),0),0)+IF(LEFT(AI95,4)="True",IF(_xlfn.XLOOKUP("SrcZone_IsAny",'Scoring_Config'!$A:$A,'Scoring_Config'!$D:$D,"Yes")="Yes",_xlfn.XLOOKUP("SrcZone_IsAny",'Scoring_Config'!$A:$A,'Scoring_Config'!$C:$C,5),0),0)+IF(LEFT(AJ95,4)="True",IF(_xlfn.XLOOKUP("DstZone_IsAny",'Scoring_Config'!$A:$A,'Scoring_Config'!$D:$D,"Yes")="Yes",_xlfn.XLOOKUP("DstZone_IsAny",'Scoring_Config'!$A:$A,'Scoring_Config'!$C:$C,5),0),0)+IF(LEFT(AK95,4)="True",IF(_xlfn.XLOOKUP("Service_Any_OR_RangeGt1000",'Scoring_Config'!$A:$A,'Scoring_Config'!$D:$D,"Yes")="Yes",_xlfn.XLOOKUP("Service_Any_OR_RangeGt1000",'Scoring_Config'!$A:$A,'Scoring_Config'!$C:$C,25),0),0)+IF(LEFT(AL95,4)="True",IF(_xlfn.XLOOKUP("App_Any_OR_RangeGt1000",'Scoring_Config'!$A:$A,'Scoring_Config'!$D:$D,"Yes")="Yes",_xlfn.XLOOKUP("App_Any_OR_RangeGt1000",'Scoring_Config'!$A:$A,'Scoring_Config'!$C:$C,25),0),0)+IF(LEFT(AM95,4)="True",IF(_xlfn.XLOOKUP("Service_Insecure_Match",'Scoring_Config'!$A:$A,'Scoring_Config'!$D:$D,"Yes")="Yes",_xlfn.XLOOKUP("Service_Insecure_Match",'Scoring_Config'!$A:$A,'Scoring_Config'!$C:$C,20),0),0)+IF(LEFT(AN95,4)="True",IF(_xlfn.XLOOKUP("Risky_Inbound",'Scoring_Config'!$A:$A,'Scoring_Config'!$D:$D,"Yes")="Yes",_xlfn.XLOOKUP("Risky_Inbound",'Scoring_Config'!$A:$A,'Scoring_Config'!$C:$C,20),0),0)+IF(LEFT(AO95,4)="True",IF(_xlfn.XLOOKUP("Risky_Outbound",'Scoring_Config'!$A:$A,'Scoring_Config'!$D:$D,"Yes")="Yes",_xlfn.XLOOKUP("Risky_Outbound",'Scoring_Config'!$A:$A,'Scoring_Config'!$C:$C,10),0),0)+IF(LEFT(AW95,4)="True",IF(_xlfn.XLOOKUP("Migrate_Insecure",'Scoring_Config'!$A:$A,'Scoring_Config'!$D:$D,"Yes")="Yes",_xlfn.XLOOKUP("Migrate_Insecure",'Scoring_Config'!$A:$A,'Scoring_Config'!$C:$C,15),0),0)+IF(LEFT(AY95,4)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95,FIND(",",AP95)+1,100)),0)+IF(LEFT(AQ95,4)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95,FIND(",",AR95)+1,100)),0)+IF(_xlfn.XLOOKUP("Profile_Scoring",'Scoring_Config'!$A:$A,'Scoring_Config'!$D:$D,"Yes")="Yes",VALUE(MID(AS95,FIND(",",AS95)+1,100)),0)+IF(_xlfn.XLOOKUP("Options_Scoring",'Scoring_Config'!$A:$A,'Scoring_Config'!$D:$D,"Yes")="Yes",VALUE(MID(AT95,FIND(",",AT95)+1,100)),0)))</f>
        <v>0</v>
      </c>
    </row>
    <row r="96" spans="1:52">
      <c r="A96" s="3" t="s">
        <v>52</v>
      </c>
      <c r="B96" s="3" t="s">
        <v>68</v>
      </c>
      <c r="C96" s="3" t="s">
        <v>329</v>
      </c>
      <c r="D96" s="3"/>
      <c r="E96" s="3" t="s">
        <v>359</v>
      </c>
      <c r="F96" s="3" t="s">
        <v>361</v>
      </c>
      <c r="G96" s="3" t="s">
        <v>379</v>
      </c>
      <c r="H96" s="3" t="s">
        <v>545</v>
      </c>
      <c r="I96" s="3" t="s">
        <v>623</v>
      </c>
      <c r="J96" s="3" t="s">
        <v>362</v>
      </c>
      <c r="K96" s="3" t="s">
        <v>372</v>
      </c>
      <c r="L96" s="3" t="s">
        <v>372</v>
      </c>
      <c r="M96" s="3" t="s">
        <v>770</v>
      </c>
      <c r="N96" s="3" t="s">
        <v>770</v>
      </c>
      <c r="O96" s="4" t="s">
        <v>812</v>
      </c>
      <c r="P96" s="3" t="s">
        <v>873</v>
      </c>
      <c r="Q96" s="3" t="s">
        <v>905</v>
      </c>
      <c r="R96" s="3" t="s">
        <v>911</v>
      </c>
      <c r="S96" s="3" t="s">
        <v>912</v>
      </c>
      <c r="T96" s="3" t="s">
        <v>977</v>
      </c>
      <c r="U96" s="3" t="s">
        <v>1200</v>
      </c>
      <c r="V96" s="3" t="s">
        <v>1387</v>
      </c>
      <c r="W96" s="3" t="s">
        <v>1025</v>
      </c>
      <c r="X96" s="3" t="s">
        <v>1700</v>
      </c>
      <c r="Y96" s="3" t="s">
        <v>2169</v>
      </c>
      <c r="Z96" s="3"/>
      <c r="AA96" s="3"/>
      <c r="AB96" s="3"/>
      <c r="AC96" s="4" cm="1">
        <f t="array" ref="AC96">IF(FALSE,"True," &amp; IF(_xlfn.XLOOKUP("Src_IsAny",'Scoring_Config'!$A:$A,'Scoring_Config'!$D:$D,"Yes")="Yes",_xlfn.XLOOKUP("Src_IsAny",'Scoring_Config'!$A:$A,'Scoring_Config'!$C:$C,25),0),"False,0")</f>
        <v>0</v>
      </c>
      <c r="AD96" s="4" cm="1">
        <f t="array" ref="AD96">IF(FALSE,"True," &amp; IF(_xlfn.XLOOKUP("Src_CIDR_Le_16",'Scoring_Config'!$A:$A,'Scoring_Config'!$D:$D,"Yes")="Yes",_xlfn.XLOOKUP("Src_CIDR_Le_16",'Scoring_Config'!$A:$A,'Scoring_Config'!$C:$C,25),0),"False,0")</f>
        <v>0</v>
      </c>
      <c r="AE96" s="4" cm="1">
        <f t="array" ref="AE96">IF(FALSE,"True," &amp; IF(_xlfn.XLOOKUP("Src_CIDR_17_22",'Scoring_Config'!$A:$A,'Scoring_Config'!$D:$D,"Yes")="Yes",_xlfn.XLOOKUP("Src_CIDR_17_22",'Scoring_Config'!$A:$A,'Scoring_Config'!$C:$C,15),0),"False,0")</f>
        <v>0</v>
      </c>
      <c r="AF96" s="4" cm="1">
        <f t="array" ref="AF96">IF(FALSE,"True," &amp; IF(_xlfn.XLOOKUP("Dst_IsAny",'Scoring_Config'!$A:$A,'Scoring_Config'!$D:$D,"Yes")="Yes",_xlfn.XLOOKUP("Dst_IsAny",'Scoring_Config'!$A:$A,'Scoring_Config'!$C:$C,25),0),"False,0")</f>
        <v>0</v>
      </c>
      <c r="AG96" s="4" cm="1">
        <f t="array" ref="AG96">IF(FALSE,"True," &amp; IF(_xlfn.XLOOKUP("Dst_CIDR_Le_16",'Scoring_Config'!$A:$A,'Scoring_Config'!$D:$D,"Yes")="Yes",_xlfn.XLOOKUP("Dst_CIDR_Le_16",'Scoring_Config'!$A:$A,'Scoring_Config'!$C:$C,25),0),"False,0")</f>
        <v>0</v>
      </c>
      <c r="AH96" s="4" cm="1">
        <f t="array" ref="AH96">IF(FALSE,"True," &amp; IF(_xlfn.XLOOKUP("Dst_CIDR_17_22",'Scoring_Config'!$A:$A,'Scoring_Config'!$D:$D,"Yes")="Yes",_xlfn.XLOOKUP("Dst_CIDR_17_22",'Scoring_Config'!$A:$A,'Scoring_Config'!$C:$C,15),0),"False,0")</f>
        <v>0</v>
      </c>
      <c r="AI96" s="4" cm="1">
        <f t="array" ref="AI96">IF(FALSE,"True," &amp; IF(_xlfn.XLOOKUP("SrcZone_IsAny",'Scoring_Config'!$A:$A,'Scoring_Config'!$D:$D,"Yes")="Yes",_xlfn.XLOOKUP("SrcZone_IsAny",'Scoring_Config'!$A:$A,'Scoring_Config'!$C:$C,5),0),"False,0")</f>
        <v>0</v>
      </c>
      <c r="AJ96" s="4" cm="1">
        <f t="array" ref="AJ96">IF(FALSE,"True," &amp; IF(_xlfn.XLOOKUP("DstZone_IsAny",'Scoring_Config'!$A:$A,'Scoring_Config'!$D:$D,"Yes")="Yes",_xlfn.XLOOKUP("DstZone_IsAny",'Scoring_Config'!$A:$A,'Scoring_Config'!$C:$C,5),0),"False,0")</f>
        <v>0</v>
      </c>
      <c r="AK96" s="4" cm="1">
        <f t="array" ref="AK9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6" s="4" cm="1">
        <f t="array" ref="AL96">IF(FALSE,"True," &amp; IF(_xlfn.XLOOKUP("App_Any_OR_RangeGt1000",'Scoring_Config'!$A:$A,'Scoring_Config'!$D:$D,"Yes")="Yes",_xlfn.XLOOKUP("App_Any_OR_RangeGt1000",'Scoring_Config'!$A:$A,'Scoring_Config'!$C:$C,25),0),"False,0")</f>
        <v>0</v>
      </c>
      <c r="AM96" s="4" cm="1">
        <f t="array" ref="AM96">IF(FALSE,"True," &amp; IF(_xlfn.XLOOKUP("Service_Insecure_Match",'Scoring_Config'!$A:$A,'Scoring_Config'!$D:$D,"Yes")="Yes",_xlfn.XLOOKUP("Service_Insecure_Match",'Scoring_Config'!$A:$A,'Scoring_Config'!$C:$C,20),0),"False,0")</f>
        <v>0</v>
      </c>
      <c r="AN96" s="4" cm="1">
        <f t="array" ref="AN96">IF(FALSE,"True," &amp; IF(_xlfn.XLOOKUP("Risky_Inbound",'Scoring_Config'!$A:$A,'Scoring_Config'!$D:$D,"Yes")="Yes",_xlfn.XLOOKUP("Risky_Inbound",'Scoring_Config'!$A:$A,'Scoring_Config'!$C:$C,20),0),"False,0")</f>
        <v>0</v>
      </c>
      <c r="AO96" s="4" cm="1">
        <f t="array" ref="AO96">IF(FALSE,"True," &amp; IF(_xlfn.XLOOKUP("Risky_Outbound",'Scoring_Config'!$A:$A,'Scoring_Config'!$D:$D,"Yes")="Yes",_xlfn.XLOOKUP("Risky_Outbound",'Scoring_Config'!$A:$A,'Scoring_Config'!$C:$C,10),0),"False,0")</f>
        <v>0</v>
      </c>
      <c r="AP96" s="5" t="s">
        <v>2595</v>
      </c>
      <c r="AQ96" s="4" cm="1">
        <f t="array" ref="AQ9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6" s="5" t="s">
        <v>2598</v>
      </c>
      <c r="AS96" s="4" t="s">
        <v>2592</v>
      </c>
      <c r="AT96" s="4" t="s">
        <v>2592</v>
      </c>
      <c r="AU96" s="4" cm="1">
        <f t="array" ref="AU96">IF(FALSE,"True," &amp; IF(_xlfn.XLOOKUP("Action_IsDenyOrDrop",'Scoring_Config'!$A:$A,'Scoring_Config'!$D:$D,"Yes")="Yes",_xlfn.XLOOKUP("Action_IsDenyOrDrop",'Scoring_Config'!$A:$A,'Scoring_Config'!$C:$C,0),0),"False,0")</f>
        <v>0</v>
      </c>
      <c r="AV96" s="4"/>
      <c r="AW96" s="4" cm="1">
        <f t="array" ref="AW96">IF(FALSE,"True," &amp; IF(_xlfn.XLOOKUP("Migrate_Insecure",'Scoring_Config'!$A:$A,'Scoring_Config'!$D:$D,"Yes")="Yes",_xlfn.XLOOKUP("Migrate_Insecure",'Scoring_Config'!$A:$A,'Scoring_Config'!$C:$C,15),0),"False,0")</f>
        <v>0</v>
      </c>
      <c r="AX96" s="4"/>
      <c r="AY96" s="4" cm="1">
        <f t="array" ref="AY96">IF(FALSE,"True," &amp; IF(_xlfn.XLOOKUP("Migrate_Other_Ports",'Scoring_Config'!$A:$A,'Scoring_Config'!$D:$D,"Yes")="Yes",_xlfn.XLOOKUP("Migrate_Other_Ports",'Scoring_Config'!$A:$A,'Scoring_Config'!$C:$C,5),0),"False,0")</f>
        <v>0</v>
      </c>
      <c r="AZ96" s="4" cm="1">
        <f t="array" ref="AZ96">IF(LEFT(AU96,4)="True",0,(IF(LEFT(AC96,4)="True",IF(_xlfn.XLOOKUP("Src_IsAny",'Scoring_Config'!$A:$A,'Scoring_Config'!$D:$D,"Yes")="Yes",_xlfn.XLOOKUP("Src_IsAny",'Scoring_Config'!$A:$A,'Scoring_Config'!$C:$C,25),0),0)+IF(LEFT(AD96,4)="True",IF(_xlfn.XLOOKUP("Src_CIDR_Le_16",'Scoring_Config'!$A:$A,'Scoring_Config'!$D:$D,"Yes")="Yes",_xlfn.XLOOKUP("Src_CIDR_Le_16",'Scoring_Config'!$A:$A,'Scoring_Config'!$C:$C,25),0),0)+IF(LEFT(AE96,4)="True",IF(_xlfn.XLOOKUP("Src_CIDR_17_22",'Scoring_Config'!$A:$A,'Scoring_Config'!$D:$D,"Yes")="Yes",_xlfn.XLOOKUP("Src_CIDR_17_22",'Scoring_Config'!$A:$A,'Scoring_Config'!$C:$C,15),0),0)+IF(LEFT(AF96,4)="True",IF(_xlfn.XLOOKUP("Dst_IsAny",'Scoring_Config'!$A:$A,'Scoring_Config'!$D:$D,"Yes")="Yes",_xlfn.XLOOKUP("Dst_IsAny",'Scoring_Config'!$A:$A,'Scoring_Config'!$C:$C,25),0),0)+IF(LEFT(AG96,4)="True",IF(_xlfn.XLOOKUP("Dst_CIDR_Le_16",'Scoring_Config'!$A:$A,'Scoring_Config'!$D:$D,"Yes")="Yes",_xlfn.XLOOKUP("Dst_CIDR_Le_16",'Scoring_Config'!$A:$A,'Scoring_Config'!$C:$C,25),0),0)+IF(LEFT(AH96,4)="True",IF(_xlfn.XLOOKUP("Dst_CIDR_17_22",'Scoring_Config'!$A:$A,'Scoring_Config'!$D:$D,"Yes")="Yes",_xlfn.XLOOKUP("Dst_CIDR_17_22",'Scoring_Config'!$A:$A,'Scoring_Config'!$C:$C,15),0),0)+IF(LEFT(AI96,4)="True",IF(_xlfn.XLOOKUP("SrcZone_IsAny",'Scoring_Config'!$A:$A,'Scoring_Config'!$D:$D,"Yes")="Yes",_xlfn.XLOOKUP("SrcZone_IsAny",'Scoring_Config'!$A:$A,'Scoring_Config'!$C:$C,5),0),0)+IF(LEFT(AJ96,4)="True",IF(_xlfn.XLOOKUP("DstZone_IsAny",'Scoring_Config'!$A:$A,'Scoring_Config'!$D:$D,"Yes")="Yes",_xlfn.XLOOKUP("DstZone_IsAny",'Scoring_Config'!$A:$A,'Scoring_Config'!$C:$C,5),0),0)+IF(LEFT(AK96,4)="True",IF(_xlfn.XLOOKUP("Service_Any_OR_RangeGt1000",'Scoring_Config'!$A:$A,'Scoring_Config'!$D:$D,"Yes")="Yes",_xlfn.XLOOKUP("Service_Any_OR_RangeGt1000",'Scoring_Config'!$A:$A,'Scoring_Config'!$C:$C,25),0),0)+IF(LEFT(AL96,4)="True",IF(_xlfn.XLOOKUP("App_Any_OR_RangeGt1000",'Scoring_Config'!$A:$A,'Scoring_Config'!$D:$D,"Yes")="Yes",_xlfn.XLOOKUP("App_Any_OR_RangeGt1000",'Scoring_Config'!$A:$A,'Scoring_Config'!$C:$C,25),0),0)+IF(LEFT(AM96,4)="True",IF(_xlfn.XLOOKUP("Service_Insecure_Match",'Scoring_Config'!$A:$A,'Scoring_Config'!$D:$D,"Yes")="Yes",_xlfn.XLOOKUP("Service_Insecure_Match",'Scoring_Config'!$A:$A,'Scoring_Config'!$C:$C,20),0),0)+IF(LEFT(AN96,4)="True",IF(_xlfn.XLOOKUP("Risky_Inbound",'Scoring_Config'!$A:$A,'Scoring_Config'!$D:$D,"Yes")="Yes",_xlfn.XLOOKUP("Risky_Inbound",'Scoring_Config'!$A:$A,'Scoring_Config'!$C:$C,20),0),0)+IF(LEFT(AO96,4)="True",IF(_xlfn.XLOOKUP("Risky_Outbound",'Scoring_Config'!$A:$A,'Scoring_Config'!$D:$D,"Yes")="Yes",_xlfn.XLOOKUP("Risky_Outbound",'Scoring_Config'!$A:$A,'Scoring_Config'!$C:$C,10),0),0)+IF(LEFT(AW96,4)="True",IF(_xlfn.XLOOKUP("Migrate_Insecure",'Scoring_Config'!$A:$A,'Scoring_Config'!$D:$D,"Yes")="Yes",_xlfn.XLOOKUP("Migrate_Insecure",'Scoring_Config'!$A:$A,'Scoring_Config'!$C:$C,15),0),0)+IF(LEFT(AY96,4)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96,FIND(",",AP96)+1,100)),0)+IF(LEFT(AQ96,4)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96,FIND(",",AR96)+1,100)),0)+IF(_xlfn.XLOOKUP("Profile_Scoring",'Scoring_Config'!$A:$A,'Scoring_Config'!$D:$D,"Yes")="Yes",VALUE(MID(AS96,FIND(",",AS96)+1,100)),0)+IF(_xlfn.XLOOKUP("Options_Scoring",'Scoring_Config'!$A:$A,'Scoring_Config'!$D:$D,"Yes")="Yes",VALUE(MID(AT96,FIND(",",AT96)+1,100)),0)))</f>
        <v>0</v>
      </c>
    </row>
    <row r="97" spans="1:52">
      <c r="A97" s="3" t="s">
        <v>52</v>
      </c>
      <c r="B97" s="3" t="s">
        <v>136</v>
      </c>
      <c r="C97" s="3" t="s">
        <v>329</v>
      </c>
      <c r="D97" s="3"/>
      <c r="E97" s="3" t="s">
        <v>359</v>
      </c>
      <c r="F97" s="3" t="s">
        <v>360</v>
      </c>
      <c r="G97" s="3" t="s">
        <v>399</v>
      </c>
      <c r="H97" s="3" t="s">
        <v>559</v>
      </c>
      <c r="I97" s="3" t="s">
        <v>365</v>
      </c>
      <c r="J97" s="3" t="s">
        <v>364</v>
      </c>
      <c r="K97" s="3" t="s">
        <v>492</v>
      </c>
      <c r="L97" s="3" t="s">
        <v>492</v>
      </c>
      <c r="M97" s="3" t="s">
        <v>773</v>
      </c>
      <c r="N97" s="3" t="s">
        <v>773</v>
      </c>
      <c r="O97" s="4" t="s">
        <v>821</v>
      </c>
      <c r="P97" s="3" t="s">
        <v>882</v>
      </c>
      <c r="Q97" s="3" t="s">
        <v>905</v>
      </c>
      <c r="R97" s="3" t="s">
        <v>909</v>
      </c>
      <c r="S97" s="3" t="s">
        <v>914</v>
      </c>
      <c r="T97" s="3" t="s">
        <v>978</v>
      </c>
      <c r="U97" s="3" t="s">
        <v>1147</v>
      </c>
      <c r="V97" s="3" t="s">
        <v>772</v>
      </c>
      <c r="W97" s="3" t="s">
        <v>1057</v>
      </c>
      <c r="X97" s="3" t="s">
        <v>1701</v>
      </c>
      <c r="Y97" s="3" t="s">
        <v>2170</v>
      </c>
      <c r="Z97" s="3"/>
      <c r="AA97" s="3"/>
      <c r="AB97" s="3"/>
      <c r="AC97" s="4" cm="1">
        <f t="array" ref="AC97">IF(FALSE,"True," &amp; IF(_xlfn.XLOOKUP("Src_IsAny",'Scoring_Config'!$A:$A,'Scoring_Config'!$D:$D,"Yes")="Yes",_xlfn.XLOOKUP("Src_IsAny",'Scoring_Config'!$A:$A,'Scoring_Config'!$C:$C,25),0),"False,0")</f>
        <v>0</v>
      </c>
      <c r="AD97" s="4" cm="1">
        <f t="array" ref="AD97">IF(FALSE,"True," &amp; IF(_xlfn.XLOOKUP("Src_CIDR_Le_16",'Scoring_Config'!$A:$A,'Scoring_Config'!$D:$D,"Yes")="Yes",_xlfn.XLOOKUP("Src_CIDR_Le_16",'Scoring_Config'!$A:$A,'Scoring_Config'!$C:$C,25),0),"False,0")</f>
        <v>0</v>
      </c>
      <c r="AE97" s="4" cm="1">
        <f t="array" ref="AE97">IF(FALSE,"True," &amp; IF(_xlfn.XLOOKUP("Src_CIDR_17_22",'Scoring_Config'!$A:$A,'Scoring_Config'!$D:$D,"Yes")="Yes",_xlfn.XLOOKUP("Src_CIDR_17_22",'Scoring_Config'!$A:$A,'Scoring_Config'!$C:$C,15),0),"False,0")</f>
        <v>0</v>
      </c>
      <c r="AF97" s="4" cm="1">
        <f t="array" ref="AF97">IF(FALSE,"True," &amp; IF(_xlfn.XLOOKUP("Dst_IsAny",'Scoring_Config'!$A:$A,'Scoring_Config'!$D:$D,"Yes")="Yes",_xlfn.XLOOKUP("Dst_IsAny",'Scoring_Config'!$A:$A,'Scoring_Config'!$C:$C,25),0),"False,0")</f>
        <v>0</v>
      </c>
      <c r="AG97" s="4" cm="1">
        <f t="array" ref="AG97">IF(FALSE,"True," &amp; IF(_xlfn.XLOOKUP("Dst_CIDR_Le_16",'Scoring_Config'!$A:$A,'Scoring_Config'!$D:$D,"Yes")="Yes",_xlfn.XLOOKUP("Dst_CIDR_Le_16",'Scoring_Config'!$A:$A,'Scoring_Config'!$C:$C,25),0),"False,0")</f>
        <v>0</v>
      </c>
      <c r="AH97" s="4" cm="1">
        <f t="array" ref="AH97">IF(FALSE,"True," &amp; IF(_xlfn.XLOOKUP("Dst_CIDR_17_22",'Scoring_Config'!$A:$A,'Scoring_Config'!$D:$D,"Yes")="Yes",_xlfn.XLOOKUP("Dst_CIDR_17_22",'Scoring_Config'!$A:$A,'Scoring_Config'!$C:$C,15),0),"False,0")</f>
        <v>0</v>
      </c>
      <c r="AI97" s="4" cm="1">
        <f t="array" ref="AI97">IF(FALSE,"True," &amp; IF(_xlfn.XLOOKUP("SrcZone_IsAny",'Scoring_Config'!$A:$A,'Scoring_Config'!$D:$D,"Yes")="Yes",_xlfn.XLOOKUP("SrcZone_IsAny",'Scoring_Config'!$A:$A,'Scoring_Config'!$C:$C,5),0),"False,0")</f>
        <v>0</v>
      </c>
      <c r="AJ97" s="4" cm="1">
        <f t="array" ref="AJ97">IF(FALSE,"True," &amp; IF(_xlfn.XLOOKUP("DstZone_IsAny",'Scoring_Config'!$A:$A,'Scoring_Config'!$D:$D,"Yes")="Yes",_xlfn.XLOOKUP("DstZone_IsAny",'Scoring_Config'!$A:$A,'Scoring_Config'!$C:$C,5),0),"False,0")</f>
        <v>0</v>
      </c>
      <c r="AK97" s="4" cm="1">
        <f t="array" ref="AK9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7" s="4" cm="1">
        <f t="array" ref="AL97">IF(FALSE,"True," &amp; IF(_xlfn.XLOOKUP("App_Any_OR_RangeGt1000",'Scoring_Config'!$A:$A,'Scoring_Config'!$D:$D,"Yes")="Yes",_xlfn.XLOOKUP("App_Any_OR_RangeGt1000",'Scoring_Config'!$A:$A,'Scoring_Config'!$C:$C,25),0),"False,0")</f>
        <v>0</v>
      </c>
      <c r="AM97" s="5" cm="1">
        <f t="array" ref="AM97">IF(TRUE,"True," &amp; IF(_xlfn.XLOOKUP("Service_Insecure_Match",'Scoring_Config'!$A:$A,'Scoring_Config'!$D:$D,"Yes")="Yes",_xlfn.XLOOKUP("Service_Insecure_Match",'Scoring_Config'!$A:$A,'Scoring_Config'!$C:$C,20),0),"False,0")</f>
        <v>0</v>
      </c>
      <c r="AN97" s="4" cm="1">
        <f t="array" ref="AN97">IF(FALSE,"True," &amp; IF(_xlfn.XLOOKUP("Risky_Inbound",'Scoring_Config'!$A:$A,'Scoring_Config'!$D:$D,"Yes")="Yes",_xlfn.XLOOKUP("Risky_Inbound",'Scoring_Config'!$A:$A,'Scoring_Config'!$C:$C,20),0),"False,0")</f>
        <v>0</v>
      </c>
      <c r="AO97" s="4" cm="1">
        <f t="array" ref="AO97">IF(FALSE,"True," &amp; IF(_xlfn.XLOOKUP("Risky_Outbound",'Scoring_Config'!$A:$A,'Scoring_Config'!$D:$D,"Yes")="Yes",_xlfn.XLOOKUP("Risky_Outbound",'Scoring_Config'!$A:$A,'Scoring_Config'!$C:$C,10),0),"False,0")</f>
        <v>0</v>
      </c>
      <c r="AP97" s="5" t="s">
        <v>2595</v>
      </c>
      <c r="AQ97" s="5" cm="1">
        <f t="array" ref="AQ9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7" s="4" t="s">
        <v>2592</v>
      </c>
      <c r="AS97" s="4" t="s">
        <v>2592</v>
      </c>
      <c r="AT97" s="4" t="s">
        <v>2592</v>
      </c>
      <c r="AU97" s="4" cm="1">
        <f t="array" ref="AU97">IF(FALSE,"True," &amp; IF(_xlfn.XLOOKUP("Action_IsDenyOrDrop",'Scoring_Config'!$A:$A,'Scoring_Config'!$D:$D,"Yes")="Yes",_xlfn.XLOOKUP("Action_IsDenyOrDrop",'Scoring_Config'!$A:$A,'Scoring_Config'!$C:$C,0),0),"False,0")</f>
        <v>0</v>
      </c>
      <c r="AV97" s="4"/>
      <c r="AW97" s="4" cm="1">
        <f t="array" ref="AW97">IF(FALSE,"True," &amp; IF(_xlfn.XLOOKUP("Migrate_Insecure",'Scoring_Config'!$A:$A,'Scoring_Config'!$D:$D,"Yes")="Yes",_xlfn.XLOOKUP("Migrate_Insecure",'Scoring_Config'!$A:$A,'Scoring_Config'!$C:$C,15),0),"False,0")</f>
        <v>0</v>
      </c>
      <c r="AX97" s="4"/>
      <c r="AY97" s="4" cm="1">
        <f t="array" ref="AY97">IF(FALSE,"True," &amp; IF(_xlfn.XLOOKUP("Migrate_Other_Ports",'Scoring_Config'!$A:$A,'Scoring_Config'!$D:$D,"Yes")="Yes",_xlfn.XLOOKUP("Migrate_Other_Ports",'Scoring_Config'!$A:$A,'Scoring_Config'!$C:$C,5),0),"False,0")</f>
        <v>0</v>
      </c>
      <c r="AZ97" s="4" cm="1">
        <f t="array" ref="AZ97">IF(LEFT(AU97,4)="True",0,(IF(LEFT(AC97,4)="True",IF(_xlfn.XLOOKUP("Src_IsAny",'Scoring_Config'!$A:$A,'Scoring_Config'!$D:$D,"Yes")="Yes",_xlfn.XLOOKUP("Src_IsAny",'Scoring_Config'!$A:$A,'Scoring_Config'!$C:$C,25),0),0)+IF(LEFT(AD97,4)="True",IF(_xlfn.XLOOKUP("Src_CIDR_Le_16",'Scoring_Config'!$A:$A,'Scoring_Config'!$D:$D,"Yes")="Yes",_xlfn.XLOOKUP("Src_CIDR_Le_16",'Scoring_Config'!$A:$A,'Scoring_Config'!$C:$C,25),0),0)+IF(LEFT(AE97,4)="True",IF(_xlfn.XLOOKUP("Src_CIDR_17_22",'Scoring_Config'!$A:$A,'Scoring_Config'!$D:$D,"Yes")="Yes",_xlfn.XLOOKUP("Src_CIDR_17_22",'Scoring_Config'!$A:$A,'Scoring_Config'!$C:$C,15),0),0)+IF(LEFT(AF97,4)="True",IF(_xlfn.XLOOKUP("Dst_IsAny",'Scoring_Config'!$A:$A,'Scoring_Config'!$D:$D,"Yes")="Yes",_xlfn.XLOOKUP("Dst_IsAny",'Scoring_Config'!$A:$A,'Scoring_Config'!$C:$C,25),0),0)+IF(LEFT(AG97,4)="True",IF(_xlfn.XLOOKUP("Dst_CIDR_Le_16",'Scoring_Config'!$A:$A,'Scoring_Config'!$D:$D,"Yes")="Yes",_xlfn.XLOOKUP("Dst_CIDR_Le_16",'Scoring_Config'!$A:$A,'Scoring_Config'!$C:$C,25),0),0)+IF(LEFT(AH97,4)="True",IF(_xlfn.XLOOKUP("Dst_CIDR_17_22",'Scoring_Config'!$A:$A,'Scoring_Config'!$D:$D,"Yes")="Yes",_xlfn.XLOOKUP("Dst_CIDR_17_22",'Scoring_Config'!$A:$A,'Scoring_Config'!$C:$C,15),0),0)+IF(LEFT(AI97,4)="True",IF(_xlfn.XLOOKUP("SrcZone_IsAny",'Scoring_Config'!$A:$A,'Scoring_Config'!$D:$D,"Yes")="Yes",_xlfn.XLOOKUP("SrcZone_IsAny",'Scoring_Config'!$A:$A,'Scoring_Config'!$C:$C,5),0),0)+IF(LEFT(AJ97,4)="True",IF(_xlfn.XLOOKUP("DstZone_IsAny",'Scoring_Config'!$A:$A,'Scoring_Config'!$D:$D,"Yes")="Yes",_xlfn.XLOOKUP("DstZone_IsAny",'Scoring_Config'!$A:$A,'Scoring_Config'!$C:$C,5),0),0)+IF(LEFT(AK97,4)="True",IF(_xlfn.XLOOKUP("Service_Any_OR_RangeGt1000",'Scoring_Config'!$A:$A,'Scoring_Config'!$D:$D,"Yes")="Yes",_xlfn.XLOOKUP("Service_Any_OR_RangeGt1000",'Scoring_Config'!$A:$A,'Scoring_Config'!$C:$C,25),0),0)+IF(LEFT(AL97,4)="True",IF(_xlfn.XLOOKUP("App_Any_OR_RangeGt1000",'Scoring_Config'!$A:$A,'Scoring_Config'!$D:$D,"Yes")="Yes",_xlfn.XLOOKUP("App_Any_OR_RangeGt1000",'Scoring_Config'!$A:$A,'Scoring_Config'!$C:$C,25),0),0)+IF(LEFT(AM97,4)="True",IF(_xlfn.XLOOKUP("Service_Insecure_Match",'Scoring_Config'!$A:$A,'Scoring_Config'!$D:$D,"Yes")="Yes",_xlfn.XLOOKUP("Service_Insecure_Match",'Scoring_Config'!$A:$A,'Scoring_Config'!$C:$C,20),0),0)+IF(LEFT(AN97,4)="True",IF(_xlfn.XLOOKUP("Risky_Inbound",'Scoring_Config'!$A:$A,'Scoring_Config'!$D:$D,"Yes")="Yes",_xlfn.XLOOKUP("Risky_Inbound",'Scoring_Config'!$A:$A,'Scoring_Config'!$C:$C,20),0),0)+IF(LEFT(AO97,4)="True",IF(_xlfn.XLOOKUP("Risky_Outbound",'Scoring_Config'!$A:$A,'Scoring_Config'!$D:$D,"Yes")="Yes",_xlfn.XLOOKUP("Risky_Outbound",'Scoring_Config'!$A:$A,'Scoring_Config'!$C:$C,10),0),0)+IF(LEFT(AW97,4)="True",IF(_xlfn.XLOOKUP("Migrate_Insecure",'Scoring_Config'!$A:$A,'Scoring_Config'!$D:$D,"Yes")="Yes",_xlfn.XLOOKUP("Migrate_Insecure",'Scoring_Config'!$A:$A,'Scoring_Config'!$C:$C,15),0),0)+IF(LEFT(AY97,4)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97,FIND(",",AP97)+1,100)),0)+IF(LEFT(AQ97,4)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97,FIND(",",AR97)+1,100)),0)+IF(_xlfn.XLOOKUP("Profile_Scoring",'Scoring_Config'!$A:$A,'Scoring_Config'!$D:$D,"Yes")="Yes",VALUE(MID(AS97,FIND(",",AS97)+1,100)),0)+IF(_xlfn.XLOOKUP("Options_Scoring",'Scoring_Config'!$A:$A,'Scoring_Config'!$D:$D,"Yes")="Yes",VALUE(MID(AT97,FIND(",",AT97)+1,100)),0)))</f>
        <v>0</v>
      </c>
    </row>
    <row r="98" spans="1:52">
      <c r="A98" s="3" t="s">
        <v>52</v>
      </c>
      <c r="B98" s="3" t="s">
        <v>91</v>
      </c>
      <c r="C98" s="3" t="s">
        <v>329</v>
      </c>
      <c r="D98" s="3"/>
      <c r="E98" s="3" t="s">
        <v>359</v>
      </c>
      <c r="F98" s="3" t="s">
        <v>361</v>
      </c>
      <c r="G98" s="3" t="s">
        <v>365</v>
      </c>
      <c r="H98" s="3" t="s">
        <v>365</v>
      </c>
      <c r="I98" s="3" t="s">
        <v>625</v>
      </c>
      <c r="J98" s="3" t="s">
        <v>364</v>
      </c>
      <c r="K98" s="3" t="s">
        <v>365</v>
      </c>
      <c r="L98" s="3" t="s">
        <v>365</v>
      </c>
      <c r="M98" s="3" t="s">
        <v>365</v>
      </c>
      <c r="N98" s="3" t="s">
        <v>365</v>
      </c>
      <c r="O98" s="4" t="s">
        <v>829</v>
      </c>
      <c r="P98" s="3" t="s">
        <v>890</v>
      </c>
      <c r="Q98" s="3" t="s">
        <v>905</v>
      </c>
      <c r="R98" s="3" t="s">
        <v>907</v>
      </c>
      <c r="S98" s="3" t="s">
        <v>912</v>
      </c>
      <c r="T98" s="3" t="s">
        <v>979</v>
      </c>
      <c r="U98" s="3" t="s">
        <v>1147</v>
      </c>
      <c r="V98" s="3" t="s">
        <v>1389</v>
      </c>
      <c r="W98" s="3" t="s">
        <v>1102</v>
      </c>
      <c r="X98" s="3" t="s">
        <v>1702</v>
      </c>
      <c r="Y98" s="3" t="s">
        <v>2171</v>
      </c>
      <c r="Z98" s="3"/>
      <c r="AA98" s="3"/>
      <c r="AB98" s="3"/>
      <c r="AC98" s="5" cm="1">
        <f t="array" ref="AC98">IF(TRUE,"True," &amp; IF(_xlfn.XLOOKUP("Src_IsAny",'Scoring_Config'!$A:$A,'Scoring_Config'!$D:$D,"Yes")="Yes",_xlfn.XLOOKUP("Src_IsAny",'Scoring_Config'!$A:$A,'Scoring_Config'!$C:$C,25),0),"False,0")</f>
        <v>0</v>
      </c>
      <c r="AD98" s="4" cm="1">
        <f t="array" ref="AD98">IF(FALSE,"True," &amp; IF(_xlfn.XLOOKUP("Src_CIDR_Le_16",'Scoring_Config'!$A:$A,'Scoring_Config'!$D:$D,"Yes")="Yes",_xlfn.XLOOKUP("Src_CIDR_Le_16",'Scoring_Config'!$A:$A,'Scoring_Config'!$C:$C,25),0),"False,0")</f>
        <v>0</v>
      </c>
      <c r="AE98" s="4" cm="1">
        <f t="array" ref="AE98">IF(FALSE,"True," &amp; IF(_xlfn.XLOOKUP("Src_CIDR_17_22",'Scoring_Config'!$A:$A,'Scoring_Config'!$D:$D,"Yes")="Yes",_xlfn.XLOOKUP("Src_CIDR_17_22",'Scoring_Config'!$A:$A,'Scoring_Config'!$C:$C,15),0),"False,0")</f>
        <v>0</v>
      </c>
      <c r="AF98" s="5" cm="1">
        <f t="array" ref="AF98">IF(TRUE,"True," &amp; IF(_xlfn.XLOOKUP("Dst_IsAny",'Scoring_Config'!$A:$A,'Scoring_Config'!$D:$D,"Yes")="Yes",_xlfn.XLOOKUP("Dst_IsAny",'Scoring_Config'!$A:$A,'Scoring_Config'!$C:$C,25),0),"False,0")</f>
        <v>0</v>
      </c>
      <c r="AG98" s="4" cm="1">
        <f t="array" ref="AG98">IF(FALSE,"True," &amp; IF(_xlfn.XLOOKUP("Dst_CIDR_Le_16",'Scoring_Config'!$A:$A,'Scoring_Config'!$D:$D,"Yes")="Yes",_xlfn.XLOOKUP("Dst_CIDR_Le_16",'Scoring_Config'!$A:$A,'Scoring_Config'!$C:$C,25),0),"False,0")</f>
        <v>0</v>
      </c>
      <c r="AH98" s="4" cm="1">
        <f t="array" ref="AH98">IF(FALSE,"True," &amp; IF(_xlfn.XLOOKUP("Dst_CIDR_17_22",'Scoring_Config'!$A:$A,'Scoring_Config'!$D:$D,"Yes")="Yes",_xlfn.XLOOKUP("Dst_CIDR_17_22",'Scoring_Config'!$A:$A,'Scoring_Config'!$C:$C,15),0),"False,0")</f>
        <v>0</v>
      </c>
      <c r="AI98" s="4" cm="1">
        <f t="array" ref="AI98">IF(FALSE,"True," &amp; IF(_xlfn.XLOOKUP("SrcZone_IsAny",'Scoring_Config'!$A:$A,'Scoring_Config'!$D:$D,"Yes")="Yes",_xlfn.XLOOKUP("SrcZone_IsAny",'Scoring_Config'!$A:$A,'Scoring_Config'!$C:$C,5),0),"False,0")</f>
        <v>0</v>
      </c>
      <c r="AJ98" s="4" cm="1">
        <f t="array" ref="AJ98">IF(FALSE,"True," &amp; IF(_xlfn.XLOOKUP("DstZone_IsAny",'Scoring_Config'!$A:$A,'Scoring_Config'!$D:$D,"Yes")="Yes",_xlfn.XLOOKUP("DstZone_IsAny",'Scoring_Config'!$A:$A,'Scoring_Config'!$C:$C,5),0),"False,0")</f>
        <v>0</v>
      </c>
      <c r="AK98" s="4" cm="1">
        <f t="array" ref="AK9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8" s="5" cm="1">
        <f t="array" ref="AL98">IF(TRUE,"True," &amp; IF(_xlfn.XLOOKUP("App_Any_OR_RangeGt1000",'Scoring_Config'!$A:$A,'Scoring_Config'!$D:$D,"Yes")="Yes",_xlfn.XLOOKUP("App_Any_OR_RangeGt1000",'Scoring_Config'!$A:$A,'Scoring_Config'!$C:$C,25),0),"False,0")</f>
        <v>0</v>
      </c>
      <c r="AM98" s="5" cm="1">
        <f t="array" ref="AM98">IF(TRUE,"True," &amp; IF(_xlfn.XLOOKUP("Service_Insecure_Match",'Scoring_Config'!$A:$A,'Scoring_Config'!$D:$D,"Yes")="Yes",_xlfn.XLOOKUP("Service_Insecure_Match",'Scoring_Config'!$A:$A,'Scoring_Config'!$C:$C,20),0),"False,0")</f>
        <v>0</v>
      </c>
      <c r="AN98" s="4" cm="1">
        <f t="array" ref="AN98">IF(FALSE,"True," &amp; IF(_xlfn.XLOOKUP("Risky_Inbound",'Scoring_Config'!$A:$A,'Scoring_Config'!$D:$D,"Yes")="Yes",_xlfn.XLOOKUP("Risky_Inbound",'Scoring_Config'!$A:$A,'Scoring_Config'!$C:$C,20),0),"False,0")</f>
        <v>0</v>
      </c>
      <c r="AO98" s="4" cm="1">
        <f t="array" ref="AO98">IF(FALSE,"True," &amp; IF(_xlfn.XLOOKUP("Risky_Outbound",'Scoring_Config'!$A:$A,'Scoring_Config'!$D:$D,"Yes")="Yes",_xlfn.XLOOKUP("Risky_Outbound",'Scoring_Config'!$A:$A,'Scoring_Config'!$C:$C,10),0),"False,0")</f>
        <v>0</v>
      </c>
      <c r="AP98" s="5" t="s">
        <v>2595</v>
      </c>
      <c r="AQ98" s="5" cm="1">
        <f t="array" ref="AQ9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8" s="5" t="s">
        <v>2598</v>
      </c>
      <c r="AS98" s="5" t="s">
        <v>2595</v>
      </c>
      <c r="AT98" s="4" t="s">
        <v>2592</v>
      </c>
      <c r="AU98" s="4" cm="1">
        <f t="array" ref="AU98">IF(FALSE,"True," &amp; IF(_xlfn.XLOOKUP("Action_IsDenyOrDrop",'Scoring_Config'!$A:$A,'Scoring_Config'!$D:$D,"Yes")="Yes",_xlfn.XLOOKUP("Action_IsDenyOrDrop",'Scoring_Config'!$A:$A,'Scoring_Config'!$C:$C,0),0),"False,0")</f>
        <v>0</v>
      </c>
      <c r="AV98" s="4"/>
      <c r="AW98" s="4" cm="1">
        <f t="array" ref="AW98">IF(FALSE,"True," &amp; IF(_xlfn.XLOOKUP("Migrate_Insecure",'Scoring_Config'!$A:$A,'Scoring_Config'!$D:$D,"Yes")="Yes",_xlfn.XLOOKUP("Migrate_Insecure",'Scoring_Config'!$A:$A,'Scoring_Config'!$C:$C,15),0),"False,0")</f>
        <v>0</v>
      </c>
      <c r="AX98" s="4"/>
      <c r="AY98" s="4" cm="1">
        <f t="array" ref="AY98">IF(FALSE,"True," &amp; IF(_xlfn.XLOOKUP("Migrate_Other_Ports",'Scoring_Config'!$A:$A,'Scoring_Config'!$D:$D,"Yes")="Yes",_xlfn.XLOOKUP("Migrate_Other_Ports",'Scoring_Config'!$A:$A,'Scoring_Config'!$C:$C,5),0),"False,0")</f>
        <v>0</v>
      </c>
      <c r="AZ98" s="4" cm="1">
        <f t="array" ref="AZ98">IF(LEFT(AU98,4)="True",0,(IF(LEFT(AC98,4)="True",IF(_xlfn.XLOOKUP("Src_IsAny",'Scoring_Config'!$A:$A,'Scoring_Config'!$D:$D,"Yes")="Yes",_xlfn.XLOOKUP("Src_IsAny",'Scoring_Config'!$A:$A,'Scoring_Config'!$C:$C,25),0),0)+IF(LEFT(AD98,4)="True",IF(_xlfn.XLOOKUP("Src_CIDR_Le_16",'Scoring_Config'!$A:$A,'Scoring_Config'!$D:$D,"Yes")="Yes",_xlfn.XLOOKUP("Src_CIDR_Le_16",'Scoring_Config'!$A:$A,'Scoring_Config'!$C:$C,25),0),0)+IF(LEFT(AE98,4)="True",IF(_xlfn.XLOOKUP("Src_CIDR_17_22",'Scoring_Config'!$A:$A,'Scoring_Config'!$D:$D,"Yes")="Yes",_xlfn.XLOOKUP("Src_CIDR_17_22",'Scoring_Config'!$A:$A,'Scoring_Config'!$C:$C,15),0),0)+IF(LEFT(AF98,4)="True",IF(_xlfn.XLOOKUP("Dst_IsAny",'Scoring_Config'!$A:$A,'Scoring_Config'!$D:$D,"Yes")="Yes",_xlfn.XLOOKUP("Dst_IsAny",'Scoring_Config'!$A:$A,'Scoring_Config'!$C:$C,25),0),0)+IF(LEFT(AG98,4)="True",IF(_xlfn.XLOOKUP("Dst_CIDR_Le_16",'Scoring_Config'!$A:$A,'Scoring_Config'!$D:$D,"Yes")="Yes",_xlfn.XLOOKUP("Dst_CIDR_Le_16",'Scoring_Config'!$A:$A,'Scoring_Config'!$C:$C,25),0),0)+IF(LEFT(AH98,4)="True",IF(_xlfn.XLOOKUP("Dst_CIDR_17_22",'Scoring_Config'!$A:$A,'Scoring_Config'!$D:$D,"Yes")="Yes",_xlfn.XLOOKUP("Dst_CIDR_17_22",'Scoring_Config'!$A:$A,'Scoring_Config'!$C:$C,15),0),0)+IF(LEFT(AI98,4)="True",IF(_xlfn.XLOOKUP("SrcZone_IsAny",'Scoring_Config'!$A:$A,'Scoring_Config'!$D:$D,"Yes")="Yes",_xlfn.XLOOKUP("SrcZone_IsAny",'Scoring_Config'!$A:$A,'Scoring_Config'!$C:$C,5),0),0)+IF(LEFT(AJ98,4)="True",IF(_xlfn.XLOOKUP("DstZone_IsAny",'Scoring_Config'!$A:$A,'Scoring_Config'!$D:$D,"Yes")="Yes",_xlfn.XLOOKUP("DstZone_IsAny",'Scoring_Config'!$A:$A,'Scoring_Config'!$C:$C,5),0),0)+IF(LEFT(AK98,4)="True",IF(_xlfn.XLOOKUP("Service_Any_OR_RangeGt1000",'Scoring_Config'!$A:$A,'Scoring_Config'!$D:$D,"Yes")="Yes",_xlfn.XLOOKUP("Service_Any_OR_RangeGt1000",'Scoring_Config'!$A:$A,'Scoring_Config'!$C:$C,25),0),0)+IF(LEFT(AL98,4)="True",IF(_xlfn.XLOOKUP("App_Any_OR_RangeGt1000",'Scoring_Config'!$A:$A,'Scoring_Config'!$D:$D,"Yes")="Yes",_xlfn.XLOOKUP("App_Any_OR_RangeGt1000",'Scoring_Config'!$A:$A,'Scoring_Config'!$C:$C,25),0),0)+IF(LEFT(AM98,4)="True",IF(_xlfn.XLOOKUP("Service_Insecure_Match",'Scoring_Config'!$A:$A,'Scoring_Config'!$D:$D,"Yes")="Yes",_xlfn.XLOOKUP("Service_Insecure_Match",'Scoring_Config'!$A:$A,'Scoring_Config'!$C:$C,20),0),0)+IF(LEFT(AN98,4)="True",IF(_xlfn.XLOOKUP("Risky_Inbound",'Scoring_Config'!$A:$A,'Scoring_Config'!$D:$D,"Yes")="Yes",_xlfn.XLOOKUP("Risky_Inbound",'Scoring_Config'!$A:$A,'Scoring_Config'!$C:$C,20),0),0)+IF(LEFT(AO98,4)="True",IF(_xlfn.XLOOKUP("Risky_Outbound",'Scoring_Config'!$A:$A,'Scoring_Config'!$D:$D,"Yes")="Yes",_xlfn.XLOOKUP("Risky_Outbound",'Scoring_Config'!$A:$A,'Scoring_Config'!$C:$C,10),0),0)+IF(LEFT(AW98,4)="True",IF(_xlfn.XLOOKUP("Migrate_Insecure",'Scoring_Config'!$A:$A,'Scoring_Config'!$D:$D,"Yes")="Yes",_xlfn.XLOOKUP("Migrate_Insecure",'Scoring_Config'!$A:$A,'Scoring_Config'!$C:$C,15),0),0)+IF(LEFT(AY98,4)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98,FIND(",",AP98)+1,100)),0)+IF(LEFT(AQ98,4)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98,FIND(",",AR98)+1,100)),0)+IF(_xlfn.XLOOKUP("Profile_Scoring",'Scoring_Config'!$A:$A,'Scoring_Config'!$D:$D,"Yes")="Yes",VALUE(MID(AS98,FIND(",",AS98)+1,100)),0)+IF(_xlfn.XLOOKUP("Options_Scoring",'Scoring_Config'!$A:$A,'Scoring_Config'!$D:$D,"Yes")="Yes",VALUE(MID(AT98,FIND(",",AT98)+1,100)),0)))</f>
        <v>0</v>
      </c>
    </row>
    <row r="99" spans="1:52">
      <c r="A99" s="3" t="s">
        <v>52</v>
      </c>
      <c r="B99" s="3" t="s">
        <v>93</v>
      </c>
      <c r="C99" s="3" t="s">
        <v>329</v>
      </c>
      <c r="D99" s="3"/>
      <c r="E99" s="3" t="s">
        <v>359</v>
      </c>
      <c r="F99" s="3" t="s">
        <v>363</v>
      </c>
      <c r="G99" s="3" t="s">
        <v>380</v>
      </c>
      <c r="H99" s="3" t="s">
        <v>546</v>
      </c>
      <c r="I99" s="3" t="s">
        <v>622</v>
      </c>
      <c r="J99" s="3" t="s">
        <v>364</v>
      </c>
      <c r="K99" s="3" t="s">
        <v>645</v>
      </c>
      <c r="L99" s="3" t="s">
        <v>749</v>
      </c>
      <c r="M99" s="3" t="s">
        <v>774</v>
      </c>
      <c r="N99" s="3" t="s">
        <v>795</v>
      </c>
      <c r="O99" s="4" t="s">
        <v>827</v>
      </c>
      <c r="P99" s="3" t="s">
        <v>888</v>
      </c>
      <c r="Q99" s="3" t="s">
        <v>905</v>
      </c>
      <c r="R99" s="3" t="s">
        <v>910</v>
      </c>
      <c r="S99" s="3" t="s">
        <v>912</v>
      </c>
      <c r="T99" s="3" t="s">
        <v>980</v>
      </c>
      <c r="U99" s="3" t="s">
        <v>1157</v>
      </c>
      <c r="V99" s="3" t="s">
        <v>1387</v>
      </c>
      <c r="W99" s="3" t="s">
        <v>1456</v>
      </c>
      <c r="X99" s="3" t="s">
        <v>1703</v>
      </c>
      <c r="Y99" s="3" t="s">
        <v>2172</v>
      </c>
      <c r="Z99" s="3"/>
      <c r="AA99" s="3"/>
      <c r="AB99" s="3"/>
      <c r="AC99" s="5" cm="1">
        <f t="array" ref="AC99">IF(TRUE,"True," &amp; IF(_xlfn.XLOOKUP("Src_IsAny",'Scoring_Config'!$A:$A,'Scoring_Config'!$D:$D,"Yes")="Yes",_xlfn.XLOOKUP("Src_IsAny",'Scoring_Config'!$A:$A,'Scoring_Config'!$C:$C,25),0),"False,0")</f>
        <v>0</v>
      </c>
      <c r="AD99" s="4" cm="1">
        <f t="array" ref="AD99">IF(FALSE,"True," &amp; IF(_xlfn.XLOOKUP("Src_CIDR_Le_16",'Scoring_Config'!$A:$A,'Scoring_Config'!$D:$D,"Yes")="Yes",_xlfn.XLOOKUP("Src_CIDR_Le_16",'Scoring_Config'!$A:$A,'Scoring_Config'!$C:$C,25),0),"False,0")</f>
        <v>0</v>
      </c>
      <c r="AE99" s="4" cm="1">
        <f t="array" ref="AE99">IF(FALSE,"True," &amp; IF(_xlfn.XLOOKUP("Src_CIDR_17_22",'Scoring_Config'!$A:$A,'Scoring_Config'!$D:$D,"Yes")="Yes",_xlfn.XLOOKUP("Src_CIDR_17_22",'Scoring_Config'!$A:$A,'Scoring_Config'!$C:$C,15),0),"False,0")</f>
        <v>0</v>
      </c>
      <c r="AF99" s="4" cm="1">
        <f t="array" ref="AF99">IF(FALSE,"True," &amp; IF(_xlfn.XLOOKUP("Dst_IsAny",'Scoring_Config'!$A:$A,'Scoring_Config'!$D:$D,"Yes")="Yes",_xlfn.XLOOKUP("Dst_IsAny",'Scoring_Config'!$A:$A,'Scoring_Config'!$C:$C,25),0),"False,0")</f>
        <v>0</v>
      </c>
      <c r="AG99" s="4" cm="1">
        <f t="array" ref="AG99">IF(FALSE,"True," &amp; IF(_xlfn.XLOOKUP("Dst_CIDR_Le_16",'Scoring_Config'!$A:$A,'Scoring_Config'!$D:$D,"Yes")="Yes",_xlfn.XLOOKUP("Dst_CIDR_Le_16",'Scoring_Config'!$A:$A,'Scoring_Config'!$C:$C,25),0),"False,0")</f>
        <v>0</v>
      </c>
      <c r="AH99" s="4" cm="1">
        <f t="array" ref="AH99">IF(FALSE,"True," &amp; IF(_xlfn.XLOOKUP("Dst_CIDR_17_22",'Scoring_Config'!$A:$A,'Scoring_Config'!$D:$D,"Yes")="Yes",_xlfn.XLOOKUP("Dst_CIDR_17_22",'Scoring_Config'!$A:$A,'Scoring_Config'!$C:$C,15),0),"False,0")</f>
        <v>0</v>
      </c>
      <c r="AI99" s="4" cm="1">
        <f t="array" ref="AI99">IF(FALSE,"True," &amp; IF(_xlfn.XLOOKUP("SrcZone_IsAny",'Scoring_Config'!$A:$A,'Scoring_Config'!$D:$D,"Yes")="Yes",_xlfn.XLOOKUP("SrcZone_IsAny",'Scoring_Config'!$A:$A,'Scoring_Config'!$C:$C,5),0),"False,0")</f>
        <v>0</v>
      </c>
      <c r="AJ99" s="4" cm="1">
        <f t="array" ref="AJ99">IF(FALSE,"True," &amp; IF(_xlfn.XLOOKUP("DstZone_IsAny",'Scoring_Config'!$A:$A,'Scoring_Config'!$D:$D,"Yes")="Yes",_xlfn.XLOOKUP("DstZone_IsAny",'Scoring_Config'!$A:$A,'Scoring_Config'!$C:$C,5),0),"False,0")</f>
        <v>0</v>
      </c>
      <c r="AK99" s="4" cm="1">
        <f t="array" ref="AK9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99" s="4" cm="1">
        <f t="array" ref="AL99">IF(FALSE,"True," &amp; IF(_xlfn.XLOOKUP("App_Any_OR_RangeGt1000",'Scoring_Config'!$A:$A,'Scoring_Config'!$D:$D,"Yes")="Yes",_xlfn.XLOOKUP("App_Any_OR_RangeGt1000",'Scoring_Config'!$A:$A,'Scoring_Config'!$C:$C,25),0),"False,0")</f>
        <v>0</v>
      </c>
      <c r="AM99" s="5" cm="1">
        <f t="array" ref="AM99">IF(TRUE,"True," &amp; IF(_xlfn.XLOOKUP("Service_Insecure_Match",'Scoring_Config'!$A:$A,'Scoring_Config'!$D:$D,"Yes")="Yes",_xlfn.XLOOKUP("Service_Insecure_Match",'Scoring_Config'!$A:$A,'Scoring_Config'!$C:$C,20),0),"False,0")</f>
        <v>0</v>
      </c>
      <c r="AN99" s="4" cm="1">
        <f t="array" ref="AN99">IF(FALSE,"True," &amp; IF(_xlfn.XLOOKUP("Risky_Inbound",'Scoring_Config'!$A:$A,'Scoring_Config'!$D:$D,"Yes")="Yes",_xlfn.XLOOKUP("Risky_Inbound",'Scoring_Config'!$A:$A,'Scoring_Config'!$C:$C,20),0),"False,0")</f>
        <v>0</v>
      </c>
      <c r="AO99" s="4" cm="1">
        <f t="array" ref="AO99">IF(FALSE,"True," &amp; IF(_xlfn.XLOOKUP("Risky_Outbound",'Scoring_Config'!$A:$A,'Scoring_Config'!$D:$D,"Yes")="Yes",_xlfn.XLOOKUP("Risky_Outbound",'Scoring_Config'!$A:$A,'Scoring_Config'!$C:$C,10),0),"False,0")</f>
        <v>0</v>
      </c>
      <c r="AP99" s="5" t="s">
        <v>2595</v>
      </c>
      <c r="AQ99" s="5" cm="1">
        <f t="array" ref="AQ9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99" s="5" t="s">
        <v>2598</v>
      </c>
      <c r="AS99" s="4" t="s">
        <v>2592</v>
      </c>
      <c r="AT99" s="4" t="s">
        <v>2592</v>
      </c>
      <c r="AU99" s="4" cm="1">
        <f t="array" ref="AU99">IF(FALSE,"True," &amp; IF(_xlfn.XLOOKUP("Action_IsDenyOrDrop",'Scoring_Config'!$A:$A,'Scoring_Config'!$D:$D,"Yes")="Yes",_xlfn.XLOOKUP("Action_IsDenyOrDrop",'Scoring_Config'!$A:$A,'Scoring_Config'!$C:$C,0),0),"False,0")</f>
        <v>0</v>
      </c>
      <c r="AV99" s="4"/>
      <c r="AW99" s="4" cm="1">
        <f t="array" ref="AW99">IF(FALSE,"True," &amp; IF(_xlfn.XLOOKUP("Migrate_Insecure",'Scoring_Config'!$A:$A,'Scoring_Config'!$D:$D,"Yes")="Yes",_xlfn.XLOOKUP("Migrate_Insecure",'Scoring_Config'!$A:$A,'Scoring_Config'!$C:$C,15),0),"False,0")</f>
        <v>0</v>
      </c>
      <c r="AX99" s="4"/>
      <c r="AY99" s="4" cm="1">
        <f t="array" ref="AY99">IF(FALSE,"True," &amp; IF(_xlfn.XLOOKUP("Migrate_Other_Ports",'Scoring_Config'!$A:$A,'Scoring_Config'!$D:$D,"Yes")="Yes",_xlfn.XLOOKUP("Migrate_Other_Ports",'Scoring_Config'!$A:$A,'Scoring_Config'!$C:$C,5),0),"False,0")</f>
        <v>0</v>
      </c>
      <c r="AZ99" s="4" cm="1">
        <f t="array" ref="AZ99">IF(LEFT(AU99,4)="True",0,(IF(LEFT(AC99,4)="True",IF(_xlfn.XLOOKUP("Src_IsAny",'Scoring_Config'!$A:$A,'Scoring_Config'!$D:$D,"Yes")="Yes",_xlfn.XLOOKUP("Src_IsAny",'Scoring_Config'!$A:$A,'Scoring_Config'!$C:$C,25),0),0)+IF(LEFT(AD99,4)="True",IF(_xlfn.XLOOKUP("Src_CIDR_Le_16",'Scoring_Config'!$A:$A,'Scoring_Config'!$D:$D,"Yes")="Yes",_xlfn.XLOOKUP("Src_CIDR_Le_16",'Scoring_Config'!$A:$A,'Scoring_Config'!$C:$C,25),0),0)+IF(LEFT(AE99,4)="True",IF(_xlfn.XLOOKUP("Src_CIDR_17_22",'Scoring_Config'!$A:$A,'Scoring_Config'!$D:$D,"Yes")="Yes",_xlfn.XLOOKUP("Src_CIDR_17_22",'Scoring_Config'!$A:$A,'Scoring_Config'!$C:$C,15),0),0)+IF(LEFT(AF99,4)="True",IF(_xlfn.XLOOKUP("Dst_IsAny",'Scoring_Config'!$A:$A,'Scoring_Config'!$D:$D,"Yes")="Yes",_xlfn.XLOOKUP("Dst_IsAny",'Scoring_Config'!$A:$A,'Scoring_Config'!$C:$C,25),0),0)+IF(LEFT(AG99,4)="True",IF(_xlfn.XLOOKUP("Dst_CIDR_Le_16",'Scoring_Config'!$A:$A,'Scoring_Config'!$D:$D,"Yes")="Yes",_xlfn.XLOOKUP("Dst_CIDR_Le_16",'Scoring_Config'!$A:$A,'Scoring_Config'!$C:$C,25),0),0)+IF(LEFT(AH99,4)="True",IF(_xlfn.XLOOKUP("Dst_CIDR_17_22",'Scoring_Config'!$A:$A,'Scoring_Config'!$D:$D,"Yes")="Yes",_xlfn.XLOOKUP("Dst_CIDR_17_22",'Scoring_Config'!$A:$A,'Scoring_Config'!$C:$C,15),0),0)+IF(LEFT(AI99,4)="True",IF(_xlfn.XLOOKUP("SrcZone_IsAny",'Scoring_Config'!$A:$A,'Scoring_Config'!$D:$D,"Yes")="Yes",_xlfn.XLOOKUP("SrcZone_IsAny",'Scoring_Config'!$A:$A,'Scoring_Config'!$C:$C,5),0),0)+IF(LEFT(AJ99,4)="True",IF(_xlfn.XLOOKUP("DstZone_IsAny",'Scoring_Config'!$A:$A,'Scoring_Config'!$D:$D,"Yes")="Yes",_xlfn.XLOOKUP("DstZone_IsAny",'Scoring_Config'!$A:$A,'Scoring_Config'!$C:$C,5),0),0)+IF(LEFT(AK99,4)="True",IF(_xlfn.XLOOKUP("Service_Any_OR_RangeGt1000",'Scoring_Config'!$A:$A,'Scoring_Config'!$D:$D,"Yes")="Yes",_xlfn.XLOOKUP("Service_Any_OR_RangeGt1000",'Scoring_Config'!$A:$A,'Scoring_Config'!$C:$C,25),0),0)+IF(LEFT(AL99,4)="True",IF(_xlfn.XLOOKUP("App_Any_OR_RangeGt1000",'Scoring_Config'!$A:$A,'Scoring_Config'!$D:$D,"Yes")="Yes",_xlfn.XLOOKUP("App_Any_OR_RangeGt1000",'Scoring_Config'!$A:$A,'Scoring_Config'!$C:$C,25),0),0)+IF(LEFT(AM99,4)="True",IF(_xlfn.XLOOKUP("Service_Insecure_Match",'Scoring_Config'!$A:$A,'Scoring_Config'!$D:$D,"Yes")="Yes",_xlfn.XLOOKUP("Service_Insecure_Match",'Scoring_Config'!$A:$A,'Scoring_Config'!$C:$C,20),0),0)+IF(LEFT(AN99,4)="True",IF(_xlfn.XLOOKUP("Risky_Inbound",'Scoring_Config'!$A:$A,'Scoring_Config'!$D:$D,"Yes")="Yes",_xlfn.XLOOKUP("Risky_Inbound",'Scoring_Config'!$A:$A,'Scoring_Config'!$C:$C,20),0),0)+IF(LEFT(AO99,4)="True",IF(_xlfn.XLOOKUP("Risky_Outbound",'Scoring_Config'!$A:$A,'Scoring_Config'!$D:$D,"Yes")="Yes",_xlfn.XLOOKUP("Risky_Outbound",'Scoring_Config'!$A:$A,'Scoring_Config'!$C:$C,10),0),0)+IF(LEFT(AW99,4)="True",IF(_xlfn.XLOOKUP("Migrate_Insecure",'Scoring_Config'!$A:$A,'Scoring_Config'!$D:$D,"Yes")="Yes",_xlfn.XLOOKUP("Migrate_Insecure",'Scoring_Config'!$A:$A,'Scoring_Config'!$C:$C,15),0),0)+IF(LEFT(AY99,4)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99,FIND(",",AP99)+1,100)),0)+IF(LEFT(AQ99,4)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99,FIND(",",AR99)+1,100)),0)+IF(_xlfn.XLOOKUP("Profile_Scoring",'Scoring_Config'!$A:$A,'Scoring_Config'!$D:$D,"Yes")="Yes",VALUE(MID(AS99,FIND(",",AS99)+1,100)),0)+IF(_xlfn.XLOOKUP("Options_Scoring",'Scoring_Config'!$A:$A,'Scoring_Config'!$D:$D,"Yes")="Yes",VALUE(MID(AT99,FIND(",",AT99)+1,100)),0)))</f>
        <v>0</v>
      </c>
    </row>
    <row r="100" spans="1:52">
      <c r="A100" s="3" t="s">
        <v>52</v>
      </c>
      <c r="B100" s="3" t="s">
        <v>117</v>
      </c>
      <c r="C100" s="3" t="s">
        <v>329</v>
      </c>
      <c r="D100" s="3"/>
      <c r="E100" s="3" t="s">
        <v>359</v>
      </c>
      <c r="F100" s="3" t="s">
        <v>363</v>
      </c>
      <c r="G100" s="3" t="s">
        <v>400</v>
      </c>
      <c r="H100" s="3" t="s">
        <v>400</v>
      </c>
      <c r="I100" s="3" t="s">
        <v>623</v>
      </c>
      <c r="J100" s="3" t="s">
        <v>360</v>
      </c>
      <c r="K100" s="3" t="s">
        <v>646</v>
      </c>
      <c r="L100" s="3" t="s">
        <v>646</v>
      </c>
      <c r="M100" s="3" t="s">
        <v>775</v>
      </c>
      <c r="N100" s="3" t="s">
        <v>796</v>
      </c>
      <c r="O100" s="4" t="s">
        <v>812</v>
      </c>
      <c r="P100" s="3" t="s">
        <v>873</v>
      </c>
      <c r="Q100" s="3" t="s">
        <v>905</v>
      </c>
      <c r="R100" s="3" t="s">
        <v>911</v>
      </c>
      <c r="S100" s="3" t="s">
        <v>913</v>
      </c>
      <c r="T100" s="3" t="s">
        <v>981</v>
      </c>
      <c r="U100" s="3" t="s">
        <v>1145</v>
      </c>
      <c r="V100" s="3" t="s">
        <v>770</v>
      </c>
      <c r="W100" s="3" t="s">
        <v>920</v>
      </c>
      <c r="X100" s="3" t="s">
        <v>1704</v>
      </c>
      <c r="Y100" s="3" t="s">
        <v>2173</v>
      </c>
      <c r="Z100" s="3"/>
      <c r="AA100" s="3"/>
      <c r="AB100" s="3"/>
      <c r="AC100" s="4" cm="1">
        <f t="array" ref="AC100">IF(FALSE,"True," &amp; IF(_xlfn.XLOOKUP("Src_IsAny",'Scoring_Config'!$A:$A,'Scoring_Config'!$D:$D,"Yes")="Yes",_xlfn.XLOOKUP("Src_IsAny",'Scoring_Config'!$A:$A,'Scoring_Config'!$C:$C,25),0),"False,0")</f>
        <v>0</v>
      </c>
      <c r="AD100" s="4" cm="1">
        <f t="array" ref="AD100">IF(FALSE,"True," &amp; IF(_xlfn.XLOOKUP("Src_CIDR_Le_16",'Scoring_Config'!$A:$A,'Scoring_Config'!$D:$D,"Yes")="Yes",_xlfn.XLOOKUP("Src_CIDR_Le_16",'Scoring_Config'!$A:$A,'Scoring_Config'!$C:$C,25),0),"False,0")</f>
        <v>0</v>
      </c>
      <c r="AE100" s="4" cm="1">
        <f t="array" ref="AE100">IF(FALSE,"True," &amp; IF(_xlfn.XLOOKUP("Src_CIDR_17_22",'Scoring_Config'!$A:$A,'Scoring_Config'!$D:$D,"Yes")="Yes",_xlfn.XLOOKUP("Src_CIDR_17_22",'Scoring_Config'!$A:$A,'Scoring_Config'!$C:$C,15),0),"False,0")</f>
        <v>0</v>
      </c>
      <c r="AF100" s="4" cm="1">
        <f t="array" ref="AF100">IF(FALSE,"True," &amp; IF(_xlfn.XLOOKUP("Dst_IsAny",'Scoring_Config'!$A:$A,'Scoring_Config'!$D:$D,"Yes")="Yes",_xlfn.XLOOKUP("Dst_IsAny",'Scoring_Config'!$A:$A,'Scoring_Config'!$C:$C,25),0),"False,0")</f>
        <v>0</v>
      </c>
      <c r="AG100" s="5" cm="1">
        <f t="array" ref="AG100">IF(TRUE,"True," &amp; IF(_xlfn.XLOOKUP("Dst_CIDR_Le_16",'Scoring_Config'!$A:$A,'Scoring_Config'!$D:$D,"Yes")="Yes",_xlfn.XLOOKUP("Dst_CIDR_Le_16",'Scoring_Config'!$A:$A,'Scoring_Config'!$C:$C,25),0),"False,0")</f>
        <v>0</v>
      </c>
      <c r="AH100" s="4" cm="1">
        <f t="array" ref="AH100">IF(FALSE,"True," &amp; IF(_xlfn.XLOOKUP("Dst_CIDR_17_22",'Scoring_Config'!$A:$A,'Scoring_Config'!$D:$D,"Yes")="Yes",_xlfn.XLOOKUP("Dst_CIDR_17_22",'Scoring_Config'!$A:$A,'Scoring_Config'!$C:$C,15),0),"False,0")</f>
        <v>0</v>
      </c>
      <c r="AI100" s="4" cm="1">
        <f t="array" ref="AI100">IF(FALSE,"True," &amp; IF(_xlfn.XLOOKUP("SrcZone_IsAny",'Scoring_Config'!$A:$A,'Scoring_Config'!$D:$D,"Yes")="Yes",_xlfn.XLOOKUP("SrcZone_IsAny",'Scoring_Config'!$A:$A,'Scoring_Config'!$C:$C,5),0),"False,0")</f>
        <v>0</v>
      </c>
      <c r="AJ100" s="4" cm="1">
        <f t="array" ref="AJ100">IF(FALSE,"True," &amp; IF(_xlfn.XLOOKUP("DstZone_IsAny",'Scoring_Config'!$A:$A,'Scoring_Config'!$D:$D,"Yes")="Yes",_xlfn.XLOOKUP("DstZone_IsAny",'Scoring_Config'!$A:$A,'Scoring_Config'!$C:$C,5),0),"False,0")</f>
        <v>0</v>
      </c>
      <c r="AK100" s="4" cm="1">
        <f t="array" ref="AK10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0" s="4" cm="1">
        <f t="array" ref="AL100">IF(FALSE,"True," &amp; IF(_xlfn.XLOOKUP("App_Any_OR_RangeGt1000",'Scoring_Config'!$A:$A,'Scoring_Config'!$D:$D,"Yes")="Yes",_xlfn.XLOOKUP("App_Any_OR_RangeGt1000",'Scoring_Config'!$A:$A,'Scoring_Config'!$C:$C,25),0),"False,0")</f>
        <v>0</v>
      </c>
      <c r="AM100" s="4" cm="1">
        <f t="array" ref="AM100">IF(FALSE,"True," &amp; IF(_xlfn.XLOOKUP("Service_Insecure_Match",'Scoring_Config'!$A:$A,'Scoring_Config'!$D:$D,"Yes")="Yes",_xlfn.XLOOKUP("Service_Insecure_Match",'Scoring_Config'!$A:$A,'Scoring_Config'!$C:$C,20),0),"False,0")</f>
        <v>0</v>
      </c>
      <c r="AN100" s="4" cm="1">
        <f t="array" ref="AN100">IF(FALSE,"True," &amp; IF(_xlfn.XLOOKUP("Risky_Inbound",'Scoring_Config'!$A:$A,'Scoring_Config'!$D:$D,"Yes")="Yes",_xlfn.XLOOKUP("Risky_Inbound",'Scoring_Config'!$A:$A,'Scoring_Config'!$C:$C,20),0),"False,0")</f>
        <v>0</v>
      </c>
      <c r="AO100" s="4" cm="1">
        <f t="array" ref="AO100">IF(FALSE,"True," &amp; IF(_xlfn.XLOOKUP("Risky_Outbound",'Scoring_Config'!$A:$A,'Scoring_Config'!$D:$D,"Yes")="Yes",_xlfn.XLOOKUP("Risky_Outbound",'Scoring_Config'!$A:$A,'Scoring_Config'!$C:$C,10),0),"False,0")</f>
        <v>0</v>
      </c>
      <c r="AP100" s="5" t="s">
        <v>2595</v>
      </c>
      <c r="AQ100" s="5" cm="1">
        <f t="array" ref="AQ10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0" s="5" t="s">
        <v>2598</v>
      </c>
      <c r="AS100" s="4" t="s">
        <v>2592</v>
      </c>
      <c r="AT100" s="4" t="s">
        <v>2592</v>
      </c>
      <c r="AU100" s="4" cm="1">
        <f t="array" ref="AU100">IF(FALSE,"True," &amp; IF(_xlfn.XLOOKUP("Action_IsDenyOrDrop",'Scoring_Config'!$A:$A,'Scoring_Config'!$D:$D,"Yes")="Yes",_xlfn.XLOOKUP("Action_IsDenyOrDrop",'Scoring_Config'!$A:$A,'Scoring_Config'!$C:$C,0),0),"False,0")</f>
        <v>0</v>
      </c>
      <c r="AV100" s="4"/>
      <c r="AW100" s="4" cm="1">
        <f t="array" ref="AW100">IF(FALSE,"True," &amp; IF(_xlfn.XLOOKUP("Migrate_Insecure",'Scoring_Config'!$A:$A,'Scoring_Config'!$D:$D,"Yes")="Yes",_xlfn.XLOOKUP("Migrate_Insecure",'Scoring_Config'!$A:$A,'Scoring_Config'!$C:$C,15),0),"False,0")</f>
        <v>0</v>
      </c>
      <c r="AX100" s="4" t="s">
        <v>2600</v>
      </c>
      <c r="AY100" s="5" cm="1">
        <f t="array" ref="AY100">IF(TRUE,"True," &amp; IF(_xlfn.XLOOKUP("Migrate_Other_Ports",'Scoring_Config'!$A:$A,'Scoring_Config'!$D:$D,"Yes")="Yes",_xlfn.XLOOKUP("Migrate_Other_Ports",'Scoring_Config'!$A:$A,'Scoring_Config'!$C:$C,5),0),"False,0")</f>
        <v>0</v>
      </c>
      <c r="AZ100" s="4" cm="1">
        <f t="array" ref="AZ100">IF(LEFT(AU100,4)="True",0,(IF(LEFT(AC100,4)="True",IF(_xlfn.XLOOKUP("Src_IsAny",'Scoring_Config'!$A:$A,'Scoring_Config'!$D:$D,"Yes")="Yes",_xlfn.XLOOKUP("Src_IsAny",'Scoring_Config'!$A:$A,'Scoring_Config'!$C:$C,25),0),0)+IF(LEFT(AD100,4)="True",IF(_xlfn.XLOOKUP("Src_CIDR_Le_16",'Scoring_Config'!$A:$A,'Scoring_Config'!$D:$D,"Yes")="Yes",_xlfn.XLOOKUP("Src_CIDR_Le_16",'Scoring_Config'!$A:$A,'Scoring_Config'!$C:$C,25),0),0)+IF(LEFT(AE100,4)="True",IF(_xlfn.XLOOKUP("Src_CIDR_17_22",'Scoring_Config'!$A:$A,'Scoring_Config'!$D:$D,"Yes")="Yes",_xlfn.XLOOKUP("Src_CIDR_17_22",'Scoring_Config'!$A:$A,'Scoring_Config'!$C:$C,15),0),0)+IF(LEFT(AF100,4)="True",IF(_xlfn.XLOOKUP("Dst_IsAny",'Scoring_Config'!$A:$A,'Scoring_Config'!$D:$D,"Yes")="Yes",_xlfn.XLOOKUP("Dst_IsAny",'Scoring_Config'!$A:$A,'Scoring_Config'!$C:$C,25),0),0)+IF(LEFT(AG100,4)="True",IF(_xlfn.XLOOKUP("Dst_CIDR_Le_16",'Scoring_Config'!$A:$A,'Scoring_Config'!$D:$D,"Yes")="Yes",_xlfn.XLOOKUP("Dst_CIDR_Le_16",'Scoring_Config'!$A:$A,'Scoring_Config'!$C:$C,25),0),0)+IF(LEFT(AH100,4)="True",IF(_xlfn.XLOOKUP("Dst_CIDR_17_22",'Scoring_Config'!$A:$A,'Scoring_Config'!$D:$D,"Yes")="Yes",_xlfn.XLOOKUP("Dst_CIDR_17_22",'Scoring_Config'!$A:$A,'Scoring_Config'!$C:$C,15),0),0)+IF(LEFT(AI100,4)="True",IF(_xlfn.XLOOKUP("SrcZone_IsAny",'Scoring_Config'!$A:$A,'Scoring_Config'!$D:$D,"Yes")="Yes",_xlfn.XLOOKUP("SrcZone_IsAny",'Scoring_Config'!$A:$A,'Scoring_Config'!$C:$C,5),0),0)+IF(LEFT(AJ100,4)="True",IF(_xlfn.XLOOKUP("DstZone_IsAny",'Scoring_Config'!$A:$A,'Scoring_Config'!$D:$D,"Yes")="Yes",_xlfn.XLOOKUP("DstZone_IsAny",'Scoring_Config'!$A:$A,'Scoring_Config'!$C:$C,5),0),0)+IF(LEFT(AK100,4)="True",IF(_xlfn.XLOOKUP("Service_Any_OR_RangeGt1000",'Scoring_Config'!$A:$A,'Scoring_Config'!$D:$D,"Yes")="Yes",_xlfn.XLOOKUP("Service_Any_OR_RangeGt1000",'Scoring_Config'!$A:$A,'Scoring_Config'!$C:$C,25),0),0)+IF(LEFT(AL100,4)="True",IF(_xlfn.XLOOKUP("App_Any_OR_RangeGt1000",'Scoring_Config'!$A:$A,'Scoring_Config'!$D:$D,"Yes")="Yes",_xlfn.XLOOKUP("App_Any_OR_RangeGt1000",'Scoring_Config'!$A:$A,'Scoring_Config'!$C:$C,25),0),0)+IF(LEFT(AM100,4)="True",IF(_xlfn.XLOOKUP("Service_Insecure_Match",'Scoring_Config'!$A:$A,'Scoring_Config'!$D:$D,"Yes")="Yes",_xlfn.XLOOKUP("Service_Insecure_Match",'Scoring_Config'!$A:$A,'Scoring_Config'!$C:$C,20),0),0)+IF(LEFT(AN100,4)="True",IF(_xlfn.XLOOKUP("Risky_Inbound",'Scoring_Config'!$A:$A,'Scoring_Config'!$D:$D,"Yes")="Yes",_xlfn.XLOOKUP("Risky_Inbound",'Scoring_Config'!$A:$A,'Scoring_Config'!$C:$C,20),0),0)+IF(LEFT(AO100,4)="True",IF(_xlfn.XLOOKUP("Risky_Outbound",'Scoring_Config'!$A:$A,'Scoring_Config'!$D:$D,"Yes")="Yes",_xlfn.XLOOKUP("Risky_Outbound",'Scoring_Config'!$A:$A,'Scoring_Config'!$C:$C,10),0),0)+IF(LEFT(AW100,4)="True",IF(_xlfn.XLOOKUP("Migrate_Insecure",'Scoring_Config'!$A:$A,'Scoring_Config'!$D:$D,"Yes")="Yes",_xlfn.XLOOKUP("Migrate_Insecure",'Scoring_Config'!$A:$A,'Scoring_Config'!$C:$C,15),0),0)+IF(LEFT(AY100,4)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100,FIND(",",AP100)+1,100)),0)+IF(LEFT(AQ100,4)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100,FIND(",",AR100)+1,100)),0)+IF(_xlfn.XLOOKUP("Profile_Scoring",'Scoring_Config'!$A:$A,'Scoring_Config'!$D:$D,"Yes")="Yes",VALUE(MID(AS100,FIND(",",AS100)+1,100)),0)+IF(_xlfn.XLOOKUP("Options_Scoring",'Scoring_Config'!$A:$A,'Scoring_Config'!$D:$D,"Yes")="Yes",VALUE(MID(AT100,FIND(",",AT100)+1,100)),0)))</f>
        <v>0</v>
      </c>
    </row>
    <row r="101" spans="1:52">
      <c r="A101" s="3" t="s">
        <v>52</v>
      </c>
      <c r="B101" s="3" t="s">
        <v>137</v>
      </c>
      <c r="C101" s="3" t="s">
        <v>329</v>
      </c>
      <c r="D101" s="3"/>
      <c r="E101" s="3" t="s">
        <v>359</v>
      </c>
      <c r="F101" s="3" t="s">
        <v>361</v>
      </c>
      <c r="G101" s="3" t="s">
        <v>365</v>
      </c>
      <c r="H101" s="3" t="s">
        <v>365</v>
      </c>
      <c r="I101" s="3" t="s">
        <v>623</v>
      </c>
      <c r="J101" s="3" t="s">
        <v>360</v>
      </c>
      <c r="K101" s="3" t="s">
        <v>365</v>
      </c>
      <c r="L101" s="3" t="s">
        <v>365</v>
      </c>
      <c r="M101" s="3" t="s">
        <v>365</v>
      </c>
      <c r="N101" s="3" t="s">
        <v>365</v>
      </c>
      <c r="O101" s="4" t="s">
        <v>810</v>
      </c>
      <c r="P101" s="3" t="s">
        <v>871</v>
      </c>
      <c r="Q101" s="3" t="s">
        <v>905</v>
      </c>
      <c r="R101" s="3" t="s">
        <v>907</v>
      </c>
      <c r="S101" s="3" t="s">
        <v>912</v>
      </c>
      <c r="T101" s="3" t="s">
        <v>982</v>
      </c>
      <c r="U101" s="3"/>
      <c r="V101" s="3" t="s">
        <v>1388</v>
      </c>
      <c r="W101" s="3" t="s">
        <v>1457</v>
      </c>
      <c r="X101" s="3" t="s">
        <v>1705</v>
      </c>
      <c r="Y101" s="3" t="s">
        <v>2174</v>
      </c>
      <c r="Z101" s="3"/>
      <c r="AA101" s="3"/>
      <c r="AB101" s="3"/>
      <c r="AC101" s="5" cm="1">
        <f t="array" ref="AC101">IF(TRUE,"True," &amp; IF(_xlfn.XLOOKUP("Src_IsAny",'Scoring_Config'!$A:$A,'Scoring_Config'!$D:$D,"Yes")="Yes",_xlfn.XLOOKUP("Src_IsAny",'Scoring_Config'!$A:$A,'Scoring_Config'!$C:$C,25),0),"False,0")</f>
        <v>0</v>
      </c>
      <c r="AD101" s="4" cm="1">
        <f t="array" ref="AD101">IF(FALSE,"True," &amp; IF(_xlfn.XLOOKUP("Src_CIDR_Le_16",'Scoring_Config'!$A:$A,'Scoring_Config'!$D:$D,"Yes")="Yes",_xlfn.XLOOKUP("Src_CIDR_Le_16",'Scoring_Config'!$A:$A,'Scoring_Config'!$C:$C,25),0),"False,0")</f>
        <v>0</v>
      </c>
      <c r="AE101" s="4" cm="1">
        <f t="array" ref="AE101">IF(FALSE,"True," &amp; IF(_xlfn.XLOOKUP("Src_CIDR_17_22",'Scoring_Config'!$A:$A,'Scoring_Config'!$D:$D,"Yes")="Yes",_xlfn.XLOOKUP("Src_CIDR_17_22",'Scoring_Config'!$A:$A,'Scoring_Config'!$C:$C,15),0),"False,0")</f>
        <v>0</v>
      </c>
      <c r="AF101" s="5" cm="1">
        <f t="array" ref="AF101">IF(TRUE,"True," &amp; IF(_xlfn.XLOOKUP("Dst_IsAny",'Scoring_Config'!$A:$A,'Scoring_Config'!$D:$D,"Yes")="Yes",_xlfn.XLOOKUP("Dst_IsAny",'Scoring_Config'!$A:$A,'Scoring_Config'!$C:$C,25),0),"False,0")</f>
        <v>0</v>
      </c>
      <c r="AG101" s="4" cm="1">
        <f t="array" ref="AG101">IF(FALSE,"True," &amp; IF(_xlfn.XLOOKUP("Dst_CIDR_Le_16",'Scoring_Config'!$A:$A,'Scoring_Config'!$D:$D,"Yes")="Yes",_xlfn.XLOOKUP("Dst_CIDR_Le_16",'Scoring_Config'!$A:$A,'Scoring_Config'!$C:$C,25),0),"False,0")</f>
        <v>0</v>
      </c>
      <c r="AH101" s="4" cm="1">
        <f t="array" ref="AH101">IF(FALSE,"True," &amp; IF(_xlfn.XLOOKUP("Dst_CIDR_17_22",'Scoring_Config'!$A:$A,'Scoring_Config'!$D:$D,"Yes")="Yes",_xlfn.XLOOKUP("Dst_CIDR_17_22",'Scoring_Config'!$A:$A,'Scoring_Config'!$C:$C,15),0),"False,0")</f>
        <v>0</v>
      </c>
      <c r="AI101" s="4" cm="1">
        <f t="array" ref="AI101">IF(FALSE,"True," &amp; IF(_xlfn.XLOOKUP("SrcZone_IsAny",'Scoring_Config'!$A:$A,'Scoring_Config'!$D:$D,"Yes")="Yes",_xlfn.XLOOKUP("SrcZone_IsAny",'Scoring_Config'!$A:$A,'Scoring_Config'!$C:$C,5),0),"False,0")</f>
        <v>0</v>
      </c>
      <c r="AJ101" s="4" cm="1">
        <f t="array" ref="AJ101">IF(FALSE,"True," &amp; IF(_xlfn.XLOOKUP("DstZone_IsAny",'Scoring_Config'!$A:$A,'Scoring_Config'!$D:$D,"Yes")="Yes",_xlfn.XLOOKUP("DstZone_IsAny",'Scoring_Config'!$A:$A,'Scoring_Config'!$C:$C,5),0),"False,0")</f>
        <v>0</v>
      </c>
      <c r="AK101" s="4" cm="1">
        <f t="array" ref="AK10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1" s="5" cm="1">
        <f t="array" ref="AL101">IF(TRUE,"True," &amp; IF(_xlfn.XLOOKUP("App_Any_OR_RangeGt1000",'Scoring_Config'!$A:$A,'Scoring_Config'!$D:$D,"Yes")="Yes",_xlfn.XLOOKUP("App_Any_OR_RangeGt1000",'Scoring_Config'!$A:$A,'Scoring_Config'!$C:$C,25),0),"False,0")</f>
        <v>0</v>
      </c>
      <c r="AM101" s="5" cm="1">
        <f t="array" ref="AM101">IF(TRUE,"True," &amp; IF(_xlfn.XLOOKUP("Service_Insecure_Match",'Scoring_Config'!$A:$A,'Scoring_Config'!$D:$D,"Yes")="Yes",_xlfn.XLOOKUP("Service_Insecure_Match",'Scoring_Config'!$A:$A,'Scoring_Config'!$C:$C,20),0),"False,0")</f>
        <v>0</v>
      </c>
      <c r="AN101" s="4" cm="1">
        <f t="array" ref="AN101">IF(FALSE,"True," &amp; IF(_xlfn.XLOOKUP("Risky_Inbound",'Scoring_Config'!$A:$A,'Scoring_Config'!$D:$D,"Yes")="Yes",_xlfn.XLOOKUP("Risky_Inbound",'Scoring_Config'!$A:$A,'Scoring_Config'!$C:$C,20),0),"False,0")</f>
        <v>0</v>
      </c>
      <c r="AO101" s="4" cm="1">
        <f t="array" ref="AO101">IF(FALSE,"True," &amp; IF(_xlfn.XLOOKUP("Risky_Outbound",'Scoring_Config'!$A:$A,'Scoring_Config'!$D:$D,"Yes")="Yes",_xlfn.XLOOKUP("Risky_Outbound",'Scoring_Config'!$A:$A,'Scoring_Config'!$C:$C,10),0),"False,0")</f>
        <v>0</v>
      </c>
      <c r="AP101" s="5" t="s">
        <v>2595</v>
      </c>
      <c r="AQ101" s="5" cm="1">
        <f t="array" ref="AQ10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1" s="5" t="s">
        <v>2598</v>
      </c>
      <c r="AS101" s="5" t="s">
        <v>2595</v>
      </c>
      <c r="AT101" s="4" t="s">
        <v>2592</v>
      </c>
      <c r="AU101" s="4" cm="1">
        <f t="array" ref="AU101">IF(FALSE,"True," &amp; IF(_xlfn.XLOOKUP("Action_IsDenyOrDrop",'Scoring_Config'!$A:$A,'Scoring_Config'!$D:$D,"Yes")="Yes",_xlfn.XLOOKUP("Action_IsDenyOrDrop",'Scoring_Config'!$A:$A,'Scoring_Config'!$C:$C,0),0),"False,0")</f>
        <v>0</v>
      </c>
      <c r="AV101" s="4"/>
      <c r="AW101" s="4" cm="1">
        <f t="array" ref="AW101">IF(FALSE,"True," &amp; IF(_xlfn.XLOOKUP("Migrate_Insecure",'Scoring_Config'!$A:$A,'Scoring_Config'!$D:$D,"Yes")="Yes",_xlfn.XLOOKUP("Migrate_Insecure",'Scoring_Config'!$A:$A,'Scoring_Config'!$C:$C,15),0),"False,0")</f>
        <v>0</v>
      </c>
      <c r="AX101" s="4"/>
      <c r="AY101" s="4" cm="1">
        <f t="array" ref="AY101">IF(FALSE,"True," &amp; IF(_xlfn.XLOOKUP("Migrate_Other_Ports",'Scoring_Config'!$A:$A,'Scoring_Config'!$D:$D,"Yes")="Yes",_xlfn.XLOOKUP("Migrate_Other_Ports",'Scoring_Config'!$A:$A,'Scoring_Config'!$C:$C,5),0),"False,0")</f>
        <v>0</v>
      </c>
      <c r="AZ101" s="4" cm="1">
        <f t="array" ref="AZ101">IF(LEFT(AU101,4)="True",0,(IF(LEFT(AC101,4)="True",IF(_xlfn.XLOOKUP("Src_IsAny",'Scoring_Config'!$A:$A,'Scoring_Config'!$D:$D,"Yes")="Yes",_xlfn.XLOOKUP("Src_IsAny",'Scoring_Config'!$A:$A,'Scoring_Config'!$C:$C,25),0),0)+IF(LEFT(AD101,4)="True",IF(_xlfn.XLOOKUP("Src_CIDR_Le_16",'Scoring_Config'!$A:$A,'Scoring_Config'!$D:$D,"Yes")="Yes",_xlfn.XLOOKUP("Src_CIDR_Le_16",'Scoring_Config'!$A:$A,'Scoring_Config'!$C:$C,25),0),0)+IF(LEFT(AE101,4)="True",IF(_xlfn.XLOOKUP("Src_CIDR_17_22",'Scoring_Config'!$A:$A,'Scoring_Config'!$D:$D,"Yes")="Yes",_xlfn.XLOOKUP("Src_CIDR_17_22",'Scoring_Config'!$A:$A,'Scoring_Config'!$C:$C,15),0),0)+IF(LEFT(AF101,4)="True",IF(_xlfn.XLOOKUP("Dst_IsAny",'Scoring_Config'!$A:$A,'Scoring_Config'!$D:$D,"Yes")="Yes",_xlfn.XLOOKUP("Dst_IsAny",'Scoring_Config'!$A:$A,'Scoring_Config'!$C:$C,25),0),0)+IF(LEFT(AG101,4)="True",IF(_xlfn.XLOOKUP("Dst_CIDR_Le_16",'Scoring_Config'!$A:$A,'Scoring_Config'!$D:$D,"Yes")="Yes",_xlfn.XLOOKUP("Dst_CIDR_Le_16",'Scoring_Config'!$A:$A,'Scoring_Config'!$C:$C,25),0),0)+IF(LEFT(AH101,4)="True",IF(_xlfn.XLOOKUP("Dst_CIDR_17_22",'Scoring_Config'!$A:$A,'Scoring_Config'!$D:$D,"Yes")="Yes",_xlfn.XLOOKUP("Dst_CIDR_17_22",'Scoring_Config'!$A:$A,'Scoring_Config'!$C:$C,15),0),0)+IF(LEFT(AI101,4)="True",IF(_xlfn.XLOOKUP("SrcZone_IsAny",'Scoring_Config'!$A:$A,'Scoring_Config'!$D:$D,"Yes")="Yes",_xlfn.XLOOKUP("SrcZone_IsAny",'Scoring_Config'!$A:$A,'Scoring_Config'!$C:$C,5),0),0)+IF(LEFT(AJ101,4)="True",IF(_xlfn.XLOOKUP("DstZone_IsAny",'Scoring_Config'!$A:$A,'Scoring_Config'!$D:$D,"Yes")="Yes",_xlfn.XLOOKUP("DstZone_IsAny",'Scoring_Config'!$A:$A,'Scoring_Config'!$C:$C,5),0),0)+IF(LEFT(AK101,4)="True",IF(_xlfn.XLOOKUP("Service_Any_OR_RangeGt1000",'Scoring_Config'!$A:$A,'Scoring_Config'!$D:$D,"Yes")="Yes",_xlfn.XLOOKUP("Service_Any_OR_RangeGt1000",'Scoring_Config'!$A:$A,'Scoring_Config'!$C:$C,25),0),0)+IF(LEFT(AL101,4)="True",IF(_xlfn.XLOOKUP("App_Any_OR_RangeGt1000",'Scoring_Config'!$A:$A,'Scoring_Config'!$D:$D,"Yes")="Yes",_xlfn.XLOOKUP("App_Any_OR_RangeGt1000",'Scoring_Config'!$A:$A,'Scoring_Config'!$C:$C,25),0),0)+IF(LEFT(AM101,4)="True",IF(_xlfn.XLOOKUP("Service_Insecure_Match",'Scoring_Config'!$A:$A,'Scoring_Config'!$D:$D,"Yes")="Yes",_xlfn.XLOOKUP("Service_Insecure_Match",'Scoring_Config'!$A:$A,'Scoring_Config'!$C:$C,20),0),0)+IF(LEFT(AN101,4)="True",IF(_xlfn.XLOOKUP("Risky_Inbound",'Scoring_Config'!$A:$A,'Scoring_Config'!$D:$D,"Yes")="Yes",_xlfn.XLOOKUP("Risky_Inbound",'Scoring_Config'!$A:$A,'Scoring_Config'!$C:$C,20),0),0)+IF(LEFT(AO101,4)="True",IF(_xlfn.XLOOKUP("Risky_Outbound",'Scoring_Config'!$A:$A,'Scoring_Config'!$D:$D,"Yes")="Yes",_xlfn.XLOOKUP("Risky_Outbound",'Scoring_Config'!$A:$A,'Scoring_Config'!$C:$C,10),0),0)+IF(LEFT(AW101,4)="True",IF(_xlfn.XLOOKUP("Migrate_Insecure",'Scoring_Config'!$A:$A,'Scoring_Config'!$D:$D,"Yes")="Yes",_xlfn.XLOOKUP("Migrate_Insecure",'Scoring_Config'!$A:$A,'Scoring_Config'!$C:$C,15),0),0)+IF(LEFT(AY101,4)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101,FIND(",",AP101)+1,100)),0)+IF(LEFT(AQ101,4)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101,FIND(",",AR101)+1,100)),0)+IF(_xlfn.XLOOKUP("Profile_Scoring",'Scoring_Config'!$A:$A,'Scoring_Config'!$D:$D,"Yes")="Yes",VALUE(MID(AS101,FIND(",",AS101)+1,100)),0)+IF(_xlfn.XLOOKUP("Options_Scoring",'Scoring_Config'!$A:$A,'Scoring_Config'!$D:$D,"Yes")="Yes",VALUE(MID(AT101,FIND(",",AT101)+1,100)),0)))</f>
        <v>0</v>
      </c>
    </row>
    <row r="102" spans="1:52">
      <c r="A102" s="3" t="s">
        <v>52</v>
      </c>
      <c r="B102" s="3" t="s">
        <v>65</v>
      </c>
      <c r="C102" s="3" t="s">
        <v>329</v>
      </c>
      <c r="D102" s="3"/>
      <c r="E102" s="3" t="s">
        <v>359</v>
      </c>
      <c r="F102" s="3" t="s">
        <v>360</v>
      </c>
      <c r="G102" s="3" t="s">
        <v>401</v>
      </c>
      <c r="H102" s="3" t="s">
        <v>560</v>
      </c>
      <c r="I102" s="3" t="s">
        <v>365</v>
      </c>
      <c r="J102" s="3" t="s">
        <v>363</v>
      </c>
      <c r="K102" s="3" t="s">
        <v>647</v>
      </c>
      <c r="L102" s="3" t="s">
        <v>647</v>
      </c>
      <c r="M102" s="3" t="s">
        <v>772</v>
      </c>
      <c r="N102" s="3" t="s">
        <v>794</v>
      </c>
      <c r="O102" s="4" t="s">
        <v>811</v>
      </c>
      <c r="P102" s="3" t="s">
        <v>872</v>
      </c>
      <c r="Q102" s="3" t="s">
        <v>905</v>
      </c>
      <c r="R102" s="3" t="s">
        <v>910</v>
      </c>
      <c r="S102" s="3" t="s">
        <v>912</v>
      </c>
      <c r="T102" s="3" t="s">
        <v>983</v>
      </c>
      <c r="U102" s="3" t="s">
        <v>1145</v>
      </c>
      <c r="V102" s="3" t="s">
        <v>1388</v>
      </c>
      <c r="W102" s="3" t="s">
        <v>1458</v>
      </c>
      <c r="X102" s="3" t="s">
        <v>1706</v>
      </c>
      <c r="Y102" s="3" t="s">
        <v>2175</v>
      </c>
      <c r="Z102" s="3"/>
      <c r="AA102" s="3"/>
      <c r="AB102" s="3"/>
      <c r="AC102" s="4" cm="1">
        <f t="array" ref="AC102">IF(FALSE,"True," &amp; IF(_xlfn.XLOOKUP("Src_IsAny",'Scoring_Config'!$A:$A,'Scoring_Config'!$D:$D,"Yes")="Yes",_xlfn.XLOOKUP("Src_IsAny",'Scoring_Config'!$A:$A,'Scoring_Config'!$C:$C,25),0),"False,0")</f>
        <v>0</v>
      </c>
      <c r="AD102" s="4" cm="1">
        <f t="array" ref="AD102">IF(FALSE,"True," &amp; IF(_xlfn.XLOOKUP("Src_CIDR_Le_16",'Scoring_Config'!$A:$A,'Scoring_Config'!$D:$D,"Yes")="Yes",_xlfn.XLOOKUP("Src_CIDR_Le_16",'Scoring_Config'!$A:$A,'Scoring_Config'!$C:$C,25),0),"False,0")</f>
        <v>0</v>
      </c>
      <c r="AE102" s="4" cm="1">
        <f t="array" ref="AE102">IF(FALSE,"True," &amp; IF(_xlfn.XLOOKUP("Src_CIDR_17_22",'Scoring_Config'!$A:$A,'Scoring_Config'!$D:$D,"Yes")="Yes",_xlfn.XLOOKUP("Src_CIDR_17_22",'Scoring_Config'!$A:$A,'Scoring_Config'!$C:$C,15),0),"False,0")</f>
        <v>0</v>
      </c>
      <c r="AF102" s="4" cm="1">
        <f t="array" ref="AF102">IF(FALSE,"True," &amp; IF(_xlfn.XLOOKUP("Dst_IsAny",'Scoring_Config'!$A:$A,'Scoring_Config'!$D:$D,"Yes")="Yes",_xlfn.XLOOKUP("Dst_IsAny",'Scoring_Config'!$A:$A,'Scoring_Config'!$C:$C,25),0),"False,0")</f>
        <v>0</v>
      </c>
      <c r="AG102" s="4" cm="1">
        <f t="array" ref="AG102">IF(FALSE,"True," &amp; IF(_xlfn.XLOOKUP("Dst_CIDR_Le_16",'Scoring_Config'!$A:$A,'Scoring_Config'!$D:$D,"Yes")="Yes",_xlfn.XLOOKUP("Dst_CIDR_Le_16",'Scoring_Config'!$A:$A,'Scoring_Config'!$C:$C,25),0),"False,0")</f>
        <v>0</v>
      </c>
      <c r="AH102" s="5" cm="1">
        <f t="array" ref="AH102">IF(TRUE,"True," &amp; IF(_xlfn.XLOOKUP("Dst_CIDR_17_22",'Scoring_Config'!$A:$A,'Scoring_Config'!$D:$D,"Yes")="Yes",_xlfn.XLOOKUP("Dst_CIDR_17_22",'Scoring_Config'!$A:$A,'Scoring_Config'!$C:$C,15),0),"False,0")</f>
        <v>0</v>
      </c>
      <c r="AI102" s="4" cm="1">
        <f t="array" ref="AI102">IF(FALSE,"True," &amp; IF(_xlfn.XLOOKUP("SrcZone_IsAny",'Scoring_Config'!$A:$A,'Scoring_Config'!$D:$D,"Yes")="Yes",_xlfn.XLOOKUP("SrcZone_IsAny",'Scoring_Config'!$A:$A,'Scoring_Config'!$C:$C,5),0),"False,0")</f>
        <v>0</v>
      </c>
      <c r="AJ102" s="4" cm="1">
        <f t="array" ref="AJ102">IF(FALSE,"True," &amp; IF(_xlfn.XLOOKUP("DstZone_IsAny",'Scoring_Config'!$A:$A,'Scoring_Config'!$D:$D,"Yes")="Yes",_xlfn.XLOOKUP("DstZone_IsAny",'Scoring_Config'!$A:$A,'Scoring_Config'!$C:$C,5),0),"False,0")</f>
        <v>0</v>
      </c>
      <c r="AK102" s="4" cm="1">
        <f t="array" ref="AK10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2" s="4" cm="1">
        <f t="array" ref="AL102">IF(FALSE,"True," &amp; IF(_xlfn.XLOOKUP("App_Any_OR_RangeGt1000",'Scoring_Config'!$A:$A,'Scoring_Config'!$D:$D,"Yes")="Yes",_xlfn.XLOOKUP("App_Any_OR_RangeGt1000",'Scoring_Config'!$A:$A,'Scoring_Config'!$C:$C,25),0),"False,0")</f>
        <v>0</v>
      </c>
      <c r="AM102" s="5" cm="1">
        <f t="array" ref="AM102">IF(TRUE,"True," &amp; IF(_xlfn.XLOOKUP("Service_Insecure_Match",'Scoring_Config'!$A:$A,'Scoring_Config'!$D:$D,"Yes")="Yes",_xlfn.XLOOKUP("Service_Insecure_Match",'Scoring_Config'!$A:$A,'Scoring_Config'!$C:$C,20),0),"False,0")</f>
        <v>0</v>
      </c>
      <c r="AN102" s="4" cm="1">
        <f t="array" ref="AN102">IF(FALSE,"True," &amp; IF(_xlfn.XLOOKUP("Risky_Inbound",'Scoring_Config'!$A:$A,'Scoring_Config'!$D:$D,"Yes")="Yes",_xlfn.XLOOKUP("Risky_Inbound",'Scoring_Config'!$A:$A,'Scoring_Config'!$C:$C,20),0),"False,0")</f>
        <v>0</v>
      </c>
      <c r="AO102" s="4" cm="1">
        <f t="array" ref="AO102">IF(FALSE,"True," &amp; IF(_xlfn.XLOOKUP("Risky_Outbound",'Scoring_Config'!$A:$A,'Scoring_Config'!$D:$D,"Yes")="Yes",_xlfn.XLOOKUP("Risky_Outbound",'Scoring_Config'!$A:$A,'Scoring_Config'!$C:$C,10),0),"False,0")</f>
        <v>0</v>
      </c>
      <c r="AP102" s="5" t="s">
        <v>2595</v>
      </c>
      <c r="AQ102" s="5" cm="1">
        <f t="array" ref="AQ10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2" s="4" t="s">
        <v>2592</v>
      </c>
      <c r="AS102" s="4" t="s">
        <v>2592</v>
      </c>
      <c r="AT102" s="4" t="s">
        <v>2592</v>
      </c>
      <c r="AU102" s="4" cm="1">
        <f t="array" ref="AU102">IF(FALSE,"True," &amp; IF(_xlfn.XLOOKUP("Action_IsDenyOrDrop",'Scoring_Config'!$A:$A,'Scoring_Config'!$D:$D,"Yes")="Yes",_xlfn.XLOOKUP("Action_IsDenyOrDrop",'Scoring_Config'!$A:$A,'Scoring_Config'!$C:$C,0),0),"False,0")</f>
        <v>0</v>
      </c>
      <c r="AV102" s="4"/>
      <c r="AW102" s="4" cm="1">
        <f t="array" ref="AW102">IF(FALSE,"True," &amp; IF(_xlfn.XLOOKUP("Migrate_Insecure",'Scoring_Config'!$A:$A,'Scoring_Config'!$D:$D,"Yes")="Yes",_xlfn.XLOOKUP("Migrate_Insecure",'Scoring_Config'!$A:$A,'Scoring_Config'!$C:$C,15),0),"False,0")</f>
        <v>0</v>
      </c>
      <c r="AX102" s="4"/>
      <c r="AY102" s="4" cm="1">
        <f t="array" ref="AY102">IF(FALSE,"True," &amp; IF(_xlfn.XLOOKUP("Migrate_Other_Ports",'Scoring_Config'!$A:$A,'Scoring_Config'!$D:$D,"Yes")="Yes",_xlfn.XLOOKUP("Migrate_Other_Ports",'Scoring_Config'!$A:$A,'Scoring_Config'!$C:$C,5),0),"False,0")</f>
        <v>0</v>
      </c>
      <c r="AZ102" s="4" cm="1">
        <f t="array" ref="AZ102">IF(LEFT(AU102,4)="True",0,(IF(LEFT(AC102,4)="True",IF(_xlfn.XLOOKUP("Src_IsAny",'Scoring_Config'!$A:$A,'Scoring_Config'!$D:$D,"Yes")="Yes",_xlfn.XLOOKUP("Src_IsAny",'Scoring_Config'!$A:$A,'Scoring_Config'!$C:$C,25),0),0)+IF(LEFT(AD102,4)="True",IF(_xlfn.XLOOKUP("Src_CIDR_Le_16",'Scoring_Config'!$A:$A,'Scoring_Config'!$D:$D,"Yes")="Yes",_xlfn.XLOOKUP("Src_CIDR_Le_16",'Scoring_Config'!$A:$A,'Scoring_Config'!$C:$C,25),0),0)+IF(LEFT(AE102,4)="True",IF(_xlfn.XLOOKUP("Src_CIDR_17_22",'Scoring_Config'!$A:$A,'Scoring_Config'!$D:$D,"Yes")="Yes",_xlfn.XLOOKUP("Src_CIDR_17_22",'Scoring_Config'!$A:$A,'Scoring_Config'!$C:$C,15),0),0)+IF(LEFT(AF102,4)="True",IF(_xlfn.XLOOKUP("Dst_IsAny",'Scoring_Config'!$A:$A,'Scoring_Config'!$D:$D,"Yes")="Yes",_xlfn.XLOOKUP("Dst_IsAny",'Scoring_Config'!$A:$A,'Scoring_Config'!$C:$C,25),0),0)+IF(LEFT(AG102,4)="True",IF(_xlfn.XLOOKUP("Dst_CIDR_Le_16",'Scoring_Config'!$A:$A,'Scoring_Config'!$D:$D,"Yes")="Yes",_xlfn.XLOOKUP("Dst_CIDR_Le_16",'Scoring_Config'!$A:$A,'Scoring_Config'!$C:$C,25),0),0)+IF(LEFT(AH102,4)="True",IF(_xlfn.XLOOKUP("Dst_CIDR_17_22",'Scoring_Config'!$A:$A,'Scoring_Config'!$D:$D,"Yes")="Yes",_xlfn.XLOOKUP("Dst_CIDR_17_22",'Scoring_Config'!$A:$A,'Scoring_Config'!$C:$C,15),0),0)+IF(LEFT(AI102,4)="True",IF(_xlfn.XLOOKUP("SrcZone_IsAny",'Scoring_Config'!$A:$A,'Scoring_Config'!$D:$D,"Yes")="Yes",_xlfn.XLOOKUP("SrcZone_IsAny",'Scoring_Config'!$A:$A,'Scoring_Config'!$C:$C,5),0),0)+IF(LEFT(AJ102,4)="True",IF(_xlfn.XLOOKUP("DstZone_IsAny",'Scoring_Config'!$A:$A,'Scoring_Config'!$D:$D,"Yes")="Yes",_xlfn.XLOOKUP("DstZone_IsAny",'Scoring_Config'!$A:$A,'Scoring_Config'!$C:$C,5),0),0)+IF(LEFT(AK102,4)="True",IF(_xlfn.XLOOKUP("Service_Any_OR_RangeGt1000",'Scoring_Config'!$A:$A,'Scoring_Config'!$D:$D,"Yes")="Yes",_xlfn.XLOOKUP("Service_Any_OR_RangeGt1000",'Scoring_Config'!$A:$A,'Scoring_Config'!$C:$C,25),0),0)+IF(LEFT(AL102,4)="True",IF(_xlfn.XLOOKUP("App_Any_OR_RangeGt1000",'Scoring_Config'!$A:$A,'Scoring_Config'!$D:$D,"Yes")="Yes",_xlfn.XLOOKUP("App_Any_OR_RangeGt1000",'Scoring_Config'!$A:$A,'Scoring_Config'!$C:$C,25),0),0)+IF(LEFT(AM102,4)="True",IF(_xlfn.XLOOKUP("Service_Insecure_Match",'Scoring_Config'!$A:$A,'Scoring_Config'!$D:$D,"Yes")="Yes",_xlfn.XLOOKUP("Service_Insecure_Match",'Scoring_Config'!$A:$A,'Scoring_Config'!$C:$C,20),0),0)+IF(LEFT(AN102,4)="True",IF(_xlfn.XLOOKUP("Risky_Inbound",'Scoring_Config'!$A:$A,'Scoring_Config'!$D:$D,"Yes")="Yes",_xlfn.XLOOKUP("Risky_Inbound",'Scoring_Config'!$A:$A,'Scoring_Config'!$C:$C,20),0),0)+IF(LEFT(AO102,4)="True",IF(_xlfn.XLOOKUP("Risky_Outbound",'Scoring_Config'!$A:$A,'Scoring_Config'!$D:$D,"Yes")="Yes",_xlfn.XLOOKUP("Risky_Outbound",'Scoring_Config'!$A:$A,'Scoring_Config'!$C:$C,10),0),0)+IF(LEFT(AW102,4)="True",IF(_xlfn.XLOOKUP("Migrate_Insecure",'Scoring_Config'!$A:$A,'Scoring_Config'!$D:$D,"Yes")="Yes",_xlfn.XLOOKUP("Migrate_Insecure",'Scoring_Config'!$A:$A,'Scoring_Config'!$C:$C,15),0),0)+IF(LEFT(AY102,4)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102,FIND(",",AP102)+1,100)),0)+IF(LEFT(AQ102,4)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102,FIND(",",AR102)+1,100)),0)+IF(_xlfn.XLOOKUP("Profile_Scoring",'Scoring_Config'!$A:$A,'Scoring_Config'!$D:$D,"Yes")="Yes",VALUE(MID(AS102,FIND(",",AS102)+1,100)),0)+IF(_xlfn.XLOOKUP("Options_Scoring",'Scoring_Config'!$A:$A,'Scoring_Config'!$D:$D,"Yes")="Yes",VALUE(MID(AT102,FIND(",",AT102)+1,100)),0)))</f>
        <v>0</v>
      </c>
    </row>
    <row r="103" spans="1:52">
      <c r="A103" s="3" t="s">
        <v>52</v>
      </c>
      <c r="B103" s="3" t="s">
        <v>138</v>
      </c>
      <c r="C103" s="3" t="s">
        <v>329</v>
      </c>
      <c r="D103" s="3"/>
      <c r="E103" s="3" t="s">
        <v>359</v>
      </c>
      <c r="F103" s="3" t="s">
        <v>364</v>
      </c>
      <c r="G103" s="3" t="s">
        <v>365</v>
      </c>
      <c r="H103" s="3" t="s">
        <v>365</v>
      </c>
      <c r="I103" s="3" t="s">
        <v>365</v>
      </c>
      <c r="J103" s="3" t="s">
        <v>364</v>
      </c>
      <c r="K103" s="3" t="s">
        <v>648</v>
      </c>
      <c r="L103" s="3" t="s">
        <v>648</v>
      </c>
      <c r="M103" s="3" t="s">
        <v>771</v>
      </c>
      <c r="N103" s="3" t="s">
        <v>793</v>
      </c>
      <c r="O103" s="4" t="s">
        <v>830</v>
      </c>
      <c r="P103" s="3" t="s">
        <v>891</v>
      </c>
      <c r="Q103" s="3" t="s">
        <v>905</v>
      </c>
      <c r="R103" s="3" t="s">
        <v>908</v>
      </c>
      <c r="S103" s="3" t="s">
        <v>912</v>
      </c>
      <c r="T103" s="3" t="s">
        <v>984</v>
      </c>
      <c r="U103" s="3" t="s">
        <v>1201</v>
      </c>
      <c r="V103" s="3" t="s">
        <v>770</v>
      </c>
      <c r="W103" s="3" t="s">
        <v>1409</v>
      </c>
      <c r="X103" s="3" t="s">
        <v>1707</v>
      </c>
      <c r="Y103" s="3" t="s">
        <v>2176</v>
      </c>
      <c r="Z103" s="3"/>
      <c r="AA103" s="3"/>
      <c r="AB103" s="3"/>
      <c r="AC103" s="5" cm="1">
        <f t="array" ref="AC103">IF(TRUE,"True," &amp; IF(_xlfn.XLOOKUP("Src_IsAny",'Scoring_Config'!$A:$A,'Scoring_Config'!$D:$D,"Yes")="Yes",_xlfn.XLOOKUP("Src_IsAny",'Scoring_Config'!$A:$A,'Scoring_Config'!$C:$C,25),0),"False,0")</f>
        <v>0</v>
      </c>
      <c r="AD103" s="4" cm="1">
        <f t="array" ref="AD103">IF(FALSE,"True," &amp; IF(_xlfn.XLOOKUP("Src_CIDR_Le_16",'Scoring_Config'!$A:$A,'Scoring_Config'!$D:$D,"Yes")="Yes",_xlfn.XLOOKUP("Src_CIDR_Le_16",'Scoring_Config'!$A:$A,'Scoring_Config'!$C:$C,25),0),"False,0")</f>
        <v>0</v>
      </c>
      <c r="AE103" s="4" cm="1">
        <f t="array" ref="AE103">IF(FALSE,"True," &amp; IF(_xlfn.XLOOKUP("Src_CIDR_17_22",'Scoring_Config'!$A:$A,'Scoring_Config'!$D:$D,"Yes")="Yes",_xlfn.XLOOKUP("Src_CIDR_17_22",'Scoring_Config'!$A:$A,'Scoring_Config'!$C:$C,15),0),"False,0")</f>
        <v>0</v>
      </c>
      <c r="AF103" s="4" cm="1">
        <f t="array" ref="AF103">IF(FALSE,"True," &amp; IF(_xlfn.XLOOKUP("Dst_IsAny",'Scoring_Config'!$A:$A,'Scoring_Config'!$D:$D,"Yes")="Yes",_xlfn.XLOOKUP("Dst_IsAny",'Scoring_Config'!$A:$A,'Scoring_Config'!$C:$C,25),0),"False,0")</f>
        <v>0</v>
      </c>
      <c r="AG103" s="4" cm="1">
        <f t="array" ref="AG103">IF(FALSE,"True," &amp; IF(_xlfn.XLOOKUP("Dst_CIDR_Le_16",'Scoring_Config'!$A:$A,'Scoring_Config'!$D:$D,"Yes")="Yes",_xlfn.XLOOKUP("Dst_CIDR_Le_16",'Scoring_Config'!$A:$A,'Scoring_Config'!$C:$C,25),0),"False,0")</f>
        <v>0</v>
      </c>
      <c r="AH103" s="5" cm="1">
        <f t="array" ref="AH103">IF(TRUE,"True," &amp; IF(_xlfn.XLOOKUP("Dst_CIDR_17_22",'Scoring_Config'!$A:$A,'Scoring_Config'!$D:$D,"Yes")="Yes",_xlfn.XLOOKUP("Dst_CIDR_17_22",'Scoring_Config'!$A:$A,'Scoring_Config'!$C:$C,15),0),"False,0")</f>
        <v>0</v>
      </c>
      <c r="AI103" s="4" cm="1">
        <f t="array" ref="AI103">IF(FALSE,"True," &amp; IF(_xlfn.XLOOKUP("SrcZone_IsAny",'Scoring_Config'!$A:$A,'Scoring_Config'!$D:$D,"Yes")="Yes",_xlfn.XLOOKUP("SrcZone_IsAny",'Scoring_Config'!$A:$A,'Scoring_Config'!$C:$C,5),0),"False,0")</f>
        <v>0</v>
      </c>
      <c r="AJ103" s="4" cm="1">
        <f t="array" ref="AJ103">IF(FALSE,"True," &amp; IF(_xlfn.XLOOKUP("DstZone_IsAny",'Scoring_Config'!$A:$A,'Scoring_Config'!$D:$D,"Yes")="Yes",_xlfn.XLOOKUP("DstZone_IsAny",'Scoring_Config'!$A:$A,'Scoring_Config'!$C:$C,5),0),"False,0")</f>
        <v>0</v>
      </c>
      <c r="AK103" s="4" cm="1">
        <f t="array" ref="AK10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3" s="4" cm="1">
        <f t="array" ref="AL103">IF(FALSE,"True," &amp; IF(_xlfn.XLOOKUP("App_Any_OR_RangeGt1000",'Scoring_Config'!$A:$A,'Scoring_Config'!$D:$D,"Yes")="Yes",_xlfn.XLOOKUP("App_Any_OR_RangeGt1000",'Scoring_Config'!$A:$A,'Scoring_Config'!$C:$C,25),0),"False,0")</f>
        <v>0</v>
      </c>
      <c r="AM103" s="5" cm="1">
        <f t="array" ref="AM103">IF(TRUE,"True," &amp; IF(_xlfn.XLOOKUP("Service_Insecure_Match",'Scoring_Config'!$A:$A,'Scoring_Config'!$D:$D,"Yes")="Yes",_xlfn.XLOOKUP("Service_Insecure_Match",'Scoring_Config'!$A:$A,'Scoring_Config'!$C:$C,20),0),"False,0")</f>
        <v>0</v>
      </c>
      <c r="AN103" s="4" cm="1">
        <f t="array" ref="AN103">IF(FALSE,"True," &amp; IF(_xlfn.XLOOKUP("Risky_Inbound",'Scoring_Config'!$A:$A,'Scoring_Config'!$D:$D,"Yes")="Yes",_xlfn.XLOOKUP("Risky_Inbound",'Scoring_Config'!$A:$A,'Scoring_Config'!$C:$C,20),0),"False,0")</f>
        <v>0</v>
      </c>
      <c r="AO103" s="4" cm="1">
        <f t="array" ref="AO103">IF(FALSE,"True," &amp; IF(_xlfn.XLOOKUP("Risky_Outbound",'Scoring_Config'!$A:$A,'Scoring_Config'!$D:$D,"Yes")="Yes",_xlfn.XLOOKUP("Risky_Outbound",'Scoring_Config'!$A:$A,'Scoring_Config'!$C:$C,10),0),"False,0")</f>
        <v>0</v>
      </c>
      <c r="AP103" s="5" t="s">
        <v>2595</v>
      </c>
      <c r="AQ103" s="4" cm="1">
        <f t="array" ref="AQ10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3" s="4" t="s">
        <v>2592</v>
      </c>
      <c r="AS103" s="4" t="s">
        <v>2592</v>
      </c>
      <c r="AT103" s="4" t="s">
        <v>2592</v>
      </c>
      <c r="AU103" s="4" cm="1">
        <f t="array" ref="AU103">IF(FALSE,"True," &amp; IF(_xlfn.XLOOKUP("Action_IsDenyOrDrop",'Scoring_Config'!$A:$A,'Scoring_Config'!$D:$D,"Yes")="Yes",_xlfn.XLOOKUP("Action_IsDenyOrDrop",'Scoring_Config'!$A:$A,'Scoring_Config'!$C:$C,0),0),"False,0")</f>
        <v>0</v>
      </c>
      <c r="AV103" s="4"/>
      <c r="AW103" s="4" cm="1">
        <f t="array" ref="AW103">IF(FALSE,"True," &amp; IF(_xlfn.XLOOKUP("Migrate_Insecure",'Scoring_Config'!$A:$A,'Scoring_Config'!$D:$D,"Yes")="Yes",_xlfn.XLOOKUP("Migrate_Insecure",'Scoring_Config'!$A:$A,'Scoring_Config'!$C:$C,15),0),"False,0")</f>
        <v>0</v>
      </c>
      <c r="AX103" s="4"/>
      <c r="AY103" s="4" cm="1">
        <f t="array" ref="AY103">IF(FALSE,"True," &amp; IF(_xlfn.XLOOKUP("Migrate_Other_Ports",'Scoring_Config'!$A:$A,'Scoring_Config'!$D:$D,"Yes")="Yes",_xlfn.XLOOKUP("Migrate_Other_Ports",'Scoring_Config'!$A:$A,'Scoring_Config'!$C:$C,5),0),"False,0")</f>
        <v>0</v>
      </c>
      <c r="AZ103" s="4" cm="1">
        <f t="array" ref="AZ103">IF(LEFT(AU103,4)="True",0,(IF(LEFT(AC103,4)="True",IF(_xlfn.XLOOKUP("Src_IsAny",'Scoring_Config'!$A:$A,'Scoring_Config'!$D:$D,"Yes")="Yes",_xlfn.XLOOKUP("Src_IsAny",'Scoring_Config'!$A:$A,'Scoring_Config'!$C:$C,25),0),0)+IF(LEFT(AD103,4)="True",IF(_xlfn.XLOOKUP("Src_CIDR_Le_16",'Scoring_Config'!$A:$A,'Scoring_Config'!$D:$D,"Yes")="Yes",_xlfn.XLOOKUP("Src_CIDR_Le_16",'Scoring_Config'!$A:$A,'Scoring_Config'!$C:$C,25),0),0)+IF(LEFT(AE103,4)="True",IF(_xlfn.XLOOKUP("Src_CIDR_17_22",'Scoring_Config'!$A:$A,'Scoring_Config'!$D:$D,"Yes")="Yes",_xlfn.XLOOKUP("Src_CIDR_17_22",'Scoring_Config'!$A:$A,'Scoring_Config'!$C:$C,15),0),0)+IF(LEFT(AF103,4)="True",IF(_xlfn.XLOOKUP("Dst_IsAny",'Scoring_Config'!$A:$A,'Scoring_Config'!$D:$D,"Yes")="Yes",_xlfn.XLOOKUP("Dst_IsAny",'Scoring_Config'!$A:$A,'Scoring_Config'!$C:$C,25),0),0)+IF(LEFT(AG103,4)="True",IF(_xlfn.XLOOKUP("Dst_CIDR_Le_16",'Scoring_Config'!$A:$A,'Scoring_Config'!$D:$D,"Yes")="Yes",_xlfn.XLOOKUP("Dst_CIDR_Le_16",'Scoring_Config'!$A:$A,'Scoring_Config'!$C:$C,25),0),0)+IF(LEFT(AH103,4)="True",IF(_xlfn.XLOOKUP("Dst_CIDR_17_22",'Scoring_Config'!$A:$A,'Scoring_Config'!$D:$D,"Yes")="Yes",_xlfn.XLOOKUP("Dst_CIDR_17_22",'Scoring_Config'!$A:$A,'Scoring_Config'!$C:$C,15),0),0)+IF(LEFT(AI103,4)="True",IF(_xlfn.XLOOKUP("SrcZone_IsAny",'Scoring_Config'!$A:$A,'Scoring_Config'!$D:$D,"Yes")="Yes",_xlfn.XLOOKUP("SrcZone_IsAny",'Scoring_Config'!$A:$A,'Scoring_Config'!$C:$C,5),0),0)+IF(LEFT(AJ103,4)="True",IF(_xlfn.XLOOKUP("DstZone_IsAny",'Scoring_Config'!$A:$A,'Scoring_Config'!$D:$D,"Yes")="Yes",_xlfn.XLOOKUP("DstZone_IsAny",'Scoring_Config'!$A:$A,'Scoring_Config'!$C:$C,5),0),0)+IF(LEFT(AK103,4)="True",IF(_xlfn.XLOOKUP("Service_Any_OR_RangeGt1000",'Scoring_Config'!$A:$A,'Scoring_Config'!$D:$D,"Yes")="Yes",_xlfn.XLOOKUP("Service_Any_OR_RangeGt1000",'Scoring_Config'!$A:$A,'Scoring_Config'!$C:$C,25),0),0)+IF(LEFT(AL103,4)="True",IF(_xlfn.XLOOKUP("App_Any_OR_RangeGt1000",'Scoring_Config'!$A:$A,'Scoring_Config'!$D:$D,"Yes")="Yes",_xlfn.XLOOKUP("App_Any_OR_RangeGt1000",'Scoring_Config'!$A:$A,'Scoring_Config'!$C:$C,25),0),0)+IF(LEFT(AM103,4)="True",IF(_xlfn.XLOOKUP("Service_Insecure_Match",'Scoring_Config'!$A:$A,'Scoring_Config'!$D:$D,"Yes")="Yes",_xlfn.XLOOKUP("Service_Insecure_Match",'Scoring_Config'!$A:$A,'Scoring_Config'!$C:$C,20),0),0)+IF(LEFT(AN103,4)="True",IF(_xlfn.XLOOKUP("Risky_Inbound",'Scoring_Config'!$A:$A,'Scoring_Config'!$D:$D,"Yes")="Yes",_xlfn.XLOOKUP("Risky_Inbound",'Scoring_Config'!$A:$A,'Scoring_Config'!$C:$C,20),0),0)+IF(LEFT(AO103,4)="True",IF(_xlfn.XLOOKUP("Risky_Outbound",'Scoring_Config'!$A:$A,'Scoring_Config'!$D:$D,"Yes")="Yes",_xlfn.XLOOKUP("Risky_Outbound",'Scoring_Config'!$A:$A,'Scoring_Config'!$C:$C,10),0),0)+IF(LEFT(AW103,4)="True",IF(_xlfn.XLOOKUP("Migrate_Insecure",'Scoring_Config'!$A:$A,'Scoring_Config'!$D:$D,"Yes")="Yes",_xlfn.XLOOKUP("Migrate_Insecure",'Scoring_Config'!$A:$A,'Scoring_Config'!$C:$C,15),0),0)+IF(LEFT(AY103,4)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103,FIND(",",AP103)+1,100)),0)+IF(LEFT(AQ103,4)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103,FIND(",",AR103)+1,100)),0)+IF(_xlfn.XLOOKUP("Profile_Scoring",'Scoring_Config'!$A:$A,'Scoring_Config'!$D:$D,"Yes")="Yes",VALUE(MID(AS103,FIND(",",AS103)+1,100)),0)+IF(_xlfn.XLOOKUP("Options_Scoring",'Scoring_Config'!$A:$A,'Scoring_Config'!$D:$D,"Yes")="Yes",VALUE(MID(AT103,FIND(",",AT103)+1,100)),0)))</f>
        <v>0</v>
      </c>
    </row>
    <row r="104" spans="1:52">
      <c r="A104" s="3" t="s">
        <v>52</v>
      </c>
      <c r="B104" s="3" t="s">
        <v>139</v>
      </c>
      <c r="C104" s="3" t="s">
        <v>329</v>
      </c>
      <c r="D104" s="3"/>
      <c r="E104" s="3" t="s">
        <v>359</v>
      </c>
      <c r="F104" s="3" t="s">
        <v>363</v>
      </c>
      <c r="G104" s="3" t="s">
        <v>402</v>
      </c>
      <c r="H104" s="3" t="s">
        <v>402</v>
      </c>
      <c r="I104" s="3" t="s">
        <v>624</v>
      </c>
      <c r="J104" s="3" t="s">
        <v>362</v>
      </c>
      <c r="K104" s="3" t="s">
        <v>649</v>
      </c>
      <c r="L104" s="3" t="s">
        <v>649</v>
      </c>
      <c r="M104" s="3" t="s">
        <v>768</v>
      </c>
      <c r="N104" s="3" t="s">
        <v>791</v>
      </c>
      <c r="O104" s="4" t="s">
        <v>813</v>
      </c>
      <c r="P104" s="3" t="s">
        <v>874</v>
      </c>
      <c r="Q104" s="3" t="s">
        <v>905</v>
      </c>
      <c r="R104" s="3" t="s">
        <v>909</v>
      </c>
      <c r="S104" s="3" t="s">
        <v>914</v>
      </c>
      <c r="T104" s="3" t="s">
        <v>985</v>
      </c>
      <c r="U104" s="3" t="s">
        <v>1145</v>
      </c>
      <c r="V104" s="3" t="s">
        <v>770</v>
      </c>
      <c r="W104" s="3" t="s">
        <v>1450</v>
      </c>
      <c r="X104" s="3" t="s">
        <v>1708</v>
      </c>
      <c r="Y104" s="3" t="s">
        <v>2177</v>
      </c>
      <c r="Z104" s="3"/>
      <c r="AA104" s="3"/>
      <c r="AB104" s="3"/>
      <c r="AC104" s="4" cm="1">
        <f t="array" ref="AC104">IF(FALSE,"True," &amp; IF(_xlfn.XLOOKUP("Src_IsAny",'Scoring_Config'!$A:$A,'Scoring_Config'!$D:$D,"Yes")="Yes",_xlfn.XLOOKUP("Src_IsAny",'Scoring_Config'!$A:$A,'Scoring_Config'!$C:$C,25),0),"False,0")</f>
        <v>0</v>
      </c>
      <c r="AD104" s="4" cm="1">
        <f t="array" ref="AD104">IF(FALSE,"True," &amp; IF(_xlfn.XLOOKUP("Src_CIDR_Le_16",'Scoring_Config'!$A:$A,'Scoring_Config'!$D:$D,"Yes")="Yes",_xlfn.XLOOKUP("Src_CIDR_Le_16",'Scoring_Config'!$A:$A,'Scoring_Config'!$C:$C,25),0),"False,0")</f>
        <v>0</v>
      </c>
      <c r="AE104" s="4" cm="1">
        <f t="array" ref="AE104">IF(FALSE,"True," &amp; IF(_xlfn.XLOOKUP("Src_CIDR_17_22",'Scoring_Config'!$A:$A,'Scoring_Config'!$D:$D,"Yes")="Yes",_xlfn.XLOOKUP("Src_CIDR_17_22",'Scoring_Config'!$A:$A,'Scoring_Config'!$C:$C,15),0),"False,0")</f>
        <v>0</v>
      </c>
      <c r="AF104" s="4" cm="1">
        <f t="array" ref="AF104">IF(FALSE,"True," &amp; IF(_xlfn.XLOOKUP("Dst_IsAny",'Scoring_Config'!$A:$A,'Scoring_Config'!$D:$D,"Yes")="Yes",_xlfn.XLOOKUP("Dst_IsAny",'Scoring_Config'!$A:$A,'Scoring_Config'!$C:$C,25),0),"False,0")</f>
        <v>0</v>
      </c>
      <c r="AG104" s="4" cm="1">
        <f t="array" ref="AG104">IF(FALSE,"True," &amp; IF(_xlfn.XLOOKUP("Dst_CIDR_Le_16",'Scoring_Config'!$A:$A,'Scoring_Config'!$D:$D,"Yes")="Yes",_xlfn.XLOOKUP("Dst_CIDR_Le_16",'Scoring_Config'!$A:$A,'Scoring_Config'!$C:$C,25),0),"False,0")</f>
        <v>0</v>
      </c>
      <c r="AH104" s="5" cm="1">
        <f t="array" ref="AH104">IF(TRUE,"True," &amp; IF(_xlfn.XLOOKUP("Dst_CIDR_17_22",'Scoring_Config'!$A:$A,'Scoring_Config'!$D:$D,"Yes")="Yes",_xlfn.XLOOKUP("Dst_CIDR_17_22",'Scoring_Config'!$A:$A,'Scoring_Config'!$C:$C,15),0),"False,0")</f>
        <v>0</v>
      </c>
      <c r="AI104" s="4" cm="1">
        <f t="array" ref="AI104">IF(FALSE,"True," &amp; IF(_xlfn.XLOOKUP("SrcZone_IsAny",'Scoring_Config'!$A:$A,'Scoring_Config'!$D:$D,"Yes")="Yes",_xlfn.XLOOKUP("SrcZone_IsAny",'Scoring_Config'!$A:$A,'Scoring_Config'!$C:$C,5),0),"False,0")</f>
        <v>0</v>
      </c>
      <c r="AJ104" s="4" cm="1">
        <f t="array" ref="AJ104">IF(FALSE,"True," &amp; IF(_xlfn.XLOOKUP("DstZone_IsAny",'Scoring_Config'!$A:$A,'Scoring_Config'!$D:$D,"Yes")="Yes",_xlfn.XLOOKUP("DstZone_IsAny",'Scoring_Config'!$A:$A,'Scoring_Config'!$C:$C,5),0),"False,0")</f>
        <v>0</v>
      </c>
      <c r="AK104" s="4" cm="1">
        <f t="array" ref="AK10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4" s="5" cm="1">
        <f t="array" ref="AL104">IF(TRUE,"True," &amp; IF(_xlfn.XLOOKUP("App_Any_OR_RangeGt1000",'Scoring_Config'!$A:$A,'Scoring_Config'!$D:$D,"Yes")="Yes",_xlfn.XLOOKUP("App_Any_OR_RangeGt1000",'Scoring_Config'!$A:$A,'Scoring_Config'!$C:$C,25),0),"False,0")</f>
        <v>0</v>
      </c>
      <c r="AM104" s="5" cm="1">
        <f t="array" ref="AM104">IF(TRUE,"True," &amp; IF(_xlfn.XLOOKUP("Service_Insecure_Match",'Scoring_Config'!$A:$A,'Scoring_Config'!$D:$D,"Yes")="Yes",_xlfn.XLOOKUP("Service_Insecure_Match",'Scoring_Config'!$A:$A,'Scoring_Config'!$C:$C,20),0),"False,0")</f>
        <v>0</v>
      </c>
      <c r="AN104" s="4" cm="1">
        <f t="array" ref="AN104">IF(FALSE,"True," &amp; IF(_xlfn.XLOOKUP("Risky_Inbound",'Scoring_Config'!$A:$A,'Scoring_Config'!$D:$D,"Yes")="Yes",_xlfn.XLOOKUP("Risky_Inbound",'Scoring_Config'!$A:$A,'Scoring_Config'!$C:$C,20),0),"False,0")</f>
        <v>0</v>
      </c>
      <c r="AO104" s="4" cm="1">
        <f t="array" ref="AO104">IF(FALSE,"True," &amp; IF(_xlfn.XLOOKUP("Risky_Outbound",'Scoring_Config'!$A:$A,'Scoring_Config'!$D:$D,"Yes")="Yes",_xlfn.XLOOKUP("Risky_Outbound",'Scoring_Config'!$A:$A,'Scoring_Config'!$C:$C,10),0),"False,0")</f>
        <v>0</v>
      </c>
      <c r="AP104" s="5" t="s">
        <v>2595</v>
      </c>
      <c r="AQ104" s="5" cm="1">
        <f t="array" ref="AQ10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4" s="5" t="s">
        <v>2598</v>
      </c>
      <c r="AS104" s="4" t="s">
        <v>2592</v>
      </c>
      <c r="AT104" s="4" t="s">
        <v>2592</v>
      </c>
      <c r="AU104" s="4" cm="1">
        <f t="array" ref="AU104">IF(FALSE,"True," &amp; IF(_xlfn.XLOOKUP("Action_IsDenyOrDrop",'Scoring_Config'!$A:$A,'Scoring_Config'!$D:$D,"Yes")="Yes",_xlfn.XLOOKUP("Action_IsDenyOrDrop",'Scoring_Config'!$A:$A,'Scoring_Config'!$C:$C,0),0),"False,0")</f>
        <v>0</v>
      </c>
      <c r="AV104" s="4"/>
      <c r="AW104" s="4" cm="1">
        <f t="array" ref="AW104">IF(FALSE,"True," &amp; IF(_xlfn.XLOOKUP("Migrate_Insecure",'Scoring_Config'!$A:$A,'Scoring_Config'!$D:$D,"Yes")="Yes",_xlfn.XLOOKUP("Migrate_Insecure",'Scoring_Config'!$A:$A,'Scoring_Config'!$C:$C,15),0),"False,0")</f>
        <v>0</v>
      </c>
      <c r="AX104" s="4"/>
      <c r="AY104" s="4" cm="1">
        <f t="array" ref="AY104">IF(FALSE,"True," &amp; IF(_xlfn.XLOOKUP("Migrate_Other_Ports",'Scoring_Config'!$A:$A,'Scoring_Config'!$D:$D,"Yes")="Yes",_xlfn.XLOOKUP("Migrate_Other_Ports",'Scoring_Config'!$A:$A,'Scoring_Config'!$C:$C,5),0),"False,0")</f>
        <v>0</v>
      </c>
      <c r="AZ104" s="4" cm="1">
        <f t="array" ref="AZ104">IF(LEFT(AU104,4)="True",0,(IF(LEFT(AC104,4)="True",IF(_xlfn.XLOOKUP("Src_IsAny",'Scoring_Config'!$A:$A,'Scoring_Config'!$D:$D,"Yes")="Yes",_xlfn.XLOOKUP("Src_IsAny",'Scoring_Config'!$A:$A,'Scoring_Config'!$C:$C,25),0),0)+IF(LEFT(AD104,4)="True",IF(_xlfn.XLOOKUP("Src_CIDR_Le_16",'Scoring_Config'!$A:$A,'Scoring_Config'!$D:$D,"Yes")="Yes",_xlfn.XLOOKUP("Src_CIDR_Le_16",'Scoring_Config'!$A:$A,'Scoring_Config'!$C:$C,25),0),0)+IF(LEFT(AE104,4)="True",IF(_xlfn.XLOOKUP("Src_CIDR_17_22",'Scoring_Config'!$A:$A,'Scoring_Config'!$D:$D,"Yes")="Yes",_xlfn.XLOOKUP("Src_CIDR_17_22",'Scoring_Config'!$A:$A,'Scoring_Config'!$C:$C,15),0),0)+IF(LEFT(AF104,4)="True",IF(_xlfn.XLOOKUP("Dst_IsAny",'Scoring_Config'!$A:$A,'Scoring_Config'!$D:$D,"Yes")="Yes",_xlfn.XLOOKUP("Dst_IsAny",'Scoring_Config'!$A:$A,'Scoring_Config'!$C:$C,25),0),0)+IF(LEFT(AG104,4)="True",IF(_xlfn.XLOOKUP("Dst_CIDR_Le_16",'Scoring_Config'!$A:$A,'Scoring_Config'!$D:$D,"Yes")="Yes",_xlfn.XLOOKUP("Dst_CIDR_Le_16",'Scoring_Config'!$A:$A,'Scoring_Config'!$C:$C,25),0),0)+IF(LEFT(AH104,4)="True",IF(_xlfn.XLOOKUP("Dst_CIDR_17_22",'Scoring_Config'!$A:$A,'Scoring_Config'!$D:$D,"Yes")="Yes",_xlfn.XLOOKUP("Dst_CIDR_17_22",'Scoring_Config'!$A:$A,'Scoring_Config'!$C:$C,15),0),0)+IF(LEFT(AI104,4)="True",IF(_xlfn.XLOOKUP("SrcZone_IsAny",'Scoring_Config'!$A:$A,'Scoring_Config'!$D:$D,"Yes")="Yes",_xlfn.XLOOKUP("SrcZone_IsAny",'Scoring_Config'!$A:$A,'Scoring_Config'!$C:$C,5),0),0)+IF(LEFT(AJ104,4)="True",IF(_xlfn.XLOOKUP("DstZone_IsAny",'Scoring_Config'!$A:$A,'Scoring_Config'!$D:$D,"Yes")="Yes",_xlfn.XLOOKUP("DstZone_IsAny",'Scoring_Config'!$A:$A,'Scoring_Config'!$C:$C,5),0),0)+IF(LEFT(AK104,4)="True",IF(_xlfn.XLOOKUP("Service_Any_OR_RangeGt1000",'Scoring_Config'!$A:$A,'Scoring_Config'!$D:$D,"Yes")="Yes",_xlfn.XLOOKUP("Service_Any_OR_RangeGt1000",'Scoring_Config'!$A:$A,'Scoring_Config'!$C:$C,25),0),0)+IF(LEFT(AL104,4)="True",IF(_xlfn.XLOOKUP("App_Any_OR_RangeGt1000",'Scoring_Config'!$A:$A,'Scoring_Config'!$D:$D,"Yes")="Yes",_xlfn.XLOOKUP("App_Any_OR_RangeGt1000",'Scoring_Config'!$A:$A,'Scoring_Config'!$C:$C,25),0),0)+IF(LEFT(AM104,4)="True",IF(_xlfn.XLOOKUP("Service_Insecure_Match",'Scoring_Config'!$A:$A,'Scoring_Config'!$D:$D,"Yes")="Yes",_xlfn.XLOOKUP("Service_Insecure_Match",'Scoring_Config'!$A:$A,'Scoring_Config'!$C:$C,20),0),0)+IF(LEFT(AN104,4)="True",IF(_xlfn.XLOOKUP("Risky_Inbound",'Scoring_Config'!$A:$A,'Scoring_Config'!$D:$D,"Yes")="Yes",_xlfn.XLOOKUP("Risky_Inbound",'Scoring_Config'!$A:$A,'Scoring_Config'!$C:$C,20),0),0)+IF(LEFT(AO104,4)="True",IF(_xlfn.XLOOKUP("Risky_Outbound",'Scoring_Config'!$A:$A,'Scoring_Config'!$D:$D,"Yes")="Yes",_xlfn.XLOOKUP("Risky_Outbound",'Scoring_Config'!$A:$A,'Scoring_Config'!$C:$C,10),0),0)+IF(LEFT(AW104,4)="True",IF(_xlfn.XLOOKUP("Migrate_Insecure",'Scoring_Config'!$A:$A,'Scoring_Config'!$D:$D,"Yes")="Yes",_xlfn.XLOOKUP("Migrate_Insecure",'Scoring_Config'!$A:$A,'Scoring_Config'!$C:$C,15),0),0)+IF(LEFT(AY104,4)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104,FIND(",",AP104)+1,100)),0)+IF(LEFT(AQ104,4)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104,FIND(",",AR104)+1,100)),0)+IF(_xlfn.XLOOKUP("Profile_Scoring",'Scoring_Config'!$A:$A,'Scoring_Config'!$D:$D,"Yes")="Yes",VALUE(MID(AS104,FIND(",",AS104)+1,100)),0)+IF(_xlfn.XLOOKUP("Options_Scoring",'Scoring_Config'!$A:$A,'Scoring_Config'!$D:$D,"Yes")="Yes",VALUE(MID(AT104,FIND(",",AT104)+1,100)),0)))</f>
        <v>0</v>
      </c>
    </row>
    <row r="105" spans="1:52">
      <c r="A105" s="3" t="s">
        <v>52</v>
      </c>
      <c r="B105" s="3" t="s">
        <v>140</v>
      </c>
      <c r="C105" s="3" t="s">
        <v>329</v>
      </c>
      <c r="D105" s="3"/>
      <c r="E105" s="3" t="s">
        <v>359</v>
      </c>
      <c r="F105" s="3" t="s">
        <v>364</v>
      </c>
      <c r="G105" s="3" t="s">
        <v>381</v>
      </c>
      <c r="H105" s="3" t="s">
        <v>547</v>
      </c>
      <c r="I105" s="3" t="s">
        <v>365</v>
      </c>
      <c r="J105" s="3" t="s">
        <v>362</v>
      </c>
      <c r="K105" s="3" t="s">
        <v>650</v>
      </c>
      <c r="L105" s="3" t="s">
        <v>650</v>
      </c>
      <c r="M105" s="3" t="s">
        <v>775</v>
      </c>
      <c r="N105" s="3" t="s">
        <v>796</v>
      </c>
      <c r="O105" s="4" t="s">
        <v>828</v>
      </c>
      <c r="P105" s="3" t="s">
        <v>889</v>
      </c>
      <c r="Q105" s="3" t="s">
        <v>905</v>
      </c>
      <c r="R105" s="3" t="s">
        <v>908</v>
      </c>
      <c r="S105" s="3" t="s">
        <v>914</v>
      </c>
      <c r="T105" s="3" t="s">
        <v>986</v>
      </c>
      <c r="U105" s="3" t="s">
        <v>1157</v>
      </c>
      <c r="V105" s="3" t="s">
        <v>772</v>
      </c>
      <c r="W105" s="3" t="s">
        <v>1459</v>
      </c>
      <c r="X105" s="3" t="s">
        <v>1709</v>
      </c>
      <c r="Y105" s="3" t="s">
        <v>2178</v>
      </c>
      <c r="Z105" s="3"/>
      <c r="AA105" s="3"/>
      <c r="AB105" s="3"/>
      <c r="AC105" s="4" cm="1">
        <f t="array" ref="AC105">IF(FALSE,"True," &amp; IF(_xlfn.XLOOKUP("Src_IsAny",'Scoring_Config'!$A:$A,'Scoring_Config'!$D:$D,"Yes")="Yes",_xlfn.XLOOKUP("Src_IsAny",'Scoring_Config'!$A:$A,'Scoring_Config'!$C:$C,25),0),"False,0")</f>
        <v>0</v>
      </c>
      <c r="AD105" s="4" cm="1">
        <f t="array" ref="AD105">IF(FALSE,"True," &amp; IF(_xlfn.XLOOKUP("Src_CIDR_Le_16",'Scoring_Config'!$A:$A,'Scoring_Config'!$D:$D,"Yes")="Yes",_xlfn.XLOOKUP("Src_CIDR_Le_16",'Scoring_Config'!$A:$A,'Scoring_Config'!$C:$C,25),0),"False,0")</f>
        <v>0</v>
      </c>
      <c r="AE105" s="4" cm="1">
        <f t="array" ref="AE105">IF(FALSE,"True," &amp; IF(_xlfn.XLOOKUP("Src_CIDR_17_22",'Scoring_Config'!$A:$A,'Scoring_Config'!$D:$D,"Yes")="Yes",_xlfn.XLOOKUP("Src_CIDR_17_22",'Scoring_Config'!$A:$A,'Scoring_Config'!$C:$C,15),0),"False,0")</f>
        <v>0</v>
      </c>
      <c r="AF105" s="4" cm="1">
        <f t="array" ref="AF105">IF(FALSE,"True," &amp; IF(_xlfn.XLOOKUP("Dst_IsAny",'Scoring_Config'!$A:$A,'Scoring_Config'!$D:$D,"Yes")="Yes",_xlfn.XLOOKUP("Dst_IsAny",'Scoring_Config'!$A:$A,'Scoring_Config'!$C:$C,25),0),"False,0")</f>
        <v>0</v>
      </c>
      <c r="AG105" s="4" cm="1">
        <f t="array" ref="AG105">IF(FALSE,"True," &amp; IF(_xlfn.XLOOKUP("Dst_CIDR_Le_16",'Scoring_Config'!$A:$A,'Scoring_Config'!$D:$D,"Yes")="Yes",_xlfn.XLOOKUP("Dst_CIDR_Le_16",'Scoring_Config'!$A:$A,'Scoring_Config'!$C:$C,25),0),"False,0")</f>
        <v>0</v>
      </c>
      <c r="AH105" s="5" cm="1">
        <f t="array" ref="AH105">IF(TRUE,"True," &amp; IF(_xlfn.XLOOKUP("Dst_CIDR_17_22",'Scoring_Config'!$A:$A,'Scoring_Config'!$D:$D,"Yes")="Yes",_xlfn.XLOOKUP("Dst_CIDR_17_22",'Scoring_Config'!$A:$A,'Scoring_Config'!$C:$C,15),0),"False,0")</f>
        <v>0</v>
      </c>
      <c r="AI105" s="4" cm="1">
        <f t="array" ref="AI105">IF(FALSE,"True," &amp; IF(_xlfn.XLOOKUP("SrcZone_IsAny",'Scoring_Config'!$A:$A,'Scoring_Config'!$D:$D,"Yes")="Yes",_xlfn.XLOOKUP("SrcZone_IsAny",'Scoring_Config'!$A:$A,'Scoring_Config'!$C:$C,5),0),"False,0")</f>
        <v>0</v>
      </c>
      <c r="AJ105" s="4" cm="1">
        <f t="array" ref="AJ105">IF(FALSE,"True," &amp; IF(_xlfn.XLOOKUP("DstZone_IsAny",'Scoring_Config'!$A:$A,'Scoring_Config'!$D:$D,"Yes")="Yes",_xlfn.XLOOKUP("DstZone_IsAny",'Scoring_Config'!$A:$A,'Scoring_Config'!$C:$C,5),0),"False,0")</f>
        <v>0</v>
      </c>
      <c r="AK105" s="4" cm="1">
        <f t="array" ref="AK10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5" s="4" cm="1">
        <f t="array" ref="AL105">IF(FALSE,"True," &amp; IF(_xlfn.XLOOKUP("App_Any_OR_RangeGt1000",'Scoring_Config'!$A:$A,'Scoring_Config'!$D:$D,"Yes")="Yes",_xlfn.XLOOKUP("App_Any_OR_RangeGt1000",'Scoring_Config'!$A:$A,'Scoring_Config'!$C:$C,25),0),"False,0")</f>
        <v>0</v>
      </c>
      <c r="AM105" s="5" cm="1">
        <f t="array" ref="AM105">IF(TRUE,"True," &amp; IF(_xlfn.XLOOKUP("Service_Insecure_Match",'Scoring_Config'!$A:$A,'Scoring_Config'!$D:$D,"Yes")="Yes",_xlfn.XLOOKUP("Service_Insecure_Match",'Scoring_Config'!$A:$A,'Scoring_Config'!$C:$C,20),0),"False,0")</f>
        <v>0</v>
      </c>
      <c r="AN105" s="4" cm="1">
        <f t="array" ref="AN105">IF(FALSE,"True," &amp; IF(_xlfn.XLOOKUP("Risky_Inbound",'Scoring_Config'!$A:$A,'Scoring_Config'!$D:$D,"Yes")="Yes",_xlfn.XLOOKUP("Risky_Inbound",'Scoring_Config'!$A:$A,'Scoring_Config'!$C:$C,20),0),"False,0")</f>
        <v>0</v>
      </c>
      <c r="AO105" s="4" cm="1">
        <f t="array" ref="AO105">IF(FALSE,"True," &amp; IF(_xlfn.XLOOKUP("Risky_Outbound",'Scoring_Config'!$A:$A,'Scoring_Config'!$D:$D,"Yes")="Yes",_xlfn.XLOOKUP("Risky_Outbound",'Scoring_Config'!$A:$A,'Scoring_Config'!$C:$C,10),0),"False,0")</f>
        <v>0</v>
      </c>
      <c r="AP105" s="5" t="s">
        <v>2595</v>
      </c>
      <c r="AQ105" s="5" cm="1">
        <f t="array" ref="AQ10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5" s="4" t="s">
        <v>2592</v>
      </c>
      <c r="AS105" s="4" t="s">
        <v>2592</v>
      </c>
      <c r="AT105" s="4" t="s">
        <v>2592</v>
      </c>
      <c r="AU105" s="4" cm="1">
        <f t="array" ref="AU105">IF(FALSE,"True," &amp; IF(_xlfn.XLOOKUP("Action_IsDenyOrDrop",'Scoring_Config'!$A:$A,'Scoring_Config'!$D:$D,"Yes")="Yes",_xlfn.XLOOKUP("Action_IsDenyOrDrop",'Scoring_Config'!$A:$A,'Scoring_Config'!$C:$C,0),0),"False,0")</f>
        <v>0</v>
      </c>
      <c r="AV105" s="4"/>
      <c r="AW105" s="4" cm="1">
        <f t="array" ref="AW105">IF(FALSE,"True," &amp; IF(_xlfn.XLOOKUP("Migrate_Insecure",'Scoring_Config'!$A:$A,'Scoring_Config'!$D:$D,"Yes")="Yes",_xlfn.XLOOKUP("Migrate_Insecure",'Scoring_Config'!$A:$A,'Scoring_Config'!$C:$C,15),0),"False,0")</f>
        <v>0</v>
      </c>
      <c r="AX105" s="4"/>
      <c r="AY105" s="4" cm="1">
        <f t="array" ref="AY105">IF(FALSE,"True," &amp; IF(_xlfn.XLOOKUP("Migrate_Other_Ports",'Scoring_Config'!$A:$A,'Scoring_Config'!$D:$D,"Yes")="Yes",_xlfn.XLOOKUP("Migrate_Other_Ports",'Scoring_Config'!$A:$A,'Scoring_Config'!$C:$C,5),0),"False,0")</f>
        <v>0</v>
      </c>
      <c r="AZ105" s="4" cm="1">
        <f t="array" ref="AZ105">IF(LEFT(AU105,4)="True",0,(IF(LEFT(AC105,4)="True",IF(_xlfn.XLOOKUP("Src_IsAny",'Scoring_Config'!$A:$A,'Scoring_Config'!$D:$D,"Yes")="Yes",_xlfn.XLOOKUP("Src_IsAny",'Scoring_Config'!$A:$A,'Scoring_Config'!$C:$C,25),0),0)+IF(LEFT(AD105,4)="True",IF(_xlfn.XLOOKUP("Src_CIDR_Le_16",'Scoring_Config'!$A:$A,'Scoring_Config'!$D:$D,"Yes")="Yes",_xlfn.XLOOKUP("Src_CIDR_Le_16",'Scoring_Config'!$A:$A,'Scoring_Config'!$C:$C,25),0),0)+IF(LEFT(AE105,4)="True",IF(_xlfn.XLOOKUP("Src_CIDR_17_22",'Scoring_Config'!$A:$A,'Scoring_Config'!$D:$D,"Yes")="Yes",_xlfn.XLOOKUP("Src_CIDR_17_22",'Scoring_Config'!$A:$A,'Scoring_Config'!$C:$C,15),0),0)+IF(LEFT(AF105,4)="True",IF(_xlfn.XLOOKUP("Dst_IsAny",'Scoring_Config'!$A:$A,'Scoring_Config'!$D:$D,"Yes")="Yes",_xlfn.XLOOKUP("Dst_IsAny",'Scoring_Config'!$A:$A,'Scoring_Config'!$C:$C,25),0),0)+IF(LEFT(AG105,4)="True",IF(_xlfn.XLOOKUP("Dst_CIDR_Le_16",'Scoring_Config'!$A:$A,'Scoring_Config'!$D:$D,"Yes")="Yes",_xlfn.XLOOKUP("Dst_CIDR_Le_16",'Scoring_Config'!$A:$A,'Scoring_Config'!$C:$C,25),0),0)+IF(LEFT(AH105,4)="True",IF(_xlfn.XLOOKUP("Dst_CIDR_17_22",'Scoring_Config'!$A:$A,'Scoring_Config'!$D:$D,"Yes")="Yes",_xlfn.XLOOKUP("Dst_CIDR_17_22",'Scoring_Config'!$A:$A,'Scoring_Config'!$C:$C,15),0),0)+IF(LEFT(AI105,4)="True",IF(_xlfn.XLOOKUP("SrcZone_IsAny",'Scoring_Config'!$A:$A,'Scoring_Config'!$D:$D,"Yes")="Yes",_xlfn.XLOOKUP("SrcZone_IsAny",'Scoring_Config'!$A:$A,'Scoring_Config'!$C:$C,5),0),0)+IF(LEFT(AJ105,4)="True",IF(_xlfn.XLOOKUP("DstZone_IsAny",'Scoring_Config'!$A:$A,'Scoring_Config'!$D:$D,"Yes")="Yes",_xlfn.XLOOKUP("DstZone_IsAny",'Scoring_Config'!$A:$A,'Scoring_Config'!$C:$C,5),0),0)+IF(LEFT(AK105,4)="True",IF(_xlfn.XLOOKUP("Service_Any_OR_RangeGt1000",'Scoring_Config'!$A:$A,'Scoring_Config'!$D:$D,"Yes")="Yes",_xlfn.XLOOKUP("Service_Any_OR_RangeGt1000",'Scoring_Config'!$A:$A,'Scoring_Config'!$C:$C,25),0),0)+IF(LEFT(AL105,4)="True",IF(_xlfn.XLOOKUP("App_Any_OR_RangeGt1000",'Scoring_Config'!$A:$A,'Scoring_Config'!$D:$D,"Yes")="Yes",_xlfn.XLOOKUP("App_Any_OR_RangeGt1000",'Scoring_Config'!$A:$A,'Scoring_Config'!$C:$C,25),0),0)+IF(LEFT(AM105,4)="True",IF(_xlfn.XLOOKUP("Service_Insecure_Match",'Scoring_Config'!$A:$A,'Scoring_Config'!$D:$D,"Yes")="Yes",_xlfn.XLOOKUP("Service_Insecure_Match",'Scoring_Config'!$A:$A,'Scoring_Config'!$C:$C,20),0),0)+IF(LEFT(AN105,4)="True",IF(_xlfn.XLOOKUP("Risky_Inbound",'Scoring_Config'!$A:$A,'Scoring_Config'!$D:$D,"Yes")="Yes",_xlfn.XLOOKUP("Risky_Inbound",'Scoring_Config'!$A:$A,'Scoring_Config'!$C:$C,20),0),0)+IF(LEFT(AO105,4)="True",IF(_xlfn.XLOOKUP("Risky_Outbound",'Scoring_Config'!$A:$A,'Scoring_Config'!$D:$D,"Yes")="Yes",_xlfn.XLOOKUP("Risky_Outbound",'Scoring_Config'!$A:$A,'Scoring_Config'!$C:$C,10),0),0)+IF(LEFT(AW105,4)="True",IF(_xlfn.XLOOKUP("Migrate_Insecure",'Scoring_Config'!$A:$A,'Scoring_Config'!$D:$D,"Yes")="Yes",_xlfn.XLOOKUP("Migrate_Insecure",'Scoring_Config'!$A:$A,'Scoring_Config'!$C:$C,15),0),0)+IF(LEFT(AY105,4)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105,FIND(",",AP105)+1,100)),0)+IF(LEFT(AQ105,4)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105,FIND(",",AR105)+1,100)),0)+IF(_xlfn.XLOOKUP("Profile_Scoring",'Scoring_Config'!$A:$A,'Scoring_Config'!$D:$D,"Yes")="Yes",VALUE(MID(AS105,FIND(",",AS105)+1,100)),0)+IF(_xlfn.XLOOKUP("Options_Scoring",'Scoring_Config'!$A:$A,'Scoring_Config'!$D:$D,"Yes")="Yes",VALUE(MID(AT105,FIND(",",AT105)+1,100)),0)))</f>
        <v>0</v>
      </c>
    </row>
    <row r="106" spans="1:52">
      <c r="A106" s="3" t="s">
        <v>52</v>
      </c>
      <c r="B106" s="3" t="s">
        <v>141</v>
      </c>
      <c r="C106" s="3" t="s">
        <v>329</v>
      </c>
      <c r="D106" s="3"/>
      <c r="E106" s="3" t="s">
        <v>359</v>
      </c>
      <c r="F106" s="3" t="s">
        <v>362</v>
      </c>
      <c r="G106" s="3" t="s">
        <v>380</v>
      </c>
      <c r="H106" s="3" t="s">
        <v>546</v>
      </c>
      <c r="I106" s="3" t="s">
        <v>624</v>
      </c>
      <c r="J106" s="3" t="s">
        <v>363</v>
      </c>
      <c r="K106" s="3" t="s">
        <v>651</v>
      </c>
      <c r="L106" s="3" t="s">
        <v>651</v>
      </c>
      <c r="M106" s="3" t="s">
        <v>772</v>
      </c>
      <c r="N106" s="3" t="s">
        <v>794</v>
      </c>
      <c r="O106" s="4" t="s">
        <v>810</v>
      </c>
      <c r="P106" s="3" t="s">
        <v>871</v>
      </c>
      <c r="Q106" s="3" t="s">
        <v>905</v>
      </c>
      <c r="R106" s="3" t="s">
        <v>911</v>
      </c>
      <c r="S106" s="3" t="s">
        <v>914</v>
      </c>
      <c r="T106" s="3" t="s">
        <v>919</v>
      </c>
      <c r="U106" s="3" t="s">
        <v>1202</v>
      </c>
      <c r="V106" s="3" t="s">
        <v>1388</v>
      </c>
      <c r="W106" s="3" t="s">
        <v>1460</v>
      </c>
      <c r="X106" s="3" t="s">
        <v>1710</v>
      </c>
      <c r="Y106" s="3" t="s">
        <v>2179</v>
      </c>
      <c r="Z106" s="3"/>
      <c r="AA106" s="3"/>
      <c r="AB106" s="3"/>
      <c r="AC106" s="5" cm="1">
        <f t="array" ref="AC106">IF(TRUE,"True," &amp; IF(_xlfn.XLOOKUP("Src_IsAny",'Scoring_Config'!$A:$A,'Scoring_Config'!$D:$D,"Yes")="Yes",_xlfn.XLOOKUP("Src_IsAny",'Scoring_Config'!$A:$A,'Scoring_Config'!$C:$C,25),0),"False,0")</f>
        <v>0</v>
      </c>
      <c r="AD106" s="4" cm="1">
        <f t="array" ref="AD106">IF(FALSE,"True," &amp; IF(_xlfn.XLOOKUP("Src_CIDR_Le_16",'Scoring_Config'!$A:$A,'Scoring_Config'!$D:$D,"Yes")="Yes",_xlfn.XLOOKUP("Src_CIDR_Le_16",'Scoring_Config'!$A:$A,'Scoring_Config'!$C:$C,25),0),"False,0")</f>
        <v>0</v>
      </c>
      <c r="AE106" s="4" cm="1">
        <f t="array" ref="AE106">IF(FALSE,"True," &amp; IF(_xlfn.XLOOKUP("Src_CIDR_17_22",'Scoring_Config'!$A:$A,'Scoring_Config'!$D:$D,"Yes")="Yes",_xlfn.XLOOKUP("Src_CIDR_17_22",'Scoring_Config'!$A:$A,'Scoring_Config'!$C:$C,15),0),"False,0")</f>
        <v>0</v>
      </c>
      <c r="AF106" s="4" cm="1">
        <f t="array" ref="AF106">IF(FALSE,"True," &amp; IF(_xlfn.XLOOKUP("Dst_IsAny",'Scoring_Config'!$A:$A,'Scoring_Config'!$D:$D,"Yes")="Yes",_xlfn.XLOOKUP("Dst_IsAny",'Scoring_Config'!$A:$A,'Scoring_Config'!$C:$C,25),0),"False,0")</f>
        <v>0</v>
      </c>
      <c r="AG106" s="4" cm="1">
        <f t="array" ref="AG106">IF(FALSE,"True," &amp; IF(_xlfn.XLOOKUP("Dst_CIDR_Le_16",'Scoring_Config'!$A:$A,'Scoring_Config'!$D:$D,"Yes")="Yes",_xlfn.XLOOKUP("Dst_CIDR_Le_16",'Scoring_Config'!$A:$A,'Scoring_Config'!$C:$C,25),0),"False,0")</f>
        <v>0</v>
      </c>
      <c r="AH106" s="5" cm="1">
        <f t="array" ref="AH106">IF(TRUE,"True," &amp; IF(_xlfn.XLOOKUP("Dst_CIDR_17_22",'Scoring_Config'!$A:$A,'Scoring_Config'!$D:$D,"Yes")="Yes",_xlfn.XLOOKUP("Dst_CIDR_17_22",'Scoring_Config'!$A:$A,'Scoring_Config'!$C:$C,15),0),"False,0")</f>
        <v>0</v>
      </c>
      <c r="AI106" s="4" cm="1">
        <f t="array" ref="AI106">IF(FALSE,"True," &amp; IF(_xlfn.XLOOKUP("SrcZone_IsAny",'Scoring_Config'!$A:$A,'Scoring_Config'!$D:$D,"Yes")="Yes",_xlfn.XLOOKUP("SrcZone_IsAny",'Scoring_Config'!$A:$A,'Scoring_Config'!$C:$C,5),0),"False,0")</f>
        <v>0</v>
      </c>
      <c r="AJ106" s="4" cm="1">
        <f t="array" ref="AJ106">IF(FALSE,"True," &amp; IF(_xlfn.XLOOKUP("DstZone_IsAny",'Scoring_Config'!$A:$A,'Scoring_Config'!$D:$D,"Yes")="Yes",_xlfn.XLOOKUP("DstZone_IsAny",'Scoring_Config'!$A:$A,'Scoring_Config'!$C:$C,5),0),"False,0")</f>
        <v>0</v>
      </c>
      <c r="AK106" s="4" cm="1">
        <f t="array" ref="AK10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6" s="4" cm="1">
        <f t="array" ref="AL106">IF(FALSE,"True," &amp; IF(_xlfn.XLOOKUP("App_Any_OR_RangeGt1000",'Scoring_Config'!$A:$A,'Scoring_Config'!$D:$D,"Yes")="Yes",_xlfn.XLOOKUP("App_Any_OR_RangeGt1000",'Scoring_Config'!$A:$A,'Scoring_Config'!$C:$C,25),0),"False,0")</f>
        <v>0</v>
      </c>
      <c r="AM106" s="5" cm="1">
        <f t="array" ref="AM106">IF(TRUE,"True," &amp; IF(_xlfn.XLOOKUP("Service_Insecure_Match",'Scoring_Config'!$A:$A,'Scoring_Config'!$D:$D,"Yes")="Yes",_xlfn.XLOOKUP("Service_Insecure_Match",'Scoring_Config'!$A:$A,'Scoring_Config'!$C:$C,20),0),"False,0")</f>
        <v>0</v>
      </c>
      <c r="AN106" s="4" cm="1">
        <f t="array" ref="AN106">IF(FALSE,"True," &amp; IF(_xlfn.XLOOKUP("Risky_Inbound",'Scoring_Config'!$A:$A,'Scoring_Config'!$D:$D,"Yes")="Yes",_xlfn.XLOOKUP("Risky_Inbound",'Scoring_Config'!$A:$A,'Scoring_Config'!$C:$C,20),0),"False,0")</f>
        <v>0</v>
      </c>
      <c r="AO106" s="4" cm="1">
        <f t="array" ref="AO106">IF(FALSE,"True," &amp; IF(_xlfn.XLOOKUP("Risky_Outbound",'Scoring_Config'!$A:$A,'Scoring_Config'!$D:$D,"Yes")="Yes",_xlfn.XLOOKUP("Risky_Outbound",'Scoring_Config'!$A:$A,'Scoring_Config'!$C:$C,10),0),"False,0")</f>
        <v>0</v>
      </c>
      <c r="AP106" s="5" t="s">
        <v>2595</v>
      </c>
      <c r="AQ106" s="4" cm="1">
        <f t="array" ref="AQ10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6" s="5" t="s">
        <v>2598</v>
      </c>
      <c r="AS106" s="4" t="s">
        <v>2592</v>
      </c>
      <c r="AT106" s="4" t="s">
        <v>2592</v>
      </c>
      <c r="AU106" s="4" cm="1">
        <f t="array" ref="AU106">IF(FALSE,"True," &amp; IF(_xlfn.XLOOKUP("Action_IsDenyOrDrop",'Scoring_Config'!$A:$A,'Scoring_Config'!$D:$D,"Yes")="Yes",_xlfn.XLOOKUP("Action_IsDenyOrDrop",'Scoring_Config'!$A:$A,'Scoring_Config'!$C:$C,0),0),"False,0")</f>
        <v>0</v>
      </c>
      <c r="AV106" s="4"/>
      <c r="AW106" s="4" cm="1">
        <f t="array" ref="AW106">IF(FALSE,"True," &amp; IF(_xlfn.XLOOKUP("Migrate_Insecure",'Scoring_Config'!$A:$A,'Scoring_Config'!$D:$D,"Yes")="Yes",_xlfn.XLOOKUP("Migrate_Insecure",'Scoring_Config'!$A:$A,'Scoring_Config'!$C:$C,15),0),"False,0")</f>
        <v>0</v>
      </c>
      <c r="AX106" s="4"/>
      <c r="AY106" s="4" cm="1">
        <f t="array" ref="AY106">IF(FALSE,"True," &amp; IF(_xlfn.XLOOKUP("Migrate_Other_Ports",'Scoring_Config'!$A:$A,'Scoring_Config'!$D:$D,"Yes")="Yes",_xlfn.XLOOKUP("Migrate_Other_Ports",'Scoring_Config'!$A:$A,'Scoring_Config'!$C:$C,5),0),"False,0")</f>
        <v>0</v>
      </c>
      <c r="AZ106" s="4" cm="1">
        <f t="array" ref="AZ106">IF(LEFT(AU106,4)="True",0,(IF(LEFT(AC106,4)="True",IF(_xlfn.XLOOKUP("Src_IsAny",'Scoring_Config'!$A:$A,'Scoring_Config'!$D:$D,"Yes")="Yes",_xlfn.XLOOKUP("Src_IsAny",'Scoring_Config'!$A:$A,'Scoring_Config'!$C:$C,25),0),0)+IF(LEFT(AD106,4)="True",IF(_xlfn.XLOOKUP("Src_CIDR_Le_16",'Scoring_Config'!$A:$A,'Scoring_Config'!$D:$D,"Yes")="Yes",_xlfn.XLOOKUP("Src_CIDR_Le_16",'Scoring_Config'!$A:$A,'Scoring_Config'!$C:$C,25),0),0)+IF(LEFT(AE106,4)="True",IF(_xlfn.XLOOKUP("Src_CIDR_17_22",'Scoring_Config'!$A:$A,'Scoring_Config'!$D:$D,"Yes")="Yes",_xlfn.XLOOKUP("Src_CIDR_17_22",'Scoring_Config'!$A:$A,'Scoring_Config'!$C:$C,15),0),0)+IF(LEFT(AF106,4)="True",IF(_xlfn.XLOOKUP("Dst_IsAny",'Scoring_Config'!$A:$A,'Scoring_Config'!$D:$D,"Yes")="Yes",_xlfn.XLOOKUP("Dst_IsAny",'Scoring_Config'!$A:$A,'Scoring_Config'!$C:$C,25),0),0)+IF(LEFT(AG106,4)="True",IF(_xlfn.XLOOKUP("Dst_CIDR_Le_16",'Scoring_Config'!$A:$A,'Scoring_Config'!$D:$D,"Yes")="Yes",_xlfn.XLOOKUP("Dst_CIDR_Le_16",'Scoring_Config'!$A:$A,'Scoring_Config'!$C:$C,25),0),0)+IF(LEFT(AH106,4)="True",IF(_xlfn.XLOOKUP("Dst_CIDR_17_22",'Scoring_Config'!$A:$A,'Scoring_Config'!$D:$D,"Yes")="Yes",_xlfn.XLOOKUP("Dst_CIDR_17_22",'Scoring_Config'!$A:$A,'Scoring_Config'!$C:$C,15),0),0)+IF(LEFT(AI106,4)="True",IF(_xlfn.XLOOKUP("SrcZone_IsAny",'Scoring_Config'!$A:$A,'Scoring_Config'!$D:$D,"Yes")="Yes",_xlfn.XLOOKUP("SrcZone_IsAny",'Scoring_Config'!$A:$A,'Scoring_Config'!$C:$C,5),0),0)+IF(LEFT(AJ106,4)="True",IF(_xlfn.XLOOKUP("DstZone_IsAny",'Scoring_Config'!$A:$A,'Scoring_Config'!$D:$D,"Yes")="Yes",_xlfn.XLOOKUP("DstZone_IsAny",'Scoring_Config'!$A:$A,'Scoring_Config'!$C:$C,5),0),0)+IF(LEFT(AK106,4)="True",IF(_xlfn.XLOOKUP("Service_Any_OR_RangeGt1000",'Scoring_Config'!$A:$A,'Scoring_Config'!$D:$D,"Yes")="Yes",_xlfn.XLOOKUP("Service_Any_OR_RangeGt1000",'Scoring_Config'!$A:$A,'Scoring_Config'!$C:$C,25),0),0)+IF(LEFT(AL106,4)="True",IF(_xlfn.XLOOKUP("App_Any_OR_RangeGt1000",'Scoring_Config'!$A:$A,'Scoring_Config'!$D:$D,"Yes")="Yes",_xlfn.XLOOKUP("App_Any_OR_RangeGt1000",'Scoring_Config'!$A:$A,'Scoring_Config'!$C:$C,25),0),0)+IF(LEFT(AM106,4)="True",IF(_xlfn.XLOOKUP("Service_Insecure_Match",'Scoring_Config'!$A:$A,'Scoring_Config'!$D:$D,"Yes")="Yes",_xlfn.XLOOKUP("Service_Insecure_Match",'Scoring_Config'!$A:$A,'Scoring_Config'!$C:$C,20),0),0)+IF(LEFT(AN106,4)="True",IF(_xlfn.XLOOKUP("Risky_Inbound",'Scoring_Config'!$A:$A,'Scoring_Config'!$D:$D,"Yes")="Yes",_xlfn.XLOOKUP("Risky_Inbound",'Scoring_Config'!$A:$A,'Scoring_Config'!$C:$C,20),0),0)+IF(LEFT(AO106,4)="True",IF(_xlfn.XLOOKUP("Risky_Outbound",'Scoring_Config'!$A:$A,'Scoring_Config'!$D:$D,"Yes")="Yes",_xlfn.XLOOKUP("Risky_Outbound",'Scoring_Config'!$A:$A,'Scoring_Config'!$C:$C,10),0),0)+IF(LEFT(AW106,4)="True",IF(_xlfn.XLOOKUP("Migrate_Insecure",'Scoring_Config'!$A:$A,'Scoring_Config'!$D:$D,"Yes")="Yes",_xlfn.XLOOKUP("Migrate_Insecure",'Scoring_Config'!$A:$A,'Scoring_Config'!$C:$C,15),0),0)+IF(LEFT(AY106,4)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106,FIND(",",AP106)+1,100)),0)+IF(LEFT(AQ106,4)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106,FIND(",",AR106)+1,100)),0)+IF(_xlfn.XLOOKUP("Profile_Scoring",'Scoring_Config'!$A:$A,'Scoring_Config'!$D:$D,"Yes")="Yes",VALUE(MID(AS106,FIND(",",AS106)+1,100)),0)+IF(_xlfn.XLOOKUP("Options_Scoring",'Scoring_Config'!$A:$A,'Scoring_Config'!$D:$D,"Yes")="Yes",VALUE(MID(AT106,FIND(",",AT106)+1,100)),0)))</f>
        <v>0</v>
      </c>
    </row>
    <row r="107" spans="1:52">
      <c r="A107" s="3" t="s">
        <v>52</v>
      </c>
      <c r="B107" s="3" t="s">
        <v>111</v>
      </c>
      <c r="C107" s="3" t="s">
        <v>329</v>
      </c>
      <c r="D107" s="3"/>
      <c r="E107" s="3" t="s">
        <v>359</v>
      </c>
      <c r="F107" s="3" t="s">
        <v>360</v>
      </c>
      <c r="G107" s="3" t="s">
        <v>365</v>
      </c>
      <c r="H107" s="3" t="s">
        <v>365</v>
      </c>
      <c r="I107" s="3" t="s">
        <v>623</v>
      </c>
      <c r="J107" s="3" t="s">
        <v>362</v>
      </c>
      <c r="K107" s="3" t="s">
        <v>652</v>
      </c>
      <c r="L107" s="3" t="s">
        <v>652</v>
      </c>
      <c r="M107" s="3" t="s">
        <v>772</v>
      </c>
      <c r="N107" s="3" t="s">
        <v>794</v>
      </c>
      <c r="O107" s="4" t="s">
        <v>819</v>
      </c>
      <c r="P107" s="3" t="s">
        <v>880</v>
      </c>
      <c r="Q107" s="3" t="s">
        <v>905</v>
      </c>
      <c r="R107" s="3" t="s">
        <v>908</v>
      </c>
      <c r="S107" s="3" t="s">
        <v>914</v>
      </c>
      <c r="T107" s="3" t="s">
        <v>987</v>
      </c>
      <c r="U107" s="3" t="s">
        <v>1203</v>
      </c>
      <c r="V107" s="3" t="s">
        <v>770</v>
      </c>
      <c r="W107" s="3" t="s">
        <v>1461</v>
      </c>
      <c r="X107" s="3" t="s">
        <v>1711</v>
      </c>
      <c r="Y107" s="3" t="s">
        <v>2180</v>
      </c>
      <c r="Z107" s="3"/>
      <c r="AA107" s="3"/>
      <c r="AB107" s="3"/>
      <c r="AC107" s="5" cm="1">
        <f t="array" ref="AC107">IF(TRUE,"True," &amp; IF(_xlfn.XLOOKUP("Src_IsAny",'Scoring_Config'!$A:$A,'Scoring_Config'!$D:$D,"Yes")="Yes",_xlfn.XLOOKUP("Src_IsAny",'Scoring_Config'!$A:$A,'Scoring_Config'!$C:$C,25),0),"False,0")</f>
        <v>0</v>
      </c>
      <c r="AD107" s="4" cm="1">
        <f t="array" ref="AD107">IF(FALSE,"True," &amp; IF(_xlfn.XLOOKUP("Src_CIDR_Le_16",'Scoring_Config'!$A:$A,'Scoring_Config'!$D:$D,"Yes")="Yes",_xlfn.XLOOKUP("Src_CIDR_Le_16",'Scoring_Config'!$A:$A,'Scoring_Config'!$C:$C,25),0),"False,0")</f>
        <v>0</v>
      </c>
      <c r="AE107" s="4" cm="1">
        <f t="array" ref="AE107">IF(FALSE,"True," &amp; IF(_xlfn.XLOOKUP("Src_CIDR_17_22",'Scoring_Config'!$A:$A,'Scoring_Config'!$D:$D,"Yes")="Yes",_xlfn.XLOOKUP("Src_CIDR_17_22",'Scoring_Config'!$A:$A,'Scoring_Config'!$C:$C,15),0),"False,0")</f>
        <v>0</v>
      </c>
      <c r="AF107" s="4" cm="1">
        <f t="array" ref="AF107">IF(FALSE,"True," &amp; IF(_xlfn.XLOOKUP("Dst_IsAny",'Scoring_Config'!$A:$A,'Scoring_Config'!$D:$D,"Yes")="Yes",_xlfn.XLOOKUP("Dst_IsAny",'Scoring_Config'!$A:$A,'Scoring_Config'!$C:$C,25),0),"False,0")</f>
        <v>0</v>
      </c>
      <c r="AG107" s="4" cm="1">
        <f t="array" ref="AG107">IF(FALSE,"True," &amp; IF(_xlfn.XLOOKUP("Dst_CIDR_Le_16",'Scoring_Config'!$A:$A,'Scoring_Config'!$D:$D,"Yes")="Yes",_xlfn.XLOOKUP("Dst_CIDR_Le_16",'Scoring_Config'!$A:$A,'Scoring_Config'!$C:$C,25),0),"False,0")</f>
        <v>0</v>
      </c>
      <c r="AH107" s="5" cm="1">
        <f t="array" ref="AH107">IF(TRUE,"True," &amp; IF(_xlfn.XLOOKUP("Dst_CIDR_17_22",'Scoring_Config'!$A:$A,'Scoring_Config'!$D:$D,"Yes")="Yes",_xlfn.XLOOKUP("Dst_CIDR_17_22",'Scoring_Config'!$A:$A,'Scoring_Config'!$C:$C,15),0),"False,0")</f>
        <v>0</v>
      </c>
      <c r="AI107" s="4" cm="1">
        <f t="array" ref="AI107">IF(FALSE,"True," &amp; IF(_xlfn.XLOOKUP("SrcZone_IsAny",'Scoring_Config'!$A:$A,'Scoring_Config'!$D:$D,"Yes")="Yes",_xlfn.XLOOKUP("SrcZone_IsAny",'Scoring_Config'!$A:$A,'Scoring_Config'!$C:$C,5),0),"False,0")</f>
        <v>0</v>
      </c>
      <c r="AJ107" s="4" cm="1">
        <f t="array" ref="AJ107">IF(FALSE,"True," &amp; IF(_xlfn.XLOOKUP("DstZone_IsAny",'Scoring_Config'!$A:$A,'Scoring_Config'!$D:$D,"Yes")="Yes",_xlfn.XLOOKUP("DstZone_IsAny",'Scoring_Config'!$A:$A,'Scoring_Config'!$C:$C,5),0),"False,0")</f>
        <v>0</v>
      </c>
      <c r="AK107" s="4" cm="1">
        <f t="array" ref="AK10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7" s="4" cm="1">
        <f t="array" ref="AL107">IF(FALSE,"True," &amp; IF(_xlfn.XLOOKUP("App_Any_OR_RangeGt1000",'Scoring_Config'!$A:$A,'Scoring_Config'!$D:$D,"Yes")="Yes",_xlfn.XLOOKUP("App_Any_OR_RangeGt1000",'Scoring_Config'!$A:$A,'Scoring_Config'!$C:$C,25),0),"False,0")</f>
        <v>0</v>
      </c>
      <c r="AM107" s="5" cm="1">
        <f t="array" ref="AM107">IF(TRUE,"True," &amp; IF(_xlfn.XLOOKUP("Service_Insecure_Match",'Scoring_Config'!$A:$A,'Scoring_Config'!$D:$D,"Yes")="Yes",_xlfn.XLOOKUP("Service_Insecure_Match",'Scoring_Config'!$A:$A,'Scoring_Config'!$C:$C,20),0),"False,0")</f>
        <v>0</v>
      </c>
      <c r="AN107" s="4" cm="1">
        <f t="array" ref="AN107">IF(FALSE,"True," &amp; IF(_xlfn.XLOOKUP("Risky_Inbound",'Scoring_Config'!$A:$A,'Scoring_Config'!$D:$D,"Yes")="Yes",_xlfn.XLOOKUP("Risky_Inbound",'Scoring_Config'!$A:$A,'Scoring_Config'!$C:$C,20),0),"False,0")</f>
        <v>0</v>
      </c>
      <c r="AO107" s="4" cm="1">
        <f t="array" ref="AO107">IF(FALSE,"True," &amp; IF(_xlfn.XLOOKUP("Risky_Outbound",'Scoring_Config'!$A:$A,'Scoring_Config'!$D:$D,"Yes")="Yes",_xlfn.XLOOKUP("Risky_Outbound",'Scoring_Config'!$A:$A,'Scoring_Config'!$C:$C,10),0),"False,0")</f>
        <v>0</v>
      </c>
      <c r="AP107" s="5" t="s">
        <v>2595</v>
      </c>
      <c r="AQ107" s="4" cm="1">
        <f t="array" ref="AQ10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7" s="5" t="s">
        <v>2598</v>
      </c>
      <c r="AS107" s="4" t="s">
        <v>2592</v>
      </c>
      <c r="AT107" s="4" t="s">
        <v>2592</v>
      </c>
      <c r="AU107" s="4" cm="1">
        <f t="array" ref="AU107">IF(FALSE,"True," &amp; IF(_xlfn.XLOOKUP("Action_IsDenyOrDrop",'Scoring_Config'!$A:$A,'Scoring_Config'!$D:$D,"Yes")="Yes",_xlfn.XLOOKUP("Action_IsDenyOrDrop",'Scoring_Config'!$A:$A,'Scoring_Config'!$C:$C,0),0),"False,0")</f>
        <v>0</v>
      </c>
      <c r="AV107" s="4"/>
      <c r="AW107" s="4" cm="1">
        <f t="array" ref="AW107">IF(FALSE,"True," &amp; IF(_xlfn.XLOOKUP("Migrate_Insecure",'Scoring_Config'!$A:$A,'Scoring_Config'!$D:$D,"Yes")="Yes",_xlfn.XLOOKUP("Migrate_Insecure",'Scoring_Config'!$A:$A,'Scoring_Config'!$C:$C,15),0),"False,0")</f>
        <v>0</v>
      </c>
      <c r="AX107" s="4"/>
      <c r="AY107" s="4" cm="1">
        <f t="array" ref="AY107">IF(FALSE,"True," &amp; IF(_xlfn.XLOOKUP("Migrate_Other_Ports",'Scoring_Config'!$A:$A,'Scoring_Config'!$D:$D,"Yes")="Yes",_xlfn.XLOOKUP("Migrate_Other_Ports",'Scoring_Config'!$A:$A,'Scoring_Config'!$C:$C,5),0),"False,0")</f>
        <v>0</v>
      </c>
      <c r="AZ107" s="4" cm="1">
        <f t="array" ref="AZ107">IF(LEFT(AU107,4)="True",0,(IF(LEFT(AC107,4)="True",IF(_xlfn.XLOOKUP("Src_IsAny",'Scoring_Config'!$A:$A,'Scoring_Config'!$D:$D,"Yes")="Yes",_xlfn.XLOOKUP("Src_IsAny",'Scoring_Config'!$A:$A,'Scoring_Config'!$C:$C,25),0),0)+IF(LEFT(AD107,4)="True",IF(_xlfn.XLOOKUP("Src_CIDR_Le_16",'Scoring_Config'!$A:$A,'Scoring_Config'!$D:$D,"Yes")="Yes",_xlfn.XLOOKUP("Src_CIDR_Le_16",'Scoring_Config'!$A:$A,'Scoring_Config'!$C:$C,25),0),0)+IF(LEFT(AE107,4)="True",IF(_xlfn.XLOOKUP("Src_CIDR_17_22",'Scoring_Config'!$A:$A,'Scoring_Config'!$D:$D,"Yes")="Yes",_xlfn.XLOOKUP("Src_CIDR_17_22",'Scoring_Config'!$A:$A,'Scoring_Config'!$C:$C,15),0),0)+IF(LEFT(AF107,4)="True",IF(_xlfn.XLOOKUP("Dst_IsAny",'Scoring_Config'!$A:$A,'Scoring_Config'!$D:$D,"Yes")="Yes",_xlfn.XLOOKUP("Dst_IsAny",'Scoring_Config'!$A:$A,'Scoring_Config'!$C:$C,25),0),0)+IF(LEFT(AG107,4)="True",IF(_xlfn.XLOOKUP("Dst_CIDR_Le_16",'Scoring_Config'!$A:$A,'Scoring_Config'!$D:$D,"Yes")="Yes",_xlfn.XLOOKUP("Dst_CIDR_Le_16",'Scoring_Config'!$A:$A,'Scoring_Config'!$C:$C,25),0),0)+IF(LEFT(AH107,4)="True",IF(_xlfn.XLOOKUP("Dst_CIDR_17_22",'Scoring_Config'!$A:$A,'Scoring_Config'!$D:$D,"Yes")="Yes",_xlfn.XLOOKUP("Dst_CIDR_17_22",'Scoring_Config'!$A:$A,'Scoring_Config'!$C:$C,15),0),0)+IF(LEFT(AI107,4)="True",IF(_xlfn.XLOOKUP("SrcZone_IsAny",'Scoring_Config'!$A:$A,'Scoring_Config'!$D:$D,"Yes")="Yes",_xlfn.XLOOKUP("SrcZone_IsAny",'Scoring_Config'!$A:$A,'Scoring_Config'!$C:$C,5),0),0)+IF(LEFT(AJ107,4)="True",IF(_xlfn.XLOOKUP("DstZone_IsAny",'Scoring_Config'!$A:$A,'Scoring_Config'!$D:$D,"Yes")="Yes",_xlfn.XLOOKUP("DstZone_IsAny",'Scoring_Config'!$A:$A,'Scoring_Config'!$C:$C,5),0),0)+IF(LEFT(AK107,4)="True",IF(_xlfn.XLOOKUP("Service_Any_OR_RangeGt1000",'Scoring_Config'!$A:$A,'Scoring_Config'!$D:$D,"Yes")="Yes",_xlfn.XLOOKUP("Service_Any_OR_RangeGt1000",'Scoring_Config'!$A:$A,'Scoring_Config'!$C:$C,25),0),0)+IF(LEFT(AL107,4)="True",IF(_xlfn.XLOOKUP("App_Any_OR_RangeGt1000",'Scoring_Config'!$A:$A,'Scoring_Config'!$D:$D,"Yes")="Yes",_xlfn.XLOOKUP("App_Any_OR_RangeGt1000",'Scoring_Config'!$A:$A,'Scoring_Config'!$C:$C,25),0),0)+IF(LEFT(AM107,4)="True",IF(_xlfn.XLOOKUP("Service_Insecure_Match",'Scoring_Config'!$A:$A,'Scoring_Config'!$D:$D,"Yes")="Yes",_xlfn.XLOOKUP("Service_Insecure_Match",'Scoring_Config'!$A:$A,'Scoring_Config'!$C:$C,20),0),0)+IF(LEFT(AN107,4)="True",IF(_xlfn.XLOOKUP("Risky_Inbound",'Scoring_Config'!$A:$A,'Scoring_Config'!$D:$D,"Yes")="Yes",_xlfn.XLOOKUP("Risky_Inbound",'Scoring_Config'!$A:$A,'Scoring_Config'!$C:$C,20),0),0)+IF(LEFT(AO107,4)="True",IF(_xlfn.XLOOKUP("Risky_Outbound",'Scoring_Config'!$A:$A,'Scoring_Config'!$D:$D,"Yes")="Yes",_xlfn.XLOOKUP("Risky_Outbound",'Scoring_Config'!$A:$A,'Scoring_Config'!$C:$C,10),0),0)+IF(LEFT(AW107,4)="True",IF(_xlfn.XLOOKUP("Migrate_Insecure",'Scoring_Config'!$A:$A,'Scoring_Config'!$D:$D,"Yes")="Yes",_xlfn.XLOOKUP("Migrate_Insecure",'Scoring_Config'!$A:$A,'Scoring_Config'!$C:$C,15),0),0)+IF(LEFT(AY107,4)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107,FIND(",",AP107)+1,100)),0)+IF(LEFT(AQ107,4)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107,FIND(",",AR107)+1,100)),0)+IF(_xlfn.XLOOKUP("Profile_Scoring",'Scoring_Config'!$A:$A,'Scoring_Config'!$D:$D,"Yes")="Yes",VALUE(MID(AS107,FIND(",",AS107)+1,100)),0)+IF(_xlfn.XLOOKUP("Options_Scoring",'Scoring_Config'!$A:$A,'Scoring_Config'!$D:$D,"Yes")="Yes",VALUE(MID(AT107,FIND(",",AT107)+1,100)),0)))</f>
        <v>0</v>
      </c>
    </row>
    <row r="108" spans="1:52">
      <c r="A108" s="3" t="s">
        <v>52</v>
      </c>
      <c r="B108" s="3" t="s">
        <v>142</v>
      </c>
      <c r="C108" s="3" t="s">
        <v>329</v>
      </c>
      <c r="D108" s="3"/>
      <c r="E108" s="3" t="s">
        <v>359</v>
      </c>
      <c r="F108" s="3" t="s">
        <v>361</v>
      </c>
      <c r="G108" s="3" t="s">
        <v>366</v>
      </c>
      <c r="H108" s="3" t="s">
        <v>371</v>
      </c>
      <c r="I108" s="3" t="s">
        <v>624</v>
      </c>
      <c r="J108" s="3" t="s">
        <v>364</v>
      </c>
      <c r="K108" s="3" t="s">
        <v>653</v>
      </c>
      <c r="L108" s="3" t="s">
        <v>653</v>
      </c>
      <c r="M108" s="3" t="s">
        <v>769</v>
      </c>
      <c r="N108" s="3" t="s">
        <v>792</v>
      </c>
      <c r="O108" s="4" t="s">
        <v>823</v>
      </c>
      <c r="P108" s="3" t="s">
        <v>884</v>
      </c>
      <c r="Q108" s="3" t="s">
        <v>905</v>
      </c>
      <c r="R108" s="3" t="s">
        <v>910</v>
      </c>
      <c r="S108" s="3" t="s">
        <v>913</v>
      </c>
      <c r="T108" s="3" t="s">
        <v>988</v>
      </c>
      <c r="U108" s="3" t="s">
        <v>1204</v>
      </c>
      <c r="V108" s="3" t="s">
        <v>1389</v>
      </c>
      <c r="W108" s="3" t="s">
        <v>1010</v>
      </c>
      <c r="X108" s="3" t="s">
        <v>1712</v>
      </c>
      <c r="Y108" s="3" t="s">
        <v>2181</v>
      </c>
      <c r="Z108" s="3"/>
      <c r="AA108" s="3"/>
      <c r="AB108" s="3"/>
      <c r="AC108" s="4" cm="1">
        <f t="array" ref="AC108">IF(FALSE,"True," &amp; IF(_xlfn.XLOOKUP("Src_IsAny",'Scoring_Config'!$A:$A,'Scoring_Config'!$D:$D,"Yes")="Yes",_xlfn.XLOOKUP("Src_IsAny",'Scoring_Config'!$A:$A,'Scoring_Config'!$C:$C,25),0),"False,0")</f>
        <v>0</v>
      </c>
      <c r="AD108" s="4" cm="1">
        <f t="array" ref="AD108">IF(FALSE,"True," &amp; IF(_xlfn.XLOOKUP("Src_CIDR_Le_16",'Scoring_Config'!$A:$A,'Scoring_Config'!$D:$D,"Yes")="Yes",_xlfn.XLOOKUP("Src_CIDR_Le_16",'Scoring_Config'!$A:$A,'Scoring_Config'!$C:$C,25),0),"False,0")</f>
        <v>0</v>
      </c>
      <c r="AE108" s="4" cm="1">
        <f t="array" ref="AE108">IF(FALSE,"True," &amp; IF(_xlfn.XLOOKUP("Src_CIDR_17_22",'Scoring_Config'!$A:$A,'Scoring_Config'!$D:$D,"Yes")="Yes",_xlfn.XLOOKUP("Src_CIDR_17_22",'Scoring_Config'!$A:$A,'Scoring_Config'!$C:$C,15),0),"False,0")</f>
        <v>0</v>
      </c>
      <c r="AF108" s="4" cm="1">
        <f t="array" ref="AF108">IF(FALSE,"True," &amp; IF(_xlfn.XLOOKUP("Dst_IsAny",'Scoring_Config'!$A:$A,'Scoring_Config'!$D:$D,"Yes")="Yes",_xlfn.XLOOKUP("Dst_IsAny",'Scoring_Config'!$A:$A,'Scoring_Config'!$C:$C,25),0),"False,0")</f>
        <v>0</v>
      </c>
      <c r="AG108" s="4" cm="1">
        <f t="array" ref="AG108">IF(FALSE,"True," &amp; IF(_xlfn.XLOOKUP("Dst_CIDR_Le_16",'Scoring_Config'!$A:$A,'Scoring_Config'!$D:$D,"Yes")="Yes",_xlfn.XLOOKUP("Dst_CIDR_Le_16",'Scoring_Config'!$A:$A,'Scoring_Config'!$C:$C,25),0),"False,0")</f>
        <v>0</v>
      </c>
      <c r="AH108" s="5" cm="1">
        <f t="array" ref="AH108">IF(TRUE,"True," &amp; IF(_xlfn.XLOOKUP("Dst_CIDR_17_22",'Scoring_Config'!$A:$A,'Scoring_Config'!$D:$D,"Yes")="Yes",_xlfn.XLOOKUP("Dst_CIDR_17_22",'Scoring_Config'!$A:$A,'Scoring_Config'!$C:$C,15),0),"False,0")</f>
        <v>0</v>
      </c>
      <c r="AI108" s="4" cm="1">
        <f t="array" ref="AI108">IF(FALSE,"True," &amp; IF(_xlfn.XLOOKUP("SrcZone_IsAny",'Scoring_Config'!$A:$A,'Scoring_Config'!$D:$D,"Yes")="Yes",_xlfn.XLOOKUP("SrcZone_IsAny",'Scoring_Config'!$A:$A,'Scoring_Config'!$C:$C,5),0),"False,0")</f>
        <v>0</v>
      </c>
      <c r="AJ108" s="4" cm="1">
        <f t="array" ref="AJ108">IF(FALSE,"True," &amp; IF(_xlfn.XLOOKUP("DstZone_IsAny",'Scoring_Config'!$A:$A,'Scoring_Config'!$D:$D,"Yes")="Yes",_xlfn.XLOOKUP("DstZone_IsAny",'Scoring_Config'!$A:$A,'Scoring_Config'!$C:$C,5),0),"False,0")</f>
        <v>0</v>
      </c>
      <c r="AK108" s="4" cm="1">
        <f t="array" ref="AK10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8" s="4" cm="1">
        <f t="array" ref="AL108">IF(FALSE,"True," &amp; IF(_xlfn.XLOOKUP("App_Any_OR_RangeGt1000",'Scoring_Config'!$A:$A,'Scoring_Config'!$D:$D,"Yes")="Yes",_xlfn.XLOOKUP("App_Any_OR_RangeGt1000",'Scoring_Config'!$A:$A,'Scoring_Config'!$C:$C,25),0),"False,0")</f>
        <v>0</v>
      </c>
      <c r="AM108" s="5" cm="1">
        <f t="array" ref="AM108">IF(TRUE,"True," &amp; IF(_xlfn.XLOOKUP("Service_Insecure_Match",'Scoring_Config'!$A:$A,'Scoring_Config'!$D:$D,"Yes")="Yes",_xlfn.XLOOKUP("Service_Insecure_Match",'Scoring_Config'!$A:$A,'Scoring_Config'!$C:$C,20),0),"False,0")</f>
        <v>0</v>
      </c>
      <c r="AN108" s="4" cm="1">
        <f t="array" ref="AN108">IF(FALSE,"True," &amp; IF(_xlfn.XLOOKUP("Risky_Inbound",'Scoring_Config'!$A:$A,'Scoring_Config'!$D:$D,"Yes")="Yes",_xlfn.XLOOKUP("Risky_Inbound",'Scoring_Config'!$A:$A,'Scoring_Config'!$C:$C,20),0),"False,0")</f>
        <v>0</v>
      </c>
      <c r="AO108" s="4" cm="1">
        <f t="array" ref="AO108">IF(FALSE,"True," &amp; IF(_xlfn.XLOOKUP("Risky_Outbound",'Scoring_Config'!$A:$A,'Scoring_Config'!$D:$D,"Yes")="Yes",_xlfn.XLOOKUP("Risky_Outbound",'Scoring_Config'!$A:$A,'Scoring_Config'!$C:$C,10),0),"False,0")</f>
        <v>0</v>
      </c>
      <c r="AP108" s="5" t="s">
        <v>2595</v>
      </c>
      <c r="AQ108" s="4" cm="1">
        <f t="array" ref="AQ10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8" s="5" t="s">
        <v>2598</v>
      </c>
      <c r="AS108" s="4" t="s">
        <v>2592</v>
      </c>
      <c r="AT108" s="4" t="s">
        <v>2592</v>
      </c>
      <c r="AU108" s="4" cm="1">
        <f t="array" ref="AU108">IF(FALSE,"True," &amp; IF(_xlfn.XLOOKUP("Action_IsDenyOrDrop",'Scoring_Config'!$A:$A,'Scoring_Config'!$D:$D,"Yes")="Yes",_xlfn.XLOOKUP("Action_IsDenyOrDrop",'Scoring_Config'!$A:$A,'Scoring_Config'!$C:$C,0),0),"False,0")</f>
        <v>0</v>
      </c>
      <c r="AV108" s="4"/>
      <c r="AW108" s="4" cm="1">
        <f t="array" ref="AW108">IF(FALSE,"True," &amp; IF(_xlfn.XLOOKUP("Migrate_Insecure",'Scoring_Config'!$A:$A,'Scoring_Config'!$D:$D,"Yes")="Yes",_xlfn.XLOOKUP("Migrate_Insecure",'Scoring_Config'!$A:$A,'Scoring_Config'!$C:$C,15),0),"False,0")</f>
        <v>0</v>
      </c>
      <c r="AX108" s="4"/>
      <c r="AY108" s="4" cm="1">
        <f t="array" ref="AY108">IF(FALSE,"True," &amp; IF(_xlfn.XLOOKUP("Migrate_Other_Ports",'Scoring_Config'!$A:$A,'Scoring_Config'!$D:$D,"Yes")="Yes",_xlfn.XLOOKUP("Migrate_Other_Ports",'Scoring_Config'!$A:$A,'Scoring_Config'!$C:$C,5),0),"False,0")</f>
        <v>0</v>
      </c>
      <c r="AZ108" s="4" cm="1">
        <f t="array" ref="AZ108">IF(LEFT(AU108,4)="True",0,(IF(LEFT(AC108,4)="True",IF(_xlfn.XLOOKUP("Src_IsAny",'Scoring_Config'!$A:$A,'Scoring_Config'!$D:$D,"Yes")="Yes",_xlfn.XLOOKUP("Src_IsAny",'Scoring_Config'!$A:$A,'Scoring_Config'!$C:$C,25),0),0)+IF(LEFT(AD108,4)="True",IF(_xlfn.XLOOKUP("Src_CIDR_Le_16",'Scoring_Config'!$A:$A,'Scoring_Config'!$D:$D,"Yes")="Yes",_xlfn.XLOOKUP("Src_CIDR_Le_16",'Scoring_Config'!$A:$A,'Scoring_Config'!$C:$C,25),0),0)+IF(LEFT(AE108,4)="True",IF(_xlfn.XLOOKUP("Src_CIDR_17_22",'Scoring_Config'!$A:$A,'Scoring_Config'!$D:$D,"Yes")="Yes",_xlfn.XLOOKUP("Src_CIDR_17_22",'Scoring_Config'!$A:$A,'Scoring_Config'!$C:$C,15),0),0)+IF(LEFT(AF108,4)="True",IF(_xlfn.XLOOKUP("Dst_IsAny",'Scoring_Config'!$A:$A,'Scoring_Config'!$D:$D,"Yes")="Yes",_xlfn.XLOOKUP("Dst_IsAny",'Scoring_Config'!$A:$A,'Scoring_Config'!$C:$C,25),0),0)+IF(LEFT(AG108,4)="True",IF(_xlfn.XLOOKUP("Dst_CIDR_Le_16",'Scoring_Config'!$A:$A,'Scoring_Config'!$D:$D,"Yes")="Yes",_xlfn.XLOOKUP("Dst_CIDR_Le_16",'Scoring_Config'!$A:$A,'Scoring_Config'!$C:$C,25),0),0)+IF(LEFT(AH108,4)="True",IF(_xlfn.XLOOKUP("Dst_CIDR_17_22",'Scoring_Config'!$A:$A,'Scoring_Config'!$D:$D,"Yes")="Yes",_xlfn.XLOOKUP("Dst_CIDR_17_22",'Scoring_Config'!$A:$A,'Scoring_Config'!$C:$C,15),0),0)+IF(LEFT(AI108,4)="True",IF(_xlfn.XLOOKUP("SrcZone_IsAny",'Scoring_Config'!$A:$A,'Scoring_Config'!$D:$D,"Yes")="Yes",_xlfn.XLOOKUP("SrcZone_IsAny",'Scoring_Config'!$A:$A,'Scoring_Config'!$C:$C,5),0),0)+IF(LEFT(AJ108,4)="True",IF(_xlfn.XLOOKUP("DstZone_IsAny",'Scoring_Config'!$A:$A,'Scoring_Config'!$D:$D,"Yes")="Yes",_xlfn.XLOOKUP("DstZone_IsAny",'Scoring_Config'!$A:$A,'Scoring_Config'!$C:$C,5),0),0)+IF(LEFT(AK108,4)="True",IF(_xlfn.XLOOKUP("Service_Any_OR_RangeGt1000",'Scoring_Config'!$A:$A,'Scoring_Config'!$D:$D,"Yes")="Yes",_xlfn.XLOOKUP("Service_Any_OR_RangeGt1000",'Scoring_Config'!$A:$A,'Scoring_Config'!$C:$C,25),0),0)+IF(LEFT(AL108,4)="True",IF(_xlfn.XLOOKUP("App_Any_OR_RangeGt1000",'Scoring_Config'!$A:$A,'Scoring_Config'!$D:$D,"Yes")="Yes",_xlfn.XLOOKUP("App_Any_OR_RangeGt1000",'Scoring_Config'!$A:$A,'Scoring_Config'!$C:$C,25),0),0)+IF(LEFT(AM108,4)="True",IF(_xlfn.XLOOKUP("Service_Insecure_Match",'Scoring_Config'!$A:$A,'Scoring_Config'!$D:$D,"Yes")="Yes",_xlfn.XLOOKUP("Service_Insecure_Match",'Scoring_Config'!$A:$A,'Scoring_Config'!$C:$C,20),0),0)+IF(LEFT(AN108,4)="True",IF(_xlfn.XLOOKUP("Risky_Inbound",'Scoring_Config'!$A:$A,'Scoring_Config'!$D:$D,"Yes")="Yes",_xlfn.XLOOKUP("Risky_Inbound",'Scoring_Config'!$A:$A,'Scoring_Config'!$C:$C,20),0),0)+IF(LEFT(AO108,4)="True",IF(_xlfn.XLOOKUP("Risky_Outbound",'Scoring_Config'!$A:$A,'Scoring_Config'!$D:$D,"Yes")="Yes",_xlfn.XLOOKUP("Risky_Outbound",'Scoring_Config'!$A:$A,'Scoring_Config'!$C:$C,10),0),0)+IF(LEFT(AW108,4)="True",IF(_xlfn.XLOOKUP("Migrate_Insecure",'Scoring_Config'!$A:$A,'Scoring_Config'!$D:$D,"Yes")="Yes",_xlfn.XLOOKUP("Migrate_Insecure",'Scoring_Config'!$A:$A,'Scoring_Config'!$C:$C,15),0),0)+IF(LEFT(AY108,4)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108,FIND(",",AP108)+1,100)),0)+IF(LEFT(AQ108,4)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108,FIND(",",AR108)+1,100)),0)+IF(_xlfn.XLOOKUP("Profile_Scoring",'Scoring_Config'!$A:$A,'Scoring_Config'!$D:$D,"Yes")="Yes",VALUE(MID(AS108,FIND(",",AS108)+1,100)),0)+IF(_xlfn.XLOOKUP("Options_Scoring",'Scoring_Config'!$A:$A,'Scoring_Config'!$D:$D,"Yes")="Yes",VALUE(MID(AT108,FIND(",",AT108)+1,100)),0)))</f>
        <v>0</v>
      </c>
    </row>
    <row r="109" spans="1:52">
      <c r="A109" s="3" t="s">
        <v>52</v>
      </c>
      <c r="B109" s="3" t="s">
        <v>83</v>
      </c>
      <c r="C109" s="3" t="s">
        <v>329</v>
      </c>
      <c r="D109" s="3"/>
      <c r="E109" s="3" t="s">
        <v>359</v>
      </c>
      <c r="F109" s="3" t="s">
        <v>365</v>
      </c>
      <c r="G109" s="3" t="s">
        <v>401</v>
      </c>
      <c r="H109" s="3" t="s">
        <v>560</v>
      </c>
      <c r="I109" s="3" t="s">
        <v>365</v>
      </c>
      <c r="J109" s="3" t="s">
        <v>364</v>
      </c>
      <c r="K109" s="3" t="s">
        <v>654</v>
      </c>
      <c r="L109" s="3" t="s">
        <v>654</v>
      </c>
      <c r="M109" s="3" t="s">
        <v>774</v>
      </c>
      <c r="N109" s="3" t="s">
        <v>795</v>
      </c>
      <c r="O109" s="4" t="s">
        <v>832</v>
      </c>
      <c r="P109" s="3" t="s">
        <v>893</v>
      </c>
      <c r="Q109" s="3" t="s">
        <v>905</v>
      </c>
      <c r="R109" s="3" t="s">
        <v>911</v>
      </c>
      <c r="S109" s="3" t="s">
        <v>913</v>
      </c>
      <c r="T109" s="3" t="s">
        <v>989</v>
      </c>
      <c r="U109" s="3" t="s">
        <v>1205</v>
      </c>
      <c r="V109" s="3" t="s">
        <v>772</v>
      </c>
      <c r="W109" s="3" t="s">
        <v>1462</v>
      </c>
      <c r="X109" s="3" t="s">
        <v>1713</v>
      </c>
      <c r="Y109" s="3" t="s">
        <v>2182</v>
      </c>
      <c r="Z109" s="3"/>
      <c r="AA109" s="3"/>
      <c r="AB109" s="3"/>
      <c r="AC109" s="4" cm="1">
        <f t="array" ref="AC109">IF(FALSE,"True," &amp; IF(_xlfn.XLOOKUP("Src_IsAny",'Scoring_Config'!$A:$A,'Scoring_Config'!$D:$D,"Yes")="Yes",_xlfn.XLOOKUP("Src_IsAny",'Scoring_Config'!$A:$A,'Scoring_Config'!$C:$C,25),0),"False,0")</f>
        <v>0</v>
      </c>
      <c r="AD109" s="4" cm="1">
        <f t="array" ref="AD109">IF(FALSE,"True," &amp; IF(_xlfn.XLOOKUP("Src_CIDR_Le_16",'Scoring_Config'!$A:$A,'Scoring_Config'!$D:$D,"Yes")="Yes",_xlfn.XLOOKUP("Src_CIDR_Le_16",'Scoring_Config'!$A:$A,'Scoring_Config'!$C:$C,25),0),"False,0")</f>
        <v>0</v>
      </c>
      <c r="AE109" s="4" cm="1">
        <f t="array" ref="AE109">IF(FALSE,"True," &amp; IF(_xlfn.XLOOKUP("Src_CIDR_17_22",'Scoring_Config'!$A:$A,'Scoring_Config'!$D:$D,"Yes")="Yes",_xlfn.XLOOKUP("Src_CIDR_17_22",'Scoring_Config'!$A:$A,'Scoring_Config'!$C:$C,15),0),"False,0")</f>
        <v>0</v>
      </c>
      <c r="AF109" s="4" cm="1">
        <f t="array" ref="AF109">IF(FALSE,"True," &amp; IF(_xlfn.XLOOKUP("Dst_IsAny",'Scoring_Config'!$A:$A,'Scoring_Config'!$D:$D,"Yes")="Yes",_xlfn.XLOOKUP("Dst_IsAny",'Scoring_Config'!$A:$A,'Scoring_Config'!$C:$C,25),0),"False,0")</f>
        <v>0</v>
      </c>
      <c r="AG109" s="4" cm="1">
        <f t="array" ref="AG109">IF(FALSE,"True," &amp; IF(_xlfn.XLOOKUP("Dst_CIDR_Le_16",'Scoring_Config'!$A:$A,'Scoring_Config'!$D:$D,"Yes")="Yes",_xlfn.XLOOKUP("Dst_CIDR_Le_16",'Scoring_Config'!$A:$A,'Scoring_Config'!$C:$C,25),0),"False,0")</f>
        <v>0</v>
      </c>
      <c r="AH109" s="5" cm="1">
        <f t="array" ref="AH109">IF(TRUE,"True," &amp; IF(_xlfn.XLOOKUP("Dst_CIDR_17_22",'Scoring_Config'!$A:$A,'Scoring_Config'!$D:$D,"Yes")="Yes",_xlfn.XLOOKUP("Dst_CIDR_17_22",'Scoring_Config'!$A:$A,'Scoring_Config'!$C:$C,15),0),"False,0")</f>
        <v>0</v>
      </c>
      <c r="AI109" s="5" cm="1">
        <f t="array" ref="AI109">IF(TRUE,"True," &amp; IF(_xlfn.XLOOKUP("SrcZone_IsAny",'Scoring_Config'!$A:$A,'Scoring_Config'!$D:$D,"Yes")="Yes",_xlfn.XLOOKUP("SrcZone_IsAny",'Scoring_Config'!$A:$A,'Scoring_Config'!$C:$C,5),0),"False,0")</f>
        <v>0</v>
      </c>
      <c r="AJ109" s="4" cm="1">
        <f t="array" ref="AJ109">IF(FALSE,"True," &amp; IF(_xlfn.XLOOKUP("DstZone_IsAny",'Scoring_Config'!$A:$A,'Scoring_Config'!$D:$D,"Yes")="Yes",_xlfn.XLOOKUP("DstZone_IsAny",'Scoring_Config'!$A:$A,'Scoring_Config'!$C:$C,5),0),"False,0")</f>
        <v>0</v>
      </c>
      <c r="AK109" s="4" cm="1">
        <f t="array" ref="AK10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09" s="4" cm="1">
        <f t="array" ref="AL109">IF(FALSE,"True," &amp; IF(_xlfn.XLOOKUP("App_Any_OR_RangeGt1000",'Scoring_Config'!$A:$A,'Scoring_Config'!$D:$D,"Yes")="Yes",_xlfn.XLOOKUP("App_Any_OR_RangeGt1000",'Scoring_Config'!$A:$A,'Scoring_Config'!$C:$C,25),0),"False,0")</f>
        <v>0</v>
      </c>
      <c r="AM109" s="5" cm="1">
        <f t="array" ref="AM109">IF(TRUE,"True," &amp; IF(_xlfn.XLOOKUP("Service_Insecure_Match",'Scoring_Config'!$A:$A,'Scoring_Config'!$D:$D,"Yes")="Yes",_xlfn.XLOOKUP("Service_Insecure_Match",'Scoring_Config'!$A:$A,'Scoring_Config'!$C:$C,20),0),"False,0")</f>
        <v>0</v>
      </c>
      <c r="AN109" s="4" cm="1">
        <f t="array" ref="AN109">IF(FALSE,"True," &amp; IF(_xlfn.XLOOKUP("Risky_Inbound",'Scoring_Config'!$A:$A,'Scoring_Config'!$D:$D,"Yes")="Yes",_xlfn.XLOOKUP("Risky_Inbound",'Scoring_Config'!$A:$A,'Scoring_Config'!$C:$C,20),0),"False,0")</f>
        <v>0</v>
      </c>
      <c r="AO109" s="4" cm="1">
        <f t="array" ref="AO109">IF(FALSE,"True," &amp; IF(_xlfn.XLOOKUP("Risky_Outbound",'Scoring_Config'!$A:$A,'Scoring_Config'!$D:$D,"Yes")="Yes",_xlfn.XLOOKUP("Risky_Outbound",'Scoring_Config'!$A:$A,'Scoring_Config'!$C:$C,10),0),"False,0")</f>
        <v>0</v>
      </c>
      <c r="AP109" s="5" t="s">
        <v>2595</v>
      </c>
      <c r="AQ109" s="4" cm="1">
        <f t="array" ref="AQ10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09" s="4" t="s">
        <v>2592</v>
      </c>
      <c r="AS109" s="4" t="s">
        <v>2592</v>
      </c>
      <c r="AT109" s="4" t="s">
        <v>2592</v>
      </c>
      <c r="AU109" s="4" cm="1">
        <f t="array" ref="AU109">IF(FALSE,"True," &amp; IF(_xlfn.XLOOKUP("Action_IsDenyOrDrop",'Scoring_Config'!$A:$A,'Scoring_Config'!$D:$D,"Yes")="Yes",_xlfn.XLOOKUP("Action_IsDenyOrDrop",'Scoring_Config'!$A:$A,'Scoring_Config'!$C:$C,0),0),"False,0")</f>
        <v>0</v>
      </c>
      <c r="AV109" s="4"/>
      <c r="AW109" s="4" cm="1">
        <f t="array" ref="AW109">IF(FALSE,"True," &amp; IF(_xlfn.XLOOKUP("Migrate_Insecure",'Scoring_Config'!$A:$A,'Scoring_Config'!$D:$D,"Yes")="Yes",_xlfn.XLOOKUP("Migrate_Insecure",'Scoring_Config'!$A:$A,'Scoring_Config'!$C:$C,15),0),"False,0")</f>
        <v>0</v>
      </c>
      <c r="AX109" s="4"/>
      <c r="AY109" s="4" cm="1">
        <f t="array" ref="AY109">IF(FALSE,"True," &amp; IF(_xlfn.XLOOKUP("Migrate_Other_Ports",'Scoring_Config'!$A:$A,'Scoring_Config'!$D:$D,"Yes")="Yes",_xlfn.XLOOKUP("Migrate_Other_Ports",'Scoring_Config'!$A:$A,'Scoring_Config'!$C:$C,5),0),"False,0")</f>
        <v>0</v>
      </c>
      <c r="AZ109" s="4" cm="1">
        <f t="array" ref="AZ109">IF(LEFT(AU109,4)="True",0,(IF(LEFT(AC109,4)="True",IF(_xlfn.XLOOKUP("Src_IsAny",'Scoring_Config'!$A:$A,'Scoring_Config'!$D:$D,"Yes")="Yes",_xlfn.XLOOKUP("Src_IsAny",'Scoring_Config'!$A:$A,'Scoring_Config'!$C:$C,25),0),0)+IF(LEFT(AD109,4)="True",IF(_xlfn.XLOOKUP("Src_CIDR_Le_16",'Scoring_Config'!$A:$A,'Scoring_Config'!$D:$D,"Yes")="Yes",_xlfn.XLOOKUP("Src_CIDR_Le_16",'Scoring_Config'!$A:$A,'Scoring_Config'!$C:$C,25),0),0)+IF(LEFT(AE109,4)="True",IF(_xlfn.XLOOKUP("Src_CIDR_17_22",'Scoring_Config'!$A:$A,'Scoring_Config'!$D:$D,"Yes")="Yes",_xlfn.XLOOKUP("Src_CIDR_17_22",'Scoring_Config'!$A:$A,'Scoring_Config'!$C:$C,15),0),0)+IF(LEFT(AF109,4)="True",IF(_xlfn.XLOOKUP("Dst_IsAny",'Scoring_Config'!$A:$A,'Scoring_Config'!$D:$D,"Yes")="Yes",_xlfn.XLOOKUP("Dst_IsAny",'Scoring_Config'!$A:$A,'Scoring_Config'!$C:$C,25),0),0)+IF(LEFT(AG109,4)="True",IF(_xlfn.XLOOKUP("Dst_CIDR_Le_16",'Scoring_Config'!$A:$A,'Scoring_Config'!$D:$D,"Yes")="Yes",_xlfn.XLOOKUP("Dst_CIDR_Le_16",'Scoring_Config'!$A:$A,'Scoring_Config'!$C:$C,25),0),0)+IF(LEFT(AH109,4)="True",IF(_xlfn.XLOOKUP("Dst_CIDR_17_22",'Scoring_Config'!$A:$A,'Scoring_Config'!$D:$D,"Yes")="Yes",_xlfn.XLOOKUP("Dst_CIDR_17_22",'Scoring_Config'!$A:$A,'Scoring_Config'!$C:$C,15),0),0)+IF(LEFT(AI109,4)="True",IF(_xlfn.XLOOKUP("SrcZone_IsAny",'Scoring_Config'!$A:$A,'Scoring_Config'!$D:$D,"Yes")="Yes",_xlfn.XLOOKUP("SrcZone_IsAny",'Scoring_Config'!$A:$A,'Scoring_Config'!$C:$C,5),0),0)+IF(LEFT(AJ109,4)="True",IF(_xlfn.XLOOKUP("DstZone_IsAny",'Scoring_Config'!$A:$A,'Scoring_Config'!$D:$D,"Yes")="Yes",_xlfn.XLOOKUP("DstZone_IsAny",'Scoring_Config'!$A:$A,'Scoring_Config'!$C:$C,5),0),0)+IF(LEFT(AK109,4)="True",IF(_xlfn.XLOOKUP("Service_Any_OR_RangeGt1000",'Scoring_Config'!$A:$A,'Scoring_Config'!$D:$D,"Yes")="Yes",_xlfn.XLOOKUP("Service_Any_OR_RangeGt1000",'Scoring_Config'!$A:$A,'Scoring_Config'!$C:$C,25),0),0)+IF(LEFT(AL109,4)="True",IF(_xlfn.XLOOKUP("App_Any_OR_RangeGt1000",'Scoring_Config'!$A:$A,'Scoring_Config'!$D:$D,"Yes")="Yes",_xlfn.XLOOKUP("App_Any_OR_RangeGt1000",'Scoring_Config'!$A:$A,'Scoring_Config'!$C:$C,25),0),0)+IF(LEFT(AM109,4)="True",IF(_xlfn.XLOOKUP("Service_Insecure_Match",'Scoring_Config'!$A:$A,'Scoring_Config'!$D:$D,"Yes")="Yes",_xlfn.XLOOKUP("Service_Insecure_Match",'Scoring_Config'!$A:$A,'Scoring_Config'!$C:$C,20),0),0)+IF(LEFT(AN109,4)="True",IF(_xlfn.XLOOKUP("Risky_Inbound",'Scoring_Config'!$A:$A,'Scoring_Config'!$D:$D,"Yes")="Yes",_xlfn.XLOOKUP("Risky_Inbound",'Scoring_Config'!$A:$A,'Scoring_Config'!$C:$C,20),0),0)+IF(LEFT(AO109,4)="True",IF(_xlfn.XLOOKUP("Risky_Outbound",'Scoring_Config'!$A:$A,'Scoring_Config'!$D:$D,"Yes")="Yes",_xlfn.XLOOKUP("Risky_Outbound",'Scoring_Config'!$A:$A,'Scoring_Config'!$C:$C,10),0),0)+IF(LEFT(AW109,4)="True",IF(_xlfn.XLOOKUP("Migrate_Insecure",'Scoring_Config'!$A:$A,'Scoring_Config'!$D:$D,"Yes")="Yes",_xlfn.XLOOKUP("Migrate_Insecure",'Scoring_Config'!$A:$A,'Scoring_Config'!$C:$C,15),0),0)+IF(LEFT(AY109,4)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109,FIND(",",AP109)+1,100)),0)+IF(LEFT(AQ109,4)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109,FIND(",",AR109)+1,100)),0)+IF(_xlfn.XLOOKUP("Profile_Scoring",'Scoring_Config'!$A:$A,'Scoring_Config'!$D:$D,"Yes")="Yes",VALUE(MID(AS109,FIND(",",AS109)+1,100)),0)+IF(_xlfn.XLOOKUP("Options_Scoring",'Scoring_Config'!$A:$A,'Scoring_Config'!$D:$D,"Yes")="Yes",VALUE(MID(AT109,FIND(",",AT109)+1,100)),0)))</f>
        <v>0</v>
      </c>
    </row>
    <row r="110" spans="1:52">
      <c r="A110" s="3" t="s">
        <v>52</v>
      </c>
      <c r="B110" s="3" t="s">
        <v>143</v>
      </c>
      <c r="C110" s="3" t="s">
        <v>329</v>
      </c>
      <c r="D110" s="3"/>
      <c r="E110" s="3" t="s">
        <v>359</v>
      </c>
      <c r="F110" s="3" t="s">
        <v>364</v>
      </c>
      <c r="G110" s="3" t="s">
        <v>374</v>
      </c>
      <c r="H110" s="3" t="s">
        <v>543</v>
      </c>
      <c r="I110" s="3" t="s">
        <v>624</v>
      </c>
      <c r="J110" s="3" t="s">
        <v>360</v>
      </c>
      <c r="K110" s="3" t="s">
        <v>655</v>
      </c>
      <c r="L110" s="3" t="s">
        <v>655</v>
      </c>
      <c r="M110" s="3" t="s">
        <v>365</v>
      </c>
      <c r="N110" s="3" t="s">
        <v>365</v>
      </c>
      <c r="O110" s="4" t="s">
        <v>831</v>
      </c>
      <c r="P110" s="3" t="s">
        <v>892</v>
      </c>
      <c r="Q110" s="3" t="s">
        <v>905</v>
      </c>
      <c r="R110" s="3" t="s">
        <v>909</v>
      </c>
      <c r="S110" s="3" t="s">
        <v>912</v>
      </c>
      <c r="T110" s="3" t="s">
        <v>990</v>
      </c>
      <c r="U110" s="3" t="s">
        <v>1206</v>
      </c>
      <c r="V110" s="3" t="s">
        <v>772</v>
      </c>
      <c r="W110" s="3" t="s">
        <v>1041</v>
      </c>
      <c r="X110" s="3" t="s">
        <v>1714</v>
      </c>
      <c r="Y110" s="3" t="s">
        <v>2183</v>
      </c>
      <c r="Z110" s="3"/>
      <c r="AA110" s="3"/>
      <c r="AB110" s="3"/>
      <c r="AC110" s="4" cm="1">
        <f t="array" ref="AC110">IF(FALSE,"True," &amp; IF(_xlfn.XLOOKUP("Src_IsAny",'Scoring_Config'!$A:$A,'Scoring_Config'!$D:$D,"Yes")="Yes",_xlfn.XLOOKUP("Src_IsAny",'Scoring_Config'!$A:$A,'Scoring_Config'!$C:$C,25),0),"False,0")</f>
        <v>0</v>
      </c>
      <c r="AD110" s="4" cm="1">
        <f t="array" ref="AD110">IF(FALSE,"True," &amp; IF(_xlfn.XLOOKUP("Src_CIDR_Le_16",'Scoring_Config'!$A:$A,'Scoring_Config'!$D:$D,"Yes")="Yes",_xlfn.XLOOKUP("Src_CIDR_Le_16",'Scoring_Config'!$A:$A,'Scoring_Config'!$C:$C,25),0),"False,0")</f>
        <v>0</v>
      </c>
      <c r="AE110" s="4" cm="1">
        <f t="array" ref="AE110">IF(FALSE,"True," &amp; IF(_xlfn.XLOOKUP("Src_CIDR_17_22",'Scoring_Config'!$A:$A,'Scoring_Config'!$D:$D,"Yes")="Yes",_xlfn.XLOOKUP("Src_CIDR_17_22",'Scoring_Config'!$A:$A,'Scoring_Config'!$C:$C,15),0),"False,0")</f>
        <v>0</v>
      </c>
      <c r="AF110" s="4" cm="1">
        <f t="array" ref="AF110">IF(FALSE,"True," &amp; IF(_xlfn.XLOOKUP("Dst_IsAny",'Scoring_Config'!$A:$A,'Scoring_Config'!$D:$D,"Yes")="Yes",_xlfn.XLOOKUP("Dst_IsAny",'Scoring_Config'!$A:$A,'Scoring_Config'!$C:$C,25),0),"False,0")</f>
        <v>0</v>
      </c>
      <c r="AG110" s="4" cm="1">
        <f t="array" ref="AG110">IF(FALSE,"True," &amp; IF(_xlfn.XLOOKUP("Dst_CIDR_Le_16",'Scoring_Config'!$A:$A,'Scoring_Config'!$D:$D,"Yes")="Yes",_xlfn.XLOOKUP("Dst_CIDR_Le_16",'Scoring_Config'!$A:$A,'Scoring_Config'!$C:$C,25),0),"False,0")</f>
        <v>0</v>
      </c>
      <c r="AH110" s="5" cm="1">
        <f t="array" ref="AH110">IF(TRUE,"True," &amp; IF(_xlfn.XLOOKUP("Dst_CIDR_17_22",'Scoring_Config'!$A:$A,'Scoring_Config'!$D:$D,"Yes")="Yes",_xlfn.XLOOKUP("Dst_CIDR_17_22",'Scoring_Config'!$A:$A,'Scoring_Config'!$C:$C,15),0),"False,0")</f>
        <v>0</v>
      </c>
      <c r="AI110" s="4" cm="1">
        <f t="array" ref="AI110">IF(FALSE,"True," &amp; IF(_xlfn.XLOOKUP("SrcZone_IsAny",'Scoring_Config'!$A:$A,'Scoring_Config'!$D:$D,"Yes")="Yes",_xlfn.XLOOKUP("SrcZone_IsAny",'Scoring_Config'!$A:$A,'Scoring_Config'!$C:$C,5),0),"False,0")</f>
        <v>0</v>
      </c>
      <c r="AJ110" s="4" cm="1">
        <f t="array" ref="AJ110">IF(FALSE,"True," &amp; IF(_xlfn.XLOOKUP("DstZone_IsAny",'Scoring_Config'!$A:$A,'Scoring_Config'!$D:$D,"Yes")="Yes",_xlfn.XLOOKUP("DstZone_IsAny",'Scoring_Config'!$A:$A,'Scoring_Config'!$C:$C,5),0),"False,0")</f>
        <v>0</v>
      </c>
      <c r="AK110" s="4" cm="1">
        <f t="array" ref="AK11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0" s="5" cm="1">
        <f t="array" ref="AL110">IF(TRUE,"True," &amp; IF(_xlfn.XLOOKUP("App_Any_OR_RangeGt1000",'Scoring_Config'!$A:$A,'Scoring_Config'!$D:$D,"Yes")="Yes",_xlfn.XLOOKUP("App_Any_OR_RangeGt1000",'Scoring_Config'!$A:$A,'Scoring_Config'!$C:$C,25),0),"False,0")</f>
        <v>0</v>
      </c>
      <c r="AM110" s="5" cm="1">
        <f t="array" ref="AM110">IF(TRUE,"True," &amp; IF(_xlfn.XLOOKUP("Service_Insecure_Match",'Scoring_Config'!$A:$A,'Scoring_Config'!$D:$D,"Yes")="Yes",_xlfn.XLOOKUP("Service_Insecure_Match",'Scoring_Config'!$A:$A,'Scoring_Config'!$C:$C,20),0),"False,0")</f>
        <v>0</v>
      </c>
      <c r="AN110" s="4" cm="1">
        <f t="array" ref="AN110">IF(FALSE,"True," &amp; IF(_xlfn.XLOOKUP("Risky_Inbound",'Scoring_Config'!$A:$A,'Scoring_Config'!$D:$D,"Yes")="Yes",_xlfn.XLOOKUP("Risky_Inbound",'Scoring_Config'!$A:$A,'Scoring_Config'!$C:$C,20),0),"False,0")</f>
        <v>0</v>
      </c>
      <c r="AO110" s="4" cm="1">
        <f t="array" ref="AO110">IF(FALSE,"True," &amp; IF(_xlfn.XLOOKUP("Risky_Outbound",'Scoring_Config'!$A:$A,'Scoring_Config'!$D:$D,"Yes")="Yes",_xlfn.XLOOKUP("Risky_Outbound",'Scoring_Config'!$A:$A,'Scoring_Config'!$C:$C,10),0),"False,0")</f>
        <v>0</v>
      </c>
      <c r="AP110" s="5" t="s">
        <v>2595</v>
      </c>
      <c r="AQ110" s="4" cm="1">
        <f t="array" ref="AQ11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0" s="5" t="s">
        <v>2598</v>
      </c>
      <c r="AS110" s="4" t="s">
        <v>2592</v>
      </c>
      <c r="AT110" s="4" t="s">
        <v>2592</v>
      </c>
      <c r="AU110" s="4" cm="1">
        <f t="array" ref="AU110">IF(FALSE,"True," &amp; IF(_xlfn.XLOOKUP("Action_IsDenyOrDrop",'Scoring_Config'!$A:$A,'Scoring_Config'!$D:$D,"Yes")="Yes",_xlfn.XLOOKUP("Action_IsDenyOrDrop",'Scoring_Config'!$A:$A,'Scoring_Config'!$C:$C,0),0),"False,0")</f>
        <v>0</v>
      </c>
      <c r="AV110" s="4"/>
      <c r="AW110" s="4" cm="1">
        <f t="array" ref="AW110">IF(FALSE,"True," &amp; IF(_xlfn.XLOOKUP("Migrate_Insecure",'Scoring_Config'!$A:$A,'Scoring_Config'!$D:$D,"Yes")="Yes",_xlfn.XLOOKUP("Migrate_Insecure",'Scoring_Config'!$A:$A,'Scoring_Config'!$C:$C,15),0),"False,0")</f>
        <v>0</v>
      </c>
      <c r="AX110" s="4"/>
      <c r="AY110" s="4" cm="1">
        <f t="array" ref="AY110">IF(FALSE,"True," &amp; IF(_xlfn.XLOOKUP("Migrate_Other_Ports",'Scoring_Config'!$A:$A,'Scoring_Config'!$D:$D,"Yes")="Yes",_xlfn.XLOOKUP("Migrate_Other_Ports",'Scoring_Config'!$A:$A,'Scoring_Config'!$C:$C,5),0),"False,0")</f>
        <v>0</v>
      </c>
      <c r="AZ110" s="4" cm="1">
        <f t="array" ref="AZ110">IF(LEFT(AU110,4)="True",0,(IF(LEFT(AC110,4)="True",IF(_xlfn.XLOOKUP("Src_IsAny",'Scoring_Config'!$A:$A,'Scoring_Config'!$D:$D,"Yes")="Yes",_xlfn.XLOOKUP("Src_IsAny",'Scoring_Config'!$A:$A,'Scoring_Config'!$C:$C,25),0),0)+IF(LEFT(AD110,4)="True",IF(_xlfn.XLOOKUP("Src_CIDR_Le_16",'Scoring_Config'!$A:$A,'Scoring_Config'!$D:$D,"Yes")="Yes",_xlfn.XLOOKUP("Src_CIDR_Le_16",'Scoring_Config'!$A:$A,'Scoring_Config'!$C:$C,25),0),0)+IF(LEFT(AE110,4)="True",IF(_xlfn.XLOOKUP("Src_CIDR_17_22",'Scoring_Config'!$A:$A,'Scoring_Config'!$D:$D,"Yes")="Yes",_xlfn.XLOOKUP("Src_CIDR_17_22",'Scoring_Config'!$A:$A,'Scoring_Config'!$C:$C,15),0),0)+IF(LEFT(AF110,4)="True",IF(_xlfn.XLOOKUP("Dst_IsAny",'Scoring_Config'!$A:$A,'Scoring_Config'!$D:$D,"Yes")="Yes",_xlfn.XLOOKUP("Dst_IsAny",'Scoring_Config'!$A:$A,'Scoring_Config'!$C:$C,25),0),0)+IF(LEFT(AG110,4)="True",IF(_xlfn.XLOOKUP("Dst_CIDR_Le_16",'Scoring_Config'!$A:$A,'Scoring_Config'!$D:$D,"Yes")="Yes",_xlfn.XLOOKUP("Dst_CIDR_Le_16",'Scoring_Config'!$A:$A,'Scoring_Config'!$C:$C,25),0),0)+IF(LEFT(AH110,4)="True",IF(_xlfn.XLOOKUP("Dst_CIDR_17_22",'Scoring_Config'!$A:$A,'Scoring_Config'!$D:$D,"Yes")="Yes",_xlfn.XLOOKUP("Dst_CIDR_17_22",'Scoring_Config'!$A:$A,'Scoring_Config'!$C:$C,15),0),0)+IF(LEFT(AI110,4)="True",IF(_xlfn.XLOOKUP("SrcZone_IsAny",'Scoring_Config'!$A:$A,'Scoring_Config'!$D:$D,"Yes")="Yes",_xlfn.XLOOKUP("SrcZone_IsAny",'Scoring_Config'!$A:$A,'Scoring_Config'!$C:$C,5),0),0)+IF(LEFT(AJ110,4)="True",IF(_xlfn.XLOOKUP("DstZone_IsAny",'Scoring_Config'!$A:$A,'Scoring_Config'!$D:$D,"Yes")="Yes",_xlfn.XLOOKUP("DstZone_IsAny",'Scoring_Config'!$A:$A,'Scoring_Config'!$C:$C,5),0),0)+IF(LEFT(AK110,4)="True",IF(_xlfn.XLOOKUP("Service_Any_OR_RangeGt1000",'Scoring_Config'!$A:$A,'Scoring_Config'!$D:$D,"Yes")="Yes",_xlfn.XLOOKUP("Service_Any_OR_RangeGt1000",'Scoring_Config'!$A:$A,'Scoring_Config'!$C:$C,25),0),0)+IF(LEFT(AL110,4)="True",IF(_xlfn.XLOOKUP("App_Any_OR_RangeGt1000",'Scoring_Config'!$A:$A,'Scoring_Config'!$D:$D,"Yes")="Yes",_xlfn.XLOOKUP("App_Any_OR_RangeGt1000",'Scoring_Config'!$A:$A,'Scoring_Config'!$C:$C,25),0),0)+IF(LEFT(AM110,4)="True",IF(_xlfn.XLOOKUP("Service_Insecure_Match",'Scoring_Config'!$A:$A,'Scoring_Config'!$D:$D,"Yes")="Yes",_xlfn.XLOOKUP("Service_Insecure_Match",'Scoring_Config'!$A:$A,'Scoring_Config'!$C:$C,20),0),0)+IF(LEFT(AN110,4)="True",IF(_xlfn.XLOOKUP("Risky_Inbound",'Scoring_Config'!$A:$A,'Scoring_Config'!$D:$D,"Yes")="Yes",_xlfn.XLOOKUP("Risky_Inbound",'Scoring_Config'!$A:$A,'Scoring_Config'!$C:$C,20),0),0)+IF(LEFT(AO110,4)="True",IF(_xlfn.XLOOKUP("Risky_Outbound",'Scoring_Config'!$A:$A,'Scoring_Config'!$D:$D,"Yes")="Yes",_xlfn.XLOOKUP("Risky_Outbound",'Scoring_Config'!$A:$A,'Scoring_Config'!$C:$C,10),0),0)+IF(LEFT(AW110,4)="True",IF(_xlfn.XLOOKUP("Migrate_Insecure",'Scoring_Config'!$A:$A,'Scoring_Config'!$D:$D,"Yes")="Yes",_xlfn.XLOOKUP("Migrate_Insecure",'Scoring_Config'!$A:$A,'Scoring_Config'!$C:$C,15),0),0)+IF(LEFT(AY110,4)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110,FIND(",",AP110)+1,100)),0)+IF(LEFT(AQ110,4)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110,FIND(",",AR110)+1,100)),0)+IF(_xlfn.XLOOKUP("Profile_Scoring",'Scoring_Config'!$A:$A,'Scoring_Config'!$D:$D,"Yes")="Yes",VALUE(MID(AS110,FIND(",",AS110)+1,100)),0)+IF(_xlfn.XLOOKUP("Options_Scoring",'Scoring_Config'!$A:$A,'Scoring_Config'!$D:$D,"Yes")="Yes",VALUE(MID(AT110,FIND(",",AT110)+1,100)),0)))</f>
        <v>0</v>
      </c>
    </row>
    <row r="111" spans="1:52">
      <c r="A111" s="3" t="s">
        <v>52</v>
      </c>
      <c r="B111" s="3" t="s">
        <v>128</v>
      </c>
      <c r="C111" s="3" t="s">
        <v>329</v>
      </c>
      <c r="D111" s="3"/>
      <c r="E111" s="3" t="s">
        <v>359</v>
      </c>
      <c r="F111" s="3" t="s">
        <v>360</v>
      </c>
      <c r="G111" s="3" t="s">
        <v>373</v>
      </c>
      <c r="H111" s="3" t="s">
        <v>542</v>
      </c>
      <c r="I111" s="3" t="s">
        <v>365</v>
      </c>
      <c r="J111" s="3" t="s">
        <v>364</v>
      </c>
      <c r="K111" s="3" t="s">
        <v>656</v>
      </c>
      <c r="L111" s="3" t="s">
        <v>656</v>
      </c>
      <c r="M111" s="3" t="s">
        <v>770</v>
      </c>
      <c r="N111" s="3" t="s">
        <v>770</v>
      </c>
      <c r="O111" s="4" t="s">
        <v>823</v>
      </c>
      <c r="P111" s="3" t="s">
        <v>884</v>
      </c>
      <c r="Q111" s="3" t="s">
        <v>905</v>
      </c>
      <c r="R111" s="3" t="s">
        <v>907</v>
      </c>
      <c r="S111" s="3" t="s">
        <v>907</v>
      </c>
      <c r="T111" s="3" t="s">
        <v>919</v>
      </c>
      <c r="U111" s="3" t="s">
        <v>1145</v>
      </c>
      <c r="V111" s="3" t="s">
        <v>789</v>
      </c>
      <c r="W111" s="3" t="s">
        <v>1463</v>
      </c>
      <c r="X111" s="3" t="s">
        <v>1715</v>
      </c>
      <c r="Y111" s="3" t="s">
        <v>2184</v>
      </c>
      <c r="Z111" s="3"/>
      <c r="AA111" s="3"/>
      <c r="AB111" s="3"/>
      <c r="AC111" s="4" cm="1">
        <f t="array" ref="AC111">IF(FALSE,"True," &amp; IF(_xlfn.XLOOKUP("Src_IsAny",'Scoring_Config'!$A:$A,'Scoring_Config'!$D:$D,"Yes")="Yes",_xlfn.XLOOKUP("Src_IsAny",'Scoring_Config'!$A:$A,'Scoring_Config'!$C:$C,25),0),"False,0")</f>
        <v>0</v>
      </c>
      <c r="AD111" s="4" cm="1">
        <f t="array" ref="AD111">IF(FALSE,"True," &amp; IF(_xlfn.XLOOKUP("Src_CIDR_Le_16",'Scoring_Config'!$A:$A,'Scoring_Config'!$D:$D,"Yes")="Yes",_xlfn.XLOOKUP("Src_CIDR_Le_16",'Scoring_Config'!$A:$A,'Scoring_Config'!$C:$C,25),0),"False,0")</f>
        <v>0</v>
      </c>
      <c r="AE111" s="4" cm="1">
        <f t="array" ref="AE111">IF(FALSE,"True," &amp; IF(_xlfn.XLOOKUP("Src_CIDR_17_22",'Scoring_Config'!$A:$A,'Scoring_Config'!$D:$D,"Yes")="Yes",_xlfn.XLOOKUP("Src_CIDR_17_22",'Scoring_Config'!$A:$A,'Scoring_Config'!$C:$C,15),0),"False,0")</f>
        <v>0</v>
      </c>
      <c r="AF111" s="4" cm="1">
        <f t="array" ref="AF111">IF(FALSE,"True," &amp; IF(_xlfn.XLOOKUP("Dst_IsAny",'Scoring_Config'!$A:$A,'Scoring_Config'!$D:$D,"Yes")="Yes",_xlfn.XLOOKUP("Dst_IsAny",'Scoring_Config'!$A:$A,'Scoring_Config'!$C:$C,25),0),"False,0")</f>
        <v>0</v>
      </c>
      <c r="AG111" s="4" cm="1">
        <f t="array" ref="AG111">IF(FALSE,"True," &amp; IF(_xlfn.XLOOKUP("Dst_CIDR_Le_16",'Scoring_Config'!$A:$A,'Scoring_Config'!$D:$D,"Yes")="Yes",_xlfn.XLOOKUP("Dst_CIDR_Le_16",'Scoring_Config'!$A:$A,'Scoring_Config'!$C:$C,25),0),"False,0")</f>
        <v>0</v>
      </c>
      <c r="AH111" s="5" cm="1">
        <f t="array" ref="AH111">IF(TRUE,"True," &amp; IF(_xlfn.XLOOKUP("Dst_CIDR_17_22",'Scoring_Config'!$A:$A,'Scoring_Config'!$D:$D,"Yes")="Yes",_xlfn.XLOOKUP("Dst_CIDR_17_22",'Scoring_Config'!$A:$A,'Scoring_Config'!$C:$C,15),0),"False,0")</f>
        <v>0</v>
      </c>
      <c r="AI111" s="4" cm="1">
        <f t="array" ref="AI111">IF(FALSE,"True," &amp; IF(_xlfn.XLOOKUP("SrcZone_IsAny",'Scoring_Config'!$A:$A,'Scoring_Config'!$D:$D,"Yes")="Yes",_xlfn.XLOOKUP("SrcZone_IsAny",'Scoring_Config'!$A:$A,'Scoring_Config'!$C:$C,5),0),"False,0")</f>
        <v>0</v>
      </c>
      <c r="AJ111" s="4" cm="1">
        <f t="array" ref="AJ111">IF(FALSE,"True," &amp; IF(_xlfn.XLOOKUP("DstZone_IsAny",'Scoring_Config'!$A:$A,'Scoring_Config'!$D:$D,"Yes")="Yes",_xlfn.XLOOKUP("DstZone_IsAny",'Scoring_Config'!$A:$A,'Scoring_Config'!$C:$C,5),0),"False,0")</f>
        <v>0</v>
      </c>
      <c r="AK111" s="4" cm="1">
        <f t="array" ref="AK11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1" s="4" cm="1">
        <f t="array" ref="AL111">IF(FALSE,"True," &amp; IF(_xlfn.XLOOKUP("App_Any_OR_RangeGt1000",'Scoring_Config'!$A:$A,'Scoring_Config'!$D:$D,"Yes")="Yes",_xlfn.XLOOKUP("App_Any_OR_RangeGt1000",'Scoring_Config'!$A:$A,'Scoring_Config'!$C:$C,25),0),"False,0")</f>
        <v>0</v>
      </c>
      <c r="AM111" s="5" cm="1">
        <f t="array" ref="AM111">IF(TRUE,"True," &amp; IF(_xlfn.XLOOKUP("Service_Insecure_Match",'Scoring_Config'!$A:$A,'Scoring_Config'!$D:$D,"Yes")="Yes",_xlfn.XLOOKUP("Service_Insecure_Match",'Scoring_Config'!$A:$A,'Scoring_Config'!$C:$C,20),0),"False,0")</f>
        <v>0</v>
      </c>
      <c r="AN111" s="4" cm="1">
        <f t="array" ref="AN111">IF(FALSE,"True," &amp; IF(_xlfn.XLOOKUP("Risky_Inbound",'Scoring_Config'!$A:$A,'Scoring_Config'!$D:$D,"Yes")="Yes",_xlfn.XLOOKUP("Risky_Inbound",'Scoring_Config'!$A:$A,'Scoring_Config'!$C:$C,20),0),"False,0")</f>
        <v>0</v>
      </c>
      <c r="AO111" s="4" cm="1">
        <f t="array" ref="AO111">IF(FALSE,"True," &amp; IF(_xlfn.XLOOKUP("Risky_Outbound",'Scoring_Config'!$A:$A,'Scoring_Config'!$D:$D,"Yes")="Yes",_xlfn.XLOOKUP("Risky_Outbound",'Scoring_Config'!$A:$A,'Scoring_Config'!$C:$C,10),0),"False,0")</f>
        <v>0</v>
      </c>
      <c r="AP111" s="5" t="s">
        <v>2595</v>
      </c>
      <c r="AQ111" s="5" cm="1">
        <f t="array" ref="AQ11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1" s="4" t="s">
        <v>2592</v>
      </c>
      <c r="AS111" s="5" t="s">
        <v>2595</v>
      </c>
      <c r="AT111" s="5" t="s">
        <v>2595</v>
      </c>
      <c r="AU111" s="4" cm="1">
        <f t="array" ref="AU111">IF(FALSE,"True," &amp; IF(_xlfn.XLOOKUP("Action_IsDenyOrDrop",'Scoring_Config'!$A:$A,'Scoring_Config'!$D:$D,"Yes")="Yes",_xlfn.XLOOKUP("Action_IsDenyOrDrop",'Scoring_Config'!$A:$A,'Scoring_Config'!$C:$C,0),0),"False,0")</f>
        <v>0</v>
      </c>
      <c r="AV111" s="4"/>
      <c r="AW111" s="4" cm="1">
        <f t="array" ref="AW111">IF(FALSE,"True," &amp; IF(_xlfn.XLOOKUP("Migrate_Insecure",'Scoring_Config'!$A:$A,'Scoring_Config'!$D:$D,"Yes")="Yes",_xlfn.XLOOKUP("Migrate_Insecure",'Scoring_Config'!$A:$A,'Scoring_Config'!$C:$C,15),0),"False,0")</f>
        <v>0</v>
      </c>
      <c r="AX111" s="4"/>
      <c r="AY111" s="4" cm="1">
        <f t="array" ref="AY111">IF(FALSE,"True," &amp; IF(_xlfn.XLOOKUP("Migrate_Other_Ports",'Scoring_Config'!$A:$A,'Scoring_Config'!$D:$D,"Yes")="Yes",_xlfn.XLOOKUP("Migrate_Other_Ports",'Scoring_Config'!$A:$A,'Scoring_Config'!$C:$C,5),0),"False,0")</f>
        <v>0</v>
      </c>
      <c r="AZ111" s="4" cm="1">
        <f t="array" ref="AZ111">IF(LEFT(AU111,4)="True",0,(IF(LEFT(AC111,4)="True",IF(_xlfn.XLOOKUP("Src_IsAny",'Scoring_Config'!$A:$A,'Scoring_Config'!$D:$D,"Yes")="Yes",_xlfn.XLOOKUP("Src_IsAny",'Scoring_Config'!$A:$A,'Scoring_Config'!$C:$C,25),0),0)+IF(LEFT(AD111,4)="True",IF(_xlfn.XLOOKUP("Src_CIDR_Le_16",'Scoring_Config'!$A:$A,'Scoring_Config'!$D:$D,"Yes")="Yes",_xlfn.XLOOKUP("Src_CIDR_Le_16",'Scoring_Config'!$A:$A,'Scoring_Config'!$C:$C,25),0),0)+IF(LEFT(AE111,4)="True",IF(_xlfn.XLOOKUP("Src_CIDR_17_22",'Scoring_Config'!$A:$A,'Scoring_Config'!$D:$D,"Yes")="Yes",_xlfn.XLOOKUP("Src_CIDR_17_22",'Scoring_Config'!$A:$A,'Scoring_Config'!$C:$C,15),0),0)+IF(LEFT(AF111,4)="True",IF(_xlfn.XLOOKUP("Dst_IsAny",'Scoring_Config'!$A:$A,'Scoring_Config'!$D:$D,"Yes")="Yes",_xlfn.XLOOKUP("Dst_IsAny",'Scoring_Config'!$A:$A,'Scoring_Config'!$C:$C,25),0),0)+IF(LEFT(AG111,4)="True",IF(_xlfn.XLOOKUP("Dst_CIDR_Le_16",'Scoring_Config'!$A:$A,'Scoring_Config'!$D:$D,"Yes")="Yes",_xlfn.XLOOKUP("Dst_CIDR_Le_16",'Scoring_Config'!$A:$A,'Scoring_Config'!$C:$C,25),0),0)+IF(LEFT(AH111,4)="True",IF(_xlfn.XLOOKUP("Dst_CIDR_17_22",'Scoring_Config'!$A:$A,'Scoring_Config'!$D:$D,"Yes")="Yes",_xlfn.XLOOKUP("Dst_CIDR_17_22",'Scoring_Config'!$A:$A,'Scoring_Config'!$C:$C,15),0),0)+IF(LEFT(AI111,4)="True",IF(_xlfn.XLOOKUP("SrcZone_IsAny",'Scoring_Config'!$A:$A,'Scoring_Config'!$D:$D,"Yes")="Yes",_xlfn.XLOOKUP("SrcZone_IsAny",'Scoring_Config'!$A:$A,'Scoring_Config'!$C:$C,5),0),0)+IF(LEFT(AJ111,4)="True",IF(_xlfn.XLOOKUP("DstZone_IsAny",'Scoring_Config'!$A:$A,'Scoring_Config'!$D:$D,"Yes")="Yes",_xlfn.XLOOKUP("DstZone_IsAny",'Scoring_Config'!$A:$A,'Scoring_Config'!$C:$C,5),0),0)+IF(LEFT(AK111,4)="True",IF(_xlfn.XLOOKUP("Service_Any_OR_RangeGt1000",'Scoring_Config'!$A:$A,'Scoring_Config'!$D:$D,"Yes")="Yes",_xlfn.XLOOKUP("Service_Any_OR_RangeGt1000",'Scoring_Config'!$A:$A,'Scoring_Config'!$C:$C,25),0),0)+IF(LEFT(AL111,4)="True",IF(_xlfn.XLOOKUP("App_Any_OR_RangeGt1000",'Scoring_Config'!$A:$A,'Scoring_Config'!$D:$D,"Yes")="Yes",_xlfn.XLOOKUP("App_Any_OR_RangeGt1000",'Scoring_Config'!$A:$A,'Scoring_Config'!$C:$C,25),0),0)+IF(LEFT(AM111,4)="True",IF(_xlfn.XLOOKUP("Service_Insecure_Match",'Scoring_Config'!$A:$A,'Scoring_Config'!$D:$D,"Yes")="Yes",_xlfn.XLOOKUP("Service_Insecure_Match",'Scoring_Config'!$A:$A,'Scoring_Config'!$C:$C,20),0),0)+IF(LEFT(AN111,4)="True",IF(_xlfn.XLOOKUP("Risky_Inbound",'Scoring_Config'!$A:$A,'Scoring_Config'!$D:$D,"Yes")="Yes",_xlfn.XLOOKUP("Risky_Inbound",'Scoring_Config'!$A:$A,'Scoring_Config'!$C:$C,20),0),0)+IF(LEFT(AO111,4)="True",IF(_xlfn.XLOOKUP("Risky_Outbound",'Scoring_Config'!$A:$A,'Scoring_Config'!$D:$D,"Yes")="Yes",_xlfn.XLOOKUP("Risky_Outbound",'Scoring_Config'!$A:$A,'Scoring_Config'!$C:$C,10),0),0)+IF(LEFT(AW111,4)="True",IF(_xlfn.XLOOKUP("Migrate_Insecure",'Scoring_Config'!$A:$A,'Scoring_Config'!$D:$D,"Yes")="Yes",_xlfn.XLOOKUP("Migrate_Insecure",'Scoring_Config'!$A:$A,'Scoring_Config'!$C:$C,15),0),0)+IF(LEFT(AY111,4)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111,FIND(",",AP111)+1,100)),0)+IF(LEFT(AQ111,4)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111,FIND(",",AR111)+1,100)),0)+IF(_xlfn.XLOOKUP("Profile_Scoring",'Scoring_Config'!$A:$A,'Scoring_Config'!$D:$D,"Yes")="Yes",VALUE(MID(AS111,FIND(",",AS111)+1,100)),0)+IF(_xlfn.XLOOKUP("Options_Scoring",'Scoring_Config'!$A:$A,'Scoring_Config'!$D:$D,"Yes")="Yes",VALUE(MID(AT111,FIND(",",AT111)+1,100)),0)))</f>
        <v>0</v>
      </c>
    </row>
    <row r="112" spans="1:52">
      <c r="A112" s="3" t="s">
        <v>52</v>
      </c>
      <c r="B112" s="3" t="s">
        <v>144</v>
      </c>
      <c r="C112" s="3" t="s">
        <v>329</v>
      </c>
      <c r="D112" s="3"/>
      <c r="E112" s="3" t="s">
        <v>359</v>
      </c>
      <c r="F112" s="3" t="s">
        <v>361</v>
      </c>
      <c r="G112" s="3" t="s">
        <v>365</v>
      </c>
      <c r="H112" s="3" t="s">
        <v>365</v>
      </c>
      <c r="I112" s="3" t="s">
        <v>624</v>
      </c>
      <c r="J112" s="3" t="s">
        <v>360</v>
      </c>
      <c r="K112" s="3" t="s">
        <v>657</v>
      </c>
      <c r="L112" s="3" t="s">
        <v>657</v>
      </c>
      <c r="M112" s="3" t="s">
        <v>771</v>
      </c>
      <c r="N112" s="3" t="s">
        <v>793</v>
      </c>
      <c r="O112" s="4" t="s">
        <v>807</v>
      </c>
      <c r="P112" s="3" t="s">
        <v>868</v>
      </c>
      <c r="Q112" s="3" t="s">
        <v>905</v>
      </c>
      <c r="R112" s="3" t="s">
        <v>907</v>
      </c>
      <c r="S112" s="3" t="s">
        <v>916</v>
      </c>
      <c r="T112" s="3" t="s">
        <v>991</v>
      </c>
      <c r="U112" s="3" t="s">
        <v>1145</v>
      </c>
      <c r="V112" s="3" t="s">
        <v>1389</v>
      </c>
      <c r="W112" s="3" t="s">
        <v>1454</v>
      </c>
      <c r="X112" s="3" t="s">
        <v>1716</v>
      </c>
      <c r="Y112" s="3" t="s">
        <v>2185</v>
      </c>
      <c r="Z112" s="3"/>
      <c r="AA112" s="3"/>
      <c r="AB112" s="3"/>
      <c r="AC112" s="5" cm="1">
        <f t="array" ref="AC112">IF(TRUE,"True," &amp; IF(_xlfn.XLOOKUP("Src_IsAny",'Scoring_Config'!$A:$A,'Scoring_Config'!$D:$D,"Yes")="Yes",_xlfn.XLOOKUP("Src_IsAny",'Scoring_Config'!$A:$A,'Scoring_Config'!$C:$C,25),0),"False,0")</f>
        <v>0</v>
      </c>
      <c r="AD112" s="4" cm="1">
        <f t="array" ref="AD112">IF(FALSE,"True," &amp; IF(_xlfn.XLOOKUP("Src_CIDR_Le_16",'Scoring_Config'!$A:$A,'Scoring_Config'!$D:$D,"Yes")="Yes",_xlfn.XLOOKUP("Src_CIDR_Le_16",'Scoring_Config'!$A:$A,'Scoring_Config'!$C:$C,25),0),"False,0")</f>
        <v>0</v>
      </c>
      <c r="AE112" s="4" cm="1">
        <f t="array" ref="AE112">IF(FALSE,"True," &amp; IF(_xlfn.XLOOKUP("Src_CIDR_17_22",'Scoring_Config'!$A:$A,'Scoring_Config'!$D:$D,"Yes")="Yes",_xlfn.XLOOKUP("Src_CIDR_17_22",'Scoring_Config'!$A:$A,'Scoring_Config'!$C:$C,15),0),"False,0")</f>
        <v>0</v>
      </c>
      <c r="AF112" s="4" cm="1">
        <f t="array" ref="AF112">IF(FALSE,"True," &amp; IF(_xlfn.XLOOKUP("Dst_IsAny",'Scoring_Config'!$A:$A,'Scoring_Config'!$D:$D,"Yes")="Yes",_xlfn.XLOOKUP("Dst_IsAny",'Scoring_Config'!$A:$A,'Scoring_Config'!$C:$C,25),0),"False,0")</f>
        <v>0</v>
      </c>
      <c r="AG112" s="4" cm="1">
        <f t="array" ref="AG112">IF(FALSE,"True," &amp; IF(_xlfn.XLOOKUP("Dst_CIDR_Le_16",'Scoring_Config'!$A:$A,'Scoring_Config'!$D:$D,"Yes")="Yes",_xlfn.XLOOKUP("Dst_CIDR_Le_16",'Scoring_Config'!$A:$A,'Scoring_Config'!$C:$C,25),0),"False,0")</f>
        <v>0</v>
      </c>
      <c r="AH112" s="5" cm="1">
        <f t="array" ref="AH112">IF(TRUE,"True," &amp; IF(_xlfn.XLOOKUP("Dst_CIDR_17_22",'Scoring_Config'!$A:$A,'Scoring_Config'!$D:$D,"Yes")="Yes",_xlfn.XLOOKUP("Dst_CIDR_17_22",'Scoring_Config'!$A:$A,'Scoring_Config'!$C:$C,15),0),"False,0")</f>
        <v>0</v>
      </c>
      <c r="AI112" s="4" cm="1">
        <f t="array" ref="AI112">IF(FALSE,"True," &amp; IF(_xlfn.XLOOKUP("SrcZone_IsAny",'Scoring_Config'!$A:$A,'Scoring_Config'!$D:$D,"Yes")="Yes",_xlfn.XLOOKUP("SrcZone_IsAny",'Scoring_Config'!$A:$A,'Scoring_Config'!$C:$C,5),0),"False,0")</f>
        <v>0</v>
      </c>
      <c r="AJ112" s="4" cm="1">
        <f t="array" ref="AJ112">IF(FALSE,"True," &amp; IF(_xlfn.XLOOKUP("DstZone_IsAny",'Scoring_Config'!$A:$A,'Scoring_Config'!$D:$D,"Yes")="Yes",_xlfn.XLOOKUP("DstZone_IsAny",'Scoring_Config'!$A:$A,'Scoring_Config'!$C:$C,5),0),"False,0")</f>
        <v>0</v>
      </c>
      <c r="AK112" s="4" cm="1">
        <f t="array" ref="AK11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2" s="4" cm="1">
        <f t="array" ref="AL112">IF(FALSE,"True," &amp; IF(_xlfn.XLOOKUP("App_Any_OR_RangeGt1000",'Scoring_Config'!$A:$A,'Scoring_Config'!$D:$D,"Yes")="Yes",_xlfn.XLOOKUP("App_Any_OR_RangeGt1000",'Scoring_Config'!$A:$A,'Scoring_Config'!$C:$C,25),0),"False,0")</f>
        <v>0</v>
      </c>
      <c r="AM112" s="5" cm="1">
        <f t="array" ref="AM112">IF(TRUE,"True," &amp; IF(_xlfn.XLOOKUP("Service_Insecure_Match",'Scoring_Config'!$A:$A,'Scoring_Config'!$D:$D,"Yes")="Yes",_xlfn.XLOOKUP("Service_Insecure_Match",'Scoring_Config'!$A:$A,'Scoring_Config'!$C:$C,20),0),"False,0")</f>
        <v>0</v>
      </c>
      <c r="AN112" s="4" cm="1">
        <f t="array" ref="AN112">IF(FALSE,"True," &amp; IF(_xlfn.XLOOKUP("Risky_Inbound",'Scoring_Config'!$A:$A,'Scoring_Config'!$D:$D,"Yes")="Yes",_xlfn.XLOOKUP("Risky_Inbound",'Scoring_Config'!$A:$A,'Scoring_Config'!$C:$C,20),0),"False,0")</f>
        <v>0</v>
      </c>
      <c r="AO112" s="4" cm="1">
        <f t="array" ref="AO112">IF(FALSE,"True," &amp; IF(_xlfn.XLOOKUP("Risky_Outbound",'Scoring_Config'!$A:$A,'Scoring_Config'!$D:$D,"Yes")="Yes",_xlfn.XLOOKUP("Risky_Outbound",'Scoring_Config'!$A:$A,'Scoring_Config'!$C:$C,10),0),"False,0")</f>
        <v>0</v>
      </c>
      <c r="AP112" s="5" t="s">
        <v>2595</v>
      </c>
      <c r="AQ112" s="5" cm="1">
        <f t="array" ref="AQ11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2" s="5" t="s">
        <v>2598</v>
      </c>
      <c r="AS112" s="5" t="s">
        <v>2595</v>
      </c>
      <c r="AT112" s="4" t="s">
        <v>2592</v>
      </c>
      <c r="AU112" s="4" cm="1">
        <f t="array" ref="AU112">IF(FALSE,"True," &amp; IF(_xlfn.XLOOKUP("Action_IsDenyOrDrop",'Scoring_Config'!$A:$A,'Scoring_Config'!$D:$D,"Yes")="Yes",_xlfn.XLOOKUP("Action_IsDenyOrDrop",'Scoring_Config'!$A:$A,'Scoring_Config'!$C:$C,0),0),"False,0")</f>
        <v>0</v>
      </c>
      <c r="AV112" s="4"/>
      <c r="AW112" s="4" cm="1">
        <f t="array" ref="AW112">IF(FALSE,"True," &amp; IF(_xlfn.XLOOKUP("Migrate_Insecure",'Scoring_Config'!$A:$A,'Scoring_Config'!$D:$D,"Yes")="Yes",_xlfn.XLOOKUP("Migrate_Insecure",'Scoring_Config'!$A:$A,'Scoring_Config'!$C:$C,15),0),"False,0")</f>
        <v>0</v>
      </c>
      <c r="AX112" s="4"/>
      <c r="AY112" s="4" cm="1">
        <f t="array" ref="AY112">IF(FALSE,"True," &amp; IF(_xlfn.XLOOKUP("Migrate_Other_Ports",'Scoring_Config'!$A:$A,'Scoring_Config'!$D:$D,"Yes")="Yes",_xlfn.XLOOKUP("Migrate_Other_Ports",'Scoring_Config'!$A:$A,'Scoring_Config'!$C:$C,5),0),"False,0")</f>
        <v>0</v>
      </c>
      <c r="AZ112" s="4" cm="1">
        <f t="array" ref="AZ112">IF(LEFT(AU112,4)="True",0,(IF(LEFT(AC112,4)="True",IF(_xlfn.XLOOKUP("Src_IsAny",'Scoring_Config'!$A:$A,'Scoring_Config'!$D:$D,"Yes")="Yes",_xlfn.XLOOKUP("Src_IsAny",'Scoring_Config'!$A:$A,'Scoring_Config'!$C:$C,25),0),0)+IF(LEFT(AD112,4)="True",IF(_xlfn.XLOOKUP("Src_CIDR_Le_16",'Scoring_Config'!$A:$A,'Scoring_Config'!$D:$D,"Yes")="Yes",_xlfn.XLOOKUP("Src_CIDR_Le_16",'Scoring_Config'!$A:$A,'Scoring_Config'!$C:$C,25),0),0)+IF(LEFT(AE112,4)="True",IF(_xlfn.XLOOKUP("Src_CIDR_17_22",'Scoring_Config'!$A:$A,'Scoring_Config'!$D:$D,"Yes")="Yes",_xlfn.XLOOKUP("Src_CIDR_17_22",'Scoring_Config'!$A:$A,'Scoring_Config'!$C:$C,15),0),0)+IF(LEFT(AF112,4)="True",IF(_xlfn.XLOOKUP("Dst_IsAny",'Scoring_Config'!$A:$A,'Scoring_Config'!$D:$D,"Yes")="Yes",_xlfn.XLOOKUP("Dst_IsAny",'Scoring_Config'!$A:$A,'Scoring_Config'!$C:$C,25),0),0)+IF(LEFT(AG112,4)="True",IF(_xlfn.XLOOKUP("Dst_CIDR_Le_16",'Scoring_Config'!$A:$A,'Scoring_Config'!$D:$D,"Yes")="Yes",_xlfn.XLOOKUP("Dst_CIDR_Le_16",'Scoring_Config'!$A:$A,'Scoring_Config'!$C:$C,25),0),0)+IF(LEFT(AH112,4)="True",IF(_xlfn.XLOOKUP("Dst_CIDR_17_22",'Scoring_Config'!$A:$A,'Scoring_Config'!$D:$D,"Yes")="Yes",_xlfn.XLOOKUP("Dst_CIDR_17_22",'Scoring_Config'!$A:$A,'Scoring_Config'!$C:$C,15),0),0)+IF(LEFT(AI112,4)="True",IF(_xlfn.XLOOKUP("SrcZone_IsAny",'Scoring_Config'!$A:$A,'Scoring_Config'!$D:$D,"Yes")="Yes",_xlfn.XLOOKUP("SrcZone_IsAny",'Scoring_Config'!$A:$A,'Scoring_Config'!$C:$C,5),0),0)+IF(LEFT(AJ112,4)="True",IF(_xlfn.XLOOKUP("DstZone_IsAny",'Scoring_Config'!$A:$A,'Scoring_Config'!$D:$D,"Yes")="Yes",_xlfn.XLOOKUP("DstZone_IsAny",'Scoring_Config'!$A:$A,'Scoring_Config'!$C:$C,5),0),0)+IF(LEFT(AK112,4)="True",IF(_xlfn.XLOOKUP("Service_Any_OR_RangeGt1000",'Scoring_Config'!$A:$A,'Scoring_Config'!$D:$D,"Yes")="Yes",_xlfn.XLOOKUP("Service_Any_OR_RangeGt1000",'Scoring_Config'!$A:$A,'Scoring_Config'!$C:$C,25),0),0)+IF(LEFT(AL112,4)="True",IF(_xlfn.XLOOKUP("App_Any_OR_RangeGt1000",'Scoring_Config'!$A:$A,'Scoring_Config'!$D:$D,"Yes")="Yes",_xlfn.XLOOKUP("App_Any_OR_RangeGt1000",'Scoring_Config'!$A:$A,'Scoring_Config'!$C:$C,25),0),0)+IF(LEFT(AM112,4)="True",IF(_xlfn.XLOOKUP("Service_Insecure_Match",'Scoring_Config'!$A:$A,'Scoring_Config'!$D:$D,"Yes")="Yes",_xlfn.XLOOKUP("Service_Insecure_Match",'Scoring_Config'!$A:$A,'Scoring_Config'!$C:$C,20),0),0)+IF(LEFT(AN112,4)="True",IF(_xlfn.XLOOKUP("Risky_Inbound",'Scoring_Config'!$A:$A,'Scoring_Config'!$D:$D,"Yes")="Yes",_xlfn.XLOOKUP("Risky_Inbound",'Scoring_Config'!$A:$A,'Scoring_Config'!$C:$C,20),0),0)+IF(LEFT(AO112,4)="True",IF(_xlfn.XLOOKUP("Risky_Outbound",'Scoring_Config'!$A:$A,'Scoring_Config'!$D:$D,"Yes")="Yes",_xlfn.XLOOKUP("Risky_Outbound",'Scoring_Config'!$A:$A,'Scoring_Config'!$C:$C,10),0),0)+IF(LEFT(AW112,4)="True",IF(_xlfn.XLOOKUP("Migrate_Insecure",'Scoring_Config'!$A:$A,'Scoring_Config'!$D:$D,"Yes")="Yes",_xlfn.XLOOKUP("Migrate_Insecure",'Scoring_Config'!$A:$A,'Scoring_Config'!$C:$C,15),0),0)+IF(LEFT(AY112,4)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112,FIND(",",AP112)+1,100)),0)+IF(LEFT(AQ112,4)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112,FIND(",",AR112)+1,100)),0)+IF(_xlfn.XLOOKUP("Profile_Scoring",'Scoring_Config'!$A:$A,'Scoring_Config'!$D:$D,"Yes")="Yes",VALUE(MID(AS112,FIND(",",AS112)+1,100)),0)+IF(_xlfn.XLOOKUP("Options_Scoring",'Scoring_Config'!$A:$A,'Scoring_Config'!$D:$D,"Yes")="Yes",VALUE(MID(AT112,FIND(",",AT112)+1,100)),0)))</f>
        <v>0</v>
      </c>
    </row>
    <row r="113" spans="1:52">
      <c r="A113" s="3" t="s">
        <v>52</v>
      </c>
      <c r="B113" s="3" t="s">
        <v>131</v>
      </c>
      <c r="C113" s="3" t="s">
        <v>329</v>
      </c>
      <c r="D113" s="3"/>
      <c r="E113" s="3" t="s">
        <v>359</v>
      </c>
      <c r="F113" s="3" t="s">
        <v>361</v>
      </c>
      <c r="G113" s="3" t="s">
        <v>401</v>
      </c>
      <c r="H113" s="3" t="s">
        <v>560</v>
      </c>
      <c r="I113" s="3" t="s">
        <v>622</v>
      </c>
      <c r="J113" s="3" t="s">
        <v>362</v>
      </c>
      <c r="K113" s="3" t="s">
        <v>658</v>
      </c>
      <c r="L113" s="3" t="s">
        <v>658</v>
      </c>
      <c r="M113" s="3" t="s">
        <v>772</v>
      </c>
      <c r="N113" s="3" t="s">
        <v>794</v>
      </c>
      <c r="O113" s="4" t="s">
        <v>829</v>
      </c>
      <c r="P113" s="3" t="s">
        <v>890</v>
      </c>
      <c r="Q113" s="3" t="s">
        <v>905</v>
      </c>
      <c r="R113" s="3" t="s">
        <v>909</v>
      </c>
      <c r="S113" s="3" t="s">
        <v>907</v>
      </c>
      <c r="T113" s="3" t="s">
        <v>992</v>
      </c>
      <c r="U113" s="3" t="s">
        <v>1147</v>
      </c>
      <c r="V113" s="3" t="s">
        <v>789</v>
      </c>
      <c r="W113" s="3" t="s">
        <v>1092</v>
      </c>
      <c r="X113" s="3" t="s">
        <v>1717</v>
      </c>
      <c r="Y113" s="3" t="s">
        <v>2186</v>
      </c>
      <c r="Z113" s="3"/>
      <c r="AA113" s="3"/>
      <c r="AB113" s="3"/>
      <c r="AC113" s="4" cm="1">
        <f t="array" ref="AC113">IF(FALSE,"True," &amp; IF(_xlfn.XLOOKUP("Src_IsAny",'Scoring_Config'!$A:$A,'Scoring_Config'!$D:$D,"Yes")="Yes",_xlfn.XLOOKUP("Src_IsAny",'Scoring_Config'!$A:$A,'Scoring_Config'!$C:$C,25),0),"False,0")</f>
        <v>0</v>
      </c>
      <c r="AD113" s="4" cm="1">
        <f t="array" ref="AD113">IF(FALSE,"True," &amp; IF(_xlfn.XLOOKUP("Src_CIDR_Le_16",'Scoring_Config'!$A:$A,'Scoring_Config'!$D:$D,"Yes")="Yes",_xlfn.XLOOKUP("Src_CIDR_Le_16",'Scoring_Config'!$A:$A,'Scoring_Config'!$C:$C,25),0),"False,0")</f>
        <v>0</v>
      </c>
      <c r="AE113" s="4" cm="1">
        <f t="array" ref="AE113">IF(FALSE,"True," &amp; IF(_xlfn.XLOOKUP("Src_CIDR_17_22",'Scoring_Config'!$A:$A,'Scoring_Config'!$D:$D,"Yes")="Yes",_xlfn.XLOOKUP("Src_CIDR_17_22",'Scoring_Config'!$A:$A,'Scoring_Config'!$C:$C,15),0),"False,0")</f>
        <v>0</v>
      </c>
      <c r="AF113" s="4" cm="1">
        <f t="array" ref="AF113">IF(FALSE,"True," &amp; IF(_xlfn.XLOOKUP("Dst_IsAny",'Scoring_Config'!$A:$A,'Scoring_Config'!$D:$D,"Yes")="Yes",_xlfn.XLOOKUP("Dst_IsAny",'Scoring_Config'!$A:$A,'Scoring_Config'!$C:$C,25),0),"False,0")</f>
        <v>0</v>
      </c>
      <c r="AG113" s="4" cm="1">
        <f t="array" ref="AG113">IF(FALSE,"True," &amp; IF(_xlfn.XLOOKUP("Dst_CIDR_Le_16",'Scoring_Config'!$A:$A,'Scoring_Config'!$D:$D,"Yes")="Yes",_xlfn.XLOOKUP("Dst_CIDR_Le_16",'Scoring_Config'!$A:$A,'Scoring_Config'!$C:$C,25),0),"False,0")</f>
        <v>0</v>
      </c>
      <c r="AH113" s="5" cm="1">
        <f t="array" ref="AH113">IF(TRUE,"True," &amp; IF(_xlfn.XLOOKUP("Dst_CIDR_17_22",'Scoring_Config'!$A:$A,'Scoring_Config'!$D:$D,"Yes")="Yes",_xlfn.XLOOKUP("Dst_CIDR_17_22",'Scoring_Config'!$A:$A,'Scoring_Config'!$C:$C,15),0),"False,0")</f>
        <v>0</v>
      </c>
      <c r="AI113" s="4" cm="1">
        <f t="array" ref="AI113">IF(FALSE,"True," &amp; IF(_xlfn.XLOOKUP("SrcZone_IsAny",'Scoring_Config'!$A:$A,'Scoring_Config'!$D:$D,"Yes")="Yes",_xlfn.XLOOKUP("SrcZone_IsAny",'Scoring_Config'!$A:$A,'Scoring_Config'!$C:$C,5),0),"False,0")</f>
        <v>0</v>
      </c>
      <c r="AJ113" s="4" cm="1">
        <f t="array" ref="AJ113">IF(FALSE,"True," &amp; IF(_xlfn.XLOOKUP("DstZone_IsAny",'Scoring_Config'!$A:$A,'Scoring_Config'!$D:$D,"Yes")="Yes",_xlfn.XLOOKUP("DstZone_IsAny",'Scoring_Config'!$A:$A,'Scoring_Config'!$C:$C,5),0),"False,0")</f>
        <v>0</v>
      </c>
      <c r="AK113" s="4" cm="1">
        <f t="array" ref="AK11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3" s="4" cm="1">
        <f t="array" ref="AL113">IF(FALSE,"True," &amp; IF(_xlfn.XLOOKUP("App_Any_OR_RangeGt1000",'Scoring_Config'!$A:$A,'Scoring_Config'!$D:$D,"Yes")="Yes",_xlfn.XLOOKUP("App_Any_OR_RangeGt1000",'Scoring_Config'!$A:$A,'Scoring_Config'!$C:$C,25),0),"False,0")</f>
        <v>0</v>
      </c>
      <c r="AM113" s="5" cm="1">
        <f t="array" ref="AM113">IF(TRUE,"True," &amp; IF(_xlfn.XLOOKUP("Service_Insecure_Match",'Scoring_Config'!$A:$A,'Scoring_Config'!$D:$D,"Yes")="Yes",_xlfn.XLOOKUP("Service_Insecure_Match",'Scoring_Config'!$A:$A,'Scoring_Config'!$C:$C,20),0),"False,0")</f>
        <v>0</v>
      </c>
      <c r="AN113" s="4" cm="1">
        <f t="array" ref="AN113">IF(FALSE,"True," &amp; IF(_xlfn.XLOOKUP("Risky_Inbound",'Scoring_Config'!$A:$A,'Scoring_Config'!$D:$D,"Yes")="Yes",_xlfn.XLOOKUP("Risky_Inbound",'Scoring_Config'!$A:$A,'Scoring_Config'!$C:$C,20),0),"False,0")</f>
        <v>0</v>
      </c>
      <c r="AO113" s="4" cm="1">
        <f t="array" ref="AO113">IF(FALSE,"True," &amp; IF(_xlfn.XLOOKUP("Risky_Outbound",'Scoring_Config'!$A:$A,'Scoring_Config'!$D:$D,"Yes")="Yes",_xlfn.XLOOKUP("Risky_Outbound",'Scoring_Config'!$A:$A,'Scoring_Config'!$C:$C,10),0),"False,0")</f>
        <v>0</v>
      </c>
      <c r="AP113" s="5" t="s">
        <v>2595</v>
      </c>
      <c r="AQ113" s="5" cm="1">
        <f t="array" ref="AQ11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3" s="5" t="s">
        <v>2598</v>
      </c>
      <c r="AS113" s="4" t="s">
        <v>2592</v>
      </c>
      <c r="AT113" s="5" t="s">
        <v>2595</v>
      </c>
      <c r="AU113" s="4" cm="1">
        <f t="array" ref="AU113">IF(FALSE,"True," &amp; IF(_xlfn.XLOOKUP("Action_IsDenyOrDrop",'Scoring_Config'!$A:$A,'Scoring_Config'!$D:$D,"Yes")="Yes",_xlfn.XLOOKUP("Action_IsDenyOrDrop",'Scoring_Config'!$A:$A,'Scoring_Config'!$C:$C,0),0),"False,0")</f>
        <v>0</v>
      </c>
      <c r="AV113" s="4"/>
      <c r="AW113" s="4" cm="1">
        <f t="array" ref="AW113">IF(FALSE,"True," &amp; IF(_xlfn.XLOOKUP("Migrate_Insecure",'Scoring_Config'!$A:$A,'Scoring_Config'!$D:$D,"Yes")="Yes",_xlfn.XLOOKUP("Migrate_Insecure",'Scoring_Config'!$A:$A,'Scoring_Config'!$C:$C,15),0),"False,0")</f>
        <v>0</v>
      </c>
      <c r="AX113" s="4"/>
      <c r="AY113" s="4" cm="1">
        <f t="array" ref="AY113">IF(FALSE,"True," &amp; IF(_xlfn.XLOOKUP("Migrate_Other_Ports",'Scoring_Config'!$A:$A,'Scoring_Config'!$D:$D,"Yes")="Yes",_xlfn.XLOOKUP("Migrate_Other_Ports",'Scoring_Config'!$A:$A,'Scoring_Config'!$C:$C,5),0),"False,0")</f>
        <v>0</v>
      </c>
      <c r="AZ113" s="4" cm="1">
        <f t="array" ref="AZ113">IF(LEFT(AU113,4)="True",0,(IF(LEFT(AC113,4)="True",IF(_xlfn.XLOOKUP("Src_IsAny",'Scoring_Config'!$A:$A,'Scoring_Config'!$D:$D,"Yes")="Yes",_xlfn.XLOOKUP("Src_IsAny",'Scoring_Config'!$A:$A,'Scoring_Config'!$C:$C,25),0),0)+IF(LEFT(AD113,4)="True",IF(_xlfn.XLOOKUP("Src_CIDR_Le_16",'Scoring_Config'!$A:$A,'Scoring_Config'!$D:$D,"Yes")="Yes",_xlfn.XLOOKUP("Src_CIDR_Le_16",'Scoring_Config'!$A:$A,'Scoring_Config'!$C:$C,25),0),0)+IF(LEFT(AE113,4)="True",IF(_xlfn.XLOOKUP("Src_CIDR_17_22",'Scoring_Config'!$A:$A,'Scoring_Config'!$D:$D,"Yes")="Yes",_xlfn.XLOOKUP("Src_CIDR_17_22",'Scoring_Config'!$A:$A,'Scoring_Config'!$C:$C,15),0),0)+IF(LEFT(AF113,4)="True",IF(_xlfn.XLOOKUP("Dst_IsAny",'Scoring_Config'!$A:$A,'Scoring_Config'!$D:$D,"Yes")="Yes",_xlfn.XLOOKUP("Dst_IsAny",'Scoring_Config'!$A:$A,'Scoring_Config'!$C:$C,25),0),0)+IF(LEFT(AG113,4)="True",IF(_xlfn.XLOOKUP("Dst_CIDR_Le_16",'Scoring_Config'!$A:$A,'Scoring_Config'!$D:$D,"Yes")="Yes",_xlfn.XLOOKUP("Dst_CIDR_Le_16",'Scoring_Config'!$A:$A,'Scoring_Config'!$C:$C,25),0),0)+IF(LEFT(AH113,4)="True",IF(_xlfn.XLOOKUP("Dst_CIDR_17_22",'Scoring_Config'!$A:$A,'Scoring_Config'!$D:$D,"Yes")="Yes",_xlfn.XLOOKUP("Dst_CIDR_17_22",'Scoring_Config'!$A:$A,'Scoring_Config'!$C:$C,15),0),0)+IF(LEFT(AI113,4)="True",IF(_xlfn.XLOOKUP("SrcZone_IsAny",'Scoring_Config'!$A:$A,'Scoring_Config'!$D:$D,"Yes")="Yes",_xlfn.XLOOKUP("SrcZone_IsAny",'Scoring_Config'!$A:$A,'Scoring_Config'!$C:$C,5),0),0)+IF(LEFT(AJ113,4)="True",IF(_xlfn.XLOOKUP("DstZone_IsAny",'Scoring_Config'!$A:$A,'Scoring_Config'!$D:$D,"Yes")="Yes",_xlfn.XLOOKUP("DstZone_IsAny",'Scoring_Config'!$A:$A,'Scoring_Config'!$C:$C,5),0),0)+IF(LEFT(AK113,4)="True",IF(_xlfn.XLOOKUP("Service_Any_OR_RangeGt1000",'Scoring_Config'!$A:$A,'Scoring_Config'!$D:$D,"Yes")="Yes",_xlfn.XLOOKUP("Service_Any_OR_RangeGt1000",'Scoring_Config'!$A:$A,'Scoring_Config'!$C:$C,25),0),0)+IF(LEFT(AL113,4)="True",IF(_xlfn.XLOOKUP("App_Any_OR_RangeGt1000",'Scoring_Config'!$A:$A,'Scoring_Config'!$D:$D,"Yes")="Yes",_xlfn.XLOOKUP("App_Any_OR_RangeGt1000",'Scoring_Config'!$A:$A,'Scoring_Config'!$C:$C,25),0),0)+IF(LEFT(AM113,4)="True",IF(_xlfn.XLOOKUP("Service_Insecure_Match",'Scoring_Config'!$A:$A,'Scoring_Config'!$D:$D,"Yes")="Yes",_xlfn.XLOOKUP("Service_Insecure_Match",'Scoring_Config'!$A:$A,'Scoring_Config'!$C:$C,20),0),0)+IF(LEFT(AN113,4)="True",IF(_xlfn.XLOOKUP("Risky_Inbound",'Scoring_Config'!$A:$A,'Scoring_Config'!$D:$D,"Yes")="Yes",_xlfn.XLOOKUP("Risky_Inbound",'Scoring_Config'!$A:$A,'Scoring_Config'!$C:$C,20),0),0)+IF(LEFT(AO113,4)="True",IF(_xlfn.XLOOKUP("Risky_Outbound",'Scoring_Config'!$A:$A,'Scoring_Config'!$D:$D,"Yes")="Yes",_xlfn.XLOOKUP("Risky_Outbound",'Scoring_Config'!$A:$A,'Scoring_Config'!$C:$C,10),0),0)+IF(LEFT(AW113,4)="True",IF(_xlfn.XLOOKUP("Migrate_Insecure",'Scoring_Config'!$A:$A,'Scoring_Config'!$D:$D,"Yes")="Yes",_xlfn.XLOOKUP("Migrate_Insecure",'Scoring_Config'!$A:$A,'Scoring_Config'!$C:$C,15),0),0)+IF(LEFT(AY113,4)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113,FIND(",",AP113)+1,100)),0)+IF(LEFT(AQ113,4)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113,FIND(",",AR113)+1,100)),0)+IF(_xlfn.XLOOKUP("Profile_Scoring",'Scoring_Config'!$A:$A,'Scoring_Config'!$D:$D,"Yes")="Yes",VALUE(MID(AS113,FIND(",",AS113)+1,100)),0)+IF(_xlfn.XLOOKUP("Options_Scoring",'Scoring_Config'!$A:$A,'Scoring_Config'!$D:$D,"Yes")="Yes",VALUE(MID(AT113,FIND(",",AT113)+1,100)),0)))</f>
        <v>0</v>
      </c>
    </row>
    <row r="114" spans="1:52">
      <c r="A114" s="3" t="s">
        <v>52</v>
      </c>
      <c r="B114" s="3" t="s">
        <v>145</v>
      </c>
      <c r="C114" s="3" t="s">
        <v>329</v>
      </c>
      <c r="D114" s="3"/>
      <c r="E114" s="3" t="s">
        <v>359</v>
      </c>
      <c r="F114" s="3" t="s">
        <v>364</v>
      </c>
      <c r="G114" s="3" t="s">
        <v>403</v>
      </c>
      <c r="H114" s="3" t="s">
        <v>472</v>
      </c>
      <c r="I114" s="3" t="s">
        <v>624</v>
      </c>
      <c r="J114" s="3" t="s">
        <v>364</v>
      </c>
      <c r="K114" s="3" t="s">
        <v>659</v>
      </c>
      <c r="L114" s="3" t="s">
        <v>659</v>
      </c>
      <c r="M114" s="3" t="s">
        <v>768</v>
      </c>
      <c r="N114" s="3" t="s">
        <v>791</v>
      </c>
      <c r="O114" s="4" t="s">
        <v>802</v>
      </c>
      <c r="P114" s="3" t="s">
        <v>863</v>
      </c>
      <c r="Q114" s="3" t="s">
        <v>905</v>
      </c>
      <c r="R114" s="3" t="s">
        <v>908</v>
      </c>
      <c r="S114" s="3" t="s">
        <v>916</v>
      </c>
      <c r="T114" s="3" t="s">
        <v>919</v>
      </c>
      <c r="U114" s="3" t="s">
        <v>1147</v>
      </c>
      <c r="V114" s="3" t="s">
        <v>770</v>
      </c>
      <c r="W114" s="3" t="s">
        <v>941</v>
      </c>
      <c r="X114" s="3" t="s">
        <v>1718</v>
      </c>
      <c r="Y114" s="3" t="s">
        <v>2187</v>
      </c>
      <c r="Z114" s="3"/>
      <c r="AA114" s="3"/>
      <c r="AB114" s="3"/>
      <c r="AC114" s="4" cm="1">
        <f t="array" ref="AC114">IF(FALSE,"True," &amp; IF(_xlfn.XLOOKUP("Src_IsAny",'Scoring_Config'!$A:$A,'Scoring_Config'!$D:$D,"Yes")="Yes",_xlfn.XLOOKUP("Src_IsAny",'Scoring_Config'!$A:$A,'Scoring_Config'!$C:$C,25),0),"False,0")</f>
        <v>0</v>
      </c>
      <c r="AD114" s="4" cm="1">
        <f t="array" ref="AD114">IF(FALSE,"True," &amp; IF(_xlfn.XLOOKUP("Src_CIDR_Le_16",'Scoring_Config'!$A:$A,'Scoring_Config'!$D:$D,"Yes")="Yes",_xlfn.XLOOKUP("Src_CIDR_Le_16",'Scoring_Config'!$A:$A,'Scoring_Config'!$C:$C,25),0),"False,0")</f>
        <v>0</v>
      </c>
      <c r="AE114" s="4" cm="1">
        <f t="array" ref="AE114">IF(FALSE,"True," &amp; IF(_xlfn.XLOOKUP("Src_CIDR_17_22",'Scoring_Config'!$A:$A,'Scoring_Config'!$D:$D,"Yes")="Yes",_xlfn.XLOOKUP("Src_CIDR_17_22",'Scoring_Config'!$A:$A,'Scoring_Config'!$C:$C,15),0),"False,0")</f>
        <v>0</v>
      </c>
      <c r="AF114" s="4" cm="1">
        <f t="array" ref="AF114">IF(FALSE,"True," &amp; IF(_xlfn.XLOOKUP("Dst_IsAny",'Scoring_Config'!$A:$A,'Scoring_Config'!$D:$D,"Yes")="Yes",_xlfn.XLOOKUP("Dst_IsAny",'Scoring_Config'!$A:$A,'Scoring_Config'!$C:$C,25),0),"False,0")</f>
        <v>0</v>
      </c>
      <c r="AG114" s="4" cm="1">
        <f t="array" ref="AG114">IF(FALSE,"True," &amp; IF(_xlfn.XLOOKUP("Dst_CIDR_Le_16",'Scoring_Config'!$A:$A,'Scoring_Config'!$D:$D,"Yes")="Yes",_xlfn.XLOOKUP("Dst_CIDR_Le_16",'Scoring_Config'!$A:$A,'Scoring_Config'!$C:$C,25),0),"False,0")</f>
        <v>0</v>
      </c>
      <c r="AH114" s="5" cm="1">
        <f t="array" ref="AH114">IF(TRUE,"True," &amp; IF(_xlfn.XLOOKUP("Dst_CIDR_17_22",'Scoring_Config'!$A:$A,'Scoring_Config'!$D:$D,"Yes")="Yes",_xlfn.XLOOKUP("Dst_CIDR_17_22",'Scoring_Config'!$A:$A,'Scoring_Config'!$C:$C,15),0),"False,0")</f>
        <v>0</v>
      </c>
      <c r="AI114" s="4" cm="1">
        <f t="array" ref="AI114">IF(FALSE,"True," &amp; IF(_xlfn.XLOOKUP("SrcZone_IsAny",'Scoring_Config'!$A:$A,'Scoring_Config'!$D:$D,"Yes")="Yes",_xlfn.XLOOKUP("SrcZone_IsAny",'Scoring_Config'!$A:$A,'Scoring_Config'!$C:$C,5),0),"False,0")</f>
        <v>0</v>
      </c>
      <c r="AJ114" s="4" cm="1">
        <f t="array" ref="AJ114">IF(FALSE,"True," &amp; IF(_xlfn.XLOOKUP("DstZone_IsAny",'Scoring_Config'!$A:$A,'Scoring_Config'!$D:$D,"Yes")="Yes",_xlfn.XLOOKUP("DstZone_IsAny",'Scoring_Config'!$A:$A,'Scoring_Config'!$C:$C,5),0),"False,0")</f>
        <v>0</v>
      </c>
      <c r="AK114" s="4" cm="1">
        <f t="array" ref="AK11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4" s="5" cm="1">
        <f t="array" ref="AL114">IF(TRUE,"True," &amp; IF(_xlfn.XLOOKUP("App_Any_OR_RangeGt1000",'Scoring_Config'!$A:$A,'Scoring_Config'!$D:$D,"Yes")="Yes",_xlfn.XLOOKUP("App_Any_OR_RangeGt1000",'Scoring_Config'!$A:$A,'Scoring_Config'!$C:$C,25),0),"False,0")</f>
        <v>0</v>
      </c>
      <c r="AM114" s="5" cm="1">
        <f t="array" ref="AM114">IF(TRUE,"True," &amp; IF(_xlfn.XLOOKUP("Service_Insecure_Match",'Scoring_Config'!$A:$A,'Scoring_Config'!$D:$D,"Yes")="Yes",_xlfn.XLOOKUP("Service_Insecure_Match",'Scoring_Config'!$A:$A,'Scoring_Config'!$C:$C,20),0),"False,0")</f>
        <v>0</v>
      </c>
      <c r="AN114" s="4" cm="1">
        <f t="array" ref="AN114">IF(FALSE,"True," &amp; IF(_xlfn.XLOOKUP("Risky_Inbound",'Scoring_Config'!$A:$A,'Scoring_Config'!$D:$D,"Yes")="Yes",_xlfn.XLOOKUP("Risky_Inbound",'Scoring_Config'!$A:$A,'Scoring_Config'!$C:$C,20),0),"False,0")</f>
        <v>0</v>
      </c>
      <c r="AO114" s="4" cm="1">
        <f t="array" ref="AO114">IF(FALSE,"True," &amp; IF(_xlfn.XLOOKUP("Risky_Outbound",'Scoring_Config'!$A:$A,'Scoring_Config'!$D:$D,"Yes")="Yes",_xlfn.XLOOKUP("Risky_Outbound",'Scoring_Config'!$A:$A,'Scoring_Config'!$C:$C,10),0),"False,0")</f>
        <v>0</v>
      </c>
      <c r="AP114" s="5" t="s">
        <v>2595</v>
      </c>
      <c r="AQ114" s="5" cm="1">
        <f t="array" ref="AQ11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4" s="5" t="s">
        <v>2598</v>
      </c>
      <c r="AS114" s="4" t="s">
        <v>2592</v>
      </c>
      <c r="AT114" s="4" t="s">
        <v>2592</v>
      </c>
      <c r="AU114" s="4" cm="1">
        <f t="array" ref="AU114">IF(FALSE,"True," &amp; IF(_xlfn.XLOOKUP("Action_IsDenyOrDrop",'Scoring_Config'!$A:$A,'Scoring_Config'!$D:$D,"Yes")="Yes",_xlfn.XLOOKUP("Action_IsDenyOrDrop",'Scoring_Config'!$A:$A,'Scoring_Config'!$C:$C,0),0),"False,0")</f>
        <v>0</v>
      </c>
      <c r="AV114" s="4"/>
      <c r="AW114" s="4" cm="1">
        <f t="array" ref="AW114">IF(FALSE,"True," &amp; IF(_xlfn.XLOOKUP("Migrate_Insecure",'Scoring_Config'!$A:$A,'Scoring_Config'!$D:$D,"Yes")="Yes",_xlfn.XLOOKUP("Migrate_Insecure",'Scoring_Config'!$A:$A,'Scoring_Config'!$C:$C,15),0),"False,0")</f>
        <v>0</v>
      </c>
      <c r="AX114" s="4"/>
      <c r="AY114" s="4" cm="1">
        <f t="array" ref="AY114">IF(FALSE,"True," &amp; IF(_xlfn.XLOOKUP("Migrate_Other_Ports",'Scoring_Config'!$A:$A,'Scoring_Config'!$D:$D,"Yes")="Yes",_xlfn.XLOOKUP("Migrate_Other_Ports",'Scoring_Config'!$A:$A,'Scoring_Config'!$C:$C,5),0),"False,0")</f>
        <v>0</v>
      </c>
      <c r="AZ114" s="4" cm="1">
        <f t="array" ref="AZ114">IF(LEFT(AU114,4)="True",0,(IF(LEFT(AC114,4)="True",IF(_xlfn.XLOOKUP("Src_IsAny",'Scoring_Config'!$A:$A,'Scoring_Config'!$D:$D,"Yes")="Yes",_xlfn.XLOOKUP("Src_IsAny",'Scoring_Config'!$A:$A,'Scoring_Config'!$C:$C,25),0),0)+IF(LEFT(AD114,4)="True",IF(_xlfn.XLOOKUP("Src_CIDR_Le_16",'Scoring_Config'!$A:$A,'Scoring_Config'!$D:$D,"Yes")="Yes",_xlfn.XLOOKUP("Src_CIDR_Le_16",'Scoring_Config'!$A:$A,'Scoring_Config'!$C:$C,25),0),0)+IF(LEFT(AE114,4)="True",IF(_xlfn.XLOOKUP("Src_CIDR_17_22",'Scoring_Config'!$A:$A,'Scoring_Config'!$D:$D,"Yes")="Yes",_xlfn.XLOOKUP("Src_CIDR_17_22",'Scoring_Config'!$A:$A,'Scoring_Config'!$C:$C,15),0),0)+IF(LEFT(AF114,4)="True",IF(_xlfn.XLOOKUP("Dst_IsAny",'Scoring_Config'!$A:$A,'Scoring_Config'!$D:$D,"Yes")="Yes",_xlfn.XLOOKUP("Dst_IsAny",'Scoring_Config'!$A:$A,'Scoring_Config'!$C:$C,25),0),0)+IF(LEFT(AG114,4)="True",IF(_xlfn.XLOOKUP("Dst_CIDR_Le_16",'Scoring_Config'!$A:$A,'Scoring_Config'!$D:$D,"Yes")="Yes",_xlfn.XLOOKUP("Dst_CIDR_Le_16",'Scoring_Config'!$A:$A,'Scoring_Config'!$C:$C,25),0),0)+IF(LEFT(AH114,4)="True",IF(_xlfn.XLOOKUP("Dst_CIDR_17_22",'Scoring_Config'!$A:$A,'Scoring_Config'!$D:$D,"Yes")="Yes",_xlfn.XLOOKUP("Dst_CIDR_17_22",'Scoring_Config'!$A:$A,'Scoring_Config'!$C:$C,15),0),0)+IF(LEFT(AI114,4)="True",IF(_xlfn.XLOOKUP("SrcZone_IsAny",'Scoring_Config'!$A:$A,'Scoring_Config'!$D:$D,"Yes")="Yes",_xlfn.XLOOKUP("SrcZone_IsAny",'Scoring_Config'!$A:$A,'Scoring_Config'!$C:$C,5),0),0)+IF(LEFT(AJ114,4)="True",IF(_xlfn.XLOOKUP("DstZone_IsAny",'Scoring_Config'!$A:$A,'Scoring_Config'!$D:$D,"Yes")="Yes",_xlfn.XLOOKUP("DstZone_IsAny",'Scoring_Config'!$A:$A,'Scoring_Config'!$C:$C,5),0),0)+IF(LEFT(AK114,4)="True",IF(_xlfn.XLOOKUP("Service_Any_OR_RangeGt1000",'Scoring_Config'!$A:$A,'Scoring_Config'!$D:$D,"Yes")="Yes",_xlfn.XLOOKUP("Service_Any_OR_RangeGt1000",'Scoring_Config'!$A:$A,'Scoring_Config'!$C:$C,25),0),0)+IF(LEFT(AL114,4)="True",IF(_xlfn.XLOOKUP("App_Any_OR_RangeGt1000",'Scoring_Config'!$A:$A,'Scoring_Config'!$D:$D,"Yes")="Yes",_xlfn.XLOOKUP("App_Any_OR_RangeGt1000",'Scoring_Config'!$A:$A,'Scoring_Config'!$C:$C,25),0),0)+IF(LEFT(AM114,4)="True",IF(_xlfn.XLOOKUP("Service_Insecure_Match",'Scoring_Config'!$A:$A,'Scoring_Config'!$D:$D,"Yes")="Yes",_xlfn.XLOOKUP("Service_Insecure_Match",'Scoring_Config'!$A:$A,'Scoring_Config'!$C:$C,20),0),0)+IF(LEFT(AN114,4)="True",IF(_xlfn.XLOOKUP("Risky_Inbound",'Scoring_Config'!$A:$A,'Scoring_Config'!$D:$D,"Yes")="Yes",_xlfn.XLOOKUP("Risky_Inbound",'Scoring_Config'!$A:$A,'Scoring_Config'!$C:$C,20),0),0)+IF(LEFT(AO114,4)="True",IF(_xlfn.XLOOKUP("Risky_Outbound",'Scoring_Config'!$A:$A,'Scoring_Config'!$D:$D,"Yes")="Yes",_xlfn.XLOOKUP("Risky_Outbound",'Scoring_Config'!$A:$A,'Scoring_Config'!$C:$C,10),0),0)+IF(LEFT(AW114,4)="True",IF(_xlfn.XLOOKUP("Migrate_Insecure",'Scoring_Config'!$A:$A,'Scoring_Config'!$D:$D,"Yes")="Yes",_xlfn.XLOOKUP("Migrate_Insecure",'Scoring_Config'!$A:$A,'Scoring_Config'!$C:$C,15),0),0)+IF(LEFT(AY114,4)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114,FIND(",",AP114)+1,100)),0)+IF(LEFT(AQ114,4)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114,FIND(",",AR114)+1,100)),0)+IF(_xlfn.XLOOKUP("Profile_Scoring",'Scoring_Config'!$A:$A,'Scoring_Config'!$D:$D,"Yes")="Yes",VALUE(MID(AS114,FIND(",",AS114)+1,100)),0)+IF(_xlfn.XLOOKUP("Options_Scoring",'Scoring_Config'!$A:$A,'Scoring_Config'!$D:$D,"Yes")="Yes",VALUE(MID(AT114,FIND(",",AT114)+1,100)),0)))</f>
        <v>0</v>
      </c>
    </row>
    <row r="115" spans="1:52">
      <c r="A115" s="3" t="s">
        <v>52</v>
      </c>
      <c r="B115" s="3" t="s">
        <v>146</v>
      </c>
      <c r="C115" s="3" t="s">
        <v>329</v>
      </c>
      <c r="D115" s="3"/>
      <c r="E115" s="3" t="s">
        <v>359</v>
      </c>
      <c r="F115" s="3" t="s">
        <v>360</v>
      </c>
      <c r="G115" s="3" t="s">
        <v>404</v>
      </c>
      <c r="H115" s="3" t="s">
        <v>404</v>
      </c>
      <c r="I115" s="3" t="s">
        <v>624</v>
      </c>
      <c r="J115" s="3" t="s">
        <v>364</v>
      </c>
      <c r="K115" s="3" t="s">
        <v>660</v>
      </c>
      <c r="L115" s="3" t="s">
        <v>660</v>
      </c>
      <c r="M115" s="3" t="s">
        <v>772</v>
      </c>
      <c r="N115" s="3" t="s">
        <v>794</v>
      </c>
      <c r="O115" s="4" t="s">
        <v>806</v>
      </c>
      <c r="P115" s="3" t="s">
        <v>867</v>
      </c>
      <c r="Q115" s="3" t="s">
        <v>905</v>
      </c>
      <c r="R115" s="3" t="s">
        <v>908</v>
      </c>
      <c r="S115" s="3" t="s">
        <v>916</v>
      </c>
      <c r="T115" s="3" t="s">
        <v>924</v>
      </c>
      <c r="U115" s="3" t="s">
        <v>1147</v>
      </c>
      <c r="V115" s="3" t="s">
        <v>772</v>
      </c>
      <c r="W115" s="3" t="s">
        <v>1464</v>
      </c>
      <c r="X115" s="3" t="s">
        <v>1719</v>
      </c>
      <c r="Y115" s="3" t="s">
        <v>2188</v>
      </c>
      <c r="Z115" s="3"/>
      <c r="AA115" s="3"/>
      <c r="AB115" s="3"/>
      <c r="AC115" s="4" cm="1">
        <f t="array" ref="AC115">IF(FALSE,"True," &amp; IF(_xlfn.XLOOKUP("Src_IsAny",'Scoring_Config'!$A:$A,'Scoring_Config'!$D:$D,"Yes")="Yes",_xlfn.XLOOKUP("Src_IsAny",'Scoring_Config'!$A:$A,'Scoring_Config'!$C:$C,25),0),"False,0")</f>
        <v>0</v>
      </c>
      <c r="AD115" s="4" cm="1">
        <f t="array" ref="AD115">IF(FALSE,"True," &amp; IF(_xlfn.XLOOKUP("Src_CIDR_Le_16",'Scoring_Config'!$A:$A,'Scoring_Config'!$D:$D,"Yes")="Yes",_xlfn.XLOOKUP("Src_CIDR_Le_16",'Scoring_Config'!$A:$A,'Scoring_Config'!$C:$C,25),0),"False,0")</f>
        <v>0</v>
      </c>
      <c r="AE115" s="4" cm="1">
        <f t="array" ref="AE115">IF(FALSE,"True," &amp; IF(_xlfn.XLOOKUP("Src_CIDR_17_22",'Scoring_Config'!$A:$A,'Scoring_Config'!$D:$D,"Yes")="Yes",_xlfn.XLOOKUP("Src_CIDR_17_22",'Scoring_Config'!$A:$A,'Scoring_Config'!$C:$C,15),0),"False,0")</f>
        <v>0</v>
      </c>
      <c r="AF115" s="4" cm="1">
        <f t="array" ref="AF115">IF(FALSE,"True," &amp; IF(_xlfn.XLOOKUP("Dst_IsAny",'Scoring_Config'!$A:$A,'Scoring_Config'!$D:$D,"Yes")="Yes",_xlfn.XLOOKUP("Dst_IsAny",'Scoring_Config'!$A:$A,'Scoring_Config'!$C:$C,25),0),"False,0")</f>
        <v>0</v>
      </c>
      <c r="AG115" s="4" cm="1">
        <f t="array" ref="AG115">IF(FALSE,"True," &amp; IF(_xlfn.XLOOKUP("Dst_CIDR_Le_16",'Scoring_Config'!$A:$A,'Scoring_Config'!$D:$D,"Yes")="Yes",_xlfn.XLOOKUP("Dst_CIDR_Le_16",'Scoring_Config'!$A:$A,'Scoring_Config'!$C:$C,25),0),"False,0")</f>
        <v>0</v>
      </c>
      <c r="AH115" s="5" cm="1">
        <f t="array" ref="AH115">IF(TRUE,"True," &amp; IF(_xlfn.XLOOKUP("Dst_CIDR_17_22",'Scoring_Config'!$A:$A,'Scoring_Config'!$D:$D,"Yes")="Yes",_xlfn.XLOOKUP("Dst_CIDR_17_22",'Scoring_Config'!$A:$A,'Scoring_Config'!$C:$C,15),0),"False,0")</f>
        <v>0</v>
      </c>
      <c r="AI115" s="4" cm="1">
        <f t="array" ref="AI115">IF(FALSE,"True," &amp; IF(_xlfn.XLOOKUP("SrcZone_IsAny",'Scoring_Config'!$A:$A,'Scoring_Config'!$D:$D,"Yes")="Yes",_xlfn.XLOOKUP("SrcZone_IsAny",'Scoring_Config'!$A:$A,'Scoring_Config'!$C:$C,5),0),"False,0")</f>
        <v>0</v>
      </c>
      <c r="AJ115" s="4" cm="1">
        <f t="array" ref="AJ115">IF(FALSE,"True," &amp; IF(_xlfn.XLOOKUP("DstZone_IsAny",'Scoring_Config'!$A:$A,'Scoring_Config'!$D:$D,"Yes")="Yes",_xlfn.XLOOKUP("DstZone_IsAny",'Scoring_Config'!$A:$A,'Scoring_Config'!$C:$C,5),0),"False,0")</f>
        <v>0</v>
      </c>
      <c r="AK115" s="4" cm="1">
        <f t="array" ref="AK11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5" s="4" cm="1">
        <f t="array" ref="AL115">IF(FALSE,"True," &amp; IF(_xlfn.XLOOKUP("App_Any_OR_RangeGt1000",'Scoring_Config'!$A:$A,'Scoring_Config'!$D:$D,"Yes")="Yes",_xlfn.XLOOKUP("App_Any_OR_RangeGt1000",'Scoring_Config'!$A:$A,'Scoring_Config'!$C:$C,25),0),"False,0")</f>
        <v>0</v>
      </c>
      <c r="AM115" s="5" cm="1">
        <f t="array" ref="AM115">IF(TRUE,"True," &amp; IF(_xlfn.XLOOKUP("Service_Insecure_Match",'Scoring_Config'!$A:$A,'Scoring_Config'!$D:$D,"Yes")="Yes",_xlfn.XLOOKUP("Service_Insecure_Match",'Scoring_Config'!$A:$A,'Scoring_Config'!$C:$C,20),0),"False,0")</f>
        <v>0</v>
      </c>
      <c r="AN115" s="4" cm="1">
        <f t="array" ref="AN115">IF(FALSE,"True," &amp; IF(_xlfn.XLOOKUP("Risky_Inbound",'Scoring_Config'!$A:$A,'Scoring_Config'!$D:$D,"Yes")="Yes",_xlfn.XLOOKUP("Risky_Inbound",'Scoring_Config'!$A:$A,'Scoring_Config'!$C:$C,20),0),"False,0")</f>
        <v>0</v>
      </c>
      <c r="AO115" s="4" cm="1">
        <f t="array" ref="AO115">IF(FALSE,"True," &amp; IF(_xlfn.XLOOKUP("Risky_Outbound",'Scoring_Config'!$A:$A,'Scoring_Config'!$D:$D,"Yes")="Yes",_xlfn.XLOOKUP("Risky_Outbound",'Scoring_Config'!$A:$A,'Scoring_Config'!$C:$C,10),0),"False,0")</f>
        <v>0</v>
      </c>
      <c r="AP115" s="5" t="s">
        <v>2595</v>
      </c>
      <c r="AQ115" s="5" cm="1">
        <f t="array" ref="AQ11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5" s="5" t="s">
        <v>2598</v>
      </c>
      <c r="AS115" s="4" t="s">
        <v>2592</v>
      </c>
      <c r="AT115" s="4" t="s">
        <v>2592</v>
      </c>
      <c r="AU115" s="4" cm="1">
        <f t="array" ref="AU115">IF(FALSE,"True," &amp; IF(_xlfn.XLOOKUP("Action_IsDenyOrDrop",'Scoring_Config'!$A:$A,'Scoring_Config'!$D:$D,"Yes")="Yes",_xlfn.XLOOKUP("Action_IsDenyOrDrop",'Scoring_Config'!$A:$A,'Scoring_Config'!$C:$C,0),0),"False,0")</f>
        <v>0</v>
      </c>
      <c r="AV115" s="4"/>
      <c r="AW115" s="4" cm="1">
        <f t="array" ref="AW115">IF(FALSE,"True," &amp; IF(_xlfn.XLOOKUP("Migrate_Insecure",'Scoring_Config'!$A:$A,'Scoring_Config'!$D:$D,"Yes")="Yes",_xlfn.XLOOKUP("Migrate_Insecure",'Scoring_Config'!$A:$A,'Scoring_Config'!$C:$C,15),0),"False,0")</f>
        <v>0</v>
      </c>
      <c r="AX115" s="4"/>
      <c r="AY115" s="4" cm="1">
        <f t="array" ref="AY115">IF(FALSE,"True," &amp; IF(_xlfn.XLOOKUP("Migrate_Other_Ports",'Scoring_Config'!$A:$A,'Scoring_Config'!$D:$D,"Yes")="Yes",_xlfn.XLOOKUP("Migrate_Other_Ports",'Scoring_Config'!$A:$A,'Scoring_Config'!$C:$C,5),0),"False,0")</f>
        <v>0</v>
      </c>
      <c r="AZ115" s="4" cm="1">
        <f t="array" ref="AZ115">IF(LEFT(AU115,4)="True",0,(IF(LEFT(AC115,4)="True",IF(_xlfn.XLOOKUP("Src_IsAny",'Scoring_Config'!$A:$A,'Scoring_Config'!$D:$D,"Yes")="Yes",_xlfn.XLOOKUP("Src_IsAny",'Scoring_Config'!$A:$A,'Scoring_Config'!$C:$C,25),0),0)+IF(LEFT(AD115,4)="True",IF(_xlfn.XLOOKUP("Src_CIDR_Le_16",'Scoring_Config'!$A:$A,'Scoring_Config'!$D:$D,"Yes")="Yes",_xlfn.XLOOKUP("Src_CIDR_Le_16",'Scoring_Config'!$A:$A,'Scoring_Config'!$C:$C,25),0),0)+IF(LEFT(AE115,4)="True",IF(_xlfn.XLOOKUP("Src_CIDR_17_22",'Scoring_Config'!$A:$A,'Scoring_Config'!$D:$D,"Yes")="Yes",_xlfn.XLOOKUP("Src_CIDR_17_22",'Scoring_Config'!$A:$A,'Scoring_Config'!$C:$C,15),0),0)+IF(LEFT(AF115,4)="True",IF(_xlfn.XLOOKUP("Dst_IsAny",'Scoring_Config'!$A:$A,'Scoring_Config'!$D:$D,"Yes")="Yes",_xlfn.XLOOKUP("Dst_IsAny",'Scoring_Config'!$A:$A,'Scoring_Config'!$C:$C,25),0),0)+IF(LEFT(AG115,4)="True",IF(_xlfn.XLOOKUP("Dst_CIDR_Le_16",'Scoring_Config'!$A:$A,'Scoring_Config'!$D:$D,"Yes")="Yes",_xlfn.XLOOKUP("Dst_CIDR_Le_16",'Scoring_Config'!$A:$A,'Scoring_Config'!$C:$C,25),0),0)+IF(LEFT(AH115,4)="True",IF(_xlfn.XLOOKUP("Dst_CIDR_17_22",'Scoring_Config'!$A:$A,'Scoring_Config'!$D:$D,"Yes")="Yes",_xlfn.XLOOKUP("Dst_CIDR_17_22",'Scoring_Config'!$A:$A,'Scoring_Config'!$C:$C,15),0),0)+IF(LEFT(AI115,4)="True",IF(_xlfn.XLOOKUP("SrcZone_IsAny",'Scoring_Config'!$A:$A,'Scoring_Config'!$D:$D,"Yes")="Yes",_xlfn.XLOOKUP("SrcZone_IsAny",'Scoring_Config'!$A:$A,'Scoring_Config'!$C:$C,5),0),0)+IF(LEFT(AJ115,4)="True",IF(_xlfn.XLOOKUP("DstZone_IsAny",'Scoring_Config'!$A:$A,'Scoring_Config'!$D:$D,"Yes")="Yes",_xlfn.XLOOKUP("DstZone_IsAny",'Scoring_Config'!$A:$A,'Scoring_Config'!$C:$C,5),0),0)+IF(LEFT(AK115,4)="True",IF(_xlfn.XLOOKUP("Service_Any_OR_RangeGt1000",'Scoring_Config'!$A:$A,'Scoring_Config'!$D:$D,"Yes")="Yes",_xlfn.XLOOKUP("Service_Any_OR_RangeGt1000",'Scoring_Config'!$A:$A,'Scoring_Config'!$C:$C,25),0),0)+IF(LEFT(AL115,4)="True",IF(_xlfn.XLOOKUP("App_Any_OR_RangeGt1000",'Scoring_Config'!$A:$A,'Scoring_Config'!$D:$D,"Yes")="Yes",_xlfn.XLOOKUP("App_Any_OR_RangeGt1000",'Scoring_Config'!$A:$A,'Scoring_Config'!$C:$C,25),0),0)+IF(LEFT(AM115,4)="True",IF(_xlfn.XLOOKUP("Service_Insecure_Match",'Scoring_Config'!$A:$A,'Scoring_Config'!$D:$D,"Yes")="Yes",_xlfn.XLOOKUP("Service_Insecure_Match",'Scoring_Config'!$A:$A,'Scoring_Config'!$C:$C,20),0),0)+IF(LEFT(AN115,4)="True",IF(_xlfn.XLOOKUP("Risky_Inbound",'Scoring_Config'!$A:$A,'Scoring_Config'!$D:$D,"Yes")="Yes",_xlfn.XLOOKUP("Risky_Inbound",'Scoring_Config'!$A:$A,'Scoring_Config'!$C:$C,20),0),0)+IF(LEFT(AO115,4)="True",IF(_xlfn.XLOOKUP("Risky_Outbound",'Scoring_Config'!$A:$A,'Scoring_Config'!$D:$D,"Yes")="Yes",_xlfn.XLOOKUP("Risky_Outbound",'Scoring_Config'!$A:$A,'Scoring_Config'!$C:$C,10),0),0)+IF(LEFT(AW115,4)="True",IF(_xlfn.XLOOKUP("Migrate_Insecure",'Scoring_Config'!$A:$A,'Scoring_Config'!$D:$D,"Yes")="Yes",_xlfn.XLOOKUP("Migrate_Insecure",'Scoring_Config'!$A:$A,'Scoring_Config'!$C:$C,15),0),0)+IF(LEFT(AY115,4)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115,FIND(",",AP115)+1,100)),0)+IF(LEFT(AQ115,4)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115,FIND(",",AR115)+1,100)),0)+IF(_xlfn.XLOOKUP("Profile_Scoring",'Scoring_Config'!$A:$A,'Scoring_Config'!$D:$D,"Yes")="Yes",VALUE(MID(AS115,FIND(",",AS115)+1,100)),0)+IF(_xlfn.XLOOKUP("Options_Scoring",'Scoring_Config'!$A:$A,'Scoring_Config'!$D:$D,"Yes")="Yes",VALUE(MID(AT115,FIND(",",AT115)+1,100)),0)))</f>
        <v>0</v>
      </c>
    </row>
    <row r="116" spans="1:52">
      <c r="A116" s="3" t="s">
        <v>52</v>
      </c>
      <c r="B116" s="3" t="s">
        <v>57</v>
      </c>
      <c r="C116" s="3" t="s">
        <v>329</v>
      </c>
      <c r="D116" s="3"/>
      <c r="E116" s="3" t="s">
        <v>359</v>
      </c>
      <c r="F116" s="3" t="s">
        <v>361</v>
      </c>
      <c r="G116" s="3" t="s">
        <v>365</v>
      </c>
      <c r="H116" s="3" t="s">
        <v>365</v>
      </c>
      <c r="I116" s="3" t="s">
        <v>365</v>
      </c>
      <c r="J116" s="3" t="s">
        <v>364</v>
      </c>
      <c r="K116" s="3" t="s">
        <v>365</v>
      </c>
      <c r="L116" s="3" t="s">
        <v>365</v>
      </c>
      <c r="M116" s="3" t="s">
        <v>365</v>
      </c>
      <c r="N116" s="3" t="s">
        <v>365</v>
      </c>
      <c r="O116" s="4" t="s">
        <v>834</v>
      </c>
      <c r="P116" s="3" t="s">
        <v>895</v>
      </c>
      <c r="Q116" s="3" t="s">
        <v>905</v>
      </c>
      <c r="R116" s="3" t="s">
        <v>907</v>
      </c>
      <c r="S116" s="3" t="s">
        <v>915</v>
      </c>
      <c r="T116" s="3" t="s">
        <v>993</v>
      </c>
      <c r="U116" s="3"/>
      <c r="V116" s="3" t="s">
        <v>1386</v>
      </c>
      <c r="W116" s="3" t="s">
        <v>1465</v>
      </c>
      <c r="X116" s="3" t="s">
        <v>1720</v>
      </c>
      <c r="Y116" s="3" t="s">
        <v>2189</v>
      </c>
      <c r="Z116" s="3"/>
      <c r="AA116" s="3"/>
      <c r="AB116" s="3"/>
      <c r="AC116" s="5" cm="1">
        <f t="array" ref="AC116">IF(TRUE,"True," &amp; IF(_xlfn.XLOOKUP("Src_IsAny",'Scoring_Config'!$A:$A,'Scoring_Config'!$D:$D,"Yes")="Yes",_xlfn.XLOOKUP("Src_IsAny",'Scoring_Config'!$A:$A,'Scoring_Config'!$C:$C,25),0),"False,0")</f>
        <v>0</v>
      </c>
      <c r="AD116" s="4" cm="1">
        <f t="array" ref="AD116">IF(FALSE,"True," &amp; IF(_xlfn.XLOOKUP("Src_CIDR_Le_16",'Scoring_Config'!$A:$A,'Scoring_Config'!$D:$D,"Yes")="Yes",_xlfn.XLOOKUP("Src_CIDR_Le_16",'Scoring_Config'!$A:$A,'Scoring_Config'!$C:$C,25),0),"False,0")</f>
        <v>0</v>
      </c>
      <c r="AE116" s="4" cm="1">
        <f t="array" ref="AE116">IF(FALSE,"True," &amp; IF(_xlfn.XLOOKUP("Src_CIDR_17_22",'Scoring_Config'!$A:$A,'Scoring_Config'!$D:$D,"Yes")="Yes",_xlfn.XLOOKUP("Src_CIDR_17_22",'Scoring_Config'!$A:$A,'Scoring_Config'!$C:$C,15),0),"False,0")</f>
        <v>0</v>
      </c>
      <c r="AF116" s="5" cm="1">
        <f t="array" ref="AF116">IF(TRUE,"True," &amp; IF(_xlfn.XLOOKUP("Dst_IsAny",'Scoring_Config'!$A:$A,'Scoring_Config'!$D:$D,"Yes")="Yes",_xlfn.XLOOKUP("Dst_IsAny",'Scoring_Config'!$A:$A,'Scoring_Config'!$C:$C,25),0),"False,0")</f>
        <v>0</v>
      </c>
      <c r="AG116" s="4" cm="1">
        <f t="array" ref="AG116">IF(FALSE,"True," &amp; IF(_xlfn.XLOOKUP("Dst_CIDR_Le_16",'Scoring_Config'!$A:$A,'Scoring_Config'!$D:$D,"Yes")="Yes",_xlfn.XLOOKUP("Dst_CIDR_Le_16",'Scoring_Config'!$A:$A,'Scoring_Config'!$C:$C,25),0),"False,0")</f>
        <v>0</v>
      </c>
      <c r="AH116" s="4" cm="1">
        <f t="array" ref="AH116">IF(FALSE,"True," &amp; IF(_xlfn.XLOOKUP("Dst_CIDR_17_22",'Scoring_Config'!$A:$A,'Scoring_Config'!$D:$D,"Yes")="Yes",_xlfn.XLOOKUP("Dst_CIDR_17_22",'Scoring_Config'!$A:$A,'Scoring_Config'!$C:$C,15),0),"False,0")</f>
        <v>0</v>
      </c>
      <c r="AI116" s="4" cm="1">
        <f t="array" ref="AI116">IF(FALSE,"True," &amp; IF(_xlfn.XLOOKUP("SrcZone_IsAny",'Scoring_Config'!$A:$A,'Scoring_Config'!$D:$D,"Yes")="Yes",_xlfn.XLOOKUP("SrcZone_IsAny",'Scoring_Config'!$A:$A,'Scoring_Config'!$C:$C,5),0),"False,0")</f>
        <v>0</v>
      </c>
      <c r="AJ116" s="4" cm="1">
        <f t="array" ref="AJ116">IF(FALSE,"True," &amp; IF(_xlfn.XLOOKUP("DstZone_IsAny",'Scoring_Config'!$A:$A,'Scoring_Config'!$D:$D,"Yes")="Yes",_xlfn.XLOOKUP("DstZone_IsAny",'Scoring_Config'!$A:$A,'Scoring_Config'!$C:$C,5),0),"False,0")</f>
        <v>0</v>
      </c>
      <c r="AK116" s="4" cm="1">
        <f t="array" ref="AK11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6" s="5" cm="1">
        <f t="array" ref="AL116">IF(TRUE,"True," &amp; IF(_xlfn.XLOOKUP("App_Any_OR_RangeGt1000",'Scoring_Config'!$A:$A,'Scoring_Config'!$D:$D,"Yes")="Yes",_xlfn.XLOOKUP("App_Any_OR_RangeGt1000",'Scoring_Config'!$A:$A,'Scoring_Config'!$C:$C,25),0),"False,0")</f>
        <v>0</v>
      </c>
      <c r="AM116" s="5" cm="1">
        <f t="array" ref="AM116">IF(TRUE,"True," &amp; IF(_xlfn.XLOOKUP("Service_Insecure_Match",'Scoring_Config'!$A:$A,'Scoring_Config'!$D:$D,"Yes")="Yes",_xlfn.XLOOKUP("Service_Insecure_Match",'Scoring_Config'!$A:$A,'Scoring_Config'!$C:$C,20),0),"False,0")</f>
        <v>0</v>
      </c>
      <c r="AN116" s="4" cm="1">
        <f t="array" ref="AN116">IF(FALSE,"True," &amp; IF(_xlfn.XLOOKUP("Risky_Inbound",'Scoring_Config'!$A:$A,'Scoring_Config'!$D:$D,"Yes")="Yes",_xlfn.XLOOKUP("Risky_Inbound",'Scoring_Config'!$A:$A,'Scoring_Config'!$C:$C,20),0),"False,0")</f>
        <v>0</v>
      </c>
      <c r="AO116" s="4" cm="1">
        <f t="array" ref="AO116">IF(FALSE,"True," &amp; IF(_xlfn.XLOOKUP("Risky_Outbound",'Scoring_Config'!$A:$A,'Scoring_Config'!$D:$D,"Yes")="Yes",_xlfn.XLOOKUP("Risky_Outbound",'Scoring_Config'!$A:$A,'Scoring_Config'!$C:$C,10),0),"False,0")</f>
        <v>0</v>
      </c>
      <c r="AP116" s="5" t="s">
        <v>2595</v>
      </c>
      <c r="AQ116" s="5" cm="1">
        <f t="array" ref="AQ11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6" s="4" t="s">
        <v>2592</v>
      </c>
      <c r="AS116" s="5" t="s">
        <v>2595</v>
      </c>
      <c r="AT116" s="4" t="s">
        <v>2592</v>
      </c>
      <c r="AU116" s="4" cm="1">
        <f t="array" ref="AU116">IF(FALSE,"True," &amp; IF(_xlfn.XLOOKUP("Action_IsDenyOrDrop",'Scoring_Config'!$A:$A,'Scoring_Config'!$D:$D,"Yes")="Yes",_xlfn.XLOOKUP("Action_IsDenyOrDrop",'Scoring_Config'!$A:$A,'Scoring_Config'!$C:$C,0),0),"False,0")</f>
        <v>0</v>
      </c>
      <c r="AV116" s="4"/>
      <c r="AW116" s="4" cm="1">
        <f t="array" ref="AW116">IF(FALSE,"True," &amp; IF(_xlfn.XLOOKUP("Migrate_Insecure",'Scoring_Config'!$A:$A,'Scoring_Config'!$D:$D,"Yes")="Yes",_xlfn.XLOOKUP("Migrate_Insecure",'Scoring_Config'!$A:$A,'Scoring_Config'!$C:$C,15),0),"False,0")</f>
        <v>0</v>
      </c>
      <c r="AX116" s="4"/>
      <c r="AY116" s="4" cm="1">
        <f t="array" ref="AY116">IF(FALSE,"True," &amp; IF(_xlfn.XLOOKUP("Migrate_Other_Ports",'Scoring_Config'!$A:$A,'Scoring_Config'!$D:$D,"Yes")="Yes",_xlfn.XLOOKUP("Migrate_Other_Ports",'Scoring_Config'!$A:$A,'Scoring_Config'!$C:$C,5),0),"False,0")</f>
        <v>0</v>
      </c>
      <c r="AZ116" s="4" cm="1">
        <f t="array" ref="AZ116">IF(LEFT(AU116,4)="True",0,(IF(LEFT(AC116,4)="True",IF(_xlfn.XLOOKUP("Src_IsAny",'Scoring_Config'!$A:$A,'Scoring_Config'!$D:$D,"Yes")="Yes",_xlfn.XLOOKUP("Src_IsAny",'Scoring_Config'!$A:$A,'Scoring_Config'!$C:$C,25),0),0)+IF(LEFT(AD116,4)="True",IF(_xlfn.XLOOKUP("Src_CIDR_Le_16",'Scoring_Config'!$A:$A,'Scoring_Config'!$D:$D,"Yes")="Yes",_xlfn.XLOOKUP("Src_CIDR_Le_16",'Scoring_Config'!$A:$A,'Scoring_Config'!$C:$C,25),0),0)+IF(LEFT(AE116,4)="True",IF(_xlfn.XLOOKUP("Src_CIDR_17_22",'Scoring_Config'!$A:$A,'Scoring_Config'!$D:$D,"Yes")="Yes",_xlfn.XLOOKUP("Src_CIDR_17_22",'Scoring_Config'!$A:$A,'Scoring_Config'!$C:$C,15),0),0)+IF(LEFT(AF116,4)="True",IF(_xlfn.XLOOKUP("Dst_IsAny",'Scoring_Config'!$A:$A,'Scoring_Config'!$D:$D,"Yes")="Yes",_xlfn.XLOOKUP("Dst_IsAny",'Scoring_Config'!$A:$A,'Scoring_Config'!$C:$C,25),0),0)+IF(LEFT(AG116,4)="True",IF(_xlfn.XLOOKUP("Dst_CIDR_Le_16",'Scoring_Config'!$A:$A,'Scoring_Config'!$D:$D,"Yes")="Yes",_xlfn.XLOOKUP("Dst_CIDR_Le_16",'Scoring_Config'!$A:$A,'Scoring_Config'!$C:$C,25),0),0)+IF(LEFT(AH116,4)="True",IF(_xlfn.XLOOKUP("Dst_CIDR_17_22",'Scoring_Config'!$A:$A,'Scoring_Config'!$D:$D,"Yes")="Yes",_xlfn.XLOOKUP("Dst_CIDR_17_22",'Scoring_Config'!$A:$A,'Scoring_Config'!$C:$C,15),0),0)+IF(LEFT(AI116,4)="True",IF(_xlfn.XLOOKUP("SrcZone_IsAny",'Scoring_Config'!$A:$A,'Scoring_Config'!$D:$D,"Yes")="Yes",_xlfn.XLOOKUP("SrcZone_IsAny",'Scoring_Config'!$A:$A,'Scoring_Config'!$C:$C,5),0),0)+IF(LEFT(AJ116,4)="True",IF(_xlfn.XLOOKUP("DstZone_IsAny",'Scoring_Config'!$A:$A,'Scoring_Config'!$D:$D,"Yes")="Yes",_xlfn.XLOOKUP("DstZone_IsAny",'Scoring_Config'!$A:$A,'Scoring_Config'!$C:$C,5),0),0)+IF(LEFT(AK116,4)="True",IF(_xlfn.XLOOKUP("Service_Any_OR_RangeGt1000",'Scoring_Config'!$A:$A,'Scoring_Config'!$D:$D,"Yes")="Yes",_xlfn.XLOOKUP("Service_Any_OR_RangeGt1000",'Scoring_Config'!$A:$A,'Scoring_Config'!$C:$C,25),0),0)+IF(LEFT(AL116,4)="True",IF(_xlfn.XLOOKUP("App_Any_OR_RangeGt1000",'Scoring_Config'!$A:$A,'Scoring_Config'!$D:$D,"Yes")="Yes",_xlfn.XLOOKUP("App_Any_OR_RangeGt1000",'Scoring_Config'!$A:$A,'Scoring_Config'!$C:$C,25),0),0)+IF(LEFT(AM116,4)="True",IF(_xlfn.XLOOKUP("Service_Insecure_Match",'Scoring_Config'!$A:$A,'Scoring_Config'!$D:$D,"Yes")="Yes",_xlfn.XLOOKUP("Service_Insecure_Match",'Scoring_Config'!$A:$A,'Scoring_Config'!$C:$C,20),0),0)+IF(LEFT(AN116,4)="True",IF(_xlfn.XLOOKUP("Risky_Inbound",'Scoring_Config'!$A:$A,'Scoring_Config'!$D:$D,"Yes")="Yes",_xlfn.XLOOKUP("Risky_Inbound",'Scoring_Config'!$A:$A,'Scoring_Config'!$C:$C,20),0),0)+IF(LEFT(AO116,4)="True",IF(_xlfn.XLOOKUP("Risky_Outbound",'Scoring_Config'!$A:$A,'Scoring_Config'!$D:$D,"Yes")="Yes",_xlfn.XLOOKUP("Risky_Outbound",'Scoring_Config'!$A:$A,'Scoring_Config'!$C:$C,10),0),0)+IF(LEFT(AW116,4)="True",IF(_xlfn.XLOOKUP("Migrate_Insecure",'Scoring_Config'!$A:$A,'Scoring_Config'!$D:$D,"Yes")="Yes",_xlfn.XLOOKUP("Migrate_Insecure",'Scoring_Config'!$A:$A,'Scoring_Config'!$C:$C,15),0),0)+IF(LEFT(AY116,4)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116,FIND(",",AP116)+1,100)),0)+IF(LEFT(AQ116,4)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116,FIND(",",AR116)+1,100)),0)+IF(_xlfn.XLOOKUP("Profile_Scoring",'Scoring_Config'!$A:$A,'Scoring_Config'!$D:$D,"Yes")="Yes",VALUE(MID(AS116,FIND(",",AS116)+1,100)),0)+IF(_xlfn.XLOOKUP("Options_Scoring",'Scoring_Config'!$A:$A,'Scoring_Config'!$D:$D,"Yes")="Yes",VALUE(MID(AT116,FIND(",",AT116)+1,100)),0)))</f>
        <v>0</v>
      </c>
    </row>
    <row r="117" spans="1:52">
      <c r="A117" s="3" t="s">
        <v>52</v>
      </c>
      <c r="B117" s="3" t="s">
        <v>147</v>
      </c>
      <c r="C117" s="3" t="s">
        <v>329</v>
      </c>
      <c r="D117" s="3"/>
      <c r="E117" s="3" t="s">
        <v>359</v>
      </c>
      <c r="F117" s="3" t="s">
        <v>361</v>
      </c>
      <c r="G117" s="3" t="s">
        <v>365</v>
      </c>
      <c r="H117" s="3" t="s">
        <v>365</v>
      </c>
      <c r="I117" s="3" t="s">
        <v>623</v>
      </c>
      <c r="J117" s="3" t="s">
        <v>363</v>
      </c>
      <c r="K117" s="3" t="s">
        <v>661</v>
      </c>
      <c r="L117" s="3" t="s">
        <v>661</v>
      </c>
      <c r="M117" s="3" t="s">
        <v>774</v>
      </c>
      <c r="N117" s="3" t="s">
        <v>795</v>
      </c>
      <c r="O117" s="4" t="s">
        <v>822</v>
      </c>
      <c r="P117" s="3" t="s">
        <v>883</v>
      </c>
      <c r="Q117" s="3" t="s">
        <v>905</v>
      </c>
      <c r="R117" s="3" t="s">
        <v>909</v>
      </c>
      <c r="S117" s="3" t="s">
        <v>912</v>
      </c>
      <c r="T117" s="3" t="s">
        <v>994</v>
      </c>
      <c r="U117" s="3" t="s">
        <v>1157</v>
      </c>
      <c r="V117" s="3" t="s">
        <v>1388</v>
      </c>
      <c r="W117" s="3" t="s">
        <v>937</v>
      </c>
      <c r="X117" s="3" t="s">
        <v>1721</v>
      </c>
      <c r="Y117" s="3" t="s">
        <v>2190</v>
      </c>
      <c r="Z117" s="3"/>
      <c r="AA117" s="3"/>
      <c r="AB117" s="3"/>
      <c r="AC117" s="5" cm="1">
        <f t="array" ref="AC117">IF(TRUE,"True," &amp; IF(_xlfn.XLOOKUP("Src_IsAny",'Scoring_Config'!$A:$A,'Scoring_Config'!$D:$D,"Yes")="Yes",_xlfn.XLOOKUP("Src_IsAny",'Scoring_Config'!$A:$A,'Scoring_Config'!$C:$C,25),0),"False,0")</f>
        <v>0</v>
      </c>
      <c r="AD117" s="4" cm="1">
        <f t="array" ref="AD117">IF(FALSE,"True," &amp; IF(_xlfn.XLOOKUP("Src_CIDR_Le_16",'Scoring_Config'!$A:$A,'Scoring_Config'!$D:$D,"Yes")="Yes",_xlfn.XLOOKUP("Src_CIDR_Le_16",'Scoring_Config'!$A:$A,'Scoring_Config'!$C:$C,25),0),"False,0")</f>
        <v>0</v>
      </c>
      <c r="AE117" s="4" cm="1">
        <f t="array" ref="AE117">IF(FALSE,"True," &amp; IF(_xlfn.XLOOKUP("Src_CIDR_17_22",'Scoring_Config'!$A:$A,'Scoring_Config'!$D:$D,"Yes")="Yes",_xlfn.XLOOKUP("Src_CIDR_17_22",'Scoring_Config'!$A:$A,'Scoring_Config'!$C:$C,15),0),"False,0")</f>
        <v>0</v>
      </c>
      <c r="AF117" s="4" cm="1">
        <f t="array" ref="AF117">IF(FALSE,"True," &amp; IF(_xlfn.XLOOKUP("Dst_IsAny",'Scoring_Config'!$A:$A,'Scoring_Config'!$D:$D,"Yes")="Yes",_xlfn.XLOOKUP("Dst_IsAny",'Scoring_Config'!$A:$A,'Scoring_Config'!$C:$C,25),0),"False,0")</f>
        <v>0</v>
      </c>
      <c r="AG117" s="4" cm="1">
        <f t="array" ref="AG117">IF(FALSE,"True," &amp; IF(_xlfn.XLOOKUP("Dst_CIDR_Le_16",'Scoring_Config'!$A:$A,'Scoring_Config'!$D:$D,"Yes")="Yes",_xlfn.XLOOKUP("Dst_CIDR_Le_16",'Scoring_Config'!$A:$A,'Scoring_Config'!$C:$C,25),0),"False,0")</f>
        <v>0</v>
      </c>
      <c r="AH117" s="5" cm="1">
        <f t="array" ref="AH117">IF(TRUE,"True," &amp; IF(_xlfn.XLOOKUP("Dst_CIDR_17_22",'Scoring_Config'!$A:$A,'Scoring_Config'!$D:$D,"Yes")="Yes",_xlfn.XLOOKUP("Dst_CIDR_17_22",'Scoring_Config'!$A:$A,'Scoring_Config'!$C:$C,15),0),"False,0")</f>
        <v>0</v>
      </c>
      <c r="AI117" s="4" cm="1">
        <f t="array" ref="AI117">IF(FALSE,"True," &amp; IF(_xlfn.XLOOKUP("SrcZone_IsAny",'Scoring_Config'!$A:$A,'Scoring_Config'!$D:$D,"Yes")="Yes",_xlfn.XLOOKUP("SrcZone_IsAny",'Scoring_Config'!$A:$A,'Scoring_Config'!$C:$C,5),0),"False,0")</f>
        <v>0</v>
      </c>
      <c r="AJ117" s="4" cm="1">
        <f t="array" ref="AJ117">IF(FALSE,"True," &amp; IF(_xlfn.XLOOKUP("DstZone_IsAny",'Scoring_Config'!$A:$A,'Scoring_Config'!$D:$D,"Yes")="Yes",_xlfn.XLOOKUP("DstZone_IsAny",'Scoring_Config'!$A:$A,'Scoring_Config'!$C:$C,5),0),"False,0")</f>
        <v>0</v>
      </c>
      <c r="AK117" s="5" cm="1">
        <f t="array" ref="AK117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17" s="4" cm="1">
        <f t="array" ref="AL117">IF(FALSE,"True," &amp; IF(_xlfn.XLOOKUP("App_Any_OR_RangeGt1000",'Scoring_Config'!$A:$A,'Scoring_Config'!$D:$D,"Yes")="Yes",_xlfn.XLOOKUP("App_Any_OR_RangeGt1000",'Scoring_Config'!$A:$A,'Scoring_Config'!$C:$C,25),0),"False,0")</f>
        <v>0</v>
      </c>
      <c r="AM117" s="5" cm="1">
        <f t="array" ref="AM117">IF(TRUE,"True," &amp; IF(_xlfn.XLOOKUP("Service_Insecure_Match",'Scoring_Config'!$A:$A,'Scoring_Config'!$D:$D,"Yes")="Yes",_xlfn.XLOOKUP("Service_Insecure_Match",'Scoring_Config'!$A:$A,'Scoring_Config'!$C:$C,20),0),"False,0")</f>
        <v>0</v>
      </c>
      <c r="AN117" s="4" cm="1">
        <f t="array" ref="AN117">IF(FALSE,"True," &amp; IF(_xlfn.XLOOKUP("Risky_Inbound",'Scoring_Config'!$A:$A,'Scoring_Config'!$D:$D,"Yes")="Yes",_xlfn.XLOOKUP("Risky_Inbound",'Scoring_Config'!$A:$A,'Scoring_Config'!$C:$C,20),0),"False,0")</f>
        <v>0</v>
      </c>
      <c r="AO117" s="4" cm="1">
        <f t="array" ref="AO117">IF(FALSE,"True," &amp; IF(_xlfn.XLOOKUP("Risky_Outbound",'Scoring_Config'!$A:$A,'Scoring_Config'!$D:$D,"Yes")="Yes",_xlfn.XLOOKUP("Risky_Outbound",'Scoring_Config'!$A:$A,'Scoring_Config'!$C:$C,10),0),"False,0")</f>
        <v>0</v>
      </c>
      <c r="AP117" s="5" t="s">
        <v>2595</v>
      </c>
      <c r="AQ117" s="5" cm="1">
        <f t="array" ref="AQ11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7" s="5" t="s">
        <v>2598</v>
      </c>
      <c r="AS117" s="4" t="s">
        <v>2592</v>
      </c>
      <c r="AT117" s="4" t="s">
        <v>2592</v>
      </c>
      <c r="AU117" s="4" cm="1">
        <f t="array" ref="AU117">IF(FALSE,"True," &amp; IF(_xlfn.XLOOKUP("Action_IsDenyOrDrop",'Scoring_Config'!$A:$A,'Scoring_Config'!$D:$D,"Yes")="Yes",_xlfn.XLOOKUP("Action_IsDenyOrDrop",'Scoring_Config'!$A:$A,'Scoring_Config'!$C:$C,0),0),"False,0")</f>
        <v>0</v>
      </c>
      <c r="AV117" s="4" t="s">
        <v>774</v>
      </c>
      <c r="AW117" s="5" cm="1">
        <f t="array" ref="AW117">IF(TRUE,"True," &amp; IF(_xlfn.XLOOKUP("Migrate_Insecure",'Scoring_Config'!$A:$A,'Scoring_Config'!$D:$D,"Yes")="Yes",_xlfn.XLOOKUP("Migrate_Insecure",'Scoring_Config'!$A:$A,'Scoring_Config'!$C:$C,15),0),"False,0")</f>
        <v>0</v>
      </c>
      <c r="AX117" s="4"/>
      <c r="AY117" s="4" cm="1">
        <f t="array" ref="AY117">IF(FALSE,"True," &amp; IF(_xlfn.XLOOKUP("Migrate_Other_Ports",'Scoring_Config'!$A:$A,'Scoring_Config'!$D:$D,"Yes")="Yes",_xlfn.XLOOKUP("Migrate_Other_Ports",'Scoring_Config'!$A:$A,'Scoring_Config'!$C:$C,5),0),"False,0")</f>
        <v>0</v>
      </c>
      <c r="AZ117" s="4" cm="1">
        <f t="array" ref="AZ117">IF(LEFT(AU117,4)="True",0,(IF(LEFT(AC117,4)="True",IF(_xlfn.XLOOKUP("Src_IsAny",'Scoring_Config'!$A:$A,'Scoring_Config'!$D:$D,"Yes")="Yes",_xlfn.XLOOKUP("Src_IsAny",'Scoring_Config'!$A:$A,'Scoring_Config'!$C:$C,25),0),0)+IF(LEFT(AD117,4)="True",IF(_xlfn.XLOOKUP("Src_CIDR_Le_16",'Scoring_Config'!$A:$A,'Scoring_Config'!$D:$D,"Yes")="Yes",_xlfn.XLOOKUP("Src_CIDR_Le_16",'Scoring_Config'!$A:$A,'Scoring_Config'!$C:$C,25),0),0)+IF(LEFT(AE117,4)="True",IF(_xlfn.XLOOKUP("Src_CIDR_17_22",'Scoring_Config'!$A:$A,'Scoring_Config'!$D:$D,"Yes")="Yes",_xlfn.XLOOKUP("Src_CIDR_17_22",'Scoring_Config'!$A:$A,'Scoring_Config'!$C:$C,15),0),0)+IF(LEFT(AF117,4)="True",IF(_xlfn.XLOOKUP("Dst_IsAny",'Scoring_Config'!$A:$A,'Scoring_Config'!$D:$D,"Yes")="Yes",_xlfn.XLOOKUP("Dst_IsAny",'Scoring_Config'!$A:$A,'Scoring_Config'!$C:$C,25),0),0)+IF(LEFT(AG117,4)="True",IF(_xlfn.XLOOKUP("Dst_CIDR_Le_16",'Scoring_Config'!$A:$A,'Scoring_Config'!$D:$D,"Yes")="Yes",_xlfn.XLOOKUP("Dst_CIDR_Le_16",'Scoring_Config'!$A:$A,'Scoring_Config'!$C:$C,25),0),0)+IF(LEFT(AH117,4)="True",IF(_xlfn.XLOOKUP("Dst_CIDR_17_22",'Scoring_Config'!$A:$A,'Scoring_Config'!$D:$D,"Yes")="Yes",_xlfn.XLOOKUP("Dst_CIDR_17_22",'Scoring_Config'!$A:$A,'Scoring_Config'!$C:$C,15),0),0)+IF(LEFT(AI117,4)="True",IF(_xlfn.XLOOKUP("SrcZone_IsAny",'Scoring_Config'!$A:$A,'Scoring_Config'!$D:$D,"Yes")="Yes",_xlfn.XLOOKUP("SrcZone_IsAny",'Scoring_Config'!$A:$A,'Scoring_Config'!$C:$C,5),0),0)+IF(LEFT(AJ117,4)="True",IF(_xlfn.XLOOKUP("DstZone_IsAny",'Scoring_Config'!$A:$A,'Scoring_Config'!$D:$D,"Yes")="Yes",_xlfn.XLOOKUP("DstZone_IsAny",'Scoring_Config'!$A:$A,'Scoring_Config'!$C:$C,5),0),0)+IF(LEFT(AK117,4)="True",IF(_xlfn.XLOOKUP("Service_Any_OR_RangeGt1000",'Scoring_Config'!$A:$A,'Scoring_Config'!$D:$D,"Yes")="Yes",_xlfn.XLOOKUP("Service_Any_OR_RangeGt1000",'Scoring_Config'!$A:$A,'Scoring_Config'!$C:$C,25),0),0)+IF(LEFT(AL117,4)="True",IF(_xlfn.XLOOKUP("App_Any_OR_RangeGt1000",'Scoring_Config'!$A:$A,'Scoring_Config'!$D:$D,"Yes")="Yes",_xlfn.XLOOKUP("App_Any_OR_RangeGt1000",'Scoring_Config'!$A:$A,'Scoring_Config'!$C:$C,25),0),0)+IF(LEFT(AM117,4)="True",IF(_xlfn.XLOOKUP("Service_Insecure_Match",'Scoring_Config'!$A:$A,'Scoring_Config'!$D:$D,"Yes")="Yes",_xlfn.XLOOKUP("Service_Insecure_Match",'Scoring_Config'!$A:$A,'Scoring_Config'!$C:$C,20),0),0)+IF(LEFT(AN117,4)="True",IF(_xlfn.XLOOKUP("Risky_Inbound",'Scoring_Config'!$A:$A,'Scoring_Config'!$D:$D,"Yes")="Yes",_xlfn.XLOOKUP("Risky_Inbound",'Scoring_Config'!$A:$A,'Scoring_Config'!$C:$C,20),0),0)+IF(LEFT(AO117,4)="True",IF(_xlfn.XLOOKUP("Risky_Outbound",'Scoring_Config'!$A:$A,'Scoring_Config'!$D:$D,"Yes")="Yes",_xlfn.XLOOKUP("Risky_Outbound",'Scoring_Config'!$A:$A,'Scoring_Config'!$C:$C,10),0),0)+IF(LEFT(AW117,4)="True",IF(_xlfn.XLOOKUP("Migrate_Insecure",'Scoring_Config'!$A:$A,'Scoring_Config'!$D:$D,"Yes")="Yes",_xlfn.XLOOKUP("Migrate_Insecure",'Scoring_Config'!$A:$A,'Scoring_Config'!$C:$C,15),0),0)+IF(LEFT(AY117,4)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117,FIND(",",AP117)+1,100)),0)+IF(LEFT(AQ117,4)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117,FIND(",",AR117)+1,100)),0)+IF(_xlfn.XLOOKUP("Profile_Scoring",'Scoring_Config'!$A:$A,'Scoring_Config'!$D:$D,"Yes")="Yes",VALUE(MID(AS117,FIND(",",AS117)+1,100)),0)+IF(_xlfn.XLOOKUP("Options_Scoring",'Scoring_Config'!$A:$A,'Scoring_Config'!$D:$D,"Yes")="Yes",VALUE(MID(AT117,FIND(",",AT117)+1,100)),0)))</f>
        <v>0</v>
      </c>
    </row>
    <row r="118" spans="1:52">
      <c r="A118" s="3" t="s">
        <v>52</v>
      </c>
      <c r="B118" s="3" t="s">
        <v>148</v>
      </c>
      <c r="C118" s="3" t="s">
        <v>329</v>
      </c>
      <c r="D118" s="3"/>
      <c r="E118" s="3" t="s">
        <v>359</v>
      </c>
      <c r="F118" s="3" t="s">
        <v>362</v>
      </c>
      <c r="G118" s="3" t="s">
        <v>399</v>
      </c>
      <c r="H118" s="3" t="s">
        <v>559</v>
      </c>
      <c r="I118" s="3" t="s">
        <v>625</v>
      </c>
      <c r="J118" s="3" t="s">
        <v>364</v>
      </c>
      <c r="K118" s="3" t="s">
        <v>662</v>
      </c>
      <c r="L118" s="3" t="s">
        <v>662</v>
      </c>
      <c r="M118" s="3" t="s">
        <v>774</v>
      </c>
      <c r="N118" s="3" t="s">
        <v>795</v>
      </c>
      <c r="O118" s="4" t="s">
        <v>812</v>
      </c>
      <c r="P118" s="3" t="s">
        <v>873</v>
      </c>
      <c r="Q118" s="3" t="s">
        <v>905</v>
      </c>
      <c r="R118" s="3" t="s">
        <v>909</v>
      </c>
      <c r="S118" s="3" t="s">
        <v>913</v>
      </c>
      <c r="T118" s="3" t="s">
        <v>995</v>
      </c>
      <c r="U118" s="3" t="s">
        <v>1150</v>
      </c>
      <c r="V118" s="3" t="s">
        <v>1387</v>
      </c>
      <c r="W118" s="3" t="s">
        <v>1466</v>
      </c>
      <c r="X118" s="3" t="s">
        <v>1722</v>
      </c>
      <c r="Y118" s="3" t="s">
        <v>2191</v>
      </c>
      <c r="Z118" s="3"/>
      <c r="AA118" s="3"/>
      <c r="AB118" s="3"/>
      <c r="AC118" s="4" cm="1">
        <f t="array" ref="AC118">IF(FALSE,"True," &amp; IF(_xlfn.XLOOKUP("Src_IsAny",'Scoring_Config'!$A:$A,'Scoring_Config'!$D:$D,"Yes")="Yes",_xlfn.XLOOKUP("Src_IsAny",'Scoring_Config'!$A:$A,'Scoring_Config'!$C:$C,25),0),"False,0")</f>
        <v>0</v>
      </c>
      <c r="AD118" s="4" cm="1">
        <f t="array" ref="AD118">IF(FALSE,"True," &amp; IF(_xlfn.XLOOKUP("Src_CIDR_Le_16",'Scoring_Config'!$A:$A,'Scoring_Config'!$D:$D,"Yes")="Yes",_xlfn.XLOOKUP("Src_CIDR_Le_16",'Scoring_Config'!$A:$A,'Scoring_Config'!$C:$C,25),0),"False,0")</f>
        <v>0</v>
      </c>
      <c r="AE118" s="4" cm="1">
        <f t="array" ref="AE118">IF(FALSE,"True," &amp; IF(_xlfn.XLOOKUP("Src_CIDR_17_22",'Scoring_Config'!$A:$A,'Scoring_Config'!$D:$D,"Yes")="Yes",_xlfn.XLOOKUP("Src_CIDR_17_22",'Scoring_Config'!$A:$A,'Scoring_Config'!$C:$C,15),0),"False,0")</f>
        <v>0</v>
      </c>
      <c r="AF118" s="4" cm="1">
        <f t="array" ref="AF118">IF(FALSE,"True," &amp; IF(_xlfn.XLOOKUP("Dst_IsAny",'Scoring_Config'!$A:$A,'Scoring_Config'!$D:$D,"Yes")="Yes",_xlfn.XLOOKUP("Dst_IsAny",'Scoring_Config'!$A:$A,'Scoring_Config'!$C:$C,25),0),"False,0")</f>
        <v>0</v>
      </c>
      <c r="AG118" s="4" cm="1">
        <f t="array" ref="AG118">IF(FALSE,"True," &amp; IF(_xlfn.XLOOKUP("Dst_CIDR_Le_16",'Scoring_Config'!$A:$A,'Scoring_Config'!$D:$D,"Yes")="Yes",_xlfn.XLOOKUP("Dst_CIDR_Le_16",'Scoring_Config'!$A:$A,'Scoring_Config'!$C:$C,25),0),"False,0")</f>
        <v>0</v>
      </c>
      <c r="AH118" s="5" cm="1">
        <f t="array" ref="AH118">IF(TRUE,"True," &amp; IF(_xlfn.XLOOKUP("Dst_CIDR_17_22",'Scoring_Config'!$A:$A,'Scoring_Config'!$D:$D,"Yes")="Yes",_xlfn.XLOOKUP("Dst_CIDR_17_22",'Scoring_Config'!$A:$A,'Scoring_Config'!$C:$C,15),0),"False,0")</f>
        <v>0</v>
      </c>
      <c r="AI118" s="4" cm="1">
        <f t="array" ref="AI118">IF(FALSE,"True," &amp; IF(_xlfn.XLOOKUP("SrcZone_IsAny",'Scoring_Config'!$A:$A,'Scoring_Config'!$D:$D,"Yes")="Yes",_xlfn.XLOOKUP("SrcZone_IsAny",'Scoring_Config'!$A:$A,'Scoring_Config'!$C:$C,5),0),"False,0")</f>
        <v>0</v>
      </c>
      <c r="AJ118" s="4" cm="1">
        <f t="array" ref="AJ118">IF(FALSE,"True," &amp; IF(_xlfn.XLOOKUP("DstZone_IsAny",'Scoring_Config'!$A:$A,'Scoring_Config'!$D:$D,"Yes")="Yes",_xlfn.XLOOKUP("DstZone_IsAny",'Scoring_Config'!$A:$A,'Scoring_Config'!$C:$C,5),0),"False,0")</f>
        <v>0</v>
      </c>
      <c r="AK118" s="4" cm="1">
        <f t="array" ref="AK11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8" s="4" cm="1">
        <f t="array" ref="AL118">IF(FALSE,"True," &amp; IF(_xlfn.XLOOKUP("App_Any_OR_RangeGt1000",'Scoring_Config'!$A:$A,'Scoring_Config'!$D:$D,"Yes")="Yes",_xlfn.XLOOKUP("App_Any_OR_RangeGt1000",'Scoring_Config'!$A:$A,'Scoring_Config'!$C:$C,25),0),"False,0")</f>
        <v>0</v>
      </c>
      <c r="AM118" s="4" cm="1">
        <f t="array" ref="AM118">IF(FALSE,"True," &amp; IF(_xlfn.XLOOKUP("Service_Insecure_Match",'Scoring_Config'!$A:$A,'Scoring_Config'!$D:$D,"Yes")="Yes",_xlfn.XLOOKUP("Service_Insecure_Match",'Scoring_Config'!$A:$A,'Scoring_Config'!$C:$C,20),0),"False,0")</f>
        <v>0</v>
      </c>
      <c r="AN118" s="4" cm="1">
        <f t="array" ref="AN118">IF(FALSE,"True," &amp; IF(_xlfn.XLOOKUP("Risky_Inbound",'Scoring_Config'!$A:$A,'Scoring_Config'!$D:$D,"Yes")="Yes",_xlfn.XLOOKUP("Risky_Inbound",'Scoring_Config'!$A:$A,'Scoring_Config'!$C:$C,20),0),"False,0")</f>
        <v>0</v>
      </c>
      <c r="AO118" s="4" cm="1">
        <f t="array" ref="AO118">IF(FALSE,"True," &amp; IF(_xlfn.XLOOKUP("Risky_Outbound",'Scoring_Config'!$A:$A,'Scoring_Config'!$D:$D,"Yes")="Yes",_xlfn.XLOOKUP("Risky_Outbound",'Scoring_Config'!$A:$A,'Scoring_Config'!$C:$C,10),0),"False,0")</f>
        <v>0</v>
      </c>
      <c r="AP118" s="5" t="s">
        <v>2595</v>
      </c>
      <c r="AQ118" s="5" cm="1">
        <f t="array" ref="AQ11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8" s="5" t="s">
        <v>2598</v>
      </c>
      <c r="AS118" s="4" t="s">
        <v>2592</v>
      </c>
      <c r="AT118" s="4" t="s">
        <v>2592</v>
      </c>
      <c r="AU118" s="4" cm="1">
        <f t="array" ref="AU118">IF(FALSE,"True," &amp; IF(_xlfn.XLOOKUP("Action_IsDenyOrDrop",'Scoring_Config'!$A:$A,'Scoring_Config'!$D:$D,"Yes")="Yes",_xlfn.XLOOKUP("Action_IsDenyOrDrop",'Scoring_Config'!$A:$A,'Scoring_Config'!$C:$C,0),0),"False,0")</f>
        <v>0</v>
      </c>
      <c r="AV118" s="4"/>
      <c r="AW118" s="4" cm="1">
        <f t="array" ref="AW118">IF(FALSE,"True," &amp; IF(_xlfn.XLOOKUP("Migrate_Insecure",'Scoring_Config'!$A:$A,'Scoring_Config'!$D:$D,"Yes")="Yes",_xlfn.XLOOKUP("Migrate_Insecure",'Scoring_Config'!$A:$A,'Scoring_Config'!$C:$C,15),0),"False,0")</f>
        <v>0</v>
      </c>
      <c r="AX118" s="4"/>
      <c r="AY118" s="4" cm="1">
        <f t="array" ref="AY118">IF(FALSE,"True," &amp; IF(_xlfn.XLOOKUP("Migrate_Other_Ports",'Scoring_Config'!$A:$A,'Scoring_Config'!$D:$D,"Yes")="Yes",_xlfn.XLOOKUP("Migrate_Other_Ports",'Scoring_Config'!$A:$A,'Scoring_Config'!$C:$C,5),0),"False,0")</f>
        <v>0</v>
      </c>
      <c r="AZ118" s="4" cm="1">
        <f t="array" ref="AZ118">IF(LEFT(AU118,4)="True",0,(IF(LEFT(AC118,4)="True",IF(_xlfn.XLOOKUP("Src_IsAny",'Scoring_Config'!$A:$A,'Scoring_Config'!$D:$D,"Yes")="Yes",_xlfn.XLOOKUP("Src_IsAny",'Scoring_Config'!$A:$A,'Scoring_Config'!$C:$C,25),0),0)+IF(LEFT(AD118,4)="True",IF(_xlfn.XLOOKUP("Src_CIDR_Le_16",'Scoring_Config'!$A:$A,'Scoring_Config'!$D:$D,"Yes")="Yes",_xlfn.XLOOKUP("Src_CIDR_Le_16",'Scoring_Config'!$A:$A,'Scoring_Config'!$C:$C,25),0),0)+IF(LEFT(AE118,4)="True",IF(_xlfn.XLOOKUP("Src_CIDR_17_22",'Scoring_Config'!$A:$A,'Scoring_Config'!$D:$D,"Yes")="Yes",_xlfn.XLOOKUP("Src_CIDR_17_22",'Scoring_Config'!$A:$A,'Scoring_Config'!$C:$C,15),0),0)+IF(LEFT(AF118,4)="True",IF(_xlfn.XLOOKUP("Dst_IsAny",'Scoring_Config'!$A:$A,'Scoring_Config'!$D:$D,"Yes")="Yes",_xlfn.XLOOKUP("Dst_IsAny",'Scoring_Config'!$A:$A,'Scoring_Config'!$C:$C,25),0),0)+IF(LEFT(AG118,4)="True",IF(_xlfn.XLOOKUP("Dst_CIDR_Le_16",'Scoring_Config'!$A:$A,'Scoring_Config'!$D:$D,"Yes")="Yes",_xlfn.XLOOKUP("Dst_CIDR_Le_16",'Scoring_Config'!$A:$A,'Scoring_Config'!$C:$C,25),0),0)+IF(LEFT(AH118,4)="True",IF(_xlfn.XLOOKUP("Dst_CIDR_17_22",'Scoring_Config'!$A:$A,'Scoring_Config'!$D:$D,"Yes")="Yes",_xlfn.XLOOKUP("Dst_CIDR_17_22",'Scoring_Config'!$A:$A,'Scoring_Config'!$C:$C,15),0),0)+IF(LEFT(AI118,4)="True",IF(_xlfn.XLOOKUP("SrcZone_IsAny",'Scoring_Config'!$A:$A,'Scoring_Config'!$D:$D,"Yes")="Yes",_xlfn.XLOOKUP("SrcZone_IsAny",'Scoring_Config'!$A:$A,'Scoring_Config'!$C:$C,5),0),0)+IF(LEFT(AJ118,4)="True",IF(_xlfn.XLOOKUP("DstZone_IsAny",'Scoring_Config'!$A:$A,'Scoring_Config'!$D:$D,"Yes")="Yes",_xlfn.XLOOKUP("DstZone_IsAny",'Scoring_Config'!$A:$A,'Scoring_Config'!$C:$C,5),0),0)+IF(LEFT(AK118,4)="True",IF(_xlfn.XLOOKUP("Service_Any_OR_RangeGt1000",'Scoring_Config'!$A:$A,'Scoring_Config'!$D:$D,"Yes")="Yes",_xlfn.XLOOKUP("Service_Any_OR_RangeGt1000",'Scoring_Config'!$A:$A,'Scoring_Config'!$C:$C,25),0),0)+IF(LEFT(AL118,4)="True",IF(_xlfn.XLOOKUP("App_Any_OR_RangeGt1000",'Scoring_Config'!$A:$A,'Scoring_Config'!$D:$D,"Yes")="Yes",_xlfn.XLOOKUP("App_Any_OR_RangeGt1000",'Scoring_Config'!$A:$A,'Scoring_Config'!$C:$C,25),0),0)+IF(LEFT(AM118,4)="True",IF(_xlfn.XLOOKUP("Service_Insecure_Match",'Scoring_Config'!$A:$A,'Scoring_Config'!$D:$D,"Yes")="Yes",_xlfn.XLOOKUP("Service_Insecure_Match",'Scoring_Config'!$A:$A,'Scoring_Config'!$C:$C,20),0),0)+IF(LEFT(AN118,4)="True",IF(_xlfn.XLOOKUP("Risky_Inbound",'Scoring_Config'!$A:$A,'Scoring_Config'!$D:$D,"Yes")="Yes",_xlfn.XLOOKUP("Risky_Inbound",'Scoring_Config'!$A:$A,'Scoring_Config'!$C:$C,20),0),0)+IF(LEFT(AO118,4)="True",IF(_xlfn.XLOOKUP("Risky_Outbound",'Scoring_Config'!$A:$A,'Scoring_Config'!$D:$D,"Yes")="Yes",_xlfn.XLOOKUP("Risky_Outbound",'Scoring_Config'!$A:$A,'Scoring_Config'!$C:$C,10),0),0)+IF(LEFT(AW118,4)="True",IF(_xlfn.XLOOKUP("Migrate_Insecure",'Scoring_Config'!$A:$A,'Scoring_Config'!$D:$D,"Yes")="Yes",_xlfn.XLOOKUP("Migrate_Insecure",'Scoring_Config'!$A:$A,'Scoring_Config'!$C:$C,15),0),0)+IF(LEFT(AY118,4)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118,FIND(",",AP118)+1,100)),0)+IF(LEFT(AQ118,4)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118,FIND(",",AR118)+1,100)),0)+IF(_xlfn.XLOOKUP("Profile_Scoring",'Scoring_Config'!$A:$A,'Scoring_Config'!$D:$D,"Yes")="Yes",VALUE(MID(AS118,FIND(",",AS118)+1,100)),0)+IF(_xlfn.XLOOKUP("Options_Scoring",'Scoring_Config'!$A:$A,'Scoring_Config'!$D:$D,"Yes")="Yes",VALUE(MID(AT118,FIND(",",AT118)+1,100)),0)))</f>
        <v>0</v>
      </c>
    </row>
    <row r="119" spans="1:52">
      <c r="A119" s="3" t="s">
        <v>52</v>
      </c>
      <c r="B119" s="3" t="s">
        <v>77</v>
      </c>
      <c r="C119" s="3" t="s">
        <v>329</v>
      </c>
      <c r="D119" s="3"/>
      <c r="E119" s="3" t="s">
        <v>359</v>
      </c>
      <c r="F119" s="3" t="s">
        <v>361</v>
      </c>
      <c r="G119" s="3" t="s">
        <v>365</v>
      </c>
      <c r="H119" s="3" t="s">
        <v>365</v>
      </c>
      <c r="I119" s="3" t="s">
        <v>365</v>
      </c>
      <c r="J119" s="3" t="s">
        <v>360</v>
      </c>
      <c r="K119" s="3" t="s">
        <v>365</v>
      </c>
      <c r="L119" s="3" t="s">
        <v>365</v>
      </c>
      <c r="M119" s="3" t="s">
        <v>365</v>
      </c>
      <c r="N119" s="3" t="s">
        <v>365</v>
      </c>
      <c r="O119" s="4" t="s">
        <v>829</v>
      </c>
      <c r="P119" s="3" t="s">
        <v>890</v>
      </c>
      <c r="Q119" s="3" t="s">
        <v>905</v>
      </c>
      <c r="R119" s="3" t="s">
        <v>907</v>
      </c>
      <c r="S119" s="3" t="s">
        <v>913</v>
      </c>
      <c r="T119" s="3" t="s">
        <v>996</v>
      </c>
      <c r="U119" s="3" t="s">
        <v>1147</v>
      </c>
      <c r="V119" s="3" t="s">
        <v>1389</v>
      </c>
      <c r="W119" s="3" t="s">
        <v>1467</v>
      </c>
      <c r="X119" s="3" t="s">
        <v>1723</v>
      </c>
      <c r="Y119" s="3" t="s">
        <v>2192</v>
      </c>
      <c r="Z119" s="3"/>
      <c r="AA119" s="3"/>
      <c r="AB119" s="3"/>
      <c r="AC119" s="5" cm="1">
        <f t="array" ref="AC119">IF(TRUE,"True," &amp; IF(_xlfn.XLOOKUP("Src_IsAny",'Scoring_Config'!$A:$A,'Scoring_Config'!$D:$D,"Yes")="Yes",_xlfn.XLOOKUP("Src_IsAny",'Scoring_Config'!$A:$A,'Scoring_Config'!$C:$C,25),0),"False,0")</f>
        <v>0</v>
      </c>
      <c r="AD119" s="4" cm="1">
        <f t="array" ref="AD119">IF(FALSE,"True," &amp; IF(_xlfn.XLOOKUP("Src_CIDR_Le_16",'Scoring_Config'!$A:$A,'Scoring_Config'!$D:$D,"Yes")="Yes",_xlfn.XLOOKUP("Src_CIDR_Le_16",'Scoring_Config'!$A:$A,'Scoring_Config'!$C:$C,25),0),"False,0")</f>
        <v>0</v>
      </c>
      <c r="AE119" s="4" cm="1">
        <f t="array" ref="AE119">IF(FALSE,"True," &amp; IF(_xlfn.XLOOKUP("Src_CIDR_17_22",'Scoring_Config'!$A:$A,'Scoring_Config'!$D:$D,"Yes")="Yes",_xlfn.XLOOKUP("Src_CIDR_17_22",'Scoring_Config'!$A:$A,'Scoring_Config'!$C:$C,15),0),"False,0")</f>
        <v>0</v>
      </c>
      <c r="AF119" s="5" cm="1">
        <f t="array" ref="AF119">IF(TRUE,"True," &amp; IF(_xlfn.XLOOKUP("Dst_IsAny",'Scoring_Config'!$A:$A,'Scoring_Config'!$D:$D,"Yes")="Yes",_xlfn.XLOOKUP("Dst_IsAny",'Scoring_Config'!$A:$A,'Scoring_Config'!$C:$C,25),0),"False,0")</f>
        <v>0</v>
      </c>
      <c r="AG119" s="4" cm="1">
        <f t="array" ref="AG119">IF(FALSE,"True," &amp; IF(_xlfn.XLOOKUP("Dst_CIDR_Le_16",'Scoring_Config'!$A:$A,'Scoring_Config'!$D:$D,"Yes")="Yes",_xlfn.XLOOKUP("Dst_CIDR_Le_16",'Scoring_Config'!$A:$A,'Scoring_Config'!$C:$C,25),0),"False,0")</f>
        <v>0</v>
      </c>
      <c r="AH119" s="4" cm="1">
        <f t="array" ref="AH119">IF(FALSE,"True," &amp; IF(_xlfn.XLOOKUP("Dst_CIDR_17_22",'Scoring_Config'!$A:$A,'Scoring_Config'!$D:$D,"Yes")="Yes",_xlfn.XLOOKUP("Dst_CIDR_17_22",'Scoring_Config'!$A:$A,'Scoring_Config'!$C:$C,15),0),"False,0")</f>
        <v>0</v>
      </c>
      <c r="AI119" s="4" cm="1">
        <f t="array" ref="AI119">IF(FALSE,"True," &amp; IF(_xlfn.XLOOKUP("SrcZone_IsAny",'Scoring_Config'!$A:$A,'Scoring_Config'!$D:$D,"Yes")="Yes",_xlfn.XLOOKUP("SrcZone_IsAny",'Scoring_Config'!$A:$A,'Scoring_Config'!$C:$C,5),0),"False,0")</f>
        <v>0</v>
      </c>
      <c r="AJ119" s="4" cm="1">
        <f t="array" ref="AJ119">IF(FALSE,"True," &amp; IF(_xlfn.XLOOKUP("DstZone_IsAny",'Scoring_Config'!$A:$A,'Scoring_Config'!$D:$D,"Yes")="Yes",_xlfn.XLOOKUP("DstZone_IsAny",'Scoring_Config'!$A:$A,'Scoring_Config'!$C:$C,5),0),"False,0")</f>
        <v>0</v>
      </c>
      <c r="AK119" s="4" cm="1">
        <f t="array" ref="AK11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19" s="5" cm="1">
        <f t="array" ref="AL119">IF(TRUE,"True," &amp; IF(_xlfn.XLOOKUP("App_Any_OR_RangeGt1000",'Scoring_Config'!$A:$A,'Scoring_Config'!$D:$D,"Yes")="Yes",_xlfn.XLOOKUP("App_Any_OR_RangeGt1000",'Scoring_Config'!$A:$A,'Scoring_Config'!$C:$C,25),0),"False,0")</f>
        <v>0</v>
      </c>
      <c r="AM119" s="5" cm="1">
        <f t="array" ref="AM119">IF(TRUE,"True," &amp; IF(_xlfn.XLOOKUP("Service_Insecure_Match",'Scoring_Config'!$A:$A,'Scoring_Config'!$D:$D,"Yes")="Yes",_xlfn.XLOOKUP("Service_Insecure_Match",'Scoring_Config'!$A:$A,'Scoring_Config'!$C:$C,20),0),"False,0")</f>
        <v>0</v>
      </c>
      <c r="AN119" s="4" cm="1">
        <f t="array" ref="AN119">IF(FALSE,"True," &amp; IF(_xlfn.XLOOKUP("Risky_Inbound",'Scoring_Config'!$A:$A,'Scoring_Config'!$D:$D,"Yes")="Yes",_xlfn.XLOOKUP("Risky_Inbound",'Scoring_Config'!$A:$A,'Scoring_Config'!$C:$C,20),0),"False,0")</f>
        <v>0</v>
      </c>
      <c r="AO119" s="4" cm="1">
        <f t="array" ref="AO119">IF(FALSE,"True," &amp; IF(_xlfn.XLOOKUP("Risky_Outbound",'Scoring_Config'!$A:$A,'Scoring_Config'!$D:$D,"Yes")="Yes",_xlfn.XLOOKUP("Risky_Outbound",'Scoring_Config'!$A:$A,'Scoring_Config'!$C:$C,10),0),"False,0")</f>
        <v>0</v>
      </c>
      <c r="AP119" s="5" t="s">
        <v>2595</v>
      </c>
      <c r="AQ119" s="5" cm="1">
        <f t="array" ref="AQ11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19" s="4" t="s">
        <v>2592</v>
      </c>
      <c r="AS119" s="5" t="s">
        <v>2595</v>
      </c>
      <c r="AT119" s="4" t="s">
        <v>2592</v>
      </c>
      <c r="AU119" s="4" cm="1">
        <f t="array" ref="AU119">IF(FALSE,"True," &amp; IF(_xlfn.XLOOKUP("Action_IsDenyOrDrop",'Scoring_Config'!$A:$A,'Scoring_Config'!$D:$D,"Yes")="Yes",_xlfn.XLOOKUP("Action_IsDenyOrDrop",'Scoring_Config'!$A:$A,'Scoring_Config'!$C:$C,0),0),"False,0")</f>
        <v>0</v>
      </c>
      <c r="AV119" s="4"/>
      <c r="AW119" s="4" cm="1">
        <f t="array" ref="AW119">IF(FALSE,"True," &amp; IF(_xlfn.XLOOKUP("Migrate_Insecure",'Scoring_Config'!$A:$A,'Scoring_Config'!$D:$D,"Yes")="Yes",_xlfn.XLOOKUP("Migrate_Insecure",'Scoring_Config'!$A:$A,'Scoring_Config'!$C:$C,15),0),"False,0")</f>
        <v>0</v>
      </c>
      <c r="AX119" s="4"/>
      <c r="AY119" s="4" cm="1">
        <f t="array" ref="AY119">IF(FALSE,"True," &amp; IF(_xlfn.XLOOKUP("Migrate_Other_Ports",'Scoring_Config'!$A:$A,'Scoring_Config'!$D:$D,"Yes")="Yes",_xlfn.XLOOKUP("Migrate_Other_Ports",'Scoring_Config'!$A:$A,'Scoring_Config'!$C:$C,5),0),"False,0")</f>
        <v>0</v>
      </c>
      <c r="AZ119" s="4" cm="1">
        <f t="array" ref="AZ119">IF(LEFT(AU119,4)="True",0,(IF(LEFT(AC119,4)="True",IF(_xlfn.XLOOKUP("Src_IsAny",'Scoring_Config'!$A:$A,'Scoring_Config'!$D:$D,"Yes")="Yes",_xlfn.XLOOKUP("Src_IsAny",'Scoring_Config'!$A:$A,'Scoring_Config'!$C:$C,25),0),0)+IF(LEFT(AD119,4)="True",IF(_xlfn.XLOOKUP("Src_CIDR_Le_16",'Scoring_Config'!$A:$A,'Scoring_Config'!$D:$D,"Yes")="Yes",_xlfn.XLOOKUP("Src_CIDR_Le_16",'Scoring_Config'!$A:$A,'Scoring_Config'!$C:$C,25),0),0)+IF(LEFT(AE119,4)="True",IF(_xlfn.XLOOKUP("Src_CIDR_17_22",'Scoring_Config'!$A:$A,'Scoring_Config'!$D:$D,"Yes")="Yes",_xlfn.XLOOKUP("Src_CIDR_17_22",'Scoring_Config'!$A:$A,'Scoring_Config'!$C:$C,15),0),0)+IF(LEFT(AF119,4)="True",IF(_xlfn.XLOOKUP("Dst_IsAny",'Scoring_Config'!$A:$A,'Scoring_Config'!$D:$D,"Yes")="Yes",_xlfn.XLOOKUP("Dst_IsAny",'Scoring_Config'!$A:$A,'Scoring_Config'!$C:$C,25),0),0)+IF(LEFT(AG119,4)="True",IF(_xlfn.XLOOKUP("Dst_CIDR_Le_16",'Scoring_Config'!$A:$A,'Scoring_Config'!$D:$D,"Yes")="Yes",_xlfn.XLOOKUP("Dst_CIDR_Le_16",'Scoring_Config'!$A:$A,'Scoring_Config'!$C:$C,25),0),0)+IF(LEFT(AH119,4)="True",IF(_xlfn.XLOOKUP("Dst_CIDR_17_22",'Scoring_Config'!$A:$A,'Scoring_Config'!$D:$D,"Yes")="Yes",_xlfn.XLOOKUP("Dst_CIDR_17_22",'Scoring_Config'!$A:$A,'Scoring_Config'!$C:$C,15),0),0)+IF(LEFT(AI119,4)="True",IF(_xlfn.XLOOKUP("SrcZone_IsAny",'Scoring_Config'!$A:$A,'Scoring_Config'!$D:$D,"Yes")="Yes",_xlfn.XLOOKUP("SrcZone_IsAny",'Scoring_Config'!$A:$A,'Scoring_Config'!$C:$C,5),0),0)+IF(LEFT(AJ119,4)="True",IF(_xlfn.XLOOKUP("DstZone_IsAny",'Scoring_Config'!$A:$A,'Scoring_Config'!$D:$D,"Yes")="Yes",_xlfn.XLOOKUP("DstZone_IsAny",'Scoring_Config'!$A:$A,'Scoring_Config'!$C:$C,5),0),0)+IF(LEFT(AK119,4)="True",IF(_xlfn.XLOOKUP("Service_Any_OR_RangeGt1000",'Scoring_Config'!$A:$A,'Scoring_Config'!$D:$D,"Yes")="Yes",_xlfn.XLOOKUP("Service_Any_OR_RangeGt1000",'Scoring_Config'!$A:$A,'Scoring_Config'!$C:$C,25),0),0)+IF(LEFT(AL119,4)="True",IF(_xlfn.XLOOKUP("App_Any_OR_RangeGt1000",'Scoring_Config'!$A:$A,'Scoring_Config'!$D:$D,"Yes")="Yes",_xlfn.XLOOKUP("App_Any_OR_RangeGt1000",'Scoring_Config'!$A:$A,'Scoring_Config'!$C:$C,25),0),0)+IF(LEFT(AM119,4)="True",IF(_xlfn.XLOOKUP("Service_Insecure_Match",'Scoring_Config'!$A:$A,'Scoring_Config'!$D:$D,"Yes")="Yes",_xlfn.XLOOKUP("Service_Insecure_Match",'Scoring_Config'!$A:$A,'Scoring_Config'!$C:$C,20),0),0)+IF(LEFT(AN119,4)="True",IF(_xlfn.XLOOKUP("Risky_Inbound",'Scoring_Config'!$A:$A,'Scoring_Config'!$D:$D,"Yes")="Yes",_xlfn.XLOOKUP("Risky_Inbound",'Scoring_Config'!$A:$A,'Scoring_Config'!$C:$C,20),0),0)+IF(LEFT(AO119,4)="True",IF(_xlfn.XLOOKUP("Risky_Outbound",'Scoring_Config'!$A:$A,'Scoring_Config'!$D:$D,"Yes")="Yes",_xlfn.XLOOKUP("Risky_Outbound",'Scoring_Config'!$A:$A,'Scoring_Config'!$C:$C,10),0),0)+IF(LEFT(AW119,4)="True",IF(_xlfn.XLOOKUP("Migrate_Insecure",'Scoring_Config'!$A:$A,'Scoring_Config'!$D:$D,"Yes")="Yes",_xlfn.XLOOKUP("Migrate_Insecure",'Scoring_Config'!$A:$A,'Scoring_Config'!$C:$C,15),0),0)+IF(LEFT(AY119,4)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119,FIND(",",AP119)+1,100)),0)+IF(LEFT(AQ119,4)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119,FIND(",",AR119)+1,100)),0)+IF(_xlfn.XLOOKUP("Profile_Scoring",'Scoring_Config'!$A:$A,'Scoring_Config'!$D:$D,"Yes")="Yes",VALUE(MID(AS119,FIND(",",AS119)+1,100)),0)+IF(_xlfn.XLOOKUP("Options_Scoring",'Scoring_Config'!$A:$A,'Scoring_Config'!$D:$D,"Yes")="Yes",VALUE(MID(AT119,FIND(",",AT119)+1,100)),0)))</f>
        <v>0</v>
      </c>
    </row>
    <row r="120" spans="1:52">
      <c r="A120" s="3" t="s">
        <v>52</v>
      </c>
      <c r="B120" s="3" t="s">
        <v>123</v>
      </c>
      <c r="C120" s="3" t="s">
        <v>329</v>
      </c>
      <c r="D120" s="3"/>
      <c r="E120" s="3" t="s">
        <v>359</v>
      </c>
      <c r="F120" s="3" t="s">
        <v>364</v>
      </c>
      <c r="G120" s="3" t="s">
        <v>405</v>
      </c>
      <c r="H120" s="3" t="s">
        <v>561</v>
      </c>
      <c r="I120" s="3" t="s">
        <v>365</v>
      </c>
      <c r="J120" s="3" t="s">
        <v>363</v>
      </c>
      <c r="K120" s="3" t="s">
        <v>663</v>
      </c>
      <c r="L120" s="3" t="s">
        <v>663</v>
      </c>
      <c r="M120" s="3" t="s">
        <v>775</v>
      </c>
      <c r="N120" s="3" t="s">
        <v>796</v>
      </c>
      <c r="O120" s="4" t="s">
        <v>819</v>
      </c>
      <c r="P120" s="3" t="s">
        <v>880</v>
      </c>
      <c r="Q120" s="3" t="s">
        <v>905</v>
      </c>
      <c r="R120" s="3" t="s">
        <v>906</v>
      </c>
      <c r="S120" s="3" t="s">
        <v>912</v>
      </c>
      <c r="T120" s="3" t="s">
        <v>997</v>
      </c>
      <c r="U120" s="3" t="s">
        <v>1157</v>
      </c>
      <c r="V120" s="3" t="s">
        <v>1387</v>
      </c>
      <c r="W120" s="3" t="s">
        <v>1468</v>
      </c>
      <c r="X120" s="3" t="s">
        <v>1724</v>
      </c>
      <c r="Y120" s="3" t="s">
        <v>2193</v>
      </c>
      <c r="Z120" s="3"/>
      <c r="AA120" s="3"/>
      <c r="AB120" s="3"/>
      <c r="AC120" s="4" cm="1">
        <f t="array" ref="AC120">IF(FALSE,"True," &amp; IF(_xlfn.XLOOKUP("Src_IsAny",'Scoring_Config'!$A:$A,'Scoring_Config'!$D:$D,"Yes")="Yes",_xlfn.XLOOKUP("Src_IsAny",'Scoring_Config'!$A:$A,'Scoring_Config'!$C:$C,25),0),"False,0")</f>
        <v>0</v>
      </c>
      <c r="AD120" s="4" cm="1">
        <f t="array" ref="AD120">IF(FALSE,"True," &amp; IF(_xlfn.XLOOKUP("Src_CIDR_Le_16",'Scoring_Config'!$A:$A,'Scoring_Config'!$D:$D,"Yes")="Yes",_xlfn.XLOOKUP("Src_CIDR_Le_16",'Scoring_Config'!$A:$A,'Scoring_Config'!$C:$C,25),0),"False,0")</f>
        <v>0</v>
      </c>
      <c r="AE120" s="4" cm="1">
        <f t="array" ref="AE120">IF(FALSE,"True," &amp; IF(_xlfn.XLOOKUP("Src_CIDR_17_22",'Scoring_Config'!$A:$A,'Scoring_Config'!$D:$D,"Yes")="Yes",_xlfn.XLOOKUP("Src_CIDR_17_22",'Scoring_Config'!$A:$A,'Scoring_Config'!$C:$C,15),0),"False,0")</f>
        <v>0</v>
      </c>
      <c r="AF120" s="4" cm="1">
        <f t="array" ref="AF120">IF(FALSE,"True," &amp; IF(_xlfn.XLOOKUP("Dst_IsAny",'Scoring_Config'!$A:$A,'Scoring_Config'!$D:$D,"Yes")="Yes",_xlfn.XLOOKUP("Dst_IsAny",'Scoring_Config'!$A:$A,'Scoring_Config'!$C:$C,25),0),"False,0")</f>
        <v>0</v>
      </c>
      <c r="AG120" s="4" cm="1">
        <f t="array" ref="AG120">IF(FALSE,"True," &amp; IF(_xlfn.XLOOKUP("Dst_CIDR_Le_16",'Scoring_Config'!$A:$A,'Scoring_Config'!$D:$D,"Yes")="Yes",_xlfn.XLOOKUP("Dst_CIDR_Le_16",'Scoring_Config'!$A:$A,'Scoring_Config'!$C:$C,25),0),"False,0")</f>
        <v>0</v>
      </c>
      <c r="AH120" s="5" cm="1">
        <f t="array" ref="AH120">IF(TRUE,"True," &amp; IF(_xlfn.XLOOKUP("Dst_CIDR_17_22",'Scoring_Config'!$A:$A,'Scoring_Config'!$D:$D,"Yes")="Yes",_xlfn.XLOOKUP("Dst_CIDR_17_22",'Scoring_Config'!$A:$A,'Scoring_Config'!$C:$C,15),0),"False,0")</f>
        <v>0</v>
      </c>
      <c r="AI120" s="4" cm="1">
        <f t="array" ref="AI120">IF(FALSE,"True," &amp; IF(_xlfn.XLOOKUP("SrcZone_IsAny",'Scoring_Config'!$A:$A,'Scoring_Config'!$D:$D,"Yes")="Yes",_xlfn.XLOOKUP("SrcZone_IsAny",'Scoring_Config'!$A:$A,'Scoring_Config'!$C:$C,5),0),"False,0")</f>
        <v>0</v>
      </c>
      <c r="AJ120" s="4" cm="1">
        <f t="array" ref="AJ120">IF(FALSE,"True," &amp; IF(_xlfn.XLOOKUP("DstZone_IsAny",'Scoring_Config'!$A:$A,'Scoring_Config'!$D:$D,"Yes")="Yes",_xlfn.XLOOKUP("DstZone_IsAny",'Scoring_Config'!$A:$A,'Scoring_Config'!$C:$C,5),0),"False,0")</f>
        <v>0</v>
      </c>
      <c r="AK120" s="4" cm="1">
        <f t="array" ref="AK12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0" s="4" cm="1">
        <f t="array" ref="AL120">IF(FALSE,"True," &amp; IF(_xlfn.XLOOKUP("App_Any_OR_RangeGt1000",'Scoring_Config'!$A:$A,'Scoring_Config'!$D:$D,"Yes")="Yes",_xlfn.XLOOKUP("App_Any_OR_RangeGt1000",'Scoring_Config'!$A:$A,'Scoring_Config'!$C:$C,25),0),"False,0")</f>
        <v>0</v>
      </c>
      <c r="AM120" s="5" cm="1">
        <f t="array" ref="AM120">IF(TRUE,"True," &amp; IF(_xlfn.XLOOKUP("Service_Insecure_Match",'Scoring_Config'!$A:$A,'Scoring_Config'!$D:$D,"Yes")="Yes",_xlfn.XLOOKUP("Service_Insecure_Match",'Scoring_Config'!$A:$A,'Scoring_Config'!$C:$C,20),0),"False,0")</f>
        <v>0</v>
      </c>
      <c r="AN120" s="4" cm="1">
        <f t="array" ref="AN120">IF(FALSE,"True," &amp; IF(_xlfn.XLOOKUP("Risky_Inbound",'Scoring_Config'!$A:$A,'Scoring_Config'!$D:$D,"Yes")="Yes",_xlfn.XLOOKUP("Risky_Inbound",'Scoring_Config'!$A:$A,'Scoring_Config'!$C:$C,20),0),"False,0")</f>
        <v>0</v>
      </c>
      <c r="AO120" s="4" cm="1">
        <f t="array" ref="AO120">IF(FALSE,"True," &amp; IF(_xlfn.XLOOKUP("Risky_Outbound",'Scoring_Config'!$A:$A,'Scoring_Config'!$D:$D,"Yes")="Yes",_xlfn.XLOOKUP("Risky_Outbound",'Scoring_Config'!$A:$A,'Scoring_Config'!$C:$C,10),0),"False,0")</f>
        <v>0</v>
      </c>
      <c r="AP120" s="5" t="s">
        <v>2595</v>
      </c>
      <c r="AQ120" s="5" cm="1">
        <f t="array" ref="AQ12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0" s="4" t="s">
        <v>2592</v>
      </c>
      <c r="AS120" s="4" t="s">
        <v>2592</v>
      </c>
      <c r="AT120" s="4" t="s">
        <v>2592</v>
      </c>
      <c r="AU120" s="4" cm="1">
        <f t="array" ref="AU120">IF(FALSE,"True," &amp; IF(_xlfn.XLOOKUP("Action_IsDenyOrDrop",'Scoring_Config'!$A:$A,'Scoring_Config'!$D:$D,"Yes")="Yes",_xlfn.XLOOKUP("Action_IsDenyOrDrop",'Scoring_Config'!$A:$A,'Scoring_Config'!$C:$C,0),0),"False,0")</f>
        <v>0</v>
      </c>
      <c r="AV120" s="4"/>
      <c r="AW120" s="4" cm="1">
        <f t="array" ref="AW120">IF(FALSE,"True," &amp; IF(_xlfn.XLOOKUP("Migrate_Insecure",'Scoring_Config'!$A:$A,'Scoring_Config'!$D:$D,"Yes")="Yes",_xlfn.XLOOKUP("Migrate_Insecure",'Scoring_Config'!$A:$A,'Scoring_Config'!$C:$C,15),0),"False,0")</f>
        <v>0</v>
      </c>
      <c r="AX120" s="4"/>
      <c r="AY120" s="4" cm="1">
        <f t="array" ref="AY120">IF(FALSE,"True," &amp; IF(_xlfn.XLOOKUP("Migrate_Other_Ports",'Scoring_Config'!$A:$A,'Scoring_Config'!$D:$D,"Yes")="Yes",_xlfn.XLOOKUP("Migrate_Other_Ports",'Scoring_Config'!$A:$A,'Scoring_Config'!$C:$C,5),0),"False,0")</f>
        <v>0</v>
      </c>
      <c r="AZ120" s="4" cm="1">
        <f t="array" ref="AZ120">IF(LEFT(AU120,4)="True",0,(IF(LEFT(AC120,4)="True",IF(_xlfn.XLOOKUP("Src_IsAny",'Scoring_Config'!$A:$A,'Scoring_Config'!$D:$D,"Yes")="Yes",_xlfn.XLOOKUP("Src_IsAny",'Scoring_Config'!$A:$A,'Scoring_Config'!$C:$C,25),0),0)+IF(LEFT(AD120,4)="True",IF(_xlfn.XLOOKUP("Src_CIDR_Le_16",'Scoring_Config'!$A:$A,'Scoring_Config'!$D:$D,"Yes")="Yes",_xlfn.XLOOKUP("Src_CIDR_Le_16",'Scoring_Config'!$A:$A,'Scoring_Config'!$C:$C,25),0),0)+IF(LEFT(AE120,4)="True",IF(_xlfn.XLOOKUP("Src_CIDR_17_22",'Scoring_Config'!$A:$A,'Scoring_Config'!$D:$D,"Yes")="Yes",_xlfn.XLOOKUP("Src_CIDR_17_22",'Scoring_Config'!$A:$A,'Scoring_Config'!$C:$C,15),0),0)+IF(LEFT(AF120,4)="True",IF(_xlfn.XLOOKUP("Dst_IsAny",'Scoring_Config'!$A:$A,'Scoring_Config'!$D:$D,"Yes")="Yes",_xlfn.XLOOKUP("Dst_IsAny",'Scoring_Config'!$A:$A,'Scoring_Config'!$C:$C,25),0),0)+IF(LEFT(AG120,4)="True",IF(_xlfn.XLOOKUP("Dst_CIDR_Le_16",'Scoring_Config'!$A:$A,'Scoring_Config'!$D:$D,"Yes")="Yes",_xlfn.XLOOKUP("Dst_CIDR_Le_16",'Scoring_Config'!$A:$A,'Scoring_Config'!$C:$C,25),0),0)+IF(LEFT(AH120,4)="True",IF(_xlfn.XLOOKUP("Dst_CIDR_17_22",'Scoring_Config'!$A:$A,'Scoring_Config'!$D:$D,"Yes")="Yes",_xlfn.XLOOKUP("Dst_CIDR_17_22",'Scoring_Config'!$A:$A,'Scoring_Config'!$C:$C,15),0),0)+IF(LEFT(AI120,4)="True",IF(_xlfn.XLOOKUP("SrcZone_IsAny",'Scoring_Config'!$A:$A,'Scoring_Config'!$D:$D,"Yes")="Yes",_xlfn.XLOOKUP("SrcZone_IsAny",'Scoring_Config'!$A:$A,'Scoring_Config'!$C:$C,5),0),0)+IF(LEFT(AJ120,4)="True",IF(_xlfn.XLOOKUP("DstZone_IsAny",'Scoring_Config'!$A:$A,'Scoring_Config'!$D:$D,"Yes")="Yes",_xlfn.XLOOKUP("DstZone_IsAny",'Scoring_Config'!$A:$A,'Scoring_Config'!$C:$C,5),0),0)+IF(LEFT(AK120,4)="True",IF(_xlfn.XLOOKUP("Service_Any_OR_RangeGt1000",'Scoring_Config'!$A:$A,'Scoring_Config'!$D:$D,"Yes")="Yes",_xlfn.XLOOKUP("Service_Any_OR_RangeGt1000",'Scoring_Config'!$A:$A,'Scoring_Config'!$C:$C,25),0),0)+IF(LEFT(AL120,4)="True",IF(_xlfn.XLOOKUP("App_Any_OR_RangeGt1000",'Scoring_Config'!$A:$A,'Scoring_Config'!$D:$D,"Yes")="Yes",_xlfn.XLOOKUP("App_Any_OR_RangeGt1000",'Scoring_Config'!$A:$A,'Scoring_Config'!$C:$C,25),0),0)+IF(LEFT(AM120,4)="True",IF(_xlfn.XLOOKUP("Service_Insecure_Match",'Scoring_Config'!$A:$A,'Scoring_Config'!$D:$D,"Yes")="Yes",_xlfn.XLOOKUP("Service_Insecure_Match",'Scoring_Config'!$A:$A,'Scoring_Config'!$C:$C,20),0),0)+IF(LEFT(AN120,4)="True",IF(_xlfn.XLOOKUP("Risky_Inbound",'Scoring_Config'!$A:$A,'Scoring_Config'!$D:$D,"Yes")="Yes",_xlfn.XLOOKUP("Risky_Inbound",'Scoring_Config'!$A:$A,'Scoring_Config'!$C:$C,20),0),0)+IF(LEFT(AO120,4)="True",IF(_xlfn.XLOOKUP("Risky_Outbound",'Scoring_Config'!$A:$A,'Scoring_Config'!$D:$D,"Yes")="Yes",_xlfn.XLOOKUP("Risky_Outbound",'Scoring_Config'!$A:$A,'Scoring_Config'!$C:$C,10),0),0)+IF(LEFT(AW120,4)="True",IF(_xlfn.XLOOKUP("Migrate_Insecure",'Scoring_Config'!$A:$A,'Scoring_Config'!$D:$D,"Yes")="Yes",_xlfn.XLOOKUP("Migrate_Insecure",'Scoring_Config'!$A:$A,'Scoring_Config'!$C:$C,15),0),0)+IF(LEFT(AY120,4)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120,FIND(",",AP120)+1,100)),0)+IF(LEFT(AQ120,4)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120,FIND(",",AR120)+1,100)),0)+IF(_xlfn.XLOOKUP("Profile_Scoring",'Scoring_Config'!$A:$A,'Scoring_Config'!$D:$D,"Yes")="Yes",VALUE(MID(AS120,FIND(",",AS120)+1,100)),0)+IF(_xlfn.XLOOKUP("Options_Scoring",'Scoring_Config'!$A:$A,'Scoring_Config'!$D:$D,"Yes")="Yes",VALUE(MID(AT120,FIND(",",AT120)+1,100)),0)))</f>
        <v>0</v>
      </c>
    </row>
    <row r="121" spans="1:52">
      <c r="A121" s="3" t="s">
        <v>52</v>
      </c>
      <c r="B121" s="3" t="s">
        <v>149</v>
      </c>
      <c r="C121" s="3" t="s">
        <v>329</v>
      </c>
      <c r="D121" s="3"/>
      <c r="E121" s="3" t="s">
        <v>359</v>
      </c>
      <c r="F121" s="3" t="s">
        <v>362</v>
      </c>
      <c r="G121" s="3" t="s">
        <v>367</v>
      </c>
      <c r="H121" s="3" t="s">
        <v>539</v>
      </c>
      <c r="I121" s="3" t="s">
        <v>622</v>
      </c>
      <c r="J121" s="3" t="s">
        <v>360</v>
      </c>
      <c r="K121" s="3" t="s">
        <v>664</v>
      </c>
      <c r="L121" s="3" t="s">
        <v>664</v>
      </c>
      <c r="M121" s="3" t="s">
        <v>768</v>
      </c>
      <c r="N121" s="3" t="s">
        <v>791</v>
      </c>
      <c r="O121" s="4" t="s">
        <v>816</v>
      </c>
      <c r="P121" s="3" t="s">
        <v>877</v>
      </c>
      <c r="Q121" s="3" t="s">
        <v>905</v>
      </c>
      <c r="R121" s="3" t="s">
        <v>910</v>
      </c>
      <c r="S121" s="3" t="s">
        <v>907</v>
      </c>
      <c r="T121" s="3" t="s">
        <v>998</v>
      </c>
      <c r="U121" s="3" t="s">
        <v>1207</v>
      </c>
      <c r="V121" s="3" t="s">
        <v>789</v>
      </c>
      <c r="W121" s="3" t="s">
        <v>1469</v>
      </c>
      <c r="X121" s="3" t="s">
        <v>1725</v>
      </c>
      <c r="Y121" s="3" t="s">
        <v>2194</v>
      </c>
      <c r="Z121" s="3"/>
      <c r="AA121" s="3"/>
      <c r="AB121" s="3"/>
      <c r="AC121" s="5" cm="1">
        <f t="array" ref="AC121">IF(TRUE,"True," &amp; IF(_xlfn.XLOOKUP("Src_IsAny",'Scoring_Config'!$A:$A,'Scoring_Config'!$D:$D,"Yes")="Yes",_xlfn.XLOOKUP("Src_IsAny",'Scoring_Config'!$A:$A,'Scoring_Config'!$C:$C,25),0),"False,0")</f>
        <v>0</v>
      </c>
      <c r="AD121" s="4" cm="1">
        <f t="array" ref="AD121">IF(FALSE,"True," &amp; IF(_xlfn.XLOOKUP("Src_CIDR_Le_16",'Scoring_Config'!$A:$A,'Scoring_Config'!$D:$D,"Yes")="Yes",_xlfn.XLOOKUP("Src_CIDR_Le_16",'Scoring_Config'!$A:$A,'Scoring_Config'!$C:$C,25),0),"False,0")</f>
        <v>0</v>
      </c>
      <c r="AE121" s="4" cm="1">
        <f t="array" ref="AE121">IF(FALSE,"True," &amp; IF(_xlfn.XLOOKUP("Src_CIDR_17_22",'Scoring_Config'!$A:$A,'Scoring_Config'!$D:$D,"Yes")="Yes",_xlfn.XLOOKUP("Src_CIDR_17_22",'Scoring_Config'!$A:$A,'Scoring_Config'!$C:$C,15),0),"False,0")</f>
        <v>0</v>
      </c>
      <c r="AF121" s="4" cm="1">
        <f t="array" ref="AF121">IF(FALSE,"True," &amp; IF(_xlfn.XLOOKUP("Dst_IsAny",'Scoring_Config'!$A:$A,'Scoring_Config'!$D:$D,"Yes")="Yes",_xlfn.XLOOKUP("Dst_IsAny",'Scoring_Config'!$A:$A,'Scoring_Config'!$C:$C,25),0),"False,0")</f>
        <v>0</v>
      </c>
      <c r="AG121" s="4" cm="1">
        <f t="array" ref="AG121">IF(FALSE,"True," &amp; IF(_xlfn.XLOOKUP("Dst_CIDR_Le_16",'Scoring_Config'!$A:$A,'Scoring_Config'!$D:$D,"Yes")="Yes",_xlfn.XLOOKUP("Dst_CIDR_Le_16",'Scoring_Config'!$A:$A,'Scoring_Config'!$C:$C,25),0),"False,0")</f>
        <v>0</v>
      </c>
      <c r="AH121" s="5" cm="1">
        <f t="array" ref="AH121">IF(TRUE,"True," &amp; IF(_xlfn.XLOOKUP("Dst_CIDR_17_22",'Scoring_Config'!$A:$A,'Scoring_Config'!$D:$D,"Yes")="Yes",_xlfn.XLOOKUP("Dst_CIDR_17_22",'Scoring_Config'!$A:$A,'Scoring_Config'!$C:$C,15),0),"False,0")</f>
        <v>0</v>
      </c>
      <c r="AI121" s="4" cm="1">
        <f t="array" ref="AI121">IF(FALSE,"True," &amp; IF(_xlfn.XLOOKUP("SrcZone_IsAny",'Scoring_Config'!$A:$A,'Scoring_Config'!$D:$D,"Yes")="Yes",_xlfn.XLOOKUP("SrcZone_IsAny",'Scoring_Config'!$A:$A,'Scoring_Config'!$C:$C,5),0),"False,0")</f>
        <v>0</v>
      </c>
      <c r="AJ121" s="4" cm="1">
        <f t="array" ref="AJ121">IF(FALSE,"True," &amp; IF(_xlfn.XLOOKUP("DstZone_IsAny",'Scoring_Config'!$A:$A,'Scoring_Config'!$D:$D,"Yes")="Yes",_xlfn.XLOOKUP("DstZone_IsAny",'Scoring_Config'!$A:$A,'Scoring_Config'!$C:$C,5),0),"False,0")</f>
        <v>0</v>
      </c>
      <c r="AK121" s="4" cm="1">
        <f t="array" ref="AK12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1" s="5" cm="1">
        <f t="array" ref="AL121">IF(TRUE,"True," &amp; IF(_xlfn.XLOOKUP("App_Any_OR_RangeGt1000",'Scoring_Config'!$A:$A,'Scoring_Config'!$D:$D,"Yes")="Yes",_xlfn.XLOOKUP("App_Any_OR_RangeGt1000",'Scoring_Config'!$A:$A,'Scoring_Config'!$C:$C,25),0),"False,0")</f>
        <v>0</v>
      </c>
      <c r="AM121" s="5" cm="1">
        <f t="array" ref="AM121">IF(TRUE,"True," &amp; IF(_xlfn.XLOOKUP("Service_Insecure_Match",'Scoring_Config'!$A:$A,'Scoring_Config'!$D:$D,"Yes")="Yes",_xlfn.XLOOKUP("Service_Insecure_Match",'Scoring_Config'!$A:$A,'Scoring_Config'!$C:$C,20),0),"False,0")</f>
        <v>0</v>
      </c>
      <c r="AN121" s="4" cm="1">
        <f t="array" ref="AN121">IF(FALSE,"True," &amp; IF(_xlfn.XLOOKUP("Risky_Inbound",'Scoring_Config'!$A:$A,'Scoring_Config'!$D:$D,"Yes")="Yes",_xlfn.XLOOKUP("Risky_Inbound",'Scoring_Config'!$A:$A,'Scoring_Config'!$C:$C,20),0),"False,0")</f>
        <v>0</v>
      </c>
      <c r="AO121" s="4" cm="1">
        <f t="array" ref="AO121">IF(FALSE,"True," &amp; IF(_xlfn.XLOOKUP("Risky_Outbound",'Scoring_Config'!$A:$A,'Scoring_Config'!$D:$D,"Yes")="Yes",_xlfn.XLOOKUP("Risky_Outbound",'Scoring_Config'!$A:$A,'Scoring_Config'!$C:$C,10),0),"False,0")</f>
        <v>0</v>
      </c>
      <c r="AP121" s="5" t="s">
        <v>2595</v>
      </c>
      <c r="AQ121" s="4" cm="1">
        <f t="array" ref="AQ12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1" s="5" t="s">
        <v>2598</v>
      </c>
      <c r="AS121" s="4" t="s">
        <v>2592</v>
      </c>
      <c r="AT121" s="5" t="s">
        <v>2595</v>
      </c>
      <c r="AU121" s="4" cm="1">
        <f t="array" ref="AU121">IF(FALSE,"True," &amp; IF(_xlfn.XLOOKUP("Action_IsDenyOrDrop",'Scoring_Config'!$A:$A,'Scoring_Config'!$D:$D,"Yes")="Yes",_xlfn.XLOOKUP("Action_IsDenyOrDrop",'Scoring_Config'!$A:$A,'Scoring_Config'!$C:$C,0),0),"False,0")</f>
        <v>0</v>
      </c>
      <c r="AV121" s="4"/>
      <c r="AW121" s="4" cm="1">
        <f t="array" ref="AW121">IF(FALSE,"True," &amp; IF(_xlfn.XLOOKUP("Migrate_Insecure",'Scoring_Config'!$A:$A,'Scoring_Config'!$D:$D,"Yes")="Yes",_xlfn.XLOOKUP("Migrate_Insecure",'Scoring_Config'!$A:$A,'Scoring_Config'!$C:$C,15),0),"False,0")</f>
        <v>0</v>
      </c>
      <c r="AX121" s="4"/>
      <c r="AY121" s="4" cm="1">
        <f t="array" ref="AY121">IF(FALSE,"True," &amp; IF(_xlfn.XLOOKUP("Migrate_Other_Ports",'Scoring_Config'!$A:$A,'Scoring_Config'!$D:$D,"Yes")="Yes",_xlfn.XLOOKUP("Migrate_Other_Ports",'Scoring_Config'!$A:$A,'Scoring_Config'!$C:$C,5),0),"False,0")</f>
        <v>0</v>
      </c>
      <c r="AZ121" s="4" cm="1">
        <f t="array" ref="AZ121">IF(LEFT(AU121,4)="True",0,(IF(LEFT(AC121,4)="True",IF(_xlfn.XLOOKUP("Src_IsAny",'Scoring_Config'!$A:$A,'Scoring_Config'!$D:$D,"Yes")="Yes",_xlfn.XLOOKUP("Src_IsAny",'Scoring_Config'!$A:$A,'Scoring_Config'!$C:$C,25),0),0)+IF(LEFT(AD121,4)="True",IF(_xlfn.XLOOKUP("Src_CIDR_Le_16",'Scoring_Config'!$A:$A,'Scoring_Config'!$D:$D,"Yes")="Yes",_xlfn.XLOOKUP("Src_CIDR_Le_16",'Scoring_Config'!$A:$A,'Scoring_Config'!$C:$C,25),0),0)+IF(LEFT(AE121,4)="True",IF(_xlfn.XLOOKUP("Src_CIDR_17_22",'Scoring_Config'!$A:$A,'Scoring_Config'!$D:$D,"Yes")="Yes",_xlfn.XLOOKUP("Src_CIDR_17_22",'Scoring_Config'!$A:$A,'Scoring_Config'!$C:$C,15),0),0)+IF(LEFT(AF121,4)="True",IF(_xlfn.XLOOKUP("Dst_IsAny",'Scoring_Config'!$A:$A,'Scoring_Config'!$D:$D,"Yes")="Yes",_xlfn.XLOOKUP("Dst_IsAny",'Scoring_Config'!$A:$A,'Scoring_Config'!$C:$C,25),0),0)+IF(LEFT(AG121,4)="True",IF(_xlfn.XLOOKUP("Dst_CIDR_Le_16",'Scoring_Config'!$A:$A,'Scoring_Config'!$D:$D,"Yes")="Yes",_xlfn.XLOOKUP("Dst_CIDR_Le_16",'Scoring_Config'!$A:$A,'Scoring_Config'!$C:$C,25),0),0)+IF(LEFT(AH121,4)="True",IF(_xlfn.XLOOKUP("Dst_CIDR_17_22",'Scoring_Config'!$A:$A,'Scoring_Config'!$D:$D,"Yes")="Yes",_xlfn.XLOOKUP("Dst_CIDR_17_22",'Scoring_Config'!$A:$A,'Scoring_Config'!$C:$C,15),0),0)+IF(LEFT(AI121,4)="True",IF(_xlfn.XLOOKUP("SrcZone_IsAny",'Scoring_Config'!$A:$A,'Scoring_Config'!$D:$D,"Yes")="Yes",_xlfn.XLOOKUP("SrcZone_IsAny",'Scoring_Config'!$A:$A,'Scoring_Config'!$C:$C,5),0),0)+IF(LEFT(AJ121,4)="True",IF(_xlfn.XLOOKUP("DstZone_IsAny",'Scoring_Config'!$A:$A,'Scoring_Config'!$D:$D,"Yes")="Yes",_xlfn.XLOOKUP("DstZone_IsAny",'Scoring_Config'!$A:$A,'Scoring_Config'!$C:$C,5),0),0)+IF(LEFT(AK121,4)="True",IF(_xlfn.XLOOKUP("Service_Any_OR_RangeGt1000",'Scoring_Config'!$A:$A,'Scoring_Config'!$D:$D,"Yes")="Yes",_xlfn.XLOOKUP("Service_Any_OR_RangeGt1000",'Scoring_Config'!$A:$A,'Scoring_Config'!$C:$C,25),0),0)+IF(LEFT(AL121,4)="True",IF(_xlfn.XLOOKUP("App_Any_OR_RangeGt1000",'Scoring_Config'!$A:$A,'Scoring_Config'!$D:$D,"Yes")="Yes",_xlfn.XLOOKUP("App_Any_OR_RangeGt1000",'Scoring_Config'!$A:$A,'Scoring_Config'!$C:$C,25),0),0)+IF(LEFT(AM121,4)="True",IF(_xlfn.XLOOKUP("Service_Insecure_Match",'Scoring_Config'!$A:$A,'Scoring_Config'!$D:$D,"Yes")="Yes",_xlfn.XLOOKUP("Service_Insecure_Match",'Scoring_Config'!$A:$A,'Scoring_Config'!$C:$C,20),0),0)+IF(LEFT(AN121,4)="True",IF(_xlfn.XLOOKUP("Risky_Inbound",'Scoring_Config'!$A:$A,'Scoring_Config'!$D:$D,"Yes")="Yes",_xlfn.XLOOKUP("Risky_Inbound",'Scoring_Config'!$A:$A,'Scoring_Config'!$C:$C,20),0),0)+IF(LEFT(AO121,4)="True",IF(_xlfn.XLOOKUP("Risky_Outbound",'Scoring_Config'!$A:$A,'Scoring_Config'!$D:$D,"Yes")="Yes",_xlfn.XLOOKUP("Risky_Outbound",'Scoring_Config'!$A:$A,'Scoring_Config'!$C:$C,10),0),0)+IF(LEFT(AW121,4)="True",IF(_xlfn.XLOOKUP("Migrate_Insecure",'Scoring_Config'!$A:$A,'Scoring_Config'!$D:$D,"Yes")="Yes",_xlfn.XLOOKUP("Migrate_Insecure",'Scoring_Config'!$A:$A,'Scoring_Config'!$C:$C,15),0),0)+IF(LEFT(AY121,4)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121,FIND(",",AP121)+1,100)),0)+IF(LEFT(AQ121,4)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121,FIND(",",AR121)+1,100)),0)+IF(_xlfn.XLOOKUP("Profile_Scoring",'Scoring_Config'!$A:$A,'Scoring_Config'!$D:$D,"Yes")="Yes",VALUE(MID(AS121,FIND(",",AS121)+1,100)),0)+IF(_xlfn.XLOOKUP("Options_Scoring",'Scoring_Config'!$A:$A,'Scoring_Config'!$D:$D,"Yes")="Yes",VALUE(MID(AT121,FIND(",",AT121)+1,100)),0)))</f>
        <v>0</v>
      </c>
    </row>
    <row r="122" spans="1:52">
      <c r="A122" s="3" t="s">
        <v>53</v>
      </c>
      <c r="B122" s="3" t="s">
        <v>135</v>
      </c>
      <c r="C122" s="3" t="s">
        <v>330</v>
      </c>
      <c r="D122" s="3"/>
      <c r="E122" s="3" t="s">
        <v>359</v>
      </c>
      <c r="F122" s="3" t="s">
        <v>361</v>
      </c>
      <c r="G122" s="3" t="s">
        <v>365</v>
      </c>
      <c r="H122" s="3" t="s">
        <v>365</v>
      </c>
      <c r="I122" s="3" t="s">
        <v>625</v>
      </c>
      <c r="J122" s="3" t="s">
        <v>360</v>
      </c>
      <c r="K122" s="3" t="s">
        <v>365</v>
      </c>
      <c r="L122" s="3" t="s">
        <v>365</v>
      </c>
      <c r="M122" s="3" t="s">
        <v>365</v>
      </c>
      <c r="N122" s="3" t="s">
        <v>365</v>
      </c>
      <c r="O122" s="4" t="s">
        <v>807</v>
      </c>
      <c r="P122" s="3" t="s">
        <v>868</v>
      </c>
      <c r="Q122" s="3" t="s">
        <v>905</v>
      </c>
      <c r="R122" s="3" t="s">
        <v>907</v>
      </c>
      <c r="S122" s="3" t="s">
        <v>913</v>
      </c>
      <c r="T122" s="3" t="s">
        <v>999</v>
      </c>
      <c r="U122" s="3"/>
      <c r="V122" s="3" t="s">
        <v>772</v>
      </c>
      <c r="W122" s="3" t="s">
        <v>1470</v>
      </c>
      <c r="X122" s="3" t="s">
        <v>1726</v>
      </c>
      <c r="Y122" s="3" t="s">
        <v>2195</v>
      </c>
      <c r="Z122" s="3"/>
      <c r="AA122" s="3"/>
      <c r="AB122" s="3"/>
      <c r="AC122" s="5" cm="1">
        <f t="array" ref="AC122">IF(TRUE,"True," &amp; IF(_xlfn.XLOOKUP("Src_IsAny",'Scoring_Config'!$A:$A,'Scoring_Config'!$D:$D,"Yes")="Yes",_xlfn.XLOOKUP("Src_IsAny",'Scoring_Config'!$A:$A,'Scoring_Config'!$C:$C,25),0),"False,0")</f>
        <v>0</v>
      </c>
      <c r="AD122" s="4" cm="1">
        <f t="array" ref="AD122">IF(FALSE,"True," &amp; IF(_xlfn.XLOOKUP("Src_CIDR_Le_16",'Scoring_Config'!$A:$A,'Scoring_Config'!$D:$D,"Yes")="Yes",_xlfn.XLOOKUP("Src_CIDR_Le_16",'Scoring_Config'!$A:$A,'Scoring_Config'!$C:$C,25),0),"False,0")</f>
        <v>0</v>
      </c>
      <c r="AE122" s="4" cm="1">
        <f t="array" ref="AE122">IF(FALSE,"True," &amp; IF(_xlfn.XLOOKUP("Src_CIDR_17_22",'Scoring_Config'!$A:$A,'Scoring_Config'!$D:$D,"Yes")="Yes",_xlfn.XLOOKUP("Src_CIDR_17_22",'Scoring_Config'!$A:$A,'Scoring_Config'!$C:$C,15),0),"False,0")</f>
        <v>0</v>
      </c>
      <c r="AF122" s="5" cm="1">
        <f t="array" ref="AF122">IF(TRUE,"True," &amp; IF(_xlfn.XLOOKUP("Dst_IsAny",'Scoring_Config'!$A:$A,'Scoring_Config'!$D:$D,"Yes")="Yes",_xlfn.XLOOKUP("Dst_IsAny",'Scoring_Config'!$A:$A,'Scoring_Config'!$C:$C,25),0),"False,0")</f>
        <v>0</v>
      </c>
      <c r="AG122" s="4" cm="1">
        <f t="array" ref="AG122">IF(FALSE,"True," &amp; IF(_xlfn.XLOOKUP("Dst_CIDR_Le_16",'Scoring_Config'!$A:$A,'Scoring_Config'!$D:$D,"Yes")="Yes",_xlfn.XLOOKUP("Dst_CIDR_Le_16",'Scoring_Config'!$A:$A,'Scoring_Config'!$C:$C,25),0),"False,0")</f>
        <v>0</v>
      </c>
      <c r="AH122" s="4" cm="1">
        <f t="array" ref="AH122">IF(FALSE,"True," &amp; IF(_xlfn.XLOOKUP("Dst_CIDR_17_22",'Scoring_Config'!$A:$A,'Scoring_Config'!$D:$D,"Yes")="Yes",_xlfn.XLOOKUP("Dst_CIDR_17_22",'Scoring_Config'!$A:$A,'Scoring_Config'!$C:$C,15),0),"False,0")</f>
        <v>0</v>
      </c>
      <c r="AI122" s="4" cm="1">
        <f t="array" ref="AI122">IF(FALSE,"True," &amp; IF(_xlfn.XLOOKUP("SrcZone_IsAny",'Scoring_Config'!$A:$A,'Scoring_Config'!$D:$D,"Yes")="Yes",_xlfn.XLOOKUP("SrcZone_IsAny",'Scoring_Config'!$A:$A,'Scoring_Config'!$C:$C,5),0),"False,0")</f>
        <v>0</v>
      </c>
      <c r="AJ122" s="4" cm="1">
        <f t="array" ref="AJ122">IF(FALSE,"True," &amp; IF(_xlfn.XLOOKUP("DstZone_IsAny",'Scoring_Config'!$A:$A,'Scoring_Config'!$D:$D,"Yes")="Yes",_xlfn.XLOOKUP("DstZone_IsAny",'Scoring_Config'!$A:$A,'Scoring_Config'!$C:$C,5),0),"False,0")</f>
        <v>0</v>
      </c>
      <c r="AK122" s="4" cm="1">
        <f t="array" ref="AK12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2" s="5" cm="1">
        <f t="array" ref="AL122">IF(TRUE,"True," &amp; IF(_xlfn.XLOOKUP("App_Any_OR_RangeGt1000",'Scoring_Config'!$A:$A,'Scoring_Config'!$D:$D,"Yes")="Yes",_xlfn.XLOOKUP("App_Any_OR_RangeGt1000",'Scoring_Config'!$A:$A,'Scoring_Config'!$C:$C,25),0),"False,0")</f>
        <v>0</v>
      </c>
      <c r="AM122" s="5" cm="1">
        <f t="array" ref="AM122">IF(TRUE,"True," &amp; IF(_xlfn.XLOOKUP("Service_Insecure_Match",'Scoring_Config'!$A:$A,'Scoring_Config'!$D:$D,"Yes")="Yes",_xlfn.XLOOKUP("Service_Insecure_Match",'Scoring_Config'!$A:$A,'Scoring_Config'!$C:$C,20),0),"False,0")</f>
        <v>0</v>
      </c>
      <c r="AN122" s="4" cm="1">
        <f t="array" ref="AN122">IF(FALSE,"True," &amp; IF(_xlfn.XLOOKUP("Risky_Inbound",'Scoring_Config'!$A:$A,'Scoring_Config'!$D:$D,"Yes")="Yes",_xlfn.XLOOKUP("Risky_Inbound",'Scoring_Config'!$A:$A,'Scoring_Config'!$C:$C,20),0),"False,0")</f>
        <v>0</v>
      </c>
      <c r="AO122" s="4" cm="1">
        <f t="array" ref="AO122">IF(FALSE,"True," &amp; IF(_xlfn.XLOOKUP("Risky_Outbound",'Scoring_Config'!$A:$A,'Scoring_Config'!$D:$D,"Yes")="Yes",_xlfn.XLOOKUP("Risky_Outbound",'Scoring_Config'!$A:$A,'Scoring_Config'!$C:$C,10),0),"False,0")</f>
        <v>0</v>
      </c>
      <c r="AP122" s="5" t="s">
        <v>2595</v>
      </c>
      <c r="AQ122" s="5" cm="1">
        <f t="array" ref="AQ12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2" s="5" t="s">
        <v>2598</v>
      </c>
      <c r="AS122" s="5" t="s">
        <v>2595</v>
      </c>
      <c r="AT122" s="4" t="s">
        <v>2592</v>
      </c>
      <c r="AU122" s="4" cm="1">
        <f t="array" ref="AU122">IF(FALSE,"True," &amp; IF(_xlfn.XLOOKUP("Action_IsDenyOrDrop",'Scoring_Config'!$A:$A,'Scoring_Config'!$D:$D,"Yes")="Yes",_xlfn.XLOOKUP("Action_IsDenyOrDrop",'Scoring_Config'!$A:$A,'Scoring_Config'!$C:$C,0),0),"False,0")</f>
        <v>0</v>
      </c>
      <c r="AV122" s="4"/>
      <c r="AW122" s="4" cm="1">
        <f t="array" ref="AW122">IF(FALSE,"True," &amp; IF(_xlfn.XLOOKUP("Migrate_Insecure",'Scoring_Config'!$A:$A,'Scoring_Config'!$D:$D,"Yes")="Yes",_xlfn.XLOOKUP("Migrate_Insecure",'Scoring_Config'!$A:$A,'Scoring_Config'!$C:$C,15),0),"False,0")</f>
        <v>0</v>
      </c>
      <c r="AX122" s="4"/>
      <c r="AY122" s="4" cm="1">
        <f t="array" ref="AY122">IF(FALSE,"True," &amp; IF(_xlfn.XLOOKUP("Migrate_Other_Ports",'Scoring_Config'!$A:$A,'Scoring_Config'!$D:$D,"Yes")="Yes",_xlfn.XLOOKUP("Migrate_Other_Ports",'Scoring_Config'!$A:$A,'Scoring_Config'!$C:$C,5),0),"False,0")</f>
        <v>0</v>
      </c>
      <c r="AZ122" s="4" cm="1">
        <f t="array" ref="AZ122">IF(LEFT(AU122,4)="True",0,(IF(LEFT(AC122,4)="True",IF(_xlfn.XLOOKUP("Src_IsAny",'Scoring_Config'!$A:$A,'Scoring_Config'!$D:$D,"Yes")="Yes",_xlfn.XLOOKUP("Src_IsAny",'Scoring_Config'!$A:$A,'Scoring_Config'!$C:$C,25),0),0)+IF(LEFT(AD122,4)="True",IF(_xlfn.XLOOKUP("Src_CIDR_Le_16",'Scoring_Config'!$A:$A,'Scoring_Config'!$D:$D,"Yes")="Yes",_xlfn.XLOOKUP("Src_CIDR_Le_16",'Scoring_Config'!$A:$A,'Scoring_Config'!$C:$C,25),0),0)+IF(LEFT(AE122,4)="True",IF(_xlfn.XLOOKUP("Src_CIDR_17_22",'Scoring_Config'!$A:$A,'Scoring_Config'!$D:$D,"Yes")="Yes",_xlfn.XLOOKUP("Src_CIDR_17_22",'Scoring_Config'!$A:$A,'Scoring_Config'!$C:$C,15),0),0)+IF(LEFT(AF122,4)="True",IF(_xlfn.XLOOKUP("Dst_IsAny",'Scoring_Config'!$A:$A,'Scoring_Config'!$D:$D,"Yes")="Yes",_xlfn.XLOOKUP("Dst_IsAny",'Scoring_Config'!$A:$A,'Scoring_Config'!$C:$C,25),0),0)+IF(LEFT(AG122,4)="True",IF(_xlfn.XLOOKUP("Dst_CIDR_Le_16",'Scoring_Config'!$A:$A,'Scoring_Config'!$D:$D,"Yes")="Yes",_xlfn.XLOOKUP("Dst_CIDR_Le_16",'Scoring_Config'!$A:$A,'Scoring_Config'!$C:$C,25),0),0)+IF(LEFT(AH122,4)="True",IF(_xlfn.XLOOKUP("Dst_CIDR_17_22",'Scoring_Config'!$A:$A,'Scoring_Config'!$D:$D,"Yes")="Yes",_xlfn.XLOOKUP("Dst_CIDR_17_22",'Scoring_Config'!$A:$A,'Scoring_Config'!$C:$C,15),0),0)+IF(LEFT(AI122,4)="True",IF(_xlfn.XLOOKUP("SrcZone_IsAny",'Scoring_Config'!$A:$A,'Scoring_Config'!$D:$D,"Yes")="Yes",_xlfn.XLOOKUP("SrcZone_IsAny",'Scoring_Config'!$A:$A,'Scoring_Config'!$C:$C,5),0),0)+IF(LEFT(AJ122,4)="True",IF(_xlfn.XLOOKUP("DstZone_IsAny",'Scoring_Config'!$A:$A,'Scoring_Config'!$D:$D,"Yes")="Yes",_xlfn.XLOOKUP("DstZone_IsAny",'Scoring_Config'!$A:$A,'Scoring_Config'!$C:$C,5),0),0)+IF(LEFT(AK122,4)="True",IF(_xlfn.XLOOKUP("Service_Any_OR_RangeGt1000",'Scoring_Config'!$A:$A,'Scoring_Config'!$D:$D,"Yes")="Yes",_xlfn.XLOOKUP("Service_Any_OR_RangeGt1000",'Scoring_Config'!$A:$A,'Scoring_Config'!$C:$C,25),0),0)+IF(LEFT(AL122,4)="True",IF(_xlfn.XLOOKUP("App_Any_OR_RangeGt1000",'Scoring_Config'!$A:$A,'Scoring_Config'!$D:$D,"Yes")="Yes",_xlfn.XLOOKUP("App_Any_OR_RangeGt1000",'Scoring_Config'!$A:$A,'Scoring_Config'!$C:$C,25),0),0)+IF(LEFT(AM122,4)="True",IF(_xlfn.XLOOKUP("Service_Insecure_Match",'Scoring_Config'!$A:$A,'Scoring_Config'!$D:$D,"Yes")="Yes",_xlfn.XLOOKUP("Service_Insecure_Match",'Scoring_Config'!$A:$A,'Scoring_Config'!$C:$C,20),0),0)+IF(LEFT(AN122,4)="True",IF(_xlfn.XLOOKUP("Risky_Inbound",'Scoring_Config'!$A:$A,'Scoring_Config'!$D:$D,"Yes")="Yes",_xlfn.XLOOKUP("Risky_Inbound",'Scoring_Config'!$A:$A,'Scoring_Config'!$C:$C,20),0),0)+IF(LEFT(AO122,4)="True",IF(_xlfn.XLOOKUP("Risky_Outbound",'Scoring_Config'!$A:$A,'Scoring_Config'!$D:$D,"Yes")="Yes",_xlfn.XLOOKUP("Risky_Outbound",'Scoring_Config'!$A:$A,'Scoring_Config'!$C:$C,10),0),0)+IF(LEFT(AW122,4)="True",IF(_xlfn.XLOOKUP("Migrate_Insecure",'Scoring_Config'!$A:$A,'Scoring_Config'!$D:$D,"Yes")="Yes",_xlfn.XLOOKUP("Migrate_Insecure",'Scoring_Config'!$A:$A,'Scoring_Config'!$C:$C,15),0),0)+IF(LEFT(AY122,4)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122,FIND(",",AP122)+1,100)),0)+IF(LEFT(AQ122,4)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122,FIND(",",AR122)+1,100)),0)+IF(_xlfn.XLOOKUP("Profile_Scoring",'Scoring_Config'!$A:$A,'Scoring_Config'!$D:$D,"Yes")="Yes",VALUE(MID(AS122,FIND(",",AS122)+1,100)),0)+IF(_xlfn.XLOOKUP("Options_Scoring",'Scoring_Config'!$A:$A,'Scoring_Config'!$D:$D,"Yes")="Yes",VALUE(MID(AT122,FIND(",",AT122)+1,100)),0)))</f>
        <v>0</v>
      </c>
    </row>
    <row r="123" spans="1:52">
      <c r="A123" s="3" t="s">
        <v>53</v>
      </c>
      <c r="B123" s="3" t="s">
        <v>150</v>
      </c>
      <c r="C123" s="3" t="s">
        <v>330</v>
      </c>
      <c r="D123" s="3"/>
      <c r="E123" s="3" t="s">
        <v>359</v>
      </c>
      <c r="F123" s="3" t="s">
        <v>362</v>
      </c>
      <c r="G123" s="3" t="s">
        <v>406</v>
      </c>
      <c r="H123" s="3" t="s">
        <v>406</v>
      </c>
      <c r="I123" s="3" t="s">
        <v>365</v>
      </c>
      <c r="J123" s="3" t="s">
        <v>360</v>
      </c>
      <c r="K123" s="3" t="s">
        <v>412</v>
      </c>
      <c r="L123" s="3" t="s">
        <v>566</v>
      </c>
      <c r="M123" s="3" t="s">
        <v>775</v>
      </c>
      <c r="N123" s="3" t="s">
        <v>796</v>
      </c>
      <c r="O123" s="4" t="s">
        <v>831</v>
      </c>
      <c r="P123" s="3" t="s">
        <v>892</v>
      </c>
      <c r="Q123" s="3" t="s">
        <v>905</v>
      </c>
      <c r="R123" s="3" t="s">
        <v>911</v>
      </c>
      <c r="S123" s="3" t="s">
        <v>914</v>
      </c>
      <c r="T123" s="3" t="s">
        <v>1000</v>
      </c>
      <c r="U123" s="3" t="s">
        <v>1208</v>
      </c>
      <c r="V123" s="3" t="s">
        <v>1387</v>
      </c>
      <c r="W123" s="3" t="s">
        <v>1417</v>
      </c>
      <c r="X123" s="3" t="s">
        <v>1727</v>
      </c>
      <c r="Y123" s="3" t="s">
        <v>2196</v>
      </c>
      <c r="Z123" s="3"/>
      <c r="AA123" s="3"/>
      <c r="AB123" s="3"/>
      <c r="AC123" s="4" cm="1">
        <f t="array" ref="AC123">IF(FALSE,"True," &amp; IF(_xlfn.XLOOKUP("Src_IsAny",'Scoring_Config'!$A:$A,'Scoring_Config'!$D:$D,"Yes")="Yes",_xlfn.XLOOKUP("Src_IsAny",'Scoring_Config'!$A:$A,'Scoring_Config'!$C:$C,25),0),"False,0")</f>
        <v>0</v>
      </c>
      <c r="AD123" s="4" cm="1">
        <f t="array" ref="AD123">IF(FALSE,"True," &amp; IF(_xlfn.XLOOKUP("Src_CIDR_Le_16",'Scoring_Config'!$A:$A,'Scoring_Config'!$D:$D,"Yes")="Yes",_xlfn.XLOOKUP("Src_CIDR_Le_16",'Scoring_Config'!$A:$A,'Scoring_Config'!$C:$C,25),0),"False,0")</f>
        <v>0</v>
      </c>
      <c r="AE123" s="4" cm="1">
        <f t="array" ref="AE123">IF(FALSE,"True," &amp; IF(_xlfn.XLOOKUP("Src_CIDR_17_22",'Scoring_Config'!$A:$A,'Scoring_Config'!$D:$D,"Yes")="Yes",_xlfn.XLOOKUP("Src_CIDR_17_22",'Scoring_Config'!$A:$A,'Scoring_Config'!$C:$C,15),0),"False,0")</f>
        <v>0</v>
      </c>
      <c r="AF123" s="5" cm="1">
        <f t="array" ref="AF123">IF(TRUE,"True," &amp; IF(_xlfn.XLOOKUP("Dst_IsAny",'Scoring_Config'!$A:$A,'Scoring_Config'!$D:$D,"Yes")="Yes",_xlfn.XLOOKUP("Dst_IsAny",'Scoring_Config'!$A:$A,'Scoring_Config'!$C:$C,25),0),"False,0")</f>
        <v>0</v>
      </c>
      <c r="AG123" s="5" cm="1">
        <f t="array" ref="AG123">IF(TRUE,"True," &amp; IF(_xlfn.XLOOKUP("Dst_CIDR_Le_16",'Scoring_Config'!$A:$A,'Scoring_Config'!$D:$D,"Yes")="Yes",_xlfn.XLOOKUP("Dst_CIDR_Le_16",'Scoring_Config'!$A:$A,'Scoring_Config'!$C:$C,25),0),"False,0")</f>
        <v>0</v>
      </c>
      <c r="AH123" s="4" cm="1">
        <f t="array" ref="AH123">IF(FALSE,"True," &amp; IF(_xlfn.XLOOKUP("Dst_CIDR_17_22",'Scoring_Config'!$A:$A,'Scoring_Config'!$D:$D,"Yes")="Yes",_xlfn.XLOOKUP("Dst_CIDR_17_22",'Scoring_Config'!$A:$A,'Scoring_Config'!$C:$C,15),0),"False,0")</f>
        <v>0</v>
      </c>
      <c r="AI123" s="4" cm="1">
        <f t="array" ref="AI123">IF(FALSE,"True," &amp; IF(_xlfn.XLOOKUP("SrcZone_IsAny",'Scoring_Config'!$A:$A,'Scoring_Config'!$D:$D,"Yes")="Yes",_xlfn.XLOOKUP("SrcZone_IsAny",'Scoring_Config'!$A:$A,'Scoring_Config'!$C:$C,5),0),"False,0")</f>
        <v>0</v>
      </c>
      <c r="AJ123" s="4" cm="1">
        <f t="array" ref="AJ123">IF(FALSE,"True," &amp; IF(_xlfn.XLOOKUP("DstZone_IsAny",'Scoring_Config'!$A:$A,'Scoring_Config'!$D:$D,"Yes")="Yes",_xlfn.XLOOKUP("DstZone_IsAny",'Scoring_Config'!$A:$A,'Scoring_Config'!$C:$C,5),0),"False,0")</f>
        <v>0</v>
      </c>
      <c r="AK123" s="4" cm="1">
        <f t="array" ref="AK12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3" s="4" cm="1">
        <f t="array" ref="AL123">IF(FALSE,"True," &amp; IF(_xlfn.XLOOKUP("App_Any_OR_RangeGt1000",'Scoring_Config'!$A:$A,'Scoring_Config'!$D:$D,"Yes")="Yes",_xlfn.XLOOKUP("App_Any_OR_RangeGt1000",'Scoring_Config'!$A:$A,'Scoring_Config'!$C:$C,25),0),"False,0")</f>
        <v>0</v>
      </c>
      <c r="AM123" s="5" cm="1">
        <f t="array" ref="AM123">IF(TRUE,"True," &amp; IF(_xlfn.XLOOKUP("Service_Insecure_Match",'Scoring_Config'!$A:$A,'Scoring_Config'!$D:$D,"Yes")="Yes",_xlfn.XLOOKUP("Service_Insecure_Match",'Scoring_Config'!$A:$A,'Scoring_Config'!$C:$C,20),0),"False,0")</f>
        <v>0</v>
      </c>
      <c r="AN123" s="4" cm="1">
        <f t="array" ref="AN123">IF(FALSE,"True," &amp; IF(_xlfn.XLOOKUP("Risky_Inbound",'Scoring_Config'!$A:$A,'Scoring_Config'!$D:$D,"Yes")="Yes",_xlfn.XLOOKUP("Risky_Inbound",'Scoring_Config'!$A:$A,'Scoring_Config'!$C:$C,20),0),"False,0")</f>
        <v>0</v>
      </c>
      <c r="AO123" s="4" cm="1">
        <f t="array" ref="AO123">IF(FALSE,"True," &amp; IF(_xlfn.XLOOKUP("Risky_Outbound",'Scoring_Config'!$A:$A,'Scoring_Config'!$D:$D,"Yes")="Yes",_xlfn.XLOOKUP("Risky_Outbound",'Scoring_Config'!$A:$A,'Scoring_Config'!$C:$C,10),0),"False,0")</f>
        <v>0</v>
      </c>
      <c r="AP123" s="5" t="s">
        <v>2595</v>
      </c>
      <c r="AQ123" s="4" cm="1">
        <f t="array" ref="AQ12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3" s="4" t="s">
        <v>2592</v>
      </c>
      <c r="AS123" s="4" t="s">
        <v>2592</v>
      </c>
      <c r="AT123" s="4" t="s">
        <v>2592</v>
      </c>
      <c r="AU123" s="4" cm="1">
        <f t="array" ref="AU123">IF(FALSE,"True," &amp; IF(_xlfn.XLOOKUP("Action_IsDenyOrDrop",'Scoring_Config'!$A:$A,'Scoring_Config'!$D:$D,"Yes")="Yes",_xlfn.XLOOKUP("Action_IsDenyOrDrop",'Scoring_Config'!$A:$A,'Scoring_Config'!$C:$C,0),0),"False,0")</f>
        <v>0</v>
      </c>
      <c r="AV123" s="4"/>
      <c r="AW123" s="4" cm="1">
        <f t="array" ref="AW123">IF(FALSE,"True," &amp; IF(_xlfn.XLOOKUP("Migrate_Insecure",'Scoring_Config'!$A:$A,'Scoring_Config'!$D:$D,"Yes")="Yes",_xlfn.XLOOKUP("Migrate_Insecure",'Scoring_Config'!$A:$A,'Scoring_Config'!$C:$C,15),0),"False,0")</f>
        <v>0</v>
      </c>
      <c r="AX123" s="4"/>
      <c r="AY123" s="4" cm="1">
        <f t="array" ref="AY123">IF(FALSE,"True," &amp; IF(_xlfn.XLOOKUP("Migrate_Other_Ports",'Scoring_Config'!$A:$A,'Scoring_Config'!$D:$D,"Yes")="Yes",_xlfn.XLOOKUP("Migrate_Other_Ports",'Scoring_Config'!$A:$A,'Scoring_Config'!$C:$C,5),0),"False,0")</f>
        <v>0</v>
      </c>
      <c r="AZ123" s="4" cm="1">
        <f t="array" ref="AZ123">IF(LEFT(AU123,4)="True",0,(IF(LEFT(AC123,4)="True",IF(_xlfn.XLOOKUP("Src_IsAny",'Scoring_Config'!$A:$A,'Scoring_Config'!$D:$D,"Yes")="Yes",_xlfn.XLOOKUP("Src_IsAny",'Scoring_Config'!$A:$A,'Scoring_Config'!$C:$C,25),0),0)+IF(LEFT(AD123,4)="True",IF(_xlfn.XLOOKUP("Src_CIDR_Le_16",'Scoring_Config'!$A:$A,'Scoring_Config'!$D:$D,"Yes")="Yes",_xlfn.XLOOKUP("Src_CIDR_Le_16",'Scoring_Config'!$A:$A,'Scoring_Config'!$C:$C,25),0),0)+IF(LEFT(AE123,4)="True",IF(_xlfn.XLOOKUP("Src_CIDR_17_22",'Scoring_Config'!$A:$A,'Scoring_Config'!$D:$D,"Yes")="Yes",_xlfn.XLOOKUP("Src_CIDR_17_22",'Scoring_Config'!$A:$A,'Scoring_Config'!$C:$C,15),0),0)+IF(LEFT(AF123,4)="True",IF(_xlfn.XLOOKUP("Dst_IsAny",'Scoring_Config'!$A:$A,'Scoring_Config'!$D:$D,"Yes")="Yes",_xlfn.XLOOKUP("Dst_IsAny",'Scoring_Config'!$A:$A,'Scoring_Config'!$C:$C,25),0),0)+IF(LEFT(AG123,4)="True",IF(_xlfn.XLOOKUP("Dst_CIDR_Le_16",'Scoring_Config'!$A:$A,'Scoring_Config'!$D:$D,"Yes")="Yes",_xlfn.XLOOKUP("Dst_CIDR_Le_16",'Scoring_Config'!$A:$A,'Scoring_Config'!$C:$C,25),0),0)+IF(LEFT(AH123,4)="True",IF(_xlfn.XLOOKUP("Dst_CIDR_17_22",'Scoring_Config'!$A:$A,'Scoring_Config'!$D:$D,"Yes")="Yes",_xlfn.XLOOKUP("Dst_CIDR_17_22",'Scoring_Config'!$A:$A,'Scoring_Config'!$C:$C,15),0),0)+IF(LEFT(AI123,4)="True",IF(_xlfn.XLOOKUP("SrcZone_IsAny",'Scoring_Config'!$A:$A,'Scoring_Config'!$D:$D,"Yes")="Yes",_xlfn.XLOOKUP("SrcZone_IsAny",'Scoring_Config'!$A:$A,'Scoring_Config'!$C:$C,5),0),0)+IF(LEFT(AJ123,4)="True",IF(_xlfn.XLOOKUP("DstZone_IsAny",'Scoring_Config'!$A:$A,'Scoring_Config'!$D:$D,"Yes")="Yes",_xlfn.XLOOKUP("DstZone_IsAny",'Scoring_Config'!$A:$A,'Scoring_Config'!$C:$C,5),0),0)+IF(LEFT(AK123,4)="True",IF(_xlfn.XLOOKUP("Service_Any_OR_RangeGt1000",'Scoring_Config'!$A:$A,'Scoring_Config'!$D:$D,"Yes")="Yes",_xlfn.XLOOKUP("Service_Any_OR_RangeGt1000",'Scoring_Config'!$A:$A,'Scoring_Config'!$C:$C,25),0),0)+IF(LEFT(AL123,4)="True",IF(_xlfn.XLOOKUP("App_Any_OR_RangeGt1000",'Scoring_Config'!$A:$A,'Scoring_Config'!$D:$D,"Yes")="Yes",_xlfn.XLOOKUP("App_Any_OR_RangeGt1000",'Scoring_Config'!$A:$A,'Scoring_Config'!$C:$C,25),0),0)+IF(LEFT(AM123,4)="True",IF(_xlfn.XLOOKUP("Service_Insecure_Match",'Scoring_Config'!$A:$A,'Scoring_Config'!$D:$D,"Yes")="Yes",_xlfn.XLOOKUP("Service_Insecure_Match",'Scoring_Config'!$A:$A,'Scoring_Config'!$C:$C,20),0),0)+IF(LEFT(AN123,4)="True",IF(_xlfn.XLOOKUP("Risky_Inbound",'Scoring_Config'!$A:$A,'Scoring_Config'!$D:$D,"Yes")="Yes",_xlfn.XLOOKUP("Risky_Inbound",'Scoring_Config'!$A:$A,'Scoring_Config'!$C:$C,20),0),0)+IF(LEFT(AO123,4)="True",IF(_xlfn.XLOOKUP("Risky_Outbound",'Scoring_Config'!$A:$A,'Scoring_Config'!$D:$D,"Yes")="Yes",_xlfn.XLOOKUP("Risky_Outbound",'Scoring_Config'!$A:$A,'Scoring_Config'!$C:$C,10),0),0)+IF(LEFT(AW123,4)="True",IF(_xlfn.XLOOKUP("Migrate_Insecure",'Scoring_Config'!$A:$A,'Scoring_Config'!$D:$D,"Yes")="Yes",_xlfn.XLOOKUP("Migrate_Insecure",'Scoring_Config'!$A:$A,'Scoring_Config'!$C:$C,15),0),0)+IF(LEFT(AY123,4)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123,FIND(",",AP123)+1,100)),0)+IF(LEFT(AQ123,4)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123,FIND(",",AR123)+1,100)),0)+IF(_xlfn.XLOOKUP("Profile_Scoring",'Scoring_Config'!$A:$A,'Scoring_Config'!$D:$D,"Yes")="Yes",VALUE(MID(AS123,FIND(",",AS123)+1,100)),0)+IF(_xlfn.XLOOKUP("Options_Scoring",'Scoring_Config'!$A:$A,'Scoring_Config'!$D:$D,"Yes")="Yes",VALUE(MID(AT123,FIND(",",AT123)+1,100)),0)))</f>
        <v>0</v>
      </c>
    </row>
    <row r="124" spans="1:52">
      <c r="A124" s="3" t="s">
        <v>53</v>
      </c>
      <c r="B124" s="3" t="s">
        <v>151</v>
      </c>
      <c r="C124" s="3" t="s">
        <v>330</v>
      </c>
      <c r="D124" s="3"/>
      <c r="E124" s="3" t="s">
        <v>359</v>
      </c>
      <c r="F124" s="3" t="s">
        <v>361</v>
      </c>
      <c r="G124" s="3" t="s">
        <v>365</v>
      </c>
      <c r="H124" s="3" t="s">
        <v>365</v>
      </c>
      <c r="I124" s="3" t="s">
        <v>625</v>
      </c>
      <c r="J124" s="3" t="s">
        <v>364</v>
      </c>
      <c r="K124" s="3" t="s">
        <v>412</v>
      </c>
      <c r="L124" s="3" t="s">
        <v>566</v>
      </c>
      <c r="M124" s="3" t="s">
        <v>771</v>
      </c>
      <c r="N124" s="3" t="s">
        <v>793</v>
      </c>
      <c r="O124" s="4" t="s">
        <v>811</v>
      </c>
      <c r="P124" s="3" t="s">
        <v>872</v>
      </c>
      <c r="Q124" s="3" t="s">
        <v>905</v>
      </c>
      <c r="R124" s="3" t="s">
        <v>906</v>
      </c>
      <c r="S124" s="3" t="s">
        <v>907</v>
      </c>
      <c r="T124" s="3" t="s">
        <v>1001</v>
      </c>
      <c r="U124" s="3" t="s">
        <v>1157</v>
      </c>
      <c r="V124" s="3" t="s">
        <v>1389</v>
      </c>
      <c r="W124" s="3" t="s">
        <v>1471</v>
      </c>
      <c r="X124" s="3" t="s">
        <v>1728</v>
      </c>
      <c r="Y124" s="3" t="s">
        <v>2197</v>
      </c>
      <c r="Z124" s="3"/>
      <c r="AA124" s="3"/>
      <c r="AB124" s="3"/>
      <c r="AC124" s="5" cm="1">
        <f t="array" ref="AC124">IF(TRUE,"True," &amp; IF(_xlfn.XLOOKUP("Src_IsAny",'Scoring_Config'!$A:$A,'Scoring_Config'!$D:$D,"Yes")="Yes",_xlfn.XLOOKUP("Src_IsAny",'Scoring_Config'!$A:$A,'Scoring_Config'!$C:$C,25),0),"False,0")</f>
        <v>0</v>
      </c>
      <c r="AD124" s="4" cm="1">
        <f t="array" ref="AD124">IF(FALSE,"True," &amp; IF(_xlfn.XLOOKUP("Src_CIDR_Le_16",'Scoring_Config'!$A:$A,'Scoring_Config'!$D:$D,"Yes")="Yes",_xlfn.XLOOKUP("Src_CIDR_Le_16",'Scoring_Config'!$A:$A,'Scoring_Config'!$C:$C,25),0),"False,0")</f>
        <v>0</v>
      </c>
      <c r="AE124" s="4" cm="1">
        <f t="array" ref="AE124">IF(FALSE,"True," &amp; IF(_xlfn.XLOOKUP("Src_CIDR_17_22",'Scoring_Config'!$A:$A,'Scoring_Config'!$D:$D,"Yes")="Yes",_xlfn.XLOOKUP("Src_CIDR_17_22",'Scoring_Config'!$A:$A,'Scoring_Config'!$C:$C,15),0),"False,0")</f>
        <v>0</v>
      </c>
      <c r="AF124" s="5" cm="1">
        <f t="array" ref="AF124">IF(TRUE,"True," &amp; IF(_xlfn.XLOOKUP("Dst_IsAny",'Scoring_Config'!$A:$A,'Scoring_Config'!$D:$D,"Yes")="Yes",_xlfn.XLOOKUP("Dst_IsAny",'Scoring_Config'!$A:$A,'Scoring_Config'!$C:$C,25),0),"False,0")</f>
        <v>0</v>
      </c>
      <c r="AG124" s="5" cm="1">
        <f t="array" ref="AG124">IF(TRUE,"True," &amp; IF(_xlfn.XLOOKUP("Dst_CIDR_Le_16",'Scoring_Config'!$A:$A,'Scoring_Config'!$D:$D,"Yes")="Yes",_xlfn.XLOOKUP("Dst_CIDR_Le_16",'Scoring_Config'!$A:$A,'Scoring_Config'!$C:$C,25),0),"False,0")</f>
        <v>0</v>
      </c>
      <c r="AH124" s="4" cm="1">
        <f t="array" ref="AH124">IF(FALSE,"True," &amp; IF(_xlfn.XLOOKUP("Dst_CIDR_17_22",'Scoring_Config'!$A:$A,'Scoring_Config'!$D:$D,"Yes")="Yes",_xlfn.XLOOKUP("Dst_CIDR_17_22",'Scoring_Config'!$A:$A,'Scoring_Config'!$C:$C,15),0),"False,0")</f>
        <v>0</v>
      </c>
      <c r="AI124" s="4" cm="1">
        <f t="array" ref="AI124">IF(FALSE,"True," &amp; IF(_xlfn.XLOOKUP("SrcZone_IsAny",'Scoring_Config'!$A:$A,'Scoring_Config'!$D:$D,"Yes")="Yes",_xlfn.XLOOKUP("SrcZone_IsAny",'Scoring_Config'!$A:$A,'Scoring_Config'!$C:$C,5),0),"False,0")</f>
        <v>0</v>
      </c>
      <c r="AJ124" s="4" cm="1">
        <f t="array" ref="AJ124">IF(FALSE,"True," &amp; IF(_xlfn.XLOOKUP("DstZone_IsAny",'Scoring_Config'!$A:$A,'Scoring_Config'!$D:$D,"Yes")="Yes",_xlfn.XLOOKUP("DstZone_IsAny",'Scoring_Config'!$A:$A,'Scoring_Config'!$C:$C,5),0),"False,0")</f>
        <v>0</v>
      </c>
      <c r="AK124" s="4" cm="1">
        <f t="array" ref="AK12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4" s="4" cm="1">
        <f t="array" ref="AL124">IF(FALSE,"True," &amp; IF(_xlfn.XLOOKUP("App_Any_OR_RangeGt1000",'Scoring_Config'!$A:$A,'Scoring_Config'!$D:$D,"Yes")="Yes",_xlfn.XLOOKUP("App_Any_OR_RangeGt1000",'Scoring_Config'!$A:$A,'Scoring_Config'!$C:$C,25),0),"False,0")</f>
        <v>0</v>
      </c>
      <c r="AM124" s="5" cm="1">
        <f t="array" ref="AM124">IF(TRUE,"True," &amp; IF(_xlfn.XLOOKUP("Service_Insecure_Match",'Scoring_Config'!$A:$A,'Scoring_Config'!$D:$D,"Yes")="Yes",_xlfn.XLOOKUP("Service_Insecure_Match",'Scoring_Config'!$A:$A,'Scoring_Config'!$C:$C,20),0),"False,0")</f>
        <v>0</v>
      </c>
      <c r="AN124" s="4" cm="1">
        <f t="array" ref="AN124">IF(FALSE,"True," &amp; IF(_xlfn.XLOOKUP("Risky_Inbound",'Scoring_Config'!$A:$A,'Scoring_Config'!$D:$D,"Yes")="Yes",_xlfn.XLOOKUP("Risky_Inbound",'Scoring_Config'!$A:$A,'Scoring_Config'!$C:$C,20),0),"False,0")</f>
        <v>0</v>
      </c>
      <c r="AO124" s="4" cm="1">
        <f t="array" ref="AO124">IF(FALSE,"True," &amp; IF(_xlfn.XLOOKUP("Risky_Outbound",'Scoring_Config'!$A:$A,'Scoring_Config'!$D:$D,"Yes")="Yes",_xlfn.XLOOKUP("Risky_Outbound",'Scoring_Config'!$A:$A,'Scoring_Config'!$C:$C,10),0),"False,0")</f>
        <v>0</v>
      </c>
      <c r="AP124" s="5" t="s">
        <v>2595</v>
      </c>
      <c r="AQ124" s="5" cm="1">
        <f t="array" ref="AQ12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4" s="5" t="s">
        <v>2598</v>
      </c>
      <c r="AS124" s="4" t="s">
        <v>2592</v>
      </c>
      <c r="AT124" s="5" t="s">
        <v>2595</v>
      </c>
      <c r="AU124" s="4" cm="1">
        <f t="array" ref="AU124">IF(FALSE,"True," &amp; IF(_xlfn.XLOOKUP("Action_IsDenyOrDrop",'Scoring_Config'!$A:$A,'Scoring_Config'!$D:$D,"Yes")="Yes",_xlfn.XLOOKUP("Action_IsDenyOrDrop",'Scoring_Config'!$A:$A,'Scoring_Config'!$C:$C,0),0),"False,0")</f>
        <v>0</v>
      </c>
      <c r="AV124" s="4"/>
      <c r="AW124" s="4" cm="1">
        <f t="array" ref="AW124">IF(FALSE,"True," &amp; IF(_xlfn.XLOOKUP("Migrate_Insecure",'Scoring_Config'!$A:$A,'Scoring_Config'!$D:$D,"Yes")="Yes",_xlfn.XLOOKUP("Migrate_Insecure",'Scoring_Config'!$A:$A,'Scoring_Config'!$C:$C,15),0),"False,0")</f>
        <v>0</v>
      </c>
      <c r="AX124" s="4"/>
      <c r="AY124" s="4" cm="1">
        <f t="array" ref="AY124">IF(FALSE,"True," &amp; IF(_xlfn.XLOOKUP("Migrate_Other_Ports",'Scoring_Config'!$A:$A,'Scoring_Config'!$D:$D,"Yes")="Yes",_xlfn.XLOOKUP("Migrate_Other_Ports",'Scoring_Config'!$A:$A,'Scoring_Config'!$C:$C,5),0),"False,0")</f>
        <v>0</v>
      </c>
      <c r="AZ124" s="4" cm="1">
        <f t="array" ref="AZ124">IF(LEFT(AU124,4)="True",0,(IF(LEFT(AC124,4)="True",IF(_xlfn.XLOOKUP("Src_IsAny",'Scoring_Config'!$A:$A,'Scoring_Config'!$D:$D,"Yes")="Yes",_xlfn.XLOOKUP("Src_IsAny",'Scoring_Config'!$A:$A,'Scoring_Config'!$C:$C,25),0),0)+IF(LEFT(AD124,4)="True",IF(_xlfn.XLOOKUP("Src_CIDR_Le_16",'Scoring_Config'!$A:$A,'Scoring_Config'!$D:$D,"Yes")="Yes",_xlfn.XLOOKUP("Src_CIDR_Le_16",'Scoring_Config'!$A:$A,'Scoring_Config'!$C:$C,25),0),0)+IF(LEFT(AE124,4)="True",IF(_xlfn.XLOOKUP("Src_CIDR_17_22",'Scoring_Config'!$A:$A,'Scoring_Config'!$D:$D,"Yes")="Yes",_xlfn.XLOOKUP("Src_CIDR_17_22",'Scoring_Config'!$A:$A,'Scoring_Config'!$C:$C,15),0),0)+IF(LEFT(AF124,4)="True",IF(_xlfn.XLOOKUP("Dst_IsAny",'Scoring_Config'!$A:$A,'Scoring_Config'!$D:$D,"Yes")="Yes",_xlfn.XLOOKUP("Dst_IsAny",'Scoring_Config'!$A:$A,'Scoring_Config'!$C:$C,25),0),0)+IF(LEFT(AG124,4)="True",IF(_xlfn.XLOOKUP("Dst_CIDR_Le_16",'Scoring_Config'!$A:$A,'Scoring_Config'!$D:$D,"Yes")="Yes",_xlfn.XLOOKUP("Dst_CIDR_Le_16",'Scoring_Config'!$A:$A,'Scoring_Config'!$C:$C,25),0),0)+IF(LEFT(AH124,4)="True",IF(_xlfn.XLOOKUP("Dst_CIDR_17_22",'Scoring_Config'!$A:$A,'Scoring_Config'!$D:$D,"Yes")="Yes",_xlfn.XLOOKUP("Dst_CIDR_17_22",'Scoring_Config'!$A:$A,'Scoring_Config'!$C:$C,15),0),0)+IF(LEFT(AI124,4)="True",IF(_xlfn.XLOOKUP("SrcZone_IsAny",'Scoring_Config'!$A:$A,'Scoring_Config'!$D:$D,"Yes")="Yes",_xlfn.XLOOKUP("SrcZone_IsAny",'Scoring_Config'!$A:$A,'Scoring_Config'!$C:$C,5),0),0)+IF(LEFT(AJ124,4)="True",IF(_xlfn.XLOOKUP("DstZone_IsAny",'Scoring_Config'!$A:$A,'Scoring_Config'!$D:$D,"Yes")="Yes",_xlfn.XLOOKUP("DstZone_IsAny",'Scoring_Config'!$A:$A,'Scoring_Config'!$C:$C,5),0),0)+IF(LEFT(AK124,4)="True",IF(_xlfn.XLOOKUP("Service_Any_OR_RangeGt1000",'Scoring_Config'!$A:$A,'Scoring_Config'!$D:$D,"Yes")="Yes",_xlfn.XLOOKUP("Service_Any_OR_RangeGt1000",'Scoring_Config'!$A:$A,'Scoring_Config'!$C:$C,25),0),0)+IF(LEFT(AL124,4)="True",IF(_xlfn.XLOOKUP("App_Any_OR_RangeGt1000",'Scoring_Config'!$A:$A,'Scoring_Config'!$D:$D,"Yes")="Yes",_xlfn.XLOOKUP("App_Any_OR_RangeGt1000",'Scoring_Config'!$A:$A,'Scoring_Config'!$C:$C,25),0),0)+IF(LEFT(AM124,4)="True",IF(_xlfn.XLOOKUP("Service_Insecure_Match",'Scoring_Config'!$A:$A,'Scoring_Config'!$D:$D,"Yes")="Yes",_xlfn.XLOOKUP("Service_Insecure_Match",'Scoring_Config'!$A:$A,'Scoring_Config'!$C:$C,20),0),0)+IF(LEFT(AN124,4)="True",IF(_xlfn.XLOOKUP("Risky_Inbound",'Scoring_Config'!$A:$A,'Scoring_Config'!$D:$D,"Yes")="Yes",_xlfn.XLOOKUP("Risky_Inbound",'Scoring_Config'!$A:$A,'Scoring_Config'!$C:$C,20),0),0)+IF(LEFT(AO124,4)="True",IF(_xlfn.XLOOKUP("Risky_Outbound",'Scoring_Config'!$A:$A,'Scoring_Config'!$D:$D,"Yes")="Yes",_xlfn.XLOOKUP("Risky_Outbound",'Scoring_Config'!$A:$A,'Scoring_Config'!$C:$C,10),0),0)+IF(LEFT(AW124,4)="True",IF(_xlfn.XLOOKUP("Migrate_Insecure",'Scoring_Config'!$A:$A,'Scoring_Config'!$D:$D,"Yes")="Yes",_xlfn.XLOOKUP("Migrate_Insecure",'Scoring_Config'!$A:$A,'Scoring_Config'!$C:$C,15),0),0)+IF(LEFT(AY124,4)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124,FIND(",",AP124)+1,100)),0)+IF(LEFT(AQ124,4)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124,FIND(",",AR124)+1,100)),0)+IF(_xlfn.XLOOKUP("Profile_Scoring",'Scoring_Config'!$A:$A,'Scoring_Config'!$D:$D,"Yes")="Yes",VALUE(MID(AS124,FIND(",",AS124)+1,100)),0)+IF(_xlfn.XLOOKUP("Options_Scoring",'Scoring_Config'!$A:$A,'Scoring_Config'!$D:$D,"Yes")="Yes",VALUE(MID(AT124,FIND(",",AT124)+1,100)),0)))</f>
        <v>0</v>
      </c>
    </row>
    <row r="125" spans="1:52">
      <c r="A125" s="3" t="s">
        <v>53</v>
      </c>
      <c r="B125" s="3" t="s">
        <v>119</v>
      </c>
      <c r="C125" s="3" t="s">
        <v>330</v>
      </c>
      <c r="D125" s="3"/>
      <c r="E125" s="3" t="s">
        <v>359</v>
      </c>
      <c r="F125" s="3" t="s">
        <v>360</v>
      </c>
      <c r="G125" s="3" t="s">
        <v>407</v>
      </c>
      <c r="H125" s="3" t="s">
        <v>562</v>
      </c>
      <c r="I125" s="3" t="s">
        <v>622</v>
      </c>
      <c r="J125" s="3" t="s">
        <v>363</v>
      </c>
      <c r="K125" s="3" t="s">
        <v>365</v>
      </c>
      <c r="L125" s="3" t="s">
        <v>365</v>
      </c>
      <c r="M125" s="3" t="s">
        <v>771</v>
      </c>
      <c r="N125" s="3" t="s">
        <v>793</v>
      </c>
      <c r="O125" s="4" t="s">
        <v>807</v>
      </c>
      <c r="P125" s="3" t="s">
        <v>868</v>
      </c>
      <c r="Q125" s="3" t="s">
        <v>905</v>
      </c>
      <c r="R125" s="3" t="s">
        <v>906</v>
      </c>
      <c r="S125" s="3" t="s">
        <v>907</v>
      </c>
      <c r="T125" s="3" t="s">
        <v>1002</v>
      </c>
      <c r="U125" s="3" t="s">
        <v>1209</v>
      </c>
      <c r="V125" s="3" t="s">
        <v>789</v>
      </c>
      <c r="W125" s="3" t="s">
        <v>1426</v>
      </c>
      <c r="X125" s="3" t="s">
        <v>1729</v>
      </c>
      <c r="Y125" s="3" t="s">
        <v>2198</v>
      </c>
      <c r="Z125" s="3"/>
      <c r="AA125" s="3"/>
      <c r="AB125" s="3"/>
      <c r="AC125" s="4" cm="1">
        <f t="array" ref="AC125">IF(FALSE,"True," &amp; IF(_xlfn.XLOOKUP("Src_IsAny",'Scoring_Config'!$A:$A,'Scoring_Config'!$D:$D,"Yes")="Yes",_xlfn.XLOOKUP("Src_IsAny",'Scoring_Config'!$A:$A,'Scoring_Config'!$C:$C,25),0),"False,0")</f>
        <v>0</v>
      </c>
      <c r="AD125" s="4" cm="1">
        <f t="array" ref="AD125">IF(FALSE,"True," &amp; IF(_xlfn.XLOOKUP("Src_CIDR_Le_16",'Scoring_Config'!$A:$A,'Scoring_Config'!$D:$D,"Yes")="Yes",_xlfn.XLOOKUP("Src_CIDR_Le_16",'Scoring_Config'!$A:$A,'Scoring_Config'!$C:$C,25),0),"False,0")</f>
        <v>0</v>
      </c>
      <c r="AE125" s="4" cm="1">
        <f t="array" ref="AE125">IF(FALSE,"True," &amp; IF(_xlfn.XLOOKUP("Src_CIDR_17_22",'Scoring_Config'!$A:$A,'Scoring_Config'!$D:$D,"Yes")="Yes",_xlfn.XLOOKUP("Src_CIDR_17_22",'Scoring_Config'!$A:$A,'Scoring_Config'!$C:$C,15),0),"False,0")</f>
        <v>0</v>
      </c>
      <c r="AF125" s="5" cm="1">
        <f t="array" ref="AF125">IF(TRUE,"True," &amp; IF(_xlfn.XLOOKUP("Dst_IsAny",'Scoring_Config'!$A:$A,'Scoring_Config'!$D:$D,"Yes")="Yes",_xlfn.XLOOKUP("Dst_IsAny",'Scoring_Config'!$A:$A,'Scoring_Config'!$C:$C,25),0),"False,0")</f>
        <v>0</v>
      </c>
      <c r="AG125" s="4" cm="1">
        <f t="array" ref="AG125">IF(FALSE,"True," &amp; IF(_xlfn.XLOOKUP("Dst_CIDR_Le_16",'Scoring_Config'!$A:$A,'Scoring_Config'!$D:$D,"Yes")="Yes",_xlfn.XLOOKUP("Dst_CIDR_Le_16",'Scoring_Config'!$A:$A,'Scoring_Config'!$C:$C,25),0),"False,0")</f>
        <v>0</v>
      </c>
      <c r="AH125" s="4" cm="1">
        <f t="array" ref="AH125">IF(FALSE,"True," &amp; IF(_xlfn.XLOOKUP("Dst_CIDR_17_22",'Scoring_Config'!$A:$A,'Scoring_Config'!$D:$D,"Yes")="Yes",_xlfn.XLOOKUP("Dst_CIDR_17_22",'Scoring_Config'!$A:$A,'Scoring_Config'!$C:$C,15),0),"False,0")</f>
        <v>0</v>
      </c>
      <c r="AI125" s="4" cm="1">
        <f t="array" ref="AI125">IF(FALSE,"True," &amp; IF(_xlfn.XLOOKUP("SrcZone_IsAny",'Scoring_Config'!$A:$A,'Scoring_Config'!$D:$D,"Yes")="Yes",_xlfn.XLOOKUP("SrcZone_IsAny",'Scoring_Config'!$A:$A,'Scoring_Config'!$C:$C,5),0),"False,0")</f>
        <v>0</v>
      </c>
      <c r="AJ125" s="4" cm="1">
        <f t="array" ref="AJ125">IF(FALSE,"True," &amp; IF(_xlfn.XLOOKUP("DstZone_IsAny",'Scoring_Config'!$A:$A,'Scoring_Config'!$D:$D,"Yes")="Yes",_xlfn.XLOOKUP("DstZone_IsAny",'Scoring_Config'!$A:$A,'Scoring_Config'!$C:$C,5),0),"False,0")</f>
        <v>0</v>
      </c>
      <c r="AK125" s="4" cm="1">
        <f t="array" ref="AK12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5" s="4" cm="1">
        <f t="array" ref="AL125">IF(FALSE,"True," &amp; IF(_xlfn.XLOOKUP("App_Any_OR_RangeGt1000",'Scoring_Config'!$A:$A,'Scoring_Config'!$D:$D,"Yes")="Yes",_xlfn.XLOOKUP("App_Any_OR_RangeGt1000",'Scoring_Config'!$A:$A,'Scoring_Config'!$C:$C,25),0),"False,0")</f>
        <v>0</v>
      </c>
      <c r="AM125" s="5" cm="1">
        <f t="array" ref="AM125">IF(TRUE,"True," &amp; IF(_xlfn.XLOOKUP("Service_Insecure_Match",'Scoring_Config'!$A:$A,'Scoring_Config'!$D:$D,"Yes")="Yes",_xlfn.XLOOKUP("Service_Insecure_Match",'Scoring_Config'!$A:$A,'Scoring_Config'!$C:$C,20),0),"False,0")</f>
        <v>0</v>
      </c>
      <c r="AN125" s="4" cm="1">
        <f t="array" ref="AN125">IF(FALSE,"True," &amp; IF(_xlfn.XLOOKUP("Risky_Inbound",'Scoring_Config'!$A:$A,'Scoring_Config'!$D:$D,"Yes")="Yes",_xlfn.XLOOKUP("Risky_Inbound",'Scoring_Config'!$A:$A,'Scoring_Config'!$C:$C,20),0),"False,0")</f>
        <v>0</v>
      </c>
      <c r="AO125" s="4" cm="1">
        <f t="array" ref="AO125">IF(FALSE,"True," &amp; IF(_xlfn.XLOOKUP("Risky_Outbound",'Scoring_Config'!$A:$A,'Scoring_Config'!$D:$D,"Yes")="Yes",_xlfn.XLOOKUP("Risky_Outbound",'Scoring_Config'!$A:$A,'Scoring_Config'!$C:$C,10),0),"False,0")</f>
        <v>0</v>
      </c>
      <c r="AP125" s="5" t="s">
        <v>2595</v>
      </c>
      <c r="AQ125" s="4" cm="1">
        <f t="array" ref="AQ12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5" s="5" t="s">
        <v>2598</v>
      </c>
      <c r="AS125" s="4" t="s">
        <v>2592</v>
      </c>
      <c r="AT125" s="5" t="s">
        <v>2595</v>
      </c>
      <c r="AU125" s="4" cm="1">
        <f t="array" ref="AU125">IF(FALSE,"True," &amp; IF(_xlfn.XLOOKUP("Action_IsDenyOrDrop",'Scoring_Config'!$A:$A,'Scoring_Config'!$D:$D,"Yes")="Yes",_xlfn.XLOOKUP("Action_IsDenyOrDrop",'Scoring_Config'!$A:$A,'Scoring_Config'!$C:$C,0),0),"False,0")</f>
        <v>0</v>
      </c>
      <c r="AV125" s="4"/>
      <c r="AW125" s="4" cm="1">
        <f t="array" ref="AW125">IF(FALSE,"True," &amp; IF(_xlfn.XLOOKUP("Migrate_Insecure",'Scoring_Config'!$A:$A,'Scoring_Config'!$D:$D,"Yes")="Yes",_xlfn.XLOOKUP("Migrate_Insecure",'Scoring_Config'!$A:$A,'Scoring_Config'!$C:$C,15),0),"False,0")</f>
        <v>0</v>
      </c>
      <c r="AX125" s="4"/>
      <c r="AY125" s="4" cm="1">
        <f t="array" ref="AY125">IF(FALSE,"True," &amp; IF(_xlfn.XLOOKUP("Migrate_Other_Ports",'Scoring_Config'!$A:$A,'Scoring_Config'!$D:$D,"Yes")="Yes",_xlfn.XLOOKUP("Migrate_Other_Ports",'Scoring_Config'!$A:$A,'Scoring_Config'!$C:$C,5),0),"False,0")</f>
        <v>0</v>
      </c>
      <c r="AZ125" s="4" cm="1">
        <f t="array" ref="AZ125">IF(LEFT(AU125,4)="True",0,(IF(LEFT(AC125,4)="True",IF(_xlfn.XLOOKUP("Src_IsAny",'Scoring_Config'!$A:$A,'Scoring_Config'!$D:$D,"Yes")="Yes",_xlfn.XLOOKUP("Src_IsAny",'Scoring_Config'!$A:$A,'Scoring_Config'!$C:$C,25),0),0)+IF(LEFT(AD125,4)="True",IF(_xlfn.XLOOKUP("Src_CIDR_Le_16",'Scoring_Config'!$A:$A,'Scoring_Config'!$D:$D,"Yes")="Yes",_xlfn.XLOOKUP("Src_CIDR_Le_16",'Scoring_Config'!$A:$A,'Scoring_Config'!$C:$C,25),0),0)+IF(LEFT(AE125,4)="True",IF(_xlfn.XLOOKUP("Src_CIDR_17_22",'Scoring_Config'!$A:$A,'Scoring_Config'!$D:$D,"Yes")="Yes",_xlfn.XLOOKUP("Src_CIDR_17_22",'Scoring_Config'!$A:$A,'Scoring_Config'!$C:$C,15),0),0)+IF(LEFT(AF125,4)="True",IF(_xlfn.XLOOKUP("Dst_IsAny",'Scoring_Config'!$A:$A,'Scoring_Config'!$D:$D,"Yes")="Yes",_xlfn.XLOOKUP("Dst_IsAny",'Scoring_Config'!$A:$A,'Scoring_Config'!$C:$C,25),0),0)+IF(LEFT(AG125,4)="True",IF(_xlfn.XLOOKUP("Dst_CIDR_Le_16",'Scoring_Config'!$A:$A,'Scoring_Config'!$D:$D,"Yes")="Yes",_xlfn.XLOOKUP("Dst_CIDR_Le_16",'Scoring_Config'!$A:$A,'Scoring_Config'!$C:$C,25),0),0)+IF(LEFT(AH125,4)="True",IF(_xlfn.XLOOKUP("Dst_CIDR_17_22",'Scoring_Config'!$A:$A,'Scoring_Config'!$D:$D,"Yes")="Yes",_xlfn.XLOOKUP("Dst_CIDR_17_22",'Scoring_Config'!$A:$A,'Scoring_Config'!$C:$C,15),0),0)+IF(LEFT(AI125,4)="True",IF(_xlfn.XLOOKUP("SrcZone_IsAny",'Scoring_Config'!$A:$A,'Scoring_Config'!$D:$D,"Yes")="Yes",_xlfn.XLOOKUP("SrcZone_IsAny",'Scoring_Config'!$A:$A,'Scoring_Config'!$C:$C,5),0),0)+IF(LEFT(AJ125,4)="True",IF(_xlfn.XLOOKUP("DstZone_IsAny",'Scoring_Config'!$A:$A,'Scoring_Config'!$D:$D,"Yes")="Yes",_xlfn.XLOOKUP("DstZone_IsAny",'Scoring_Config'!$A:$A,'Scoring_Config'!$C:$C,5),0),0)+IF(LEFT(AK125,4)="True",IF(_xlfn.XLOOKUP("Service_Any_OR_RangeGt1000",'Scoring_Config'!$A:$A,'Scoring_Config'!$D:$D,"Yes")="Yes",_xlfn.XLOOKUP("Service_Any_OR_RangeGt1000",'Scoring_Config'!$A:$A,'Scoring_Config'!$C:$C,25),0),0)+IF(LEFT(AL125,4)="True",IF(_xlfn.XLOOKUP("App_Any_OR_RangeGt1000",'Scoring_Config'!$A:$A,'Scoring_Config'!$D:$D,"Yes")="Yes",_xlfn.XLOOKUP("App_Any_OR_RangeGt1000",'Scoring_Config'!$A:$A,'Scoring_Config'!$C:$C,25),0),0)+IF(LEFT(AM125,4)="True",IF(_xlfn.XLOOKUP("Service_Insecure_Match",'Scoring_Config'!$A:$A,'Scoring_Config'!$D:$D,"Yes")="Yes",_xlfn.XLOOKUP("Service_Insecure_Match",'Scoring_Config'!$A:$A,'Scoring_Config'!$C:$C,20),0),0)+IF(LEFT(AN125,4)="True",IF(_xlfn.XLOOKUP("Risky_Inbound",'Scoring_Config'!$A:$A,'Scoring_Config'!$D:$D,"Yes")="Yes",_xlfn.XLOOKUP("Risky_Inbound",'Scoring_Config'!$A:$A,'Scoring_Config'!$C:$C,20),0),0)+IF(LEFT(AO125,4)="True",IF(_xlfn.XLOOKUP("Risky_Outbound",'Scoring_Config'!$A:$A,'Scoring_Config'!$D:$D,"Yes")="Yes",_xlfn.XLOOKUP("Risky_Outbound",'Scoring_Config'!$A:$A,'Scoring_Config'!$C:$C,10),0),0)+IF(LEFT(AW125,4)="True",IF(_xlfn.XLOOKUP("Migrate_Insecure",'Scoring_Config'!$A:$A,'Scoring_Config'!$D:$D,"Yes")="Yes",_xlfn.XLOOKUP("Migrate_Insecure",'Scoring_Config'!$A:$A,'Scoring_Config'!$C:$C,15),0),0)+IF(LEFT(AY125,4)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125,FIND(",",AP125)+1,100)),0)+IF(LEFT(AQ125,4)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125,FIND(",",AR125)+1,100)),0)+IF(_xlfn.XLOOKUP("Profile_Scoring",'Scoring_Config'!$A:$A,'Scoring_Config'!$D:$D,"Yes")="Yes",VALUE(MID(AS125,FIND(",",AS125)+1,100)),0)+IF(_xlfn.XLOOKUP("Options_Scoring",'Scoring_Config'!$A:$A,'Scoring_Config'!$D:$D,"Yes")="Yes",VALUE(MID(AT125,FIND(",",AT125)+1,100)),0)))</f>
        <v>0</v>
      </c>
    </row>
    <row r="126" spans="1:52">
      <c r="A126" s="3" t="s">
        <v>53</v>
      </c>
      <c r="B126" s="3" t="s">
        <v>152</v>
      </c>
      <c r="C126" s="3" t="s">
        <v>330</v>
      </c>
      <c r="D126" s="3"/>
      <c r="E126" s="3" t="s">
        <v>359</v>
      </c>
      <c r="F126" s="3" t="s">
        <v>360</v>
      </c>
      <c r="G126" s="3" t="s">
        <v>408</v>
      </c>
      <c r="H126" s="3" t="s">
        <v>408</v>
      </c>
      <c r="I126" s="3" t="s">
        <v>624</v>
      </c>
      <c r="J126" s="3" t="s">
        <v>362</v>
      </c>
      <c r="K126" s="3" t="s">
        <v>410</v>
      </c>
      <c r="L126" s="3" t="s">
        <v>564</v>
      </c>
      <c r="M126" s="3" t="s">
        <v>773</v>
      </c>
      <c r="N126" s="3" t="s">
        <v>773</v>
      </c>
      <c r="O126" s="4" t="s">
        <v>811</v>
      </c>
      <c r="P126" s="3" t="s">
        <v>872</v>
      </c>
      <c r="Q126" s="3" t="s">
        <v>905</v>
      </c>
      <c r="R126" s="3" t="s">
        <v>906</v>
      </c>
      <c r="S126" s="3" t="s">
        <v>916</v>
      </c>
      <c r="T126" s="3" t="s">
        <v>1003</v>
      </c>
      <c r="U126" s="3" t="s">
        <v>1210</v>
      </c>
      <c r="V126" s="3" t="s">
        <v>770</v>
      </c>
      <c r="W126" s="3" t="s">
        <v>1472</v>
      </c>
      <c r="X126" s="3" t="s">
        <v>1730</v>
      </c>
      <c r="Y126" s="3" t="s">
        <v>2199</v>
      </c>
      <c r="Z126" s="3"/>
      <c r="AA126" s="3"/>
      <c r="AB126" s="3"/>
      <c r="AC126" s="4" cm="1">
        <f t="array" ref="AC126">IF(FALSE,"True," &amp; IF(_xlfn.XLOOKUP("Src_IsAny",'Scoring_Config'!$A:$A,'Scoring_Config'!$D:$D,"Yes")="Yes",_xlfn.XLOOKUP("Src_IsAny",'Scoring_Config'!$A:$A,'Scoring_Config'!$C:$C,25),0),"False,0")</f>
        <v>0</v>
      </c>
      <c r="AD126" s="5" cm="1">
        <f t="array" ref="AD126">IF(TRUE,"True," &amp; IF(_xlfn.XLOOKUP("Src_CIDR_Le_16",'Scoring_Config'!$A:$A,'Scoring_Config'!$D:$D,"Yes")="Yes",_xlfn.XLOOKUP("Src_CIDR_Le_16",'Scoring_Config'!$A:$A,'Scoring_Config'!$C:$C,25),0),"False,0")</f>
        <v>0</v>
      </c>
      <c r="AE126" s="4" cm="1">
        <f t="array" ref="AE126">IF(FALSE,"True," &amp; IF(_xlfn.XLOOKUP("Src_CIDR_17_22",'Scoring_Config'!$A:$A,'Scoring_Config'!$D:$D,"Yes")="Yes",_xlfn.XLOOKUP("Src_CIDR_17_22",'Scoring_Config'!$A:$A,'Scoring_Config'!$C:$C,15),0),"False,0")</f>
        <v>0</v>
      </c>
      <c r="AF126" s="4" cm="1">
        <f t="array" ref="AF126">IF(FALSE,"True," &amp; IF(_xlfn.XLOOKUP("Dst_IsAny",'Scoring_Config'!$A:$A,'Scoring_Config'!$D:$D,"Yes")="Yes",_xlfn.XLOOKUP("Dst_IsAny",'Scoring_Config'!$A:$A,'Scoring_Config'!$C:$C,25),0),"False,0")</f>
        <v>0</v>
      </c>
      <c r="AG126" s="5" cm="1">
        <f t="array" ref="AG126">IF(TRUE,"True," &amp; IF(_xlfn.XLOOKUP("Dst_CIDR_Le_16",'Scoring_Config'!$A:$A,'Scoring_Config'!$D:$D,"Yes")="Yes",_xlfn.XLOOKUP("Dst_CIDR_Le_16",'Scoring_Config'!$A:$A,'Scoring_Config'!$C:$C,25),0),"False,0")</f>
        <v>0</v>
      </c>
      <c r="AH126" s="4" cm="1">
        <f t="array" ref="AH126">IF(FALSE,"True," &amp; IF(_xlfn.XLOOKUP("Dst_CIDR_17_22",'Scoring_Config'!$A:$A,'Scoring_Config'!$D:$D,"Yes")="Yes",_xlfn.XLOOKUP("Dst_CIDR_17_22",'Scoring_Config'!$A:$A,'Scoring_Config'!$C:$C,15),0),"False,0")</f>
        <v>0</v>
      </c>
      <c r="AI126" s="4" cm="1">
        <f t="array" ref="AI126">IF(FALSE,"True," &amp; IF(_xlfn.XLOOKUP("SrcZone_IsAny",'Scoring_Config'!$A:$A,'Scoring_Config'!$D:$D,"Yes")="Yes",_xlfn.XLOOKUP("SrcZone_IsAny",'Scoring_Config'!$A:$A,'Scoring_Config'!$C:$C,5),0),"False,0")</f>
        <v>0</v>
      </c>
      <c r="AJ126" s="4" cm="1">
        <f t="array" ref="AJ126">IF(FALSE,"True," &amp; IF(_xlfn.XLOOKUP("DstZone_IsAny",'Scoring_Config'!$A:$A,'Scoring_Config'!$D:$D,"Yes")="Yes",_xlfn.XLOOKUP("DstZone_IsAny",'Scoring_Config'!$A:$A,'Scoring_Config'!$C:$C,5),0),"False,0")</f>
        <v>0</v>
      </c>
      <c r="AK126" s="4" cm="1">
        <f t="array" ref="AK12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6" s="4" cm="1">
        <f t="array" ref="AL126">IF(FALSE,"True," &amp; IF(_xlfn.XLOOKUP("App_Any_OR_RangeGt1000",'Scoring_Config'!$A:$A,'Scoring_Config'!$D:$D,"Yes")="Yes",_xlfn.XLOOKUP("App_Any_OR_RangeGt1000",'Scoring_Config'!$A:$A,'Scoring_Config'!$C:$C,25),0),"False,0")</f>
        <v>0</v>
      </c>
      <c r="AM126" s="5" cm="1">
        <f t="array" ref="AM126">IF(TRUE,"True," &amp; IF(_xlfn.XLOOKUP("Service_Insecure_Match",'Scoring_Config'!$A:$A,'Scoring_Config'!$D:$D,"Yes")="Yes",_xlfn.XLOOKUP("Service_Insecure_Match",'Scoring_Config'!$A:$A,'Scoring_Config'!$C:$C,20),0),"False,0")</f>
        <v>0</v>
      </c>
      <c r="AN126" s="4" cm="1">
        <f t="array" ref="AN126">IF(FALSE,"True," &amp; IF(_xlfn.XLOOKUP("Risky_Inbound",'Scoring_Config'!$A:$A,'Scoring_Config'!$D:$D,"Yes")="Yes",_xlfn.XLOOKUP("Risky_Inbound",'Scoring_Config'!$A:$A,'Scoring_Config'!$C:$C,20),0),"False,0")</f>
        <v>0</v>
      </c>
      <c r="AO126" s="4" cm="1">
        <f t="array" ref="AO126">IF(FALSE,"True," &amp; IF(_xlfn.XLOOKUP("Risky_Outbound",'Scoring_Config'!$A:$A,'Scoring_Config'!$D:$D,"Yes")="Yes",_xlfn.XLOOKUP("Risky_Outbound",'Scoring_Config'!$A:$A,'Scoring_Config'!$C:$C,10),0),"False,0")</f>
        <v>0</v>
      </c>
      <c r="AP126" s="5" t="s">
        <v>2595</v>
      </c>
      <c r="AQ126" s="4" cm="1">
        <f t="array" ref="AQ12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6" s="5" t="s">
        <v>2598</v>
      </c>
      <c r="AS126" s="4" t="s">
        <v>2592</v>
      </c>
      <c r="AT126" s="4" t="s">
        <v>2592</v>
      </c>
      <c r="AU126" s="4" cm="1">
        <f t="array" ref="AU126">IF(FALSE,"True," &amp; IF(_xlfn.XLOOKUP("Action_IsDenyOrDrop",'Scoring_Config'!$A:$A,'Scoring_Config'!$D:$D,"Yes")="Yes",_xlfn.XLOOKUP("Action_IsDenyOrDrop",'Scoring_Config'!$A:$A,'Scoring_Config'!$C:$C,0),0),"False,0")</f>
        <v>0</v>
      </c>
      <c r="AV126" s="4"/>
      <c r="AW126" s="4" cm="1">
        <f t="array" ref="AW126">IF(FALSE,"True," &amp; IF(_xlfn.XLOOKUP("Migrate_Insecure",'Scoring_Config'!$A:$A,'Scoring_Config'!$D:$D,"Yes")="Yes",_xlfn.XLOOKUP("Migrate_Insecure",'Scoring_Config'!$A:$A,'Scoring_Config'!$C:$C,15),0),"False,0")</f>
        <v>0</v>
      </c>
      <c r="AX126" s="4"/>
      <c r="AY126" s="4" cm="1">
        <f t="array" ref="AY126">IF(FALSE,"True," &amp; IF(_xlfn.XLOOKUP("Migrate_Other_Ports",'Scoring_Config'!$A:$A,'Scoring_Config'!$D:$D,"Yes")="Yes",_xlfn.XLOOKUP("Migrate_Other_Ports",'Scoring_Config'!$A:$A,'Scoring_Config'!$C:$C,5),0),"False,0")</f>
        <v>0</v>
      </c>
      <c r="AZ126" s="4" cm="1">
        <f t="array" ref="AZ126">IF(LEFT(AU126,4)="True",0,(IF(LEFT(AC126,4)="True",IF(_xlfn.XLOOKUP("Src_IsAny",'Scoring_Config'!$A:$A,'Scoring_Config'!$D:$D,"Yes")="Yes",_xlfn.XLOOKUP("Src_IsAny",'Scoring_Config'!$A:$A,'Scoring_Config'!$C:$C,25),0),0)+IF(LEFT(AD126,4)="True",IF(_xlfn.XLOOKUP("Src_CIDR_Le_16",'Scoring_Config'!$A:$A,'Scoring_Config'!$D:$D,"Yes")="Yes",_xlfn.XLOOKUP("Src_CIDR_Le_16",'Scoring_Config'!$A:$A,'Scoring_Config'!$C:$C,25),0),0)+IF(LEFT(AE126,4)="True",IF(_xlfn.XLOOKUP("Src_CIDR_17_22",'Scoring_Config'!$A:$A,'Scoring_Config'!$D:$D,"Yes")="Yes",_xlfn.XLOOKUP("Src_CIDR_17_22",'Scoring_Config'!$A:$A,'Scoring_Config'!$C:$C,15),0),0)+IF(LEFT(AF126,4)="True",IF(_xlfn.XLOOKUP("Dst_IsAny",'Scoring_Config'!$A:$A,'Scoring_Config'!$D:$D,"Yes")="Yes",_xlfn.XLOOKUP("Dst_IsAny",'Scoring_Config'!$A:$A,'Scoring_Config'!$C:$C,25),0),0)+IF(LEFT(AG126,4)="True",IF(_xlfn.XLOOKUP("Dst_CIDR_Le_16",'Scoring_Config'!$A:$A,'Scoring_Config'!$D:$D,"Yes")="Yes",_xlfn.XLOOKUP("Dst_CIDR_Le_16",'Scoring_Config'!$A:$A,'Scoring_Config'!$C:$C,25),0),0)+IF(LEFT(AH126,4)="True",IF(_xlfn.XLOOKUP("Dst_CIDR_17_22",'Scoring_Config'!$A:$A,'Scoring_Config'!$D:$D,"Yes")="Yes",_xlfn.XLOOKUP("Dst_CIDR_17_22",'Scoring_Config'!$A:$A,'Scoring_Config'!$C:$C,15),0),0)+IF(LEFT(AI126,4)="True",IF(_xlfn.XLOOKUP("SrcZone_IsAny",'Scoring_Config'!$A:$A,'Scoring_Config'!$D:$D,"Yes")="Yes",_xlfn.XLOOKUP("SrcZone_IsAny",'Scoring_Config'!$A:$A,'Scoring_Config'!$C:$C,5),0),0)+IF(LEFT(AJ126,4)="True",IF(_xlfn.XLOOKUP("DstZone_IsAny",'Scoring_Config'!$A:$A,'Scoring_Config'!$D:$D,"Yes")="Yes",_xlfn.XLOOKUP("DstZone_IsAny",'Scoring_Config'!$A:$A,'Scoring_Config'!$C:$C,5),0),0)+IF(LEFT(AK126,4)="True",IF(_xlfn.XLOOKUP("Service_Any_OR_RangeGt1000",'Scoring_Config'!$A:$A,'Scoring_Config'!$D:$D,"Yes")="Yes",_xlfn.XLOOKUP("Service_Any_OR_RangeGt1000",'Scoring_Config'!$A:$A,'Scoring_Config'!$C:$C,25),0),0)+IF(LEFT(AL126,4)="True",IF(_xlfn.XLOOKUP("App_Any_OR_RangeGt1000",'Scoring_Config'!$A:$A,'Scoring_Config'!$D:$D,"Yes")="Yes",_xlfn.XLOOKUP("App_Any_OR_RangeGt1000",'Scoring_Config'!$A:$A,'Scoring_Config'!$C:$C,25),0),0)+IF(LEFT(AM126,4)="True",IF(_xlfn.XLOOKUP("Service_Insecure_Match",'Scoring_Config'!$A:$A,'Scoring_Config'!$D:$D,"Yes")="Yes",_xlfn.XLOOKUP("Service_Insecure_Match",'Scoring_Config'!$A:$A,'Scoring_Config'!$C:$C,20),0),0)+IF(LEFT(AN126,4)="True",IF(_xlfn.XLOOKUP("Risky_Inbound",'Scoring_Config'!$A:$A,'Scoring_Config'!$D:$D,"Yes")="Yes",_xlfn.XLOOKUP("Risky_Inbound",'Scoring_Config'!$A:$A,'Scoring_Config'!$C:$C,20),0),0)+IF(LEFT(AO126,4)="True",IF(_xlfn.XLOOKUP("Risky_Outbound",'Scoring_Config'!$A:$A,'Scoring_Config'!$D:$D,"Yes")="Yes",_xlfn.XLOOKUP("Risky_Outbound",'Scoring_Config'!$A:$A,'Scoring_Config'!$C:$C,10),0),0)+IF(LEFT(AW126,4)="True",IF(_xlfn.XLOOKUP("Migrate_Insecure",'Scoring_Config'!$A:$A,'Scoring_Config'!$D:$D,"Yes")="Yes",_xlfn.XLOOKUP("Migrate_Insecure",'Scoring_Config'!$A:$A,'Scoring_Config'!$C:$C,15),0),0)+IF(LEFT(AY126,4)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126,FIND(",",AP126)+1,100)),0)+IF(LEFT(AQ126,4)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126,FIND(",",AR126)+1,100)),0)+IF(_xlfn.XLOOKUP("Profile_Scoring",'Scoring_Config'!$A:$A,'Scoring_Config'!$D:$D,"Yes")="Yes",VALUE(MID(AS126,FIND(",",AS126)+1,100)),0)+IF(_xlfn.XLOOKUP("Options_Scoring",'Scoring_Config'!$A:$A,'Scoring_Config'!$D:$D,"Yes")="Yes",VALUE(MID(AT126,FIND(",",AT126)+1,100)),0)))</f>
        <v>0</v>
      </c>
    </row>
    <row r="127" spans="1:52">
      <c r="A127" s="3" t="s">
        <v>53</v>
      </c>
      <c r="B127" s="3" t="s">
        <v>76</v>
      </c>
      <c r="C127" s="3" t="s">
        <v>330</v>
      </c>
      <c r="D127" s="3"/>
      <c r="E127" s="3" t="s">
        <v>359</v>
      </c>
      <c r="F127" s="3" t="s">
        <v>362</v>
      </c>
      <c r="G127" s="3" t="s">
        <v>365</v>
      </c>
      <c r="H127" s="3" t="s">
        <v>365</v>
      </c>
      <c r="I127" s="3" t="s">
        <v>624</v>
      </c>
      <c r="J127" s="3" t="s">
        <v>362</v>
      </c>
      <c r="K127" s="3" t="s">
        <v>425</v>
      </c>
      <c r="L127" s="3" t="s">
        <v>425</v>
      </c>
      <c r="M127" s="3" t="s">
        <v>771</v>
      </c>
      <c r="N127" s="3" t="s">
        <v>793</v>
      </c>
      <c r="O127" s="4" t="s">
        <v>834</v>
      </c>
      <c r="P127" s="3" t="s">
        <v>895</v>
      </c>
      <c r="Q127" s="3" t="s">
        <v>905</v>
      </c>
      <c r="R127" s="3" t="s">
        <v>909</v>
      </c>
      <c r="S127" s="3" t="s">
        <v>913</v>
      </c>
      <c r="T127" s="3" t="s">
        <v>1004</v>
      </c>
      <c r="U127" s="3" t="s">
        <v>1147</v>
      </c>
      <c r="V127" s="3" t="s">
        <v>772</v>
      </c>
      <c r="W127" s="3" t="s">
        <v>994</v>
      </c>
      <c r="X127" s="3" t="s">
        <v>1731</v>
      </c>
      <c r="Y127" s="3" t="s">
        <v>2200</v>
      </c>
      <c r="Z127" s="3"/>
      <c r="AA127" s="3"/>
      <c r="AB127" s="3"/>
      <c r="AC127" s="5" cm="1">
        <f t="array" ref="AC127">IF(TRUE,"True," &amp; IF(_xlfn.XLOOKUP("Src_IsAny",'Scoring_Config'!$A:$A,'Scoring_Config'!$D:$D,"Yes")="Yes",_xlfn.XLOOKUP("Src_IsAny",'Scoring_Config'!$A:$A,'Scoring_Config'!$C:$C,25),0),"False,0")</f>
        <v>0</v>
      </c>
      <c r="AD127" s="4" cm="1">
        <f t="array" ref="AD127">IF(FALSE,"True," &amp; IF(_xlfn.XLOOKUP("Src_CIDR_Le_16",'Scoring_Config'!$A:$A,'Scoring_Config'!$D:$D,"Yes")="Yes",_xlfn.XLOOKUP("Src_CIDR_Le_16",'Scoring_Config'!$A:$A,'Scoring_Config'!$C:$C,25),0),"False,0")</f>
        <v>0</v>
      </c>
      <c r="AE127" s="4" cm="1">
        <f t="array" ref="AE127">IF(FALSE,"True," &amp; IF(_xlfn.XLOOKUP("Src_CIDR_17_22",'Scoring_Config'!$A:$A,'Scoring_Config'!$D:$D,"Yes")="Yes",_xlfn.XLOOKUP("Src_CIDR_17_22",'Scoring_Config'!$A:$A,'Scoring_Config'!$C:$C,15),0),"False,0")</f>
        <v>0</v>
      </c>
      <c r="AF127" s="4" cm="1">
        <f t="array" ref="AF127">IF(FALSE,"True," &amp; IF(_xlfn.XLOOKUP("Dst_IsAny",'Scoring_Config'!$A:$A,'Scoring_Config'!$D:$D,"Yes")="Yes",_xlfn.XLOOKUP("Dst_IsAny",'Scoring_Config'!$A:$A,'Scoring_Config'!$C:$C,25),0),"False,0")</f>
        <v>0</v>
      </c>
      <c r="AG127" s="4" cm="1">
        <f t="array" ref="AG127">IF(FALSE,"True," &amp; IF(_xlfn.XLOOKUP("Dst_CIDR_Le_16",'Scoring_Config'!$A:$A,'Scoring_Config'!$D:$D,"Yes")="Yes",_xlfn.XLOOKUP("Dst_CIDR_Le_16",'Scoring_Config'!$A:$A,'Scoring_Config'!$C:$C,25),0),"False,0")</f>
        <v>0</v>
      </c>
      <c r="AH127" s="4" cm="1">
        <f t="array" ref="AH127">IF(FALSE,"True," &amp; IF(_xlfn.XLOOKUP("Dst_CIDR_17_22",'Scoring_Config'!$A:$A,'Scoring_Config'!$D:$D,"Yes")="Yes",_xlfn.XLOOKUP("Dst_CIDR_17_22",'Scoring_Config'!$A:$A,'Scoring_Config'!$C:$C,15),0),"False,0")</f>
        <v>0</v>
      </c>
      <c r="AI127" s="4" cm="1">
        <f t="array" ref="AI127">IF(FALSE,"True," &amp; IF(_xlfn.XLOOKUP("SrcZone_IsAny",'Scoring_Config'!$A:$A,'Scoring_Config'!$D:$D,"Yes")="Yes",_xlfn.XLOOKUP("SrcZone_IsAny",'Scoring_Config'!$A:$A,'Scoring_Config'!$C:$C,5),0),"False,0")</f>
        <v>0</v>
      </c>
      <c r="AJ127" s="4" cm="1">
        <f t="array" ref="AJ127">IF(FALSE,"True," &amp; IF(_xlfn.XLOOKUP("DstZone_IsAny",'Scoring_Config'!$A:$A,'Scoring_Config'!$D:$D,"Yes")="Yes",_xlfn.XLOOKUP("DstZone_IsAny",'Scoring_Config'!$A:$A,'Scoring_Config'!$C:$C,5),0),"False,0")</f>
        <v>0</v>
      </c>
      <c r="AK127" s="4" cm="1">
        <f t="array" ref="AK12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7" s="4" cm="1">
        <f t="array" ref="AL127">IF(FALSE,"True," &amp; IF(_xlfn.XLOOKUP("App_Any_OR_RangeGt1000",'Scoring_Config'!$A:$A,'Scoring_Config'!$D:$D,"Yes")="Yes",_xlfn.XLOOKUP("App_Any_OR_RangeGt1000",'Scoring_Config'!$A:$A,'Scoring_Config'!$C:$C,25),0),"False,0")</f>
        <v>0</v>
      </c>
      <c r="AM127" s="5" cm="1">
        <f t="array" ref="AM127">IF(TRUE,"True," &amp; IF(_xlfn.XLOOKUP("Service_Insecure_Match",'Scoring_Config'!$A:$A,'Scoring_Config'!$D:$D,"Yes")="Yes",_xlfn.XLOOKUP("Service_Insecure_Match",'Scoring_Config'!$A:$A,'Scoring_Config'!$C:$C,20),0),"False,0")</f>
        <v>0</v>
      </c>
      <c r="AN127" s="4" cm="1">
        <f t="array" ref="AN127">IF(FALSE,"True," &amp; IF(_xlfn.XLOOKUP("Risky_Inbound",'Scoring_Config'!$A:$A,'Scoring_Config'!$D:$D,"Yes")="Yes",_xlfn.XLOOKUP("Risky_Inbound",'Scoring_Config'!$A:$A,'Scoring_Config'!$C:$C,20),0),"False,0")</f>
        <v>0</v>
      </c>
      <c r="AO127" s="4" cm="1">
        <f t="array" ref="AO127">IF(FALSE,"True," &amp; IF(_xlfn.XLOOKUP("Risky_Outbound",'Scoring_Config'!$A:$A,'Scoring_Config'!$D:$D,"Yes")="Yes",_xlfn.XLOOKUP("Risky_Outbound",'Scoring_Config'!$A:$A,'Scoring_Config'!$C:$C,10),0),"False,0")</f>
        <v>0</v>
      </c>
      <c r="AP127" s="5" t="s">
        <v>2595</v>
      </c>
      <c r="AQ127" s="5" cm="1">
        <f t="array" ref="AQ12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7" s="5" t="s">
        <v>2598</v>
      </c>
      <c r="AS127" s="4" t="s">
        <v>2592</v>
      </c>
      <c r="AT127" s="4" t="s">
        <v>2592</v>
      </c>
      <c r="AU127" s="4" cm="1">
        <f t="array" ref="AU127">IF(FALSE,"True," &amp; IF(_xlfn.XLOOKUP("Action_IsDenyOrDrop",'Scoring_Config'!$A:$A,'Scoring_Config'!$D:$D,"Yes")="Yes",_xlfn.XLOOKUP("Action_IsDenyOrDrop",'Scoring_Config'!$A:$A,'Scoring_Config'!$C:$C,0),0),"False,0")</f>
        <v>0</v>
      </c>
      <c r="AV127" s="4"/>
      <c r="AW127" s="4" cm="1">
        <f t="array" ref="AW127">IF(FALSE,"True," &amp; IF(_xlfn.XLOOKUP("Migrate_Insecure",'Scoring_Config'!$A:$A,'Scoring_Config'!$D:$D,"Yes")="Yes",_xlfn.XLOOKUP("Migrate_Insecure",'Scoring_Config'!$A:$A,'Scoring_Config'!$C:$C,15),0),"False,0")</f>
        <v>0</v>
      </c>
      <c r="AX127" s="4"/>
      <c r="AY127" s="4" cm="1">
        <f t="array" ref="AY127">IF(FALSE,"True," &amp; IF(_xlfn.XLOOKUP("Migrate_Other_Ports",'Scoring_Config'!$A:$A,'Scoring_Config'!$D:$D,"Yes")="Yes",_xlfn.XLOOKUP("Migrate_Other_Ports",'Scoring_Config'!$A:$A,'Scoring_Config'!$C:$C,5),0),"False,0")</f>
        <v>0</v>
      </c>
      <c r="AZ127" s="4" cm="1">
        <f t="array" ref="AZ127">IF(LEFT(AU127,4)="True",0,(IF(LEFT(AC127,4)="True",IF(_xlfn.XLOOKUP("Src_IsAny",'Scoring_Config'!$A:$A,'Scoring_Config'!$D:$D,"Yes")="Yes",_xlfn.XLOOKUP("Src_IsAny",'Scoring_Config'!$A:$A,'Scoring_Config'!$C:$C,25),0),0)+IF(LEFT(AD127,4)="True",IF(_xlfn.XLOOKUP("Src_CIDR_Le_16",'Scoring_Config'!$A:$A,'Scoring_Config'!$D:$D,"Yes")="Yes",_xlfn.XLOOKUP("Src_CIDR_Le_16",'Scoring_Config'!$A:$A,'Scoring_Config'!$C:$C,25),0),0)+IF(LEFT(AE127,4)="True",IF(_xlfn.XLOOKUP("Src_CIDR_17_22",'Scoring_Config'!$A:$A,'Scoring_Config'!$D:$D,"Yes")="Yes",_xlfn.XLOOKUP("Src_CIDR_17_22",'Scoring_Config'!$A:$A,'Scoring_Config'!$C:$C,15),0),0)+IF(LEFT(AF127,4)="True",IF(_xlfn.XLOOKUP("Dst_IsAny",'Scoring_Config'!$A:$A,'Scoring_Config'!$D:$D,"Yes")="Yes",_xlfn.XLOOKUP("Dst_IsAny",'Scoring_Config'!$A:$A,'Scoring_Config'!$C:$C,25),0),0)+IF(LEFT(AG127,4)="True",IF(_xlfn.XLOOKUP("Dst_CIDR_Le_16",'Scoring_Config'!$A:$A,'Scoring_Config'!$D:$D,"Yes")="Yes",_xlfn.XLOOKUP("Dst_CIDR_Le_16",'Scoring_Config'!$A:$A,'Scoring_Config'!$C:$C,25),0),0)+IF(LEFT(AH127,4)="True",IF(_xlfn.XLOOKUP("Dst_CIDR_17_22",'Scoring_Config'!$A:$A,'Scoring_Config'!$D:$D,"Yes")="Yes",_xlfn.XLOOKUP("Dst_CIDR_17_22",'Scoring_Config'!$A:$A,'Scoring_Config'!$C:$C,15),0),0)+IF(LEFT(AI127,4)="True",IF(_xlfn.XLOOKUP("SrcZone_IsAny",'Scoring_Config'!$A:$A,'Scoring_Config'!$D:$D,"Yes")="Yes",_xlfn.XLOOKUP("SrcZone_IsAny",'Scoring_Config'!$A:$A,'Scoring_Config'!$C:$C,5),0),0)+IF(LEFT(AJ127,4)="True",IF(_xlfn.XLOOKUP("DstZone_IsAny",'Scoring_Config'!$A:$A,'Scoring_Config'!$D:$D,"Yes")="Yes",_xlfn.XLOOKUP("DstZone_IsAny",'Scoring_Config'!$A:$A,'Scoring_Config'!$C:$C,5),0),0)+IF(LEFT(AK127,4)="True",IF(_xlfn.XLOOKUP("Service_Any_OR_RangeGt1000",'Scoring_Config'!$A:$A,'Scoring_Config'!$D:$D,"Yes")="Yes",_xlfn.XLOOKUP("Service_Any_OR_RangeGt1000",'Scoring_Config'!$A:$A,'Scoring_Config'!$C:$C,25),0),0)+IF(LEFT(AL127,4)="True",IF(_xlfn.XLOOKUP("App_Any_OR_RangeGt1000",'Scoring_Config'!$A:$A,'Scoring_Config'!$D:$D,"Yes")="Yes",_xlfn.XLOOKUP("App_Any_OR_RangeGt1000",'Scoring_Config'!$A:$A,'Scoring_Config'!$C:$C,25),0),0)+IF(LEFT(AM127,4)="True",IF(_xlfn.XLOOKUP("Service_Insecure_Match",'Scoring_Config'!$A:$A,'Scoring_Config'!$D:$D,"Yes")="Yes",_xlfn.XLOOKUP("Service_Insecure_Match",'Scoring_Config'!$A:$A,'Scoring_Config'!$C:$C,20),0),0)+IF(LEFT(AN127,4)="True",IF(_xlfn.XLOOKUP("Risky_Inbound",'Scoring_Config'!$A:$A,'Scoring_Config'!$D:$D,"Yes")="Yes",_xlfn.XLOOKUP("Risky_Inbound",'Scoring_Config'!$A:$A,'Scoring_Config'!$C:$C,20),0),0)+IF(LEFT(AO127,4)="True",IF(_xlfn.XLOOKUP("Risky_Outbound",'Scoring_Config'!$A:$A,'Scoring_Config'!$D:$D,"Yes")="Yes",_xlfn.XLOOKUP("Risky_Outbound",'Scoring_Config'!$A:$A,'Scoring_Config'!$C:$C,10),0),0)+IF(LEFT(AW127,4)="True",IF(_xlfn.XLOOKUP("Migrate_Insecure",'Scoring_Config'!$A:$A,'Scoring_Config'!$D:$D,"Yes")="Yes",_xlfn.XLOOKUP("Migrate_Insecure",'Scoring_Config'!$A:$A,'Scoring_Config'!$C:$C,15),0),0)+IF(LEFT(AY127,4)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127,FIND(",",AP127)+1,100)),0)+IF(LEFT(AQ127,4)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127,FIND(",",AR127)+1,100)),0)+IF(_xlfn.XLOOKUP("Profile_Scoring",'Scoring_Config'!$A:$A,'Scoring_Config'!$D:$D,"Yes")="Yes",VALUE(MID(AS127,FIND(",",AS127)+1,100)),0)+IF(_xlfn.XLOOKUP("Options_Scoring",'Scoring_Config'!$A:$A,'Scoring_Config'!$D:$D,"Yes")="Yes",VALUE(MID(AT127,FIND(",",AT127)+1,100)),0)))</f>
        <v>0</v>
      </c>
    </row>
    <row r="128" spans="1:52">
      <c r="A128" s="3" t="s">
        <v>53</v>
      </c>
      <c r="B128" s="3" t="s">
        <v>153</v>
      </c>
      <c r="C128" s="3" t="s">
        <v>330</v>
      </c>
      <c r="D128" s="3"/>
      <c r="E128" s="3" t="s">
        <v>359</v>
      </c>
      <c r="F128" s="3" t="s">
        <v>361</v>
      </c>
      <c r="G128" s="3" t="s">
        <v>409</v>
      </c>
      <c r="H128" s="3" t="s">
        <v>563</v>
      </c>
      <c r="I128" s="3" t="s">
        <v>365</v>
      </c>
      <c r="J128" s="3" t="s">
        <v>360</v>
      </c>
      <c r="K128" s="3" t="s">
        <v>449</v>
      </c>
      <c r="L128" s="3" t="s">
        <v>579</v>
      </c>
      <c r="M128" s="3" t="s">
        <v>776</v>
      </c>
      <c r="N128" s="3" t="s">
        <v>791</v>
      </c>
      <c r="O128" s="4" t="s">
        <v>806</v>
      </c>
      <c r="P128" s="3" t="s">
        <v>867</v>
      </c>
      <c r="Q128" s="3" t="s">
        <v>904</v>
      </c>
      <c r="R128" s="3" t="s">
        <v>907</v>
      </c>
      <c r="S128" s="3" t="s">
        <v>912</v>
      </c>
      <c r="T128" s="3" t="s">
        <v>1005</v>
      </c>
      <c r="U128" s="3" t="s">
        <v>1211</v>
      </c>
      <c r="V128" s="3" t="s">
        <v>1389</v>
      </c>
      <c r="W128" s="3" t="s">
        <v>1398</v>
      </c>
      <c r="X128" s="3" t="s">
        <v>1732</v>
      </c>
      <c r="Y128" s="3" t="s">
        <v>2201</v>
      </c>
      <c r="Z128" s="3"/>
      <c r="AA128" s="3"/>
      <c r="AB128" s="3"/>
      <c r="AC128" s="4" cm="1">
        <f t="array" ref="AC128">IF(FALSE,"True," &amp; IF(_xlfn.XLOOKUP("Src_IsAny",'Scoring_Config'!$A:$A,'Scoring_Config'!$D:$D,"Yes")="Yes",_xlfn.XLOOKUP("Src_IsAny",'Scoring_Config'!$A:$A,'Scoring_Config'!$C:$C,25),0),"False,0")</f>
        <v>0</v>
      </c>
      <c r="AD128" s="5" cm="1">
        <f t="array" ref="AD128">IF(TRUE,"True," &amp; IF(_xlfn.XLOOKUP("Src_CIDR_Le_16",'Scoring_Config'!$A:$A,'Scoring_Config'!$D:$D,"Yes")="Yes",_xlfn.XLOOKUP("Src_CIDR_Le_16",'Scoring_Config'!$A:$A,'Scoring_Config'!$C:$C,25),0),"False,0")</f>
        <v>0</v>
      </c>
      <c r="AE128" s="4" cm="1">
        <f t="array" ref="AE128">IF(FALSE,"True," &amp; IF(_xlfn.XLOOKUP("Src_CIDR_17_22",'Scoring_Config'!$A:$A,'Scoring_Config'!$D:$D,"Yes")="Yes",_xlfn.XLOOKUP("Src_CIDR_17_22",'Scoring_Config'!$A:$A,'Scoring_Config'!$C:$C,15),0),"False,0")</f>
        <v>0</v>
      </c>
      <c r="AF128" s="4" cm="1">
        <f t="array" ref="AF128">IF(FALSE,"True," &amp; IF(_xlfn.XLOOKUP("Dst_IsAny",'Scoring_Config'!$A:$A,'Scoring_Config'!$D:$D,"Yes")="Yes",_xlfn.XLOOKUP("Dst_IsAny",'Scoring_Config'!$A:$A,'Scoring_Config'!$C:$C,25),0),"False,0")</f>
        <v>0</v>
      </c>
      <c r="AG128" s="5" cm="1">
        <f t="array" ref="AG128">IF(TRUE,"True," &amp; IF(_xlfn.XLOOKUP("Dst_CIDR_Le_16",'Scoring_Config'!$A:$A,'Scoring_Config'!$D:$D,"Yes")="Yes",_xlfn.XLOOKUP("Dst_CIDR_Le_16",'Scoring_Config'!$A:$A,'Scoring_Config'!$C:$C,25),0),"False,0")</f>
        <v>0</v>
      </c>
      <c r="AH128" s="4" cm="1">
        <f t="array" ref="AH128">IF(FALSE,"True," &amp; IF(_xlfn.XLOOKUP("Dst_CIDR_17_22",'Scoring_Config'!$A:$A,'Scoring_Config'!$D:$D,"Yes")="Yes",_xlfn.XLOOKUP("Dst_CIDR_17_22",'Scoring_Config'!$A:$A,'Scoring_Config'!$C:$C,15),0),"False,0")</f>
        <v>0</v>
      </c>
      <c r="AI128" s="4" cm="1">
        <f t="array" ref="AI128">IF(FALSE,"True," &amp; IF(_xlfn.XLOOKUP("SrcZone_IsAny",'Scoring_Config'!$A:$A,'Scoring_Config'!$D:$D,"Yes")="Yes",_xlfn.XLOOKUP("SrcZone_IsAny",'Scoring_Config'!$A:$A,'Scoring_Config'!$C:$C,5),0),"False,0")</f>
        <v>0</v>
      </c>
      <c r="AJ128" s="4" cm="1">
        <f t="array" ref="AJ128">IF(FALSE,"True," &amp; IF(_xlfn.XLOOKUP("DstZone_IsAny",'Scoring_Config'!$A:$A,'Scoring_Config'!$D:$D,"Yes")="Yes",_xlfn.XLOOKUP("DstZone_IsAny",'Scoring_Config'!$A:$A,'Scoring_Config'!$C:$C,5),0),"False,0")</f>
        <v>0</v>
      </c>
      <c r="AK128" s="4" cm="1">
        <f t="array" ref="AK12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8" s="5" cm="1">
        <f t="array" ref="AL128">IF(TRUE,"True," &amp; IF(_xlfn.XLOOKUP("App_Any_OR_RangeGt1000",'Scoring_Config'!$A:$A,'Scoring_Config'!$D:$D,"Yes")="Yes",_xlfn.XLOOKUP("App_Any_OR_RangeGt1000",'Scoring_Config'!$A:$A,'Scoring_Config'!$C:$C,25),0),"False,0")</f>
        <v>0</v>
      </c>
      <c r="AM128" s="5" cm="1">
        <f t="array" ref="AM128">IF(TRUE,"True," &amp; IF(_xlfn.XLOOKUP("Service_Insecure_Match",'Scoring_Config'!$A:$A,'Scoring_Config'!$D:$D,"Yes")="Yes",_xlfn.XLOOKUP("Service_Insecure_Match",'Scoring_Config'!$A:$A,'Scoring_Config'!$C:$C,20),0),"False,0")</f>
        <v>0</v>
      </c>
      <c r="AN128" s="5" cm="1">
        <f t="array" ref="AN128">IF(TRUE,"True," &amp; IF(_xlfn.XLOOKUP("Risky_Inbound",'Scoring_Config'!$A:$A,'Scoring_Config'!$D:$D,"Yes")="Yes",_xlfn.XLOOKUP("Risky_Inbound",'Scoring_Config'!$A:$A,'Scoring_Config'!$C:$C,20),0),"False,0")</f>
        <v>0</v>
      </c>
      <c r="AO128" s="4" cm="1">
        <f t="array" ref="AO128">IF(FALSE,"True," &amp; IF(_xlfn.XLOOKUP("Risky_Outbound",'Scoring_Config'!$A:$A,'Scoring_Config'!$D:$D,"Yes")="Yes",_xlfn.XLOOKUP("Risky_Outbound",'Scoring_Config'!$A:$A,'Scoring_Config'!$C:$C,10),0),"False,0")</f>
        <v>0</v>
      </c>
      <c r="AP128" s="5" t="s">
        <v>2595</v>
      </c>
      <c r="AQ128" s="4" cm="1">
        <f t="array" ref="AQ12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8" s="4" t="s">
        <v>2592</v>
      </c>
      <c r="AS128" s="5" t="s">
        <v>2595</v>
      </c>
      <c r="AT128" s="4" t="s">
        <v>2592</v>
      </c>
      <c r="AU128" s="5" cm="1">
        <f t="array" ref="AU128">IF(TRUE,"True," &amp; IF(_xlfn.XLOOKUP("Action_IsDenyOrDrop",'Scoring_Config'!$A:$A,'Scoring_Config'!$D:$D,"Yes")="Yes",_xlfn.XLOOKUP("Action_IsDenyOrDrop",'Scoring_Config'!$A:$A,'Scoring_Config'!$C:$C,0),0),"False,0")</f>
        <v>0</v>
      </c>
      <c r="AV128" s="4"/>
      <c r="AW128" s="4" cm="1">
        <f t="array" ref="AW128">IF(FALSE,"True," &amp; IF(_xlfn.XLOOKUP("Migrate_Insecure",'Scoring_Config'!$A:$A,'Scoring_Config'!$D:$D,"Yes")="Yes",_xlfn.XLOOKUP("Migrate_Insecure",'Scoring_Config'!$A:$A,'Scoring_Config'!$C:$C,15),0),"False,0")</f>
        <v>0</v>
      </c>
      <c r="AX128" s="4"/>
      <c r="AY128" s="4" cm="1">
        <f t="array" ref="AY128">IF(FALSE,"True," &amp; IF(_xlfn.XLOOKUP("Migrate_Other_Ports",'Scoring_Config'!$A:$A,'Scoring_Config'!$D:$D,"Yes")="Yes",_xlfn.XLOOKUP("Migrate_Other_Ports",'Scoring_Config'!$A:$A,'Scoring_Config'!$C:$C,5),0),"False,0")</f>
        <v>0</v>
      </c>
      <c r="AZ128" s="4" cm="1">
        <f t="array" ref="AZ128">IF(LEFT(AU128,4)="True",0,(IF(LEFT(AC128,4)="True",IF(_xlfn.XLOOKUP("Src_IsAny",'Scoring_Config'!$A:$A,'Scoring_Config'!$D:$D,"Yes")="Yes",_xlfn.XLOOKUP("Src_IsAny",'Scoring_Config'!$A:$A,'Scoring_Config'!$C:$C,25),0),0)+IF(LEFT(AD128,4)="True",IF(_xlfn.XLOOKUP("Src_CIDR_Le_16",'Scoring_Config'!$A:$A,'Scoring_Config'!$D:$D,"Yes")="Yes",_xlfn.XLOOKUP("Src_CIDR_Le_16",'Scoring_Config'!$A:$A,'Scoring_Config'!$C:$C,25),0),0)+IF(LEFT(AE128,4)="True",IF(_xlfn.XLOOKUP("Src_CIDR_17_22",'Scoring_Config'!$A:$A,'Scoring_Config'!$D:$D,"Yes")="Yes",_xlfn.XLOOKUP("Src_CIDR_17_22",'Scoring_Config'!$A:$A,'Scoring_Config'!$C:$C,15),0),0)+IF(LEFT(AF128,4)="True",IF(_xlfn.XLOOKUP("Dst_IsAny",'Scoring_Config'!$A:$A,'Scoring_Config'!$D:$D,"Yes")="Yes",_xlfn.XLOOKUP("Dst_IsAny",'Scoring_Config'!$A:$A,'Scoring_Config'!$C:$C,25),0),0)+IF(LEFT(AG128,4)="True",IF(_xlfn.XLOOKUP("Dst_CIDR_Le_16",'Scoring_Config'!$A:$A,'Scoring_Config'!$D:$D,"Yes")="Yes",_xlfn.XLOOKUP("Dst_CIDR_Le_16",'Scoring_Config'!$A:$A,'Scoring_Config'!$C:$C,25),0),0)+IF(LEFT(AH128,4)="True",IF(_xlfn.XLOOKUP("Dst_CIDR_17_22",'Scoring_Config'!$A:$A,'Scoring_Config'!$D:$D,"Yes")="Yes",_xlfn.XLOOKUP("Dst_CIDR_17_22",'Scoring_Config'!$A:$A,'Scoring_Config'!$C:$C,15),0),0)+IF(LEFT(AI128,4)="True",IF(_xlfn.XLOOKUP("SrcZone_IsAny",'Scoring_Config'!$A:$A,'Scoring_Config'!$D:$D,"Yes")="Yes",_xlfn.XLOOKUP("SrcZone_IsAny",'Scoring_Config'!$A:$A,'Scoring_Config'!$C:$C,5),0),0)+IF(LEFT(AJ128,4)="True",IF(_xlfn.XLOOKUP("DstZone_IsAny",'Scoring_Config'!$A:$A,'Scoring_Config'!$D:$D,"Yes")="Yes",_xlfn.XLOOKUP("DstZone_IsAny",'Scoring_Config'!$A:$A,'Scoring_Config'!$C:$C,5),0),0)+IF(LEFT(AK128,4)="True",IF(_xlfn.XLOOKUP("Service_Any_OR_RangeGt1000",'Scoring_Config'!$A:$A,'Scoring_Config'!$D:$D,"Yes")="Yes",_xlfn.XLOOKUP("Service_Any_OR_RangeGt1000",'Scoring_Config'!$A:$A,'Scoring_Config'!$C:$C,25),0),0)+IF(LEFT(AL128,4)="True",IF(_xlfn.XLOOKUP("App_Any_OR_RangeGt1000",'Scoring_Config'!$A:$A,'Scoring_Config'!$D:$D,"Yes")="Yes",_xlfn.XLOOKUP("App_Any_OR_RangeGt1000",'Scoring_Config'!$A:$A,'Scoring_Config'!$C:$C,25),0),0)+IF(LEFT(AM128,4)="True",IF(_xlfn.XLOOKUP("Service_Insecure_Match",'Scoring_Config'!$A:$A,'Scoring_Config'!$D:$D,"Yes")="Yes",_xlfn.XLOOKUP("Service_Insecure_Match",'Scoring_Config'!$A:$A,'Scoring_Config'!$C:$C,20),0),0)+IF(LEFT(AN128,4)="True",IF(_xlfn.XLOOKUP("Risky_Inbound",'Scoring_Config'!$A:$A,'Scoring_Config'!$D:$D,"Yes")="Yes",_xlfn.XLOOKUP("Risky_Inbound",'Scoring_Config'!$A:$A,'Scoring_Config'!$C:$C,20),0),0)+IF(LEFT(AO128,4)="True",IF(_xlfn.XLOOKUP("Risky_Outbound",'Scoring_Config'!$A:$A,'Scoring_Config'!$D:$D,"Yes")="Yes",_xlfn.XLOOKUP("Risky_Outbound",'Scoring_Config'!$A:$A,'Scoring_Config'!$C:$C,10),0),0)+IF(LEFT(AW128,4)="True",IF(_xlfn.XLOOKUP("Migrate_Insecure",'Scoring_Config'!$A:$A,'Scoring_Config'!$D:$D,"Yes")="Yes",_xlfn.XLOOKUP("Migrate_Insecure",'Scoring_Config'!$A:$A,'Scoring_Config'!$C:$C,15),0),0)+IF(LEFT(AY128,4)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128,FIND(",",AP128)+1,100)),0)+IF(LEFT(AQ128,4)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128,FIND(",",AR128)+1,100)),0)+IF(_xlfn.XLOOKUP("Profile_Scoring",'Scoring_Config'!$A:$A,'Scoring_Config'!$D:$D,"Yes")="Yes",VALUE(MID(AS128,FIND(",",AS128)+1,100)),0)+IF(_xlfn.XLOOKUP("Options_Scoring",'Scoring_Config'!$A:$A,'Scoring_Config'!$D:$D,"Yes")="Yes",VALUE(MID(AT128,FIND(",",AT128)+1,100)),0)))</f>
        <v>0</v>
      </c>
    </row>
    <row r="129" spans="1:52">
      <c r="A129" s="3" t="s">
        <v>53</v>
      </c>
      <c r="B129" s="3" t="s">
        <v>154</v>
      </c>
      <c r="C129" s="3" t="s">
        <v>330</v>
      </c>
      <c r="D129" s="3"/>
      <c r="E129" s="3" t="s">
        <v>359</v>
      </c>
      <c r="F129" s="3" t="s">
        <v>364</v>
      </c>
      <c r="G129" s="3" t="s">
        <v>410</v>
      </c>
      <c r="H129" s="3" t="s">
        <v>564</v>
      </c>
      <c r="I129" s="3" t="s">
        <v>623</v>
      </c>
      <c r="J129" s="3" t="s">
        <v>364</v>
      </c>
      <c r="K129" s="3" t="s">
        <v>665</v>
      </c>
      <c r="L129" s="3" t="s">
        <v>665</v>
      </c>
      <c r="M129" s="3" t="s">
        <v>770</v>
      </c>
      <c r="N129" s="3" t="s">
        <v>770</v>
      </c>
      <c r="O129" s="4" t="s">
        <v>821</v>
      </c>
      <c r="P129" s="3" t="s">
        <v>882</v>
      </c>
      <c r="Q129" s="3" t="s">
        <v>905</v>
      </c>
      <c r="R129" s="3" t="s">
        <v>910</v>
      </c>
      <c r="S129" s="3" t="s">
        <v>907</v>
      </c>
      <c r="T129" s="3" t="s">
        <v>989</v>
      </c>
      <c r="U129" s="3" t="s">
        <v>1150</v>
      </c>
      <c r="V129" s="3" t="s">
        <v>789</v>
      </c>
      <c r="W129" s="3" t="s">
        <v>1462</v>
      </c>
      <c r="X129" s="3" t="s">
        <v>1733</v>
      </c>
      <c r="Y129" s="3" t="s">
        <v>2202</v>
      </c>
      <c r="Z129" s="3"/>
      <c r="AA129" s="3"/>
      <c r="AB129" s="3"/>
      <c r="AC129" s="4" cm="1">
        <f t="array" ref="AC129">IF(FALSE,"True," &amp; IF(_xlfn.XLOOKUP("Src_IsAny",'Scoring_Config'!$A:$A,'Scoring_Config'!$D:$D,"Yes")="Yes",_xlfn.XLOOKUP("Src_IsAny",'Scoring_Config'!$A:$A,'Scoring_Config'!$C:$C,25),0),"False,0")</f>
        <v>0</v>
      </c>
      <c r="AD129" s="5" cm="1">
        <f t="array" ref="AD129">IF(TRUE,"True," &amp; IF(_xlfn.XLOOKUP("Src_CIDR_Le_16",'Scoring_Config'!$A:$A,'Scoring_Config'!$D:$D,"Yes")="Yes",_xlfn.XLOOKUP("Src_CIDR_Le_16",'Scoring_Config'!$A:$A,'Scoring_Config'!$C:$C,25),0),"False,0")</f>
        <v>0</v>
      </c>
      <c r="AE129" s="4" cm="1">
        <f t="array" ref="AE129">IF(FALSE,"True," &amp; IF(_xlfn.XLOOKUP("Src_CIDR_17_22",'Scoring_Config'!$A:$A,'Scoring_Config'!$D:$D,"Yes")="Yes",_xlfn.XLOOKUP("Src_CIDR_17_22",'Scoring_Config'!$A:$A,'Scoring_Config'!$C:$C,15),0),"False,0")</f>
        <v>0</v>
      </c>
      <c r="AF129" s="4" cm="1">
        <f t="array" ref="AF129">IF(FALSE,"True," &amp; IF(_xlfn.XLOOKUP("Dst_IsAny",'Scoring_Config'!$A:$A,'Scoring_Config'!$D:$D,"Yes")="Yes",_xlfn.XLOOKUP("Dst_IsAny",'Scoring_Config'!$A:$A,'Scoring_Config'!$C:$C,25),0),"False,0")</f>
        <v>0</v>
      </c>
      <c r="AG129" s="4" cm="1">
        <f t="array" ref="AG129">IF(FALSE,"True," &amp; IF(_xlfn.XLOOKUP("Dst_CIDR_Le_16",'Scoring_Config'!$A:$A,'Scoring_Config'!$D:$D,"Yes")="Yes",_xlfn.XLOOKUP("Dst_CIDR_Le_16",'Scoring_Config'!$A:$A,'Scoring_Config'!$C:$C,25),0),"False,0")</f>
        <v>0</v>
      </c>
      <c r="AH129" s="4" cm="1">
        <f t="array" ref="AH129">IF(FALSE,"True," &amp; IF(_xlfn.XLOOKUP("Dst_CIDR_17_22",'Scoring_Config'!$A:$A,'Scoring_Config'!$D:$D,"Yes")="Yes",_xlfn.XLOOKUP("Dst_CIDR_17_22",'Scoring_Config'!$A:$A,'Scoring_Config'!$C:$C,15),0),"False,0")</f>
        <v>0</v>
      </c>
      <c r="AI129" s="4" cm="1">
        <f t="array" ref="AI129">IF(FALSE,"True," &amp; IF(_xlfn.XLOOKUP("SrcZone_IsAny",'Scoring_Config'!$A:$A,'Scoring_Config'!$D:$D,"Yes")="Yes",_xlfn.XLOOKUP("SrcZone_IsAny",'Scoring_Config'!$A:$A,'Scoring_Config'!$C:$C,5),0),"False,0")</f>
        <v>0</v>
      </c>
      <c r="AJ129" s="4" cm="1">
        <f t="array" ref="AJ129">IF(FALSE,"True," &amp; IF(_xlfn.XLOOKUP("DstZone_IsAny",'Scoring_Config'!$A:$A,'Scoring_Config'!$D:$D,"Yes")="Yes",_xlfn.XLOOKUP("DstZone_IsAny",'Scoring_Config'!$A:$A,'Scoring_Config'!$C:$C,5),0),"False,0")</f>
        <v>0</v>
      </c>
      <c r="AK129" s="4" cm="1">
        <f t="array" ref="AK12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29" s="4" cm="1">
        <f t="array" ref="AL129">IF(FALSE,"True," &amp; IF(_xlfn.XLOOKUP("App_Any_OR_RangeGt1000",'Scoring_Config'!$A:$A,'Scoring_Config'!$D:$D,"Yes")="Yes",_xlfn.XLOOKUP("App_Any_OR_RangeGt1000",'Scoring_Config'!$A:$A,'Scoring_Config'!$C:$C,25),0),"False,0")</f>
        <v>0</v>
      </c>
      <c r="AM129" s="5" cm="1">
        <f t="array" ref="AM129">IF(TRUE,"True," &amp; IF(_xlfn.XLOOKUP("Service_Insecure_Match",'Scoring_Config'!$A:$A,'Scoring_Config'!$D:$D,"Yes")="Yes",_xlfn.XLOOKUP("Service_Insecure_Match",'Scoring_Config'!$A:$A,'Scoring_Config'!$C:$C,20),0),"False,0")</f>
        <v>0</v>
      </c>
      <c r="AN129" s="4" cm="1">
        <f t="array" ref="AN129">IF(FALSE,"True," &amp; IF(_xlfn.XLOOKUP("Risky_Inbound",'Scoring_Config'!$A:$A,'Scoring_Config'!$D:$D,"Yes")="Yes",_xlfn.XLOOKUP("Risky_Inbound",'Scoring_Config'!$A:$A,'Scoring_Config'!$C:$C,20),0),"False,0")</f>
        <v>0</v>
      </c>
      <c r="AO129" s="4" cm="1">
        <f t="array" ref="AO129">IF(FALSE,"True," &amp; IF(_xlfn.XLOOKUP("Risky_Outbound",'Scoring_Config'!$A:$A,'Scoring_Config'!$D:$D,"Yes")="Yes",_xlfn.XLOOKUP("Risky_Outbound",'Scoring_Config'!$A:$A,'Scoring_Config'!$C:$C,10),0),"False,0")</f>
        <v>0</v>
      </c>
      <c r="AP129" s="5" t="s">
        <v>2595</v>
      </c>
      <c r="AQ129" s="5" cm="1">
        <f t="array" ref="AQ12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29" s="5" t="s">
        <v>2598</v>
      </c>
      <c r="AS129" s="4" t="s">
        <v>2592</v>
      </c>
      <c r="AT129" s="5" t="s">
        <v>2595</v>
      </c>
      <c r="AU129" s="4" cm="1">
        <f t="array" ref="AU129">IF(FALSE,"True," &amp; IF(_xlfn.XLOOKUP("Action_IsDenyOrDrop",'Scoring_Config'!$A:$A,'Scoring_Config'!$D:$D,"Yes")="Yes",_xlfn.XLOOKUP("Action_IsDenyOrDrop",'Scoring_Config'!$A:$A,'Scoring_Config'!$C:$C,0),0),"False,0")</f>
        <v>0</v>
      </c>
      <c r="AV129" s="4"/>
      <c r="AW129" s="4" cm="1">
        <f t="array" ref="AW129">IF(FALSE,"True," &amp; IF(_xlfn.XLOOKUP("Migrate_Insecure",'Scoring_Config'!$A:$A,'Scoring_Config'!$D:$D,"Yes")="Yes",_xlfn.XLOOKUP("Migrate_Insecure",'Scoring_Config'!$A:$A,'Scoring_Config'!$C:$C,15),0),"False,0")</f>
        <v>0</v>
      </c>
      <c r="AX129" s="4"/>
      <c r="AY129" s="4" cm="1">
        <f t="array" ref="AY129">IF(FALSE,"True," &amp; IF(_xlfn.XLOOKUP("Migrate_Other_Ports",'Scoring_Config'!$A:$A,'Scoring_Config'!$D:$D,"Yes")="Yes",_xlfn.XLOOKUP("Migrate_Other_Ports",'Scoring_Config'!$A:$A,'Scoring_Config'!$C:$C,5),0),"False,0")</f>
        <v>0</v>
      </c>
      <c r="AZ129" s="4" cm="1">
        <f t="array" ref="AZ129">IF(LEFT(AU129,4)="True",0,(IF(LEFT(AC129,4)="True",IF(_xlfn.XLOOKUP("Src_IsAny",'Scoring_Config'!$A:$A,'Scoring_Config'!$D:$D,"Yes")="Yes",_xlfn.XLOOKUP("Src_IsAny",'Scoring_Config'!$A:$A,'Scoring_Config'!$C:$C,25),0),0)+IF(LEFT(AD129,4)="True",IF(_xlfn.XLOOKUP("Src_CIDR_Le_16",'Scoring_Config'!$A:$A,'Scoring_Config'!$D:$D,"Yes")="Yes",_xlfn.XLOOKUP("Src_CIDR_Le_16",'Scoring_Config'!$A:$A,'Scoring_Config'!$C:$C,25),0),0)+IF(LEFT(AE129,4)="True",IF(_xlfn.XLOOKUP("Src_CIDR_17_22",'Scoring_Config'!$A:$A,'Scoring_Config'!$D:$D,"Yes")="Yes",_xlfn.XLOOKUP("Src_CIDR_17_22",'Scoring_Config'!$A:$A,'Scoring_Config'!$C:$C,15),0),0)+IF(LEFT(AF129,4)="True",IF(_xlfn.XLOOKUP("Dst_IsAny",'Scoring_Config'!$A:$A,'Scoring_Config'!$D:$D,"Yes")="Yes",_xlfn.XLOOKUP("Dst_IsAny",'Scoring_Config'!$A:$A,'Scoring_Config'!$C:$C,25),0),0)+IF(LEFT(AG129,4)="True",IF(_xlfn.XLOOKUP("Dst_CIDR_Le_16",'Scoring_Config'!$A:$A,'Scoring_Config'!$D:$D,"Yes")="Yes",_xlfn.XLOOKUP("Dst_CIDR_Le_16",'Scoring_Config'!$A:$A,'Scoring_Config'!$C:$C,25),0),0)+IF(LEFT(AH129,4)="True",IF(_xlfn.XLOOKUP("Dst_CIDR_17_22",'Scoring_Config'!$A:$A,'Scoring_Config'!$D:$D,"Yes")="Yes",_xlfn.XLOOKUP("Dst_CIDR_17_22",'Scoring_Config'!$A:$A,'Scoring_Config'!$C:$C,15),0),0)+IF(LEFT(AI129,4)="True",IF(_xlfn.XLOOKUP("SrcZone_IsAny",'Scoring_Config'!$A:$A,'Scoring_Config'!$D:$D,"Yes")="Yes",_xlfn.XLOOKUP("SrcZone_IsAny",'Scoring_Config'!$A:$A,'Scoring_Config'!$C:$C,5),0),0)+IF(LEFT(AJ129,4)="True",IF(_xlfn.XLOOKUP("DstZone_IsAny",'Scoring_Config'!$A:$A,'Scoring_Config'!$D:$D,"Yes")="Yes",_xlfn.XLOOKUP("DstZone_IsAny",'Scoring_Config'!$A:$A,'Scoring_Config'!$C:$C,5),0),0)+IF(LEFT(AK129,4)="True",IF(_xlfn.XLOOKUP("Service_Any_OR_RangeGt1000",'Scoring_Config'!$A:$A,'Scoring_Config'!$D:$D,"Yes")="Yes",_xlfn.XLOOKUP("Service_Any_OR_RangeGt1000",'Scoring_Config'!$A:$A,'Scoring_Config'!$C:$C,25),0),0)+IF(LEFT(AL129,4)="True",IF(_xlfn.XLOOKUP("App_Any_OR_RangeGt1000",'Scoring_Config'!$A:$A,'Scoring_Config'!$D:$D,"Yes")="Yes",_xlfn.XLOOKUP("App_Any_OR_RangeGt1000",'Scoring_Config'!$A:$A,'Scoring_Config'!$C:$C,25),0),0)+IF(LEFT(AM129,4)="True",IF(_xlfn.XLOOKUP("Service_Insecure_Match",'Scoring_Config'!$A:$A,'Scoring_Config'!$D:$D,"Yes")="Yes",_xlfn.XLOOKUP("Service_Insecure_Match",'Scoring_Config'!$A:$A,'Scoring_Config'!$C:$C,20),0),0)+IF(LEFT(AN129,4)="True",IF(_xlfn.XLOOKUP("Risky_Inbound",'Scoring_Config'!$A:$A,'Scoring_Config'!$D:$D,"Yes")="Yes",_xlfn.XLOOKUP("Risky_Inbound",'Scoring_Config'!$A:$A,'Scoring_Config'!$C:$C,20),0),0)+IF(LEFT(AO129,4)="True",IF(_xlfn.XLOOKUP("Risky_Outbound",'Scoring_Config'!$A:$A,'Scoring_Config'!$D:$D,"Yes")="Yes",_xlfn.XLOOKUP("Risky_Outbound",'Scoring_Config'!$A:$A,'Scoring_Config'!$C:$C,10),0),0)+IF(LEFT(AW129,4)="True",IF(_xlfn.XLOOKUP("Migrate_Insecure",'Scoring_Config'!$A:$A,'Scoring_Config'!$D:$D,"Yes")="Yes",_xlfn.XLOOKUP("Migrate_Insecure",'Scoring_Config'!$A:$A,'Scoring_Config'!$C:$C,15),0),0)+IF(LEFT(AY129,4)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129,FIND(",",AP129)+1,100)),0)+IF(LEFT(AQ129,4)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129,FIND(",",AR129)+1,100)),0)+IF(_xlfn.XLOOKUP("Profile_Scoring",'Scoring_Config'!$A:$A,'Scoring_Config'!$D:$D,"Yes")="Yes",VALUE(MID(AS129,FIND(",",AS129)+1,100)),0)+IF(_xlfn.XLOOKUP("Options_Scoring",'Scoring_Config'!$A:$A,'Scoring_Config'!$D:$D,"Yes")="Yes",VALUE(MID(AT129,FIND(",",AT129)+1,100)),0)))</f>
        <v>0</v>
      </c>
    </row>
    <row r="130" spans="1:52">
      <c r="A130" s="3" t="s">
        <v>53</v>
      </c>
      <c r="B130" s="3" t="s">
        <v>155</v>
      </c>
      <c r="C130" s="3" t="s">
        <v>330</v>
      </c>
      <c r="D130" s="3"/>
      <c r="E130" s="3" t="s">
        <v>359</v>
      </c>
      <c r="F130" s="3" t="s">
        <v>361</v>
      </c>
      <c r="G130" s="3" t="s">
        <v>411</v>
      </c>
      <c r="H130" s="3" t="s">
        <v>565</v>
      </c>
      <c r="I130" s="3" t="s">
        <v>623</v>
      </c>
      <c r="J130" s="3" t="s">
        <v>362</v>
      </c>
      <c r="K130" s="3" t="s">
        <v>666</v>
      </c>
      <c r="L130" s="3" t="s">
        <v>750</v>
      </c>
      <c r="M130" s="3" t="s">
        <v>770</v>
      </c>
      <c r="N130" s="3" t="s">
        <v>770</v>
      </c>
      <c r="O130" s="4" t="s">
        <v>818</v>
      </c>
      <c r="P130" s="3" t="s">
        <v>879</v>
      </c>
      <c r="Q130" s="3" t="s">
        <v>905</v>
      </c>
      <c r="R130" s="3" t="s">
        <v>910</v>
      </c>
      <c r="S130" s="3" t="s">
        <v>913</v>
      </c>
      <c r="T130" s="3" t="s">
        <v>1006</v>
      </c>
      <c r="U130" s="3" t="s">
        <v>1150</v>
      </c>
      <c r="V130" s="3" t="s">
        <v>789</v>
      </c>
      <c r="W130" s="3" t="s">
        <v>1425</v>
      </c>
      <c r="X130" s="3" t="s">
        <v>1734</v>
      </c>
      <c r="Y130" s="3" t="s">
        <v>2203</v>
      </c>
      <c r="Z130" s="3"/>
      <c r="AA130" s="3"/>
      <c r="AB130" s="3"/>
      <c r="AC130" s="4" cm="1">
        <f t="array" ref="AC130">IF(FALSE,"True," &amp; IF(_xlfn.XLOOKUP("Src_IsAny",'Scoring_Config'!$A:$A,'Scoring_Config'!$D:$D,"Yes")="Yes",_xlfn.XLOOKUP("Src_IsAny",'Scoring_Config'!$A:$A,'Scoring_Config'!$C:$C,25),0),"False,0")</f>
        <v>0</v>
      </c>
      <c r="AD130" s="4" cm="1">
        <f t="array" ref="AD130">IF(FALSE,"True," &amp; IF(_xlfn.XLOOKUP("Src_CIDR_Le_16",'Scoring_Config'!$A:$A,'Scoring_Config'!$D:$D,"Yes")="Yes",_xlfn.XLOOKUP("Src_CIDR_Le_16",'Scoring_Config'!$A:$A,'Scoring_Config'!$C:$C,25),0),"False,0")</f>
        <v>0</v>
      </c>
      <c r="AE130" s="4" cm="1">
        <f t="array" ref="AE130">IF(FALSE,"True," &amp; IF(_xlfn.XLOOKUP("Src_CIDR_17_22",'Scoring_Config'!$A:$A,'Scoring_Config'!$D:$D,"Yes")="Yes",_xlfn.XLOOKUP("Src_CIDR_17_22",'Scoring_Config'!$A:$A,'Scoring_Config'!$C:$C,15),0),"False,0")</f>
        <v>0</v>
      </c>
      <c r="AF130" s="4" cm="1">
        <f t="array" ref="AF130">IF(FALSE,"True," &amp; IF(_xlfn.XLOOKUP("Dst_IsAny",'Scoring_Config'!$A:$A,'Scoring_Config'!$D:$D,"Yes")="Yes",_xlfn.XLOOKUP("Dst_IsAny",'Scoring_Config'!$A:$A,'Scoring_Config'!$C:$C,25),0),"False,0")</f>
        <v>0</v>
      </c>
      <c r="AG130" s="4" cm="1">
        <f t="array" ref="AG130">IF(FALSE,"True," &amp; IF(_xlfn.XLOOKUP("Dst_CIDR_Le_16",'Scoring_Config'!$A:$A,'Scoring_Config'!$D:$D,"Yes")="Yes",_xlfn.XLOOKUP("Dst_CIDR_Le_16",'Scoring_Config'!$A:$A,'Scoring_Config'!$C:$C,25),0),"False,0")</f>
        <v>0</v>
      </c>
      <c r="AH130" s="4" cm="1">
        <f t="array" ref="AH130">IF(FALSE,"True," &amp; IF(_xlfn.XLOOKUP("Dst_CIDR_17_22",'Scoring_Config'!$A:$A,'Scoring_Config'!$D:$D,"Yes")="Yes",_xlfn.XLOOKUP("Dst_CIDR_17_22",'Scoring_Config'!$A:$A,'Scoring_Config'!$C:$C,15),0),"False,0")</f>
        <v>0</v>
      </c>
      <c r="AI130" s="4" cm="1">
        <f t="array" ref="AI130">IF(FALSE,"True," &amp; IF(_xlfn.XLOOKUP("SrcZone_IsAny",'Scoring_Config'!$A:$A,'Scoring_Config'!$D:$D,"Yes")="Yes",_xlfn.XLOOKUP("SrcZone_IsAny",'Scoring_Config'!$A:$A,'Scoring_Config'!$C:$C,5),0),"False,0")</f>
        <v>0</v>
      </c>
      <c r="AJ130" s="4" cm="1">
        <f t="array" ref="AJ130">IF(FALSE,"True," &amp; IF(_xlfn.XLOOKUP("DstZone_IsAny",'Scoring_Config'!$A:$A,'Scoring_Config'!$D:$D,"Yes")="Yes",_xlfn.XLOOKUP("DstZone_IsAny",'Scoring_Config'!$A:$A,'Scoring_Config'!$C:$C,5),0),"False,0")</f>
        <v>0</v>
      </c>
      <c r="AK130" s="5" cm="1">
        <f t="array" ref="AK130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30" s="4" cm="1">
        <f t="array" ref="AL130">IF(FALSE,"True," &amp; IF(_xlfn.XLOOKUP("App_Any_OR_RangeGt1000",'Scoring_Config'!$A:$A,'Scoring_Config'!$D:$D,"Yes")="Yes",_xlfn.XLOOKUP("App_Any_OR_RangeGt1000",'Scoring_Config'!$A:$A,'Scoring_Config'!$C:$C,25),0),"False,0")</f>
        <v>0</v>
      </c>
      <c r="AM130" s="5" cm="1">
        <f t="array" ref="AM130">IF(TRUE,"True," &amp; IF(_xlfn.XLOOKUP("Service_Insecure_Match",'Scoring_Config'!$A:$A,'Scoring_Config'!$D:$D,"Yes")="Yes",_xlfn.XLOOKUP("Service_Insecure_Match",'Scoring_Config'!$A:$A,'Scoring_Config'!$C:$C,20),0),"False,0")</f>
        <v>0</v>
      </c>
      <c r="AN130" s="4" cm="1">
        <f t="array" ref="AN130">IF(FALSE,"True," &amp; IF(_xlfn.XLOOKUP("Risky_Inbound",'Scoring_Config'!$A:$A,'Scoring_Config'!$D:$D,"Yes")="Yes",_xlfn.XLOOKUP("Risky_Inbound",'Scoring_Config'!$A:$A,'Scoring_Config'!$C:$C,20),0),"False,0")</f>
        <v>0</v>
      </c>
      <c r="AO130" s="4" cm="1">
        <f t="array" ref="AO130">IF(FALSE,"True," &amp; IF(_xlfn.XLOOKUP("Risky_Outbound",'Scoring_Config'!$A:$A,'Scoring_Config'!$D:$D,"Yes")="Yes",_xlfn.XLOOKUP("Risky_Outbound",'Scoring_Config'!$A:$A,'Scoring_Config'!$C:$C,10),0),"False,0")</f>
        <v>0</v>
      </c>
      <c r="AP130" s="5" t="s">
        <v>2595</v>
      </c>
      <c r="AQ130" s="5" cm="1">
        <f t="array" ref="AQ13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0" s="5" t="s">
        <v>2598</v>
      </c>
      <c r="AS130" s="4" t="s">
        <v>2592</v>
      </c>
      <c r="AT130" s="4" t="s">
        <v>2592</v>
      </c>
      <c r="AU130" s="4" cm="1">
        <f t="array" ref="AU130">IF(FALSE,"True," &amp; IF(_xlfn.XLOOKUP("Action_IsDenyOrDrop",'Scoring_Config'!$A:$A,'Scoring_Config'!$D:$D,"Yes")="Yes",_xlfn.XLOOKUP("Action_IsDenyOrDrop",'Scoring_Config'!$A:$A,'Scoring_Config'!$C:$C,0),0),"False,0")</f>
        <v>0</v>
      </c>
      <c r="AV130" s="4"/>
      <c r="AW130" s="4" cm="1">
        <f t="array" ref="AW130">IF(FALSE,"True," &amp; IF(_xlfn.XLOOKUP("Migrate_Insecure",'Scoring_Config'!$A:$A,'Scoring_Config'!$D:$D,"Yes")="Yes",_xlfn.XLOOKUP("Migrate_Insecure",'Scoring_Config'!$A:$A,'Scoring_Config'!$C:$C,15),0),"False,0")</f>
        <v>0</v>
      </c>
      <c r="AX130" s="4"/>
      <c r="AY130" s="4" cm="1">
        <f t="array" ref="AY130">IF(FALSE,"True," &amp; IF(_xlfn.XLOOKUP("Migrate_Other_Ports",'Scoring_Config'!$A:$A,'Scoring_Config'!$D:$D,"Yes")="Yes",_xlfn.XLOOKUP("Migrate_Other_Ports",'Scoring_Config'!$A:$A,'Scoring_Config'!$C:$C,5),0),"False,0")</f>
        <v>0</v>
      </c>
      <c r="AZ130" s="4" cm="1">
        <f t="array" ref="AZ130">IF(LEFT(AU130,4)="True",0,(IF(LEFT(AC130,4)="True",IF(_xlfn.XLOOKUP("Src_IsAny",'Scoring_Config'!$A:$A,'Scoring_Config'!$D:$D,"Yes")="Yes",_xlfn.XLOOKUP("Src_IsAny",'Scoring_Config'!$A:$A,'Scoring_Config'!$C:$C,25),0),0)+IF(LEFT(AD130,4)="True",IF(_xlfn.XLOOKUP("Src_CIDR_Le_16",'Scoring_Config'!$A:$A,'Scoring_Config'!$D:$D,"Yes")="Yes",_xlfn.XLOOKUP("Src_CIDR_Le_16",'Scoring_Config'!$A:$A,'Scoring_Config'!$C:$C,25),0),0)+IF(LEFT(AE130,4)="True",IF(_xlfn.XLOOKUP("Src_CIDR_17_22",'Scoring_Config'!$A:$A,'Scoring_Config'!$D:$D,"Yes")="Yes",_xlfn.XLOOKUP("Src_CIDR_17_22",'Scoring_Config'!$A:$A,'Scoring_Config'!$C:$C,15),0),0)+IF(LEFT(AF130,4)="True",IF(_xlfn.XLOOKUP("Dst_IsAny",'Scoring_Config'!$A:$A,'Scoring_Config'!$D:$D,"Yes")="Yes",_xlfn.XLOOKUP("Dst_IsAny",'Scoring_Config'!$A:$A,'Scoring_Config'!$C:$C,25),0),0)+IF(LEFT(AG130,4)="True",IF(_xlfn.XLOOKUP("Dst_CIDR_Le_16",'Scoring_Config'!$A:$A,'Scoring_Config'!$D:$D,"Yes")="Yes",_xlfn.XLOOKUP("Dst_CIDR_Le_16",'Scoring_Config'!$A:$A,'Scoring_Config'!$C:$C,25),0),0)+IF(LEFT(AH130,4)="True",IF(_xlfn.XLOOKUP("Dst_CIDR_17_22",'Scoring_Config'!$A:$A,'Scoring_Config'!$D:$D,"Yes")="Yes",_xlfn.XLOOKUP("Dst_CIDR_17_22",'Scoring_Config'!$A:$A,'Scoring_Config'!$C:$C,15),0),0)+IF(LEFT(AI130,4)="True",IF(_xlfn.XLOOKUP("SrcZone_IsAny",'Scoring_Config'!$A:$A,'Scoring_Config'!$D:$D,"Yes")="Yes",_xlfn.XLOOKUP("SrcZone_IsAny",'Scoring_Config'!$A:$A,'Scoring_Config'!$C:$C,5),0),0)+IF(LEFT(AJ130,4)="True",IF(_xlfn.XLOOKUP("DstZone_IsAny",'Scoring_Config'!$A:$A,'Scoring_Config'!$D:$D,"Yes")="Yes",_xlfn.XLOOKUP("DstZone_IsAny",'Scoring_Config'!$A:$A,'Scoring_Config'!$C:$C,5),0),0)+IF(LEFT(AK130,4)="True",IF(_xlfn.XLOOKUP("Service_Any_OR_RangeGt1000",'Scoring_Config'!$A:$A,'Scoring_Config'!$D:$D,"Yes")="Yes",_xlfn.XLOOKUP("Service_Any_OR_RangeGt1000",'Scoring_Config'!$A:$A,'Scoring_Config'!$C:$C,25),0),0)+IF(LEFT(AL130,4)="True",IF(_xlfn.XLOOKUP("App_Any_OR_RangeGt1000",'Scoring_Config'!$A:$A,'Scoring_Config'!$D:$D,"Yes")="Yes",_xlfn.XLOOKUP("App_Any_OR_RangeGt1000",'Scoring_Config'!$A:$A,'Scoring_Config'!$C:$C,25),0),0)+IF(LEFT(AM130,4)="True",IF(_xlfn.XLOOKUP("Service_Insecure_Match",'Scoring_Config'!$A:$A,'Scoring_Config'!$D:$D,"Yes")="Yes",_xlfn.XLOOKUP("Service_Insecure_Match",'Scoring_Config'!$A:$A,'Scoring_Config'!$C:$C,20),0),0)+IF(LEFT(AN130,4)="True",IF(_xlfn.XLOOKUP("Risky_Inbound",'Scoring_Config'!$A:$A,'Scoring_Config'!$D:$D,"Yes")="Yes",_xlfn.XLOOKUP("Risky_Inbound",'Scoring_Config'!$A:$A,'Scoring_Config'!$C:$C,20),0),0)+IF(LEFT(AO130,4)="True",IF(_xlfn.XLOOKUP("Risky_Outbound",'Scoring_Config'!$A:$A,'Scoring_Config'!$D:$D,"Yes")="Yes",_xlfn.XLOOKUP("Risky_Outbound",'Scoring_Config'!$A:$A,'Scoring_Config'!$C:$C,10),0),0)+IF(LEFT(AW130,4)="True",IF(_xlfn.XLOOKUP("Migrate_Insecure",'Scoring_Config'!$A:$A,'Scoring_Config'!$D:$D,"Yes")="Yes",_xlfn.XLOOKUP("Migrate_Insecure",'Scoring_Config'!$A:$A,'Scoring_Config'!$C:$C,15),0),0)+IF(LEFT(AY130,4)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130,FIND(",",AP130)+1,100)),0)+IF(LEFT(AQ130,4)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130,FIND(",",AR130)+1,100)),0)+IF(_xlfn.XLOOKUP("Profile_Scoring",'Scoring_Config'!$A:$A,'Scoring_Config'!$D:$D,"Yes")="Yes",VALUE(MID(AS130,FIND(",",AS130)+1,100)),0)+IF(_xlfn.XLOOKUP("Options_Scoring",'Scoring_Config'!$A:$A,'Scoring_Config'!$D:$D,"Yes")="Yes",VALUE(MID(AT130,FIND(",",AT130)+1,100)),0)))</f>
        <v>0</v>
      </c>
    </row>
    <row r="131" spans="1:52">
      <c r="A131" s="3" t="s">
        <v>53</v>
      </c>
      <c r="B131" s="3" t="s">
        <v>95</v>
      </c>
      <c r="C131" s="3" t="s">
        <v>330</v>
      </c>
      <c r="D131" s="3"/>
      <c r="E131" s="3" t="s">
        <v>359</v>
      </c>
      <c r="F131" s="3" t="s">
        <v>364</v>
      </c>
      <c r="G131" s="3" t="s">
        <v>365</v>
      </c>
      <c r="H131" s="3" t="s">
        <v>365</v>
      </c>
      <c r="I131" s="3" t="s">
        <v>622</v>
      </c>
      <c r="J131" s="3" t="s">
        <v>360</v>
      </c>
      <c r="K131" s="3" t="s">
        <v>365</v>
      </c>
      <c r="L131" s="3" t="s">
        <v>365</v>
      </c>
      <c r="M131" s="3" t="s">
        <v>769</v>
      </c>
      <c r="N131" s="3" t="s">
        <v>792</v>
      </c>
      <c r="O131" s="4" t="s">
        <v>835</v>
      </c>
      <c r="P131" s="3" t="s">
        <v>835</v>
      </c>
      <c r="Q131" s="3" t="s">
        <v>905</v>
      </c>
      <c r="R131" s="3" t="s">
        <v>908</v>
      </c>
      <c r="S131" s="3" t="s">
        <v>914</v>
      </c>
      <c r="T131" s="3" t="s">
        <v>1007</v>
      </c>
      <c r="U131" s="3" t="s">
        <v>1147</v>
      </c>
      <c r="V131" s="3" t="s">
        <v>789</v>
      </c>
      <c r="W131" s="3" t="s">
        <v>1473</v>
      </c>
      <c r="X131" s="3" t="s">
        <v>1735</v>
      </c>
      <c r="Y131" s="3" t="s">
        <v>2204</v>
      </c>
      <c r="Z131" s="3"/>
      <c r="AA131" s="3"/>
      <c r="AB131" s="3"/>
      <c r="AC131" s="5" cm="1">
        <f t="array" ref="AC131">IF(TRUE,"True," &amp; IF(_xlfn.XLOOKUP("Src_IsAny",'Scoring_Config'!$A:$A,'Scoring_Config'!$D:$D,"Yes")="Yes",_xlfn.XLOOKUP("Src_IsAny",'Scoring_Config'!$A:$A,'Scoring_Config'!$C:$C,25),0),"False,0")</f>
        <v>0</v>
      </c>
      <c r="AD131" s="4" cm="1">
        <f t="array" ref="AD131">IF(FALSE,"True," &amp; IF(_xlfn.XLOOKUP("Src_CIDR_Le_16",'Scoring_Config'!$A:$A,'Scoring_Config'!$D:$D,"Yes")="Yes",_xlfn.XLOOKUP("Src_CIDR_Le_16",'Scoring_Config'!$A:$A,'Scoring_Config'!$C:$C,25),0),"False,0")</f>
        <v>0</v>
      </c>
      <c r="AE131" s="4" cm="1">
        <f t="array" ref="AE131">IF(FALSE,"True," &amp; IF(_xlfn.XLOOKUP("Src_CIDR_17_22",'Scoring_Config'!$A:$A,'Scoring_Config'!$D:$D,"Yes")="Yes",_xlfn.XLOOKUP("Src_CIDR_17_22",'Scoring_Config'!$A:$A,'Scoring_Config'!$C:$C,15),0),"False,0")</f>
        <v>0</v>
      </c>
      <c r="AF131" s="5" cm="1">
        <f t="array" ref="AF131">IF(TRUE,"True," &amp; IF(_xlfn.XLOOKUP("Dst_IsAny",'Scoring_Config'!$A:$A,'Scoring_Config'!$D:$D,"Yes")="Yes",_xlfn.XLOOKUP("Dst_IsAny",'Scoring_Config'!$A:$A,'Scoring_Config'!$C:$C,25),0),"False,0")</f>
        <v>0</v>
      </c>
      <c r="AG131" s="4" cm="1">
        <f t="array" ref="AG131">IF(FALSE,"True," &amp; IF(_xlfn.XLOOKUP("Dst_CIDR_Le_16",'Scoring_Config'!$A:$A,'Scoring_Config'!$D:$D,"Yes")="Yes",_xlfn.XLOOKUP("Dst_CIDR_Le_16",'Scoring_Config'!$A:$A,'Scoring_Config'!$C:$C,25),0),"False,0")</f>
        <v>0</v>
      </c>
      <c r="AH131" s="4" cm="1">
        <f t="array" ref="AH131">IF(FALSE,"True," &amp; IF(_xlfn.XLOOKUP("Dst_CIDR_17_22",'Scoring_Config'!$A:$A,'Scoring_Config'!$D:$D,"Yes")="Yes",_xlfn.XLOOKUP("Dst_CIDR_17_22",'Scoring_Config'!$A:$A,'Scoring_Config'!$C:$C,15),0),"False,0")</f>
        <v>0</v>
      </c>
      <c r="AI131" s="4" cm="1">
        <f t="array" ref="AI131">IF(FALSE,"True," &amp; IF(_xlfn.XLOOKUP("SrcZone_IsAny",'Scoring_Config'!$A:$A,'Scoring_Config'!$D:$D,"Yes")="Yes",_xlfn.XLOOKUP("SrcZone_IsAny",'Scoring_Config'!$A:$A,'Scoring_Config'!$C:$C,5),0),"False,0")</f>
        <v>0</v>
      </c>
      <c r="AJ131" s="4" cm="1">
        <f t="array" ref="AJ131">IF(FALSE,"True," &amp; IF(_xlfn.XLOOKUP("DstZone_IsAny",'Scoring_Config'!$A:$A,'Scoring_Config'!$D:$D,"Yes")="Yes",_xlfn.XLOOKUP("DstZone_IsAny",'Scoring_Config'!$A:$A,'Scoring_Config'!$C:$C,5),0),"False,0")</f>
        <v>0</v>
      </c>
      <c r="AK131" s="4" cm="1">
        <f t="array" ref="AK13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1" s="4" cm="1">
        <f t="array" ref="AL131">IF(FALSE,"True," &amp; IF(_xlfn.XLOOKUP("App_Any_OR_RangeGt1000",'Scoring_Config'!$A:$A,'Scoring_Config'!$D:$D,"Yes")="Yes",_xlfn.XLOOKUP("App_Any_OR_RangeGt1000",'Scoring_Config'!$A:$A,'Scoring_Config'!$C:$C,25),0),"False,0")</f>
        <v>0</v>
      </c>
      <c r="AM131" s="4" cm="1">
        <f t="array" ref="AM131">IF(FALSE,"True," &amp; IF(_xlfn.XLOOKUP("Service_Insecure_Match",'Scoring_Config'!$A:$A,'Scoring_Config'!$D:$D,"Yes")="Yes",_xlfn.XLOOKUP("Service_Insecure_Match",'Scoring_Config'!$A:$A,'Scoring_Config'!$C:$C,20),0),"False,0")</f>
        <v>0</v>
      </c>
      <c r="AN131" s="4" cm="1">
        <f t="array" ref="AN131">IF(FALSE,"True," &amp; IF(_xlfn.XLOOKUP("Risky_Inbound",'Scoring_Config'!$A:$A,'Scoring_Config'!$D:$D,"Yes")="Yes",_xlfn.XLOOKUP("Risky_Inbound",'Scoring_Config'!$A:$A,'Scoring_Config'!$C:$C,20),0),"False,0")</f>
        <v>0</v>
      </c>
      <c r="AO131" s="4" cm="1">
        <f t="array" ref="AO131">IF(FALSE,"True," &amp; IF(_xlfn.XLOOKUP("Risky_Outbound",'Scoring_Config'!$A:$A,'Scoring_Config'!$D:$D,"Yes")="Yes",_xlfn.XLOOKUP("Risky_Outbound",'Scoring_Config'!$A:$A,'Scoring_Config'!$C:$C,10),0),"False,0")</f>
        <v>0</v>
      </c>
      <c r="AP131" s="5" t="s">
        <v>2595</v>
      </c>
      <c r="AQ131" s="5" cm="1">
        <f t="array" ref="AQ13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1" s="5" t="s">
        <v>2598</v>
      </c>
      <c r="AS131" s="4" t="s">
        <v>2592</v>
      </c>
      <c r="AT131" s="4" t="s">
        <v>2592</v>
      </c>
      <c r="AU131" s="4" cm="1">
        <f t="array" ref="AU131">IF(FALSE,"True," &amp; IF(_xlfn.XLOOKUP("Action_IsDenyOrDrop",'Scoring_Config'!$A:$A,'Scoring_Config'!$D:$D,"Yes")="Yes",_xlfn.XLOOKUP("Action_IsDenyOrDrop",'Scoring_Config'!$A:$A,'Scoring_Config'!$C:$C,0),0),"False,0")</f>
        <v>0</v>
      </c>
      <c r="AV131" s="4"/>
      <c r="AW131" s="4" cm="1">
        <f t="array" ref="AW131">IF(FALSE,"True," &amp; IF(_xlfn.XLOOKUP("Migrate_Insecure",'Scoring_Config'!$A:$A,'Scoring_Config'!$D:$D,"Yes")="Yes",_xlfn.XLOOKUP("Migrate_Insecure",'Scoring_Config'!$A:$A,'Scoring_Config'!$C:$C,15),0),"False,0")</f>
        <v>0</v>
      </c>
      <c r="AX131" s="4"/>
      <c r="AY131" s="4" cm="1">
        <f t="array" ref="AY131">IF(FALSE,"True," &amp; IF(_xlfn.XLOOKUP("Migrate_Other_Ports",'Scoring_Config'!$A:$A,'Scoring_Config'!$D:$D,"Yes")="Yes",_xlfn.XLOOKUP("Migrate_Other_Ports",'Scoring_Config'!$A:$A,'Scoring_Config'!$C:$C,5),0),"False,0")</f>
        <v>0</v>
      </c>
      <c r="AZ131" s="4" cm="1">
        <f t="array" ref="AZ131">IF(LEFT(AU131,4)="True",0,(IF(LEFT(AC131,4)="True",IF(_xlfn.XLOOKUP("Src_IsAny",'Scoring_Config'!$A:$A,'Scoring_Config'!$D:$D,"Yes")="Yes",_xlfn.XLOOKUP("Src_IsAny",'Scoring_Config'!$A:$A,'Scoring_Config'!$C:$C,25),0),0)+IF(LEFT(AD131,4)="True",IF(_xlfn.XLOOKUP("Src_CIDR_Le_16",'Scoring_Config'!$A:$A,'Scoring_Config'!$D:$D,"Yes")="Yes",_xlfn.XLOOKUP("Src_CIDR_Le_16",'Scoring_Config'!$A:$A,'Scoring_Config'!$C:$C,25),0),0)+IF(LEFT(AE131,4)="True",IF(_xlfn.XLOOKUP("Src_CIDR_17_22",'Scoring_Config'!$A:$A,'Scoring_Config'!$D:$D,"Yes")="Yes",_xlfn.XLOOKUP("Src_CIDR_17_22",'Scoring_Config'!$A:$A,'Scoring_Config'!$C:$C,15),0),0)+IF(LEFT(AF131,4)="True",IF(_xlfn.XLOOKUP("Dst_IsAny",'Scoring_Config'!$A:$A,'Scoring_Config'!$D:$D,"Yes")="Yes",_xlfn.XLOOKUP("Dst_IsAny",'Scoring_Config'!$A:$A,'Scoring_Config'!$C:$C,25),0),0)+IF(LEFT(AG131,4)="True",IF(_xlfn.XLOOKUP("Dst_CIDR_Le_16",'Scoring_Config'!$A:$A,'Scoring_Config'!$D:$D,"Yes")="Yes",_xlfn.XLOOKUP("Dst_CIDR_Le_16",'Scoring_Config'!$A:$A,'Scoring_Config'!$C:$C,25),0),0)+IF(LEFT(AH131,4)="True",IF(_xlfn.XLOOKUP("Dst_CIDR_17_22",'Scoring_Config'!$A:$A,'Scoring_Config'!$D:$D,"Yes")="Yes",_xlfn.XLOOKUP("Dst_CIDR_17_22",'Scoring_Config'!$A:$A,'Scoring_Config'!$C:$C,15),0),0)+IF(LEFT(AI131,4)="True",IF(_xlfn.XLOOKUP("SrcZone_IsAny",'Scoring_Config'!$A:$A,'Scoring_Config'!$D:$D,"Yes")="Yes",_xlfn.XLOOKUP("SrcZone_IsAny",'Scoring_Config'!$A:$A,'Scoring_Config'!$C:$C,5),0),0)+IF(LEFT(AJ131,4)="True",IF(_xlfn.XLOOKUP("DstZone_IsAny",'Scoring_Config'!$A:$A,'Scoring_Config'!$D:$D,"Yes")="Yes",_xlfn.XLOOKUP("DstZone_IsAny",'Scoring_Config'!$A:$A,'Scoring_Config'!$C:$C,5),0),0)+IF(LEFT(AK131,4)="True",IF(_xlfn.XLOOKUP("Service_Any_OR_RangeGt1000",'Scoring_Config'!$A:$A,'Scoring_Config'!$D:$D,"Yes")="Yes",_xlfn.XLOOKUP("Service_Any_OR_RangeGt1000",'Scoring_Config'!$A:$A,'Scoring_Config'!$C:$C,25),0),0)+IF(LEFT(AL131,4)="True",IF(_xlfn.XLOOKUP("App_Any_OR_RangeGt1000",'Scoring_Config'!$A:$A,'Scoring_Config'!$D:$D,"Yes")="Yes",_xlfn.XLOOKUP("App_Any_OR_RangeGt1000",'Scoring_Config'!$A:$A,'Scoring_Config'!$C:$C,25),0),0)+IF(LEFT(AM131,4)="True",IF(_xlfn.XLOOKUP("Service_Insecure_Match",'Scoring_Config'!$A:$A,'Scoring_Config'!$D:$D,"Yes")="Yes",_xlfn.XLOOKUP("Service_Insecure_Match",'Scoring_Config'!$A:$A,'Scoring_Config'!$C:$C,20),0),0)+IF(LEFT(AN131,4)="True",IF(_xlfn.XLOOKUP("Risky_Inbound",'Scoring_Config'!$A:$A,'Scoring_Config'!$D:$D,"Yes")="Yes",_xlfn.XLOOKUP("Risky_Inbound",'Scoring_Config'!$A:$A,'Scoring_Config'!$C:$C,20),0),0)+IF(LEFT(AO131,4)="True",IF(_xlfn.XLOOKUP("Risky_Outbound",'Scoring_Config'!$A:$A,'Scoring_Config'!$D:$D,"Yes")="Yes",_xlfn.XLOOKUP("Risky_Outbound",'Scoring_Config'!$A:$A,'Scoring_Config'!$C:$C,10),0),0)+IF(LEFT(AW131,4)="True",IF(_xlfn.XLOOKUP("Migrate_Insecure",'Scoring_Config'!$A:$A,'Scoring_Config'!$D:$D,"Yes")="Yes",_xlfn.XLOOKUP("Migrate_Insecure",'Scoring_Config'!$A:$A,'Scoring_Config'!$C:$C,15),0),0)+IF(LEFT(AY131,4)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131,FIND(",",AP131)+1,100)),0)+IF(LEFT(AQ131,4)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131,FIND(",",AR131)+1,100)),0)+IF(_xlfn.XLOOKUP("Profile_Scoring",'Scoring_Config'!$A:$A,'Scoring_Config'!$D:$D,"Yes")="Yes",VALUE(MID(AS131,FIND(",",AS131)+1,100)),0)+IF(_xlfn.XLOOKUP("Options_Scoring",'Scoring_Config'!$A:$A,'Scoring_Config'!$D:$D,"Yes")="Yes",VALUE(MID(AT131,FIND(",",AT131)+1,100)),0)))</f>
        <v>0</v>
      </c>
    </row>
    <row r="132" spans="1:52">
      <c r="A132" s="3" t="s">
        <v>53</v>
      </c>
      <c r="B132" s="3" t="s">
        <v>156</v>
      </c>
      <c r="C132" s="3" t="s">
        <v>330</v>
      </c>
      <c r="D132" s="3"/>
      <c r="E132" s="3" t="s">
        <v>359</v>
      </c>
      <c r="F132" s="3" t="s">
        <v>363</v>
      </c>
      <c r="G132" s="3" t="s">
        <v>412</v>
      </c>
      <c r="H132" s="3" t="s">
        <v>566</v>
      </c>
      <c r="I132" s="3" t="s">
        <v>623</v>
      </c>
      <c r="J132" s="3" t="s">
        <v>363</v>
      </c>
      <c r="K132" s="3" t="s">
        <v>365</v>
      </c>
      <c r="L132" s="3" t="s">
        <v>365</v>
      </c>
      <c r="M132" s="3" t="s">
        <v>772</v>
      </c>
      <c r="N132" s="3" t="s">
        <v>794</v>
      </c>
      <c r="O132" s="4" t="s">
        <v>832</v>
      </c>
      <c r="P132" s="3" t="s">
        <v>893</v>
      </c>
      <c r="Q132" s="3" t="s">
        <v>905</v>
      </c>
      <c r="R132" s="3" t="s">
        <v>910</v>
      </c>
      <c r="S132" s="3" t="s">
        <v>912</v>
      </c>
      <c r="T132" s="3" t="s">
        <v>919</v>
      </c>
      <c r="U132" s="3" t="s">
        <v>1212</v>
      </c>
      <c r="V132" s="3" t="s">
        <v>772</v>
      </c>
      <c r="W132" s="3" t="s">
        <v>1474</v>
      </c>
      <c r="X132" s="3" t="s">
        <v>1736</v>
      </c>
      <c r="Y132" s="3" t="s">
        <v>2205</v>
      </c>
      <c r="Z132" s="3"/>
      <c r="AA132" s="3"/>
      <c r="AB132" s="3"/>
      <c r="AC132" s="5" cm="1">
        <f t="array" ref="AC132">IF(TRUE,"True," &amp; IF(_xlfn.XLOOKUP("Src_IsAny",'Scoring_Config'!$A:$A,'Scoring_Config'!$D:$D,"Yes")="Yes",_xlfn.XLOOKUP("Src_IsAny",'Scoring_Config'!$A:$A,'Scoring_Config'!$C:$C,25),0),"False,0")</f>
        <v>0</v>
      </c>
      <c r="AD132" s="5" cm="1">
        <f t="array" ref="AD132">IF(TRUE,"True," &amp; IF(_xlfn.XLOOKUP("Src_CIDR_Le_16",'Scoring_Config'!$A:$A,'Scoring_Config'!$D:$D,"Yes")="Yes",_xlfn.XLOOKUP("Src_CIDR_Le_16",'Scoring_Config'!$A:$A,'Scoring_Config'!$C:$C,25),0),"False,0")</f>
        <v>0</v>
      </c>
      <c r="AE132" s="4" cm="1">
        <f t="array" ref="AE132">IF(FALSE,"True," &amp; IF(_xlfn.XLOOKUP("Src_CIDR_17_22",'Scoring_Config'!$A:$A,'Scoring_Config'!$D:$D,"Yes")="Yes",_xlfn.XLOOKUP("Src_CIDR_17_22",'Scoring_Config'!$A:$A,'Scoring_Config'!$C:$C,15),0),"False,0")</f>
        <v>0</v>
      </c>
      <c r="AF132" s="5" cm="1">
        <f t="array" ref="AF132">IF(TRUE,"True," &amp; IF(_xlfn.XLOOKUP("Dst_IsAny",'Scoring_Config'!$A:$A,'Scoring_Config'!$D:$D,"Yes")="Yes",_xlfn.XLOOKUP("Dst_IsAny",'Scoring_Config'!$A:$A,'Scoring_Config'!$C:$C,25),0),"False,0")</f>
        <v>0</v>
      </c>
      <c r="AG132" s="4" cm="1">
        <f t="array" ref="AG132">IF(FALSE,"True," &amp; IF(_xlfn.XLOOKUP("Dst_CIDR_Le_16",'Scoring_Config'!$A:$A,'Scoring_Config'!$D:$D,"Yes")="Yes",_xlfn.XLOOKUP("Dst_CIDR_Le_16",'Scoring_Config'!$A:$A,'Scoring_Config'!$C:$C,25),0),"False,0")</f>
        <v>0</v>
      </c>
      <c r="AH132" s="4" cm="1">
        <f t="array" ref="AH132">IF(FALSE,"True," &amp; IF(_xlfn.XLOOKUP("Dst_CIDR_17_22",'Scoring_Config'!$A:$A,'Scoring_Config'!$D:$D,"Yes")="Yes",_xlfn.XLOOKUP("Dst_CIDR_17_22",'Scoring_Config'!$A:$A,'Scoring_Config'!$C:$C,15),0),"False,0")</f>
        <v>0</v>
      </c>
      <c r="AI132" s="4" cm="1">
        <f t="array" ref="AI132">IF(FALSE,"True," &amp; IF(_xlfn.XLOOKUP("SrcZone_IsAny",'Scoring_Config'!$A:$A,'Scoring_Config'!$D:$D,"Yes")="Yes",_xlfn.XLOOKUP("SrcZone_IsAny",'Scoring_Config'!$A:$A,'Scoring_Config'!$C:$C,5),0),"False,0")</f>
        <v>0</v>
      </c>
      <c r="AJ132" s="4" cm="1">
        <f t="array" ref="AJ132">IF(FALSE,"True," &amp; IF(_xlfn.XLOOKUP("DstZone_IsAny",'Scoring_Config'!$A:$A,'Scoring_Config'!$D:$D,"Yes")="Yes",_xlfn.XLOOKUP("DstZone_IsAny",'Scoring_Config'!$A:$A,'Scoring_Config'!$C:$C,5),0),"False,0")</f>
        <v>0</v>
      </c>
      <c r="AK132" s="4" cm="1">
        <f t="array" ref="AK13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2" s="4" cm="1">
        <f t="array" ref="AL132">IF(FALSE,"True," &amp; IF(_xlfn.XLOOKUP("App_Any_OR_RangeGt1000",'Scoring_Config'!$A:$A,'Scoring_Config'!$D:$D,"Yes")="Yes",_xlfn.XLOOKUP("App_Any_OR_RangeGt1000",'Scoring_Config'!$A:$A,'Scoring_Config'!$C:$C,25),0),"False,0")</f>
        <v>0</v>
      </c>
      <c r="AM132" s="5" cm="1">
        <f t="array" ref="AM132">IF(TRUE,"True," &amp; IF(_xlfn.XLOOKUP("Service_Insecure_Match",'Scoring_Config'!$A:$A,'Scoring_Config'!$D:$D,"Yes")="Yes",_xlfn.XLOOKUP("Service_Insecure_Match",'Scoring_Config'!$A:$A,'Scoring_Config'!$C:$C,20),0),"False,0")</f>
        <v>0</v>
      </c>
      <c r="AN132" s="4" cm="1">
        <f t="array" ref="AN132">IF(FALSE,"True," &amp; IF(_xlfn.XLOOKUP("Risky_Inbound",'Scoring_Config'!$A:$A,'Scoring_Config'!$D:$D,"Yes")="Yes",_xlfn.XLOOKUP("Risky_Inbound",'Scoring_Config'!$A:$A,'Scoring_Config'!$C:$C,20),0),"False,0")</f>
        <v>0</v>
      </c>
      <c r="AO132" s="4" cm="1">
        <f t="array" ref="AO132">IF(FALSE,"True," &amp; IF(_xlfn.XLOOKUP("Risky_Outbound",'Scoring_Config'!$A:$A,'Scoring_Config'!$D:$D,"Yes")="Yes",_xlfn.XLOOKUP("Risky_Outbound",'Scoring_Config'!$A:$A,'Scoring_Config'!$C:$C,10),0),"False,0")</f>
        <v>0</v>
      </c>
      <c r="AP132" s="5" t="s">
        <v>2595</v>
      </c>
      <c r="AQ132" s="4" cm="1">
        <f t="array" ref="AQ13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2" s="5" t="s">
        <v>2598</v>
      </c>
      <c r="AS132" s="4" t="s">
        <v>2592</v>
      </c>
      <c r="AT132" s="4" t="s">
        <v>2592</v>
      </c>
      <c r="AU132" s="4" cm="1">
        <f t="array" ref="AU132">IF(FALSE,"True," &amp; IF(_xlfn.XLOOKUP("Action_IsDenyOrDrop",'Scoring_Config'!$A:$A,'Scoring_Config'!$D:$D,"Yes")="Yes",_xlfn.XLOOKUP("Action_IsDenyOrDrop",'Scoring_Config'!$A:$A,'Scoring_Config'!$C:$C,0),0),"False,0")</f>
        <v>0</v>
      </c>
      <c r="AV132" s="4"/>
      <c r="AW132" s="4" cm="1">
        <f t="array" ref="AW132">IF(FALSE,"True," &amp; IF(_xlfn.XLOOKUP("Migrate_Insecure",'Scoring_Config'!$A:$A,'Scoring_Config'!$D:$D,"Yes")="Yes",_xlfn.XLOOKUP("Migrate_Insecure",'Scoring_Config'!$A:$A,'Scoring_Config'!$C:$C,15),0),"False,0")</f>
        <v>0</v>
      </c>
      <c r="AX132" s="4"/>
      <c r="AY132" s="4" cm="1">
        <f t="array" ref="AY132">IF(FALSE,"True," &amp; IF(_xlfn.XLOOKUP("Migrate_Other_Ports",'Scoring_Config'!$A:$A,'Scoring_Config'!$D:$D,"Yes")="Yes",_xlfn.XLOOKUP("Migrate_Other_Ports",'Scoring_Config'!$A:$A,'Scoring_Config'!$C:$C,5),0),"False,0")</f>
        <v>0</v>
      </c>
      <c r="AZ132" s="4" cm="1">
        <f t="array" ref="AZ132">IF(LEFT(AU132,4)="True",0,(IF(LEFT(AC132,4)="True",IF(_xlfn.XLOOKUP("Src_IsAny",'Scoring_Config'!$A:$A,'Scoring_Config'!$D:$D,"Yes")="Yes",_xlfn.XLOOKUP("Src_IsAny",'Scoring_Config'!$A:$A,'Scoring_Config'!$C:$C,25),0),0)+IF(LEFT(AD132,4)="True",IF(_xlfn.XLOOKUP("Src_CIDR_Le_16",'Scoring_Config'!$A:$A,'Scoring_Config'!$D:$D,"Yes")="Yes",_xlfn.XLOOKUP("Src_CIDR_Le_16",'Scoring_Config'!$A:$A,'Scoring_Config'!$C:$C,25),0),0)+IF(LEFT(AE132,4)="True",IF(_xlfn.XLOOKUP("Src_CIDR_17_22",'Scoring_Config'!$A:$A,'Scoring_Config'!$D:$D,"Yes")="Yes",_xlfn.XLOOKUP("Src_CIDR_17_22",'Scoring_Config'!$A:$A,'Scoring_Config'!$C:$C,15),0),0)+IF(LEFT(AF132,4)="True",IF(_xlfn.XLOOKUP("Dst_IsAny",'Scoring_Config'!$A:$A,'Scoring_Config'!$D:$D,"Yes")="Yes",_xlfn.XLOOKUP("Dst_IsAny",'Scoring_Config'!$A:$A,'Scoring_Config'!$C:$C,25),0),0)+IF(LEFT(AG132,4)="True",IF(_xlfn.XLOOKUP("Dst_CIDR_Le_16",'Scoring_Config'!$A:$A,'Scoring_Config'!$D:$D,"Yes")="Yes",_xlfn.XLOOKUP("Dst_CIDR_Le_16",'Scoring_Config'!$A:$A,'Scoring_Config'!$C:$C,25),0),0)+IF(LEFT(AH132,4)="True",IF(_xlfn.XLOOKUP("Dst_CIDR_17_22",'Scoring_Config'!$A:$A,'Scoring_Config'!$D:$D,"Yes")="Yes",_xlfn.XLOOKUP("Dst_CIDR_17_22",'Scoring_Config'!$A:$A,'Scoring_Config'!$C:$C,15),0),0)+IF(LEFT(AI132,4)="True",IF(_xlfn.XLOOKUP("SrcZone_IsAny",'Scoring_Config'!$A:$A,'Scoring_Config'!$D:$D,"Yes")="Yes",_xlfn.XLOOKUP("SrcZone_IsAny",'Scoring_Config'!$A:$A,'Scoring_Config'!$C:$C,5),0),0)+IF(LEFT(AJ132,4)="True",IF(_xlfn.XLOOKUP("DstZone_IsAny",'Scoring_Config'!$A:$A,'Scoring_Config'!$D:$D,"Yes")="Yes",_xlfn.XLOOKUP("DstZone_IsAny",'Scoring_Config'!$A:$A,'Scoring_Config'!$C:$C,5),0),0)+IF(LEFT(AK132,4)="True",IF(_xlfn.XLOOKUP("Service_Any_OR_RangeGt1000",'Scoring_Config'!$A:$A,'Scoring_Config'!$D:$D,"Yes")="Yes",_xlfn.XLOOKUP("Service_Any_OR_RangeGt1000",'Scoring_Config'!$A:$A,'Scoring_Config'!$C:$C,25),0),0)+IF(LEFT(AL132,4)="True",IF(_xlfn.XLOOKUP("App_Any_OR_RangeGt1000",'Scoring_Config'!$A:$A,'Scoring_Config'!$D:$D,"Yes")="Yes",_xlfn.XLOOKUP("App_Any_OR_RangeGt1000",'Scoring_Config'!$A:$A,'Scoring_Config'!$C:$C,25),0),0)+IF(LEFT(AM132,4)="True",IF(_xlfn.XLOOKUP("Service_Insecure_Match",'Scoring_Config'!$A:$A,'Scoring_Config'!$D:$D,"Yes")="Yes",_xlfn.XLOOKUP("Service_Insecure_Match",'Scoring_Config'!$A:$A,'Scoring_Config'!$C:$C,20),0),0)+IF(LEFT(AN132,4)="True",IF(_xlfn.XLOOKUP("Risky_Inbound",'Scoring_Config'!$A:$A,'Scoring_Config'!$D:$D,"Yes")="Yes",_xlfn.XLOOKUP("Risky_Inbound",'Scoring_Config'!$A:$A,'Scoring_Config'!$C:$C,20),0),0)+IF(LEFT(AO132,4)="True",IF(_xlfn.XLOOKUP("Risky_Outbound",'Scoring_Config'!$A:$A,'Scoring_Config'!$D:$D,"Yes")="Yes",_xlfn.XLOOKUP("Risky_Outbound",'Scoring_Config'!$A:$A,'Scoring_Config'!$C:$C,10),0),0)+IF(LEFT(AW132,4)="True",IF(_xlfn.XLOOKUP("Migrate_Insecure",'Scoring_Config'!$A:$A,'Scoring_Config'!$D:$D,"Yes")="Yes",_xlfn.XLOOKUP("Migrate_Insecure",'Scoring_Config'!$A:$A,'Scoring_Config'!$C:$C,15),0),0)+IF(LEFT(AY132,4)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132,FIND(",",AP132)+1,100)),0)+IF(LEFT(AQ132,4)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132,FIND(",",AR132)+1,100)),0)+IF(_xlfn.XLOOKUP("Profile_Scoring",'Scoring_Config'!$A:$A,'Scoring_Config'!$D:$D,"Yes")="Yes",VALUE(MID(AS132,FIND(",",AS132)+1,100)),0)+IF(_xlfn.XLOOKUP("Options_Scoring",'Scoring_Config'!$A:$A,'Scoring_Config'!$D:$D,"Yes")="Yes",VALUE(MID(AT132,FIND(",",AT132)+1,100)),0)))</f>
        <v>0</v>
      </c>
    </row>
    <row r="133" spans="1:52">
      <c r="A133" s="3" t="s">
        <v>53</v>
      </c>
      <c r="B133" s="3" t="s">
        <v>157</v>
      </c>
      <c r="C133" s="3" t="s">
        <v>330</v>
      </c>
      <c r="D133" s="3"/>
      <c r="E133" s="3" t="s">
        <v>359</v>
      </c>
      <c r="F133" s="3" t="s">
        <v>362</v>
      </c>
      <c r="G133" s="3" t="s">
        <v>413</v>
      </c>
      <c r="H133" s="3" t="s">
        <v>567</v>
      </c>
      <c r="I133" s="3" t="s">
        <v>625</v>
      </c>
      <c r="J133" s="3" t="s">
        <v>364</v>
      </c>
      <c r="K133" s="3" t="s">
        <v>365</v>
      </c>
      <c r="L133" s="3" t="s">
        <v>365</v>
      </c>
      <c r="M133" s="3" t="s">
        <v>776</v>
      </c>
      <c r="N133" s="3" t="s">
        <v>791</v>
      </c>
      <c r="O133" s="4" t="s">
        <v>836</v>
      </c>
      <c r="P133" s="3" t="s">
        <v>836</v>
      </c>
      <c r="Q133" s="3" t="s">
        <v>905</v>
      </c>
      <c r="R133" s="3" t="s">
        <v>910</v>
      </c>
      <c r="S133" s="3" t="s">
        <v>913</v>
      </c>
      <c r="T133" s="3" t="s">
        <v>919</v>
      </c>
      <c r="U133" s="3" t="s">
        <v>1157</v>
      </c>
      <c r="V133" s="3" t="s">
        <v>770</v>
      </c>
      <c r="W133" s="3" t="s">
        <v>1446</v>
      </c>
      <c r="X133" s="3" t="s">
        <v>1737</v>
      </c>
      <c r="Y133" s="3" t="s">
        <v>2206</v>
      </c>
      <c r="Z133" s="3"/>
      <c r="AA133" s="3"/>
      <c r="AB133" s="3"/>
      <c r="AC133" s="4" cm="1">
        <f t="array" ref="AC133">IF(FALSE,"True," &amp; IF(_xlfn.XLOOKUP("Src_IsAny",'Scoring_Config'!$A:$A,'Scoring_Config'!$D:$D,"Yes")="Yes",_xlfn.XLOOKUP("Src_IsAny",'Scoring_Config'!$A:$A,'Scoring_Config'!$C:$C,25),0),"False,0")</f>
        <v>0</v>
      </c>
      <c r="AD133" s="4" cm="1">
        <f t="array" ref="AD133">IF(FALSE,"True," &amp; IF(_xlfn.XLOOKUP("Src_CIDR_Le_16",'Scoring_Config'!$A:$A,'Scoring_Config'!$D:$D,"Yes")="Yes",_xlfn.XLOOKUP("Src_CIDR_Le_16",'Scoring_Config'!$A:$A,'Scoring_Config'!$C:$C,25),0),"False,0")</f>
        <v>0</v>
      </c>
      <c r="AE133" s="4" cm="1">
        <f t="array" ref="AE133">IF(FALSE,"True," &amp; IF(_xlfn.XLOOKUP("Src_CIDR_17_22",'Scoring_Config'!$A:$A,'Scoring_Config'!$D:$D,"Yes")="Yes",_xlfn.XLOOKUP("Src_CIDR_17_22",'Scoring_Config'!$A:$A,'Scoring_Config'!$C:$C,15),0),"False,0")</f>
        <v>0</v>
      </c>
      <c r="AF133" s="5" cm="1">
        <f t="array" ref="AF133">IF(TRUE,"True," &amp; IF(_xlfn.XLOOKUP("Dst_IsAny",'Scoring_Config'!$A:$A,'Scoring_Config'!$D:$D,"Yes")="Yes",_xlfn.XLOOKUP("Dst_IsAny",'Scoring_Config'!$A:$A,'Scoring_Config'!$C:$C,25),0),"False,0")</f>
        <v>0</v>
      </c>
      <c r="AG133" s="4" cm="1">
        <f t="array" ref="AG133">IF(FALSE,"True," &amp; IF(_xlfn.XLOOKUP("Dst_CIDR_Le_16",'Scoring_Config'!$A:$A,'Scoring_Config'!$D:$D,"Yes")="Yes",_xlfn.XLOOKUP("Dst_CIDR_Le_16",'Scoring_Config'!$A:$A,'Scoring_Config'!$C:$C,25),0),"False,0")</f>
        <v>0</v>
      </c>
      <c r="AH133" s="4" cm="1">
        <f t="array" ref="AH133">IF(FALSE,"True," &amp; IF(_xlfn.XLOOKUP("Dst_CIDR_17_22",'Scoring_Config'!$A:$A,'Scoring_Config'!$D:$D,"Yes")="Yes",_xlfn.XLOOKUP("Dst_CIDR_17_22",'Scoring_Config'!$A:$A,'Scoring_Config'!$C:$C,15),0),"False,0")</f>
        <v>0</v>
      </c>
      <c r="AI133" s="4" cm="1">
        <f t="array" ref="AI133">IF(FALSE,"True," &amp; IF(_xlfn.XLOOKUP("SrcZone_IsAny",'Scoring_Config'!$A:$A,'Scoring_Config'!$D:$D,"Yes")="Yes",_xlfn.XLOOKUP("SrcZone_IsAny",'Scoring_Config'!$A:$A,'Scoring_Config'!$C:$C,5),0),"False,0")</f>
        <v>0</v>
      </c>
      <c r="AJ133" s="4" cm="1">
        <f t="array" ref="AJ133">IF(FALSE,"True," &amp; IF(_xlfn.XLOOKUP("DstZone_IsAny",'Scoring_Config'!$A:$A,'Scoring_Config'!$D:$D,"Yes")="Yes",_xlfn.XLOOKUP("DstZone_IsAny",'Scoring_Config'!$A:$A,'Scoring_Config'!$C:$C,5),0),"False,0")</f>
        <v>0</v>
      </c>
      <c r="AK133" s="4" cm="1">
        <f t="array" ref="AK13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3" s="5" cm="1">
        <f t="array" ref="AL133">IF(TRUE,"True," &amp; IF(_xlfn.XLOOKUP("App_Any_OR_RangeGt1000",'Scoring_Config'!$A:$A,'Scoring_Config'!$D:$D,"Yes")="Yes",_xlfn.XLOOKUP("App_Any_OR_RangeGt1000",'Scoring_Config'!$A:$A,'Scoring_Config'!$C:$C,25),0),"False,0")</f>
        <v>0</v>
      </c>
      <c r="AM133" s="4" cm="1">
        <f t="array" ref="AM133">IF(FALSE,"True," &amp; IF(_xlfn.XLOOKUP("Service_Insecure_Match",'Scoring_Config'!$A:$A,'Scoring_Config'!$D:$D,"Yes")="Yes",_xlfn.XLOOKUP("Service_Insecure_Match",'Scoring_Config'!$A:$A,'Scoring_Config'!$C:$C,20),0),"False,0")</f>
        <v>0</v>
      </c>
      <c r="AN133" s="4" cm="1">
        <f t="array" ref="AN133">IF(FALSE,"True," &amp; IF(_xlfn.XLOOKUP("Risky_Inbound",'Scoring_Config'!$A:$A,'Scoring_Config'!$D:$D,"Yes")="Yes",_xlfn.XLOOKUP("Risky_Inbound",'Scoring_Config'!$A:$A,'Scoring_Config'!$C:$C,20),0),"False,0")</f>
        <v>0</v>
      </c>
      <c r="AO133" s="4" cm="1">
        <f t="array" ref="AO133">IF(FALSE,"True," &amp; IF(_xlfn.XLOOKUP("Risky_Outbound",'Scoring_Config'!$A:$A,'Scoring_Config'!$D:$D,"Yes")="Yes",_xlfn.XLOOKUP("Risky_Outbound",'Scoring_Config'!$A:$A,'Scoring_Config'!$C:$C,10),0),"False,0")</f>
        <v>0</v>
      </c>
      <c r="AP133" s="5" t="s">
        <v>2595</v>
      </c>
      <c r="AQ133" s="5" cm="1">
        <f t="array" ref="AQ13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3" s="5" t="s">
        <v>2598</v>
      </c>
      <c r="AS133" s="4" t="s">
        <v>2592</v>
      </c>
      <c r="AT133" s="4" t="s">
        <v>2592</v>
      </c>
      <c r="AU133" s="4" cm="1">
        <f t="array" ref="AU133">IF(FALSE,"True," &amp; IF(_xlfn.XLOOKUP("Action_IsDenyOrDrop",'Scoring_Config'!$A:$A,'Scoring_Config'!$D:$D,"Yes")="Yes",_xlfn.XLOOKUP("Action_IsDenyOrDrop",'Scoring_Config'!$A:$A,'Scoring_Config'!$C:$C,0),0),"False,0")</f>
        <v>0</v>
      </c>
      <c r="AV133" s="4"/>
      <c r="AW133" s="4" cm="1">
        <f t="array" ref="AW133">IF(FALSE,"True," &amp; IF(_xlfn.XLOOKUP("Migrate_Insecure",'Scoring_Config'!$A:$A,'Scoring_Config'!$D:$D,"Yes")="Yes",_xlfn.XLOOKUP("Migrate_Insecure",'Scoring_Config'!$A:$A,'Scoring_Config'!$C:$C,15),0),"False,0")</f>
        <v>0</v>
      </c>
      <c r="AX133" s="4"/>
      <c r="AY133" s="4" cm="1">
        <f t="array" ref="AY133">IF(FALSE,"True," &amp; IF(_xlfn.XLOOKUP("Migrate_Other_Ports",'Scoring_Config'!$A:$A,'Scoring_Config'!$D:$D,"Yes")="Yes",_xlfn.XLOOKUP("Migrate_Other_Ports",'Scoring_Config'!$A:$A,'Scoring_Config'!$C:$C,5),0),"False,0")</f>
        <v>0</v>
      </c>
      <c r="AZ133" s="4" cm="1">
        <f t="array" ref="AZ133">IF(LEFT(AU133,4)="True",0,(IF(LEFT(AC133,4)="True",IF(_xlfn.XLOOKUP("Src_IsAny",'Scoring_Config'!$A:$A,'Scoring_Config'!$D:$D,"Yes")="Yes",_xlfn.XLOOKUP("Src_IsAny",'Scoring_Config'!$A:$A,'Scoring_Config'!$C:$C,25),0),0)+IF(LEFT(AD133,4)="True",IF(_xlfn.XLOOKUP("Src_CIDR_Le_16",'Scoring_Config'!$A:$A,'Scoring_Config'!$D:$D,"Yes")="Yes",_xlfn.XLOOKUP("Src_CIDR_Le_16",'Scoring_Config'!$A:$A,'Scoring_Config'!$C:$C,25),0),0)+IF(LEFT(AE133,4)="True",IF(_xlfn.XLOOKUP("Src_CIDR_17_22",'Scoring_Config'!$A:$A,'Scoring_Config'!$D:$D,"Yes")="Yes",_xlfn.XLOOKUP("Src_CIDR_17_22",'Scoring_Config'!$A:$A,'Scoring_Config'!$C:$C,15),0),0)+IF(LEFT(AF133,4)="True",IF(_xlfn.XLOOKUP("Dst_IsAny",'Scoring_Config'!$A:$A,'Scoring_Config'!$D:$D,"Yes")="Yes",_xlfn.XLOOKUP("Dst_IsAny",'Scoring_Config'!$A:$A,'Scoring_Config'!$C:$C,25),0),0)+IF(LEFT(AG133,4)="True",IF(_xlfn.XLOOKUP("Dst_CIDR_Le_16",'Scoring_Config'!$A:$A,'Scoring_Config'!$D:$D,"Yes")="Yes",_xlfn.XLOOKUP("Dst_CIDR_Le_16",'Scoring_Config'!$A:$A,'Scoring_Config'!$C:$C,25),0),0)+IF(LEFT(AH133,4)="True",IF(_xlfn.XLOOKUP("Dst_CIDR_17_22",'Scoring_Config'!$A:$A,'Scoring_Config'!$D:$D,"Yes")="Yes",_xlfn.XLOOKUP("Dst_CIDR_17_22",'Scoring_Config'!$A:$A,'Scoring_Config'!$C:$C,15),0),0)+IF(LEFT(AI133,4)="True",IF(_xlfn.XLOOKUP("SrcZone_IsAny",'Scoring_Config'!$A:$A,'Scoring_Config'!$D:$D,"Yes")="Yes",_xlfn.XLOOKUP("SrcZone_IsAny",'Scoring_Config'!$A:$A,'Scoring_Config'!$C:$C,5),0),0)+IF(LEFT(AJ133,4)="True",IF(_xlfn.XLOOKUP("DstZone_IsAny",'Scoring_Config'!$A:$A,'Scoring_Config'!$D:$D,"Yes")="Yes",_xlfn.XLOOKUP("DstZone_IsAny",'Scoring_Config'!$A:$A,'Scoring_Config'!$C:$C,5),0),0)+IF(LEFT(AK133,4)="True",IF(_xlfn.XLOOKUP("Service_Any_OR_RangeGt1000",'Scoring_Config'!$A:$A,'Scoring_Config'!$D:$D,"Yes")="Yes",_xlfn.XLOOKUP("Service_Any_OR_RangeGt1000",'Scoring_Config'!$A:$A,'Scoring_Config'!$C:$C,25),0),0)+IF(LEFT(AL133,4)="True",IF(_xlfn.XLOOKUP("App_Any_OR_RangeGt1000",'Scoring_Config'!$A:$A,'Scoring_Config'!$D:$D,"Yes")="Yes",_xlfn.XLOOKUP("App_Any_OR_RangeGt1000",'Scoring_Config'!$A:$A,'Scoring_Config'!$C:$C,25),0),0)+IF(LEFT(AM133,4)="True",IF(_xlfn.XLOOKUP("Service_Insecure_Match",'Scoring_Config'!$A:$A,'Scoring_Config'!$D:$D,"Yes")="Yes",_xlfn.XLOOKUP("Service_Insecure_Match",'Scoring_Config'!$A:$A,'Scoring_Config'!$C:$C,20),0),0)+IF(LEFT(AN133,4)="True",IF(_xlfn.XLOOKUP("Risky_Inbound",'Scoring_Config'!$A:$A,'Scoring_Config'!$D:$D,"Yes")="Yes",_xlfn.XLOOKUP("Risky_Inbound",'Scoring_Config'!$A:$A,'Scoring_Config'!$C:$C,20),0),0)+IF(LEFT(AO133,4)="True",IF(_xlfn.XLOOKUP("Risky_Outbound",'Scoring_Config'!$A:$A,'Scoring_Config'!$D:$D,"Yes")="Yes",_xlfn.XLOOKUP("Risky_Outbound",'Scoring_Config'!$A:$A,'Scoring_Config'!$C:$C,10),0),0)+IF(LEFT(AW133,4)="True",IF(_xlfn.XLOOKUP("Migrate_Insecure",'Scoring_Config'!$A:$A,'Scoring_Config'!$D:$D,"Yes")="Yes",_xlfn.XLOOKUP("Migrate_Insecure",'Scoring_Config'!$A:$A,'Scoring_Config'!$C:$C,15),0),0)+IF(LEFT(AY133,4)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133,FIND(",",AP133)+1,100)),0)+IF(LEFT(AQ133,4)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133,FIND(",",AR133)+1,100)),0)+IF(_xlfn.XLOOKUP("Profile_Scoring",'Scoring_Config'!$A:$A,'Scoring_Config'!$D:$D,"Yes")="Yes",VALUE(MID(AS133,FIND(",",AS133)+1,100)),0)+IF(_xlfn.XLOOKUP("Options_Scoring",'Scoring_Config'!$A:$A,'Scoring_Config'!$D:$D,"Yes")="Yes",VALUE(MID(AT133,FIND(",",AT133)+1,100)),0)))</f>
        <v>0</v>
      </c>
    </row>
    <row r="134" spans="1:52">
      <c r="A134" s="3" t="s">
        <v>53</v>
      </c>
      <c r="B134" s="3" t="s">
        <v>158</v>
      </c>
      <c r="C134" s="3" t="s">
        <v>330</v>
      </c>
      <c r="D134" s="3"/>
      <c r="E134" s="3" t="s">
        <v>359</v>
      </c>
      <c r="F134" s="3" t="s">
        <v>361</v>
      </c>
      <c r="G134" s="3" t="s">
        <v>365</v>
      </c>
      <c r="H134" s="3" t="s">
        <v>365</v>
      </c>
      <c r="I134" s="3" t="s">
        <v>625</v>
      </c>
      <c r="J134" s="3" t="s">
        <v>364</v>
      </c>
      <c r="K134" s="3" t="s">
        <v>365</v>
      </c>
      <c r="L134" s="3" t="s">
        <v>365</v>
      </c>
      <c r="M134" s="3" t="s">
        <v>365</v>
      </c>
      <c r="N134" s="3" t="s">
        <v>365</v>
      </c>
      <c r="O134" s="4" t="s">
        <v>831</v>
      </c>
      <c r="P134" s="3" t="s">
        <v>892</v>
      </c>
      <c r="Q134" s="3" t="s">
        <v>905</v>
      </c>
      <c r="R134" s="3" t="s">
        <v>907</v>
      </c>
      <c r="S134" s="3" t="s">
        <v>913</v>
      </c>
      <c r="T134" s="3" t="s">
        <v>919</v>
      </c>
      <c r="U134" s="3" t="s">
        <v>1213</v>
      </c>
      <c r="V134" s="3" t="s">
        <v>789</v>
      </c>
      <c r="W134" s="3" t="s">
        <v>1475</v>
      </c>
      <c r="X134" s="3" t="s">
        <v>1738</v>
      </c>
      <c r="Y134" s="3" t="s">
        <v>2207</v>
      </c>
      <c r="Z134" s="3"/>
      <c r="AA134" s="3"/>
      <c r="AB134" s="3"/>
      <c r="AC134" s="5" cm="1">
        <f t="array" ref="AC134">IF(TRUE,"True," &amp; IF(_xlfn.XLOOKUP("Src_IsAny",'Scoring_Config'!$A:$A,'Scoring_Config'!$D:$D,"Yes")="Yes",_xlfn.XLOOKUP("Src_IsAny",'Scoring_Config'!$A:$A,'Scoring_Config'!$C:$C,25),0),"False,0")</f>
        <v>0</v>
      </c>
      <c r="AD134" s="4" cm="1">
        <f t="array" ref="AD134">IF(FALSE,"True," &amp; IF(_xlfn.XLOOKUP("Src_CIDR_Le_16",'Scoring_Config'!$A:$A,'Scoring_Config'!$D:$D,"Yes")="Yes",_xlfn.XLOOKUP("Src_CIDR_Le_16",'Scoring_Config'!$A:$A,'Scoring_Config'!$C:$C,25),0),"False,0")</f>
        <v>0</v>
      </c>
      <c r="AE134" s="4" cm="1">
        <f t="array" ref="AE134">IF(FALSE,"True," &amp; IF(_xlfn.XLOOKUP("Src_CIDR_17_22",'Scoring_Config'!$A:$A,'Scoring_Config'!$D:$D,"Yes")="Yes",_xlfn.XLOOKUP("Src_CIDR_17_22",'Scoring_Config'!$A:$A,'Scoring_Config'!$C:$C,15),0),"False,0")</f>
        <v>0</v>
      </c>
      <c r="AF134" s="5" cm="1">
        <f t="array" ref="AF134">IF(TRUE,"True," &amp; IF(_xlfn.XLOOKUP("Dst_IsAny",'Scoring_Config'!$A:$A,'Scoring_Config'!$D:$D,"Yes")="Yes",_xlfn.XLOOKUP("Dst_IsAny",'Scoring_Config'!$A:$A,'Scoring_Config'!$C:$C,25),0),"False,0")</f>
        <v>0</v>
      </c>
      <c r="AG134" s="4" cm="1">
        <f t="array" ref="AG134">IF(FALSE,"True," &amp; IF(_xlfn.XLOOKUP("Dst_CIDR_Le_16",'Scoring_Config'!$A:$A,'Scoring_Config'!$D:$D,"Yes")="Yes",_xlfn.XLOOKUP("Dst_CIDR_Le_16",'Scoring_Config'!$A:$A,'Scoring_Config'!$C:$C,25),0),"False,0")</f>
        <v>0</v>
      </c>
      <c r="AH134" s="4" cm="1">
        <f t="array" ref="AH134">IF(FALSE,"True," &amp; IF(_xlfn.XLOOKUP("Dst_CIDR_17_22",'Scoring_Config'!$A:$A,'Scoring_Config'!$D:$D,"Yes")="Yes",_xlfn.XLOOKUP("Dst_CIDR_17_22",'Scoring_Config'!$A:$A,'Scoring_Config'!$C:$C,15),0),"False,0")</f>
        <v>0</v>
      </c>
      <c r="AI134" s="4" cm="1">
        <f t="array" ref="AI134">IF(FALSE,"True," &amp; IF(_xlfn.XLOOKUP("SrcZone_IsAny",'Scoring_Config'!$A:$A,'Scoring_Config'!$D:$D,"Yes")="Yes",_xlfn.XLOOKUP("SrcZone_IsAny",'Scoring_Config'!$A:$A,'Scoring_Config'!$C:$C,5),0),"False,0")</f>
        <v>0</v>
      </c>
      <c r="AJ134" s="4" cm="1">
        <f t="array" ref="AJ134">IF(FALSE,"True," &amp; IF(_xlfn.XLOOKUP("DstZone_IsAny",'Scoring_Config'!$A:$A,'Scoring_Config'!$D:$D,"Yes")="Yes",_xlfn.XLOOKUP("DstZone_IsAny",'Scoring_Config'!$A:$A,'Scoring_Config'!$C:$C,5),0),"False,0")</f>
        <v>0</v>
      </c>
      <c r="AK134" s="4" cm="1">
        <f t="array" ref="AK13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4" s="5" cm="1">
        <f t="array" ref="AL134">IF(TRUE,"True," &amp; IF(_xlfn.XLOOKUP("App_Any_OR_RangeGt1000",'Scoring_Config'!$A:$A,'Scoring_Config'!$D:$D,"Yes")="Yes",_xlfn.XLOOKUP("App_Any_OR_RangeGt1000",'Scoring_Config'!$A:$A,'Scoring_Config'!$C:$C,25),0),"False,0")</f>
        <v>0</v>
      </c>
      <c r="AM134" s="5" cm="1">
        <f t="array" ref="AM134">IF(TRUE,"True," &amp; IF(_xlfn.XLOOKUP("Service_Insecure_Match",'Scoring_Config'!$A:$A,'Scoring_Config'!$D:$D,"Yes")="Yes",_xlfn.XLOOKUP("Service_Insecure_Match",'Scoring_Config'!$A:$A,'Scoring_Config'!$C:$C,20),0),"False,0")</f>
        <v>0</v>
      </c>
      <c r="AN134" s="4" cm="1">
        <f t="array" ref="AN134">IF(FALSE,"True," &amp; IF(_xlfn.XLOOKUP("Risky_Inbound",'Scoring_Config'!$A:$A,'Scoring_Config'!$D:$D,"Yes")="Yes",_xlfn.XLOOKUP("Risky_Inbound",'Scoring_Config'!$A:$A,'Scoring_Config'!$C:$C,20),0),"False,0")</f>
        <v>0</v>
      </c>
      <c r="AO134" s="4" cm="1">
        <f t="array" ref="AO134">IF(FALSE,"True," &amp; IF(_xlfn.XLOOKUP("Risky_Outbound",'Scoring_Config'!$A:$A,'Scoring_Config'!$D:$D,"Yes")="Yes",_xlfn.XLOOKUP("Risky_Outbound",'Scoring_Config'!$A:$A,'Scoring_Config'!$C:$C,10),0),"False,0")</f>
        <v>0</v>
      </c>
      <c r="AP134" s="5" t="s">
        <v>2595</v>
      </c>
      <c r="AQ134" s="4" cm="1">
        <f t="array" ref="AQ13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4" s="5" t="s">
        <v>2598</v>
      </c>
      <c r="AS134" s="5" t="s">
        <v>2595</v>
      </c>
      <c r="AT134" s="4" t="s">
        <v>2592</v>
      </c>
      <c r="AU134" s="4" cm="1">
        <f t="array" ref="AU134">IF(FALSE,"True," &amp; IF(_xlfn.XLOOKUP("Action_IsDenyOrDrop",'Scoring_Config'!$A:$A,'Scoring_Config'!$D:$D,"Yes")="Yes",_xlfn.XLOOKUP("Action_IsDenyOrDrop",'Scoring_Config'!$A:$A,'Scoring_Config'!$C:$C,0),0),"False,0")</f>
        <v>0</v>
      </c>
      <c r="AV134" s="4"/>
      <c r="AW134" s="4" cm="1">
        <f t="array" ref="AW134">IF(FALSE,"True," &amp; IF(_xlfn.XLOOKUP("Migrate_Insecure",'Scoring_Config'!$A:$A,'Scoring_Config'!$D:$D,"Yes")="Yes",_xlfn.XLOOKUP("Migrate_Insecure",'Scoring_Config'!$A:$A,'Scoring_Config'!$C:$C,15),0),"False,0")</f>
        <v>0</v>
      </c>
      <c r="AX134" s="4"/>
      <c r="AY134" s="4" cm="1">
        <f t="array" ref="AY134">IF(FALSE,"True," &amp; IF(_xlfn.XLOOKUP("Migrate_Other_Ports",'Scoring_Config'!$A:$A,'Scoring_Config'!$D:$D,"Yes")="Yes",_xlfn.XLOOKUP("Migrate_Other_Ports",'Scoring_Config'!$A:$A,'Scoring_Config'!$C:$C,5),0),"False,0")</f>
        <v>0</v>
      </c>
      <c r="AZ134" s="4" cm="1">
        <f t="array" ref="AZ134">IF(LEFT(AU134,4)="True",0,(IF(LEFT(AC134,4)="True",IF(_xlfn.XLOOKUP("Src_IsAny",'Scoring_Config'!$A:$A,'Scoring_Config'!$D:$D,"Yes")="Yes",_xlfn.XLOOKUP("Src_IsAny",'Scoring_Config'!$A:$A,'Scoring_Config'!$C:$C,25),0),0)+IF(LEFT(AD134,4)="True",IF(_xlfn.XLOOKUP("Src_CIDR_Le_16",'Scoring_Config'!$A:$A,'Scoring_Config'!$D:$D,"Yes")="Yes",_xlfn.XLOOKUP("Src_CIDR_Le_16",'Scoring_Config'!$A:$A,'Scoring_Config'!$C:$C,25),0),0)+IF(LEFT(AE134,4)="True",IF(_xlfn.XLOOKUP("Src_CIDR_17_22",'Scoring_Config'!$A:$A,'Scoring_Config'!$D:$D,"Yes")="Yes",_xlfn.XLOOKUP("Src_CIDR_17_22",'Scoring_Config'!$A:$A,'Scoring_Config'!$C:$C,15),0),0)+IF(LEFT(AF134,4)="True",IF(_xlfn.XLOOKUP("Dst_IsAny",'Scoring_Config'!$A:$A,'Scoring_Config'!$D:$D,"Yes")="Yes",_xlfn.XLOOKUP("Dst_IsAny",'Scoring_Config'!$A:$A,'Scoring_Config'!$C:$C,25),0),0)+IF(LEFT(AG134,4)="True",IF(_xlfn.XLOOKUP("Dst_CIDR_Le_16",'Scoring_Config'!$A:$A,'Scoring_Config'!$D:$D,"Yes")="Yes",_xlfn.XLOOKUP("Dst_CIDR_Le_16",'Scoring_Config'!$A:$A,'Scoring_Config'!$C:$C,25),0),0)+IF(LEFT(AH134,4)="True",IF(_xlfn.XLOOKUP("Dst_CIDR_17_22",'Scoring_Config'!$A:$A,'Scoring_Config'!$D:$D,"Yes")="Yes",_xlfn.XLOOKUP("Dst_CIDR_17_22",'Scoring_Config'!$A:$A,'Scoring_Config'!$C:$C,15),0),0)+IF(LEFT(AI134,4)="True",IF(_xlfn.XLOOKUP("SrcZone_IsAny",'Scoring_Config'!$A:$A,'Scoring_Config'!$D:$D,"Yes")="Yes",_xlfn.XLOOKUP("SrcZone_IsAny",'Scoring_Config'!$A:$A,'Scoring_Config'!$C:$C,5),0),0)+IF(LEFT(AJ134,4)="True",IF(_xlfn.XLOOKUP("DstZone_IsAny",'Scoring_Config'!$A:$A,'Scoring_Config'!$D:$D,"Yes")="Yes",_xlfn.XLOOKUP("DstZone_IsAny",'Scoring_Config'!$A:$A,'Scoring_Config'!$C:$C,5),0),0)+IF(LEFT(AK134,4)="True",IF(_xlfn.XLOOKUP("Service_Any_OR_RangeGt1000",'Scoring_Config'!$A:$A,'Scoring_Config'!$D:$D,"Yes")="Yes",_xlfn.XLOOKUP("Service_Any_OR_RangeGt1000",'Scoring_Config'!$A:$A,'Scoring_Config'!$C:$C,25),0),0)+IF(LEFT(AL134,4)="True",IF(_xlfn.XLOOKUP("App_Any_OR_RangeGt1000",'Scoring_Config'!$A:$A,'Scoring_Config'!$D:$D,"Yes")="Yes",_xlfn.XLOOKUP("App_Any_OR_RangeGt1000",'Scoring_Config'!$A:$A,'Scoring_Config'!$C:$C,25),0),0)+IF(LEFT(AM134,4)="True",IF(_xlfn.XLOOKUP("Service_Insecure_Match",'Scoring_Config'!$A:$A,'Scoring_Config'!$D:$D,"Yes")="Yes",_xlfn.XLOOKUP("Service_Insecure_Match",'Scoring_Config'!$A:$A,'Scoring_Config'!$C:$C,20),0),0)+IF(LEFT(AN134,4)="True",IF(_xlfn.XLOOKUP("Risky_Inbound",'Scoring_Config'!$A:$A,'Scoring_Config'!$D:$D,"Yes")="Yes",_xlfn.XLOOKUP("Risky_Inbound",'Scoring_Config'!$A:$A,'Scoring_Config'!$C:$C,20),0),0)+IF(LEFT(AO134,4)="True",IF(_xlfn.XLOOKUP("Risky_Outbound",'Scoring_Config'!$A:$A,'Scoring_Config'!$D:$D,"Yes")="Yes",_xlfn.XLOOKUP("Risky_Outbound",'Scoring_Config'!$A:$A,'Scoring_Config'!$C:$C,10),0),0)+IF(LEFT(AW134,4)="True",IF(_xlfn.XLOOKUP("Migrate_Insecure",'Scoring_Config'!$A:$A,'Scoring_Config'!$D:$D,"Yes")="Yes",_xlfn.XLOOKUP("Migrate_Insecure",'Scoring_Config'!$A:$A,'Scoring_Config'!$C:$C,15),0),0)+IF(LEFT(AY134,4)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134,FIND(",",AP134)+1,100)),0)+IF(LEFT(AQ134,4)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134,FIND(",",AR134)+1,100)),0)+IF(_xlfn.XLOOKUP("Profile_Scoring",'Scoring_Config'!$A:$A,'Scoring_Config'!$D:$D,"Yes")="Yes",VALUE(MID(AS134,FIND(",",AS134)+1,100)),0)+IF(_xlfn.XLOOKUP("Options_Scoring",'Scoring_Config'!$A:$A,'Scoring_Config'!$D:$D,"Yes")="Yes",VALUE(MID(AT134,FIND(",",AT134)+1,100)),0)))</f>
        <v>0</v>
      </c>
    </row>
    <row r="135" spans="1:52">
      <c r="A135" s="3" t="s">
        <v>53</v>
      </c>
      <c r="B135" s="3" t="s">
        <v>144</v>
      </c>
      <c r="C135" s="3" t="s">
        <v>330</v>
      </c>
      <c r="D135" s="3"/>
      <c r="E135" s="3" t="s">
        <v>359</v>
      </c>
      <c r="F135" s="3" t="s">
        <v>361</v>
      </c>
      <c r="G135" s="3" t="s">
        <v>365</v>
      </c>
      <c r="H135" s="3" t="s">
        <v>365</v>
      </c>
      <c r="I135" s="3" t="s">
        <v>624</v>
      </c>
      <c r="J135" s="3" t="s">
        <v>360</v>
      </c>
      <c r="K135" s="3" t="s">
        <v>365</v>
      </c>
      <c r="L135" s="3" t="s">
        <v>365</v>
      </c>
      <c r="M135" s="3" t="s">
        <v>771</v>
      </c>
      <c r="N135" s="3" t="s">
        <v>793</v>
      </c>
      <c r="O135" s="4" t="s">
        <v>809</v>
      </c>
      <c r="P135" s="3" t="s">
        <v>870</v>
      </c>
      <c r="Q135" s="3" t="s">
        <v>905</v>
      </c>
      <c r="R135" s="3" t="s">
        <v>908</v>
      </c>
      <c r="S135" s="3" t="s">
        <v>916</v>
      </c>
      <c r="T135" s="3" t="s">
        <v>919</v>
      </c>
      <c r="U135" s="3" t="s">
        <v>1147</v>
      </c>
      <c r="V135" s="3" t="s">
        <v>772</v>
      </c>
      <c r="W135" s="3" t="s">
        <v>1476</v>
      </c>
      <c r="X135" s="3" t="s">
        <v>1739</v>
      </c>
      <c r="Y135" s="3" t="s">
        <v>2208</v>
      </c>
      <c r="Z135" s="3"/>
      <c r="AA135" s="3"/>
      <c r="AB135" s="3"/>
      <c r="AC135" s="5" cm="1">
        <f t="array" ref="AC135">IF(TRUE,"True," &amp; IF(_xlfn.XLOOKUP("Src_IsAny",'Scoring_Config'!$A:$A,'Scoring_Config'!$D:$D,"Yes")="Yes",_xlfn.XLOOKUP("Src_IsAny",'Scoring_Config'!$A:$A,'Scoring_Config'!$C:$C,25),0),"False,0")</f>
        <v>0</v>
      </c>
      <c r="AD135" s="4" cm="1">
        <f t="array" ref="AD135">IF(FALSE,"True," &amp; IF(_xlfn.XLOOKUP("Src_CIDR_Le_16",'Scoring_Config'!$A:$A,'Scoring_Config'!$D:$D,"Yes")="Yes",_xlfn.XLOOKUP("Src_CIDR_Le_16",'Scoring_Config'!$A:$A,'Scoring_Config'!$C:$C,25),0),"False,0")</f>
        <v>0</v>
      </c>
      <c r="AE135" s="4" cm="1">
        <f t="array" ref="AE135">IF(FALSE,"True," &amp; IF(_xlfn.XLOOKUP("Src_CIDR_17_22",'Scoring_Config'!$A:$A,'Scoring_Config'!$D:$D,"Yes")="Yes",_xlfn.XLOOKUP("Src_CIDR_17_22",'Scoring_Config'!$A:$A,'Scoring_Config'!$C:$C,15),0),"False,0")</f>
        <v>0</v>
      </c>
      <c r="AF135" s="5" cm="1">
        <f t="array" ref="AF135">IF(TRUE,"True," &amp; IF(_xlfn.XLOOKUP("Dst_IsAny",'Scoring_Config'!$A:$A,'Scoring_Config'!$D:$D,"Yes")="Yes",_xlfn.XLOOKUP("Dst_IsAny",'Scoring_Config'!$A:$A,'Scoring_Config'!$C:$C,25),0),"False,0")</f>
        <v>0</v>
      </c>
      <c r="AG135" s="4" cm="1">
        <f t="array" ref="AG135">IF(FALSE,"True," &amp; IF(_xlfn.XLOOKUP("Dst_CIDR_Le_16",'Scoring_Config'!$A:$A,'Scoring_Config'!$D:$D,"Yes")="Yes",_xlfn.XLOOKUP("Dst_CIDR_Le_16",'Scoring_Config'!$A:$A,'Scoring_Config'!$C:$C,25),0),"False,0")</f>
        <v>0</v>
      </c>
      <c r="AH135" s="4" cm="1">
        <f t="array" ref="AH135">IF(FALSE,"True," &amp; IF(_xlfn.XLOOKUP("Dst_CIDR_17_22",'Scoring_Config'!$A:$A,'Scoring_Config'!$D:$D,"Yes")="Yes",_xlfn.XLOOKUP("Dst_CIDR_17_22",'Scoring_Config'!$A:$A,'Scoring_Config'!$C:$C,15),0),"False,0")</f>
        <v>0</v>
      </c>
      <c r="AI135" s="4" cm="1">
        <f t="array" ref="AI135">IF(FALSE,"True," &amp; IF(_xlfn.XLOOKUP("SrcZone_IsAny",'Scoring_Config'!$A:$A,'Scoring_Config'!$D:$D,"Yes")="Yes",_xlfn.XLOOKUP("SrcZone_IsAny",'Scoring_Config'!$A:$A,'Scoring_Config'!$C:$C,5),0),"False,0")</f>
        <v>0</v>
      </c>
      <c r="AJ135" s="4" cm="1">
        <f t="array" ref="AJ135">IF(FALSE,"True," &amp; IF(_xlfn.XLOOKUP("DstZone_IsAny",'Scoring_Config'!$A:$A,'Scoring_Config'!$D:$D,"Yes")="Yes",_xlfn.XLOOKUP("DstZone_IsAny",'Scoring_Config'!$A:$A,'Scoring_Config'!$C:$C,5),0),"False,0")</f>
        <v>0</v>
      </c>
      <c r="AK135" s="4" cm="1">
        <f t="array" ref="AK13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5" s="4" cm="1">
        <f t="array" ref="AL135">IF(FALSE,"True," &amp; IF(_xlfn.XLOOKUP("App_Any_OR_RangeGt1000",'Scoring_Config'!$A:$A,'Scoring_Config'!$D:$D,"Yes")="Yes",_xlfn.XLOOKUP("App_Any_OR_RangeGt1000",'Scoring_Config'!$A:$A,'Scoring_Config'!$C:$C,25),0),"False,0")</f>
        <v>0</v>
      </c>
      <c r="AM135" s="4" cm="1">
        <f t="array" ref="AM135">IF(FALSE,"True," &amp; IF(_xlfn.XLOOKUP("Service_Insecure_Match",'Scoring_Config'!$A:$A,'Scoring_Config'!$D:$D,"Yes")="Yes",_xlfn.XLOOKUP("Service_Insecure_Match",'Scoring_Config'!$A:$A,'Scoring_Config'!$C:$C,20),0),"False,0")</f>
        <v>0</v>
      </c>
      <c r="AN135" s="4" cm="1">
        <f t="array" ref="AN135">IF(FALSE,"True," &amp; IF(_xlfn.XLOOKUP("Risky_Inbound",'Scoring_Config'!$A:$A,'Scoring_Config'!$D:$D,"Yes")="Yes",_xlfn.XLOOKUP("Risky_Inbound",'Scoring_Config'!$A:$A,'Scoring_Config'!$C:$C,20),0),"False,0")</f>
        <v>0</v>
      </c>
      <c r="AO135" s="4" cm="1">
        <f t="array" ref="AO135">IF(FALSE,"True," &amp; IF(_xlfn.XLOOKUP("Risky_Outbound",'Scoring_Config'!$A:$A,'Scoring_Config'!$D:$D,"Yes")="Yes",_xlfn.XLOOKUP("Risky_Outbound",'Scoring_Config'!$A:$A,'Scoring_Config'!$C:$C,10),0),"False,0")</f>
        <v>0</v>
      </c>
      <c r="AP135" s="5" t="s">
        <v>2595</v>
      </c>
      <c r="AQ135" s="5" cm="1">
        <f t="array" ref="AQ13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5" s="5" t="s">
        <v>2598</v>
      </c>
      <c r="AS135" s="4" t="s">
        <v>2592</v>
      </c>
      <c r="AT135" s="4" t="s">
        <v>2592</v>
      </c>
      <c r="AU135" s="4" cm="1">
        <f t="array" ref="AU135">IF(FALSE,"True," &amp; IF(_xlfn.XLOOKUP("Action_IsDenyOrDrop",'Scoring_Config'!$A:$A,'Scoring_Config'!$D:$D,"Yes")="Yes",_xlfn.XLOOKUP("Action_IsDenyOrDrop",'Scoring_Config'!$A:$A,'Scoring_Config'!$C:$C,0),0),"False,0")</f>
        <v>0</v>
      </c>
      <c r="AV135" s="4"/>
      <c r="AW135" s="4" cm="1">
        <f t="array" ref="AW135">IF(FALSE,"True," &amp; IF(_xlfn.XLOOKUP("Migrate_Insecure",'Scoring_Config'!$A:$A,'Scoring_Config'!$D:$D,"Yes")="Yes",_xlfn.XLOOKUP("Migrate_Insecure",'Scoring_Config'!$A:$A,'Scoring_Config'!$C:$C,15),0),"False,0")</f>
        <v>0</v>
      </c>
      <c r="AX135" s="4"/>
      <c r="AY135" s="4" cm="1">
        <f t="array" ref="AY135">IF(FALSE,"True," &amp; IF(_xlfn.XLOOKUP("Migrate_Other_Ports",'Scoring_Config'!$A:$A,'Scoring_Config'!$D:$D,"Yes")="Yes",_xlfn.XLOOKUP("Migrate_Other_Ports",'Scoring_Config'!$A:$A,'Scoring_Config'!$C:$C,5),0),"False,0")</f>
        <v>0</v>
      </c>
      <c r="AZ135" s="4" cm="1">
        <f t="array" ref="AZ135">IF(LEFT(AU135,4)="True",0,(IF(LEFT(AC135,4)="True",IF(_xlfn.XLOOKUP("Src_IsAny",'Scoring_Config'!$A:$A,'Scoring_Config'!$D:$D,"Yes")="Yes",_xlfn.XLOOKUP("Src_IsAny",'Scoring_Config'!$A:$A,'Scoring_Config'!$C:$C,25),0),0)+IF(LEFT(AD135,4)="True",IF(_xlfn.XLOOKUP("Src_CIDR_Le_16",'Scoring_Config'!$A:$A,'Scoring_Config'!$D:$D,"Yes")="Yes",_xlfn.XLOOKUP("Src_CIDR_Le_16",'Scoring_Config'!$A:$A,'Scoring_Config'!$C:$C,25),0),0)+IF(LEFT(AE135,4)="True",IF(_xlfn.XLOOKUP("Src_CIDR_17_22",'Scoring_Config'!$A:$A,'Scoring_Config'!$D:$D,"Yes")="Yes",_xlfn.XLOOKUP("Src_CIDR_17_22",'Scoring_Config'!$A:$A,'Scoring_Config'!$C:$C,15),0),0)+IF(LEFT(AF135,4)="True",IF(_xlfn.XLOOKUP("Dst_IsAny",'Scoring_Config'!$A:$A,'Scoring_Config'!$D:$D,"Yes")="Yes",_xlfn.XLOOKUP("Dst_IsAny",'Scoring_Config'!$A:$A,'Scoring_Config'!$C:$C,25),0),0)+IF(LEFT(AG135,4)="True",IF(_xlfn.XLOOKUP("Dst_CIDR_Le_16",'Scoring_Config'!$A:$A,'Scoring_Config'!$D:$D,"Yes")="Yes",_xlfn.XLOOKUP("Dst_CIDR_Le_16",'Scoring_Config'!$A:$A,'Scoring_Config'!$C:$C,25),0),0)+IF(LEFT(AH135,4)="True",IF(_xlfn.XLOOKUP("Dst_CIDR_17_22",'Scoring_Config'!$A:$A,'Scoring_Config'!$D:$D,"Yes")="Yes",_xlfn.XLOOKUP("Dst_CIDR_17_22",'Scoring_Config'!$A:$A,'Scoring_Config'!$C:$C,15),0),0)+IF(LEFT(AI135,4)="True",IF(_xlfn.XLOOKUP("SrcZone_IsAny",'Scoring_Config'!$A:$A,'Scoring_Config'!$D:$D,"Yes")="Yes",_xlfn.XLOOKUP("SrcZone_IsAny",'Scoring_Config'!$A:$A,'Scoring_Config'!$C:$C,5),0),0)+IF(LEFT(AJ135,4)="True",IF(_xlfn.XLOOKUP("DstZone_IsAny",'Scoring_Config'!$A:$A,'Scoring_Config'!$D:$D,"Yes")="Yes",_xlfn.XLOOKUP("DstZone_IsAny",'Scoring_Config'!$A:$A,'Scoring_Config'!$C:$C,5),0),0)+IF(LEFT(AK135,4)="True",IF(_xlfn.XLOOKUP("Service_Any_OR_RangeGt1000",'Scoring_Config'!$A:$A,'Scoring_Config'!$D:$D,"Yes")="Yes",_xlfn.XLOOKUP("Service_Any_OR_RangeGt1000",'Scoring_Config'!$A:$A,'Scoring_Config'!$C:$C,25),0),0)+IF(LEFT(AL135,4)="True",IF(_xlfn.XLOOKUP("App_Any_OR_RangeGt1000",'Scoring_Config'!$A:$A,'Scoring_Config'!$D:$D,"Yes")="Yes",_xlfn.XLOOKUP("App_Any_OR_RangeGt1000",'Scoring_Config'!$A:$A,'Scoring_Config'!$C:$C,25),0),0)+IF(LEFT(AM135,4)="True",IF(_xlfn.XLOOKUP("Service_Insecure_Match",'Scoring_Config'!$A:$A,'Scoring_Config'!$D:$D,"Yes")="Yes",_xlfn.XLOOKUP("Service_Insecure_Match",'Scoring_Config'!$A:$A,'Scoring_Config'!$C:$C,20),0),0)+IF(LEFT(AN135,4)="True",IF(_xlfn.XLOOKUP("Risky_Inbound",'Scoring_Config'!$A:$A,'Scoring_Config'!$D:$D,"Yes")="Yes",_xlfn.XLOOKUP("Risky_Inbound",'Scoring_Config'!$A:$A,'Scoring_Config'!$C:$C,20),0),0)+IF(LEFT(AO135,4)="True",IF(_xlfn.XLOOKUP("Risky_Outbound",'Scoring_Config'!$A:$A,'Scoring_Config'!$D:$D,"Yes")="Yes",_xlfn.XLOOKUP("Risky_Outbound",'Scoring_Config'!$A:$A,'Scoring_Config'!$C:$C,10),0),0)+IF(LEFT(AW135,4)="True",IF(_xlfn.XLOOKUP("Migrate_Insecure",'Scoring_Config'!$A:$A,'Scoring_Config'!$D:$D,"Yes")="Yes",_xlfn.XLOOKUP("Migrate_Insecure",'Scoring_Config'!$A:$A,'Scoring_Config'!$C:$C,15),0),0)+IF(LEFT(AY135,4)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135,FIND(",",AP135)+1,100)),0)+IF(LEFT(AQ135,4)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135,FIND(",",AR135)+1,100)),0)+IF(_xlfn.XLOOKUP("Profile_Scoring",'Scoring_Config'!$A:$A,'Scoring_Config'!$D:$D,"Yes")="Yes",VALUE(MID(AS135,FIND(",",AS135)+1,100)),0)+IF(_xlfn.XLOOKUP("Options_Scoring",'Scoring_Config'!$A:$A,'Scoring_Config'!$D:$D,"Yes")="Yes",VALUE(MID(AT135,FIND(",",AT135)+1,100)),0)))</f>
        <v>0</v>
      </c>
    </row>
    <row r="136" spans="1:52">
      <c r="A136" s="3" t="s">
        <v>53</v>
      </c>
      <c r="B136" s="3" t="s">
        <v>159</v>
      </c>
      <c r="C136" s="3" t="s">
        <v>330</v>
      </c>
      <c r="D136" s="3"/>
      <c r="E136" s="3" t="s">
        <v>359</v>
      </c>
      <c r="F136" s="3" t="s">
        <v>361</v>
      </c>
      <c r="G136" s="3" t="s">
        <v>414</v>
      </c>
      <c r="H136" s="3" t="s">
        <v>414</v>
      </c>
      <c r="I136" s="3" t="s">
        <v>624</v>
      </c>
      <c r="J136" s="3" t="s">
        <v>364</v>
      </c>
      <c r="K136" s="3" t="s">
        <v>434</v>
      </c>
      <c r="L136" s="3" t="s">
        <v>434</v>
      </c>
      <c r="M136" s="3" t="s">
        <v>772</v>
      </c>
      <c r="N136" s="3" t="s">
        <v>794</v>
      </c>
      <c r="O136" s="4" t="s">
        <v>808</v>
      </c>
      <c r="P136" s="3" t="s">
        <v>869</v>
      </c>
      <c r="Q136" s="3" t="s">
        <v>905</v>
      </c>
      <c r="R136" s="3" t="s">
        <v>907</v>
      </c>
      <c r="S136" s="3" t="s">
        <v>916</v>
      </c>
      <c r="T136" s="3" t="s">
        <v>919</v>
      </c>
      <c r="U136" s="3" t="s">
        <v>1157</v>
      </c>
      <c r="V136" s="3" t="s">
        <v>770</v>
      </c>
      <c r="W136" s="3" t="s">
        <v>1477</v>
      </c>
      <c r="X136" s="3" t="s">
        <v>1740</v>
      </c>
      <c r="Y136" s="3" t="s">
        <v>2209</v>
      </c>
      <c r="Z136" s="3"/>
      <c r="AA136" s="3"/>
      <c r="AB136" s="3"/>
      <c r="AC136" s="4" cm="1">
        <f t="array" ref="AC136">IF(FALSE,"True," &amp; IF(_xlfn.XLOOKUP("Src_IsAny",'Scoring_Config'!$A:$A,'Scoring_Config'!$D:$D,"Yes")="Yes",_xlfn.XLOOKUP("Src_IsAny",'Scoring_Config'!$A:$A,'Scoring_Config'!$C:$C,25),0),"False,0")</f>
        <v>0</v>
      </c>
      <c r="AD136" s="4" cm="1">
        <f t="array" ref="AD136">IF(FALSE,"True," &amp; IF(_xlfn.XLOOKUP("Src_CIDR_Le_16",'Scoring_Config'!$A:$A,'Scoring_Config'!$D:$D,"Yes")="Yes",_xlfn.XLOOKUP("Src_CIDR_Le_16",'Scoring_Config'!$A:$A,'Scoring_Config'!$C:$C,25),0),"False,0")</f>
        <v>0</v>
      </c>
      <c r="AE136" s="4" cm="1">
        <f t="array" ref="AE136">IF(FALSE,"True," &amp; IF(_xlfn.XLOOKUP("Src_CIDR_17_22",'Scoring_Config'!$A:$A,'Scoring_Config'!$D:$D,"Yes")="Yes",_xlfn.XLOOKUP("Src_CIDR_17_22",'Scoring_Config'!$A:$A,'Scoring_Config'!$C:$C,15),0),"False,0")</f>
        <v>0</v>
      </c>
      <c r="AF136" s="4" cm="1">
        <f t="array" ref="AF136">IF(FALSE,"True," &amp; IF(_xlfn.XLOOKUP("Dst_IsAny",'Scoring_Config'!$A:$A,'Scoring_Config'!$D:$D,"Yes")="Yes",_xlfn.XLOOKUP("Dst_IsAny",'Scoring_Config'!$A:$A,'Scoring_Config'!$C:$C,25),0),"False,0")</f>
        <v>0</v>
      </c>
      <c r="AG136" s="4" cm="1">
        <f t="array" ref="AG136">IF(FALSE,"True," &amp; IF(_xlfn.XLOOKUP("Dst_CIDR_Le_16",'Scoring_Config'!$A:$A,'Scoring_Config'!$D:$D,"Yes")="Yes",_xlfn.XLOOKUP("Dst_CIDR_Le_16",'Scoring_Config'!$A:$A,'Scoring_Config'!$C:$C,25),0),"False,0")</f>
        <v>0</v>
      </c>
      <c r="AH136" s="4" cm="1">
        <f t="array" ref="AH136">IF(FALSE,"True," &amp; IF(_xlfn.XLOOKUP("Dst_CIDR_17_22",'Scoring_Config'!$A:$A,'Scoring_Config'!$D:$D,"Yes")="Yes",_xlfn.XLOOKUP("Dst_CIDR_17_22",'Scoring_Config'!$A:$A,'Scoring_Config'!$C:$C,15),0),"False,0")</f>
        <v>0</v>
      </c>
      <c r="AI136" s="4" cm="1">
        <f t="array" ref="AI136">IF(FALSE,"True," &amp; IF(_xlfn.XLOOKUP("SrcZone_IsAny",'Scoring_Config'!$A:$A,'Scoring_Config'!$D:$D,"Yes")="Yes",_xlfn.XLOOKUP("SrcZone_IsAny",'Scoring_Config'!$A:$A,'Scoring_Config'!$C:$C,5),0),"False,0")</f>
        <v>0</v>
      </c>
      <c r="AJ136" s="4" cm="1">
        <f t="array" ref="AJ136">IF(FALSE,"True," &amp; IF(_xlfn.XLOOKUP("DstZone_IsAny",'Scoring_Config'!$A:$A,'Scoring_Config'!$D:$D,"Yes")="Yes",_xlfn.XLOOKUP("DstZone_IsAny",'Scoring_Config'!$A:$A,'Scoring_Config'!$C:$C,5),0),"False,0")</f>
        <v>0</v>
      </c>
      <c r="AK136" s="4" cm="1">
        <f t="array" ref="AK13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6" s="4" cm="1">
        <f t="array" ref="AL136">IF(FALSE,"True," &amp; IF(_xlfn.XLOOKUP("App_Any_OR_RangeGt1000",'Scoring_Config'!$A:$A,'Scoring_Config'!$D:$D,"Yes")="Yes",_xlfn.XLOOKUP("App_Any_OR_RangeGt1000",'Scoring_Config'!$A:$A,'Scoring_Config'!$C:$C,25),0),"False,0")</f>
        <v>0</v>
      </c>
      <c r="AM136" s="5" cm="1">
        <f t="array" ref="AM136">IF(TRUE,"True," &amp; IF(_xlfn.XLOOKUP("Service_Insecure_Match",'Scoring_Config'!$A:$A,'Scoring_Config'!$D:$D,"Yes")="Yes",_xlfn.XLOOKUP("Service_Insecure_Match",'Scoring_Config'!$A:$A,'Scoring_Config'!$C:$C,20),0),"False,0")</f>
        <v>0</v>
      </c>
      <c r="AN136" s="4" cm="1">
        <f t="array" ref="AN136">IF(FALSE,"True," &amp; IF(_xlfn.XLOOKUP("Risky_Inbound",'Scoring_Config'!$A:$A,'Scoring_Config'!$D:$D,"Yes")="Yes",_xlfn.XLOOKUP("Risky_Inbound",'Scoring_Config'!$A:$A,'Scoring_Config'!$C:$C,20),0),"False,0")</f>
        <v>0</v>
      </c>
      <c r="AO136" s="4" cm="1">
        <f t="array" ref="AO136">IF(FALSE,"True," &amp; IF(_xlfn.XLOOKUP("Risky_Outbound",'Scoring_Config'!$A:$A,'Scoring_Config'!$D:$D,"Yes")="Yes",_xlfn.XLOOKUP("Risky_Outbound",'Scoring_Config'!$A:$A,'Scoring_Config'!$C:$C,10),0),"False,0")</f>
        <v>0</v>
      </c>
      <c r="AP136" s="5" t="s">
        <v>2595</v>
      </c>
      <c r="AQ136" s="5" cm="1">
        <f t="array" ref="AQ13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6" s="5" t="s">
        <v>2598</v>
      </c>
      <c r="AS136" s="5" t="s">
        <v>2595</v>
      </c>
      <c r="AT136" s="4" t="s">
        <v>2592</v>
      </c>
      <c r="AU136" s="4" cm="1">
        <f t="array" ref="AU136">IF(FALSE,"True," &amp; IF(_xlfn.XLOOKUP("Action_IsDenyOrDrop",'Scoring_Config'!$A:$A,'Scoring_Config'!$D:$D,"Yes")="Yes",_xlfn.XLOOKUP("Action_IsDenyOrDrop",'Scoring_Config'!$A:$A,'Scoring_Config'!$C:$C,0),0),"False,0")</f>
        <v>0</v>
      </c>
      <c r="AV136" s="4"/>
      <c r="AW136" s="4" cm="1">
        <f t="array" ref="AW136">IF(FALSE,"True," &amp; IF(_xlfn.XLOOKUP("Migrate_Insecure",'Scoring_Config'!$A:$A,'Scoring_Config'!$D:$D,"Yes")="Yes",_xlfn.XLOOKUP("Migrate_Insecure",'Scoring_Config'!$A:$A,'Scoring_Config'!$C:$C,15),0),"False,0")</f>
        <v>0</v>
      </c>
      <c r="AX136" s="4"/>
      <c r="AY136" s="4" cm="1">
        <f t="array" ref="AY136">IF(FALSE,"True," &amp; IF(_xlfn.XLOOKUP("Migrate_Other_Ports",'Scoring_Config'!$A:$A,'Scoring_Config'!$D:$D,"Yes")="Yes",_xlfn.XLOOKUP("Migrate_Other_Ports",'Scoring_Config'!$A:$A,'Scoring_Config'!$C:$C,5),0),"False,0")</f>
        <v>0</v>
      </c>
      <c r="AZ136" s="4" cm="1">
        <f t="array" ref="AZ136">IF(LEFT(AU136,4)="True",0,(IF(LEFT(AC136,4)="True",IF(_xlfn.XLOOKUP("Src_IsAny",'Scoring_Config'!$A:$A,'Scoring_Config'!$D:$D,"Yes")="Yes",_xlfn.XLOOKUP("Src_IsAny",'Scoring_Config'!$A:$A,'Scoring_Config'!$C:$C,25),0),0)+IF(LEFT(AD136,4)="True",IF(_xlfn.XLOOKUP("Src_CIDR_Le_16",'Scoring_Config'!$A:$A,'Scoring_Config'!$D:$D,"Yes")="Yes",_xlfn.XLOOKUP("Src_CIDR_Le_16",'Scoring_Config'!$A:$A,'Scoring_Config'!$C:$C,25),0),0)+IF(LEFT(AE136,4)="True",IF(_xlfn.XLOOKUP("Src_CIDR_17_22",'Scoring_Config'!$A:$A,'Scoring_Config'!$D:$D,"Yes")="Yes",_xlfn.XLOOKUP("Src_CIDR_17_22",'Scoring_Config'!$A:$A,'Scoring_Config'!$C:$C,15),0),0)+IF(LEFT(AF136,4)="True",IF(_xlfn.XLOOKUP("Dst_IsAny",'Scoring_Config'!$A:$A,'Scoring_Config'!$D:$D,"Yes")="Yes",_xlfn.XLOOKUP("Dst_IsAny",'Scoring_Config'!$A:$A,'Scoring_Config'!$C:$C,25),0),0)+IF(LEFT(AG136,4)="True",IF(_xlfn.XLOOKUP("Dst_CIDR_Le_16",'Scoring_Config'!$A:$A,'Scoring_Config'!$D:$D,"Yes")="Yes",_xlfn.XLOOKUP("Dst_CIDR_Le_16",'Scoring_Config'!$A:$A,'Scoring_Config'!$C:$C,25),0),0)+IF(LEFT(AH136,4)="True",IF(_xlfn.XLOOKUP("Dst_CIDR_17_22",'Scoring_Config'!$A:$A,'Scoring_Config'!$D:$D,"Yes")="Yes",_xlfn.XLOOKUP("Dst_CIDR_17_22",'Scoring_Config'!$A:$A,'Scoring_Config'!$C:$C,15),0),0)+IF(LEFT(AI136,4)="True",IF(_xlfn.XLOOKUP("SrcZone_IsAny",'Scoring_Config'!$A:$A,'Scoring_Config'!$D:$D,"Yes")="Yes",_xlfn.XLOOKUP("SrcZone_IsAny",'Scoring_Config'!$A:$A,'Scoring_Config'!$C:$C,5),0),0)+IF(LEFT(AJ136,4)="True",IF(_xlfn.XLOOKUP("DstZone_IsAny",'Scoring_Config'!$A:$A,'Scoring_Config'!$D:$D,"Yes")="Yes",_xlfn.XLOOKUP("DstZone_IsAny",'Scoring_Config'!$A:$A,'Scoring_Config'!$C:$C,5),0),0)+IF(LEFT(AK136,4)="True",IF(_xlfn.XLOOKUP("Service_Any_OR_RangeGt1000",'Scoring_Config'!$A:$A,'Scoring_Config'!$D:$D,"Yes")="Yes",_xlfn.XLOOKUP("Service_Any_OR_RangeGt1000",'Scoring_Config'!$A:$A,'Scoring_Config'!$C:$C,25),0),0)+IF(LEFT(AL136,4)="True",IF(_xlfn.XLOOKUP("App_Any_OR_RangeGt1000",'Scoring_Config'!$A:$A,'Scoring_Config'!$D:$D,"Yes")="Yes",_xlfn.XLOOKUP("App_Any_OR_RangeGt1000",'Scoring_Config'!$A:$A,'Scoring_Config'!$C:$C,25),0),0)+IF(LEFT(AM136,4)="True",IF(_xlfn.XLOOKUP("Service_Insecure_Match",'Scoring_Config'!$A:$A,'Scoring_Config'!$D:$D,"Yes")="Yes",_xlfn.XLOOKUP("Service_Insecure_Match",'Scoring_Config'!$A:$A,'Scoring_Config'!$C:$C,20),0),0)+IF(LEFT(AN136,4)="True",IF(_xlfn.XLOOKUP("Risky_Inbound",'Scoring_Config'!$A:$A,'Scoring_Config'!$D:$D,"Yes")="Yes",_xlfn.XLOOKUP("Risky_Inbound",'Scoring_Config'!$A:$A,'Scoring_Config'!$C:$C,20),0),0)+IF(LEFT(AO136,4)="True",IF(_xlfn.XLOOKUP("Risky_Outbound",'Scoring_Config'!$A:$A,'Scoring_Config'!$D:$D,"Yes")="Yes",_xlfn.XLOOKUP("Risky_Outbound",'Scoring_Config'!$A:$A,'Scoring_Config'!$C:$C,10),0),0)+IF(LEFT(AW136,4)="True",IF(_xlfn.XLOOKUP("Migrate_Insecure",'Scoring_Config'!$A:$A,'Scoring_Config'!$D:$D,"Yes")="Yes",_xlfn.XLOOKUP("Migrate_Insecure",'Scoring_Config'!$A:$A,'Scoring_Config'!$C:$C,15),0),0)+IF(LEFT(AY136,4)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136,FIND(",",AP136)+1,100)),0)+IF(LEFT(AQ136,4)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136,FIND(",",AR136)+1,100)),0)+IF(_xlfn.XLOOKUP("Profile_Scoring",'Scoring_Config'!$A:$A,'Scoring_Config'!$D:$D,"Yes")="Yes",VALUE(MID(AS136,FIND(",",AS136)+1,100)),0)+IF(_xlfn.XLOOKUP("Options_Scoring",'Scoring_Config'!$A:$A,'Scoring_Config'!$D:$D,"Yes")="Yes",VALUE(MID(AT136,FIND(",",AT136)+1,100)),0)))</f>
        <v>0</v>
      </c>
    </row>
    <row r="137" spans="1:52">
      <c r="A137" s="3" t="s">
        <v>53</v>
      </c>
      <c r="B137" s="3" t="s">
        <v>160</v>
      </c>
      <c r="C137" s="3" t="s">
        <v>330</v>
      </c>
      <c r="D137" s="3"/>
      <c r="E137" s="3" t="s">
        <v>359</v>
      </c>
      <c r="F137" s="3" t="s">
        <v>361</v>
      </c>
      <c r="G137" s="3" t="s">
        <v>365</v>
      </c>
      <c r="H137" s="3" t="s">
        <v>365</v>
      </c>
      <c r="I137" s="3" t="s">
        <v>622</v>
      </c>
      <c r="J137" s="3" t="s">
        <v>364</v>
      </c>
      <c r="K137" s="3" t="s">
        <v>365</v>
      </c>
      <c r="L137" s="3" t="s">
        <v>365</v>
      </c>
      <c r="M137" s="3" t="s">
        <v>365</v>
      </c>
      <c r="N137" s="3" t="s">
        <v>365</v>
      </c>
      <c r="O137" s="4" t="s">
        <v>832</v>
      </c>
      <c r="P137" s="3" t="s">
        <v>893</v>
      </c>
      <c r="Q137" s="3" t="s">
        <v>905</v>
      </c>
      <c r="R137" s="3" t="s">
        <v>907</v>
      </c>
      <c r="S137" s="3" t="s">
        <v>913</v>
      </c>
      <c r="T137" s="3" t="s">
        <v>1008</v>
      </c>
      <c r="U137" s="3"/>
      <c r="V137" s="3" t="s">
        <v>1386</v>
      </c>
      <c r="W137" s="3" t="s">
        <v>1478</v>
      </c>
      <c r="X137" s="3" t="s">
        <v>1741</v>
      </c>
      <c r="Y137" s="3" t="s">
        <v>2210</v>
      </c>
      <c r="Z137" s="3"/>
      <c r="AA137" s="3"/>
      <c r="AB137" s="3"/>
      <c r="AC137" s="5" cm="1">
        <f t="array" ref="AC137">IF(TRUE,"True," &amp; IF(_xlfn.XLOOKUP("Src_IsAny",'Scoring_Config'!$A:$A,'Scoring_Config'!$D:$D,"Yes")="Yes",_xlfn.XLOOKUP("Src_IsAny",'Scoring_Config'!$A:$A,'Scoring_Config'!$C:$C,25),0),"False,0")</f>
        <v>0</v>
      </c>
      <c r="AD137" s="4" cm="1">
        <f t="array" ref="AD137">IF(FALSE,"True," &amp; IF(_xlfn.XLOOKUP("Src_CIDR_Le_16",'Scoring_Config'!$A:$A,'Scoring_Config'!$D:$D,"Yes")="Yes",_xlfn.XLOOKUP("Src_CIDR_Le_16",'Scoring_Config'!$A:$A,'Scoring_Config'!$C:$C,25),0),"False,0")</f>
        <v>0</v>
      </c>
      <c r="AE137" s="4" cm="1">
        <f t="array" ref="AE137">IF(FALSE,"True," &amp; IF(_xlfn.XLOOKUP("Src_CIDR_17_22",'Scoring_Config'!$A:$A,'Scoring_Config'!$D:$D,"Yes")="Yes",_xlfn.XLOOKUP("Src_CIDR_17_22",'Scoring_Config'!$A:$A,'Scoring_Config'!$C:$C,15),0),"False,0")</f>
        <v>0</v>
      </c>
      <c r="AF137" s="5" cm="1">
        <f t="array" ref="AF137">IF(TRUE,"True," &amp; IF(_xlfn.XLOOKUP("Dst_IsAny",'Scoring_Config'!$A:$A,'Scoring_Config'!$D:$D,"Yes")="Yes",_xlfn.XLOOKUP("Dst_IsAny",'Scoring_Config'!$A:$A,'Scoring_Config'!$C:$C,25),0),"False,0")</f>
        <v>0</v>
      </c>
      <c r="AG137" s="4" cm="1">
        <f t="array" ref="AG137">IF(FALSE,"True," &amp; IF(_xlfn.XLOOKUP("Dst_CIDR_Le_16",'Scoring_Config'!$A:$A,'Scoring_Config'!$D:$D,"Yes")="Yes",_xlfn.XLOOKUP("Dst_CIDR_Le_16",'Scoring_Config'!$A:$A,'Scoring_Config'!$C:$C,25),0),"False,0")</f>
        <v>0</v>
      </c>
      <c r="AH137" s="4" cm="1">
        <f t="array" ref="AH137">IF(FALSE,"True," &amp; IF(_xlfn.XLOOKUP("Dst_CIDR_17_22",'Scoring_Config'!$A:$A,'Scoring_Config'!$D:$D,"Yes")="Yes",_xlfn.XLOOKUP("Dst_CIDR_17_22",'Scoring_Config'!$A:$A,'Scoring_Config'!$C:$C,15),0),"False,0")</f>
        <v>0</v>
      </c>
      <c r="AI137" s="4" cm="1">
        <f t="array" ref="AI137">IF(FALSE,"True," &amp; IF(_xlfn.XLOOKUP("SrcZone_IsAny",'Scoring_Config'!$A:$A,'Scoring_Config'!$D:$D,"Yes")="Yes",_xlfn.XLOOKUP("SrcZone_IsAny",'Scoring_Config'!$A:$A,'Scoring_Config'!$C:$C,5),0),"False,0")</f>
        <v>0</v>
      </c>
      <c r="AJ137" s="4" cm="1">
        <f t="array" ref="AJ137">IF(FALSE,"True," &amp; IF(_xlfn.XLOOKUP("DstZone_IsAny",'Scoring_Config'!$A:$A,'Scoring_Config'!$D:$D,"Yes")="Yes",_xlfn.XLOOKUP("DstZone_IsAny",'Scoring_Config'!$A:$A,'Scoring_Config'!$C:$C,5),0),"False,0")</f>
        <v>0</v>
      </c>
      <c r="AK137" s="4" cm="1">
        <f t="array" ref="AK13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7" s="5" cm="1">
        <f t="array" ref="AL137">IF(TRUE,"True," &amp; IF(_xlfn.XLOOKUP("App_Any_OR_RangeGt1000",'Scoring_Config'!$A:$A,'Scoring_Config'!$D:$D,"Yes")="Yes",_xlfn.XLOOKUP("App_Any_OR_RangeGt1000",'Scoring_Config'!$A:$A,'Scoring_Config'!$C:$C,25),0),"False,0")</f>
        <v>0</v>
      </c>
      <c r="AM137" s="5" cm="1">
        <f t="array" ref="AM137">IF(TRUE,"True," &amp; IF(_xlfn.XLOOKUP("Service_Insecure_Match",'Scoring_Config'!$A:$A,'Scoring_Config'!$D:$D,"Yes")="Yes",_xlfn.XLOOKUP("Service_Insecure_Match",'Scoring_Config'!$A:$A,'Scoring_Config'!$C:$C,20),0),"False,0")</f>
        <v>0</v>
      </c>
      <c r="AN137" s="4" cm="1">
        <f t="array" ref="AN137">IF(FALSE,"True," &amp; IF(_xlfn.XLOOKUP("Risky_Inbound",'Scoring_Config'!$A:$A,'Scoring_Config'!$D:$D,"Yes")="Yes",_xlfn.XLOOKUP("Risky_Inbound",'Scoring_Config'!$A:$A,'Scoring_Config'!$C:$C,20),0),"False,0")</f>
        <v>0</v>
      </c>
      <c r="AO137" s="4" cm="1">
        <f t="array" ref="AO137">IF(FALSE,"True," &amp; IF(_xlfn.XLOOKUP("Risky_Outbound",'Scoring_Config'!$A:$A,'Scoring_Config'!$D:$D,"Yes")="Yes",_xlfn.XLOOKUP("Risky_Outbound",'Scoring_Config'!$A:$A,'Scoring_Config'!$C:$C,10),0),"False,0")</f>
        <v>0</v>
      </c>
      <c r="AP137" s="5" t="s">
        <v>2595</v>
      </c>
      <c r="AQ137" s="5" cm="1">
        <f t="array" ref="AQ13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7" s="5" t="s">
        <v>2598</v>
      </c>
      <c r="AS137" s="5" t="s">
        <v>2595</v>
      </c>
      <c r="AT137" s="4" t="s">
        <v>2592</v>
      </c>
      <c r="AU137" s="4" cm="1">
        <f t="array" ref="AU137">IF(FALSE,"True," &amp; IF(_xlfn.XLOOKUP("Action_IsDenyOrDrop",'Scoring_Config'!$A:$A,'Scoring_Config'!$D:$D,"Yes")="Yes",_xlfn.XLOOKUP("Action_IsDenyOrDrop",'Scoring_Config'!$A:$A,'Scoring_Config'!$C:$C,0),0),"False,0")</f>
        <v>0</v>
      </c>
      <c r="AV137" s="4"/>
      <c r="AW137" s="4" cm="1">
        <f t="array" ref="AW137">IF(FALSE,"True," &amp; IF(_xlfn.XLOOKUP("Migrate_Insecure",'Scoring_Config'!$A:$A,'Scoring_Config'!$D:$D,"Yes")="Yes",_xlfn.XLOOKUP("Migrate_Insecure",'Scoring_Config'!$A:$A,'Scoring_Config'!$C:$C,15),0),"False,0")</f>
        <v>0</v>
      </c>
      <c r="AX137" s="4"/>
      <c r="AY137" s="4" cm="1">
        <f t="array" ref="AY137">IF(FALSE,"True," &amp; IF(_xlfn.XLOOKUP("Migrate_Other_Ports",'Scoring_Config'!$A:$A,'Scoring_Config'!$D:$D,"Yes")="Yes",_xlfn.XLOOKUP("Migrate_Other_Ports",'Scoring_Config'!$A:$A,'Scoring_Config'!$C:$C,5),0),"False,0")</f>
        <v>0</v>
      </c>
      <c r="AZ137" s="4" cm="1">
        <f t="array" ref="AZ137">IF(LEFT(AU137,4)="True",0,(IF(LEFT(AC137,4)="True",IF(_xlfn.XLOOKUP("Src_IsAny",'Scoring_Config'!$A:$A,'Scoring_Config'!$D:$D,"Yes")="Yes",_xlfn.XLOOKUP("Src_IsAny",'Scoring_Config'!$A:$A,'Scoring_Config'!$C:$C,25),0),0)+IF(LEFT(AD137,4)="True",IF(_xlfn.XLOOKUP("Src_CIDR_Le_16",'Scoring_Config'!$A:$A,'Scoring_Config'!$D:$D,"Yes")="Yes",_xlfn.XLOOKUP("Src_CIDR_Le_16",'Scoring_Config'!$A:$A,'Scoring_Config'!$C:$C,25),0),0)+IF(LEFT(AE137,4)="True",IF(_xlfn.XLOOKUP("Src_CIDR_17_22",'Scoring_Config'!$A:$A,'Scoring_Config'!$D:$D,"Yes")="Yes",_xlfn.XLOOKUP("Src_CIDR_17_22",'Scoring_Config'!$A:$A,'Scoring_Config'!$C:$C,15),0),0)+IF(LEFT(AF137,4)="True",IF(_xlfn.XLOOKUP("Dst_IsAny",'Scoring_Config'!$A:$A,'Scoring_Config'!$D:$D,"Yes")="Yes",_xlfn.XLOOKUP("Dst_IsAny",'Scoring_Config'!$A:$A,'Scoring_Config'!$C:$C,25),0),0)+IF(LEFT(AG137,4)="True",IF(_xlfn.XLOOKUP("Dst_CIDR_Le_16",'Scoring_Config'!$A:$A,'Scoring_Config'!$D:$D,"Yes")="Yes",_xlfn.XLOOKUP("Dst_CIDR_Le_16",'Scoring_Config'!$A:$A,'Scoring_Config'!$C:$C,25),0),0)+IF(LEFT(AH137,4)="True",IF(_xlfn.XLOOKUP("Dst_CIDR_17_22",'Scoring_Config'!$A:$A,'Scoring_Config'!$D:$D,"Yes")="Yes",_xlfn.XLOOKUP("Dst_CIDR_17_22",'Scoring_Config'!$A:$A,'Scoring_Config'!$C:$C,15),0),0)+IF(LEFT(AI137,4)="True",IF(_xlfn.XLOOKUP("SrcZone_IsAny",'Scoring_Config'!$A:$A,'Scoring_Config'!$D:$D,"Yes")="Yes",_xlfn.XLOOKUP("SrcZone_IsAny",'Scoring_Config'!$A:$A,'Scoring_Config'!$C:$C,5),0),0)+IF(LEFT(AJ137,4)="True",IF(_xlfn.XLOOKUP("DstZone_IsAny",'Scoring_Config'!$A:$A,'Scoring_Config'!$D:$D,"Yes")="Yes",_xlfn.XLOOKUP("DstZone_IsAny",'Scoring_Config'!$A:$A,'Scoring_Config'!$C:$C,5),0),0)+IF(LEFT(AK137,4)="True",IF(_xlfn.XLOOKUP("Service_Any_OR_RangeGt1000",'Scoring_Config'!$A:$A,'Scoring_Config'!$D:$D,"Yes")="Yes",_xlfn.XLOOKUP("Service_Any_OR_RangeGt1000",'Scoring_Config'!$A:$A,'Scoring_Config'!$C:$C,25),0),0)+IF(LEFT(AL137,4)="True",IF(_xlfn.XLOOKUP("App_Any_OR_RangeGt1000",'Scoring_Config'!$A:$A,'Scoring_Config'!$D:$D,"Yes")="Yes",_xlfn.XLOOKUP("App_Any_OR_RangeGt1000",'Scoring_Config'!$A:$A,'Scoring_Config'!$C:$C,25),0),0)+IF(LEFT(AM137,4)="True",IF(_xlfn.XLOOKUP("Service_Insecure_Match",'Scoring_Config'!$A:$A,'Scoring_Config'!$D:$D,"Yes")="Yes",_xlfn.XLOOKUP("Service_Insecure_Match",'Scoring_Config'!$A:$A,'Scoring_Config'!$C:$C,20),0),0)+IF(LEFT(AN137,4)="True",IF(_xlfn.XLOOKUP("Risky_Inbound",'Scoring_Config'!$A:$A,'Scoring_Config'!$D:$D,"Yes")="Yes",_xlfn.XLOOKUP("Risky_Inbound",'Scoring_Config'!$A:$A,'Scoring_Config'!$C:$C,20),0),0)+IF(LEFT(AO137,4)="True",IF(_xlfn.XLOOKUP("Risky_Outbound",'Scoring_Config'!$A:$A,'Scoring_Config'!$D:$D,"Yes")="Yes",_xlfn.XLOOKUP("Risky_Outbound",'Scoring_Config'!$A:$A,'Scoring_Config'!$C:$C,10),0),0)+IF(LEFT(AW137,4)="True",IF(_xlfn.XLOOKUP("Migrate_Insecure",'Scoring_Config'!$A:$A,'Scoring_Config'!$D:$D,"Yes")="Yes",_xlfn.XLOOKUP("Migrate_Insecure",'Scoring_Config'!$A:$A,'Scoring_Config'!$C:$C,15),0),0)+IF(LEFT(AY137,4)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137,FIND(",",AP137)+1,100)),0)+IF(LEFT(AQ137,4)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137,FIND(",",AR137)+1,100)),0)+IF(_xlfn.XLOOKUP("Profile_Scoring",'Scoring_Config'!$A:$A,'Scoring_Config'!$D:$D,"Yes")="Yes",VALUE(MID(AS137,FIND(",",AS137)+1,100)),0)+IF(_xlfn.XLOOKUP("Options_Scoring",'Scoring_Config'!$A:$A,'Scoring_Config'!$D:$D,"Yes")="Yes",VALUE(MID(AT137,FIND(",",AT137)+1,100)),0)))</f>
        <v>0</v>
      </c>
    </row>
    <row r="138" spans="1:52">
      <c r="A138" s="3" t="s">
        <v>53</v>
      </c>
      <c r="B138" s="3" t="s">
        <v>161</v>
      </c>
      <c r="C138" s="3" t="s">
        <v>330</v>
      </c>
      <c r="D138" s="3"/>
      <c r="E138" s="3" t="s">
        <v>359</v>
      </c>
      <c r="F138" s="3" t="s">
        <v>361</v>
      </c>
      <c r="G138" s="3" t="s">
        <v>365</v>
      </c>
      <c r="H138" s="3" t="s">
        <v>365</v>
      </c>
      <c r="I138" s="3" t="s">
        <v>624</v>
      </c>
      <c r="J138" s="3" t="s">
        <v>364</v>
      </c>
      <c r="K138" s="3" t="s">
        <v>440</v>
      </c>
      <c r="L138" s="3" t="s">
        <v>576</v>
      </c>
      <c r="M138" s="3" t="s">
        <v>770</v>
      </c>
      <c r="N138" s="3" t="s">
        <v>770</v>
      </c>
      <c r="O138" s="4" t="s">
        <v>806</v>
      </c>
      <c r="P138" s="3" t="s">
        <v>867</v>
      </c>
      <c r="Q138" s="3" t="s">
        <v>905</v>
      </c>
      <c r="R138" s="3" t="s">
        <v>910</v>
      </c>
      <c r="S138" s="3" t="s">
        <v>912</v>
      </c>
      <c r="T138" s="3" t="s">
        <v>919</v>
      </c>
      <c r="U138" s="3" t="s">
        <v>1157</v>
      </c>
      <c r="V138" s="3" t="s">
        <v>789</v>
      </c>
      <c r="W138" s="3" t="s">
        <v>954</v>
      </c>
      <c r="X138" s="3" t="s">
        <v>1742</v>
      </c>
      <c r="Y138" s="3" t="s">
        <v>2211</v>
      </c>
      <c r="Z138" s="3"/>
      <c r="AA138" s="3"/>
      <c r="AB138" s="3"/>
      <c r="AC138" s="5" cm="1">
        <f t="array" ref="AC138">IF(TRUE,"True," &amp; IF(_xlfn.XLOOKUP("Src_IsAny",'Scoring_Config'!$A:$A,'Scoring_Config'!$D:$D,"Yes")="Yes",_xlfn.XLOOKUP("Src_IsAny",'Scoring_Config'!$A:$A,'Scoring_Config'!$C:$C,25),0),"False,0")</f>
        <v>0</v>
      </c>
      <c r="AD138" s="4" cm="1">
        <f t="array" ref="AD138">IF(FALSE,"True," &amp; IF(_xlfn.XLOOKUP("Src_CIDR_Le_16",'Scoring_Config'!$A:$A,'Scoring_Config'!$D:$D,"Yes")="Yes",_xlfn.XLOOKUP("Src_CIDR_Le_16",'Scoring_Config'!$A:$A,'Scoring_Config'!$C:$C,25),0),"False,0")</f>
        <v>0</v>
      </c>
      <c r="AE138" s="4" cm="1">
        <f t="array" ref="AE138">IF(FALSE,"True," &amp; IF(_xlfn.XLOOKUP("Src_CIDR_17_22",'Scoring_Config'!$A:$A,'Scoring_Config'!$D:$D,"Yes")="Yes",_xlfn.XLOOKUP("Src_CIDR_17_22",'Scoring_Config'!$A:$A,'Scoring_Config'!$C:$C,15),0),"False,0")</f>
        <v>0</v>
      </c>
      <c r="AF138" s="4" cm="1">
        <f t="array" ref="AF138">IF(FALSE,"True," &amp; IF(_xlfn.XLOOKUP("Dst_IsAny",'Scoring_Config'!$A:$A,'Scoring_Config'!$D:$D,"Yes")="Yes",_xlfn.XLOOKUP("Dst_IsAny",'Scoring_Config'!$A:$A,'Scoring_Config'!$C:$C,25),0),"False,0")</f>
        <v>0</v>
      </c>
      <c r="AG138" s="4" cm="1">
        <f t="array" ref="AG138">IF(FALSE,"True," &amp; IF(_xlfn.XLOOKUP("Dst_CIDR_Le_16",'Scoring_Config'!$A:$A,'Scoring_Config'!$D:$D,"Yes")="Yes",_xlfn.XLOOKUP("Dst_CIDR_Le_16",'Scoring_Config'!$A:$A,'Scoring_Config'!$C:$C,25),0),"False,0")</f>
        <v>0</v>
      </c>
      <c r="AH138" s="4" cm="1">
        <f t="array" ref="AH138">IF(FALSE,"True," &amp; IF(_xlfn.XLOOKUP("Dst_CIDR_17_22",'Scoring_Config'!$A:$A,'Scoring_Config'!$D:$D,"Yes")="Yes",_xlfn.XLOOKUP("Dst_CIDR_17_22",'Scoring_Config'!$A:$A,'Scoring_Config'!$C:$C,15),0),"False,0")</f>
        <v>0</v>
      </c>
      <c r="AI138" s="4" cm="1">
        <f t="array" ref="AI138">IF(FALSE,"True," &amp; IF(_xlfn.XLOOKUP("SrcZone_IsAny",'Scoring_Config'!$A:$A,'Scoring_Config'!$D:$D,"Yes")="Yes",_xlfn.XLOOKUP("SrcZone_IsAny",'Scoring_Config'!$A:$A,'Scoring_Config'!$C:$C,5),0),"False,0")</f>
        <v>0</v>
      </c>
      <c r="AJ138" s="4" cm="1">
        <f t="array" ref="AJ138">IF(FALSE,"True," &amp; IF(_xlfn.XLOOKUP("DstZone_IsAny",'Scoring_Config'!$A:$A,'Scoring_Config'!$D:$D,"Yes")="Yes",_xlfn.XLOOKUP("DstZone_IsAny",'Scoring_Config'!$A:$A,'Scoring_Config'!$C:$C,5),0),"False,0")</f>
        <v>0</v>
      </c>
      <c r="AK138" s="4" cm="1">
        <f t="array" ref="AK13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8" s="4" cm="1">
        <f t="array" ref="AL138">IF(FALSE,"True," &amp; IF(_xlfn.XLOOKUP("App_Any_OR_RangeGt1000",'Scoring_Config'!$A:$A,'Scoring_Config'!$D:$D,"Yes")="Yes",_xlfn.XLOOKUP("App_Any_OR_RangeGt1000",'Scoring_Config'!$A:$A,'Scoring_Config'!$C:$C,25),0),"False,0")</f>
        <v>0</v>
      </c>
      <c r="AM138" s="5" cm="1">
        <f t="array" ref="AM138">IF(TRUE,"True," &amp; IF(_xlfn.XLOOKUP("Service_Insecure_Match",'Scoring_Config'!$A:$A,'Scoring_Config'!$D:$D,"Yes")="Yes",_xlfn.XLOOKUP("Service_Insecure_Match",'Scoring_Config'!$A:$A,'Scoring_Config'!$C:$C,20),0),"False,0")</f>
        <v>0</v>
      </c>
      <c r="AN138" s="4" cm="1">
        <f t="array" ref="AN138">IF(FALSE,"True," &amp; IF(_xlfn.XLOOKUP("Risky_Inbound",'Scoring_Config'!$A:$A,'Scoring_Config'!$D:$D,"Yes")="Yes",_xlfn.XLOOKUP("Risky_Inbound",'Scoring_Config'!$A:$A,'Scoring_Config'!$C:$C,20),0),"False,0")</f>
        <v>0</v>
      </c>
      <c r="AO138" s="4" cm="1">
        <f t="array" ref="AO138">IF(FALSE,"True," &amp; IF(_xlfn.XLOOKUP("Risky_Outbound",'Scoring_Config'!$A:$A,'Scoring_Config'!$D:$D,"Yes")="Yes",_xlfn.XLOOKUP("Risky_Outbound",'Scoring_Config'!$A:$A,'Scoring_Config'!$C:$C,10),0),"False,0")</f>
        <v>0</v>
      </c>
      <c r="AP138" s="5" t="s">
        <v>2595</v>
      </c>
      <c r="AQ138" s="5" cm="1">
        <f t="array" ref="AQ13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8" s="5" t="s">
        <v>2598</v>
      </c>
      <c r="AS138" s="4" t="s">
        <v>2592</v>
      </c>
      <c r="AT138" s="4" t="s">
        <v>2592</v>
      </c>
      <c r="AU138" s="4" cm="1">
        <f t="array" ref="AU138">IF(FALSE,"True," &amp; IF(_xlfn.XLOOKUP("Action_IsDenyOrDrop",'Scoring_Config'!$A:$A,'Scoring_Config'!$D:$D,"Yes")="Yes",_xlfn.XLOOKUP("Action_IsDenyOrDrop",'Scoring_Config'!$A:$A,'Scoring_Config'!$C:$C,0),0),"False,0")</f>
        <v>0</v>
      </c>
      <c r="AV138" s="4"/>
      <c r="AW138" s="4" cm="1">
        <f t="array" ref="AW138">IF(FALSE,"True," &amp; IF(_xlfn.XLOOKUP("Migrate_Insecure",'Scoring_Config'!$A:$A,'Scoring_Config'!$D:$D,"Yes")="Yes",_xlfn.XLOOKUP("Migrate_Insecure",'Scoring_Config'!$A:$A,'Scoring_Config'!$C:$C,15),0),"False,0")</f>
        <v>0</v>
      </c>
      <c r="AX138" s="4"/>
      <c r="AY138" s="4" cm="1">
        <f t="array" ref="AY138">IF(FALSE,"True," &amp; IF(_xlfn.XLOOKUP("Migrate_Other_Ports",'Scoring_Config'!$A:$A,'Scoring_Config'!$D:$D,"Yes")="Yes",_xlfn.XLOOKUP("Migrate_Other_Ports",'Scoring_Config'!$A:$A,'Scoring_Config'!$C:$C,5),0),"False,0")</f>
        <v>0</v>
      </c>
      <c r="AZ138" s="4" cm="1">
        <f t="array" ref="AZ138">IF(LEFT(AU138,4)="True",0,(IF(LEFT(AC138,4)="True",IF(_xlfn.XLOOKUP("Src_IsAny",'Scoring_Config'!$A:$A,'Scoring_Config'!$D:$D,"Yes")="Yes",_xlfn.XLOOKUP("Src_IsAny",'Scoring_Config'!$A:$A,'Scoring_Config'!$C:$C,25),0),0)+IF(LEFT(AD138,4)="True",IF(_xlfn.XLOOKUP("Src_CIDR_Le_16",'Scoring_Config'!$A:$A,'Scoring_Config'!$D:$D,"Yes")="Yes",_xlfn.XLOOKUP("Src_CIDR_Le_16",'Scoring_Config'!$A:$A,'Scoring_Config'!$C:$C,25),0),0)+IF(LEFT(AE138,4)="True",IF(_xlfn.XLOOKUP("Src_CIDR_17_22",'Scoring_Config'!$A:$A,'Scoring_Config'!$D:$D,"Yes")="Yes",_xlfn.XLOOKUP("Src_CIDR_17_22",'Scoring_Config'!$A:$A,'Scoring_Config'!$C:$C,15),0),0)+IF(LEFT(AF138,4)="True",IF(_xlfn.XLOOKUP("Dst_IsAny",'Scoring_Config'!$A:$A,'Scoring_Config'!$D:$D,"Yes")="Yes",_xlfn.XLOOKUP("Dst_IsAny",'Scoring_Config'!$A:$A,'Scoring_Config'!$C:$C,25),0),0)+IF(LEFT(AG138,4)="True",IF(_xlfn.XLOOKUP("Dst_CIDR_Le_16",'Scoring_Config'!$A:$A,'Scoring_Config'!$D:$D,"Yes")="Yes",_xlfn.XLOOKUP("Dst_CIDR_Le_16",'Scoring_Config'!$A:$A,'Scoring_Config'!$C:$C,25),0),0)+IF(LEFT(AH138,4)="True",IF(_xlfn.XLOOKUP("Dst_CIDR_17_22",'Scoring_Config'!$A:$A,'Scoring_Config'!$D:$D,"Yes")="Yes",_xlfn.XLOOKUP("Dst_CIDR_17_22",'Scoring_Config'!$A:$A,'Scoring_Config'!$C:$C,15),0),0)+IF(LEFT(AI138,4)="True",IF(_xlfn.XLOOKUP("SrcZone_IsAny",'Scoring_Config'!$A:$A,'Scoring_Config'!$D:$D,"Yes")="Yes",_xlfn.XLOOKUP("SrcZone_IsAny",'Scoring_Config'!$A:$A,'Scoring_Config'!$C:$C,5),0),0)+IF(LEFT(AJ138,4)="True",IF(_xlfn.XLOOKUP("DstZone_IsAny",'Scoring_Config'!$A:$A,'Scoring_Config'!$D:$D,"Yes")="Yes",_xlfn.XLOOKUP("DstZone_IsAny",'Scoring_Config'!$A:$A,'Scoring_Config'!$C:$C,5),0),0)+IF(LEFT(AK138,4)="True",IF(_xlfn.XLOOKUP("Service_Any_OR_RangeGt1000",'Scoring_Config'!$A:$A,'Scoring_Config'!$D:$D,"Yes")="Yes",_xlfn.XLOOKUP("Service_Any_OR_RangeGt1000",'Scoring_Config'!$A:$A,'Scoring_Config'!$C:$C,25),0),0)+IF(LEFT(AL138,4)="True",IF(_xlfn.XLOOKUP("App_Any_OR_RangeGt1000",'Scoring_Config'!$A:$A,'Scoring_Config'!$D:$D,"Yes")="Yes",_xlfn.XLOOKUP("App_Any_OR_RangeGt1000",'Scoring_Config'!$A:$A,'Scoring_Config'!$C:$C,25),0),0)+IF(LEFT(AM138,4)="True",IF(_xlfn.XLOOKUP("Service_Insecure_Match",'Scoring_Config'!$A:$A,'Scoring_Config'!$D:$D,"Yes")="Yes",_xlfn.XLOOKUP("Service_Insecure_Match",'Scoring_Config'!$A:$A,'Scoring_Config'!$C:$C,20),0),0)+IF(LEFT(AN138,4)="True",IF(_xlfn.XLOOKUP("Risky_Inbound",'Scoring_Config'!$A:$A,'Scoring_Config'!$D:$D,"Yes")="Yes",_xlfn.XLOOKUP("Risky_Inbound",'Scoring_Config'!$A:$A,'Scoring_Config'!$C:$C,20),0),0)+IF(LEFT(AO138,4)="True",IF(_xlfn.XLOOKUP("Risky_Outbound",'Scoring_Config'!$A:$A,'Scoring_Config'!$D:$D,"Yes")="Yes",_xlfn.XLOOKUP("Risky_Outbound",'Scoring_Config'!$A:$A,'Scoring_Config'!$C:$C,10),0),0)+IF(LEFT(AW138,4)="True",IF(_xlfn.XLOOKUP("Migrate_Insecure",'Scoring_Config'!$A:$A,'Scoring_Config'!$D:$D,"Yes")="Yes",_xlfn.XLOOKUP("Migrate_Insecure",'Scoring_Config'!$A:$A,'Scoring_Config'!$C:$C,15),0),0)+IF(LEFT(AY138,4)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138,FIND(",",AP138)+1,100)),0)+IF(LEFT(AQ138,4)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138,FIND(",",AR138)+1,100)),0)+IF(_xlfn.XLOOKUP("Profile_Scoring",'Scoring_Config'!$A:$A,'Scoring_Config'!$D:$D,"Yes")="Yes",VALUE(MID(AS138,FIND(",",AS138)+1,100)),0)+IF(_xlfn.XLOOKUP("Options_Scoring",'Scoring_Config'!$A:$A,'Scoring_Config'!$D:$D,"Yes")="Yes",VALUE(MID(AT138,FIND(",",AT138)+1,100)),0)))</f>
        <v>0</v>
      </c>
    </row>
    <row r="139" spans="1:52">
      <c r="A139" s="3" t="s">
        <v>53</v>
      </c>
      <c r="B139" s="3" t="s">
        <v>162</v>
      </c>
      <c r="C139" s="3" t="s">
        <v>330</v>
      </c>
      <c r="D139" s="3"/>
      <c r="E139" s="3" t="s">
        <v>359</v>
      </c>
      <c r="F139" s="3" t="s">
        <v>361</v>
      </c>
      <c r="G139" s="3" t="s">
        <v>365</v>
      </c>
      <c r="H139" s="3" t="s">
        <v>365</v>
      </c>
      <c r="I139" s="3" t="s">
        <v>622</v>
      </c>
      <c r="J139" s="3" t="s">
        <v>364</v>
      </c>
      <c r="K139" s="3" t="s">
        <v>365</v>
      </c>
      <c r="L139" s="3" t="s">
        <v>365</v>
      </c>
      <c r="M139" s="3" t="s">
        <v>365</v>
      </c>
      <c r="N139" s="3" t="s">
        <v>365</v>
      </c>
      <c r="O139" s="4" t="s">
        <v>817</v>
      </c>
      <c r="P139" s="3" t="s">
        <v>878</v>
      </c>
      <c r="Q139" s="3" t="s">
        <v>905</v>
      </c>
      <c r="R139" s="3" t="s">
        <v>907</v>
      </c>
      <c r="S139" s="3" t="s">
        <v>913</v>
      </c>
      <c r="T139" s="3" t="s">
        <v>1009</v>
      </c>
      <c r="U139" s="3" t="s">
        <v>1157</v>
      </c>
      <c r="V139" s="3" t="s">
        <v>789</v>
      </c>
      <c r="W139" s="3" t="s">
        <v>1479</v>
      </c>
      <c r="X139" s="3" t="s">
        <v>1743</v>
      </c>
      <c r="Y139" s="3" t="s">
        <v>2212</v>
      </c>
      <c r="Z139" s="3"/>
      <c r="AA139" s="3"/>
      <c r="AB139" s="3"/>
      <c r="AC139" s="5" cm="1">
        <f t="array" ref="AC139">IF(TRUE,"True," &amp; IF(_xlfn.XLOOKUP("Src_IsAny",'Scoring_Config'!$A:$A,'Scoring_Config'!$D:$D,"Yes")="Yes",_xlfn.XLOOKUP("Src_IsAny",'Scoring_Config'!$A:$A,'Scoring_Config'!$C:$C,25),0),"False,0")</f>
        <v>0</v>
      </c>
      <c r="AD139" s="4" cm="1">
        <f t="array" ref="AD139">IF(FALSE,"True," &amp; IF(_xlfn.XLOOKUP("Src_CIDR_Le_16",'Scoring_Config'!$A:$A,'Scoring_Config'!$D:$D,"Yes")="Yes",_xlfn.XLOOKUP("Src_CIDR_Le_16",'Scoring_Config'!$A:$A,'Scoring_Config'!$C:$C,25),0),"False,0")</f>
        <v>0</v>
      </c>
      <c r="AE139" s="4" cm="1">
        <f t="array" ref="AE139">IF(FALSE,"True," &amp; IF(_xlfn.XLOOKUP("Src_CIDR_17_22",'Scoring_Config'!$A:$A,'Scoring_Config'!$D:$D,"Yes")="Yes",_xlfn.XLOOKUP("Src_CIDR_17_22",'Scoring_Config'!$A:$A,'Scoring_Config'!$C:$C,15),0),"False,0")</f>
        <v>0</v>
      </c>
      <c r="AF139" s="5" cm="1">
        <f t="array" ref="AF139">IF(TRUE,"True," &amp; IF(_xlfn.XLOOKUP("Dst_IsAny",'Scoring_Config'!$A:$A,'Scoring_Config'!$D:$D,"Yes")="Yes",_xlfn.XLOOKUP("Dst_IsAny",'Scoring_Config'!$A:$A,'Scoring_Config'!$C:$C,25),0),"False,0")</f>
        <v>0</v>
      </c>
      <c r="AG139" s="4" cm="1">
        <f t="array" ref="AG139">IF(FALSE,"True," &amp; IF(_xlfn.XLOOKUP("Dst_CIDR_Le_16",'Scoring_Config'!$A:$A,'Scoring_Config'!$D:$D,"Yes")="Yes",_xlfn.XLOOKUP("Dst_CIDR_Le_16",'Scoring_Config'!$A:$A,'Scoring_Config'!$C:$C,25),0),"False,0")</f>
        <v>0</v>
      </c>
      <c r="AH139" s="4" cm="1">
        <f t="array" ref="AH139">IF(FALSE,"True," &amp; IF(_xlfn.XLOOKUP("Dst_CIDR_17_22",'Scoring_Config'!$A:$A,'Scoring_Config'!$D:$D,"Yes")="Yes",_xlfn.XLOOKUP("Dst_CIDR_17_22",'Scoring_Config'!$A:$A,'Scoring_Config'!$C:$C,15),0),"False,0")</f>
        <v>0</v>
      </c>
      <c r="AI139" s="4" cm="1">
        <f t="array" ref="AI139">IF(FALSE,"True," &amp; IF(_xlfn.XLOOKUP("SrcZone_IsAny",'Scoring_Config'!$A:$A,'Scoring_Config'!$D:$D,"Yes")="Yes",_xlfn.XLOOKUP("SrcZone_IsAny",'Scoring_Config'!$A:$A,'Scoring_Config'!$C:$C,5),0),"False,0")</f>
        <v>0</v>
      </c>
      <c r="AJ139" s="4" cm="1">
        <f t="array" ref="AJ139">IF(FALSE,"True," &amp; IF(_xlfn.XLOOKUP("DstZone_IsAny",'Scoring_Config'!$A:$A,'Scoring_Config'!$D:$D,"Yes")="Yes",_xlfn.XLOOKUP("DstZone_IsAny",'Scoring_Config'!$A:$A,'Scoring_Config'!$C:$C,5),0),"False,0")</f>
        <v>0</v>
      </c>
      <c r="AK139" s="4" cm="1">
        <f t="array" ref="AK13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39" s="5" cm="1">
        <f t="array" ref="AL139">IF(TRUE,"True," &amp; IF(_xlfn.XLOOKUP("App_Any_OR_RangeGt1000",'Scoring_Config'!$A:$A,'Scoring_Config'!$D:$D,"Yes")="Yes",_xlfn.XLOOKUP("App_Any_OR_RangeGt1000",'Scoring_Config'!$A:$A,'Scoring_Config'!$C:$C,25),0),"False,0")</f>
        <v>0</v>
      </c>
      <c r="AM139" s="5" cm="1">
        <f t="array" ref="AM139">IF(TRUE,"True," &amp; IF(_xlfn.XLOOKUP("Service_Insecure_Match",'Scoring_Config'!$A:$A,'Scoring_Config'!$D:$D,"Yes")="Yes",_xlfn.XLOOKUP("Service_Insecure_Match",'Scoring_Config'!$A:$A,'Scoring_Config'!$C:$C,20),0),"False,0")</f>
        <v>0</v>
      </c>
      <c r="AN139" s="4" cm="1">
        <f t="array" ref="AN139">IF(FALSE,"True," &amp; IF(_xlfn.XLOOKUP("Risky_Inbound",'Scoring_Config'!$A:$A,'Scoring_Config'!$D:$D,"Yes")="Yes",_xlfn.XLOOKUP("Risky_Inbound",'Scoring_Config'!$A:$A,'Scoring_Config'!$C:$C,20),0),"False,0")</f>
        <v>0</v>
      </c>
      <c r="AO139" s="4" cm="1">
        <f t="array" ref="AO139">IF(FALSE,"True," &amp; IF(_xlfn.XLOOKUP("Risky_Outbound",'Scoring_Config'!$A:$A,'Scoring_Config'!$D:$D,"Yes")="Yes",_xlfn.XLOOKUP("Risky_Outbound",'Scoring_Config'!$A:$A,'Scoring_Config'!$C:$C,10),0),"False,0")</f>
        <v>0</v>
      </c>
      <c r="AP139" s="5" t="s">
        <v>2595</v>
      </c>
      <c r="AQ139" s="5" cm="1">
        <f t="array" ref="AQ13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39" s="5" t="s">
        <v>2598</v>
      </c>
      <c r="AS139" s="5" t="s">
        <v>2595</v>
      </c>
      <c r="AT139" s="4" t="s">
        <v>2592</v>
      </c>
      <c r="AU139" s="4" cm="1">
        <f t="array" ref="AU139">IF(FALSE,"True," &amp; IF(_xlfn.XLOOKUP("Action_IsDenyOrDrop",'Scoring_Config'!$A:$A,'Scoring_Config'!$D:$D,"Yes")="Yes",_xlfn.XLOOKUP("Action_IsDenyOrDrop",'Scoring_Config'!$A:$A,'Scoring_Config'!$C:$C,0),0),"False,0")</f>
        <v>0</v>
      </c>
      <c r="AV139" s="4"/>
      <c r="AW139" s="4" cm="1">
        <f t="array" ref="AW139">IF(FALSE,"True," &amp; IF(_xlfn.XLOOKUP("Migrate_Insecure",'Scoring_Config'!$A:$A,'Scoring_Config'!$D:$D,"Yes")="Yes",_xlfn.XLOOKUP("Migrate_Insecure",'Scoring_Config'!$A:$A,'Scoring_Config'!$C:$C,15),0),"False,0")</f>
        <v>0</v>
      </c>
      <c r="AX139" s="4"/>
      <c r="AY139" s="4" cm="1">
        <f t="array" ref="AY139">IF(FALSE,"True," &amp; IF(_xlfn.XLOOKUP("Migrate_Other_Ports",'Scoring_Config'!$A:$A,'Scoring_Config'!$D:$D,"Yes")="Yes",_xlfn.XLOOKUP("Migrate_Other_Ports",'Scoring_Config'!$A:$A,'Scoring_Config'!$C:$C,5),0),"False,0")</f>
        <v>0</v>
      </c>
      <c r="AZ139" s="4" cm="1">
        <f t="array" ref="AZ139">IF(LEFT(AU139,4)="True",0,(IF(LEFT(AC139,4)="True",IF(_xlfn.XLOOKUP("Src_IsAny",'Scoring_Config'!$A:$A,'Scoring_Config'!$D:$D,"Yes")="Yes",_xlfn.XLOOKUP("Src_IsAny",'Scoring_Config'!$A:$A,'Scoring_Config'!$C:$C,25),0),0)+IF(LEFT(AD139,4)="True",IF(_xlfn.XLOOKUP("Src_CIDR_Le_16",'Scoring_Config'!$A:$A,'Scoring_Config'!$D:$D,"Yes")="Yes",_xlfn.XLOOKUP("Src_CIDR_Le_16",'Scoring_Config'!$A:$A,'Scoring_Config'!$C:$C,25),0),0)+IF(LEFT(AE139,4)="True",IF(_xlfn.XLOOKUP("Src_CIDR_17_22",'Scoring_Config'!$A:$A,'Scoring_Config'!$D:$D,"Yes")="Yes",_xlfn.XLOOKUP("Src_CIDR_17_22",'Scoring_Config'!$A:$A,'Scoring_Config'!$C:$C,15),0),0)+IF(LEFT(AF139,4)="True",IF(_xlfn.XLOOKUP("Dst_IsAny",'Scoring_Config'!$A:$A,'Scoring_Config'!$D:$D,"Yes")="Yes",_xlfn.XLOOKUP("Dst_IsAny",'Scoring_Config'!$A:$A,'Scoring_Config'!$C:$C,25),0),0)+IF(LEFT(AG139,4)="True",IF(_xlfn.XLOOKUP("Dst_CIDR_Le_16",'Scoring_Config'!$A:$A,'Scoring_Config'!$D:$D,"Yes")="Yes",_xlfn.XLOOKUP("Dst_CIDR_Le_16",'Scoring_Config'!$A:$A,'Scoring_Config'!$C:$C,25),0),0)+IF(LEFT(AH139,4)="True",IF(_xlfn.XLOOKUP("Dst_CIDR_17_22",'Scoring_Config'!$A:$A,'Scoring_Config'!$D:$D,"Yes")="Yes",_xlfn.XLOOKUP("Dst_CIDR_17_22",'Scoring_Config'!$A:$A,'Scoring_Config'!$C:$C,15),0),0)+IF(LEFT(AI139,4)="True",IF(_xlfn.XLOOKUP("SrcZone_IsAny",'Scoring_Config'!$A:$A,'Scoring_Config'!$D:$D,"Yes")="Yes",_xlfn.XLOOKUP("SrcZone_IsAny",'Scoring_Config'!$A:$A,'Scoring_Config'!$C:$C,5),0),0)+IF(LEFT(AJ139,4)="True",IF(_xlfn.XLOOKUP("DstZone_IsAny",'Scoring_Config'!$A:$A,'Scoring_Config'!$D:$D,"Yes")="Yes",_xlfn.XLOOKUP("DstZone_IsAny",'Scoring_Config'!$A:$A,'Scoring_Config'!$C:$C,5),0),0)+IF(LEFT(AK139,4)="True",IF(_xlfn.XLOOKUP("Service_Any_OR_RangeGt1000",'Scoring_Config'!$A:$A,'Scoring_Config'!$D:$D,"Yes")="Yes",_xlfn.XLOOKUP("Service_Any_OR_RangeGt1000",'Scoring_Config'!$A:$A,'Scoring_Config'!$C:$C,25),0),0)+IF(LEFT(AL139,4)="True",IF(_xlfn.XLOOKUP("App_Any_OR_RangeGt1000",'Scoring_Config'!$A:$A,'Scoring_Config'!$D:$D,"Yes")="Yes",_xlfn.XLOOKUP("App_Any_OR_RangeGt1000",'Scoring_Config'!$A:$A,'Scoring_Config'!$C:$C,25),0),0)+IF(LEFT(AM139,4)="True",IF(_xlfn.XLOOKUP("Service_Insecure_Match",'Scoring_Config'!$A:$A,'Scoring_Config'!$D:$D,"Yes")="Yes",_xlfn.XLOOKUP("Service_Insecure_Match",'Scoring_Config'!$A:$A,'Scoring_Config'!$C:$C,20),0),0)+IF(LEFT(AN139,4)="True",IF(_xlfn.XLOOKUP("Risky_Inbound",'Scoring_Config'!$A:$A,'Scoring_Config'!$D:$D,"Yes")="Yes",_xlfn.XLOOKUP("Risky_Inbound",'Scoring_Config'!$A:$A,'Scoring_Config'!$C:$C,20),0),0)+IF(LEFT(AO139,4)="True",IF(_xlfn.XLOOKUP("Risky_Outbound",'Scoring_Config'!$A:$A,'Scoring_Config'!$D:$D,"Yes")="Yes",_xlfn.XLOOKUP("Risky_Outbound",'Scoring_Config'!$A:$A,'Scoring_Config'!$C:$C,10),0),0)+IF(LEFT(AW139,4)="True",IF(_xlfn.XLOOKUP("Migrate_Insecure",'Scoring_Config'!$A:$A,'Scoring_Config'!$D:$D,"Yes")="Yes",_xlfn.XLOOKUP("Migrate_Insecure",'Scoring_Config'!$A:$A,'Scoring_Config'!$C:$C,15),0),0)+IF(LEFT(AY139,4)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139,FIND(",",AP139)+1,100)),0)+IF(LEFT(AQ139,4)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139,FIND(",",AR139)+1,100)),0)+IF(_xlfn.XLOOKUP("Profile_Scoring",'Scoring_Config'!$A:$A,'Scoring_Config'!$D:$D,"Yes")="Yes",VALUE(MID(AS139,FIND(",",AS139)+1,100)),0)+IF(_xlfn.XLOOKUP("Options_Scoring",'Scoring_Config'!$A:$A,'Scoring_Config'!$D:$D,"Yes")="Yes",VALUE(MID(AT139,FIND(",",AT139)+1,100)),0)))</f>
        <v>0</v>
      </c>
    </row>
    <row r="140" spans="1:52">
      <c r="A140" s="3" t="s">
        <v>53</v>
      </c>
      <c r="B140" s="3" t="s">
        <v>143</v>
      </c>
      <c r="C140" s="3" t="s">
        <v>330</v>
      </c>
      <c r="D140" s="3"/>
      <c r="E140" s="3" t="s">
        <v>359</v>
      </c>
      <c r="F140" s="3" t="s">
        <v>364</v>
      </c>
      <c r="G140" s="3" t="s">
        <v>409</v>
      </c>
      <c r="H140" s="3" t="s">
        <v>563</v>
      </c>
      <c r="I140" s="3" t="s">
        <v>625</v>
      </c>
      <c r="J140" s="3" t="s">
        <v>360</v>
      </c>
      <c r="K140" s="3" t="s">
        <v>365</v>
      </c>
      <c r="L140" s="3" t="s">
        <v>365</v>
      </c>
      <c r="M140" s="3" t="s">
        <v>365</v>
      </c>
      <c r="N140" s="3" t="s">
        <v>365</v>
      </c>
      <c r="O140" s="4" t="s">
        <v>818</v>
      </c>
      <c r="P140" s="3" t="s">
        <v>879</v>
      </c>
      <c r="Q140" s="3" t="s">
        <v>905</v>
      </c>
      <c r="R140" s="3" t="s">
        <v>907</v>
      </c>
      <c r="S140" s="3" t="s">
        <v>913</v>
      </c>
      <c r="T140" s="3" t="s">
        <v>919</v>
      </c>
      <c r="U140" s="3" t="s">
        <v>1214</v>
      </c>
      <c r="V140" s="3" t="s">
        <v>1387</v>
      </c>
      <c r="W140" s="3" t="s">
        <v>1460</v>
      </c>
      <c r="X140" s="3" t="s">
        <v>1744</v>
      </c>
      <c r="Y140" s="3" t="s">
        <v>2213</v>
      </c>
      <c r="Z140" s="3"/>
      <c r="AA140" s="3"/>
      <c r="AB140" s="3"/>
      <c r="AC140" s="4" cm="1">
        <f t="array" ref="AC140">IF(FALSE,"True," &amp; IF(_xlfn.XLOOKUP("Src_IsAny",'Scoring_Config'!$A:$A,'Scoring_Config'!$D:$D,"Yes")="Yes",_xlfn.XLOOKUP("Src_IsAny",'Scoring_Config'!$A:$A,'Scoring_Config'!$C:$C,25),0),"False,0")</f>
        <v>0</v>
      </c>
      <c r="AD140" s="5" cm="1">
        <f t="array" ref="AD140">IF(TRUE,"True," &amp; IF(_xlfn.XLOOKUP("Src_CIDR_Le_16",'Scoring_Config'!$A:$A,'Scoring_Config'!$D:$D,"Yes")="Yes",_xlfn.XLOOKUP("Src_CIDR_Le_16",'Scoring_Config'!$A:$A,'Scoring_Config'!$C:$C,25),0),"False,0")</f>
        <v>0</v>
      </c>
      <c r="AE140" s="4" cm="1">
        <f t="array" ref="AE140">IF(FALSE,"True," &amp; IF(_xlfn.XLOOKUP("Src_CIDR_17_22",'Scoring_Config'!$A:$A,'Scoring_Config'!$D:$D,"Yes")="Yes",_xlfn.XLOOKUP("Src_CIDR_17_22",'Scoring_Config'!$A:$A,'Scoring_Config'!$C:$C,15),0),"False,0")</f>
        <v>0</v>
      </c>
      <c r="AF140" s="5" cm="1">
        <f t="array" ref="AF140">IF(TRUE,"True," &amp; IF(_xlfn.XLOOKUP("Dst_IsAny",'Scoring_Config'!$A:$A,'Scoring_Config'!$D:$D,"Yes")="Yes",_xlfn.XLOOKUP("Dst_IsAny",'Scoring_Config'!$A:$A,'Scoring_Config'!$C:$C,25),0),"False,0")</f>
        <v>0</v>
      </c>
      <c r="AG140" s="4" cm="1">
        <f t="array" ref="AG140">IF(FALSE,"True," &amp; IF(_xlfn.XLOOKUP("Dst_CIDR_Le_16",'Scoring_Config'!$A:$A,'Scoring_Config'!$D:$D,"Yes")="Yes",_xlfn.XLOOKUP("Dst_CIDR_Le_16",'Scoring_Config'!$A:$A,'Scoring_Config'!$C:$C,25),0),"False,0")</f>
        <v>0</v>
      </c>
      <c r="AH140" s="4" cm="1">
        <f t="array" ref="AH140">IF(FALSE,"True," &amp; IF(_xlfn.XLOOKUP("Dst_CIDR_17_22",'Scoring_Config'!$A:$A,'Scoring_Config'!$D:$D,"Yes")="Yes",_xlfn.XLOOKUP("Dst_CIDR_17_22",'Scoring_Config'!$A:$A,'Scoring_Config'!$C:$C,15),0),"False,0")</f>
        <v>0</v>
      </c>
      <c r="AI140" s="4" cm="1">
        <f t="array" ref="AI140">IF(FALSE,"True," &amp; IF(_xlfn.XLOOKUP("SrcZone_IsAny",'Scoring_Config'!$A:$A,'Scoring_Config'!$D:$D,"Yes")="Yes",_xlfn.XLOOKUP("SrcZone_IsAny",'Scoring_Config'!$A:$A,'Scoring_Config'!$C:$C,5),0),"False,0")</f>
        <v>0</v>
      </c>
      <c r="AJ140" s="4" cm="1">
        <f t="array" ref="AJ140">IF(FALSE,"True," &amp; IF(_xlfn.XLOOKUP("DstZone_IsAny",'Scoring_Config'!$A:$A,'Scoring_Config'!$D:$D,"Yes")="Yes",_xlfn.XLOOKUP("DstZone_IsAny",'Scoring_Config'!$A:$A,'Scoring_Config'!$C:$C,5),0),"False,0")</f>
        <v>0</v>
      </c>
      <c r="AK140" s="5" cm="1">
        <f t="array" ref="AK140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40" s="5" cm="1">
        <f t="array" ref="AL140">IF(TRUE,"True," &amp; IF(_xlfn.XLOOKUP("App_Any_OR_RangeGt1000",'Scoring_Config'!$A:$A,'Scoring_Config'!$D:$D,"Yes")="Yes",_xlfn.XLOOKUP("App_Any_OR_RangeGt1000",'Scoring_Config'!$A:$A,'Scoring_Config'!$C:$C,25),0),"False,0")</f>
        <v>0</v>
      </c>
      <c r="AM140" s="5" cm="1">
        <f t="array" ref="AM140">IF(TRUE,"True," &amp; IF(_xlfn.XLOOKUP("Service_Insecure_Match",'Scoring_Config'!$A:$A,'Scoring_Config'!$D:$D,"Yes")="Yes",_xlfn.XLOOKUP("Service_Insecure_Match",'Scoring_Config'!$A:$A,'Scoring_Config'!$C:$C,20),0),"False,0")</f>
        <v>0</v>
      </c>
      <c r="AN140" s="4" cm="1">
        <f t="array" ref="AN140">IF(FALSE,"True," &amp; IF(_xlfn.XLOOKUP("Risky_Inbound",'Scoring_Config'!$A:$A,'Scoring_Config'!$D:$D,"Yes")="Yes",_xlfn.XLOOKUP("Risky_Inbound",'Scoring_Config'!$A:$A,'Scoring_Config'!$C:$C,20),0),"False,0")</f>
        <v>0</v>
      </c>
      <c r="AO140" s="4" cm="1">
        <f t="array" ref="AO140">IF(FALSE,"True," &amp; IF(_xlfn.XLOOKUP("Risky_Outbound",'Scoring_Config'!$A:$A,'Scoring_Config'!$D:$D,"Yes")="Yes",_xlfn.XLOOKUP("Risky_Outbound",'Scoring_Config'!$A:$A,'Scoring_Config'!$C:$C,10),0),"False,0")</f>
        <v>0</v>
      </c>
      <c r="AP140" s="5" t="s">
        <v>2595</v>
      </c>
      <c r="AQ140" s="4" cm="1">
        <f t="array" ref="AQ14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0" s="5" t="s">
        <v>2598</v>
      </c>
      <c r="AS140" s="5" t="s">
        <v>2595</v>
      </c>
      <c r="AT140" s="4" t="s">
        <v>2592</v>
      </c>
      <c r="AU140" s="4" cm="1">
        <f t="array" ref="AU140">IF(FALSE,"True," &amp; IF(_xlfn.XLOOKUP("Action_IsDenyOrDrop",'Scoring_Config'!$A:$A,'Scoring_Config'!$D:$D,"Yes")="Yes",_xlfn.XLOOKUP("Action_IsDenyOrDrop",'Scoring_Config'!$A:$A,'Scoring_Config'!$C:$C,0),0),"False,0")</f>
        <v>0</v>
      </c>
      <c r="AV140" s="4"/>
      <c r="AW140" s="4" cm="1">
        <f t="array" ref="AW140">IF(FALSE,"True," &amp; IF(_xlfn.XLOOKUP("Migrate_Insecure",'Scoring_Config'!$A:$A,'Scoring_Config'!$D:$D,"Yes")="Yes",_xlfn.XLOOKUP("Migrate_Insecure",'Scoring_Config'!$A:$A,'Scoring_Config'!$C:$C,15),0),"False,0")</f>
        <v>0</v>
      </c>
      <c r="AX140" s="4"/>
      <c r="AY140" s="4" cm="1">
        <f t="array" ref="AY140">IF(FALSE,"True," &amp; IF(_xlfn.XLOOKUP("Migrate_Other_Ports",'Scoring_Config'!$A:$A,'Scoring_Config'!$D:$D,"Yes")="Yes",_xlfn.XLOOKUP("Migrate_Other_Ports",'Scoring_Config'!$A:$A,'Scoring_Config'!$C:$C,5),0),"False,0")</f>
        <v>0</v>
      </c>
      <c r="AZ140" s="4" cm="1">
        <f t="array" ref="AZ140">IF(LEFT(AU140,4)="True",0,(IF(LEFT(AC140,4)="True",IF(_xlfn.XLOOKUP("Src_IsAny",'Scoring_Config'!$A:$A,'Scoring_Config'!$D:$D,"Yes")="Yes",_xlfn.XLOOKUP("Src_IsAny",'Scoring_Config'!$A:$A,'Scoring_Config'!$C:$C,25),0),0)+IF(LEFT(AD140,4)="True",IF(_xlfn.XLOOKUP("Src_CIDR_Le_16",'Scoring_Config'!$A:$A,'Scoring_Config'!$D:$D,"Yes")="Yes",_xlfn.XLOOKUP("Src_CIDR_Le_16",'Scoring_Config'!$A:$A,'Scoring_Config'!$C:$C,25),0),0)+IF(LEFT(AE140,4)="True",IF(_xlfn.XLOOKUP("Src_CIDR_17_22",'Scoring_Config'!$A:$A,'Scoring_Config'!$D:$D,"Yes")="Yes",_xlfn.XLOOKUP("Src_CIDR_17_22",'Scoring_Config'!$A:$A,'Scoring_Config'!$C:$C,15),0),0)+IF(LEFT(AF140,4)="True",IF(_xlfn.XLOOKUP("Dst_IsAny",'Scoring_Config'!$A:$A,'Scoring_Config'!$D:$D,"Yes")="Yes",_xlfn.XLOOKUP("Dst_IsAny",'Scoring_Config'!$A:$A,'Scoring_Config'!$C:$C,25),0),0)+IF(LEFT(AG140,4)="True",IF(_xlfn.XLOOKUP("Dst_CIDR_Le_16",'Scoring_Config'!$A:$A,'Scoring_Config'!$D:$D,"Yes")="Yes",_xlfn.XLOOKUP("Dst_CIDR_Le_16",'Scoring_Config'!$A:$A,'Scoring_Config'!$C:$C,25),0),0)+IF(LEFT(AH140,4)="True",IF(_xlfn.XLOOKUP("Dst_CIDR_17_22",'Scoring_Config'!$A:$A,'Scoring_Config'!$D:$D,"Yes")="Yes",_xlfn.XLOOKUP("Dst_CIDR_17_22",'Scoring_Config'!$A:$A,'Scoring_Config'!$C:$C,15),0),0)+IF(LEFT(AI140,4)="True",IF(_xlfn.XLOOKUP("SrcZone_IsAny",'Scoring_Config'!$A:$A,'Scoring_Config'!$D:$D,"Yes")="Yes",_xlfn.XLOOKUP("SrcZone_IsAny",'Scoring_Config'!$A:$A,'Scoring_Config'!$C:$C,5),0),0)+IF(LEFT(AJ140,4)="True",IF(_xlfn.XLOOKUP("DstZone_IsAny",'Scoring_Config'!$A:$A,'Scoring_Config'!$D:$D,"Yes")="Yes",_xlfn.XLOOKUP("DstZone_IsAny",'Scoring_Config'!$A:$A,'Scoring_Config'!$C:$C,5),0),0)+IF(LEFT(AK140,4)="True",IF(_xlfn.XLOOKUP("Service_Any_OR_RangeGt1000",'Scoring_Config'!$A:$A,'Scoring_Config'!$D:$D,"Yes")="Yes",_xlfn.XLOOKUP("Service_Any_OR_RangeGt1000",'Scoring_Config'!$A:$A,'Scoring_Config'!$C:$C,25),0),0)+IF(LEFT(AL140,4)="True",IF(_xlfn.XLOOKUP("App_Any_OR_RangeGt1000",'Scoring_Config'!$A:$A,'Scoring_Config'!$D:$D,"Yes")="Yes",_xlfn.XLOOKUP("App_Any_OR_RangeGt1000",'Scoring_Config'!$A:$A,'Scoring_Config'!$C:$C,25),0),0)+IF(LEFT(AM140,4)="True",IF(_xlfn.XLOOKUP("Service_Insecure_Match",'Scoring_Config'!$A:$A,'Scoring_Config'!$D:$D,"Yes")="Yes",_xlfn.XLOOKUP("Service_Insecure_Match",'Scoring_Config'!$A:$A,'Scoring_Config'!$C:$C,20),0),0)+IF(LEFT(AN140,4)="True",IF(_xlfn.XLOOKUP("Risky_Inbound",'Scoring_Config'!$A:$A,'Scoring_Config'!$D:$D,"Yes")="Yes",_xlfn.XLOOKUP("Risky_Inbound",'Scoring_Config'!$A:$A,'Scoring_Config'!$C:$C,20),0),0)+IF(LEFT(AO140,4)="True",IF(_xlfn.XLOOKUP("Risky_Outbound",'Scoring_Config'!$A:$A,'Scoring_Config'!$D:$D,"Yes")="Yes",_xlfn.XLOOKUP("Risky_Outbound",'Scoring_Config'!$A:$A,'Scoring_Config'!$C:$C,10),0),0)+IF(LEFT(AW140,4)="True",IF(_xlfn.XLOOKUP("Migrate_Insecure",'Scoring_Config'!$A:$A,'Scoring_Config'!$D:$D,"Yes")="Yes",_xlfn.XLOOKUP("Migrate_Insecure",'Scoring_Config'!$A:$A,'Scoring_Config'!$C:$C,15),0),0)+IF(LEFT(AY140,4)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140,FIND(",",AP140)+1,100)),0)+IF(LEFT(AQ140,4)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140,FIND(",",AR140)+1,100)),0)+IF(_xlfn.XLOOKUP("Profile_Scoring",'Scoring_Config'!$A:$A,'Scoring_Config'!$D:$D,"Yes")="Yes",VALUE(MID(AS140,FIND(",",AS140)+1,100)),0)+IF(_xlfn.XLOOKUP("Options_Scoring",'Scoring_Config'!$A:$A,'Scoring_Config'!$D:$D,"Yes")="Yes",VALUE(MID(AT140,FIND(",",AT140)+1,100)),0)))</f>
        <v>0</v>
      </c>
    </row>
    <row r="141" spans="1:52">
      <c r="A141" s="3" t="s">
        <v>53</v>
      </c>
      <c r="B141" s="3" t="s">
        <v>159</v>
      </c>
      <c r="C141" s="3" t="s">
        <v>330</v>
      </c>
      <c r="D141" s="3"/>
      <c r="E141" s="3" t="s">
        <v>359</v>
      </c>
      <c r="F141" s="3" t="s">
        <v>361</v>
      </c>
      <c r="G141" s="3" t="s">
        <v>365</v>
      </c>
      <c r="H141" s="3" t="s">
        <v>365</v>
      </c>
      <c r="I141" s="3" t="s">
        <v>624</v>
      </c>
      <c r="J141" s="3" t="s">
        <v>364</v>
      </c>
      <c r="K141" s="3" t="s">
        <v>667</v>
      </c>
      <c r="L141" s="3" t="s">
        <v>751</v>
      </c>
      <c r="M141" s="3" t="s">
        <v>772</v>
      </c>
      <c r="N141" s="3" t="s">
        <v>794</v>
      </c>
      <c r="O141" s="4" t="s">
        <v>811</v>
      </c>
      <c r="P141" s="3" t="s">
        <v>872</v>
      </c>
      <c r="Q141" s="3" t="s">
        <v>905</v>
      </c>
      <c r="R141" s="3" t="s">
        <v>908</v>
      </c>
      <c r="S141" s="3" t="s">
        <v>914</v>
      </c>
      <c r="T141" s="3" t="s">
        <v>919</v>
      </c>
      <c r="U141" s="3" t="s">
        <v>1147</v>
      </c>
      <c r="V141" s="3" t="s">
        <v>1386</v>
      </c>
      <c r="W141" s="3" t="s">
        <v>1480</v>
      </c>
      <c r="X141" s="3" t="s">
        <v>1745</v>
      </c>
      <c r="Y141" s="3" t="s">
        <v>2214</v>
      </c>
      <c r="Z141" s="3"/>
      <c r="AA141" s="3"/>
      <c r="AB141" s="3"/>
      <c r="AC141" s="5" cm="1">
        <f t="array" ref="AC141">IF(TRUE,"True," &amp; IF(_xlfn.XLOOKUP("Src_IsAny",'Scoring_Config'!$A:$A,'Scoring_Config'!$D:$D,"Yes")="Yes",_xlfn.XLOOKUP("Src_IsAny",'Scoring_Config'!$A:$A,'Scoring_Config'!$C:$C,25),0),"False,0")</f>
        <v>0</v>
      </c>
      <c r="AD141" s="4" cm="1">
        <f t="array" ref="AD141">IF(FALSE,"True," &amp; IF(_xlfn.XLOOKUP("Src_CIDR_Le_16",'Scoring_Config'!$A:$A,'Scoring_Config'!$D:$D,"Yes")="Yes",_xlfn.XLOOKUP("Src_CIDR_Le_16",'Scoring_Config'!$A:$A,'Scoring_Config'!$C:$C,25),0),"False,0")</f>
        <v>0</v>
      </c>
      <c r="AE141" s="4" cm="1">
        <f t="array" ref="AE141">IF(FALSE,"True," &amp; IF(_xlfn.XLOOKUP("Src_CIDR_17_22",'Scoring_Config'!$A:$A,'Scoring_Config'!$D:$D,"Yes")="Yes",_xlfn.XLOOKUP("Src_CIDR_17_22",'Scoring_Config'!$A:$A,'Scoring_Config'!$C:$C,15),0),"False,0")</f>
        <v>0</v>
      </c>
      <c r="AF141" s="4" cm="1">
        <f t="array" ref="AF141">IF(FALSE,"True," &amp; IF(_xlfn.XLOOKUP("Dst_IsAny",'Scoring_Config'!$A:$A,'Scoring_Config'!$D:$D,"Yes")="Yes",_xlfn.XLOOKUP("Dst_IsAny",'Scoring_Config'!$A:$A,'Scoring_Config'!$C:$C,25),0),"False,0")</f>
        <v>0</v>
      </c>
      <c r="AG141" s="4" cm="1">
        <f t="array" ref="AG141">IF(FALSE,"True," &amp; IF(_xlfn.XLOOKUP("Dst_CIDR_Le_16",'Scoring_Config'!$A:$A,'Scoring_Config'!$D:$D,"Yes")="Yes",_xlfn.XLOOKUP("Dst_CIDR_Le_16",'Scoring_Config'!$A:$A,'Scoring_Config'!$C:$C,25),0),"False,0")</f>
        <v>0</v>
      </c>
      <c r="AH141" s="4" cm="1">
        <f t="array" ref="AH141">IF(FALSE,"True," &amp; IF(_xlfn.XLOOKUP("Dst_CIDR_17_22",'Scoring_Config'!$A:$A,'Scoring_Config'!$D:$D,"Yes")="Yes",_xlfn.XLOOKUP("Dst_CIDR_17_22",'Scoring_Config'!$A:$A,'Scoring_Config'!$C:$C,15),0),"False,0")</f>
        <v>0</v>
      </c>
      <c r="AI141" s="4" cm="1">
        <f t="array" ref="AI141">IF(FALSE,"True," &amp; IF(_xlfn.XLOOKUP("SrcZone_IsAny",'Scoring_Config'!$A:$A,'Scoring_Config'!$D:$D,"Yes")="Yes",_xlfn.XLOOKUP("SrcZone_IsAny",'Scoring_Config'!$A:$A,'Scoring_Config'!$C:$C,5),0),"False,0")</f>
        <v>0</v>
      </c>
      <c r="AJ141" s="4" cm="1">
        <f t="array" ref="AJ141">IF(FALSE,"True," &amp; IF(_xlfn.XLOOKUP("DstZone_IsAny",'Scoring_Config'!$A:$A,'Scoring_Config'!$D:$D,"Yes")="Yes",_xlfn.XLOOKUP("DstZone_IsAny",'Scoring_Config'!$A:$A,'Scoring_Config'!$C:$C,5),0),"False,0")</f>
        <v>0</v>
      </c>
      <c r="AK141" s="4" cm="1">
        <f t="array" ref="AK14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1" s="4" cm="1">
        <f t="array" ref="AL141">IF(FALSE,"True," &amp; IF(_xlfn.XLOOKUP("App_Any_OR_RangeGt1000",'Scoring_Config'!$A:$A,'Scoring_Config'!$D:$D,"Yes")="Yes",_xlfn.XLOOKUP("App_Any_OR_RangeGt1000",'Scoring_Config'!$A:$A,'Scoring_Config'!$C:$C,25),0),"False,0")</f>
        <v>0</v>
      </c>
      <c r="AM141" s="5" cm="1">
        <f t="array" ref="AM141">IF(TRUE,"True," &amp; IF(_xlfn.XLOOKUP("Service_Insecure_Match",'Scoring_Config'!$A:$A,'Scoring_Config'!$D:$D,"Yes")="Yes",_xlfn.XLOOKUP("Service_Insecure_Match",'Scoring_Config'!$A:$A,'Scoring_Config'!$C:$C,20),0),"False,0")</f>
        <v>0</v>
      </c>
      <c r="AN141" s="4" cm="1">
        <f t="array" ref="AN141">IF(FALSE,"True," &amp; IF(_xlfn.XLOOKUP("Risky_Inbound",'Scoring_Config'!$A:$A,'Scoring_Config'!$D:$D,"Yes")="Yes",_xlfn.XLOOKUP("Risky_Inbound",'Scoring_Config'!$A:$A,'Scoring_Config'!$C:$C,20),0),"False,0")</f>
        <v>0</v>
      </c>
      <c r="AO141" s="4" cm="1">
        <f t="array" ref="AO141">IF(FALSE,"True," &amp; IF(_xlfn.XLOOKUP("Risky_Outbound",'Scoring_Config'!$A:$A,'Scoring_Config'!$D:$D,"Yes")="Yes",_xlfn.XLOOKUP("Risky_Outbound",'Scoring_Config'!$A:$A,'Scoring_Config'!$C:$C,10),0),"False,0")</f>
        <v>0</v>
      </c>
      <c r="AP141" s="5" t="s">
        <v>2595</v>
      </c>
      <c r="AQ141" s="5" cm="1">
        <f t="array" ref="AQ14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1" s="5" t="s">
        <v>2598</v>
      </c>
      <c r="AS141" s="4" t="s">
        <v>2592</v>
      </c>
      <c r="AT141" s="4" t="s">
        <v>2592</v>
      </c>
      <c r="AU141" s="4" cm="1">
        <f t="array" ref="AU141">IF(FALSE,"True," &amp; IF(_xlfn.XLOOKUP("Action_IsDenyOrDrop",'Scoring_Config'!$A:$A,'Scoring_Config'!$D:$D,"Yes")="Yes",_xlfn.XLOOKUP("Action_IsDenyOrDrop",'Scoring_Config'!$A:$A,'Scoring_Config'!$C:$C,0),0),"False,0")</f>
        <v>0</v>
      </c>
      <c r="AV141" s="4"/>
      <c r="AW141" s="4" cm="1">
        <f t="array" ref="AW141">IF(FALSE,"True," &amp; IF(_xlfn.XLOOKUP("Migrate_Insecure",'Scoring_Config'!$A:$A,'Scoring_Config'!$D:$D,"Yes")="Yes",_xlfn.XLOOKUP("Migrate_Insecure",'Scoring_Config'!$A:$A,'Scoring_Config'!$C:$C,15),0),"False,0")</f>
        <v>0</v>
      </c>
      <c r="AX141" s="4"/>
      <c r="AY141" s="4" cm="1">
        <f t="array" ref="AY141">IF(FALSE,"True," &amp; IF(_xlfn.XLOOKUP("Migrate_Other_Ports",'Scoring_Config'!$A:$A,'Scoring_Config'!$D:$D,"Yes")="Yes",_xlfn.XLOOKUP("Migrate_Other_Ports",'Scoring_Config'!$A:$A,'Scoring_Config'!$C:$C,5),0),"False,0")</f>
        <v>0</v>
      </c>
      <c r="AZ141" s="4" cm="1">
        <f t="array" ref="AZ141">IF(LEFT(AU141,4)="True",0,(IF(LEFT(AC141,4)="True",IF(_xlfn.XLOOKUP("Src_IsAny",'Scoring_Config'!$A:$A,'Scoring_Config'!$D:$D,"Yes")="Yes",_xlfn.XLOOKUP("Src_IsAny",'Scoring_Config'!$A:$A,'Scoring_Config'!$C:$C,25),0),0)+IF(LEFT(AD141,4)="True",IF(_xlfn.XLOOKUP("Src_CIDR_Le_16",'Scoring_Config'!$A:$A,'Scoring_Config'!$D:$D,"Yes")="Yes",_xlfn.XLOOKUP("Src_CIDR_Le_16",'Scoring_Config'!$A:$A,'Scoring_Config'!$C:$C,25),0),0)+IF(LEFT(AE141,4)="True",IF(_xlfn.XLOOKUP("Src_CIDR_17_22",'Scoring_Config'!$A:$A,'Scoring_Config'!$D:$D,"Yes")="Yes",_xlfn.XLOOKUP("Src_CIDR_17_22",'Scoring_Config'!$A:$A,'Scoring_Config'!$C:$C,15),0),0)+IF(LEFT(AF141,4)="True",IF(_xlfn.XLOOKUP("Dst_IsAny",'Scoring_Config'!$A:$A,'Scoring_Config'!$D:$D,"Yes")="Yes",_xlfn.XLOOKUP("Dst_IsAny",'Scoring_Config'!$A:$A,'Scoring_Config'!$C:$C,25),0),0)+IF(LEFT(AG141,4)="True",IF(_xlfn.XLOOKUP("Dst_CIDR_Le_16",'Scoring_Config'!$A:$A,'Scoring_Config'!$D:$D,"Yes")="Yes",_xlfn.XLOOKUP("Dst_CIDR_Le_16",'Scoring_Config'!$A:$A,'Scoring_Config'!$C:$C,25),0),0)+IF(LEFT(AH141,4)="True",IF(_xlfn.XLOOKUP("Dst_CIDR_17_22",'Scoring_Config'!$A:$A,'Scoring_Config'!$D:$D,"Yes")="Yes",_xlfn.XLOOKUP("Dst_CIDR_17_22",'Scoring_Config'!$A:$A,'Scoring_Config'!$C:$C,15),0),0)+IF(LEFT(AI141,4)="True",IF(_xlfn.XLOOKUP("SrcZone_IsAny",'Scoring_Config'!$A:$A,'Scoring_Config'!$D:$D,"Yes")="Yes",_xlfn.XLOOKUP("SrcZone_IsAny",'Scoring_Config'!$A:$A,'Scoring_Config'!$C:$C,5),0),0)+IF(LEFT(AJ141,4)="True",IF(_xlfn.XLOOKUP("DstZone_IsAny",'Scoring_Config'!$A:$A,'Scoring_Config'!$D:$D,"Yes")="Yes",_xlfn.XLOOKUP("DstZone_IsAny",'Scoring_Config'!$A:$A,'Scoring_Config'!$C:$C,5),0),0)+IF(LEFT(AK141,4)="True",IF(_xlfn.XLOOKUP("Service_Any_OR_RangeGt1000",'Scoring_Config'!$A:$A,'Scoring_Config'!$D:$D,"Yes")="Yes",_xlfn.XLOOKUP("Service_Any_OR_RangeGt1000",'Scoring_Config'!$A:$A,'Scoring_Config'!$C:$C,25),0),0)+IF(LEFT(AL141,4)="True",IF(_xlfn.XLOOKUP("App_Any_OR_RangeGt1000",'Scoring_Config'!$A:$A,'Scoring_Config'!$D:$D,"Yes")="Yes",_xlfn.XLOOKUP("App_Any_OR_RangeGt1000",'Scoring_Config'!$A:$A,'Scoring_Config'!$C:$C,25),0),0)+IF(LEFT(AM141,4)="True",IF(_xlfn.XLOOKUP("Service_Insecure_Match",'Scoring_Config'!$A:$A,'Scoring_Config'!$D:$D,"Yes")="Yes",_xlfn.XLOOKUP("Service_Insecure_Match",'Scoring_Config'!$A:$A,'Scoring_Config'!$C:$C,20),0),0)+IF(LEFT(AN141,4)="True",IF(_xlfn.XLOOKUP("Risky_Inbound",'Scoring_Config'!$A:$A,'Scoring_Config'!$D:$D,"Yes")="Yes",_xlfn.XLOOKUP("Risky_Inbound",'Scoring_Config'!$A:$A,'Scoring_Config'!$C:$C,20),0),0)+IF(LEFT(AO141,4)="True",IF(_xlfn.XLOOKUP("Risky_Outbound",'Scoring_Config'!$A:$A,'Scoring_Config'!$D:$D,"Yes")="Yes",_xlfn.XLOOKUP("Risky_Outbound",'Scoring_Config'!$A:$A,'Scoring_Config'!$C:$C,10),0),0)+IF(LEFT(AW141,4)="True",IF(_xlfn.XLOOKUP("Migrate_Insecure",'Scoring_Config'!$A:$A,'Scoring_Config'!$D:$D,"Yes")="Yes",_xlfn.XLOOKUP("Migrate_Insecure",'Scoring_Config'!$A:$A,'Scoring_Config'!$C:$C,15),0),0)+IF(LEFT(AY141,4)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141,FIND(",",AP141)+1,100)),0)+IF(LEFT(AQ141,4)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141,FIND(",",AR141)+1,100)),0)+IF(_xlfn.XLOOKUP("Profile_Scoring",'Scoring_Config'!$A:$A,'Scoring_Config'!$D:$D,"Yes")="Yes",VALUE(MID(AS141,FIND(",",AS141)+1,100)),0)+IF(_xlfn.XLOOKUP("Options_Scoring",'Scoring_Config'!$A:$A,'Scoring_Config'!$D:$D,"Yes")="Yes",VALUE(MID(AT141,FIND(",",AT141)+1,100)),0)))</f>
        <v>0</v>
      </c>
    </row>
    <row r="142" spans="1:52">
      <c r="A142" s="3" t="s">
        <v>53</v>
      </c>
      <c r="B142" s="3" t="s">
        <v>163</v>
      </c>
      <c r="C142" s="3" t="s">
        <v>330</v>
      </c>
      <c r="D142" s="3"/>
      <c r="E142" s="3" t="s">
        <v>359</v>
      </c>
      <c r="F142" s="3" t="s">
        <v>364</v>
      </c>
      <c r="G142" s="3" t="s">
        <v>415</v>
      </c>
      <c r="H142" s="3" t="s">
        <v>568</v>
      </c>
      <c r="I142" s="3" t="s">
        <v>625</v>
      </c>
      <c r="J142" s="3" t="s">
        <v>363</v>
      </c>
      <c r="K142" s="3" t="s">
        <v>365</v>
      </c>
      <c r="L142" s="3" t="s">
        <v>365</v>
      </c>
      <c r="M142" s="3" t="s">
        <v>773</v>
      </c>
      <c r="N142" s="3" t="s">
        <v>773</v>
      </c>
      <c r="O142" s="4" t="s">
        <v>825</v>
      </c>
      <c r="P142" s="3" t="s">
        <v>886</v>
      </c>
      <c r="Q142" s="3" t="s">
        <v>905</v>
      </c>
      <c r="R142" s="3" t="s">
        <v>910</v>
      </c>
      <c r="S142" s="3" t="s">
        <v>914</v>
      </c>
      <c r="T142" s="3" t="s">
        <v>1010</v>
      </c>
      <c r="U142" s="3" t="s">
        <v>1215</v>
      </c>
      <c r="V142" s="3" t="s">
        <v>1388</v>
      </c>
      <c r="W142" s="3" t="s">
        <v>1481</v>
      </c>
      <c r="X142" s="3" t="s">
        <v>1746</v>
      </c>
      <c r="Y142" s="3" t="s">
        <v>2215</v>
      </c>
      <c r="Z142" s="3"/>
      <c r="AA142" s="3"/>
      <c r="AB142" s="3"/>
      <c r="AC142" s="4" cm="1">
        <f t="array" ref="AC142">IF(FALSE,"True," &amp; IF(_xlfn.XLOOKUP("Src_IsAny",'Scoring_Config'!$A:$A,'Scoring_Config'!$D:$D,"Yes")="Yes",_xlfn.XLOOKUP("Src_IsAny",'Scoring_Config'!$A:$A,'Scoring_Config'!$C:$C,25),0),"False,0")</f>
        <v>0</v>
      </c>
      <c r="AD142" s="5" cm="1">
        <f t="array" ref="AD142">IF(TRUE,"True," &amp; IF(_xlfn.XLOOKUP("Src_CIDR_Le_16",'Scoring_Config'!$A:$A,'Scoring_Config'!$D:$D,"Yes")="Yes",_xlfn.XLOOKUP("Src_CIDR_Le_16",'Scoring_Config'!$A:$A,'Scoring_Config'!$C:$C,25),0),"False,0")</f>
        <v>0</v>
      </c>
      <c r="AE142" s="4" cm="1">
        <f t="array" ref="AE142">IF(FALSE,"True," &amp; IF(_xlfn.XLOOKUP("Src_CIDR_17_22",'Scoring_Config'!$A:$A,'Scoring_Config'!$D:$D,"Yes")="Yes",_xlfn.XLOOKUP("Src_CIDR_17_22",'Scoring_Config'!$A:$A,'Scoring_Config'!$C:$C,15),0),"False,0")</f>
        <v>0</v>
      </c>
      <c r="AF142" s="5" cm="1">
        <f t="array" ref="AF142">IF(TRUE,"True," &amp; IF(_xlfn.XLOOKUP("Dst_IsAny",'Scoring_Config'!$A:$A,'Scoring_Config'!$D:$D,"Yes")="Yes",_xlfn.XLOOKUP("Dst_IsAny",'Scoring_Config'!$A:$A,'Scoring_Config'!$C:$C,25),0),"False,0")</f>
        <v>0</v>
      </c>
      <c r="AG142" s="4" cm="1">
        <f t="array" ref="AG142">IF(FALSE,"True," &amp; IF(_xlfn.XLOOKUP("Dst_CIDR_Le_16",'Scoring_Config'!$A:$A,'Scoring_Config'!$D:$D,"Yes")="Yes",_xlfn.XLOOKUP("Dst_CIDR_Le_16",'Scoring_Config'!$A:$A,'Scoring_Config'!$C:$C,25),0),"False,0")</f>
        <v>0</v>
      </c>
      <c r="AH142" s="4" cm="1">
        <f t="array" ref="AH142">IF(FALSE,"True," &amp; IF(_xlfn.XLOOKUP("Dst_CIDR_17_22",'Scoring_Config'!$A:$A,'Scoring_Config'!$D:$D,"Yes")="Yes",_xlfn.XLOOKUP("Dst_CIDR_17_22",'Scoring_Config'!$A:$A,'Scoring_Config'!$C:$C,15),0),"False,0")</f>
        <v>0</v>
      </c>
      <c r="AI142" s="4" cm="1">
        <f t="array" ref="AI142">IF(FALSE,"True," &amp; IF(_xlfn.XLOOKUP("SrcZone_IsAny",'Scoring_Config'!$A:$A,'Scoring_Config'!$D:$D,"Yes")="Yes",_xlfn.XLOOKUP("SrcZone_IsAny",'Scoring_Config'!$A:$A,'Scoring_Config'!$C:$C,5),0),"False,0")</f>
        <v>0</v>
      </c>
      <c r="AJ142" s="4" cm="1">
        <f t="array" ref="AJ142">IF(FALSE,"True," &amp; IF(_xlfn.XLOOKUP("DstZone_IsAny",'Scoring_Config'!$A:$A,'Scoring_Config'!$D:$D,"Yes")="Yes",_xlfn.XLOOKUP("DstZone_IsAny",'Scoring_Config'!$A:$A,'Scoring_Config'!$C:$C,5),0),"False,0")</f>
        <v>0</v>
      </c>
      <c r="AK142" s="4" cm="1">
        <f t="array" ref="AK14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2" s="4" cm="1">
        <f t="array" ref="AL142">IF(FALSE,"True," &amp; IF(_xlfn.XLOOKUP("App_Any_OR_RangeGt1000",'Scoring_Config'!$A:$A,'Scoring_Config'!$D:$D,"Yes")="Yes",_xlfn.XLOOKUP("App_Any_OR_RangeGt1000",'Scoring_Config'!$A:$A,'Scoring_Config'!$C:$C,25),0),"False,0")</f>
        <v>0</v>
      </c>
      <c r="AM142" s="5" cm="1">
        <f t="array" ref="AM142">IF(TRUE,"True," &amp; IF(_xlfn.XLOOKUP("Service_Insecure_Match",'Scoring_Config'!$A:$A,'Scoring_Config'!$D:$D,"Yes")="Yes",_xlfn.XLOOKUP("Service_Insecure_Match",'Scoring_Config'!$A:$A,'Scoring_Config'!$C:$C,20),0),"False,0")</f>
        <v>0</v>
      </c>
      <c r="AN142" s="4" cm="1">
        <f t="array" ref="AN142">IF(FALSE,"True," &amp; IF(_xlfn.XLOOKUP("Risky_Inbound",'Scoring_Config'!$A:$A,'Scoring_Config'!$D:$D,"Yes")="Yes",_xlfn.XLOOKUP("Risky_Inbound",'Scoring_Config'!$A:$A,'Scoring_Config'!$C:$C,20),0),"False,0")</f>
        <v>0</v>
      </c>
      <c r="AO142" s="4" cm="1">
        <f t="array" ref="AO142">IF(FALSE,"True," &amp; IF(_xlfn.XLOOKUP("Risky_Outbound",'Scoring_Config'!$A:$A,'Scoring_Config'!$D:$D,"Yes")="Yes",_xlfn.XLOOKUP("Risky_Outbound",'Scoring_Config'!$A:$A,'Scoring_Config'!$C:$C,10),0),"False,0")</f>
        <v>0</v>
      </c>
      <c r="AP142" s="5" t="s">
        <v>2595</v>
      </c>
      <c r="AQ142" s="4" cm="1">
        <f t="array" ref="AQ14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2" s="5" t="s">
        <v>2598</v>
      </c>
      <c r="AS142" s="4" t="s">
        <v>2592</v>
      </c>
      <c r="AT142" s="4" t="s">
        <v>2592</v>
      </c>
      <c r="AU142" s="4" cm="1">
        <f t="array" ref="AU142">IF(FALSE,"True," &amp; IF(_xlfn.XLOOKUP("Action_IsDenyOrDrop",'Scoring_Config'!$A:$A,'Scoring_Config'!$D:$D,"Yes")="Yes",_xlfn.XLOOKUP("Action_IsDenyOrDrop",'Scoring_Config'!$A:$A,'Scoring_Config'!$C:$C,0),0),"False,0")</f>
        <v>0</v>
      </c>
      <c r="AV142" s="4"/>
      <c r="AW142" s="4" cm="1">
        <f t="array" ref="AW142">IF(FALSE,"True," &amp; IF(_xlfn.XLOOKUP("Migrate_Insecure",'Scoring_Config'!$A:$A,'Scoring_Config'!$D:$D,"Yes")="Yes",_xlfn.XLOOKUP("Migrate_Insecure",'Scoring_Config'!$A:$A,'Scoring_Config'!$C:$C,15),0),"False,0")</f>
        <v>0</v>
      </c>
      <c r="AX142" s="4"/>
      <c r="AY142" s="4" cm="1">
        <f t="array" ref="AY142">IF(FALSE,"True," &amp; IF(_xlfn.XLOOKUP("Migrate_Other_Ports",'Scoring_Config'!$A:$A,'Scoring_Config'!$D:$D,"Yes")="Yes",_xlfn.XLOOKUP("Migrate_Other_Ports",'Scoring_Config'!$A:$A,'Scoring_Config'!$C:$C,5),0),"False,0")</f>
        <v>0</v>
      </c>
      <c r="AZ142" s="4" cm="1">
        <f t="array" ref="AZ142">IF(LEFT(AU142,4)="True",0,(IF(LEFT(AC142,4)="True",IF(_xlfn.XLOOKUP("Src_IsAny",'Scoring_Config'!$A:$A,'Scoring_Config'!$D:$D,"Yes")="Yes",_xlfn.XLOOKUP("Src_IsAny",'Scoring_Config'!$A:$A,'Scoring_Config'!$C:$C,25),0),0)+IF(LEFT(AD142,4)="True",IF(_xlfn.XLOOKUP("Src_CIDR_Le_16",'Scoring_Config'!$A:$A,'Scoring_Config'!$D:$D,"Yes")="Yes",_xlfn.XLOOKUP("Src_CIDR_Le_16",'Scoring_Config'!$A:$A,'Scoring_Config'!$C:$C,25),0),0)+IF(LEFT(AE142,4)="True",IF(_xlfn.XLOOKUP("Src_CIDR_17_22",'Scoring_Config'!$A:$A,'Scoring_Config'!$D:$D,"Yes")="Yes",_xlfn.XLOOKUP("Src_CIDR_17_22",'Scoring_Config'!$A:$A,'Scoring_Config'!$C:$C,15),0),0)+IF(LEFT(AF142,4)="True",IF(_xlfn.XLOOKUP("Dst_IsAny",'Scoring_Config'!$A:$A,'Scoring_Config'!$D:$D,"Yes")="Yes",_xlfn.XLOOKUP("Dst_IsAny",'Scoring_Config'!$A:$A,'Scoring_Config'!$C:$C,25),0),0)+IF(LEFT(AG142,4)="True",IF(_xlfn.XLOOKUP("Dst_CIDR_Le_16",'Scoring_Config'!$A:$A,'Scoring_Config'!$D:$D,"Yes")="Yes",_xlfn.XLOOKUP("Dst_CIDR_Le_16",'Scoring_Config'!$A:$A,'Scoring_Config'!$C:$C,25),0),0)+IF(LEFT(AH142,4)="True",IF(_xlfn.XLOOKUP("Dst_CIDR_17_22",'Scoring_Config'!$A:$A,'Scoring_Config'!$D:$D,"Yes")="Yes",_xlfn.XLOOKUP("Dst_CIDR_17_22",'Scoring_Config'!$A:$A,'Scoring_Config'!$C:$C,15),0),0)+IF(LEFT(AI142,4)="True",IF(_xlfn.XLOOKUP("SrcZone_IsAny",'Scoring_Config'!$A:$A,'Scoring_Config'!$D:$D,"Yes")="Yes",_xlfn.XLOOKUP("SrcZone_IsAny",'Scoring_Config'!$A:$A,'Scoring_Config'!$C:$C,5),0),0)+IF(LEFT(AJ142,4)="True",IF(_xlfn.XLOOKUP("DstZone_IsAny",'Scoring_Config'!$A:$A,'Scoring_Config'!$D:$D,"Yes")="Yes",_xlfn.XLOOKUP("DstZone_IsAny",'Scoring_Config'!$A:$A,'Scoring_Config'!$C:$C,5),0),0)+IF(LEFT(AK142,4)="True",IF(_xlfn.XLOOKUP("Service_Any_OR_RangeGt1000",'Scoring_Config'!$A:$A,'Scoring_Config'!$D:$D,"Yes")="Yes",_xlfn.XLOOKUP("Service_Any_OR_RangeGt1000",'Scoring_Config'!$A:$A,'Scoring_Config'!$C:$C,25),0),0)+IF(LEFT(AL142,4)="True",IF(_xlfn.XLOOKUP("App_Any_OR_RangeGt1000",'Scoring_Config'!$A:$A,'Scoring_Config'!$D:$D,"Yes")="Yes",_xlfn.XLOOKUP("App_Any_OR_RangeGt1000",'Scoring_Config'!$A:$A,'Scoring_Config'!$C:$C,25),0),0)+IF(LEFT(AM142,4)="True",IF(_xlfn.XLOOKUP("Service_Insecure_Match",'Scoring_Config'!$A:$A,'Scoring_Config'!$D:$D,"Yes")="Yes",_xlfn.XLOOKUP("Service_Insecure_Match",'Scoring_Config'!$A:$A,'Scoring_Config'!$C:$C,20),0),0)+IF(LEFT(AN142,4)="True",IF(_xlfn.XLOOKUP("Risky_Inbound",'Scoring_Config'!$A:$A,'Scoring_Config'!$D:$D,"Yes")="Yes",_xlfn.XLOOKUP("Risky_Inbound",'Scoring_Config'!$A:$A,'Scoring_Config'!$C:$C,20),0),0)+IF(LEFT(AO142,4)="True",IF(_xlfn.XLOOKUP("Risky_Outbound",'Scoring_Config'!$A:$A,'Scoring_Config'!$D:$D,"Yes")="Yes",_xlfn.XLOOKUP("Risky_Outbound",'Scoring_Config'!$A:$A,'Scoring_Config'!$C:$C,10),0),0)+IF(LEFT(AW142,4)="True",IF(_xlfn.XLOOKUP("Migrate_Insecure",'Scoring_Config'!$A:$A,'Scoring_Config'!$D:$D,"Yes")="Yes",_xlfn.XLOOKUP("Migrate_Insecure",'Scoring_Config'!$A:$A,'Scoring_Config'!$C:$C,15),0),0)+IF(LEFT(AY142,4)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142,FIND(",",AP142)+1,100)),0)+IF(LEFT(AQ142,4)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142,FIND(",",AR142)+1,100)),0)+IF(_xlfn.XLOOKUP("Profile_Scoring",'Scoring_Config'!$A:$A,'Scoring_Config'!$D:$D,"Yes")="Yes",VALUE(MID(AS142,FIND(",",AS142)+1,100)),0)+IF(_xlfn.XLOOKUP("Options_Scoring",'Scoring_Config'!$A:$A,'Scoring_Config'!$D:$D,"Yes")="Yes",VALUE(MID(AT142,FIND(",",AT142)+1,100)),0)))</f>
        <v>0</v>
      </c>
    </row>
    <row r="143" spans="1:52">
      <c r="A143" s="3" t="s">
        <v>53</v>
      </c>
      <c r="B143" s="3" t="s">
        <v>164</v>
      </c>
      <c r="C143" s="3" t="s">
        <v>330</v>
      </c>
      <c r="D143" s="3"/>
      <c r="E143" s="3" t="s">
        <v>359</v>
      </c>
      <c r="F143" s="3" t="s">
        <v>362</v>
      </c>
      <c r="G143" s="3" t="s">
        <v>416</v>
      </c>
      <c r="H143" s="3" t="s">
        <v>416</v>
      </c>
      <c r="I143" s="3" t="s">
        <v>365</v>
      </c>
      <c r="J143" s="3" t="s">
        <v>362</v>
      </c>
      <c r="K143" s="3" t="s">
        <v>668</v>
      </c>
      <c r="L143" s="3" t="s">
        <v>752</v>
      </c>
      <c r="M143" s="3" t="s">
        <v>365</v>
      </c>
      <c r="N143" s="3" t="s">
        <v>365</v>
      </c>
      <c r="O143" s="4" t="s">
        <v>825</v>
      </c>
      <c r="P143" s="3" t="s">
        <v>886</v>
      </c>
      <c r="Q143" s="3" t="s">
        <v>905</v>
      </c>
      <c r="R143" s="3" t="s">
        <v>906</v>
      </c>
      <c r="S143" s="3" t="s">
        <v>916</v>
      </c>
      <c r="T143" s="3" t="s">
        <v>977</v>
      </c>
      <c r="U143" s="3" t="s">
        <v>1216</v>
      </c>
      <c r="V143" s="3" t="s">
        <v>770</v>
      </c>
      <c r="W143" s="3" t="s">
        <v>1435</v>
      </c>
      <c r="X143" s="3" t="s">
        <v>1747</v>
      </c>
      <c r="Y143" s="3" t="s">
        <v>2216</v>
      </c>
      <c r="Z143" s="3"/>
      <c r="AA143" s="3"/>
      <c r="AB143" s="3"/>
      <c r="AC143" s="4" cm="1">
        <f t="array" ref="AC143">IF(FALSE,"True," &amp; IF(_xlfn.XLOOKUP("Src_IsAny",'Scoring_Config'!$A:$A,'Scoring_Config'!$D:$D,"Yes")="Yes",_xlfn.XLOOKUP("Src_IsAny",'Scoring_Config'!$A:$A,'Scoring_Config'!$C:$C,25),0),"False,0")</f>
        <v>0</v>
      </c>
      <c r="AD143" s="4" cm="1">
        <f t="array" ref="AD143">IF(FALSE,"True," &amp; IF(_xlfn.XLOOKUP("Src_CIDR_Le_16",'Scoring_Config'!$A:$A,'Scoring_Config'!$D:$D,"Yes")="Yes",_xlfn.XLOOKUP("Src_CIDR_Le_16",'Scoring_Config'!$A:$A,'Scoring_Config'!$C:$C,25),0),"False,0")</f>
        <v>0</v>
      </c>
      <c r="AE143" s="4" cm="1">
        <f t="array" ref="AE143">IF(FALSE,"True," &amp; IF(_xlfn.XLOOKUP("Src_CIDR_17_22",'Scoring_Config'!$A:$A,'Scoring_Config'!$D:$D,"Yes")="Yes",_xlfn.XLOOKUP("Src_CIDR_17_22",'Scoring_Config'!$A:$A,'Scoring_Config'!$C:$C,15),0),"False,0")</f>
        <v>0</v>
      </c>
      <c r="AF143" s="4" cm="1">
        <f t="array" ref="AF143">IF(FALSE,"True," &amp; IF(_xlfn.XLOOKUP("Dst_IsAny",'Scoring_Config'!$A:$A,'Scoring_Config'!$D:$D,"Yes")="Yes",_xlfn.XLOOKUP("Dst_IsAny",'Scoring_Config'!$A:$A,'Scoring_Config'!$C:$C,25),0),"False,0")</f>
        <v>0</v>
      </c>
      <c r="AG143" s="4" cm="1">
        <f t="array" ref="AG143">IF(FALSE,"True," &amp; IF(_xlfn.XLOOKUP("Dst_CIDR_Le_16",'Scoring_Config'!$A:$A,'Scoring_Config'!$D:$D,"Yes")="Yes",_xlfn.XLOOKUP("Dst_CIDR_Le_16",'Scoring_Config'!$A:$A,'Scoring_Config'!$C:$C,25),0),"False,0")</f>
        <v>0</v>
      </c>
      <c r="AH143" s="4" cm="1">
        <f t="array" ref="AH143">IF(FALSE,"True," &amp; IF(_xlfn.XLOOKUP("Dst_CIDR_17_22",'Scoring_Config'!$A:$A,'Scoring_Config'!$D:$D,"Yes")="Yes",_xlfn.XLOOKUP("Dst_CIDR_17_22",'Scoring_Config'!$A:$A,'Scoring_Config'!$C:$C,15),0),"False,0")</f>
        <v>0</v>
      </c>
      <c r="AI143" s="4" cm="1">
        <f t="array" ref="AI143">IF(FALSE,"True," &amp; IF(_xlfn.XLOOKUP("SrcZone_IsAny",'Scoring_Config'!$A:$A,'Scoring_Config'!$D:$D,"Yes")="Yes",_xlfn.XLOOKUP("SrcZone_IsAny",'Scoring_Config'!$A:$A,'Scoring_Config'!$C:$C,5),0),"False,0")</f>
        <v>0</v>
      </c>
      <c r="AJ143" s="4" cm="1">
        <f t="array" ref="AJ143">IF(FALSE,"True," &amp; IF(_xlfn.XLOOKUP("DstZone_IsAny",'Scoring_Config'!$A:$A,'Scoring_Config'!$D:$D,"Yes")="Yes",_xlfn.XLOOKUP("DstZone_IsAny",'Scoring_Config'!$A:$A,'Scoring_Config'!$C:$C,5),0),"False,0")</f>
        <v>0</v>
      </c>
      <c r="AK143" s="4" cm="1">
        <f t="array" ref="AK14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3" s="5" cm="1">
        <f t="array" ref="AL143">IF(TRUE,"True," &amp; IF(_xlfn.XLOOKUP("App_Any_OR_RangeGt1000",'Scoring_Config'!$A:$A,'Scoring_Config'!$D:$D,"Yes")="Yes",_xlfn.XLOOKUP("App_Any_OR_RangeGt1000",'Scoring_Config'!$A:$A,'Scoring_Config'!$C:$C,25),0),"False,0")</f>
        <v>0</v>
      </c>
      <c r="AM143" s="5" cm="1">
        <f t="array" ref="AM143">IF(TRUE,"True," &amp; IF(_xlfn.XLOOKUP("Service_Insecure_Match",'Scoring_Config'!$A:$A,'Scoring_Config'!$D:$D,"Yes")="Yes",_xlfn.XLOOKUP("Service_Insecure_Match",'Scoring_Config'!$A:$A,'Scoring_Config'!$C:$C,20),0),"False,0")</f>
        <v>0</v>
      </c>
      <c r="AN143" s="4" cm="1">
        <f t="array" ref="AN143">IF(FALSE,"True," &amp; IF(_xlfn.XLOOKUP("Risky_Inbound",'Scoring_Config'!$A:$A,'Scoring_Config'!$D:$D,"Yes")="Yes",_xlfn.XLOOKUP("Risky_Inbound",'Scoring_Config'!$A:$A,'Scoring_Config'!$C:$C,20),0),"False,0")</f>
        <v>0</v>
      </c>
      <c r="AO143" s="4" cm="1">
        <f t="array" ref="AO143">IF(FALSE,"True," &amp; IF(_xlfn.XLOOKUP("Risky_Outbound",'Scoring_Config'!$A:$A,'Scoring_Config'!$D:$D,"Yes")="Yes",_xlfn.XLOOKUP("Risky_Outbound",'Scoring_Config'!$A:$A,'Scoring_Config'!$C:$C,10),0),"False,0")</f>
        <v>0</v>
      </c>
      <c r="AP143" s="5" t="s">
        <v>2595</v>
      </c>
      <c r="AQ143" s="4" cm="1">
        <f t="array" ref="AQ14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3" s="4" t="s">
        <v>2592</v>
      </c>
      <c r="AS143" s="4" t="s">
        <v>2592</v>
      </c>
      <c r="AT143" s="4" t="s">
        <v>2592</v>
      </c>
      <c r="AU143" s="4" cm="1">
        <f t="array" ref="AU143">IF(FALSE,"True," &amp; IF(_xlfn.XLOOKUP("Action_IsDenyOrDrop",'Scoring_Config'!$A:$A,'Scoring_Config'!$D:$D,"Yes")="Yes",_xlfn.XLOOKUP("Action_IsDenyOrDrop",'Scoring_Config'!$A:$A,'Scoring_Config'!$C:$C,0),0),"False,0")</f>
        <v>0</v>
      </c>
      <c r="AV143" s="4"/>
      <c r="AW143" s="4" cm="1">
        <f t="array" ref="AW143">IF(FALSE,"True," &amp; IF(_xlfn.XLOOKUP("Migrate_Insecure",'Scoring_Config'!$A:$A,'Scoring_Config'!$D:$D,"Yes")="Yes",_xlfn.XLOOKUP("Migrate_Insecure",'Scoring_Config'!$A:$A,'Scoring_Config'!$C:$C,15),0),"False,0")</f>
        <v>0</v>
      </c>
      <c r="AX143" s="4"/>
      <c r="AY143" s="4" cm="1">
        <f t="array" ref="AY143">IF(FALSE,"True," &amp; IF(_xlfn.XLOOKUP("Migrate_Other_Ports",'Scoring_Config'!$A:$A,'Scoring_Config'!$D:$D,"Yes")="Yes",_xlfn.XLOOKUP("Migrate_Other_Ports",'Scoring_Config'!$A:$A,'Scoring_Config'!$C:$C,5),0),"False,0")</f>
        <v>0</v>
      </c>
      <c r="AZ143" s="4" cm="1">
        <f t="array" ref="AZ143">IF(LEFT(AU143,4)="True",0,(IF(LEFT(AC143,4)="True",IF(_xlfn.XLOOKUP("Src_IsAny",'Scoring_Config'!$A:$A,'Scoring_Config'!$D:$D,"Yes")="Yes",_xlfn.XLOOKUP("Src_IsAny",'Scoring_Config'!$A:$A,'Scoring_Config'!$C:$C,25),0),0)+IF(LEFT(AD143,4)="True",IF(_xlfn.XLOOKUP("Src_CIDR_Le_16",'Scoring_Config'!$A:$A,'Scoring_Config'!$D:$D,"Yes")="Yes",_xlfn.XLOOKUP("Src_CIDR_Le_16",'Scoring_Config'!$A:$A,'Scoring_Config'!$C:$C,25),0),0)+IF(LEFT(AE143,4)="True",IF(_xlfn.XLOOKUP("Src_CIDR_17_22",'Scoring_Config'!$A:$A,'Scoring_Config'!$D:$D,"Yes")="Yes",_xlfn.XLOOKUP("Src_CIDR_17_22",'Scoring_Config'!$A:$A,'Scoring_Config'!$C:$C,15),0),0)+IF(LEFT(AF143,4)="True",IF(_xlfn.XLOOKUP("Dst_IsAny",'Scoring_Config'!$A:$A,'Scoring_Config'!$D:$D,"Yes")="Yes",_xlfn.XLOOKUP("Dst_IsAny",'Scoring_Config'!$A:$A,'Scoring_Config'!$C:$C,25),0),0)+IF(LEFT(AG143,4)="True",IF(_xlfn.XLOOKUP("Dst_CIDR_Le_16",'Scoring_Config'!$A:$A,'Scoring_Config'!$D:$D,"Yes")="Yes",_xlfn.XLOOKUP("Dst_CIDR_Le_16",'Scoring_Config'!$A:$A,'Scoring_Config'!$C:$C,25),0),0)+IF(LEFT(AH143,4)="True",IF(_xlfn.XLOOKUP("Dst_CIDR_17_22",'Scoring_Config'!$A:$A,'Scoring_Config'!$D:$D,"Yes")="Yes",_xlfn.XLOOKUP("Dst_CIDR_17_22",'Scoring_Config'!$A:$A,'Scoring_Config'!$C:$C,15),0),0)+IF(LEFT(AI143,4)="True",IF(_xlfn.XLOOKUP("SrcZone_IsAny",'Scoring_Config'!$A:$A,'Scoring_Config'!$D:$D,"Yes")="Yes",_xlfn.XLOOKUP("SrcZone_IsAny",'Scoring_Config'!$A:$A,'Scoring_Config'!$C:$C,5),0),0)+IF(LEFT(AJ143,4)="True",IF(_xlfn.XLOOKUP("DstZone_IsAny",'Scoring_Config'!$A:$A,'Scoring_Config'!$D:$D,"Yes")="Yes",_xlfn.XLOOKUP("DstZone_IsAny",'Scoring_Config'!$A:$A,'Scoring_Config'!$C:$C,5),0),0)+IF(LEFT(AK143,4)="True",IF(_xlfn.XLOOKUP("Service_Any_OR_RangeGt1000",'Scoring_Config'!$A:$A,'Scoring_Config'!$D:$D,"Yes")="Yes",_xlfn.XLOOKUP("Service_Any_OR_RangeGt1000",'Scoring_Config'!$A:$A,'Scoring_Config'!$C:$C,25),0),0)+IF(LEFT(AL143,4)="True",IF(_xlfn.XLOOKUP("App_Any_OR_RangeGt1000",'Scoring_Config'!$A:$A,'Scoring_Config'!$D:$D,"Yes")="Yes",_xlfn.XLOOKUP("App_Any_OR_RangeGt1000",'Scoring_Config'!$A:$A,'Scoring_Config'!$C:$C,25),0),0)+IF(LEFT(AM143,4)="True",IF(_xlfn.XLOOKUP("Service_Insecure_Match",'Scoring_Config'!$A:$A,'Scoring_Config'!$D:$D,"Yes")="Yes",_xlfn.XLOOKUP("Service_Insecure_Match",'Scoring_Config'!$A:$A,'Scoring_Config'!$C:$C,20),0),0)+IF(LEFT(AN143,4)="True",IF(_xlfn.XLOOKUP("Risky_Inbound",'Scoring_Config'!$A:$A,'Scoring_Config'!$D:$D,"Yes")="Yes",_xlfn.XLOOKUP("Risky_Inbound",'Scoring_Config'!$A:$A,'Scoring_Config'!$C:$C,20),0),0)+IF(LEFT(AO143,4)="True",IF(_xlfn.XLOOKUP("Risky_Outbound",'Scoring_Config'!$A:$A,'Scoring_Config'!$D:$D,"Yes")="Yes",_xlfn.XLOOKUP("Risky_Outbound",'Scoring_Config'!$A:$A,'Scoring_Config'!$C:$C,10),0),0)+IF(LEFT(AW143,4)="True",IF(_xlfn.XLOOKUP("Migrate_Insecure",'Scoring_Config'!$A:$A,'Scoring_Config'!$D:$D,"Yes")="Yes",_xlfn.XLOOKUP("Migrate_Insecure",'Scoring_Config'!$A:$A,'Scoring_Config'!$C:$C,15),0),0)+IF(LEFT(AY143,4)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143,FIND(",",AP143)+1,100)),0)+IF(LEFT(AQ143,4)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143,FIND(",",AR143)+1,100)),0)+IF(_xlfn.XLOOKUP("Profile_Scoring",'Scoring_Config'!$A:$A,'Scoring_Config'!$D:$D,"Yes")="Yes",VALUE(MID(AS143,FIND(",",AS143)+1,100)),0)+IF(_xlfn.XLOOKUP("Options_Scoring",'Scoring_Config'!$A:$A,'Scoring_Config'!$D:$D,"Yes")="Yes",VALUE(MID(AT143,FIND(",",AT143)+1,100)),0)))</f>
        <v>0</v>
      </c>
    </row>
    <row r="144" spans="1:52">
      <c r="A144" s="3" t="s">
        <v>53</v>
      </c>
      <c r="B144" s="3" t="s">
        <v>90</v>
      </c>
      <c r="C144" s="3" t="s">
        <v>330</v>
      </c>
      <c r="D144" s="3"/>
      <c r="E144" s="3" t="s">
        <v>359</v>
      </c>
      <c r="F144" s="3" t="s">
        <v>364</v>
      </c>
      <c r="G144" s="3" t="s">
        <v>417</v>
      </c>
      <c r="H144" s="3" t="s">
        <v>569</v>
      </c>
      <c r="I144" s="3" t="s">
        <v>624</v>
      </c>
      <c r="J144" s="3" t="s">
        <v>364</v>
      </c>
      <c r="K144" s="3" t="s">
        <v>447</v>
      </c>
      <c r="L144" s="3" t="s">
        <v>578</v>
      </c>
      <c r="M144" s="3" t="s">
        <v>771</v>
      </c>
      <c r="N144" s="3" t="s">
        <v>793</v>
      </c>
      <c r="O144" s="4" t="s">
        <v>825</v>
      </c>
      <c r="P144" s="3" t="s">
        <v>886</v>
      </c>
      <c r="Q144" s="3" t="s">
        <v>905</v>
      </c>
      <c r="R144" s="3" t="s">
        <v>911</v>
      </c>
      <c r="S144" s="3" t="s">
        <v>916</v>
      </c>
      <c r="T144" s="3" t="s">
        <v>1011</v>
      </c>
      <c r="U144" s="3" t="s">
        <v>1217</v>
      </c>
      <c r="V144" s="3" t="s">
        <v>1388</v>
      </c>
      <c r="W144" s="3" t="s">
        <v>1436</v>
      </c>
      <c r="X144" s="3" t="s">
        <v>1748</v>
      </c>
      <c r="Y144" s="3" t="s">
        <v>2217</v>
      </c>
      <c r="Z144" s="3"/>
      <c r="AA144" s="3"/>
      <c r="AB144" s="3"/>
      <c r="AC144" s="4" cm="1">
        <f t="array" ref="AC144">IF(FALSE,"True," &amp; IF(_xlfn.XLOOKUP("Src_IsAny",'Scoring_Config'!$A:$A,'Scoring_Config'!$D:$D,"Yes")="Yes",_xlfn.XLOOKUP("Src_IsAny",'Scoring_Config'!$A:$A,'Scoring_Config'!$C:$C,25),0),"False,0")</f>
        <v>0</v>
      </c>
      <c r="AD144" s="5" cm="1">
        <f t="array" ref="AD144">IF(TRUE,"True," &amp; IF(_xlfn.XLOOKUP("Src_CIDR_Le_16",'Scoring_Config'!$A:$A,'Scoring_Config'!$D:$D,"Yes")="Yes",_xlfn.XLOOKUP("Src_CIDR_Le_16",'Scoring_Config'!$A:$A,'Scoring_Config'!$C:$C,25),0),"False,0")</f>
        <v>0</v>
      </c>
      <c r="AE144" s="4" cm="1">
        <f t="array" ref="AE144">IF(FALSE,"True," &amp; IF(_xlfn.XLOOKUP("Src_CIDR_17_22",'Scoring_Config'!$A:$A,'Scoring_Config'!$D:$D,"Yes")="Yes",_xlfn.XLOOKUP("Src_CIDR_17_22",'Scoring_Config'!$A:$A,'Scoring_Config'!$C:$C,15),0),"False,0")</f>
        <v>0</v>
      </c>
      <c r="AF144" s="4" cm="1">
        <f t="array" ref="AF144">IF(FALSE,"True," &amp; IF(_xlfn.XLOOKUP("Dst_IsAny",'Scoring_Config'!$A:$A,'Scoring_Config'!$D:$D,"Yes")="Yes",_xlfn.XLOOKUP("Dst_IsAny",'Scoring_Config'!$A:$A,'Scoring_Config'!$C:$C,25),0),"False,0")</f>
        <v>0</v>
      </c>
      <c r="AG144" s="4" cm="1">
        <f t="array" ref="AG144">IF(FALSE,"True," &amp; IF(_xlfn.XLOOKUP("Dst_CIDR_Le_16",'Scoring_Config'!$A:$A,'Scoring_Config'!$D:$D,"Yes")="Yes",_xlfn.XLOOKUP("Dst_CIDR_Le_16",'Scoring_Config'!$A:$A,'Scoring_Config'!$C:$C,25),0),"False,0")</f>
        <v>0</v>
      </c>
      <c r="AH144" s="4" cm="1">
        <f t="array" ref="AH144">IF(FALSE,"True," &amp; IF(_xlfn.XLOOKUP("Dst_CIDR_17_22",'Scoring_Config'!$A:$A,'Scoring_Config'!$D:$D,"Yes")="Yes",_xlfn.XLOOKUP("Dst_CIDR_17_22",'Scoring_Config'!$A:$A,'Scoring_Config'!$C:$C,15),0),"False,0")</f>
        <v>0</v>
      </c>
      <c r="AI144" s="4" cm="1">
        <f t="array" ref="AI144">IF(FALSE,"True," &amp; IF(_xlfn.XLOOKUP("SrcZone_IsAny",'Scoring_Config'!$A:$A,'Scoring_Config'!$D:$D,"Yes")="Yes",_xlfn.XLOOKUP("SrcZone_IsAny",'Scoring_Config'!$A:$A,'Scoring_Config'!$C:$C,5),0),"False,0")</f>
        <v>0</v>
      </c>
      <c r="AJ144" s="4" cm="1">
        <f t="array" ref="AJ144">IF(FALSE,"True," &amp; IF(_xlfn.XLOOKUP("DstZone_IsAny",'Scoring_Config'!$A:$A,'Scoring_Config'!$D:$D,"Yes")="Yes",_xlfn.XLOOKUP("DstZone_IsAny",'Scoring_Config'!$A:$A,'Scoring_Config'!$C:$C,5),0),"False,0")</f>
        <v>0</v>
      </c>
      <c r="AK144" s="4" cm="1">
        <f t="array" ref="AK14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4" s="4" cm="1">
        <f t="array" ref="AL144">IF(FALSE,"True," &amp; IF(_xlfn.XLOOKUP("App_Any_OR_RangeGt1000",'Scoring_Config'!$A:$A,'Scoring_Config'!$D:$D,"Yes")="Yes",_xlfn.XLOOKUP("App_Any_OR_RangeGt1000",'Scoring_Config'!$A:$A,'Scoring_Config'!$C:$C,25),0),"False,0")</f>
        <v>0</v>
      </c>
      <c r="AM144" s="5" cm="1">
        <f t="array" ref="AM144">IF(TRUE,"True," &amp; IF(_xlfn.XLOOKUP("Service_Insecure_Match",'Scoring_Config'!$A:$A,'Scoring_Config'!$D:$D,"Yes")="Yes",_xlfn.XLOOKUP("Service_Insecure_Match",'Scoring_Config'!$A:$A,'Scoring_Config'!$C:$C,20),0),"False,0")</f>
        <v>0</v>
      </c>
      <c r="AN144" s="4" cm="1">
        <f t="array" ref="AN144">IF(FALSE,"True," &amp; IF(_xlfn.XLOOKUP("Risky_Inbound",'Scoring_Config'!$A:$A,'Scoring_Config'!$D:$D,"Yes")="Yes",_xlfn.XLOOKUP("Risky_Inbound",'Scoring_Config'!$A:$A,'Scoring_Config'!$C:$C,20),0),"False,0")</f>
        <v>0</v>
      </c>
      <c r="AO144" s="4" cm="1">
        <f t="array" ref="AO144">IF(FALSE,"True," &amp; IF(_xlfn.XLOOKUP("Risky_Outbound",'Scoring_Config'!$A:$A,'Scoring_Config'!$D:$D,"Yes")="Yes",_xlfn.XLOOKUP("Risky_Outbound",'Scoring_Config'!$A:$A,'Scoring_Config'!$C:$C,10),0),"False,0")</f>
        <v>0</v>
      </c>
      <c r="AP144" s="5" t="s">
        <v>2595</v>
      </c>
      <c r="AQ144" s="4" cm="1">
        <f t="array" ref="AQ14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4" s="5" t="s">
        <v>2598</v>
      </c>
      <c r="AS144" s="4" t="s">
        <v>2592</v>
      </c>
      <c r="AT144" s="4" t="s">
        <v>2592</v>
      </c>
      <c r="AU144" s="4" cm="1">
        <f t="array" ref="AU144">IF(FALSE,"True," &amp; IF(_xlfn.XLOOKUP("Action_IsDenyOrDrop",'Scoring_Config'!$A:$A,'Scoring_Config'!$D:$D,"Yes")="Yes",_xlfn.XLOOKUP("Action_IsDenyOrDrop",'Scoring_Config'!$A:$A,'Scoring_Config'!$C:$C,0),0),"False,0")</f>
        <v>0</v>
      </c>
      <c r="AV144" s="4"/>
      <c r="AW144" s="4" cm="1">
        <f t="array" ref="AW144">IF(FALSE,"True," &amp; IF(_xlfn.XLOOKUP("Migrate_Insecure",'Scoring_Config'!$A:$A,'Scoring_Config'!$D:$D,"Yes")="Yes",_xlfn.XLOOKUP("Migrate_Insecure",'Scoring_Config'!$A:$A,'Scoring_Config'!$C:$C,15),0),"False,0")</f>
        <v>0</v>
      </c>
      <c r="AX144" s="4"/>
      <c r="AY144" s="4" cm="1">
        <f t="array" ref="AY144">IF(FALSE,"True," &amp; IF(_xlfn.XLOOKUP("Migrate_Other_Ports",'Scoring_Config'!$A:$A,'Scoring_Config'!$D:$D,"Yes")="Yes",_xlfn.XLOOKUP("Migrate_Other_Ports",'Scoring_Config'!$A:$A,'Scoring_Config'!$C:$C,5),0),"False,0")</f>
        <v>0</v>
      </c>
      <c r="AZ144" s="4" cm="1">
        <f t="array" ref="AZ144">IF(LEFT(AU144,4)="True",0,(IF(LEFT(AC144,4)="True",IF(_xlfn.XLOOKUP("Src_IsAny",'Scoring_Config'!$A:$A,'Scoring_Config'!$D:$D,"Yes")="Yes",_xlfn.XLOOKUP("Src_IsAny",'Scoring_Config'!$A:$A,'Scoring_Config'!$C:$C,25),0),0)+IF(LEFT(AD144,4)="True",IF(_xlfn.XLOOKUP("Src_CIDR_Le_16",'Scoring_Config'!$A:$A,'Scoring_Config'!$D:$D,"Yes")="Yes",_xlfn.XLOOKUP("Src_CIDR_Le_16",'Scoring_Config'!$A:$A,'Scoring_Config'!$C:$C,25),0),0)+IF(LEFT(AE144,4)="True",IF(_xlfn.XLOOKUP("Src_CIDR_17_22",'Scoring_Config'!$A:$A,'Scoring_Config'!$D:$D,"Yes")="Yes",_xlfn.XLOOKUP("Src_CIDR_17_22",'Scoring_Config'!$A:$A,'Scoring_Config'!$C:$C,15),0),0)+IF(LEFT(AF144,4)="True",IF(_xlfn.XLOOKUP("Dst_IsAny",'Scoring_Config'!$A:$A,'Scoring_Config'!$D:$D,"Yes")="Yes",_xlfn.XLOOKUP("Dst_IsAny",'Scoring_Config'!$A:$A,'Scoring_Config'!$C:$C,25),0),0)+IF(LEFT(AG144,4)="True",IF(_xlfn.XLOOKUP("Dst_CIDR_Le_16",'Scoring_Config'!$A:$A,'Scoring_Config'!$D:$D,"Yes")="Yes",_xlfn.XLOOKUP("Dst_CIDR_Le_16",'Scoring_Config'!$A:$A,'Scoring_Config'!$C:$C,25),0),0)+IF(LEFT(AH144,4)="True",IF(_xlfn.XLOOKUP("Dst_CIDR_17_22",'Scoring_Config'!$A:$A,'Scoring_Config'!$D:$D,"Yes")="Yes",_xlfn.XLOOKUP("Dst_CIDR_17_22",'Scoring_Config'!$A:$A,'Scoring_Config'!$C:$C,15),0),0)+IF(LEFT(AI144,4)="True",IF(_xlfn.XLOOKUP("SrcZone_IsAny",'Scoring_Config'!$A:$A,'Scoring_Config'!$D:$D,"Yes")="Yes",_xlfn.XLOOKUP("SrcZone_IsAny",'Scoring_Config'!$A:$A,'Scoring_Config'!$C:$C,5),0),0)+IF(LEFT(AJ144,4)="True",IF(_xlfn.XLOOKUP("DstZone_IsAny",'Scoring_Config'!$A:$A,'Scoring_Config'!$D:$D,"Yes")="Yes",_xlfn.XLOOKUP("DstZone_IsAny",'Scoring_Config'!$A:$A,'Scoring_Config'!$C:$C,5),0),0)+IF(LEFT(AK144,4)="True",IF(_xlfn.XLOOKUP("Service_Any_OR_RangeGt1000",'Scoring_Config'!$A:$A,'Scoring_Config'!$D:$D,"Yes")="Yes",_xlfn.XLOOKUP("Service_Any_OR_RangeGt1000",'Scoring_Config'!$A:$A,'Scoring_Config'!$C:$C,25),0),0)+IF(LEFT(AL144,4)="True",IF(_xlfn.XLOOKUP("App_Any_OR_RangeGt1000",'Scoring_Config'!$A:$A,'Scoring_Config'!$D:$D,"Yes")="Yes",_xlfn.XLOOKUP("App_Any_OR_RangeGt1000",'Scoring_Config'!$A:$A,'Scoring_Config'!$C:$C,25),0),0)+IF(LEFT(AM144,4)="True",IF(_xlfn.XLOOKUP("Service_Insecure_Match",'Scoring_Config'!$A:$A,'Scoring_Config'!$D:$D,"Yes")="Yes",_xlfn.XLOOKUP("Service_Insecure_Match",'Scoring_Config'!$A:$A,'Scoring_Config'!$C:$C,20),0),0)+IF(LEFT(AN144,4)="True",IF(_xlfn.XLOOKUP("Risky_Inbound",'Scoring_Config'!$A:$A,'Scoring_Config'!$D:$D,"Yes")="Yes",_xlfn.XLOOKUP("Risky_Inbound",'Scoring_Config'!$A:$A,'Scoring_Config'!$C:$C,20),0),0)+IF(LEFT(AO144,4)="True",IF(_xlfn.XLOOKUP("Risky_Outbound",'Scoring_Config'!$A:$A,'Scoring_Config'!$D:$D,"Yes")="Yes",_xlfn.XLOOKUP("Risky_Outbound",'Scoring_Config'!$A:$A,'Scoring_Config'!$C:$C,10),0),0)+IF(LEFT(AW144,4)="True",IF(_xlfn.XLOOKUP("Migrate_Insecure",'Scoring_Config'!$A:$A,'Scoring_Config'!$D:$D,"Yes")="Yes",_xlfn.XLOOKUP("Migrate_Insecure",'Scoring_Config'!$A:$A,'Scoring_Config'!$C:$C,15),0),0)+IF(LEFT(AY144,4)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144,FIND(",",AP144)+1,100)),0)+IF(LEFT(AQ144,4)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144,FIND(",",AR144)+1,100)),0)+IF(_xlfn.XLOOKUP("Profile_Scoring",'Scoring_Config'!$A:$A,'Scoring_Config'!$D:$D,"Yes")="Yes",VALUE(MID(AS144,FIND(",",AS144)+1,100)),0)+IF(_xlfn.XLOOKUP("Options_Scoring",'Scoring_Config'!$A:$A,'Scoring_Config'!$D:$D,"Yes")="Yes",VALUE(MID(AT144,FIND(",",AT144)+1,100)),0)))</f>
        <v>0</v>
      </c>
    </row>
    <row r="145" spans="1:52">
      <c r="A145" s="3" t="s">
        <v>53</v>
      </c>
      <c r="B145" s="3" t="s">
        <v>94</v>
      </c>
      <c r="C145" s="3" t="s">
        <v>330</v>
      </c>
      <c r="D145" s="3"/>
      <c r="E145" s="3" t="s">
        <v>359</v>
      </c>
      <c r="F145" s="3" t="s">
        <v>361</v>
      </c>
      <c r="G145" s="3" t="s">
        <v>418</v>
      </c>
      <c r="H145" s="3" t="s">
        <v>418</v>
      </c>
      <c r="I145" s="3" t="s">
        <v>365</v>
      </c>
      <c r="J145" s="3" t="s">
        <v>363</v>
      </c>
      <c r="K145" s="3" t="s">
        <v>669</v>
      </c>
      <c r="L145" s="3" t="s">
        <v>753</v>
      </c>
      <c r="M145" s="3" t="s">
        <v>775</v>
      </c>
      <c r="N145" s="3" t="s">
        <v>796</v>
      </c>
      <c r="O145" s="4" t="s">
        <v>809</v>
      </c>
      <c r="P145" s="3" t="s">
        <v>870</v>
      </c>
      <c r="Q145" s="3" t="s">
        <v>905</v>
      </c>
      <c r="R145" s="3" t="s">
        <v>910</v>
      </c>
      <c r="S145" s="3" t="s">
        <v>916</v>
      </c>
      <c r="T145" s="3" t="s">
        <v>1008</v>
      </c>
      <c r="U145" s="3" t="s">
        <v>1150</v>
      </c>
      <c r="V145" s="3" t="s">
        <v>1386</v>
      </c>
      <c r="W145" s="3" t="s">
        <v>1479</v>
      </c>
      <c r="X145" s="3" t="s">
        <v>1749</v>
      </c>
      <c r="Y145" s="3" t="s">
        <v>2218</v>
      </c>
      <c r="Z145" s="3"/>
      <c r="AA145" s="3"/>
      <c r="AB145" s="3"/>
      <c r="AC145" s="4" cm="1">
        <f t="array" ref="AC145">IF(FALSE,"True," &amp; IF(_xlfn.XLOOKUP("Src_IsAny",'Scoring_Config'!$A:$A,'Scoring_Config'!$D:$D,"Yes")="Yes",_xlfn.XLOOKUP("Src_IsAny",'Scoring_Config'!$A:$A,'Scoring_Config'!$C:$C,25),0),"False,0")</f>
        <v>0</v>
      </c>
      <c r="AD145" s="5" cm="1">
        <f t="array" ref="AD145">IF(TRUE,"True," &amp; IF(_xlfn.XLOOKUP("Src_CIDR_Le_16",'Scoring_Config'!$A:$A,'Scoring_Config'!$D:$D,"Yes")="Yes",_xlfn.XLOOKUP("Src_CIDR_Le_16",'Scoring_Config'!$A:$A,'Scoring_Config'!$C:$C,25),0),"False,0")</f>
        <v>0</v>
      </c>
      <c r="AE145" s="4" cm="1">
        <f t="array" ref="AE145">IF(FALSE,"True," &amp; IF(_xlfn.XLOOKUP("Src_CIDR_17_22",'Scoring_Config'!$A:$A,'Scoring_Config'!$D:$D,"Yes")="Yes",_xlfn.XLOOKUP("Src_CIDR_17_22",'Scoring_Config'!$A:$A,'Scoring_Config'!$C:$C,15),0),"False,0")</f>
        <v>0</v>
      </c>
      <c r="AF145" s="4" cm="1">
        <f t="array" ref="AF145">IF(FALSE,"True," &amp; IF(_xlfn.XLOOKUP("Dst_IsAny",'Scoring_Config'!$A:$A,'Scoring_Config'!$D:$D,"Yes")="Yes",_xlfn.XLOOKUP("Dst_IsAny",'Scoring_Config'!$A:$A,'Scoring_Config'!$C:$C,25),0),"False,0")</f>
        <v>0</v>
      </c>
      <c r="AG145" s="4" cm="1">
        <f t="array" ref="AG145">IF(FALSE,"True," &amp; IF(_xlfn.XLOOKUP("Dst_CIDR_Le_16",'Scoring_Config'!$A:$A,'Scoring_Config'!$D:$D,"Yes")="Yes",_xlfn.XLOOKUP("Dst_CIDR_Le_16",'Scoring_Config'!$A:$A,'Scoring_Config'!$C:$C,25),0),"False,0")</f>
        <v>0</v>
      </c>
      <c r="AH145" s="4" cm="1">
        <f t="array" ref="AH145">IF(FALSE,"True," &amp; IF(_xlfn.XLOOKUP("Dst_CIDR_17_22",'Scoring_Config'!$A:$A,'Scoring_Config'!$D:$D,"Yes")="Yes",_xlfn.XLOOKUP("Dst_CIDR_17_22",'Scoring_Config'!$A:$A,'Scoring_Config'!$C:$C,15),0),"False,0")</f>
        <v>0</v>
      </c>
      <c r="AI145" s="4" cm="1">
        <f t="array" ref="AI145">IF(FALSE,"True," &amp; IF(_xlfn.XLOOKUP("SrcZone_IsAny",'Scoring_Config'!$A:$A,'Scoring_Config'!$D:$D,"Yes")="Yes",_xlfn.XLOOKUP("SrcZone_IsAny",'Scoring_Config'!$A:$A,'Scoring_Config'!$C:$C,5),0),"False,0")</f>
        <v>0</v>
      </c>
      <c r="AJ145" s="4" cm="1">
        <f t="array" ref="AJ145">IF(FALSE,"True," &amp; IF(_xlfn.XLOOKUP("DstZone_IsAny",'Scoring_Config'!$A:$A,'Scoring_Config'!$D:$D,"Yes")="Yes",_xlfn.XLOOKUP("DstZone_IsAny",'Scoring_Config'!$A:$A,'Scoring_Config'!$C:$C,5),0),"False,0")</f>
        <v>0</v>
      </c>
      <c r="AK145" s="4" cm="1">
        <f t="array" ref="AK14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5" s="4" cm="1">
        <f t="array" ref="AL145">IF(FALSE,"True," &amp; IF(_xlfn.XLOOKUP("App_Any_OR_RangeGt1000",'Scoring_Config'!$A:$A,'Scoring_Config'!$D:$D,"Yes")="Yes",_xlfn.XLOOKUP("App_Any_OR_RangeGt1000",'Scoring_Config'!$A:$A,'Scoring_Config'!$C:$C,25),0),"False,0")</f>
        <v>0</v>
      </c>
      <c r="AM145" s="4" cm="1">
        <f t="array" ref="AM145">IF(FALSE,"True," &amp; IF(_xlfn.XLOOKUP("Service_Insecure_Match",'Scoring_Config'!$A:$A,'Scoring_Config'!$D:$D,"Yes")="Yes",_xlfn.XLOOKUP("Service_Insecure_Match",'Scoring_Config'!$A:$A,'Scoring_Config'!$C:$C,20),0),"False,0")</f>
        <v>0</v>
      </c>
      <c r="AN145" s="4" cm="1">
        <f t="array" ref="AN145">IF(FALSE,"True," &amp; IF(_xlfn.XLOOKUP("Risky_Inbound",'Scoring_Config'!$A:$A,'Scoring_Config'!$D:$D,"Yes")="Yes",_xlfn.XLOOKUP("Risky_Inbound",'Scoring_Config'!$A:$A,'Scoring_Config'!$C:$C,20),0),"False,0")</f>
        <v>0</v>
      </c>
      <c r="AO145" s="4" cm="1">
        <f t="array" ref="AO145">IF(FALSE,"True," &amp; IF(_xlfn.XLOOKUP("Risky_Outbound",'Scoring_Config'!$A:$A,'Scoring_Config'!$D:$D,"Yes")="Yes",_xlfn.XLOOKUP("Risky_Outbound",'Scoring_Config'!$A:$A,'Scoring_Config'!$C:$C,10),0),"False,0")</f>
        <v>0</v>
      </c>
      <c r="AP145" s="5" t="s">
        <v>2595</v>
      </c>
      <c r="AQ145" s="5" cm="1">
        <f t="array" ref="AQ14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5" s="4" t="s">
        <v>2592</v>
      </c>
      <c r="AS145" s="4" t="s">
        <v>2592</v>
      </c>
      <c r="AT145" s="4" t="s">
        <v>2592</v>
      </c>
      <c r="AU145" s="4" cm="1">
        <f t="array" ref="AU145">IF(FALSE,"True," &amp; IF(_xlfn.XLOOKUP("Action_IsDenyOrDrop",'Scoring_Config'!$A:$A,'Scoring_Config'!$D:$D,"Yes")="Yes",_xlfn.XLOOKUP("Action_IsDenyOrDrop",'Scoring_Config'!$A:$A,'Scoring_Config'!$C:$C,0),0),"False,0")</f>
        <v>0</v>
      </c>
      <c r="AV145" s="4"/>
      <c r="AW145" s="4" cm="1">
        <f t="array" ref="AW145">IF(FALSE,"True," &amp; IF(_xlfn.XLOOKUP("Migrate_Insecure",'Scoring_Config'!$A:$A,'Scoring_Config'!$D:$D,"Yes")="Yes",_xlfn.XLOOKUP("Migrate_Insecure",'Scoring_Config'!$A:$A,'Scoring_Config'!$C:$C,15),0),"False,0")</f>
        <v>0</v>
      </c>
      <c r="AX145" s="4"/>
      <c r="AY145" s="4" cm="1">
        <f t="array" ref="AY145">IF(FALSE,"True," &amp; IF(_xlfn.XLOOKUP("Migrate_Other_Ports",'Scoring_Config'!$A:$A,'Scoring_Config'!$D:$D,"Yes")="Yes",_xlfn.XLOOKUP("Migrate_Other_Ports",'Scoring_Config'!$A:$A,'Scoring_Config'!$C:$C,5),0),"False,0")</f>
        <v>0</v>
      </c>
      <c r="AZ145" s="4" cm="1">
        <f t="array" ref="AZ145">IF(LEFT(AU145,4)="True",0,(IF(LEFT(AC145,4)="True",IF(_xlfn.XLOOKUP("Src_IsAny",'Scoring_Config'!$A:$A,'Scoring_Config'!$D:$D,"Yes")="Yes",_xlfn.XLOOKUP("Src_IsAny",'Scoring_Config'!$A:$A,'Scoring_Config'!$C:$C,25),0),0)+IF(LEFT(AD145,4)="True",IF(_xlfn.XLOOKUP("Src_CIDR_Le_16",'Scoring_Config'!$A:$A,'Scoring_Config'!$D:$D,"Yes")="Yes",_xlfn.XLOOKUP("Src_CIDR_Le_16",'Scoring_Config'!$A:$A,'Scoring_Config'!$C:$C,25),0),0)+IF(LEFT(AE145,4)="True",IF(_xlfn.XLOOKUP("Src_CIDR_17_22",'Scoring_Config'!$A:$A,'Scoring_Config'!$D:$D,"Yes")="Yes",_xlfn.XLOOKUP("Src_CIDR_17_22",'Scoring_Config'!$A:$A,'Scoring_Config'!$C:$C,15),0),0)+IF(LEFT(AF145,4)="True",IF(_xlfn.XLOOKUP("Dst_IsAny",'Scoring_Config'!$A:$A,'Scoring_Config'!$D:$D,"Yes")="Yes",_xlfn.XLOOKUP("Dst_IsAny",'Scoring_Config'!$A:$A,'Scoring_Config'!$C:$C,25),0),0)+IF(LEFT(AG145,4)="True",IF(_xlfn.XLOOKUP("Dst_CIDR_Le_16",'Scoring_Config'!$A:$A,'Scoring_Config'!$D:$D,"Yes")="Yes",_xlfn.XLOOKUP("Dst_CIDR_Le_16",'Scoring_Config'!$A:$A,'Scoring_Config'!$C:$C,25),0),0)+IF(LEFT(AH145,4)="True",IF(_xlfn.XLOOKUP("Dst_CIDR_17_22",'Scoring_Config'!$A:$A,'Scoring_Config'!$D:$D,"Yes")="Yes",_xlfn.XLOOKUP("Dst_CIDR_17_22",'Scoring_Config'!$A:$A,'Scoring_Config'!$C:$C,15),0),0)+IF(LEFT(AI145,4)="True",IF(_xlfn.XLOOKUP("SrcZone_IsAny",'Scoring_Config'!$A:$A,'Scoring_Config'!$D:$D,"Yes")="Yes",_xlfn.XLOOKUP("SrcZone_IsAny",'Scoring_Config'!$A:$A,'Scoring_Config'!$C:$C,5),0),0)+IF(LEFT(AJ145,4)="True",IF(_xlfn.XLOOKUP("DstZone_IsAny",'Scoring_Config'!$A:$A,'Scoring_Config'!$D:$D,"Yes")="Yes",_xlfn.XLOOKUP("DstZone_IsAny",'Scoring_Config'!$A:$A,'Scoring_Config'!$C:$C,5),0),0)+IF(LEFT(AK145,4)="True",IF(_xlfn.XLOOKUP("Service_Any_OR_RangeGt1000",'Scoring_Config'!$A:$A,'Scoring_Config'!$D:$D,"Yes")="Yes",_xlfn.XLOOKUP("Service_Any_OR_RangeGt1000",'Scoring_Config'!$A:$A,'Scoring_Config'!$C:$C,25),0),0)+IF(LEFT(AL145,4)="True",IF(_xlfn.XLOOKUP("App_Any_OR_RangeGt1000",'Scoring_Config'!$A:$A,'Scoring_Config'!$D:$D,"Yes")="Yes",_xlfn.XLOOKUP("App_Any_OR_RangeGt1000",'Scoring_Config'!$A:$A,'Scoring_Config'!$C:$C,25),0),0)+IF(LEFT(AM145,4)="True",IF(_xlfn.XLOOKUP("Service_Insecure_Match",'Scoring_Config'!$A:$A,'Scoring_Config'!$D:$D,"Yes")="Yes",_xlfn.XLOOKUP("Service_Insecure_Match",'Scoring_Config'!$A:$A,'Scoring_Config'!$C:$C,20),0),0)+IF(LEFT(AN145,4)="True",IF(_xlfn.XLOOKUP("Risky_Inbound",'Scoring_Config'!$A:$A,'Scoring_Config'!$D:$D,"Yes")="Yes",_xlfn.XLOOKUP("Risky_Inbound",'Scoring_Config'!$A:$A,'Scoring_Config'!$C:$C,20),0),0)+IF(LEFT(AO145,4)="True",IF(_xlfn.XLOOKUP("Risky_Outbound",'Scoring_Config'!$A:$A,'Scoring_Config'!$D:$D,"Yes")="Yes",_xlfn.XLOOKUP("Risky_Outbound",'Scoring_Config'!$A:$A,'Scoring_Config'!$C:$C,10),0),0)+IF(LEFT(AW145,4)="True",IF(_xlfn.XLOOKUP("Migrate_Insecure",'Scoring_Config'!$A:$A,'Scoring_Config'!$D:$D,"Yes")="Yes",_xlfn.XLOOKUP("Migrate_Insecure",'Scoring_Config'!$A:$A,'Scoring_Config'!$C:$C,15),0),0)+IF(LEFT(AY145,4)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145,FIND(",",AP145)+1,100)),0)+IF(LEFT(AQ145,4)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145,FIND(",",AR145)+1,100)),0)+IF(_xlfn.XLOOKUP("Profile_Scoring",'Scoring_Config'!$A:$A,'Scoring_Config'!$D:$D,"Yes")="Yes",VALUE(MID(AS145,FIND(",",AS145)+1,100)),0)+IF(_xlfn.XLOOKUP("Options_Scoring",'Scoring_Config'!$A:$A,'Scoring_Config'!$D:$D,"Yes")="Yes",VALUE(MID(AT145,FIND(",",AT145)+1,100)),0)))</f>
        <v>0</v>
      </c>
    </row>
    <row r="146" spans="1:52">
      <c r="A146" s="3" t="s">
        <v>53</v>
      </c>
      <c r="B146" s="3" t="s">
        <v>165</v>
      </c>
      <c r="C146" s="3" t="s">
        <v>330</v>
      </c>
      <c r="D146" s="3"/>
      <c r="E146" s="3" t="s">
        <v>359</v>
      </c>
      <c r="F146" s="3" t="s">
        <v>360</v>
      </c>
      <c r="G146" s="3" t="s">
        <v>419</v>
      </c>
      <c r="H146" s="3" t="s">
        <v>419</v>
      </c>
      <c r="I146" s="3" t="s">
        <v>365</v>
      </c>
      <c r="J146" s="3" t="s">
        <v>360</v>
      </c>
      <c r="K146" s="3" t="s">
        <v>365</v>
      </c>
      <c r="L146" s="3" t="s">
        <v>365</v>
      </c>
      <c r="M146" s="3" t="s">
        <v>773</v>
      </c>
      <c r="N146" s="3" t="s">
        <v>773</v>
      </c>
      <c r="O146" s="4" t="s">
        <v>830</v>
      </c>
      <c r="P146" s="3" t="s">
        <v>891</v>
      </c>
      <c r="Q146" s="3" t="s">
        <v>905</v>
      </c>
      <c r="R146" s="3" t="s">
        <v>910</v>
      </c>
      <c r="S146" s="3" t="s">
        <v>912</v>
      </c>
      <c r="T146" s="3" t="s">
        <v>1012</v>
      </c>
      <c r="U146" s="3" t="s">
        <v>1147</v>
      </c>
      <c r="V146" s="3" t="s">
        <v>772</v>
      </c>
      <c r="W146" s="3" t="s">
        <v>1482</v>
      </c>
      <c r="X146" s="3" t="s">
        <v>1750</v>
      </c>
      <c r="Y146" s="3" t="s">
        <v>2219</v>
      </c>
      <c r="Z146" s="3"/>
      <c r="AA146" s="3"/>
      <c r="AB146" s="3"/>
      <c r="AC146" s="4" cm="1">
        <f t="array" ref="AC146">IF(FALSE,"True," &amp; IF(_xlfn.XLOOKUP("Src_IsAny",'Scoring_Config'!$A:$A,'Scoring_Config'!$D:$D,"Yes")="Yes",_xlfn.XLOOKUP("Src_IsAny",'Scoring_Config'!$A:$A,'Scoring_Config'!$C:$C,25),0),"False,0")</f>
        <v>0</v>
      </c>
      <c r="AD146" s="4" cm="1">
        <f t="array" ref="AD146">IF(FALSE,"True," &amp; IF(_xlfn.XLOOKUP("Src_CIDR_Le_16",'Scoring_Config'!$A:$A,'Scoring_Config'!$D:$D,"Yes")="Yes",_xlfn.XLOOKUP("Src_CIDR_Le_16",'Scoring_Config'!$A:$A,'Scoring_Config'!$C:$C,25),0),"False,0")</f>
        <v>0</v>
      </c>
      <c r="AE146" s="4" cm="1">
        <f t="array" ref="AE146">IF(FALSE,"True," &amp; IF(_xlfn.XLOOKUP("Src_CIDR_17_22",'Scoring_Config'!$A:$A,'Scoring_Config'!$D:$D,"Yes")="Yes",_xlfn.XLOOKUP("Src_CIDR_17_22",'Scoring_Config'!$A:$A,'Scoring_Config'!$C:$C,15),0),"False,0")</f>
        <v>0</v>
      </c>
      <c r="AF146" s="5" cm="1">
        <f t="array" ref="AF146">IF(TRUE,"True," &amp; IF(_xlfn.XLOOKUP("Dst_IsAny",'Scoring_Config'!$A:$A,'Scoring_Config'!$D:$D,"Yes")="Yes",_xlfn.XLOOKUP("Dst_IsAny",'Scoring_Config'!$A:$A,'Scoring_Config'!$C:$C,25),0),"False,0")</f>
        <v>0</v>
      </c>
      <c r="AG146" s="4" cm="1">
        <f t="array" ref="AG146">IF(FALSE,"True," &amp; IF(_xlfn.XLOOKUP("Dst_CIDR_Le_16",'Scoring_Config'!$A:$A,'Scoring_Config'!$D:$D,"Yes")="Yes",_xlfn.XLOOKUP("Dst_CIDR_Le_16",'Scoring_Config'!$A:$A,'Scoring_Config'!$C:$C,25),0),"False,0")</f>
        <v>0</v>
      </c>
      <c r="AH146" s="4" cm="1">
        <f t="array" ref="AH146">IF(FALSE,"True," &amp; IF(_xlfn.XLOOKUP("Dst_CIDR_17_22",'Scoring_Config'!$A:$A,'Scoring_Config'!$D:$D,"Yes")="Yes",_xlfn.XLOOKUP("Dst_CIDR_17_22",'Scoring_Config'!$A:$A,'Scoring_Config'!$C:$C,15),0),"False,0")</f>
        <v>0</v>
      </c>
      <c r="AI146" s="4" cm="1">
        <f t="array" ref="AI146">IF(FALSE,"True," &amp; IF(_xlfn.XLOOKUP("SrcZone_IsAny",'Scoring_Config'!$A:$A,'Scoring_Config'!$D:$D,"Yes")="Yes",_xlfn.XLOOKUP("SrcZone_IsAny",'Scoring_Config'!$A:$A,'Scoring_Config'!$C:$C,5),0),"False,0")</f>
        <v>0</v>
      </c>
      <c r="AJ146" s="4" cm="1">
        <f t="array" ref="AJ146">IF(FALSE,"True," &amp; IF(_xlfn.XLOOKUP("DstZone_IsAny",'Scoring_Config'!$A:$A,'Scoring_Config'!$D:$D,"Yes")="Yes",_xlfn.XLOOKUP("DstZone_IsAny",'Scoring_Config'!$A:$A,'Scoring_Config'!$C:$C,5),0),"False,0")</f>
        <v>0</v>
      </c>
      <c r="AK146" s="4" cm="1">
        <f t="array" ref="AK14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6" s="4" cm="1">
        <f t="array" ref="AL146">IF(FALSE,"True," &amp; IF(_xlfn.XLOOKUP("App_Any_OR_RangeGt1000",'Scoring_Config'!$A:$A,'Scoring_Config'!$D:$D,"Yes")="Yes",_xlfn.XLOOKUP("App_Any_OR_RangeGt1000",'Scoring_Config'!$A:$A,'Scoring_Config'!$C:$C,25),0),"False,0")</f>
        <v>0</v>
      </c>
      <c r="AM146" s="5" cm="1">
        <f t="array" ref="AM146">IF(TRUE,"True," &amp; IF(_xlfn.XLOOKUP("Service_Insecure_Match",'Scoring_Config'!$A:$A,'Scoring_Config'!$D:$D,"Yes")="Yes",_xlfn.XLOOKUP("Service_Insecure_Match",'Scoring_Config'!$A:$A,'Scoring_Config'!$C:$C,20),0),"False,0")</f>
        <v>0</v>
      </c>
      <c r="AN146" s="4" cm="1">
        <f t="array" ref="AN146">IF(FALSE,"True," &amp; IF(_xlfn.XLOOKUP("Risky_Inbound",'Scoring_Config'!$A:$A,'Scoring_Config'!$D:$D,"Yes")="Yes",_xlfn.XLOOKUP("Risky_Inbound",'Scoring_Config'!$A:$A,'Scoring_Config'!$C:$C,20),0),"False,0")</f>
        <v>0</v>
      </c>
      <c r="AO146" s="4" cm="1">
        <f t="array" ref="AO146">IF(FALSE,"True," &amp; IF(_xlfn.XLOOKUP("Risky_Outbound",'Scoring_Config'!$A:$A,'Scoring_Config'!$D:$D,"Yes")="Yes",_xlfn.XLOOKUP("Risky_Outbound",'Scoring_Config'!$A:$A,'Scoring_Config'!$C:$C,10),0),"False,0")</f>
        <v>0</v>
      </c>
      <c r="AP146" s="5" t="s">
        <v>2595</v>
      </c>
      <c r="AQ146" s="5" cm="1">
        <f t="array" ref="AQ14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6" s="4" t="s">
        <v>2592</v>
      </c>
      <c r="AS146" s="4" t="s">
        <v>2592</v>
      </c>
      <c r="AT146" s="4" t="s">
        <v>2592</v>
      </c>
      <c r="AU146" s="4" cm="1">
        <f t="array" ref="AU146">IF(FALSE,"True," &amp; IF(_xlfn.XLOOKUP("Action_IsDenyOrDrop",'Scoring_Config'!$A:$A,'Scoring_Config'!$D:$D,"Yes")="Yes",_xlfn.XLOOKUP("Action_IsDenyOrDrop",'Scoring_Config'!$A:$A,'Scoring_Config'!$C:$C,0),0),"False,0")</f>
        <v>0</v>
      </c>
      <c r="AV146" s="4"/>
      <c r="AW146" s="4" cm="1">
        <f t="array" ref="AW146">IF(FALSE,"True," &amp; IF(_xlfn.XLOOKUP("Migrate_Insecure",'Scoring_Config'!$A:$A,'Scoring_Config'!$D:$D,"Yes")="Yes",_xlfn.XLOOKUP("Migrate_Insecure",'Scoring_Config'!$A:$A,'Scoring_Config'!$C:$C,15),0),"False,0")</f>
        <v>0</v>
      </c>
      <c r="AX146" s="4"/>
      <c r="AY146" s="4" cm="1">
        <f t="array" ref="AY146">IF(FALSE,"True," &amp; IF(_xlfn.XLOOKUP("Migrate_Other_Ports",'Scoring_Config'!$A:$A,'Scoring_Config'!$D:$D,"Yes")="Yes",_xlfn.XLOOKUP("Migrate_Other_Ports",'Scoring_Config'!$A:$A,'Scoring_Config'!$C:$C,5),0),"False,0")</f>
        <v>0</v>
      </c>
      <c r="AZ146" s="4" cm="1">
        <f t="array" ref="AZ146">IF(LEFT(AU146,4)="True",0,(IF(LEFT(AC146,4)="True",IF(_xlfn.XLOOKUP("Src_IsAny",'Scoring_Config'!$A:$A,'Scoring_Config'!$D:$D,"Yes")="Yes",_xlfn.XLOOKUP("Src_IsAny",'Scoring_Config'!$A:$A,'Scoring_Config'!$C:$C,25),0),0)+IF(LEFT(AD146,4)="True",IF(_xlfn.XLOOKUP("Src_CIDR_Le_16",'Scoring_Config'!$A:$A,'Scoring_Config'!$D:$D,"Yes")="Yes",_xlfn.XLOOKUP("Src_CIDR_Le_16",'Scoring_Config'!$A:$A,'Scoring_Config'!$C:$C,25),0),0)+IF(LEFT(AE146,4)="True",IF(_xlfn.XLOOKUP("Src_CIDR_17_22",'Scoring_Config'!$A:$A,'Scoring_Config'!$D:$D,"Yes")="Yes",_xlfn.XLOOKUP("Src_CIDR_17_22",'Scoring_Config'!$A:$A,'Scoring_Config'!$C:$C,15),0),0)+IF(LEFT(AF146,4)="True",IF(_xlfn.XLOOKUP("Dst_IsAny",'Scoring_Config'!$A:$A,'Scoring_Config'!$D:$D,"Yes")="Yes",_xlfn.XLOOKUP("Dst_IsAny",'Scoring_Config'!$A:$A,'Scoring_Config'!$C:$C,25),0),0)+IF(LEFT(AG146,4)="True",IF(_xlfn.XLOOKUP("Dst_CIDR_Le_16",'Scoring_Config'!$A:$A,'Scoring_Config'!$D:$D,"Yes")="Yes",_xlfn.XLOOKUP("Dst_CIDR_Le_16",'Scoring_Config'!$A:$A,'Scoring_Config'!$C:$C,25),0),0)+IF(LEFT(AH146,4)="True",IF(_xlfn.XLOOKUP("Dst_CIDR_17_22",'Scoring_Config'!$A:$A,'Scoring_Config'!$D:$D,"Yes")="Yes",_xlfn.XLOOKUP("Dst_CIDR_17_22",'Scoring_Config'!$A:$A,'Scoring_Config'!$C:$C,15),0),0)+IF(LEFT(AI146,4)="True",IF(_xlfn.XLOOKUP("SrcZone_IsAny",'Scoring_Config'!$A:$A,'Scoring_Config'!$D:$D,"Yes")="Yes",_xlfn.XLOOKUP("SrcZone_IsAny",'Scoring_Config'!$A:$A,'Scoring_Config'!$C:$C,5),0),0)+IF(LEFT(AJ146,4)="True",IF(_xlfn.XLOOKUP("DstZone_IsAny",'Scoring_Config'!$A:$A,'Scoring_Config'!$D:$D,"Yes")="Yes",_xlfn.XLOOKUP("DstZone_IsAny",'Scoring_Config'!$A:$A,'Scoring_Config'!$C:$C,5),0),0)+IF(LEFT(AK146,4)="True",IF(_xlfn.XLOOKUP("Service_Any_OR_RangeGt1000",'Scoring_Config'!$A:$A,'Scoring_Config'!$D:$D,"Yes")="Yes",_xlfn.XLOOKUP("Service_Any_OR_RangeGt1000",'Scoring_Config'!$A:$A,'Scoring_Config'!$C:$C,25),0),0)+IF(LEFT(AL146,4)="True",IF(_xlfn.XLOOKUP("App_Any_OR_RangeGt1000",'Scoring_Config'!$A:$A,'Scoring_Config'!$D:$D,"Yes")="Yes",_xlfn.XLOOKUP("App_Any_OR_RangeGt1000",'Scoring_Config'!$A:$A,'Scoring_Config'!$C:$C,25),0),0)+IF(LEFT(AM146,4)="True",IF(_xlfn.XLOOKUP("Service_Insecure_Match",'Scoring_Config'!$A:$A,'Scoring_Config'!$D:$D,"Yes")="Yes",_xlfn.XLOOKUP("Service_Insecure_Match",'Scoring_Config'!$A:$A,'Scoring_Config'!$C:$C,20),0),0)+IF(LEFT(AN146,4)="True",IF(_xlfn.XLOOKUP("Risky_Inbound",'Scoring_Config'!$A:$A,'Scoring_Config'!$D:$D,"Yes")="Yes",_xlfn.XLOOKUP("Risky_Inbound",'Scoring_Config'!$A:$A,'Scoring_Config'!$C:$C,20),0),0)+IF(LEFT(AO146,4)="True",IF(_xlfn.XLOOKUP("Risky_Outbound",'Scoring_Config'!$A:$A,'Scoring_Config'!$D:$D,"Yes")="Yes",_xlfn.XLOOKUP("Risky_Outbound",'Scoring_Config'!$A:$A,'Scoring_Config'!$C:$C,10),0),0)+IF(LEFT(AW146,4)="True",IF(_xlfn.XLOOKUP("Migrate_Insecure",'Scoring_Config'!$A:$A,'Scoring_Config'!$D:$D,"Yes")="Yes",_xlfn.XLOOKUP("Migrate_Insecure",'Scoring_Config'!$A:$A,'Scoring_Config'!$C:$C,15),0),0)+IF(LEFT(AY146,4)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146,FIND(",",AP146)+1,100)),0)+IF(LEFT(AQ146,4)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146,FIND(",",AR146)+1,100)),0)+IF(_xlfn.XLOOKUP("Profile_Scoring",'Scoring_Config'!$A:$A,'Scoring_Config'!$D:$D,"Yes")="Yes",VALUE(MID(AS146,FIND(",",AS146)+1,100)),0)+IF(_xlfn.XLOOKUP("Options_Scoring",'Scoring_Config'!$A:$A,'Scoring_Config'!$D:$D,"Yes")="Yes",VALUE(MID(AT146,FIND(",",AT146)+1,100)),0)))</f>
        <v>0</v>
      </c>
    </row>
    <row r="147" spans="1:52">
      <c r="A147" s="3" t="s">
        <v>53</v>
      </c>
      <c r="B147" s="3" t="s">
        <v>166</v>
      </c>
      <c r="C147" s="3" t="s">
        <v>330</v>
      </c>
      <c r="D147" s="3"/>
      <c r="E147" s="3" t="s">
        <v>359</v>
      </c>
      <c r="F147" s="3" t="s">
        <v>362</v>
      </c>
      <c r="G147" s="3" t="s">
        <v>365</v>
      </c>
      <c r="H147" s="3" t="s">
        <v>365</v>
      </c>
      <c r="I147" s="3" t="s">
        <v>365</v>
      </c>
      <c r="J147" s="3" t="s">
        <v>362</v>
      </c>
      <c r="K147" s="3" t="s">
        <v>410</v>
      </c>
      <c r="L147" s="3" t="s">
        <v>564</v>
      </c>
      <c r="M147" s="3" t="s">
        <v>776</v>
      </c>
      <c r="N147" s="3" t="s">
        <v>791</v>
      </c>
      <c r="O147" s="4" t="s">
        <v>836</v>
      </c>
      <c r="P147" s="3" t="s">
        <v>836</v>
      </c>
      <c r="Q147" s="3" t="s">
        <v>905</v>
      </c>
      <c r="R147" s="3" t="s">
        <v>906</v>
      </c>
      <c r="S147" s="3" t="s">
        <v>912</v>
      </c>
      <c r="T147" s="3" t="s">
        <v>1013</v>
      </c>
      <c r="U147" s="3" t="s">
        <v>1150</v>
      </c>
      <c r="V147" s="3" t="s">
        <v>770</v>
      </c>
      <c r="W147" s="3" t="s">
        <v>1483</v>
      </c>
      <c r="X147" s="3" t="s">
        <v>1751</v>
      </c>
      <c r="Y147" s="3" t="s">
        <v>2220</v>
      </c>
      <c r="Z147" s="3"/>
      <c r="AA147" s="3"/>
      <c r="AB147" s="3"/>
      <c r="AC147" s="5" cm="1">
        <f t="array" ref="AC147">IF(TRUE,"True," &amp; IF(_xlfn.XLOOKUP("Src_IsAny",'Scoring_Config'!$A:$A,'Scoring_Config'!$D:$D,"Yes")="Yes",_xlfn.XLOOKUP("Src_IsAny",'Scoring_Config'!$A:$A,'Scoring_Config'!$C:$C,25),0),"False,0")</f>
        <v>0</v>
      </c>
      <c r="AD147" s="4" cm="1">
        <f t="array" ref="AD147">IF(FALSE,"True," &amp; IF(_xlfn.XLOOKUP("Src_CIDR_Le_16",'Scoring_Config'!$A:$A,'Scoring_Config'!$D:$D,"Yes")="Yes",_xlfn.XLOOKUP("Src_CIDR_Le_16",'Scoring_Config'!$A:$A,'Scoring_Config'!$C:$C,25),0),"False,0")</f>
        <v>0</v>
      </c>
      <c r="AE147" s="4" cm="1">
        <f t="array" ref="AE147">IF(FALSE,"True," &amp; IF(_xlfn.XLOOKUP("Src_CIDR_17_22",'Scoring_Config'!$A:$A,'Scoring_Config'!$D:$D,"Yes")="Yes",_xlfn.XLOOKUP("Src_CIDR_17_22",'Scoring_Config'!$A:$A,'Scoring_Config'!$C:$C,15),0),"False,0")</f>
        <v>0</v>
      </c>
      <c r="AF147" s="4" cm="1">
        <f t="array" ref="AF147">IF(FALSE,"True," &amp; IF(_xlfn.XLOOKUP("Dst_IsAny",'Scoring_Config'!$A:$A,'Scoring_Config'!$D:$D,"Yes")="Yes",_xlfn.XLOOKUP("Dst_IsAny",'Scoring_Config'!$A:$A,'Scoring_Config'!$C:$C,25),0),"False,0")</f>
        <v>0</v>
      </c>
      <c r="AG147" s="5" cm="1">
        <f t="array" ref="AG147">IF(TRUE,"True," &amp; IF(_xlfn.XLOOKUP("Dst_CIDR_Le_16",'Scoring_Config'!$A:$A,'Scoring_Config'!$D:$D,"Yes")="Yes",_xlfn.XLOOKUP("Dst_CIDR_Le_16",'Scoring_Config'!$A:$A,'Scoring_Config'!$C:$C,25),0),"False,0")</f>
        <v>0</v>
      </c>
      <c r="AH147" s="4" cm="1">
        <f t="array" ref="AH147">IF(FALSE,"True," &amp; IF(_xlfn.XLOOKUP("Dst_CIDR_17_22",'Scoring_Config'!$A:$A,'Scoring_Config'!$D:$D,"Yes")="Yes",_xlfn.XLOOKUP("Dst_CIDR_17_22",'Scoring_Config'!$A:$A,'Scoring_Config'!$C:$C,15),0),"False,0")</f>
        <v>0</v>
      </c>
      <c r="AI147" s="4" cm="1">
        <f t="array" ref="AI147">IF(FALSE,"True," &amp; IF(_xlfn.XLOOKUP("SrcZone_IsAny",'Scoring_Config'!$A:$A,'Scoring_Config'!$D:$D,"Yes")="Yes",_xlfn.XLOOKUP("SrcZone_IsAny",'Scoring_Config'!$A:$A,'Scoring_Config'!$C:$C,5),0),"False,0")</f>
        <v>0</v>
      </c>
      <c r="AJ147" s="4" cm="1">
        <f t="array" ref="AJ147">IF(FALSE,"True," &amp; IF(_xlfn.XLOOKUP("DstZone_IsAny",'Scoring_Config'!$A:$A,'Scoring_Config'!$D:$D,"Yes")="Yes",_xlfn.XLOOKUP("DstZone_IsAny",'Scoring_Config'!$A:$A,'Scoring_Config'!$C:$C,5),0),"False,0")</f>
        <v>0</v>
      </c>
      <c r="AK147" s="4" cm="1">
        <f t="array" ref="AK14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7" s="5" cm="1">
        <f t="array" ref="AL147">IF(TRUE,"True," &amp; IF(_xlfn.XLOOKUP("App_Any_OR_RangeGt1000",'Scoring_Config'!$A:$A,'Scoring_Config'!$D:$D,"Yes")="Yes",_xlfn.XLOOKUP("App_Any_OR_RangeGt1000",'Scoring_Config'!$A:$A,'Scoring_Config'!$C:$C,25),0),"False,0")</f>
        <v>0</v>
      </c>
      <c r="AM147" s="4" cm="1">
        <f t="array" ref="AM147">IF(FALSE,"True," &amp; IF(_xlfn.XLOOKUP("Service_Insecure_Match",'Scoring_Config'!$A:$A,'Scoring_Config'!$D:$D,"Yes")="Yes",_xlfn.XLOOKUP("Service_Insecure_Match",'Scoring_Config'!$A:$A,'Scoring_Config'!$C:$C,20),0),"False,0")</f>
        <v>0</v>
      </c>
      <c r="AN147" s="4" cm="1">
        <f t="array" ref="AN147">IF(FALSE,"True," &amp; IF(_xlfn.XLOOKUP("Risky_Inbound",'Scoring_Config'!$A:$A,'Scoring_Config'!$D:$D,"Yes")="Yes",_xlfn.XLOOKUP("Risky_Inbound",'Scoring_Config'!$A:$A,'Scoring_Config'!$C:$C,20),0),"False,0")</f>
        <v>0</v>
      </c>
      <c r="AO147" s="4" cm="1">
        <f t="array" ref="AO147">IF(FALSE,"True," &amp; IF(_xlfn.XLOOKUP("Risky_Outbound",'Scoring_Config'!$A:$A,'Scoring_Config'!$D:$D,"Yes")="Yes",_xlfn.XLOOKUP("Risky_Outbound",'Scoring_Config'!$A:$A,'Scoring_Config'!$C:$C,10),0),"False,0")</f>
        <v>0</v>
      </c>
      <c r="AP147" s="5" t="s">
        <v>2595</v>
      </c>
      <c r="AQ147" s="5" cm="1">
        <f t="array" ref="AQ14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7" s="4" t="s">
        <v>2592</v>
      </c>
      <c r="AS147" s="4" t="s">
        <v>2592</v>
      </c>
      <c r="AT147" s="4" t="s">
        <v>2592</v>
      </c>
      <c r="AU147" s="4" cm="1">
        <f t="array" ref="AU147">IF(FALSE,"True," &amp; IF(_xlfn.XLOOKUP("Action_IsDenyOrDrop",'Scoring_Config'!$A:$A,'Scoring_Config'!$D:$D,"Yes")="Yes",_xlfn.XLOOKUP("Action_IsDenyOrDrop",'Scoring_Config'!$A:$A,'Scoring_Config'!$C:$C,0),0),"False,0")</f>
        <v>0</v>
      </c>
      <c r="AV147" s="4"/>
      <c r="AW147" s="4" cm="1">
        <f t="array" ref="AW147">IF(FALSE,"True," &amp; IF(_xlfn.XLOOKUP("Migrate_Insecure",'Scoring_Config'!$A:$A,'Scoring_Config'!$D:$D,"Yes")="Yes",_xlfn.XLOOKUP("Migrate_Insecure",'Scoring_Config'!$A:$A,'Scoring_Config'!$C:$C,15),0),"False,0")</f>
        <v>0</v>
      </c>
      <c r="AX147" s="4"/>
      <c r="AY147" s="4" cm="1">
        <f t="array" ref="AY147">IF(FALSE,"True," &amp; IF(_xlfn.XLOOKUP("Migrate_Other_Ports",'Scoring_Config'!$A:$A,'Scoring_Config'!$D:$D,"Yes")="Yes",_xlfn.XLOOKUP("Migrate_Other_Ports",'Scoring_Config'!$A:$A,'Scoring_Config'!$C:$C,5),0),"False,0")</f>
        <v>0</v>
      </c>
      <c r="AZ147" s="4" cm="1">
        <f t="array" ref="AZ147">IF(LEFT(AU147,4)="True",0,(IF(LEFT(AC147,4)="True",IF(_xlfn.XLOOKUP("Src_IsAny",'Scoring_Config'!$A:$A,'Scoring_Config'!$D:$D,"Yes")="Yes",_xlfn.XLOOKUP("Src_IsAny",'Scoring_Config'!$A:$A,'Scoring_Config'!$C:$C,25),0),0)+IF(LEFT(AD147,4)="True",IF(_xlfn.XLOOKUP("Src_CIDR_Le_16",'Scoring_Config'!$A:$A,'Scoring_Config'!$D:$D,"Yes")="Yes",_xlfn.XLOOKUP("Src_CIDR_Le_16",'Scoring_Config'!$A:$A,'Scoring_Config'!$C:$C,25),0),0)+IF(LEFT(AE147,4)="True",IF(_xlfn.XLOOKUP("Src_CIDR_17_22",'Scoring_Config'!$A:$A,'Scoring_Config'!$D:$D,"Yes")="Yes",_xlfn.XLOOKUP("Src_CIDR_17_22",'Scoring_Config'!$A:$A,'Scoring_Config'!$C:$C,15),0),0)+IF(LEFT(AF147,4)="True",IF(_xlfn.XLOOKUP("Dst_IsAny",'Scoring_Config'!$A:$A,'Scoring_Config'!$D:$D,"Yes")="Yes",_xlfn.XLOOKUP("Dst_IsAny",'Scoring_Config'!$A:$A,'Scoring_Config'!$C:$C,25),0),0)+IF(LEFT(AG147,4)="True",IF(_xlfn.XLOOKUP("Dst_CIDR_Le_16",'Scoring_Config'!$A:$A,'Scoring_Config'!$D:$D,"Yes")="Yes",_xlfn.XLOOKUP("Dst_CIDR_Le_16",'Scoring_Config'!$A:$A,'Scoring_Config'!$C:$C,25),0),0)+IF(LEFT(AH147,4)="True",IF(_xlfn.XLOOKUP("Dst_CIDR_17_22",'Scoring_Config'!$A:$A,'Scoring_Config'!$D:$D,"Yes")="Yes",_xlfn.XLOOKUP("Dst_CIDR_17_22",'Scoring_Config'!$A:$A,'Scoring_Config'!$C:$C,15),0),0)+IF(LEFT(AI147,4)="True",IF(_xlfn.XLOOKUP("SrcZone_IsAny",'Scoring_Config'!$A:$A,'Scoring_Config'!$D:$D,"Yes")="Yes",_xlfn.XLOOKUP("SrcZone_IsAny",'Scoring_Config'!$A:$A,'Scoring_Config'!$C:$C,5),0),0)+IF(LEFT(AJ147,4)="True",IF(_xlfn.XLOOKUP("DstZone_IsAny",'Scoring_Config'!$A:$A,'Scoring_Config'!$D:$D,"Yes")="Yes",_xlfn.XLOOKUP("DstZone_IsAny",'Scoring_Config'!$A:$A,'Scoring_Config'!$C:$C,5),0),0)+IF(LEFT(AK147,4)="True",IF(_xlfn.XLOOKUP("Service_Any_OR_RangeGt1000",'Scoring_Config'!$A:$A,'Scoring_Config'!$D:$D,"Yes")="Yes",_xlfn.XLOOKUP("Service_Any_OR_RangeGt1000",'Scoring_Config'!$A:$A,'Scoring_Config'!$C:$C,25),0),0)+IF(LEFT(AL147,4)="True",IF(_xlfn.XLOOKUP("App_Any_OR_RangeGt1000",'Scoring_Config'!$A:$A,'Scoring_Config'!$D:$D,"Yes")="Yes",_xlfn.XLOOKUP("App_Any_OR_RangeGt1000",'Scoring_Config'!$A:$A,'Scoring_Config'!$C:$C,25),0),0)+IF(LEFT(AM147,4)="True",IF(_xlfn.XLOOKUP("Service_Insecure_Match",'Scoring_Config'!$A:$A,'Scoring_Config'!$D:$D,"Yes")="Yes",_xlfn.XLOOKUP("Service_Insecure_Match",'Scoring_Config'!$A:$A,'Scoring_Config'!$C:$C,20),0),0)+IF(LEFT(AN147,4)="True",IF(_xlfn.XLOOKUP("Risky_Inbound",'Scoring_Config'!$A:$A,'Scoring_Config'!$D:$D,"Yes")="Yes",_xlfn.XLOOKUP("Risky_Inbound",'Scoring_Config'!$A:$A,'Scoring_Config'!$C:$C,20),0),0)+IF(LEFT(AO147,4)="True",IF(_xlfn.XLOOKUP("Risky_Outbound",'Scoring_Config'!$A:$A,'Scoring_Config'!$D:$D,"Yes")="Yes",_xlfn.XLOOKUP("Risky_Outbound",'Scoring_Config'!$A:$A,'Scoring_Config'!$C:$C,10),0),0)+IF(LEFT(AW147,4)="True",IF(_xlfn.XLOOKUP("Migrate_Insecure",'Scoring_Config'!$A:$A,'Scoring_Config'!$D:$D,"Yes")="Yes",_xlfn.XLOOKUP("Migrate_Insecure",'Scoring_Config'!$A:$A,'Scoring_Config'!$C:$C,15),0),0)+IF(LEFT(AY147,4)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147,FIND(",",AP147)+1,100)),0)+IF(LEFT(AQ147,4)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147,FIND(",",AR147)+1,100)),0)+IF(_xlfn.XLOOKUP("Profile_Scoring",'Scoring_Config'!$A:$A,'Scoring_Config'!$D:$D,"Yes")="Yes",VALUE(MID(AS147,FIND(",",AS147)+1,100)),0)+IF(_xlfn.XLOOKUP("Options_Scoring",'Scoring_Config'!$A:$A,'Scoring_Config'!$D:$D,"Yes")="Yes",VALUE(MID(AT147,FIND(",",AT147)+1,100)),0)))</f>
        <v>0</v>
      </c>
    </row>
    <row r="148" spans="1:52">
      <c r="A148" s="3" t="s">
        <v>53</v>
      </c>
      <c r="B148" s="3" t="s">
        <v>167</v>
      </c>
      <c r="C148" s="3" t="s">
        <v>330</v>
      </c>
      <c r="D148" s="3"/>
      <c r="E148" s="3" t="s">
        <v>359</v>
      </c>
      <c r="F148" s="3" t="s">
        <v>362</v>
      </c>
      <c r="G148" s="3" t="s">
        <v>412</v>
      </c>
      <c r="H148" s="3" t="s">
        <v>566</v>
      </c>
      <c r="I148" s="3" t="s">
        <v>365</v>
      </c>
      <c r="J148" s="3" t="s">
        <v>360</v>
      </c>
      <c r="K148" s="3" t="s">
        <v>365</v>
      </c>
      <c r="L148" s="3" t="s">
        <v>365</v>
      </c>
      <c r="M148" s="3" t="s">
        <v>365</v>
      </c>
      <c r="N148" s="3" t="s">
        <v>365</v>
      </c>
      <c r="O148" s="4" t="s">
        <v>832</v>
      </c>
      <c r="P148" s="3" t="s">
        <v>893</v>
      </c>
      <c r="Q148" s="3" t="s">
        <v>905</v>
      </c>
      <c r="R148" s="3" t="s">
        <v>908</v>
      </c>
      <c r="S148" s="3" t="s">
        <v>914</v>
      </c>
      <c r="T148" s="3" t="s">
        <v>919</v>
      </c>
      <c r="U148" s="3" t="s">
        <v>1218</v>
      </c>
      <c r="V148" s="3" t="s">
        <v>1388</v>
      </c>
      <c r="W148" s="3" t="s">
        <v>1062</v>
      </c>
      <c r="X148" s="3" t="s">
        <v>1752</v>
      </c>
      <c r="Y148" s="3" t="s">
        <v>2221</v>
      </c>
      <c r="Z148" s="3"/>
      <c r="AA148" s="3"/>
      <c r="AB148" s="3"/>
      <c r="AC148" s="5" cm="1">
        <f t="array" ref="AC148">IF(TRUE,"True," &amp; IF(_xlfn.XLOOKUP("Src_IsAny",'Scoring_Config'!$A:$A,'Scoring_Config'!$D:$D,"Yes")="Yes",_xlfn.XLOOKUP("Src_IsAny",'Scoring_Config'!$A:$A,'Scoring_Config'!$C:$C,25),0),"False,0")</f>
        <v>0</v>
      </c>
      <c r="AD148" s="5" cm="1">
        <f t="array" ref="AD148">IF(TRUE,"True," &amp; IF(_xlfn.XLOOKUP("Src_CIDR_Le_16",'Scoring_Config'!$A:$A,'Scoring_Config'!$D:$D,"Yes")="Yes",_xlfn.XLOOKUP("Src_CIDR_Le_16",'Scoring_Config'!$A:$A,'Scoring_Config'!$C:$C,25),0),"False,0")</f>
        <v>0</v>
      </c>
      <c r="AE148" s="4" cm="1">
        <f t="array" ref="AE148">IF(FALSE,"True," &amp; IF(_xlfn.XLOOKUP("Src_CIDR_17_22",'Scoring_Config'!$A:$A,'Scoring_Config'!$D:$D,"Yes")="Yes",_xlfn.XLOOKUP("Src_CIDR_17_22",'Scoring_Config'!$A:$A,'Scoring_Config'!$C:$C,15),0),"False,0")</f>
        <v>0</v>
      </c>
      <c r="AF148" s="5" cm="1">
        <f t="array" ref="AF148">IF(TRUE,"True," &amp; IF(_xlfn.XLOOKUP("Dst_IsAny",'Scoring_Config'!$A:$A,'Scoring_Config'!$D:$D,"Yes")="Yes",_xlfn.XLOOKUP("Dst_IsAny",'Scoring_Config'!$A:$A,'Scoring_Config'!$C:$C,25),0),"False,0")</f>
        <v>0</v>
      </c>
      <c r="AG148" s="4" cm="1">
        <f t="array" ref="AG148">IF(FALSE,"True," &amp; IF(_xlfn.XLOOKUP("Dst_CIDR_Le_16",'Scoring_Config'!$A:$A,'Scoring_Config'!$D:$D,"Yes")="Yes",_xlfn.XLOOKUP("Dst_CIDR_Le_16",'Scoring_Config'!$A:$A,'Scoring_Config'!$C:$C,25),0),"False,0")</f>
        <v>0</v>
      </c>
      <c r="AH148" s="4" cm="1">
        <f t="array" ref="AH148">IF(FALSE,"True," &amp; IF(_xlfn.XLOOKUP("Dst_CIDR_17_22",'Scoring_Config'!$A:$A,'Scoring_Config'!$D:$D,"Yes")="Yes",_xlfn.XLOOKUP("Dst_CIDR_17_22",'Scoring_Config'!$A:$A,'Scoring_Config'!$C:$C,15),0),"False,0")</f>
        <v>0</v>
      </c>
      <c r="AI148" s="4" cm="1">
        <f t="array" ref="AI148">IF(FALSE,"True," &amp; IF(_xlfn.XLOOKUP("SrcZone_IsAny",'Scoring_Config'!$A:$A,'Scoring_Config'!$D:$D,"Yes")="Yes",_xlfn.XLOOKUP("SrcZone_IsAny",'Scoring_Config'!$A:$A,'Scoring_Config'!$C:$C,5),0),"False,0")</f>
        <v>0</v>
      </c>
      <c r="AJ148" s="4" cm="1">
        <f t="array" ref="AJ148">IF(FALSE,"True," &amp; IF(_xlfn.XLOOKUP("DstZone_IsAny",'Scoring_Config'!$A:$A,'Scoring_Config'!$D:$D,"Yes")="Yes",_xlfn.XLOOKUP("DstZone_IsAny",'Scoring_Config'!$A:$A,'Scoring_Config'!$C:$C,5),0),"False,0")</f>
        <v>0</v>
      </c>
      <c r="AK148" s="4" cm="1">
        <f t="array" ref="AK14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8" s="5" cm="1">
        <f t="array" ref="AL148">IF(TRUE,"True," &amp; IF(_xlfn.XLOOKUP("App_Any_OR_RangeGt1000",'Scoring_Config'!$A:$A,'Scoring_Config'!$D:$D,"Yes")="Yes",_xlfn.XLOOKUP("App_Any_OR_RangeGt1000",'Scoring_Config'!$A:$A,'Scoring_Config'!$C:$C,25),0),"False,0")</f>
        <v>0</v>
      </c>
      <c r="AM148" s="5" cm="1">
        <f t="array" ref="AM148">IF(TRUE,"True," &amp; IF(_xlfn.XLOOKUP("Service_Insecure_Match",'Scoring_Config'!$A:$A,'Scoring_Config'!$D:$D,"Yes")="Yes",_xlfn.XLOOKUP("Service_Insecure_Match",'Scoring_Config'!$A:$A,'Scoring_Config'!$C:$C,20),0),"False,0")</f>
        <v>0</v>
      </c>
      <c r="AN148" s="4" cm="1">
        <f t="array" ref="AN148">IF(FALSE,"True," &amp; IF(_xlfn.XLOOKUP("Risky_Inbound",'Scoring_Config'!$A:$A,'Scoring_Config'!$D:$D,"Yes")="Yes",_xlfn.XLOOKUP("Risky_Inbound",'Scoring_Config'!$A:$A,'Scoring_Config'!$C:$C,20),0),"False,0")</f>
        <v>0</v>
      </c>
      <c r="AO148" s="4" cm="1">
        <f t="array" ref="AO148">IF(FALSE,"True," &amp; IF(_xlfn.XLOOKUP("Risky_Outbound",'Scoring_Config'!$A:$A,'Scoring_Config'!$D:$D,"Yes")="Yes",_xlfn.XLOOKUP("Risky_Outbound",'Scoring_Config'!$A:$A,'Scoring_Config'!$C:$C,10),0),"False,0")</f>
        <v>0</v>
      </c>
      <c r="AP148" s="5" t="s">
        <v>2595</v>
      </c>
      <c r="AQ148" s="4" cm="1">
        <f t="array" ref="AQ14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8" s="4" t="s">
        <v>2592</v>
      </c>
      <c r="AS148" s="4" t="s">
        <v>2592</v>
      </c>
      <c r="AT148" s="4" t="s">
        <v>2592</v>
      </c>
      <c r="AU148" s="4" cm="1">
        <f t="array" ref="AU148">IF(FALSE,"True," &amp; IF(_xlfn.XLOOKUP("Action_IsDenyOrDrop",'Scoring_Config'!$A:$A,'Scoring_Config'!$D:$D,"Yes")="Yes",_xlfn.XLOOKUP("Action_IsDenyOrDrop",'Scoring_Config'!$A:$A,'Scoring_Config'!$C:$C,0),0),"False,0")</f>
        <v>0</v>
      </c>
      <c r="AV148" s="4"/>
      <c r="AW148" s="4" cm="1">
        <f t="array" ref="AW148">IF(FALSE,"True," &amp; IF(_xlfn.XLOOKUP("Migrate_Insecure",'Scoring_Config'!$A:$A,'Scoring_Config'!$D:$D,"Yes")="Yes",_xlfn.XLOOKUP("Migrate_Insecure",'Scoring_Config'!$A:$A,'Scoring_Config'!$C:$C,15),0),"False,0")</f>
        <v>0</v>
      </c>
      <c r="AX148" s="4"/>
      <c r="AY148" s="4" cm="1">
        <f t="array" ref="AY148">IF(FALSE,"True," &amp; IF(_xlfn.XLOOKUP("Migrate_Other_Ports",'Scoring_Config'!$A:$A,'Scoring_Config'!$D:$D,"Yes")="Yes",_xlfn.XLOOKUP("Migrate_Other_Ports",'Scoring_Config'!$A:$A,'Scoring_Config'!$C:$C,5),0),"False,0")</f>
        <v>0</v>
      </c>
      <c r="AZ148" s="4" cm="1">
        <f t="array" ref="AZ148">IF(LEFT(AU148,4)="True",0,(IF(LEFT(AC148,4)="True",IF(_xlfn.XLOOKUP("Src_IsAny",'Scoring_Config'!$A:$A,'Scoring_Config'!$D:$D,"Yes")="Yes",_xlfn.XLOOKUP("Src_IsAny",'Scoring_Config'!$A:$A,'Scoring_Config'!$C:$C,25),0),0)+IF(LEFT(AD148,4)="True",IF(_xlfn.XLOOKUP("Src_CIDR_Le_16",'Scoring_Config'!$A:$A,'Scoring_Config'!$D:$D,"Yes")="Yes",_xlfn.XLOOKUP("Src_CIDR_Le_16",'Scoring_Config'!$A:$A,'Scoring_Config'!$C:$C,25),0),0)+IF(LEFT(AE148,4)="True",IF(_xlfn.XLOOKUP("Src_CIDR_17_22",'Scoring_Config'!$A:$A,'Scoring_Config'!$D:$D,"Yes")="Yes",_xlfn.XLOOKUP("Src_CIDR_17_22",'Scoring_Config'!$A:$A,'Scoring_Config'!$C:$C,15),0),0)+IF(LEFT(AF148,4)="True",IF(_xlfn.XLOOKUP("Dst_IsAny",'Scoring_Config'!$A:$A,'Scoring_Config'!$D:$D,"Yes")="Yes",_xlfn.XLOOKUP("Dst_IsAny",'Scoring_Config'!$A:$A,'Scoring_Config'!$C:$C,25),0),0)+IF(LEFT(AG148,4)="True",IF(_xlfn.XLOOKUP("Dst_CIDR_Le_16",'Scoring_Config'!$A:$A,'Scoring_Config'!$D:$D,"Yes")="Yes",_xlfn.XLOOKUP("Dst_CIDR_Le_16",'Scoring_Config'!$A:$A,'Scoring_Config'!$C:$C,25),0),0)+IF(LEFT(AH148,4)="True",IF(_xlfn.XLOOKUP("Dst_CIDR_17_22",'Scoring_Config'!$A:$A,'Scoring_Config'!$D:$D,"Yes")="Yes",_xlfn.XLOOKUP("Dst_CIDR_17_22",'Scoring_Config'!$A:$A,'Scoring_Config'!$C:$C,15),0),0)+IF(LEFT(AI148,4)="True",IF(_xlfn.XLOOKUP("SrcZone_IsAny",'Scoring_Config'!$A:$A,'Scoring_Config'!$D:$D,"Yes")="Yes",_xlfn.XLOOKUP("SrcZone_IsAny",'Scoring_Config'!$A:$A,'Scoring_Config'!$C:$C,5),0),0)+IF(LEFT(AJ148,4)="True",IF(_xlfn.XLOOKUP("DstZone_IsAny",'Scoring_Config'!$A:$A,'Scoring_Config'!$D:$D,"Yes")="Yes",_xlfn.XLOOKUP("DstZone_IsAny",'Scoring_Config'!$A:$A,'Scoring_Config'!$C:$C,5),0),0)+IF(LEFT(AK148,4)="True",IF(_xlfn.XLOOKUP("Service_Any_OR_RangeGt1000",'Scoring_Config'!$A:$A,'Scoring_Config'!$D:$D,"Yes")="Yes",_xlfn.XLOOKUP("Service_Any_OR_RangeGt1000",'Scoring_Config'!$A:$A,'Scoring_Config'!$C:$C,25),0),0)+IF(LEFT(AL148,4)="True",IF(_xlfn.XLOOKUP("App_Any_OR_RangeGt1000",'Scoring_Config'!$A:$A,'Scoring_Config'!$D:$D,"Yes")="Yes",_xlfn.XLOOKUP("App_Any_OR_RangeGt1000",'Scoring_Config'!$A:$A,'Scoring_Config'!$C:$C,25),0),0)+IF(LEFT(AM148,4)="True",IF(_xlfn.XLOOKUP("Service_Insecure_Match",'Scoring_Config'!$A:$A,'Scoring_Config'!$D:$D,"Yes")="Yes",_xlfn.XLOOKUP("Service_Insecure_Match",'Scoring_Config'!$A:$A,'Scoring_Config'!$C:$C,20),0),0)+IF(LEFT(AN148,4)="True",IF(_xlfn.XLOOKUP("Risky_Inbound",'Scoring_Config'!$A:$A,'Scoring_Config'!$D:$D,"Yes")="Yes",_xlfn.XLOOKUP("Risky_Inbound",'Scoring_Config'!$A:$A,'Scoring_Config'!$C:$C,20),0),0)+IF(LEFT(AO148,4)="True",IF(_xlfn.XLOOKUP("Risky_Outbound",'Scoring_Config'!$A:$A,'Scoring_Config'!$D:$D,"Yes")="Yes",_xlfn.XLOOKUP("Risky_Outbound",'Scoring_Config'!$A:$A,'Scoring_Config'!$C:$C,10),0),0)+IF(LEFT(AW148,4)="True",IF(_xlfn.XLOOKUP("Migrate_Insecure",'Scoring_Config'!$A:$A,'Scoring_Config'!$D:$D,"Yes")="Yes",_xlfn.XLOOKUP("Migrate_Insecure",'Scoring_Config'!$A:$A,'Scoring_Config'!$C:$C,15),0),0)+IF(LEFT(AY148,4)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148,FIND(",",AP148)+1,100)),0)+IF(LEFT(AQ148,4)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148,FIND(",",AR148)+1,100)),0)+IF(_xlfn.XLOOKUP("Profile_Scoring",'Scoring_Config'!$A:$A,'Scoring_Config'!$D:$D,"Yes")="Yes",VALUE(MID(AS148,FIND(",",AS148)+1,100)),0)+IF(_xlfn.XLOOKUP("Options_Scoring",'Scoring_Config'!$A:$A,'Scoring_Config'!$D:$D,"Yes")="Yes",VALUE(MID(AT148,FIND(",",AT148)+1,100)),0)))</f>
        <v>0</v>
      </c>
    </row>
    <row r="149" spans="1:52">
      <c r="A149" s="3" t="s">
        <v>53</v>
      </c>
      <c r="B149" s="3" t="s">
        <v>168</v>
      </c>
      <c r="C149" s="3" t="s">
        <v>330</v>
      </c>
      <c r="D149" s="3"/>
      <c r="E149" s="3" t="s">
        <v>359</v>
      </c>
      <c r="F149" s="3" t="s">
        <v>361</v>
      </c>
      <c r="G149" s="3" t="s">
        <v>365</v>
      </c>
      <c r="H149" s="3" t="s">
        <v>365</v>
      </c>
      <c r="I149" s="3" t="s">
        <v>365</v>
      </c>
      <c r="J149" s="3" t="s">
        <v>364</v>
      </c>
      <c r="K149" s="3" t="s">
        <v>365</v>
      </c>
      <c r="L149" s="3" t="s">
        <v>365</v>
      </c>
      <c r="M149" s="3" t="s">
        <v>365</v>
      </c>
      <c r="N149" s="3" t="s">
        <v>365</v>
      </c>
      <c r="O149" s="4" t="s">
        <v>807</v>
      </c>
      <c r="P149" s="3" t="s">
        <v>868</v>
      </c>
      <c r="Q149" s="3" t="s">
        <v>905</v>
      </c>
      <c r="R149" s="3" t="s">
        <v>907</v>
      </c>
      <c r="S149" s="3" t="s">
        <v>913</v>
      </c>
      <c r="T149" s="3" t="s">
        <v>919</v>
      </c>
      <c r="U149" s="3" t="s">
        <v>1219</v>
      </c>
      <c r="V149" s="3" t="s">
        <v>1387</v>
      </c>
      <c r="W149" s="3" t="s">
        <v>1410</v>
      </c>
      <c r="X149" s="3" t="s">
        <v>1753</v>
      </c>
      <c r="Y149" s="3" t="s">
        <v>2222</v>
      </c>
      <c r="Z149" s="3"/>
      <c r="AA149" s="3"/>
      <c r="AB149" s="3"/>
      <c r="AC149" s="5" cm="1">
        <f t="array" ref="AC149">IF(TRUE,"True," &amp; IF(_xlfn.XLOOKUP("Src_IsAny",'Scoring_Config'!$A:$A,'Scoring_Config'!$D:$D,"Yes")="Yes",_xlfn.XLOOKUP("Src_IsAny",'Scoring_Config'!$A:$A,'Scoring_Config'!$C:$C,25),0),"False,0")</f>
        <v>0</v>
      </c>
      <c r="AD149" s="4" cm="1">
        <f t="array" ref="AD149">IF(FALSE,"True," &amp; IF(_xlfn.XLOOKUP("Src_CIDR_Le_16",'Scoring_Config'!$A:$A,'Scoring_Config'!$D:$D,"Yes")="Yes",_xlfn.XLOOKUP("Src_CIDR_Le_16",'Scoring_Config'!$A:$A,'Scoring_Config'!$C:$C,25),0),"False,0")</f>
        <v>0</v>
      </c>
      <c r="AE149" s="4" cm="1">
        <f t="array" ref="AE149">IF(FALSE,"True," &amp; IF(_xlfn.XLOOKUP("Src_CIDR_17_22",'Scoring_Config'!$A:$A,'Scoring_Config'!$D:$D,"Yes")="Yes",_xlfn.XLOOKUP("Src_CIDR_17_22",'Scoring_Config'!$A:$A,'Scoring_Config'!$C:$C,15),0),"False,0")</f>
        <v>0</v>
      </c>
      <c r="AF149" s="5" cm="1">
        <f t="array" ref="AF149">IF(TRUE,"True," &amp; IF(_xlfn.XLOOKUP("Dst_IsAny",'Scoring_Config'!$A:$A,'Scoring_Config'!$D:$D,"Yes")="Yes",_xlfn.XLOOKUP("Dst_IsAny",'Scoring_Config'!$A:$A,'Scoring_Config'!$C:$C,25),0),"False,0")</f>
        <v>0</v>
      </c>
      <c r="AG149" s="4" cm="1">
        <f t="array" ref="AG149">IF(FALSE,"True," &amp; IF(_xlfn.XLOOKUP("Dst_CIDR_Le_16",'Scoring_Config'!$A:$A,'Scoring_Config'!$D:$D,"Yes")="Yes",_xlfn.XLOOKUP("Dst_CIDR_Le_16",'Scoring_Config'!$A:$A,'Scoring_Config'!$C:$C,25),0),"False,0")</f>
        <v>0</v>
      </c>
      <c r="AH149" s="4" cm="1">
        <f t="array" ref="AH149">IF(FALSE,"True," &amp; IF(_xlfn.XLOOKUP("Dst_CIDR_17_22",'Scoring_Config'!$A:$A,'Scoring_Config'!$D:$D,"Yes")="Yes",_xlfn.XLOOKUP("Dst_CIDR_17_22",'Scoring_Config'!$A:$A,'Scoring_Config'!$C:$C,15),0),"False,0")</f>
        <v>0</v>
      </c>
      <c r="AI149" s="4" cm="1">
        <f t="array" ref="AI149">IF(FALSE,"True," &amp; IF(_xlfn.XLOOKUP("SrcZone_IsAny",'Scoring_Config'!$A:$A,'Scoring_Config'!$D:$D,"Yes")="Yes",_xlfn.XLOOKUP("SrcZone_IsAny",'Scoring_Config'!$A:$A,'Scoring_Config'!$C:$C,5),0),"False,0")</f>
        <v>0</v>
      </c>
      <c r="AJ149" s="4" cm="1">
        <f t="array" ref="AJ149">IF(FALSE,"True," &amp; IF(_xlfn.XLOOKUP("DstZone_IsAny",'Scoring_Config'!$A:$A,'Scoring_Config'!$D:$D,"Yes")="Yes",_xlfn.XLOOKUP("DstZone_IsAny",'Scoring_Config'!$A:$A,'Scoring_Config'!$C:$C,5),0),"False,0")</f>
        <v>0</v>
      </c>
      <c r="AK149" s="4" cm="1">
        <f t="array" ref="AK14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49" s="5" cm="1">
        <f t="array" ref="AL149">IF(TRUE,"True," &amp; IF(_xlfn.XLOOKUP("App_Any_OR_RangeGt1000",'Scoring_Config'!$A:$A,'Scoring_Config'!$D:$D,"Yes")="Yes",_xlfn.XLOOKUP("App_Any_OR_RangeGt1000",'Scoring_Config'!$A:$A,'Scoring_Config'!$C:$C,25),0),"False,0")</f>
        <v>0</v>
      </c>
      <c r="AM149" s="5" cm="1">
        <f t="array" ref="AM149">IF(TRUE,"True," &amp; IF(_xlfn.XLOOKUP("Service_Insecure_Match",'Scoring_Config'!$A:$A,'Scoring_Config'!$D:$D,"Yes")="Yes",_xlfn.XLOOKUP("Service_Insecure_Match",'Scoring_Config'!$A:$A,'Scoring_Config'!$C:$C,20),0),"False,0")</f>
        <v>0</v>
      </c>
      <c r="AN149" s="4" cm="1">
        <f t="array" ref="AN149">IF(FALSE,"True," &amp; IF(_xlfn.XLOOKUP("Risky_Inbound",'Scoring_Config'!$A:$A,'Scoring_Config'!$D:$D,"Yes")="Yes",_xlfn.XLOOKUP("Risky_Inbound",'Scoring_Config'!$A:$A,'Scoring_Config'!$C:$C,20),0),"False,0")</f>
        <v>0</v>
      </c>
      <c r="AO149" s="4" cm="1">
        <f t="array" ref="AO149">IF(FALSE,"True," &amp; IF(_xlfn.XLOOKUP("Risky_Outbound",'Scoring_Config'!$A:$A,'Scoring_Config'!$D:$D,"Yes")="Yes",_xlfn.XLOOKUP("Risky_Outbound",'Scoring_Config'!$A:$A,'Scoring_Config'!$C:$C,10),0),"False,0")</f>
        <v>0</v>
      </c>
      <c r="AP149" s="5" t="s">
        <v>2595</v>
      </c>
      <c r="AQ149" s="4" cm="1">
        <f t="array" ref="AQ14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49" s="4" t="s">
        <v>2592</v>
      </c>
      <c r="AS149" s="5" t="s">
        <v>2595</v>
      </c>
      <c r="AT149" s="4" t="s">
        <v>2592</v>
      </c>
      <c r="AU149" s="4" cm="1">
        <f t="array" ref="AU149">IF(FALSE,"True," &amp; IF(_xlfn.XLOOKUP("Action_IsDenyOrDrop",'Scoring_Config'!$A:$A,'Scoring_Config'!$D:$D,"Yes")="Yes",_xlfn.XLOOKUP("Action_IsDenyOrDrop",'Scoring_Config'!$A:$A,'Scoring_Config'!$C:$C,0),0),"False,0")</f>
        <v>0</v>
      </c>
      <c r="AV149" s="4"/>
      <c r="AW149" s="4" cm="1">
        <f t="array" ref="AW149">IF(FALSE,"True," &amp; IF(_xlfn.XLOOKUP("Migrate_Insecure",'Scoring_Config'!$A:$A,'Scoring_Config'!$D:$D,"Yes")="Yes",_xlfn.XLOOKUP("Migrate_Insecure",'Scoring_Config'!$A:$A,'Scoring_Config'!$C:$C,15),0),"False,0")</f>
        <v>0</v>
      </c>
      <c r="AX149" s="4"/>
      <c r="AY149" s="4" cm="1">
        <f t="array" ref="AY149">IF(FALSE,"True," &amp; IF(_xlfn.XLOOKUP("Migrate_Other_Ports",'Scoring_Config'!$A:$A,'Scoring_Config'!$D:$D,"Yes")="Yes",_xlfn.XLOOKUP("Migrate_Other_Ports",'Scoring_Config'!$A:$A,'Scoring_Config'!$C:$C,5),0),"False,0")</f>
        <v>0</v>
      </c>
      <c r="AZ149" s="4" cm="1">
        <f t="array" ref="AZ149">IF(LEFT(AU149,4)="True",0,(IF(LEFT(AC149,4)="True",IF(_xlfn.XLOOKUP("Src_IsAny",'Scoring_Config'!$A:$A,'Scoring_Config'!$D:$D,"Yes")="Yes",_xlfn.XLOOKUP("Src_IsAny",'Scoring_Config'!$A:$A,'Scoring_Config'!$C:$C,25),0),0)+IF(LEFT(AD149,4)="True",IF(_xlfn.XLOOKUP("Src_CIDR_Le_16",'Scoring_Config'!$A:$A,'Scoring_Config'!$D:$D,"Yes")="Yes",_xlfn.XLOOKUP("Src_CIDR_Le_16",'Scoring_Config'!$A:$A,'Scoring_Config'!$C:$C,25),0),0)+IF(LEFT(AE149,4)="True",IF(_xlfn.XLOOKUP("Src_CIDR_17_22",'Scoring_Config'!$A:$A,'Scoring_Config'!$D:$D,"Yes")="Yes",_xlfn.XLOOKUP("Src_CIDR_17_22",'Scoring_Config'!$A:$A,'Scoring_Config'!$C:$C,15),0),0)+IF(LEFT(AF149,4)="True",IF(_xlfn.XLOOKUP("Dst_IsAny",'Scoring_Config'!$A:$A,'Scoring_Config'!$D:$D,"Yes")="Yes",_xlfn.XLOOKUP("Dst_IsAny",'Scoring_Config'!$A:$A,'Scoring_Config'!$C:$C,25),0),0)+IF(LEFT(AG149,4)="True",IF(_xlfn.XLOOKUP("Dst_CIDR_Le_16",'Scoring_Config'!$A:$A,'Scoring_Config'!$D:$D,"Yes")="Yes",_xlfn.XLOOKUP("Dst_CIDR_Le_16",'Scoring_Config'!$A:$A,'Scoring_Config'!$C:$C,25),0),0)+IF(LEFT(AH149,4)="True",IF(_xlfn.XLOOKUP("Dst_CIDR_17_22",'Scoring_Config'!$A:$A,'Scoring_Config'!$D:$D,"Yes")="Yes",_xlfn.XLOOKUP("Dst_CIDR_17_22",'Scoring_Config'!$A:$A,'Scoring_Config'!$C:$C,15),0),0)+IF(LEFT(AI149,4)="True",IF(_xlfn.XLOOKUP("SrcZone_IsAny",'Scoring_Config'!$A:$A,'Scoring_Config'!$D:$D,"Yes")="Yes",_xlfn.XLOOKUP("SrcZone_IsAny",'Scoring_Config'!$A:$A,'Scoring_Config'!$C:$C,5),0),0)+IF(LEFT(AJ149,4)="True",IF(_xlfn.XLOOKUP("DstZone_IsAny",'Scoring_Config'!$A:$A,'Scoring_Config'!$D:$D,"Yes")="Yes",_xlfn.XLOOKUP("DstZone_IsAny",'Scoring_Config'!$A:$A,'Scoring_Config'!$C:$C,5),0),0)+IF(LEFT(AK149,4)="True",IF(_xlfn.XLOOKUP("Service_Any_OR_RangeGt1000",'Scoring_Config'!$A:$A,'Scoring_Config'!$D:$D,"Yes")="Yes",_xlfn.XLOOKUP("Service_Any_OR_RangeGt1000",'Scoring_Config'!$A:$A,'Scoring_Config'!$C:$C,25),0),0)+IF(LEFT(AL149,4)="True",IF(_xlfn.XLOOKUP("App_Any_OR_RangeGt1000",'Scoring_Config'!$A:$A,'Scoring_Config'!$D:$D,"Yes")="Yes",_xlfn.XLOOKUP("App_Any_OR_RangeGt1000",'Scoring_Config'!$A:$A,'Scoring_Config'!$C:$C,25),0),0)+IF(LEFT(AM149,4)="True",IF(_xlfn.XLOOKUP("Service_Insecure_Match",'Scoring_Config'!$A:$A,'Scoring_Config'!$D:$D,"Yes")="Yes",_xlfn.XLOOKUP("Service_Insecure_Match",'Scoring_Config'!$A:$A,'Scoring_Config'!$C:$C,20),0),0)+IF(LEFT(AN149,4)="True",IF(_xlfn.XLOOKUP("Risky_Inbound",'Scoring_Config'!$A:$A,'Scoring_Config'!$D:$D,"Yes")="Yes",_xlfn.XLOOKUP("Risky_Inbound",'Scoring_Config'!$A:$A,'Scoring_Config'!$C:$C,20),0),0)+IF(LEFT(AO149,4)="True",IF(_xlfn.XLOOKUP("Risky_Outbound",'Scoring_Config'!$A:$A,'Scoring_Config'!$D:$D,"Yes")="Yes",_xlfn.XLOOKUP("Risky_Outbound",'Scoring_Config'!$A:$A,'Scoring_Config'!$C:$C,10),0),0)+IF(LEFT(AW149,4)="True",IF(_xlfn.XLOOKUP("Migrate_Insecure",'Scoring_Config'!$A:$A,'Scoring_Config'!$D:$D,"Yes")="Yes",_xlfn.XLOOKUP("Migrate_Insecure",'Scoring_Config'!$A:$A,'Scoring_Config'!$C:$C,15),0),0)+IF(LEFT(AY149,4)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149,FIND(",",AP149)+1,100)),0)+IF(LEFT(AQ149,4)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149,FIND(",",AR149)+1,100)),0)+IF(_xlfn.XLOOKUP("Profile_Scoring",'Scoring_Config'!$A:$A,'Scoring_Config'!$D:$D,"Yes")="Yes",VALUE(MID(AS149,FIND(",",AS149)+1,100)),0)+IF(_xlfn.XLOOKUP("Options_Scoring",'Scoring_Config'!$A:$A,'Scoring_Config'!$D:$D,"Yes")="Yes",VALUE(MID(AT149,FIND(",",AT149)+1,100)),0)))</f>
        <v>0</v>
      </c>
    </row>
    <row r="150" spans="1:52">
      <c r="A150" s="3" t="s">
        <v>53</v>
      </c>
      <c r="B150" s="3" t="s">
        <v>92</v>
      </c>
      <c r="C150" s="3" t="s">
        <v>330</v>
      </c>
      <c r="D150" s="3"/>
      <c r="E150" s="3" t="s">
        <v>359</v>
      </c>
      <c r="F150" s="3" t="s">
        <v>361</v>
      </c>
      <c r="G150" s="3" t="s">
        <v>365</v>
      </c>
      <c r="H150" s="3" t="s">
        <v>365</v>
      </c>
      <c r="I150" s="3" t="s">
        <v>625</v>
      </c>
      <c r="J150" s="3" t="s">
        <v>360</v>
      </c>
      <c r="K150" s="3" t="s">
        <v>409</v>
      </c>
      <c r="L150" s="3" t="s">
        <v>563</v>
      </c>
      <c r="M150" s="3" t="s">
        <v>774</v>
      </c>
      <c r="N150" s="3" t="s">
        <v>795</v>
      </c>
      <c r="O150" s="4" t="s">
        <v>823</v>
      </c>
      <c r="P150" s="3" t="s">
        <v>884</v>
      </c>
      <c r="Q150" s="3" t="s">
        <v>905</v>
      </c>
      <c r="R150" s="3" t="s">
        <v>908</v>
      </c>
      <c r="S150" s="3" t="s">
        <v>912</v>
      </c>
      <c r="T150" s="3" t="s">
        <v>964</v>
      </c>
      <c r="U150" s="3" t="s">
        <v>1220</v>
      </c>
      <c r="V150" s="3" t="s">
        <v>1387</v>
      </c>
      <c r="W150" s="3" t="s">
        <v>1484</v>
      </c>
      <c r="X150" s="3" t="s">
        <v>1754</v>
      </c>
      <c r="Y150" s="3" t="s">
        <v>2223</v>
      </c>
      <c r="Z150" s="3"/>
      <c r="AA150" s="3"/>
      <c r="AB150" s="3"/>
      <c r="AC150" s="5" cm="1">
        <f t="array" ref="AC150">IF(TRUE,"True," &amp; IF(_xlfn.XLOOKUP("Src_IsAny",'Scoring_Config'!$A:$A,'Scoring_Config'!$D:$D,"Yes")="Yes",_xlfn.XLOOKUP("Src_IsAny",'Scoring_Config'!$A:$A,'Scoring_Config'!$C:$C,25),0),"False,0")</f>
        <v>0</v>
      </c>
      <c r="AD150" s="4" cm="1">
        <f t="array" ref="AD150">IF(FALSE,"True," &amp; IF(_xlfn.XLOOKUP("Src_CIDR_Le_16",'Scoring_Config'!$A:$A,'Scoring_Config'!$D:$D,"Yes")="Yes",_xlfn.XLOOKUP("Src_CIDR_Le_16",'Scoring_Config'!$A:$A,'Scoring_Config'!$C:$C,25),0),"False,0")</f>
        <v>0</v>
      </c>
      <c r="AE150" s="4" cm="1">
        <f t="array" ref="AE150">IF(FALSE,"True," &amp; IF(_xlfn.XLOOKUP("Src_CIDR_17_22",'Scoring_Config'!$A:$A,'Scoring_Config'!$D:$D,"Yes")="Yes",_xlfn.XLOOKUP("Src_CIDR_17_22",'Scoring_Config'!$A:$A,'Scoring_Config'!$C:$C,15),0),"False,0")</f>
        <v>0</v>
      </c>
      <c r="AF150" s="4" cm="1">
        <f t="array" ref="AF150">IF(FALSE,"True," &amp; IF(_xlfn.XLOOKUP("Dst_IsAny",'Scoring_Config'!$A:$A,'Scoring_Config'!$D:$D,"Yes")="Yes",_xlfn.XLOOKUP("Dst_IsAny",'Scoring_Config'!$A:$A,'Scoring_Config'!$C:$C,25),0),"False,0")</f>
        <v>0</v>
      </c>
      <c r="AG150" s="5" cm="1">
        <f t="array" ref="AG150">IF(TRUE,"True," &amp; IF(_xlfn.XLOOKUP("Dst_CIDR_Le_16",'Scoring_Config'!$A:$A,'Scoring_Config'!$D:$D,"Yes")="Yes",_xlfn.XLOOKUP("Dst_CIDR_Le_16",'Scoring_Config'!$A:$A,'Scoring_Config'!$C:$C,25),0),"False,0")</f>
        <v>0</v>
      </c>
      <c r="AH150" s="4" cm="1">
        <f t="array" ref="AH150">IF(FALSE,"True," &amp; IF(_xlfn.XLOOKUP("Dst_CIDR_17_22",'Scoring_Config'!$A:$A,'Scoring_Config'!$D:$D,"Yes")="Yes",_xlfn.XLOOKUP("Dst_CIDR_17_22",'Scoring_Config'!$A:$A,'Scoring_Config'!$C:$C,15),0),"False,0")</f>
        <v>0</v>
      </c>
      <c r="AI150" s="4" cm="1">
        <f t="array" ref="AI150">IF(FALSE,"True," &amp; IF(_xlfn.XLOOKUP("SrcZone_IsAny",'Scoring_Config'!$A:$A,'Scoring_Config'!$D:$D,"Yes")="Yes",_xlfn.XLOOKUP("SrcZone_IsAny",'Scoring_Config'!$A:$A,'Scoring_Config'!$C:$C,5),0),"False,0")</f>
        <v>0</v>
      </c>
      <c r="AJ150" s="4" cm="1">
        <f t="array" ref="AJ150">IF(FALSE,"True," &amp; IF(_xlfn.XLOOKUP("DstZone_IsAny",'Scoring_Config'!$A:$A,'Scoring_Config'!$D:$D,"Yes")="Yes",_xlfn.XLOOKUP("DstZone_IsAny",'Scoring_Config'!$A:$A,'Scoring_Config'!$C:$C,5),0),"False,0")</f>
        <v>0</v>
      </c>
      <c r="AK150" s="4" cm="1">
        <f t="array" ref="AK15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0" s="4" cm="1">
        <f t="array" ref="AL150">IF(FALSE,"True," &amp; IF(_xlfn.XLOOKUP("App_Any_OR_RangeGt1000",'Scoring_Config'!$A:$A,'Scoring_Config'!$D:$D,"Yes")="Yes",_xlfn.XLOOKUP("App_Any_OR_RangeGt1000",'Scoring_Config'!$A:$A,'Scoring_Config'!$C:$C,25),0),"False,0")</f>
        <v>0</v>
      </c>
      <c r="AM150" s="5" cm="1">
        <f t="array" ref="AM150">IF(TRUE,"True," &amp; IF(_xlfn.XLOOKUP("Service_Insecure_Match",'Scoring_Config'!$A:$A,'Scoring_Config'!$D:$D,"Yes")="Yes",_xlfn.XLOOKUP("Service_Insecure_Match",'Scoring_Config'!$A:$A,'Scoring_Config'!$C:$C,20),0),"False,0")</f>
        <v>0</v>
      </c>
      <c r="AN150" s="4" cm="1">
        <f t="array" ref="AN150">IF(FALSE,"True," &amp; IF(_xlfn.XLOOKUP("Risky_Inbound",'Scoring_Config'!$A:$A,'Scoring_Config'!$D:$D,"Yes")="Yes",_xlfn.XLOOKUP("Risky_Inbound",'Scoring_Config'!$A:$A,'Scoring_Config'!$C:$C,20),0),"False,0")</f>
        <v>0</v>
      </c>
      <c r="AO150" s="4" cm="1">
        <f t="array" ref="AO150">IF(FALSE,"True," &amp; IF(_xlfn.XLOOKUP("Risky_Outbound",'Scoring_Config'!$A:$A,'Scoring_Config'!$D:$D,"Yes")="Yes",_xlfn.XLOOKUP("Risky_Outbound",'Scoring_Config'!$A:$A,'Scoring_Config'!$C:$C,10),0),"False,0")</f>
        <v>0</v>
      </c>
      <c r="AP150" s="5" t="s">
        <v>2595</v>
      </c>
      <c r="AQ150" s="4" cm="1">
        <f t="array" ref="AQ15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0" s="5" t="s">
        <v>2598</v>
      </c>
      <c r="AS150" s="4" t="s">
        <v>2592</v>
      </c>
      <c r="AT150" s="4" t="s">
        <v>2592</v>
      </c>
      <c r="AU150" s="4" cm="1">
        <f t="array" ref="AU150">IF(FALSE,"True," &amp; IF(_xlfn.XLOOKUP("Action_IsDenyOrDrop",'Scoring_Config'!$A:$A,'Scoring_Config'!$D:$D,"Yes")="Yes",_xlfn.XLOOKUP("Action_IsDenyOrDrop",'Scoring_Config'!$A:$A,'Scoring_Config'!$C:$C,0),0),"False,0")</f>
        <v>0</v>
      </c>
      <c r="AV150" s="4" t="s">
        <v>774</v>
      </c>
      <c r="AW150" s="5" cm="1">
        <f t="array" ref="AW150">IF(TRUE,"True," &amp; IF(_xlfn.XLOOKUP("Migrate_Insecure",'Scoring_Config'!$A:$A,'Scoring_Config'!$D:$D,"Yes")="Yes",_xlfn.XLOOKUP("Migrate_Insecure",'Scoring_Config'!$A:$A,'Scoring_Config'!$C:$C,15),0),"False,0")</f>
        <v>0</v>
      </c>
      <c r="AX150" s="4"/>
      <c r="AY150" s="4" cm="1">
        <f t="array" ref="AY150">IF(FALSE,"True," &amp; IF(_xlfn.XLOOKUP("Migrate_Other_Ports",'Scoring_Config'!$A:$A,'Scoring_Config'!$D:$D,"Yes")="Yes",_xlfn.XLOOKUP("Migrate_Other_Ports",'Scoring_Config'!$A:$A,'Scoring_Config'!$C:$C,5),0),"False,0")</f>
        <v>0</v>
      </c>
      <c r="AZ150" s="4" cm="1">
        <f t="array" ref="AZ150">IF(LEFT(AU150,4)="True",0,(IF(LEFT(AC150,4)="True",IF(_xlfn.XLOOKUP("Src_IsAny",'Scoring_Config'!$A:$A,'Scoring_Config'!$D:$D,"Yes")="Yes",_xlfn.XLOOKUP("Src_IsAny",'Scoring_Config'!$A:$A,'Scoring_Config'!$C:$C,25),0),0)+IF(LEFT(AD150,4)="True",IF(_xlfn.XLOOKUP("Src_CIDR_Le_16",'Scoring_Config'!$A:$A,'Scoring_Config'!$D:$D,"Yes")="Yes",_xlfn.XLOOKUP("Src_CIDR_Le_16",'Scoring_Config'!$A:$A,'Scoring_Config'!$C:$C,25),0),0)+IF(LEFT(AE150,4)="True",IF(_xlfn.XLOOKUP("Src_CIDR_17_22",'Scoring_Config'!$A:$A,'Scoring_Config'!$D:$D,"Yes")="Yes",_xlfn.XLOOKUP("Src_CIDR_17_22",'Scoring_Config'!$A:$A,'Scoring_Config'!$C:$C,15),0),0)+IF(LEFT(AF150,4)="True",IF(_xlfn.XLOOKUP("Dst_IsAny",'Scoring_Config'!$A:$A,'Scoring_Config'!$D:$D,"Yes")="Yes",_xlfn.XLOOKUP("Dst_IsAny",'Scoring_Config'!$A:$A,'Scoring_Config'!$C:$C,25),0),0)+IF(LEFT(AG150,4)="True",IF(_xlfn.XLOOKUP("Dst_CIDR_Le_16",'Scoring_Config'!$A:$A,'Scoring_Config'!$D:$D,"Yes")="Yes",_xlfn.XLOOKUP("Dst_CIDR_Le_16",'Scoring_Config'!$A:$A,'Scoring_Config'!$C:$C,25),0),0)+IF(LEFT(AH150,4)="True",IF(_xlfn.XLOOKUP("Dst_CIDR_17_22",'Scoring_Config'!$A:$A,'Scoring_Config'!$D:$D,"Yes")="Yes",_xlfn.XLOOKUP("Dst_CIDR_17_22",'Scoring_Config'!$A:$A,'Scoring_Config'!$C:$C,15),0),0)+IF(LEFT(AI150,4)="True",IF(_xlfn.XLOOKUP("SrcZone_IsAny",'Scoring_Config'!$A:$A,'Scoring_Config'!$D:$D,"Yes")="Yes",_xlfn.XLOOKUP("SrcZone_IsAny",'Scoring_Config'!$A:$A,'Scoring_Config'!$C:$C,5),0),0)+IF(LEFT(AJ150,4)="True",IF(_xlfn.XLOOKUP("DstZone_IsAny",'Scoring_Config'!$A:$A,'Scoring_Config'!$D:$D,"Yes")="Yes",_xlfn.XLOOKUP("DstZone_IsAny",'Scoring_Config'!$A:$A,'Scoring_Config'!$C:$C,5),0),0)+IF(LEFT(AK150,4)="True",IF(_xlfn.XLOOKUP("Service_Any_OR_RangeGt1000",'Scoring_Config'!$A:$A,'Scoring_Config'!$D:$D,"Yes")="Yes",_xlfn.XLOOKUP("Service_Any_OR_RangeGt1000",'Scoring_Config'!$A:$A,'Scoring_Config'!$C:$C,25),0),0)+IF(LEFT(AL150,4)="True",IF(_xlfn.XLOOKUP("App_Any_OR_RangeGt1000",'Scoring_Config'!$A:$A,'Scoring_Config'!$D:$D,"Yes")="Yes",_xlfn.XLOOKUP("App_Any_OR_RangeGt1000",'Scoring_Config'!$A:$A,'Scoring_Config'!$C:$C,25),0),0)+IF(LEFT(AM150,4)="True",IF(_xlfn.XLOOKUP("Service_Insecure_Match",'Scoring_Config'!$A:$A,'Scoring_Config'!$D:$D,"Yes")="Yes",_xlfn.XLOOKUP("Service_Insecure_Match",'Scoring_Config'!$A:$A,'Scoring_Config'!$C:$C,20),0),0)+IF(LEFT(AN150,4)="True",IF(_xlfn.XLOOKUP("Risky_Inbound",'Scoring_Config'!$A:$A,'Scoring_Config'!$D:$D,"Yes")="Yes",_xlfn.XLOOKUP("Risky_Inbound",'Scoring_Config'!$A:$A,'Scoring_Config'!$C:$C,20),0),0)+IF(LEFT(AO150,4)="True",IF(_xlfn.XLOOKUP("Risky_Outbound",'Scoring_Config'!$A:$A,'Scoring_Config'!$D:$D,"Yes")="Yes",_xlfn.XLOOKUP("Risky_Outbound",'Scoring_Config'!$A:$A,'Scoring_Config'!$C:$C,10),0),0)+IF(LEFT(AW150,4)="True",IF(_xlfn.XLOOKUP("Migrate_Insecure",'Scoring_Config'!$A:$A,'Scoring_Config'!$D:$D,"Yes")="Yes",_xlfn.XLOOKUP("Migrate_Insecure",'Scoring_Config'!$A:$A,'Scoring_Config'!$C:$C,15),0),0)+IF(LEFT(AY150,4)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150,FIND(",",AP150)+1,100)),0)+IF(LEFT(AQ150,4)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150,FIND(",",AR150)+1,100)),0)+IF(_xlfn.XLOOKUP("Profile_Scoring",'Scoring_Config'!$A:$A,'Scoring_Config'!$D:$D,"Yes")="Yes",VALUE(MID(AS150,FIND(",",AS150)+1,100)),0)+IF(_xlfn.XLOOKUP("Options_Scoring",'Scoring_Config'!$A:$A,'Scoring_Config'!$D:$D,"Yes")="Yes",VALUE(MID(AT150,FIND(",",AT150)+1,100)),0)))</f>
        <v>0</v>
      </c>
    </row>
    <row r="151" spans="1:52">
      <c r="A151" s="3" t="s">
        <v>53</v>
      </c>
      <c r="B151" s="3" t="s">
        <v>169</v>
      </c>
      <c r="C151" s="3" t="s">
        <v>330</v>
      </c>
      <c r="D151" s="3"/>
      <c r="E151" s="3" t="s">
        <v>359</v>
      </c>
      <c r="F151" s="3" t="s">
        <v>361</v>
      </c>
      <c r="G151" s="3" t="s">
        <v>365</v>
      </c>
      <c r="H151" s="3" t="s">
        <v>365</v>
      </c>
      <c r="I151" s="3" t="s">
        <v>623</v>
      </c>
      <c r="J151" s="3" t="s">
        <v>364</v>
      </c>
      <c r="K151" s="3" t="s">
        <v>365</v>
      </c>
      <c r="L151" s="3" t="s">
        <v>365</v>
      </c>
      <c r="M151" s="3" t="s">
        <v>365</v>
      </c>
      <c r="N151" s="3" t="s">
        <v>365</v>
      </c>
      <c r="O151" s="4" t="s">
        <v>831</v>
      </c>
      <c r="P151" s="3" t="s">
        <v>892</v>
      </c>
      <c r="Q151" s="3" t="s">
        <v>905</v>
      </c>
      <c r="R151" s="3" t="s">
        <v>907</v>
      </c>
      <c r="S151" s="3" t="s">
        <v>913</v>
      </c>
      <c r="T151" s="3" t="s">
        <v>1014</v>
      </c>
      <c r="U151" s="3"/>
      <c r="V151" s="3" t="s">
        <v>789</v>
      </c>
      <c r="W151" s="3" t="s">
        <v>1485</v>
      </c>
      <c r="X151" s="3" t="s">
        <v>1755</v>
      </c>
      <c r="Y151" s="3" t="s">
        <v>2224</v>
      </c>
      <c r="Z151" s="3"/>
      <c r="AA151" s="3"/>
      <c r="AB151" s="3"/>
      <c r="AC151" s="5" cm="1">
        <f t="array" ref="AC151">IF(TRUE,"True," &amp; IF(_xlfn.XLOOKUP("Src_IsAny",'Scoring_Config'!$A:$A,'Scoring_Config'!$D:$D,"Yes")="Yes",_xlfn.XLOOKUP("Src_IsAny",'Scoring_Config'!$A:$A,'Scoring_Config'!$C:$C,25),0),"False,0")</f>
        <v>0</v>
      </c>
      <c r="AD151" s="4" cm="1">
        <f t="array" ref="AD151">IF(FALSE,"True," &amp; IF(_xlfn.XLOOKUP("Src_CIDR_Le_16",'Scoring_Config'!$A:$A,'Scoring_Config'!$D:$D,"Yes")="Yes",_xlfn.XLOOKUP("Src_CIDR_Le_16",'Scoring_Config'!$A:$A,'Scoring_Config'!$C:$C,25),0),"False,0")</f>
        <v>0</v>
      </c>
      <c r="AE151" s="4" cm="1">
        <f t="array" ref="AE151">IF(FALSE,"True," &amp; IF(_xlfn.XLOOKUP("Src_CIDR_17_22",'Scoring_Config'!$A:$A,'Scoring_Config'!$D:$D,"Yes")="Yes",_xlfn.XLOOKUP("Src_CIDR_17_22",'Scoring_Config'!$A:$A,'Scoring_Config'!$C:$C,15),0),"False,0")</f>
        <v>0</v>
      </c>
      <c r="AF151" s="5" cm="1">
        <f t="array" ref="AF151">IF(TRUE,"True," &amp; IF(_xlfn.XLOOKUP("Dst_IsAny",'Scoring_Config'!$A:$A,'Scoring_Config'!$D:$D,"Yes")="Yes",_xlfn.XLOOKUP("Dst_IsAny",'Scoring_Config'!$A:$A,'Scoring_Config'!$C:$C,25),0),"False,0")</f>
        <v>0</v>
      </c>
      <c r="AG151" s="4" cm="1">
        <f t="array" ref="AG151">IF(FALSE,"True," &amp; IF(_xlfn.XLOOKUP("Dst_CIDR_Le_16",'Scoring_Config'!$A:$A,'Scoring_Config'!$D:$D,"Yes")="Yes",_xlfn.XLOOKUP("Dst_CIDR_Le_16",'Scoring_Config'!$A:$A,'Scoring_Config'!$C:$C,25),0),"False,0")</f>
        <v>0</v>
      </c>
      <c r="AH151" s="4" cm="1">
        <f t="array" ref="AH151">IF(FALSE,"True," &amp; IF(_xlfn.XLOOKUP("Dst_CIDR_17_22",'Scoring_Config'!$A:$A,'Scoring_Config'!$D:$D,"Yes")="Yes",_xlfn.XLOOKUP("Dst_CIDR_17_22",'Scoring_Config'!$A:$A,'Scoring_Config'!$C:$C,15),0),"False,0")</f>
        <v>0</v>
      </c>
      <c r="AI151" s="4" cm="1">
        <f t="array" ref="AI151">IF(FALSE,"True," &amp; IF(_xlfn.XLOOKUP("SrcZone_IsAny",'Scoring_Config'!$A:$A,'Scoring_Config'!$D:$D,"Yes")="Yes",_xlfn.XLOOKUP("SrcZone_IsAny",'Scoring_Config'!$A:$A,'Scoring_Config'!$C:$C,5),0),"False,0")</f>
        <v>0</v>
      </c>
      <c r="AJ151" s="4" cm="1">
        <f t="array" ref="AJ151">IF(FALSE,"True," &amp; IF(_xlfn.XLOOKUP("DstZone_IsAny",'Scoring_Config'!$A:$A,'Scoring_Config'!$D:$D,"Yes")="Yes",_xlfn.XLOOKUP("DstZone_IsAny",'Scoring_Config'!$A:$A,'Scoring_Config'!$C:$C,5),0),"False,0")</f>
        <v>0</v>
      </c>
      <c r="AK151" s="4" cm="1">
        <f t="array" ref="AK15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1" s="5" cm="1">
        <f t="array" ref="AL151">IF(TRUE,"True," &amp; IF(_xlfn.XLOOKUP("App_Any_OR_RangeGt1000",'Scoring_Config'!$A:$A,'Scoring_Config'!$D:$D,"Yes")="Yes",_xlfn.XLOOKUP("App_Any_OR_RangeGt1000",'Scoring_Config'!$A:$A,'Scoring_Config'!$C:$C,25),0),"False,0")</f>
        <v>0</v>
      </c>
      <c r="AM151" s="5" cm="1">
        <f t="array" ref="AM151">IF(TRUE,"True," &amp; IF(_xlfn.XLOOKUP("Service_Insecure_Match",'Scoring_Config'!$A:$A,'Scoring_Config'!$D:$D,"Yes")="Yes",_xlfn.XLOOKUP("Service_Insecure_Match",'Scoring_Config'!$A:$A,'Scoring_Config'!$C:$C,20),0),"False,0")</f>
        <v>0</v>
      </c>
      <c r="AN151" s="4" cm="1">
        <f t="array" ref="AN151">IF(FALSE,"True," &amp; IF(_xlfn.XLOOKUP("Risky_Inbound",'Scoring_Config'!$A:$A,'Scoring_Config'!$D:$D,"Yes")="Yes",_xlfn.XLOOKUP("Risky_Inbound",'Scoring_Config'!$A:$A,'Scoring_Config'!$C:$C,20),0),"False,0")</f>
        <v>0</v>
      </c>
      <c r="AO151" s="4" cm="1">
        <f t="array" ref="AO151">IF(FALSE,"True," &amp; IF(_xlfn.XLOOKUP("Risky_Outbound",'Scoring_Config'!$A:$A,'Scoring_Config'!$D:$D,"Yes")="Yes",_xlfn.XLOOKUP("Risky_Outbound",'Scoring_Config'!$A:$A,'Scoring_Config'!$C:$C,10),0),"False,0")</f>
        <v>0</v>
      </c>
      <c r="AP151" s="5" t="s">
        <v>2595</v>
      </c>
      <c r="AQ151" s="5" cm="1">
        <f t="array" ref="AQ15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1" s="5" t="s">
        <v>2598</v>
      </c>
      <c r="AS151" s="5" t="s">
        <v>2595</v>
      </c>
      <c r="AT151" s="4" t="s">
        <v>2592</v>
      </c>
      <c r="AU151" s="4" cm="1">
        <f t="array" ref="AU151">IF(FALSE,"True," &amp; IF(_xlfn.XLOOKUP("Action_IsDenyOrDrop",'Scoring_Config'!$A:$A,'Scoring_Config'!$D:$D,"Yes")="Yes",_xlfn.XLOOKUP("Action_IsDenyOrDrop",'Scoring_Config'!$A:$A,'Scoring_Config'!$C:$C,0),0),"False,0")</f>
        <v>0</v>
      </c>
      <c r="AV151" s="4"/>
      <c r="AW151" s="4" cm="1">
        <f t="array" ref="AW151">IF(FALSE,"True," &amp; IF(_xlfn.XLOOKUP("Migrate_Insecure",'Scoring_Config'!$A:$A,'Scoring_Config'!$D:$D,"Yes")="Yes",_xlfn.XLOOKUP("Migrate_Insecure",'Scoring_Config'!$A:$A,'Scoring_Config'!$C:$C,15),0),"False,0")</f>
        <v>0</v>
      </c>
      <c r="AX151" s="4"/>
      <c r="AY151" s="4" cm="1">
        <f t="array" ref="AY151">IF(FALSE,"True," &amp; IF(_xlfn.XLOOKUP("Migrate_Other_Ports",'Scoring_Config'!$A:$A,'Scoring_Config'!$D:$D,"Yes")="Yes",_xlfn.XLOOKUP("Migrate_Other_Ports",'Scoring_Config'!$A:$A,'Scoring_Config'!$C:$C,5),0),"False,0")</f>
        <v>0</v>
      </c>
      <c r="AZ151" s="4" cm="1">
        <f t="array" ref="AZ151">IF(LEFT(AU151,4)="True",0,(IF(LEFT(AC151,4)="True",IF(_xlfn.XLOOKUP("Src_IsAny",'Scoring_Config'!$A:$A,'Scoring_Config'!$D:$D,"Yes")="Yes",_xlfn.XLOOKUP("Src_IsAny",'Scoring_Config'!$A:$A,'Scoring_Config'!$C:$C,25),0),0)+IF(LEFT(AD151,4)="True",IF(_xlfn.XLOOKUP("Src_CIDR_Le_16",'Scoring_Config'!$A:$A,'Scoring_Config'!$D:$D,"Yes")="Yes",_xlfn.XLOOKUP("Src_CIDR_Le_16",'Scoring_Config'!$A:$A,'Scoring_Config'!$C:$C,25),0),0)+IF(LEFT(AE151,4)="True",IF(_xlfn.XLOOKUP("Src_CIDR_17_22",'Scoring_Config'!$A:$A,'Scoring_Config'!$D:$D,"Yes")="Yes",_xlfn.XLOOKUP("Src_CIDR_17_22",'Scoring_Config'!$A:$A,'Scoring_Config'!$C:$C,15),0),0)+IF(LEFT(AF151,4)="True",IF(_xlfn.XLOOKUP("Dst_IsAny",'Scoring_Config'!$A:$A,'Scoring_Config'!$D:$D,"Yes")="Yes",_xlfn.XLOOKUP("Dst_IsAny",'Scoring_Config'!$A:$A,'Scoring_Config'!$C:$C,25),0),0)+IF(LEFT(AG151,4)="True",IF(_xlfn.XLOOKUP("Dst_CIDR_Le_16",'Scoring_Config'!$A:$A,'Scoring_Config'!$D:$D,"Yes")="Yes",_xlfn.XLOOKUP("Dst_CIDR_Le_16",'Scoring_Config'!$A:$A,'Scoring_Config'!$C:$C,25),0),0)+IF(LEFT(AH151,4)="True",IF(_xlfn.XLOOKUP("Dst_CIDR_17_22",'Scoring_Config'!$A:$A,'Scoring_Config'!$D:$D,"Yes")="Yes",_xlfn.XLOOKUP("Dst_CIDR_17_22",'Scoring_Config'!$A:$A,'Scoring_Config'!$C:$C,15),0),0)+IF(LEFT(AI151,4)="True",IF(_xlfn.XLOOKUP("SrcZone_IsAny",'Scoring_Config'!$A:$A,'Scoring_Config'!$D:$D,"Yes")="Yes",_xlfn.XLOOKUP("SrcZone_IsAny",'Scoring_Config'!$A:$A,'Scoring_Config'!$C:$C,5),0),0)+IF(LEFT(AJ151,4)="True",IF(_xlfn.XLOOKUP("DstZone_IsAny",'Scoring_Config'!$A:$A,'Scoring_Config'!$D:$D,"Yes")="Yes",_xlfn.XLOOKUP("DstZone_IsAny",'Scoring_Config'!$A:$A,'Scoring_Config'!$C:$C,5),0),0)+IF(LEFT(AK151,4)="True",IF(_xlfn.XLOOKUP("Service_Any_OR_RangeGt1000",'Scoring_Config'!$A:$A,'Scoring_Config'!$D:$D,"Yes")="Yes",_xlfn.XLOOKUP("Service_Any_OR_RangeGt1000",'Scoring_Config'!$A:$A,'Scoring_Config'!$C:$C,25),0),0)+IF(LEFT(AL151,4)="True",IF(_xlfn.XLOOKUP("App_Any_OR_RangeGt1000",'Scoring_Config'!$A:$A,'Scoring_Config'!$D:$D,"Yes")="Yes",_xlfn.XLOOKUP("App_Any_OR_RangeGt1000",'Scoring_Config'!$A:$A,'Scoring_Config'!$C:$C,25),0),0)+IF(LEFT(AM151,4)="True",IF(_xlfn.XLOOKUP("Service_Insecure_Match",'Scoring_Config'!$A:$A,'Scoring_Config'!$D:$D,"Yes")="Yes",_xlfn.XLOOKUP("Service_Insecure_Match",'Scoring_Config'!$A:$A,'Scoring_Config'!$C:$C,20),0),0)+IF(LEFT(AN151,4)="True",IF(_xlfn.XLOOKUP("Risky_Inbound",'Scoring_Config'!$A:$A,'Scoring_Config'!$D:$D,"Yes")="Yes",_xlfn.XLOOKUP("Risky_Inbound",'Scoring_Config'!$A:$A,'Scoring_Config'!$C:$C,20),0),0)+IF(LEFT(AO151,4)="True",IF(_xlfn.XLOOKUP("Risky_Outbound",'Scoring_Config'!$A:$A,'Scoring_Config'!$D:$D,"Yes")="Yes",_xlfn.XLOOKUP("Risky_Outbound",'Scoring_Config'!$A:$A,'Scoring_Config'!$C:$C,10),0),0)+IF(LEFT(AW151,4)="True",IF(_xlfn.XLOOKUP("Migrate_Insecure",'Scoring_Config'!$A:$A,'Scoring_Config'!$D:$D,"Yes")="Yes",_xlfn.XLOOKUP("Migrate_Insecure",'Scoring_Config'!$A:$A,'Scoring_Config'!$C:$C,15),0),0)+IF(LEFT(AY151,4)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151,FIND(",",AP151)+1,100)),0)+IF(LEFT(AQ151,4)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151,FIND(",",AR151)+1,100)),0)+IF(_xlfn.XLOOKUP("Profile_Scoring",'Scoring_Config'!$A:$A,'Scoring_Config'!$D:$D,"Yes")="Yes",VALUE(MID(AS151,FIND(",",AS151)+1,100)),0)+IF(_xlfn.XLOOKUP("Options_Scoring",'Scoring_Config'!$A:$A,'Scoring_Config'!$D:$D,"Yes")="Yes",VALUE(MID(AT151,FIND(",",AT151)+1,100)),0)))</f>
        <v>0</v>
      </c>
    </row>
    <row r="152" spans="1:52">
      <c r="A152" s="3" t="s">
        <v>53</v>
      </c>
      <c r="B152" s="3" t="s">
        <v>94</v>
      </c>
      <c r="C152" s="3" t="s">
        <v>330</v>
      </c>
      <c r="D152" s="3"/>
      <c r="E152" s="3" t="s">
        <v>359</v>
      </c>
      <c r="F152" s="3" t="s">
        <v>361</v>
      </c>
      <c r="G152" s="3" t="s">
        <v>420</v>
      </c>
      <c r="H152" s="3" t="s">
        <v>420</v>
      </c>
      <c r="I152" s="3" t="s">
        <v>365</v>
      </c>
      <c r="J152" s="3" t="s">
        <v>363</v>
      </c>
      <c r="K152" s="3" t="s">
        <v>670</v>
      </c>
      <c r="L152" s="3" t="s">
        <v>670</v>
      </c>
      <c r="M152" s="3" t="s">
        <v>775</v>
      </c>
      <c r="N152" s="3" t="s">
        <v>796</v>
      </c>
      <c r="O152" s="4" t="s">
        <v>831</v>
      </c>
      <c r="P152" s="3" t="s">
        <v>892</v>
      </c>
      <c r="Q152" s="3" t="s">
        <v>905</v>
      </c>
      <c r="R152" s="3" t="s">
        <v>910</v>
      </c>
      <c r="S152" s="3" t="s">
        <v>913</v>
      </c>
      <c r="T152" s="3" t="s">
        <v>1015</v>
      </c>
      <c r="U152" s="3" t="s">
        <v>1221</v>
      </c>
      <c r="V152" s="3" t="s">
        <v>770</v>
      </c>
      <c r="W152" s="3" t="s">
        <v>1461</v>
      </c>
      <c r="X152" s="3" t="s">
        <v>1756</v>
      </c>
      <c r="Y152" s="3" t="s">
        <v>2225</v>
      </c>
      <c r="Z152" s="3"/>
      <c r="AA152" s="3"/>
      <c r="AB152" s="3"/>
      <c r="AC152" s="4" cm="1">
        <f t="array" ref="AC152">IF(FALSE,"True," &amp; IF(_xlfn.XLOOKUP("Src_IsAny",'Scoring_Config'!$A:$A,'Scoring_Config'!$D:$D,"Yes")="Yes",_xlfn.XLOOKUP("Src_IsAny",'Scoring_Config'!$A:$A,'Scoring_Config'!$C:$C,25),0),"False,0")</f>
        <v>0</v>
      </c>
      <c r="AD152" s="5" cm="1">
        <f t="array" ref="AD152">IF(TRUE,"True," &amp; IF(_xlfn.XLOOKUP("Src_CIDR_Le_16",'Scoring_Config'!$A:$A,'Scoring_Config'!$D:$D,"Yes")="Yes",_xlfn.XLOOKUP("Src_CIDR_Le_16",'Scoring_Config'!$A:$A,'Scoring_Config'!$C:$C,25),0),"False,0")</f>
        <v>0</v>
      </c>
      <c r="AE152" s="4" cm="1">
        <f t="array" ref="AE152">IF(FALSE,"True," &amp; IF(_xlfn.XLOOKUP("Src_CIDR_17_22",'Scoring_Config'!$A:$A,'Scoring_Config'!$D:$D,"Yes")="Yes",_xlfn.XLOOKUP("Src_CIDR_17_22",'Scoring_Config'!$A:$A,'Scoring_Config'!$C:$C,15),0),"False,0")</f>
        <v>0</v>
      </c>
      <c r="AF152" s="4" cm="1">
        <f t="array" ref="AF152">IF(FALSE,"True," &amp; IF(_xlfn.XLOOKUP("Dst_IsAny",'Scoring_Config'!$A:$A,'Scoring_Config'!$D:$D,"Yes")="Yes",_xlfn.XLOOKUP("Dst_IsAny",'Scoring_Config'!$A:$A,'Scoring_Config'!$C:$C,25),0),"False,0")</f>
        <v>0</v>
      </c>
      <c r="AG152" s="4" cm="1">
        <f t="array" ref="AG152">IF(FALSE,"True," &amp; IF(_xlfn.XLOOKUP("Dst_CIDR_Le_16",'Scoring_Config'!$A:$A,'Scoring_Config'!$D:$D,"Yes")="Yes",_xlfn.XLOOKUP("Dst_CIDR_Le_16",'Scoring_Config'!$A:$A,'Scoring_Config'!$C:$C,25),0),"False,0")</f>
        <v>0</v>
      </c>
      <c r="AH152" s="4" cm="1">
        <f t="array" ref="AH152">IF(FALSE,"True," &amp; IF(_xlfn.XLOOKUP("Dst_CIDR_17_22",'Scoring_Config'!$A:$A,'Scoring_Config'!$D:$D,"Yes")="Yes",_xlfn.XLOOKUP("Dst_CIDR_17_22",'Scoring_Config'!$A:$A,'Scoring_Config'!$C:$C,15),0),"False,0")</f>
        <v>0</v>
      </c>
      <c r="AI152" s="4" cm="1">
        <f t="array" ref="AI152">IF(FALSE,"True," &amp; IF(_xlfn.XLOOKUP("SrcZone_IsAny",'Scoring_Config'!$A:$A,'Scoring_Config'!$D:$D,"Yes")="Yes",_xlfn.XLOOKUP("SrcZone_IsAny",'Scoring_Config'!$A:$A,'Scoring_Config'!$C:$C,5),0),"False,0")</f>
        <v>0</v>
      </c>
      <c r="AJ152" s="4" cm="1">
        <f t="array" ref="AJ152">IF(FALSE,"True," &amp; IF(_xlfn.XLOOKUP("DstZone_IsAny",'Scoring_Config'!$A:$A,'Scoring_Config'!$D:$D,"Yes")="Yes",_xlfn.XLOOKUP("DstZone_IsAny",'Scoring_Config'!$A:$A,'Scoring_Config'!$C:$C,5),0),"False,0")</f>
        <v>0</v>
      </c>
      <c r="AK152" s="4" cm="1">
        <f t="array" ref="AK15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2" s="4" cm="1">
        <f t="array" ref="AL152">IF(FALSE,"True," &amp; IF(_xlfn.XLOOKUP("App_Any_OR_RangeGt1000",'Scoring_Config'!$A:$A,'Scoring_Config'!$D:$D,"Yes")="Yes",_xlfn.XLOOKUP("App_Any_OR_RangeGt1000",'Scoring_Config'!$A:$A,'Scoring_Config'!$C:$C,25),0),"False,0")</f>
        <v>0</v>
      </c>
      <c r="AM152" s="5" cm="1">
        <f t="array" ref="AM152">IF(TRUE,"True," &amp; IF(_xlfn.XLOOKUP("Service_Insecure_Match",'Scoring_Config'!$A:$A,'Scoring_Config'!$D:$D,"Yes")="Yes",_xlfn.XLOOKUP("Service_Insecure_Match",'Scoring_Config'!$A:$A,'Scoring_Config'!$C:$C,20),0),"False,0")</f>
        <v>0</v>
      </c>
      <c r="AN152" s="5" cm="1">
        <f t="array" ref="AN152">IF(TRUE,"True," &amp; IF(_xlfn.XLOOKUP("Risky_Inbound",'Scoring_Config'!$A:$A,'Scoring_Config'!$D:$D,"Yes")="Yes",_xlfn.XLOOKUP("Risky_Inbound",'Scoring_Config'!$A:$A,'Scoring_Config'!$C:$C,20),0),"False,0")</f>
        <v>0</v>
      </c>
      <c r="AO152" s="4" cm="1">
        <f t="array" ref="AO152">IF(FALSE,"True," &amp; IF(_xlfn.XLOOKUP("Risky_Outbound",'Scoring_Config'!$A:$A,'Scoring_Config'!$D:$D,"Yes")="Yes",_xlfn.XLOOKUP("Risky_Outbound",'Scoring_Config'!$A:$A,'Scoring_Config'!$C:$C,10),0),"False,0")</f>
        <v>0</v>
      </c>
      <c r="AP152" s="5" t="s">
        <v>2595</v>
      </c>
      <c r="AQ152" s="4" cm="1">
        <f t="array" ref="AQ15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2" s="4" t="s">
        <v>2592</v>
      </c>
      <c r="AS152" s="4" t="s">
        <v>2592</v>
      </c>
      <c r="AT152" s="4" t="s">
        <v>2592</v>
      </c>
      <c r="AU152" s="4" cm="1">
        <f t="array" ref="AU152">IF(FALSE,"True," &amp; IF(_xlfn.XLOOKUP("Action_IsDenyOrDrop",'Scoring_Config'!$A:$A,'Scoring_Config'!$D:$D,"Yes")="Yes",_xlfn.XLOOKUP("Action_IsDenyOrDrop",'Scoring_Config'!$A:$A,'Scoring_Config'!$C:$C,0),0),"False,0")</f>
        <v>0</v>
      </c>
      <c r="AV152" s="4"/>
      <c r="AW152" s="4" cm="1">
        <f t="array" ref="AW152">IF(FALSE,"True," &amp; IF(_xlfn.XLOOKUP("Migrate_Insecure",'Scoring_Config'!$A:$A,'Scoring_Config'!$D:$D,"Yes")="Yes",_xlfn.XLOOKUP("Migrate_Insecure",'Scoring_Config'!$A:$A,'Scoring_Config'!$C:$C,15),0),"False,0")</f>
        <v>0</v>
      </c>
      <c r="AX152" s="4"/>
      <c r="AY152" s="4" cm="1">
        <f t="array" ref="AY152">IF(FALSE,"True," &amp; IF(_xlfn.XLOOKUP("Migrate_Other_Ports",'Scoring_Config'!$A:$A,'Scoring_Config'!$D:$D,"Yes")="Yes",_xlfn.XLOOKUP("Migrate_Other_Ports",'Scoring_Config'!$A:$A,'Scoring_Config'!$C:$C,5),0),"False,0")</f>
        <v>0</v>
      </c>
      <c r="AZ152" s="4" cm="1">
        <f t="array" ref="AZ152">IF(LEFT(AU152,4)="True",0,(IF(LEFT(AC152,4)="True",IF(_xlfn.XLOOKUP("Src_IsAny",'Scoring_Config'!$A:$A,'Scoring_Config'!$D:$D,"Yes")="Yes",_xlfn.XLOOKUP("Src_IsAny",'Scoring_Config'!$A:$A,'Scoring_Config'!$C:$C,25),0),0)+IF(LEFT(AD152,4)="True",IF(_xlfn.XLOOKUP("Src_CIDR_Le_16",'Scoring_Config'!$A:$A,'Scoring_Config'!$D:$D,"Yes")="Yes",_xlfn.XLOOKUP("Src_CIDR_Le_16",'Scoring_Config'!$A:$A,'Scoring_Config'!$C:$C,25),0),0)+IF(LEFT(AE152,4)="True",IF(_xlfn.XLOOKUP("Src_CIDR_17_22",'Scoring_Config'!$A:$A,'Scoring_Config'!$D:$D,"Yes")="Yes",_xlfn.XLOOKUP("Src_CIDR_17_22",'Scoring_Config'!$A:$A,'Scoring_Config'!$C:$C,15),0),0)+IF(LEFT(AF152,4)="True",IF(_xlfn.XLOOKUP("Dst_IsAny",'Scoring_Config'!$A:$A,'Scoring_Config'!$D:$D,"Yes")="Yes",_xlfn.XLOOKUP("Dst_IsAny",'Scoring_Config'!$A:$A,'Scoring_Config'!$C:$C,25),0),0)+IF(LEFT(AG152,4)="True",IF(_xlfn.XLOOKUP("Dst_CIDR_Le_16",'Scoring_Config'!$A:$A,'Scoring_Config'!$D:$D,"Yes")="Yes",_xlfn.XLOOKUP("Dst_CIDR_Le_16",'Scoring_Config'!$A:$A,'Scoring_Config'!$C:$C,25),0),0)+IF(LEFT(AH152,4)="True",IF(_xlfn.XLOOKUP("Dst_CIDR_17_22",'Scoring_Config'!$A:$A,'Scoring_Config'!$D:$D,"Yes")="Yes",_xlfn.XLOOKUP("Dst_CIDR_17_22",'Scoring_Config'!$A:$A,'Scoring_Config'!$C:$C,15),0),0)+IF(LEFT(AI152,4)="True",IF(_xlfn.XLOOKUP("SrcZone_IsAny",'Scoring_Config'!$A:$A,'Scoring_Config'!$D:$D,"Yes")="Yes",_xlfn.XLOOKUP("SrcZone_IsAny",'Scoring_Config'!$A:$A,'Scoring_Config'!$C:$C,5),0),0)+IF(LEFT(AJ152,4)="True",IF(_xlfn.XLOOKUP("DstZone_IsAny",'Scoring_Config'!$A:$A,'Scoring_Config'!$D:$D,"Yes")="Yes",_xlfn.XLOOKUP("DstZone_IsAny",'Scoring_Config'!$A:$A,'Scoring_Config'!$C:$C,5),0),0)+IF(LEFT(AK152,4)="True",IF(_xlfn.XLOOKUP("Service_Any_OR_RangeGt1000",'Scoring_Config'!$A:$A,'Scoring_Config'!$D:$D,"Yes")="Yes",_xlfn.XLOOKUP("Service_Any_OR_RangeGt1000",'Scoring_Config'!$A:$A,'Scoring_Config'!$C:$C,25),0),0)+IF(LEFT(AL152,4)="True",IF(_xlfn.XLOOKUP("App_Any_OR_RangeGt1000",'Scoring_Config'!$A:$A,'Scoring_Config'!$D:$D,"Yes")="Yes",_xlfn.XLOOKUP("App_Any_OR_RangeGt1000",'Scoring_Config'!$A:$A,'Scoring_Config'!$C:$C,25),0),0)+IF(LEFT(AM152,4)="True",IF(_xlfn.XLOOKUP("Service_Insecure_Match",'Scoring_Config'!$A:$A,'Scoring_Config'!$D:$D,"Yes")="Yes",_xlfn.XLOOKUP("Service_Insecure_Match",'Scoring_Config'!$A:$A,'Scoring_Config'!$C:$C,20),0),0)+IF(LEFT(AN152,4)="True",IF(_xlfn.XLOOKUP("Risky_Inbound",'Scoring_Config'!$A:$A,'Scoring_Config'!$D:$D,"Yes")="Yes",_xlfn.XLOOKUP("Risky_Inbound",'Scoring_Config'!$A:$A,'Scoring_Config'!$C:$C,20),0),0)+IF(LEFT(AO152,4)="True",IF(_xlfn.XLOOKUP("Risky_Outbound",'Scoring_Config'!$A:$A,'Scoring_Config'!$D:$D,"Yes")="Yes",_xlfn.XLOOKUP("Risky_Outbound",'Scoring_Config'!$A:$A,'Scoring_Config'!$C:$C,10),0),0)+IF(LEFT(AW152,4)="True",IF(_xlfn.XLOOKUP("Migrate_Insecure",'Scoring_Config'!$A:$A,'Scoring_Config'!$D:$D,"Yes")="Yes",_xlfn.XLOOKUP("Migrate_Insecure",'Scoring_Config'!$A:$A,'Scoring_Config'!$C:$C,15),0),0)+IF(LEFT(AY152,4)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152,FIND(",",AP152)+1,100)),0)+IF(LEFT(AQ152,4)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152,FIND(",",AR152)+1,100)),0)+IF(_xlfn.XLOOKUP("Profile_Scoring",'Scoring_Config'!$A:$A,'Scoring_Config'!$D:$D,"Yes")="Yes",VALUE(MID(AS152,FIND(",",AS152)+1,100)),0)+IF(_xlfn.XLOOKUP("Options_Scoring",'Scoring_Config'!$A:$A,'Scoring_Config'!$D:$D,"Yes")="Yes",VALUE(MID(AT152,FIND(",",AT152)+1,100)),0)))</f>
        <v>0</v>
      </c>
    </row>
    <row r="153" spans="1:52">
      <c r="A153" s="3" t="s">
        <v>53</v>
      </c>
      <c r="B153" s="3" t="s">
        <v>170</v>
      </c>
      <c r="C153" s="3" t="s">
        <v>330</v>
      </c>
      <c r="D153" s="3"/>
      <c r="E153" s="3" t="s">
        <v>359</v>
      </c>
      <c r="F153" s="3" t="s">
        <v>363</v>
      </c>
      <c r="G153" s="3" t="s">
        <v>408</v>
      </c>
      <c r="H153" s="3" t="s">
        <v>408</v>
      </c>
      <c r="I153" s="3" t="s">
        <v>365</v>
      </c>
      <c r="J153" s="3" t="s">
        <v>360</v>
      </c>
      <c r="K153" s="3" t="s">
        <v>365</v>
      </c>
      <c r="L153" s="3" t="s">
        <v>365</v>
      </c>
      <c r="M153" s="3" t="s">
        <v>770</v>
      </c>
      <c r="N153" s="3" t="s">
        <v>770</v>
      </c>
      <c r="O153" s="4" t="s">
        <v>827</v>
      </c>
      <c r="P153" s="3" t="s">
        <v>888</v>
      </c>
      <c r="Q153" s="3" t="s">
        <v>905</v>
      </c>
      <c r="R153" s="3" t="s">
        <v>910</v>
      </c>
      <c r="S153" s="3" t="s">
        <v>914</v>
      </c>
      <c r="T153" s="3" t="s">
        <v>928</v>
      </c>
      <c r="U153" s="3" t="s">
        <v>1222</v>
      </c>
      <c r="V153" s="3" t="s">
        <v>1389</v>
      </c>
      <c r="W153" s="3" t="s">
        <v>1486</v>
      </c>
      <c r="X153" s="3" t="s">
        <v>1757</v>
      </c>
      <c r="Y153" s="3" t="s">
        <v>2226</v>
      </c>
      <c r="Z153" s="3"/>
      <c r="AA153" s="3"/>
      <c r="AB153" s="3"/>
      <c r="AC153" s="4" cm="1">
        <f t="array" ref="AC153">IF(FALSE,"True," &amp; IF(_xlfn.XLOOKUP("Src_IsAny",'Scoring_Config'!$A:$A,'Scoring_Config'!$D:$D,"Yes")="Yes",_xlfn.XLOOKUP("Src_IsAny",'Scoring_Config'!$A:$A,'Scoring_Config'!$C:$C,25),0),"False,0")</f>
        <v>0</v>
      </c>
      <c r="AD153" s="5" cm="1">
        <f t="array" ref="AD153">IF(TRUE,"True," &amp; IF(_xlfn.XLOOKUP("Src_CIDR_Le_16",'Scoring_Config'!$A:$A,'Scoring_Config'!$D:$D,"Yes")="Yes",_xlfn.XLOOKUP("Src_CIDR_Le_16",'Scoring_Config'!$A:$A,'Scoring_Config'!$C:$C,25),0),"False,0")</f>
        <v>0</v>
      </c>
      <c r="AE153" s="4" cm="1">
        <f t="array" ref="AE153">IF(FALSE,"True," &amp; IF(_xlfn.XLOOKUP("Src_CIDR_17_22",'Scoring_Config'!$A:$A,'Scoring_Config'!$D:$D,"Yes")="Yes",_xlfn.XLOOKUP("Src_CIDR_17_22",'Scoring_Config'!$A:$A,'Scoring_Config'!$C:$C,15),0),"False,0")</f>
        <v>0</v>
      </c>
      <c r="AF153" s="5" cm="1">
        <f t="array" ref="AF153">IF(TRUE,"True," &amp; IF(_xlfn.XLOOKUP("Dst_IsAny",'Scoring_Config'!$A:$A,'Scoring_Config'!$D:$D,"Yes")="Yes",_xlfn.XLOOKUP("Dst_IsAny",'Scoring_Config'!$A:$A,'Scoring_Config'!$C:$C,25),0),"False,0")</f>
        <v>0</v>
      </c>
      <c r="AG153" s="4" cm="1">
        <f t="array" ref="AG153">IF(FALSE,"True," &amp; IF(_xlfn.XLOOKUP("Dst_CIDR_Le_16",'Scoring_Config'!$A:$A,'Scoring_Config'!$D:$D,"Yes")="Yes",_xlfn.XLOOKUP("Dst_CIDR_Le_16",'Scoring_Config'!$A:$A,'Scoring_Config'!$C:$C,25),0),"False,0")</f>
        <v>0</v>
      </c>
      <c r="AH153" s="4" cm="1">
        <f t="array" ref="AH153">IF(FALSE,"True," &amp; IF(_xlfn.XLOOKUP("Dst_CIDR_17_22",'Scoring_Config'!$A:$A,'Scoring_Config'!$D:$D,"Yes")="Yes",_xlfn.XLOOKUP("Dst_CIDR_17_22",'Scoring_Config'!$A:$A,'Scoring_Config'!$C:$C,15),0),"False,0")</f>
        <v>0</v>
      </c>
      <c r="AI153" s="4" cm="1">
        <f t="array" ref="AI153">IF(FALSE,"True," &amp; IF(_xlfn.XLOOKUP("SrcZone_IsAny",'Scoring_Config'!$A:$A,'Scoring_Config'!$D:$D,"Yes")="Yes",_xlfn.XLOOKUP("SrcZone_IsAny",'Scoring_Config'!$A:$A,'Scoring_Config'!$C:$C,5),0),"False,0")</f>
        <v>0</v>
      </c>
      <c r="AJ153" s="4" cm="1">
        <f t="array" ref="AJ153">IF(FALSE,"True," &amp; IF(_xlfn.XLOOKUP("DstZone_IsAny",'Scoring_Config'!$A:$A,'Scoring_Config'!$D:$D,"Yes")="Yes",_xlfn.XLOOKUP("DstZone_IsAny",'Scoring_Config'!$A:$A,'Scoring_Config'!$C:$C,5),0),"False,0")</f>
        <v>0</v>
      </c>
      <c r="AK153" s="4" cm="1">
        <f t="array" ref="AK15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3" s="4" cm="1">
        <f t="array" ref="AL153">IF(FALSE,"True," &amp; IF(_xlfn.XLOOKUP("App_Any_OR_RangeGt1000",'Scoring_Config'!$A:$A,'Scoring_Config'!$D:$D,"Yes")="Yes",_xlfn.XLOOKUP("App_Any_OR_RangeGt1000",'Scoring_Config'!$A:$A,'Scoring_Config'!$C:$C,25),0),"False,0")</f>
        <v>0</v>
      </c>
      <c r="AM153" s="5" cm="1">
        <f t="array" ref="AM153">IF(TRUE,"True," &amp; IF(_xlfn.XLOOKUP("Service_Insecure_Match",'Scoring_Config'!$A:$A,'Scoring_Config'!$D:$D,"Yes")="Yes",_xlfn.XLOOKUP("Service_Insecure_Match",'Scoring_Config'!$A:$A,'Scoring_Config'!$C:$C,20),0),"False,0")</f>
        <v>0</v>
      </c>
      <c r="AN153" s="4" cm="1">
        <f t="array" ref="AN153">IF(FALSE,"True," &amp; IF(_xlfn.XLOOKUP("Risky_Inbound",'Scoring_Config'!$A:$A,'Scoring_Config'!$D:$D,"Yes")="Yes",_xlfn.XLOOKUP("Risky_Inbound",'Scoring_Config'!$A:$A,'Scoring_Config'!$C:$C,20),0),"False,0")</f>
        <v>0</v>
      </c>
      <c r="AO153" s="4" cm="1">
        <f t="array" ref="AO153">IF(FALSE,"True," &amp; IF(_xlfn.XLOOKUP("Risky_Outbound",'Scoring_Config'!$A:$A,'Scoring_Config'!$D:$D,"Yes")="Yes",_xlfn.XLOOKUP("Risky_Outbound",'Scoring_Config'!$A:$A,'Scoring_Config'!$C:$C,10),0),"False,0")</f>
        <v>0</v>
      </c>
      <c r="AP153" s="5" t="s">
        <v>2595</v>
      </c>
      <c r="AQ153" s="4" cm="1">
        <f t="array" ref="AQ15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3" s="4" t="s">
        <v>2592</v>
      </c>
      <c r="AS153" s="4" t="s">
        <v>2592</v>
      </c>
      <c r="AT153" s="4" t="s">
        <v>2592</v>
      </c>
      <c r="AU153" s="4" cm="1">
        <f t="array" ref="AU153">IF(FALSE,"True," &amp; IF(_xlfn.XLOOKUP("Action_IsDenyOrDrop",'Scoring_Config'!$A:$A,'Scoring_Config'!$D:$D,"Yes")="Yes",_xlfn.XLOOKUP("Action_IsDenyOrDrop",'Scoring_Config'!$A:$A,'Scoring_Config'!$C:$C,0),0),"False,0")</f>
        <v>0</v>
      </c>
      <c r="AV153" s="4"/>
      <c r="AW153" s="4" cm="1">
        <f t="array" ref="AW153">IF(FALSE,"True," &amp; IF(_xlfn.XLOOKUP("Migrate_Insecure",'Scoring_Config'!$A:$A,'Scoring_Config'!$D:$D,"Yes")="Yes",_xlfn.XLOOKUP("Migrate_Insecure",'Scoring_Config'!$A:$A,'Scoring_Config'!$C:$C,15),0),"False,0")</f>
        <v>0</v>
      </c>
      <c r="AX153" s="4"/>
      <c r="AY153" s="4" cm="1">
        <f t="array" ref="AY153">IF(FALSE,"True," &amp; IF(_xlfn.XLOOKUP("Migrate_Other_Ports",'Scoring_Config'!$A:$A,'Scoring_Config'!$D:$D,"Yes")="Yes",_xlfn.XLOOKUP("Migrate_Other_Ports",'Scoring_Config'!$A:$A,'Scoring_Config'!$C:$C,5),0),"False,0")</f>
        <v>0</v>
      </c>
      <c r="AZ153" s="4" cm="1">
        <f t="array" ref="AZ153">IF(LEFT(AU153,4)="True",0,(IF(LEFT(AC153,4)="True",IF(_xlfn.XLOOKUP("Src_IsAny",'Scoring_Config'!$A:$A,'Scoring_Config'!$D:$D,"Yes")="Yes",_xlfn.XLOOKUP("Src_IsAny",'Scoring_Config'!$A:$A,'Scoring_Config'!$C:$C,25),0),0)+IF(LEFT(AD153,4)="True",IF(_xlfn.XLOOKUP("Src_CIDR_Le_16",'Scoring_Config'!$A:$A,'Scoring_Config'!$D:$D,"Yes")="Yes",_xlfn.XLOOKUP("Src_CIDR_Le_16",'Scoring_Config'!$A:$A,'Scoring_Config'!$C:$C,25),0),0)+IF(LEFT(AE153,4)="True",IF(_xlfn.XLOOKUP("Src_CIDR_17_22",'Scoring_Config'!$A:$A,'Scoring_Config'!$D:$D,"Yes")="Yes",_xlfn.XLOOKUP("Src_CIDR_17_22",'Scoring_Config'!$A:$A,'Scoring_Config'!$C:$C,15),0),0)+IF(LEFT(AF153,4)="True",IF(_xlfn.XLOOKUP("Dst_IsAny",'Scoring_Config'!$A:$A,'Scoring_Config'!$D:$D,"Yes")="Yes",_xlfn.XLOOKUP("Dst_IsAny",'Scoring_Config'!$A:$A,'Scoring_Config'!$C:$C,25),0),0)+IF(LEFT(AG153,4)="True",IF(_xlfn.XLOOKUP("Dst_CIDR_Le_16",'Scoring_Config'!$A:$A,'Scoring_Config'!$D:$D,"Yes")="Yes",_xlfn.XLOOKUP("Dst_CIDR_Le_16",'Scoring_Config'!$A:$A,'Scoring_Config'!$C:$C,25),0),0)+IF(LEFT(AH153,4)="True",IF(_xlfn.XLOOKUP("Dst_CIDR_17_22",'Scoring_Config'!$A:$A,'Scoring_Config'!$D:$D,"Yes")="Yes",_xlfn.XLOOKUP("Dst_CIDR_17_22",'Scoring_Config'!$A:$A,'Scoring_Config'!$C:$C,15),0),0)+IF(LEFT(AI153,4)="True",IF(_xlfn.XLOOKUP("SrcZone_IsAny",'Scoring_Config'!$A:$A,'Scoring_Config'!$D:$D,"Yes")="Yes",_xlfn.XLOOKUP("SrcZone_IsAny",'Scoring_Config'!$A:$A,'Scoring_Config'!$C:$C,5),0),0)+IF(LEFT(AJ153,4)="True",IF(_xlfn.XLOOKUP("DstZone_IsAny",'Scoring_Config'!$A:$A,'Scoring_Config'!$D:$D,"Yes")="Yes",_xlfn.XLOOKUP("DstZone_IsAny",'Scoring_Config'!$A:$A,'Scoring_Config'!$C:$C,5),0),0)+IF(LEFT(AK153,4)="True",IF(_xlfn.XLOOKUP("Service_Any_OR_RangeGt1000",'Scoring_Config'!$A:$A,'Scoring_Config'!$D:$D,"Yes")="Yes",_xlfn.XLOOKUP("Service_Any_OR_RangeGt1000",'Scoring_Config'!$A:$A,'Scoring_Config'!$C:$C,25),0),0)+IF(LEFT(AL153,4)="True",IF(_xlfn.XLOOKUP("App_Any_OR_RangeGt1000",'Scoring_Config'!$A:$A,'Scoring_Config'!$D:$D,"Yes")="Yes",_xlfn.XLOOKUP("App_Any_OR_RangeGt1000",'Scoring_Config'!$A:$A,'Scoring_Config'!$C:$C,25),0),0)+IF(LEFT(AM153,4)="True",IF(_xlfn.XLOOKUP("Service_Insecure_Match",'Scoring_Config'!$A:$A,'Scoring_Config'!$D:$D,"Yes")="Yes",_xlfn.XLOOKUP("Service_Insecure_Match",'Scoring_Config'!$A:$A,'Scoring_Config'!$C:$C,20),0),0)+IF(LEFT(AN153,4)="True",IF(_xlfn.XLOOKUP("Risky_Inbound",'Scoring_Config'!$A:$A,'Scoring_Config'!$D:$D,"Yes")="Yes",_xlfn.XLOOKUP("Risky_Inbound",'Scoring_Config'!$A:$A,'Scoring_Config'!$C:$C,20),0),0)+IF(LEFT(AO153,4)="True",IF(_xlfn.XLOOKUP("Risky_Outbound",'Scoring_Config'!$A:$A,'Scoring_Config'!$D:$D,"Yes")="Yes",_xlfn.XLOOKUP("Risky_Outbound",'Scoring_Config'!$A:$A,'Scoring_Config'!$C:$C,10),0),0)+IF(LEFT(AW153,4)="True",IF(_xlfn.XLOOKUP("Migrate_Insecure",'Scoring_Config'!$A:$A,'Scoring_Config'!$D:$D,"Yes")="Yes",_xlfn.XLOOKUP("Migrate_Insecure",'Scoring_Config'!$A:$A,'Scoring_Config'!$C:$C,15),0),0)+IF(LEFT(AY153,4)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153,FIND(",",AP153)+1,100)),0)+IF(LEFT(AQ153,4)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153,FIND(",",AR153)+1,100)),0)+IF(_xlfn.XLOOKUP("Profile_Scoring",'Scoring_Config'!$A:$A,'Scoring_Config'!$D:$D,"Yes")="Yes",VALUE(MID(AS153,FIND(",",AS153)+1,100)),0)+IF(_xlfn.XLOOKUP("Options_Scoring",'Scoring_Config'!$A:$A,'Scoring_Config'!$D:$D,"Yes")="Yes",VALUE(MID(AT153,FIND(",",AT153)+1,100)),0)))</f>
        <v>0</v>
      </c>
    </row>
    <row r="154" spans="1:52">
      <c r="A154" s="3" t="s">
        <v>53</v>
      </c>
      <c r="B154" s="3" t="s">
        <v>164</v>
      </c>
      <c r="C154" s="3" t="s">
        <v>330</v>
      </c>
      <c r="D154" s="3"/>
      <c r="E154" s="3" t="s">
        <v>359</v>
      </c>
      <c r="F154" s="3" t="s">
        <v>362</v>
      </c>
      <c r="G154" s="3" t="s">
        <v>365</v>
      </c>
      <c r="H154" s="3" t="s">
        <v>365</v>
      </c>
      <c r="I154" s="3" t="s">
        <v>624</v>
      </c>
      <c r="J154" s="3" t="s">
        <v>362</v>
      </c>
      <c r="K154" s="3" t="s">
        <v>438</v>
      </c>
      <c r="L154" s="3" t="s">
        <v>438</v>
      </c>
      <c r="M154" s="3" t="s">
        <v>776</v>
      </c>
      <c r="N154" s="3" t="s">
        <v>791</v>
      </c>
      <c r="O154" s="4" t="s">
        <v>825</v>
      </c>
      <c r="P154" s="3" t="s">
        <v>886</v>
      </c>
      <c r="Q154" s="3" t="s">
        <v>905</v>
      </c>
      <c r="R154" s="3" t="s">
        <v>910</v>
      </c>
      <c r="S154" s="3" t="s">
        <v>912</v>
      </c>
      <c r="T154" s="3" t="s">
        <v>1016</v>
      </c>
      <c r="U154" s="3" t="s">
        <v>1223</v>
      </c>
      <c r="V154" s="3" t="s">
        <v>770</v>
      </c>
      <c r="W154" s="3" t="s">
        <v>1102</v>
      </c>
      <c r="X154" s="3" t="s">
        <v>1758</v>
      </c>
      <c r="Y154" s="3" t="s">
        <v>2227</v>
      </c>
      <c r="Z154" s="3"/>
      <c r="AA154" s="3"/>
      <c r="AB154" s="3"/>
      <c r="AC154" s="5" cm="1">
        <f t="array" ref="AC154">IF(TRUE,"True," &amp; IF(_xlfn.XLOOKUP("Src_IsAny",'Scoring_Config'!$A:$A,'Scoring_Config'!$D:$D,"Yes")="Yes",_xlfn.XLOOKUP("Src_IsAny",'Scoring_Config'!$A:$A,'Scoring_Config'!$C:$C,25),0),"False,0")</f>
        <v>0</v>
      </c>
      <c r="AD154" s="4" cm="1">
        <f t="array" ref="AD154">IF(FALSE,"True," &amp; IF(_xlfn.XLOOKUP("Src_CIDR_Le_16",'Scoring_Config'!$A:$A,'Scoring_Config'!$D:$D,"Yes")="Yes",_xlfn.XLOOKUP("Src_CIDR_Le_16",'Scoring_Config'!$A:$A,'Scoring_Config'!$C:$C,25),0),"False,0")</f>
        <v>0</v>
      </c>
      <c r="AE154" s="4" cm="1">
        <f t="array" ref="AE154">IF(FALSE,"True," &amp; IF(_xlfn.XLOOKUP("Src_CIDR_17_22",'Scoring_Config'!$A:$A,'Scoring_Config'!$D:$D,"Yes")="Yes",_xlfn.XLOOKUP("Src_CIDR_17_22",'Scoring_Config'!$A:$A,'Scoring_Config'!$C:$C,15),0),"False,0")</f>
        <v>0</v>
      </c>
      <c r="AF154" s="4" cm="1">
        <f t="array" ref="AF154">IF(FALSE,"True," &amp; IF(_xlfn.XLOOKUP("Dst_IsAny",'Scoring_Config'!$A:$A,'Scoring_Config'!$D:$D,"Yes")="Yes",_xlfn.XLOOKUP("Dst_IsAny",'Scoring_Config'!$A:$A,'Scoring_Config'!$C:$C,25),0),"False,0")</f>
        <v>0</v>
      </c>
      <c r="AG154" s="5" cm="1">
        <f t="array" ref="AG154">IF(TRUE,"True," &amp; IF(_xlfn.XLOOKUP("Dst_CIDR_Le_16",'Scoring_Config'!$A:$A,'Scoring_Config'!$D:$D,"Yes")="Yes",_xlfn.XLOOKUP("Dst_CIDR_Le_16",'Scoring_Config'!$A:$A,'Scoring_Config'!$C:$C,25),0),"False,0")</f>
        <v>0</v>
      </c>
      <c r="AH154" s="4" cm="1">
        <f t="array" ref="AH154">IF(FALSE,"True," &amp; IF(_xlfn.XLOOKUP("Dst_CIDR_17_22",'Scoring_Config'!$A:$A,'Scoring_Config'!$D:$D,"Yes")="Yes",_xlfn.XLOOKUP("Dst_CIDR_17_22",'Scoring_Config'!$A:$A,'Scoring_Config'!$C:$C,15),0),"False,0")</f>
        <v>0</v>
      </c>
      <c r="AI154" s="4" cm="1">
        <f t="array" ref="AI154">IF(FALSE,"True," &amp; IF(_xlfn.XLOOKUP("SrcZone_IsAny",'Scoring_Config'!$A:$A,'Scoring_Config'!$D:$D,"Yes")="Yes",_xlfn.XLOOKUP("SrcZone_IsAny",'Scoring_Config'!$A:$A,'Scoring_Config'!$C:$C,5),0),"False,0")</f>
        <v>0</v>
      </c>
      <c r="AJ154" s="4" cm="1">
        <f t="array" ref="AJ154">IF(FALSE,"True," &amp; IF(_xlfn.XLOOKUP("DstZone_IsAny",'Scoring_Config'!$A:$A,'Scoring_Config'!$D:$D,"Yes")="Yes",_xlfn.XLOOKUP("DstZone_IsAny",'Scoring_Config'!$A:$A,'Scoring_Config'!$C:$C,5),0),"False,0")</f>
        <v>0</v>
      </c>
      <c r="AK154" s="4" cm="1">
        <f t="array" ref="AK15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4" s="5" cm="1">
        <f t="array" ref="AL154">IF(TRUE,"True," &amp; IF(_xlfn.XLOOKUP("App_Any_OR_RangeGt1000",'Scoring_Config'!$A:$A,'Scoring_Config'!$D:$D,"Yes")="Yes",_xlfn.XLOOKUP("App_Any_OR_RangeGt1000",'Scoring_Config'!$A:$A,'Scoring_Config'!$C:$C,25),0),"False,0")</f>
        <v>0</v>
      </c>
      <c r="AM154" s="5" cm="1">
        <f t="array" ref="AM154">IF(TRUE,"True," &amp; IF(_xlfn.XLOOKUP("Service_Insecure_Match",'Scoring_Config'!$A:$A,'Scoring_Config'!$D:$D,"Yes")="Yes",_xlfn.XLOOKUP("Service_Insecure_Match",'Scoring_Config'!$A:$A,'Scoring_Config'!$C:$C,20),0),"False,0")</f>
        <v>0</v>
      </c>
      <c r="AN154" s="4" cm="1">
        <f t="array" ref="AN154">IF(FALSE,"True," &amp; IF(_xlfn.XLOOKUP("Risky_Inbound",'Scoring_Config'!$A:$A,'Scoring_Config'!$D:$D,"Yes")="Yes",_xlfn.XLOOKUP("Risky_Inbound",'Scoring_Config'!$A:$A,'Scoring_Config'!$C:$C,20),0),"False,0")</f>
        <v>0</v>
      </c>
      <c r="AO154" s="4" cm="1">
        <f t="array" ref="AO154">IF(FALSE,"True," &amp; IF(_xlfn.XLOOKUP("Risky_Outbound",'Scoring_Config'!$A:$A,'Scoring_Config'!$D:$D,"Yes")="Yes",_xlfn.XLOOKUP("Risky_Outbound",'Scoring_Config'!$A:$A,'Scoring_Config'!$C:$C,10),0),"False,0")</f>
        <v>0</v>
      </c>
      <c r="AP154" s="5" t="s">
        <v>2595</v>
      </c>
      <c r="AQ154" s="4" cm="1">
        <f t="array" ref="AQ15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4" s="5" t="s">
        <v>2598</v>
      </c>
      <c r="AS154" s="4" t="s">
        <v>2592</v>
      </c>
      <c r="AT154" s="4" t="s">
        <v>2592</v>
      </c>
      <c r="AU154" s="4" cm="1">
        <f t="array" ref="AU154">IF(FALSE,"True," &amp; IF(_xlfn.XLOOKUP("Action_IsDenyOrDrop",'Scoring_Config'!$A:$A,'Scoring_Config'!$D:$D,"Yes")="Yes",_xlfn.XLOOKUP("Action_IsDenyOrDrop",'Scoring_Config'!$A:$A,'Scoring_Config'!$C:$C,0),0),"False,0")</f>
        <v>0</v>
      </c>
      <c r="AV154" s="4"/>
      <c r="AW154" s="4" cm="1">
        <f t="array" ref="AW154">IF(FALSE,"True," &amp; IF(_xlfn.XLOOKUP("Migrate_Insecure",'Scoring_Config'!$A:$A,'Scoring_Config'!$D:$D,"Yes")="Yes",_xlfn.XLOOKUP("Migrate_Insecure",'Scoring_Config'!$A:$A,'Scoring_Config'!$C:$C,15),0),"False,0")</f>
        <v>0</v>
      </c>
      <c r="AX154" s="4"/>
      <c r="AY154" s="4" cm="1">
        <f t="array" ref="AY154">IF(FALSE,"True," &amp; IF(_xlfn.XLOOKUP("Migrate_Other_Ports",'Scoring_Config'!$A:$A,'Scoring_Config'!$D:$D,"Yes")="Yes",_xlfn.XLOOKUP("Migrate_Other_Ports",'Scoring_Config'!$A:$A,'Scoring_Config'!$C:$C,5),0),"False,0")</f>
        <v>0</v>
      </c>
      <c r="AZ154" s="4" cm="1">
        <f t="array" ref="AZ154">IF(LEFT(AU154,4)="True",0,(IF(LEFT(AC154,4)="True",IF(_xlfn.XLOOKUP("Src_IsAny",'Scoring_Config'!$A:$A,'Scoring_Config'!$D:$D,"Yes")="Yes",_xlfn.XLOOKUP("Src_IsAny",'Scoring_Config'!$A:$A,'Scoring_Config'!$C:$C,25),0),0)+IF(LEFT(AD154,4)="True",IF(_xlfn.XLOOKUP("Src_CIDR_Le_16",'Scoring_Config'!$A:$A,'Scoring_Config'!$D:$D,"Yes")="Yes",_xlfn.XLOOKUP("Src_CIDR_Le_16",'Scoring_Config'!$A:$A,'Scoring_Config'!$C:$C,25),0),0)+IF(LEFT(AE154,4)="True",IF(_xlfn.XLOOKUP("Src_CIDR_17_22",'Scoring_Config'!$A:$A,'Scoring_Config'!$D:$D,"Yes")="Yes",_xlfn.XLOOKUP("Src_CIDR_17_22",'Scoring_Config'!$A:$A,'Scoring_Config'!$C:$C,15),0),0)+IF(LEFT(AF154,4)="True",IF(_xlfn.XLOOKUP("Dst_IsAny",'Scoring_Config'!$A:$A,'Scoring_Config'!$D:$D,"Yes")="Yes",_xlfn.XLOOKUP("Dst_IsAny",'Scoring_Config'!$A:$A,'Scoring_Config'!$C:$C,25),0),0)+IF(LEFT(AG154,4)="True",IF(_xlfn.XLOOKUP("Dst_CIDR_Le_16",'Scoring_Config'!$A:$A,'Scoring_Config'!$D:$D,"Yes")="Yes",_xlfn.XLOOKUP("Dst_CIDR_Le_16",'Scoring_Config'!$A:$A,'Scoring_Config'!$C:$C,25),0),0)+IF(LEFT(AH154,4)="True",IF(_xlfn.XLOOKUP("Dst_CIDR_17_22",'Scoring_Config'!$A:$A,'Scoring_Config'!$D:$D,"Yes")="Yes",_xlfn.XLOOKUP("Dst_CIDR_17_22",'Scoring_Config'!$A:$A,'Scoring_Config'!$C:$C,15),0),0)+IF(LEFT(AI154,4)="True",IF(_xlfn.XLOOKUP("SrcZone_IsAny",'Scoring_Config'!$A:$A,'Scoring_Config'!$D:$D,"Yes")="Yes",_xlfn.XLOOKUP("SrcZone_IsAny",'Scoring_Config'!$A:$A,'Scoring_Config'!$C:$C,5),0),0)+IF(LEFT(AJ154,4)="True",IF(_xlfn.XLOOKUP("DstZone_IsAny",'Scoring_Config'!$A:$A,'Scoring_Config'!$D:$D,"Yes")="Yes",_xlfn.XLOOKUP("DstZone_IsAny",'Scoring_Config'!$A:$A,'Scoring_Config'!$C:$C,5),0),0)+IF(LEFT(AK154,4)="True",IF(_xlfn.XLOOKUP("Service_Any_OR_RangeGt1000",'Scoring_Config'!$A:$A,'Scoring_Config'!$D:$D,"Yes")="Yes",_xlfn.XLOOKUP("Service_Any_OR_RangeGt1000",'Scoring_Config'!$A:$A,'Scoring_Config'!$C:$C,25),0),0)+IF(LEFT(AL154,4)="True",IF(_xlfn.XLOOKUP("App_Any_OR_RangeGt1000",'Scoring_Config'!$A:$A,'Scoring_Config'!$D:$D,"Yes")="Yes",_xlfn.XLOOKUP("App_Any_OR_RangeGt1000",'Scoring_Config'!$A:$A,'Scoring_Config'!$C:$C,25),0),0)+IF(LEFT(AM154,4)="True",IF(_xlfn.XLOOKUP("Service_Insecure_Match",'Scoring_Config'!$A:$A,'Scoring_Config'!$D:$D,"Yes")="Yes",_xlfn.XLOOKUP("Service_Insecure_Match",'Scoring_Config'!$A:$A,'Scoring_Config'!$C:$C,20),0),0)+IF(LEFT(AN154,4)="True",IF(_xlfn.XLOOKUP("Risky_Inbound",'Scoring_Config'!$A:$A,'Scoring_Config'!$D:$D,"Yes")="Yes",_xlfn.XLOOKUP("Risky_Inbound",'Scoring_Config'!$A:$A,'Scoring_Config'!$C:$C,20),0),0)+IF(LEFT(AO154,4)="True",IF(_xlfn.XLOOKUP("Risky_Outbound",'Scoring_Config'!$A:$A,'Scoring_Config'!$D:$D,"Yes")="Yes",_xlfn.XLOOKUP("Risky_Outbound",'Scoring_Config'!$A:$A,'Scoring_Config'!$C:$C,10),0),0)+IF(LEFT(AW154,4)="True",IF(_xlfn.XLOOKUP("Migrate_Insecure",'Scoring_Config'!$A:$A,'Scoring_Config'!$D:$D,"Yes")="Yes",_xlfn.XLOOKUP("Migrate_Insecure",'Scoring_Config'!$A:$A,'Scoring_Config'!$C:$C,15),0),0)+IF(LEFT(AY154,4)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154,FIND(",",AP154)+1,100)),0)+IF(LEFT(AQ154,4)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154,FIND(",",AR154)+1,100)),0)+IF(_xlfn.XLOOKUP("Profile_Scoring",'Scoring_Config'!$A:$A,'Scoring_Config'!$D:$D,"Yes")="Yes",VALUE(MID(AS154,FIND(",",AS154)+1,100)),0)+IF(_xlfn.XLOOKUP("Options_Scoring",'Scoring_Config'!$A:$A,'Scoring_Config'!$D:$D,"Yes")="Yes",VALUE(MID(AT154,FIND(",",AT154)+1,100)),0)))</f>
        <v>0</v>
      </c>
    </row>
    <row r="155" spans="1:52">
      <c r="A155" s="3" t="s">
        <v>53</v>
      </c>
      <c r="B155" s="3" t="s">
        <v>171</v>
      </c>
      <c r="C155" s="3" t="s">
        <v>330</v>
      </c>
      <c r="D155" s="3"/>
      <c r="E155" s="3" t="s">
        <v>359</v>
      </c>
      <c r="F155" s="3" t="s">
        <v>361</v>
      </c>
      <c r="G155" s="3" t="s">
        <v>365</v>
      </c>
      <c r="H155" s="3" t="s">
        <v>365</v>
      </c>
      <c r="I155" s="3" t="s">
        <v>625</v>
      </c>
      <c r="J155" s="3" t="s">
        <v>364</v>
      </c>
      <c r="K155" s="3" t="s">
        <v>365</v>
      </c>
      <c r="L155" s="3" t="s">
        <v>365</v>
      </c>
      <c r="M155" s="3" t="s">
        <v>365</v>
      </c>
      <c r="N155" s="3" t="s">
        <v>365</v>
      </c>
      <c r="O155" s="4" t="s">
        <v>814</v>
      </c>
      <c r="P155" s="3" t="s">
        <v>875</v>
      </c>
      <c r="Q155" s="3" t="s">
        <v>905</v>
      </c>
      <c r="R155" s="3" t="s">
        <v>907</v>
      </c>
      <c r="S155" s="3" t="s">
        <v>907</v>
      </c>
      <c r="T155" s="3" t="s">
        <v>1017</v>
      </c>
      <c r="U155" s="3"/>
      <c r="V155" s="3" t="s">
        <v>1388</v>
      </c>
      <c r="W155" s="3" t="s">
        <v>1027</v>
      </c>
      <c r="X155" s="3" t="s">
        <v>1759</v>
      </c>
      <c r="Y155" s="3" t="s">
        <v>2228</v>
      </c>
      <c r="Z155" s="3"/>
      <c r="AA155" s="3"/>
      <c r="AB155" s="3"/>
      <c r="AC155" s="5" cm="1">
        <f t="array" ref="AC155">IF(TRUE,"True," &amp; IF(_xlfn.XLOOKUP("Src_IsAny",'Scoring_Config'!$A:$A,'Scoring_Config'!$D:$D,"Yes")="Yes",_xlfn.XLOOKUP("Src_IsAny",'Scoring_Config'!$A:$A,'Scoring_Config'!$C:$C,25),0),"False,0")</f>
        <v>0</v>
      </c>
      <c r="AD155" s="4" cm="1">
        <f t="array" ref="AD155">IF(FALSE,"True," &amp; IF(_xlfn.XLOOKUP("Src_CIDR_Le_16",'Scoring_Config'!$A:$A,'Scoring_Config'!$D:$D,"Yes")="Yes",_xlfn.XLOOKUP("Src_CIDR_Le_16",'Scoring_Config'!$A:$A,'Scoring_Config'!$C:$C,25),0),"False,0")</f>
        <v>0</v>
      </c>
      <c r="AE155" s="4" cm="1">
        <f t="array" ref="AE155">IF(FALSE,"True," &amp; IF(_xlfn.XLOOKUP("Src_CIDR_17_22",'Scoring_Config'!$A:$A,'Scoring_Config'!$D:$D,"Yes")="Yes",_xlfn.XLOOKUP("Src_CIDR_17_22",'Scoring_Config'!$A:$A,'Scoring_Config'!$C:$C,15),0),"False,0")</f>
        <v>0</v>
      </c>
      <c r="AF155" s="5" cm="1">
        <f t="array" ref="AF155">IF(TRUE,"True," &amp; IF(_xlfn.XLOOKUP("Dst_IsAny",'Scoring_Config'!$A:$A,'Scoring_Config'!$D:$D,"Yes")="Yes",_xlfn.XLOOKUP("Dst_IsAny",'Scoring_Config'!$A:$A,'Scoring_Config'!$C:$C,25),0),"False,0")</f>
        <v>0</v>
      </c>
      <c r="AG155" s="4" cm="1">
        <f t="array" ref="AG155">IF(FALSE,"True," &amp; IF(_xlfn.XLOOKUP("Dst_CIDR_Le_16",'Scoring_Config'!$A:$A,'Scoring_Config'!$D:$D,"Yes")="Yes",_xlfn.XLOOKUP("Dst_CIDR_Le_16",'Scoring_Config'!$A:$A,'Scoring_Config'!$C:$C,25),0),"False,0")</f>
        <v>0</v>
      </c>
      <c r="AH155" s="4" cm="1">
        <f t="array" ref="AH155">IF(FALSE,"True," &amp; IF(_xlfn.XLOOKUP("Dst_CIDR_17_22",'Scoring_Config'!$A:$A,'Scoring_Config'!$D:$D,"Yes")="Yes",_xlfn.XLOOKUP("Dst_CIDR_17_22",'Scoring_Config'!$A:$A,'Scoring_Config'!$C:$C,15),0),"False,0")</f>
        <v>0</v>
      </c>
      <c r="AI155" s="4" cm="1">
        <f t="array" ref="AI155">IF(FALSE,"True," &amp; IF(_xlfn.XLOOKUP("SrcZone_IsAny",'Scoring_Config'!$A:$A,'Scoring_Config'!$D:$D,"Yes")="Yes",_xlfn.XLOOKUP("SrcZone_IsAny",'Scoring_Config'!$A:$A,'Scoring_Config'!$C:$C,5),0),"False,0")</f>
        <v>0</v>
      </c>
      <c r="AJ155" s="4" cm="1">
        <f t="array" ref="AJ155">IF(FALSE,"True," &amp; IF(_xlfn.XLOOKUP("DstZone_IsAny",'Scoring_Config'!$A:$A,'Scoring_Config'!$D:$D,"Yes")="Yes",_xlfn.XLOOKUP("DstZone_IsAny",'Scoring_Config'!$A:$A,'Scoring_Config'!$C:$C,5),0),"False,0")</f>
        <v>0</v>
      </c>
      <c r="AK155" s="4" cm="1">
        <f t="array" ref="AK15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5" s="5" cm="1">
        <f t="array" ref="AL155">IF(TRUE,"True," &amp; IF(_xlfn.XLOOKUP("App_Any_OR_RangeGt1000",'Scoring_Config'!$A:$A,'Scoring_Config'!$D:$D,"Yes")="Yes",_xlfn.XLOOKUP("App_Any_OR_RangeGt1000",'Scoring_Config'!$A:$A,'Scoring_Config'!$C:$C,25),0),"False,0")</f>
        <v>0</v>
      </c>
      <c r="AM155" s="5" cm="1">
        <f t="array" ref="AM155">IF(TRUE,"True," &amp; IF(_xlfn.XLOOKUP("Service_Insecure_Match",'Scoring_Config'!$A:$A,'Scoring_Config'!$D:$D,"Yes")="Yes",_xlfn.XLOOKUP("Service_Insecure_Match",'Scoring_Config'!$A:$A,'Scoring_Config'!$C:$C,20),0),"False,0")</f>
        <v>0</v>
      </c>
      <c r="AN155" s="4" cm="1">
        <f t="array" ref="AN155">IF(FALSE,"True," &amp; IF(_xlfn.XLOOKUP("Risky_Inbound",'Scoring_Config'!$A:$A,'Scoring_Config'!$D:$D,"Yes")="Yes",_xlfn.XLOOKUP("Risky_Inbound",'Scoring_Config'!$A:$A,'Scoring_Config'!$C:$C,20),0),"False,0")</f>
        <v>0</v>
      </c>
      <c r="AO155" s="4" cm="1">
        <f t="array" ref="AO155">IF(FALSE,"True," &amp; IF(_xlfn.XLOOKUP("Risky_Outbound",'Scoring_Config'!$A:$A,'Scoring_Config'!$D:$D,"Yes")="Yes",_xlfn.XLOOKUP("Risky_Outbound",'Scoring_Config'!$A:$A,'Scoring_Config'!$C:$C,10),0),"False,0")</f>
        <v>0</v>
      </c>
      <c r="AP155" s="5" t="s">
        <v>2595</v>
      </c>
      <c r="AQ155" s="5" cm="1">
        <f t="array" ref="AQ15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5" s="5" t="s">
        <v>2598</v>
      </c>
      <c r="AS155" s="5" t="s">
        <v>2595</v>
      </c>
      <c r="AT155" s="5" t="s">
        <v>2595</v>
      </c>
      <c r="AU155" s="4" cm="1">
        <f t="array" ref="AU155">IF(FALSE,"True," &amp; IF(_xlfn.XLOOKUP("Action_IsDenyOrDrop",'Scoring_Config'!$A:$A,'Scoring_Config'!$D:$D,"Yes")="Yes",_xlfn.XLOOKUP("Action_IsDenyOrDrop",'Scoring_Config'!$A:$A,'Scoring_Config'!$C:$C,0),0),"False,0")</f>
        <v>0</v>
      </c>
      <c r="AV155" s="4"/>
      <c r="AW155" s="4" cm="1">
        <f t="array" ref="AW155">IF(FALSE,"True," &amp; IF(_xlfn.XLOOKUP("Migrate_Insecure",'Scoring_Config'!$A:$A,'Scoring_Config'!$D:$D,"Yes")="Yes",_xlfn.XLOOKUP("Migrate_Insecure",'Scoring_Config'!$A:$A,'Scoring_Config'!$C:$C,15),0),"False,0")</f>
        <v>0</v>
      </c>
      <c r="AX155" s="4"/>
      <c r="AY155" s="4" cm="1">
        <f t="array" ref="AY155">IF(FALSE,"True," &amp; IF(_xlfn.XLOOKUP("Migrate_Other_Ports",'Scoring_Config'!$A:$A,'Scoring_Config'!$D:$D,"Yes")="Yes",_xlfn.XLOOKUP("Migrate_Other_Ports",'Scoring_Config'!$A:$A,'Scoring_Config'!$C:$C,5),0),"False,0")</f>
        <v>0</v>
      </c>
      <c r="AZ155" s="4" cm="1">
        <f t="array" ref="AZ155">IF(LEFT(AU155,4)="True",0,(IF(LEFT(AC155,4)="True",IF(_xlfn.XLOOKUP("Src_IsAny",'Scoring_Config'!$A:$A,'Scoring_Config'!$D:$D,"Yes")="Yes",_xlfn.XLOOKUP("Src_IsAny",'Scoring_Config'!$A:$A,'Scoring_Config'!$C:$C,25),0),0)+IF(LEFT(AD155,4)="True",IF(_xlfn.XLOOKUP("Src_CIDR_Le_16",'Scoring_Config'!$A:$A,'Scoring_Config'!$D:$D,"Yes")="Yes",_xlfn.XLOOKUP("Src_CIDR_Le_16",'Scoring_Config'!$A:$A,'Scoring_Config'!$C:$C,25),0),0)+IF(LEFT(AE155,4)="True",IF(_xlfn.XLOOKUP("Src_CIDR_17_22",'Scoring_Config'!$A:$A,'Scoring_Config'!$D:$D,"Yes")="Yes",_xlfn.XLOOKUP("Src_CIDR_17_22",'Scoring_Config'!$A:$A,'Scoring_Config'!$C:$C,15),0),0)+IF(LEFT(AF155,4)="True",IF(_xlfn.XLOOKUP("Dst_IsAny",'Scoring_Config'!$A:$A,'Scoring_Config'!$D:$D,"Yes")="Yes",_xlfn.XLOOKUP("Dst_IsAny",'Scoring_Config'!$A:$A,'Scoring_Config'!$C:$C,25),0),0)+IF(LEFT(AG155,4)="True",IF(_xlfn.XLOOKUP("Dst_CIDR_Le_16",'Scoring_Config'!$A:$A,'Scoring_Config'!$D:$D,"Yes")="Yes",_xlfn.XLOOKUP("Dst_CIDR_Le_16",'Scoring_Config'!$A:$A,'Scoring_Config'!$C:$C,25),0),0)+IF(LEFT(AH155,4)="True",IF(_xlfn.XLOOKUP("Dst_CIDR_17_22",'Scoring_Config'!$A:$A,'Scoring_Config'!$D:$D,"Yes")="Yes",_xlfn.XLOOKUP("Dst_CIDR_17_22",'Scoring_Config'!$A:$A,'Scoring_Config'!$C:$C,15),0),0)+IF(LEFT(AI155,4)="True",IF(_xlfn.XLOOKUP("SrcZone_IsAny",'Scoring_Config'!$A:$A,'Scoring_Config'!$D:$D,"Yes")="Yes",_xlfn.XLOOKUP("SrcZone_IsAny",'Scoring_Config'!$A:$A,'Scoring_Config'!$C:$C,5),0),0)+IF(LEFT(AJ155,4)="True",IF(_xlfn.XLOOKUP("DstZone_IsAny",'Scoring_Config'!$A:$A,'Scoring_Config'!$D:$D,"Yes")="Yes",_xlfn.XLOOKUP("DstZone_IsAny",'Scoring_Config'!$A:$A,'Scoring_Config'!$C:$C,5),0),0)+IF(LEFT(AK155,4)="True",IF(_xlfn.XLOOKUP("Service_Any_OR_RangeGt1000",'Scoring_Config'!$A:$A,'Scoring_Config'!$D:$D,"Yes")="Yes",_xlfn.XLOOKUP("Service_Any_OR_RangeGt1000",'Scoring_Config'!$A:$A,'Scoring_Config'!$C:$C,25),0),0)+IF(LEFT(AL155,4)="True",IF(_xlfn.XLOOKUP("App_Any_OR_RangeGt1000",'Scoring_Config'!$A:$A,'Scoring_Config'!$D:$D,"Yes")="Yes",_xlfn.XLOOKUP("App_Any_OR_RangeGt1000",'Scoring_Config'!$A:$A,'Scoring_Config'!$C:$C,25),0),0)+IF(LEFT(AM155,4)="True",IF(_xlfn.XLOOKUP("Service_Insecure_Match",'Scoring_Config'!$A:$A,'Scoring_Config'!$D:$D,"Yes")="Yes",_xlfn.XLOOKUP("Service_Insecure_Match",'Scoring_Config'!$A:$A,'Scoring_Config'!$C:$C,20),0),0)+IF(LEFT(AN155,4)="True",IF(_xlfn.XLOOKUP("Risky_Inbound",'Scoring_Config'!$A:$A,'Scoring_Config'!$D:$D,"Yes")="Yes",_xlfn.XLOOKUP("Risky_Inbound",'Scoring_Config'!$A:$A,'Scoring_Config'!$C:$C,20),0),0)+IF(LEFT(AO155,4)="True",IF(_xlfn.XLOOKUP("Risky_Outbound",'Scoring_Config'!$A:$A,'Scoring_Config'!$D:$D,"Yes")="Yes",_xlfn.XLOOKUP("Risky_Outbound",'Scoring_Config'!$A:$A,'Scoring_Config'!$C:$C,10),0),0)+IF(LEFT(AW155,4)="True",IF(_xlfn.XLOOKUP("Migrate_Insecure",'Scoring_Config'!$A:$A,'Scoring_Config'!$D:$D,"Yes")="Yes",_xlfn.XLOOKUP("Migrate_Insecure",'Scoring_Config'!$A:$A,'Scoring_Config'!$C:$C,15),0),0)+IF(LEFT(AY155,4)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155,FIND(",",AP155)+1,100)),0)+IF(LEFT(AQ155,4)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155,FIND(",",AR155)+1,100)),0)+IF(_xlfn.XLOOKUP("Profile_Scoring",'Scoring_Config'!$A:$A,'Scoring_Config'!$D:$D,"Yes")="Yes",VALUE(MID(AS155,FIND(",",AS155)+1,100)),0)+IF(_xlfn.XLOOKUP("Options_Scoring",'Scoring_Config'!$A:$A,'Scoring_Config'!$D:$D,"Yes")="Yes",VALUE(MID(AT155,FIND(",",AT155)+1,100)),0)))</f>
        <v>0</v>
      </c>
    </row>
    <row r="156" spans="1:52">
      <c r="A156" s="3" t="s">
        <v>53</v>
      </c>
      <c r="B156" s="3" t="s">
        <v>172</v>
      </c>
      <c r="C156" s="3" t="s">
        <v>330</v>
      </c>
      <c r="D156" s="3"/>
      <c r="E156" s="3" t="s">
        <v>359</v>
      </c>
      <c r="F156" s="3" t="s">
        <v>362</v>
      </c>
      <c r="G156" s="3" t="s">
        <v>365</v>
      </c>
      <c r="H156" s="3" t="s">
        <v>365</v>
      </c>
      <c r="I156" s="3" t="s">
        <v>624</v>
      </c>
      <c r="J156" s="3" t="s">
        <v>362</v>
      </c>
      <c r="K156" s="3" t="s">
        <v>431</v>
      </c>
      <c r="L156" s="3" t="s">
        <v>431</v>
      </c>
      <c r="M156" s="3" t="s">
        <v>769</v>
      </c>
      <c r="N156" s="3" t="s">
        <v>792</v>
      </c>
      <c r="O156" s="4" t="s">
        <v>832</v>
      </c>
      <c r="P156" s="3" t="s">
        <v>893</v>
      </c>
      <c r="Q156" s="3" t="s">
        <v>905</v>
      </c>
      <c r="R156" s="3" t="s">
        <v>908</v>
      </c>
      <c r="S156" s="3" t="s">
        <v>914</v>
      </c>
      <c r="T156" s="3" t="s">
        <v>1018</v>
      </c>
      <c r="U156" s="3" t="s">
        <v>1150</v>
      </c>
      <c r="V156" s="3" t="s">
        <v>772</v>
      </c>
      <c r="W156" s="3" t="s">
        <v>1487</v>
      </c>
      <c r="X156" s="3" t="s">
        <v>1760</v>
      </c>
      <c r="Y156" s="3" t="s">
        <v>2229</v>
      </c>
      <c r="Z156" s="3"/>
      <c r="AA156" s="3"/>
      <c r="AB156" s="3"/>
      <c r="AC156" s="5" cm="1">
        <f t="array" ref="AC156">IF(TRUE,"True," &amp; IF(_xlfn.XLOOKUP("Src_IsAny",'Scoring_Config'!$A:$A,'Scoring_Config'!$D:$D,"Yes")="Yes",_xlfn.XLOOKUP("Src_IsAny",'Scoring_Config'!$A:$A,'Scoring_Config'!$C:$C,25),0),"False,0")</f>
        <v>0</v>
      </c>
      <c r="AD156" s="4" cm="1">
        <f t="array" ref="AD156">IF(FALSE,"True," &amp; IF(_xlfn.XLOOKUP("Src_CIDR_Le_16",'Scoring_Config'!$A:$A,'Scoring_Config'!$D:$D,"Yes")="Yes",_xlfn.XLOOKUP("Src_CIDR_Le_16",'Scoring_Config'!$A:$A,'Scoring_Config'!$C:$C,25),0),"False,0")</f>
        <v>0</v>
      </c>
      <c r="AE156" s="4" cm="1">
        <f t="array" ref="AE156">IF(FALSE,"True," &amp; IF(_xlfn.XLOOKUP("Src_CIDR_17_22",'Scoring_Config'!$A:$A,'Scoring_Config'!$D:$D,"Yes")="Yes",_xlfn.XLOOKUP("Src_CIDR_17_22",'Scoring_Config'!$A:$A,'Scoring_Config'!$C:$C,15),0),"False,0")</f>
        <v>0</v>
      </c>
      <c r="AF156" s="4" cm="1">
        <f t="array" ref="AF156">IF(FALSE,"True," &amp; IF(_xlfn.XLOOKUP("Dst_IsAny",'Scoring_Config'!$A:$A,'Scoring_Config'!$D:$D,"Yes")="Yes",_xlfn.XLOOKUP("Dst_IsAny",'Scoring_Config'!$A:$A,'Scoring_Config'!$C:$C,25),0),"False,0")</f>
        <v>0</v>
      </c>
      <c r="AG156" s="4" cm="1">
        <f t="array" ref="AG156">IF(FALSE,"True," &amp; IF(_xlfn.XLOOKUP("Dst_CIDR_Le_16",'Scoring_Config'!$A:$A,'Scoring_Config'!$D:$D,"Yes")="Yes",_xlfn.XLOOKUP("Dst_CIDR_Le_16",'Scoring_Config'!$A:$A,'Scoring_Config'!$C:$C,25),0),"False,0")</f>
        <v>0</v>
      </c>
      <c r="AH156" s="4" cm="1">
        <f t="array" ref="AH156">IF(FALSE,"True," &amp; IF(_xlfn.XLOOKUP("Dst_CIDR_17_22",'Scoring_Config'!$A:$A,'Scoring_Config'!$D:$D,"Yes")="Yes",_xlfn.XLOOKUP("Dst_CIDR_17_22",'Scoring_Config'!$A:$A,'Scoring_Config'!$C:$C,15),0),"False,0")</f>
        <v>0</v>
      </c>
      <c r="AI156" s="4" cm="1">
        <f t="array" ref="AI156">IF(FALSE,"True," &amp; IF(_xlfn.XLOOKUP("SrcZone_IsAny",'Scoring_Config'!$A:$A,'Scoring_Config'!$D:$D,"Yes")="Yes",_xlfn.XLOOKUP("SrcZone_IsAny",'Scoring_Config'!$A:$A,'Scoring_Config'!$C:$C,5),0),"False,0")</f>
        <v>0</v>
      </c>
      <c r="AJ156" s="4" cm="1">
        <f t="array" ref="AJ156">IF(FALSE,"True," &amp; IF(_xlfn.XLOOKUP("DstZone_IsAny",'Scoring_Config'!$A:$A,'Scoring_Config'!$D:$D,"Yes")="Yes",_xlfn.XLOOKUP("DstZone_IsAny",'Scoring_Config'!$A:$A,'Scoring_Config'!$C:$C,5),0),"False,0")</f>
        <v>0</v>
      </c>
      <c r="AK156" s="4" cm="1">
        <f t="array" ref="AK15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6" s="4" cm="1">
        <f t="array" ref="AL156">IF(FALSE,"True," &amp; IF(_xlfn.XLOOKUP("App_Any_OR_RangeGt1000",'Scoring_Config'!$A:$A,'Scoring_Config'!$D:$D,"Yes")="Yes",_xlfn.XLOOKUP("App_Any_OR_RangeGt1000",'Scoring_Config'!$A:$A,'Scoring_Config'!$C:$C,25),0),"False,0")</f>
        <v>0</v>
      </c>
      <c r="AM156" s="5" cm="1">
        <f t="array" ref="AM156">IF(TRUE,"True," &amp; IF(_xlfn.XLOOKUP("Service_Insecure_Match",'Scoring_Config'!$A:$A,'Scoring_Config'!$D:$D,"Yes")="Yes",_xlfn.XLOOKUP("Service_Insecure_Match",'Scoring_Config'!$A:$A,'Scoring_Config'!$C:$C,20),0),"False,0")</f>
        <v>0</v>
      </c>
      <c r="AN156" s="4" cm="1">
        <f t="array" ref="AN156">IF(FALSE,"True," &amp; IF(_xlfn.XLOOKUP("Risky_Inbound",'Scoring_Config'!$A:$A,'Scoring_Config'!$D:$D,"Yes")="Yes",_xlfn.XLOOKUP("Risky_Inbound",'Scoring_Config'!$A:$A,'Scoring_Config'!$C:$C,20),0),"False,0")</f>
        <v>0</v>
      </c>
      <c r="AO156" s="4" cm="1">
        <f t="array" ref="AO156">IF(FALSE,"True," &amp; IF(_xlfn.XLOOKUP("Risky_Outbound",'Scoring_Config'!$A:$A,'Scoring_Config'!$D:$D,"Yes")="Yes",_xlfn.XLOOKUP("Risky_Outbound",'Scoring_Config'!$A:$A,'Scoring_Config'!$C:$C,10),0),"False,0")</f>
        <v>0</v>
      </c>
      <c r="AP156" s="5" t="s">
        <v>2595</v>
      </c>
      <c r="AQ156" s="5" cm="1">
        <f t="array" ref="AQ15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6" s="5" t="s">
        <v>2598</v>
      </c>
      <c r="AS156" s="4" t="s">
        <v>2592</v>
      </c>
      <c r="AT156" s="4" t="s">
        <v>2592</v>
      </c>
      <c r="AU156" s="4" cm="1">
        <f t="array" ref="AU156">IF(FALSE,"True," &amp; IF(_xlfn.XLOOKUP("Action_IsDenyOrDrop",'Scoring_Config'!$A:$A,'Scoring_Config'!$D:$D,"Yes")="Yes",_xlfn.XLOOKUP("Action_IsDenyOrDrop",'Scoring_Config'!$A:$A,'Scoring_Config'!$C:$C,0),0),"False,0")</f>
        <v>0</v>
      </c>
      <c r="AV156" s="4"/>
      <c r="AW156" s="4" cm="1">
        <f t="array" ref="AW156">IF(FALSE,"True," &amp; IF(_xlfn.XLOOKUP("Migrate_Insecure",'Scoring_Config'!$A:$A,'Scoring_Config'!$D:$D,"Yes")="Yes",_xlfn.XLOOKUP("Migrate_Insecure",'Scoring_Config'!$A:$A,'Scoring_Config'!$C:$C,15),0),"False,0")</f>
        <v>0</v>
      </c>
      <c r="AX156" s="4"/>
      <c r="AY156" s="4" cm="1">
        <f t="array" ref="AY156">IF(FALSE,"True," &amp; IF(_xlfn.XLOOKUP("Migrate_Other_Ports",'Scoring_Config'!$A:$A,'Scoring_Config'!$D:$D,"Yes")="Yes",_xlfn.XLOOKUP("Migrate_Other_Ports",'Scoring_Config'!$A:$A,'Scoring_Config'!$C:$C,5),0),"False,0")</f>
        <v>0</v>
      </c>
      <c r="AZ156" s="4" cm="1">
        <f t="array" ref="AZ156">IF(LEFT(AU156,4)="True",0,(IF(LEFT(AC156,4)="True",IF(_xlfn.XLOOKUP("Src_IsAny",'Scoring_Config'!$A:$A,'Scoring_Config'!$D:$D,"Yes")="Yes",_xlfn.XLOOKUP("Src_IsAny",'Scoring_Config'!$A:$A,'Scoring_Config'!$C:$C,25),0),0)+IF(LEFT(AD156,4)="True",IF(_xlfn.XLOOKUP("Src_CIDR_Le_16",'Scoring_Config'!$A:$A,'Scoring_Config'!$D:$D,"Yes")="Yes",_xlfn.XLOOKUP("Src_CIDR_Le_16",'Scoring_Config'!$A:$A,'Scoring_Config'!$C:$C,25),0),0)+IF(LEFT(AE156,4)="True",IF(_xlfn.XLOOKUP("Src_CIDR_17_22",'Scoring_Config'!$A:$A,'Scoring_Config'!$D:$D,"Yes")="Yes",_xlfn.XLOOKUP("Src_CIDR_17_22",'Scoring_Config'!$A:$A,'Scoring_Config'!$C:$C,15),0),0)+IF(LEFT(AF156,4)="True",IF(_xlfn.XLOOKUP("Dst_IsAny",'Scoring_Config'!$A:$A,'Scoring_Config'!$D:$D,"Yes")="Yes",_xlfn.XLOOKUP("Dst_IsAny",'Scoring_Config'!$A:$A,'Scoring_Config'!$C:$C,25),0),0)+IF(LEFT(AG156,4)="True",IF(_xlfn.XLOOKUP("Dst_CIDR_Le_16",'Scoring_Config'!$A:$A,'Scoring_Config'!$D:$D,"Yes")="Yes",_xlfn.XLOOKUP("Dst_CIDR_Le_16",'Scoring_Config'!$A:$A,'Scoring_Config'!$C:$C,25),0),0)+IF(LEFT(AH156,4)="True",IF(_xlfn.XLOOKUP("Dst_CIDR_17_22",'Scoring_Config'!$A:$A,'Scoring_Config'!$D:$D,"Yes")="Yes",_xlfn.XLOOKUP("Dst_CIDR_17_22",'Scoring_Config'!$A:$A,'Scoring_Config'!$C:$C,15),0),0)+IF(LEFT(AI156,4)="True",IF(_xlfn.XLOOKUP("SrcZone_IsAny",'Scoring_Config'!$A:$A,'Scoring_Config'!$D:$D,"Yes")="Yes",_xlfn.XLOOKUP("SrcZone_IsAny",'Scoring_Config'!$A:$A,'Scoring_Config'!$C:$C,5),0),0)+IF(LEFT(AJ156,4)="True",IF(_xlfn.XLOOKUP("DstZone_IsAny",'Scoring_Config'!$A:$A,'Scoring_Config'!$D:$D,"Yes")="Yes",_xlfn.XLOOKUP("DstZone_IsAny",'Scoring_Config'!$A:$A,'Scoring_Config'!$C:$C,5),0),0)+IF(LEFT(AK156,4)="True",IF(_xlfn.XLOOKUP("Service_Any_OR_RangeGt1000",'Scoring_Config'!$A:$A,'Scoring_Config'!$D:$D,"Yes")="Yes",_xlfn.XLOOKUP("Service_Any_OR_RangeGt1000",'Scoring_Config'!$A:$A,'Scoring_Config'!$C:$C,25),0),0)+IF(LEFT(AL156,4)="True",IF(_xlfn.XLOOKUP("App_Any_OR_RangeGt1000",'Scoring_Config'!$A:$A,'Scoring_Config'!$D:$D,"Yes")="Yes",_xlfn.XLOOKUP("App_Any_OR_RangeGt1000",'Scoring_Config'!$A:$A,'Scoring_Config'!$C:$C,25),0),0)+IF(LEFT(AM156,4)="True",IF(_xlfn.XLOOKUP("Service_Insecure_Match",'Scoring_Config'!$A:$A,'Scoring_Config'!$D:$D,"Yes")="Yes",_xlfn.XLOOKUP("Service_Insecure_Match",'Scoring_Config'!$A:$A,'Scoring_Config'!$C:$C,20),0),0)+IF(LEFT(AN156,4)="True",IF(_xlfn.XLOOKUP("Risky_Inbound",'Scoring_Config'!$A:$A,'Scoring_Config'!$D:$D,"Yes")="Yes",_xlfn.XLOOKUP("Risky_Inbound",'Scoring_Config'!$A:$A,'Scoring_Config'!$C:$C,20),0),0)+IF(LEFT(AO156,4)="True",IF(_xlfn.XLOOKUP("Risky_Outbound",'Scoring_Config'!$A:$A,'Scoring_Config'!$D:$D,"Yes")="Yes",_xlfn.XLOOKUP("Risky_Outbound",'Scoring_Config'!$A:$A,'Scoring_Config'!$C:$C,10),0),0)+IF(LEFT(AW156,4)="True",IF(_xlfn.XLOOKUP("Migrate_Insecure",'Scoring_Config'!$A:$A,'Scoring_Config'!$D:$D,"Yes")="Yes",_xlfn.XLOOKUP("Migrate_Insecure",'Scoring_Config'!$A:$A,'Scoring_Config'!$C:$C,15),0),0)+IF(LEFT(AY156,4)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156,FIND(",",AP156)+1,100)),0)+IF(LEFT(AQ156,4)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156,FIND(",",AR156)+1,100)),0)+IF(_xlfn.XLOOKUP("Profile_Scoring",'Scoring_Config'!$A:$A,'Scoring_Config'!$D:$D,"Yes")="Yes",VALUE(MID(AS156,FIND(",",AS156)+1,100)),0)+IF(_xlfn.XLOOKUP("Options_Scoring",'Scoring_Config'!$A:$A,'Scoring_Config'!$D:$D,"Yes")="Yes",VALUE(MID(AT156,FIND(",",AT156)+1,100)),0)))</f>
        <v>0</v>
      </c>
    </row>
    <row r="157" spans="1:52">
      <c r="A157" s="3" t="s">
        <v>53</v>
      </c>
      <c r="B157" s="3" t="s">
        <v>168</v>
      </c>
      <c r="C157" s="3" t="s">
        <v>330</v>
      </c>
      <c r="D157" s="3"/>
      <c r="E157" s="3" t="s">
        <v>359</v>
      </c>
      <c r="F157" s="3" t="s">
        <v>360</v>
      </c>
      <c r="G157" s="3" t="s">
        <v>421</v>
      </c>
      <c r="H157" s="3" t="s">
        <v>421</v>
      </c>
      <c r="I157" s="3" t="s">
        <v>623</v>
      </c>
      <c r="J157" s="3" t="s">
        <v>362</v>
      </c>
      <c r="K157" s="3" t="s">
        <v>421</v>
      </c>
      <c r="L157" s="3" t="s">
        <v>421</v>
      </c>
      <c r="M157" s="3" t="s">
        <v>775</v>
      </c>
      <c r="N157" s="3" t="s">
        <v>796</v>
      </c>
      <c r="O157" s="4" t="s">
        <v>812</v>
      </c>
      <c r="P157" s="3" t="s">
        <v>873</v>
      </c>
      <c r="Q157" s="3" t="s">
        <v>905</v>
      </c>
      <c r="R157" s="3" t="s">
        <v>906</v>
      </c>
      <c r="S157" s="3" t="s">
        <v>912</v>
      </c>
      <c r="T157" s="3" t="s">
        <v>1019</v>
      </c>
      <c r="U157" s="3" t="s">
        <v>1224</v>
      </c>
      <c r="V157" s="3" t="s">
        <v>1386</v>
      </c>
      <c r="W157" s="3" t="s">
        <v>1412</v>
      </c>
      <c r="X157" s="3" t="s">
        <v>1761</v>
      </c>
      <c r="Y157" s="3" t="s">
        <v>2230</v>
      </c>
      <c r="Z157" s="3"/>
      <c r="AA157" s="3"/>
      <c r="AB157" s="3"/>
      <c r="AC157" s="4" cm="1">
        <f t="array" ref="AC157">IF(FALSE,"True," &amp; IF(_xlfn.XLOOKUP("Src_IsAny",'Scoring_Config'!$A:$A,'Scoring_Config'!$D:$D,"Yes")="Yes",_xlfn.XLOOKUP("Src_IsAny",'Scoring_Config'!$A:$A,'Scoring_Config'!$C:$C,25),0),"False,0")</f>
        <v>0</v>
      </c>
      <c r="AD157" s="4" cm="1">
        <f t="array" ref="AD157">IF(FALSE,"True," &amp; IF(_xlfn.XLOOKUP("Src_CIDR_Le_16",'Scoring_Config'!$A:$A,'Scoring_Config'!$D:$D,"Yes")="Yes",_xlfn.XLOOKUP("Src_CIDR_Le_16",'Scoring_Config'!$A:$A,'Scoring_Config'!$C:$C,25),0),"False,0")</f>
        <v>0</v>
      </c>
      <c r="AE157" s="4" cm="1">
        <f t="array" ref="AE157">IF(FALSE,"True," &amp; IF(_xlfn.XLOOKUP("Src_CIDR_17_22",'Scoring_Config'!$A:$A,'Scoring_Config'!$D:$D,"Yes")="Yes",_xlfn.XLOOKUP("Src_CIDR_17_22",'Scoring_Config'!$A:$A,'Scoring_Config'!$C:$C,15),0),"False,0")</f>
        <v>0</v>
      </c>
      <c r="AF157" s="4" cm="1">
        <f t="array" ref="AF157">IF(FALSE,"True," &amp; IF(_xlfn.XLOOKUP("Dst_IsAny",'Scoring_Config'!$A:$A,'Scoring_Config'!$D:$D,"Yes")="Yes",_xlfn.XLOOKUP("Dst_IsAny",'Scoring_Config'!$A:$A,'Scoring_Config'!$C:$C,25),0),"False,0")</f>
        <v>0</v>
      </c>
      <c r="AG157" s="4" cm="1">
        <f t="array" ref="AG157">IF(FALSE,"True," &amp; IF(_xlfn.XLOOKUP("Dst_CIDR_Le_16",'Scoring_Config'!$A:$A,'Scoring_Config'!$D:$D,"Yes")="Yes",_xlfn.XLOOKUP("Dst_CIDR_Le_16",'Scoring_Config'!$A:$A,'Scoring_Config'!$C:$C,25),0),"False,0")</f>
        <v>0</v>
      </c>
      <c r="AH157" s="4" cm="1">
        <f t="array" ref="AH157">IF(FALSE,"True," &amp; IF(_xlfn.XLOOKUP("Dst_CIDR_17_22",'Scoring_Config'!$A:$A,'Scoring_Config'!$D:$D,"Yes")="Yes",_xlfn.XLOOKUP("Dst_CIDR_17_22",'Scoring_Config'!$A:$A,'Scoring_Config'!$C:$C,15),0),"False,0")</f>
        <v>0</v>
      </c>
      <c r="AI157" s="4" cm="1">
        <f t="array" ref="AI157">IF(FALSE,"True," &amp; IF(_xlfn.XLOOKUP("SrcZone_IsAny",'Scoring_Config'!$A:$A,'Scoring_Config'!$D:$D,"Yes")="Yes",_xlfn.XLOOKUP("SrcZone_IsAny",'Scoring_Config'!$A:$A,'Scoring_Config'!$C:$C,5),0),"False,0")</f>
        <v>0</v>
      </c>
      <c r="AJ157" s="4" cm="1">
        <f t="array" ref="AJ157">IF(FALSE,"True," &amp; IF(_xlfn.XLOOKUP("DstZone_IsAny",'Scoring_Config'!$A:$A,'Scoring_Config'!$D:$D,"Yes")="Yes",_xlfn.XLOOKUP("DstZone_IsAny",'Scoring_Config'!$A:$A,'Scoring_Config'!$C:$C,5),0),"False,0")</f>
        <v>0</v>
      </c>
      <c r="AK157" s="4" cm="1">
        <f t="array" ref="AK15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7" s="4" cm="1">
        <f t="array" ref="AL157">IF(FALSE,"True," &amp; IF(_xlfn.XLOOKUP("App_Any_OR_RangeGt1000",'Scoring_Config'!$A:$A,'Scoring_Config'!$D:$D,"Yes")="Yes",_xlfn.XLOOKUP("App_Any_OR_RangeGt1000",'Scoring_Config'!$A:$A,'Scoring_Config'!$C:$C,25),0),"False,0")</f>
        <v>0</v>
      </c>
      <c r="AM157" s="4" cm="1">
        <f t="array" ref="AM157">IF(FALSE,"True," &amp; IF(_xlfn.XLOOKUP("Service_Insecure_Match",'Scoring_Config'!$A:$A,'Scoring_Config'!$D:$D,"Yes")="Yes",_xlfn.XLOOKUP("Service_Insecure_Match",'Scoring_Config'!$A:$A,'Scoring_Config'!$C:$C,20),0),"False,0")</f>
        <v>0</v>
      </c>
      <c r="AN157" s="4" cm="1">
        <f t="array" ref="AN157">IF(FALSE,"True," &amp; IF(_xlfn.XLOOKUP("Risky_Inbound",'Scoring_Config'!$A:$A,'Scoring_Config'!$D:$D,"Yes")="Yes",_xlfn.XLOOKUP("Risky_Inbound",'Scoring_Config'!$A:$A,'Scoring_Config'!$C:$C,20),0),"False,0")</f>
        <v>0</v>
      </c>
      <c r="AO157" s="4" cm="1">
        <f t="array" ref="AO157">IF(FALSE,"True," &amp; IF(_xlfn.XLOOKUP("Risky_Outbound",'Scoring_Config'!$A:$A,'Scoring_Config'!$D:$D,"Yes")="Yes",_xlfn.XLOOKUP("Risky_Outbound",'Scoring_Config'!$A:$A,'Scoring_Config'!$C:$C,10),0),"False,0")</f>
        <v>0</v>
      </c>
      <c r="AP157" s="5" t="s">
        <v>2595</v>
      </c>
      <c r="AQ157" s="4" cm="1">
        <f t="array" ref="AQ15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7" s="5" t="s">
        <v>2598</v>
      </c>
      <c r="AS157" s="4" t="s">
        <v>2592</v>
      </c>
      <c r="AT157" s="4" t="s">
        <v>2592</v>
      </c>
      <c r="AU157" s="4" cm="1">
        <f t="array" ref="AU157">IF(FALSE,"True," &amp; IF(_xlfn.XLOOKUP("Action_IsDenyOrDrop",'Scoring_Config'!$A:$A,'Scoring_Config'!$D:$D,"Yes")="Yes",_xlfn.XLOOKUP("Action_IsDenyOrDrop",'Scoring_Config'!$A:$A,'Scoring_Config'!$C:$C,0),0),"False,0")</f>
        <v>0</v>
      </c>
      <c r="AV157" s="4"/>
      <c r="AW157" s="4" cm="1">
        <f t="array" ref="AW157">IF(FALSE,"True," &amp; IF(_xlfn.XLOOKUP("Migrate_Insecure",'Scoring_Config'!$A:$A,'Scoring_Config'!$D:$D,"Yes")="Yes",_xlfn.XLOOKUP("Migrate_Insecure",'Scoring_Config'!$A:$A,'Scoring_Config'!$C:$C,15),0),"False,0")</f>
        <v>0</v>
      </c>
      <c r="AX157" s="4" t="s">
        <v>2600</v>
      </c>
      <c r="AY157" s="5" cm="1">
        <f t="array" ref="AY157">IF(TRUE,"True," &amp; IF(_xlfn.XLOOKUP("Migrate_Other_Ports",'Scoring_Config'!$A:$A,'Scoring_Config'!$D:$D,"Yes")="Yes",_xlfn.XLOOKUP("Migrate_Other_Ports",'Scoring_Config'!$A:$A,'Scoring_Config'!$C:$C,5),0),"False,0")</f>
        <v>0</v>
      </c>
      <c r="AZ157" s="4" cm="1">
        <f t="array" ref="AZ157">IF(LEFT(AU157,4)="True",0,(IF(LEFT(AC157,4)="True",IF(_xlfn.XLOOKUP("Src_IsAny",'Scoring_Config'!$A:$A,'Scoring_Config'!$D:$D,"Yes")="Yes",_xlfn.XLOOKUP("Src_IsAny",'Scoring_Config'!$A:$A,'Scoring_Config'!$C:$C,25),0),0)+IF(LEFT(AD157,4)="True",IF(_xlfn.XLOOKUP("Src_CIDR_Le_16",'Scoring_Config'!$A:$A,'Scoring_Config'!$D:$D,"Yes")="Yes",_xlfn.XLOOKUP("Src_CIDR_Le_16",'Scoring_Config'!$A:$A,'Scoring_Config'!$C:$C,25),0),0)+IF(LEFT(AE157,4)="True",IF(_xlfn.XLOOKUP("Src_CIDR_17_22",'Scoring_Config'!$A:$A,'Scoring_Config'!$D:$D,"Yes")="Yes",_xlfn.XLOOKUP("Src_CIDR_17_22",'Scoring_Config'!$A:$A,'Scoring_Config'!$C:$C,15),0),0)+IF(LEFT(AF157,4)="True",IF(_xlfn.XLOOKUP("Dst_IsAny",'Scoring_Config'!$A:$A,'Scoring_Config'!$D:$D,"Yes")="Yes",_xlfn.XLOOKUP("Dst_IsAny",'Scoring_Config'!$A:$A,'Scoring_Config'!$C:$C,25),0),0)+IF(LEFT(AG157,4)="True",IF(_xlfn.XLOOKUP("Dst_CIDR_Le_16",'Scoring_Config'!$A:$A,'Scoring_Config'!$D:$D,"Yes")="Yes",_xlfn.XLOOKUP("Dst_CIDR_Le_16",'Scoring_Config'!$A:$A,'Scoring_Config'!$C:$C,25),0),0)+IF(LEFT(AH157,4)="True",IF(_xlfn.XLOOKUP("Dst_CIDR_17_22",'Scoring_Config'!$A:$A,'Scoring_Config'!$D:$D,"Yes")="Yes",_xlfn.XLOOKUP("Dst_CIDR_17_22",'Scoring_Config'!$A:$A,'Scoring_Config'!$C:$C,15),0),0)+IF(LEFT(AI157,4)="True",IF(_xlfn.XLOOKUP("SrcZone_IsAny",'Scoring_Config'!$A:$A,'Scoring_Config'!$D:$D,"Yes")="Yes",_xlfn.XLOOKUP("SrcZone_IsAny",'Scoring_Config'!$A:$A,'Scoring_Config'!$C:$C,5),0),0)+IF(LEFT(AJ157,4)="True",IF(_xlfn.XLOOKUP("DstZone_IsAny",'Scoring_Config'!$A:$A,'Scoring_Config'!$D:$D,"Yes")="Yes",_xlfn.XLOOKUP("DstZone_IsAny",'Scoring_Config'!$A:$A,'Scoring_Config'!$C:$C,5),0),0)+IF(LEFT(AK157,4)="True",IF(_xlfn.XLOOKUP("Service_Any_OR_RangeGt1000",'Scoring_Config'!$A:$A,'Scoring_Config'!$D:$D,"Yes")="Yes",_xlfn.XLOOKUP("Service_Any_OR_RangeGt1000",'Scoring_Config'!$A:$A,'Scoring_Config'!$C:$C,25),0),0)+IF(LEFT(AL157,4)="True",IF(_xlfn.XLOOKUP("App_Any_OR_RangeGt1000",'Scoring_Config'!$A:$A,'Scoring_Config'!$D:$D,"Yes")="Yes",_xlfn.XLOOKUP("App_Any_OR_RangeGt1000",'Scoring_Config'!$A:$A,'Scoring_Config'!$C:$C,25),0),0)+IF(LEFT(AM157,4)="True",IF(_xlfn.XLOOKUP("Service_Insecure_Match",'Scoring_Config'!$A:$A,'Scoring_Config'!$D:$D,"Yes")="Yes",_xlfn.XLOOKUP("Service_Insecure_Match",'Scoring_Config'!$A:$A,'Scoring_Config'!$C:$C,20),0),0)+IF(LEFT(AN157,4)="True",IF(_xlfn.XLOOKUP("Risky_Inbound",'Scoring_Config'!$A:$A,'Scoring_Config'!$D:$D,"Yes")="Yes",_xlfn.XLOOKUP("Risky_Inbound",'Scoring_Config'!$A:$A,'Scoring_Config'!$C:$C,20),0),0)+IF(LEFT(AO157,4)="True",IF(_xlfn.XLOOKUP("Risky_Outbound",'Scoring_Config'!$A:$A,'Scoring_Config'!$D:$D,"Yes")="Yes",_xlfn.XLOOKUP("Risky_Outbound",'Scoring_Config'!$A:$A,'Scoring_Config'!$C:$C,10),0),0)+IF(LEFT(AW157,4)="True",IF(_xlfn.XLOOKUP("Migrate_Insecure",'Scoring_Config'!$A:$A,'Scoring_Config'!$D:$D,"Yes")="Yes",_xlfn.XLOOKUP("Migrate_Insecure",'Scoring_Config'!$A:$A,'Scoring_Config'!$C:$C,15),0),0)+IF(LEFT(AY157,4)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157,FIND(",",AP157)+1,100)),0)+IF(LEFT(AQ157,4)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157,FIND(",",AR157)+1,100)),0)+IF(_xlfn.XLOOKUP("Profile_Scoring",'Scoring_Config'!$A:$A,'Scoring_Config'!$D:$D,"Yes")="Yes",VALUE(MID(AS157,FIND(",",AS157)+1,100)),0)+IF(_xlfn.XLOOKUP("Options_Scoring",'Scoring_Config'!$A:$A,'Scoring_Config'!$D:$D,"Yes")="Yes",VALUE(MID(AT157,FIND(",",AT157)+1,100)),0)))</f>
        <v>0</v>
      </c>
    </row>
    <row r="158" spans="1:52">
      <c r="A158" s="3" t="s">
        <v>53</v>
      </c>
      <c r="B158" s="3" t="s">
        <v>77</v>
      </c>
      <c r="C158" s="3" t="s">
        <v>330</v>
      </c>
      <c r="D158" s="3"/>
      <c r="E158" s="3" t="s">
        <v>359</v>
      </c>
      <c r="F158" s="3" t="s">
        <v>360</v>
      </c>
      <c r="G158" s="3" t="s">
        <v>422</v>
      </c>
      <c r="H158" s="3" t="s">
        <v>422</v>
      </c>
      <c r="I158" s="3" t="s">
        <v>622</v>
      </c>
      <c r="J158" s="3" t="s">
        <v>363</v>
      </c>
      <c r="K158" s="3" t="s">
        <v>427</v>
      </c>
      <c r="L158" s="3" t="s">
        <v>427</v>
      </c>
      <c r="M158" s="3" t="s">
        <v>772</v>
      </c>
      <c r="N158" s="3" t="s">
        <v>794</v>
      </c>
      <c r="O158" s="4" t="s">
        <v>824</v>
      </c>
      <c r="P158" s="3" t="s">
        <v>885</v>
      </c>
      <c r="Q158" s="3" t="s">
        <v>905</v>
      </c>
      <c r="R158" s="3" t="s">
        <v>909</v>
      </c>
      <c r="S158" s="3" t="s">
        <v>907</v>
      </c>
      <c r="T158" s="3" t="s">
        <v>919</v>
      </c>
      <c r="U158" s="3" t="s">
        <v>1150</v>
      </c>
      <c r="V158" s="3" t="s">
        <v>1387</v>
      </c>
      <c r="W158" s="3" t="s">
        <v>1048</v>
      </c>
      <c r="X158" s="3" t="s">
        <v>1762</v>
      </c>
      <c r="Y158" s="3" t="s">
        <v>2231</v>
      </c>
      <c r="Z158" s="3"/>
      <c r="AA158" s="3"/>
      <c r="AB158" s="3"/>
      <c r="AC158" s="4" cm="1">
        <f t="array" ref="AC158">IF(FALSE,"True," &amp; IF(_xlfn.XLOOKUP("Src_IsAny",'Scoring_Config'!$A:$A,'Scoring_Config'!$D:$D,"Yes")="Yes",_xlfn.XLOOKUP("Src_IsAny",'Scoring_Config'!$A:$A,'Scoring_Config'!$C:$C,25),0),"False,0")</f>
        <v>0</v>
      </c>
      <c r="AD158" s="5" cm="1">
        <f t="array" ref="AD158">IF(TRUE,"True," &amp; IF(_xlfn.XLOOKUP("Src_CIDR_Le_16",'Scoring_Config'!$A:$A,'Scoring_Config'!$D:$D,"Yes")="Yes",_xlfn.XLOOKUP("Src_CIDR_Le_16",'Scoring_Config'!$A:$A,'Scoring_Config'!$C:$C,25),0),"False,0")</f>
        <v>0</v>
      </c>
      <c r="AE158" s="4" cm="1">
        <f t="array" ref="AE158">IF(FALSE,"True," &amp; IF(_xlfn.XLOOKUP("Src_CIDR_17_22",'Scoring_Config'!$A:$A,'Scoring_Config'!$D:$D,"Yes")="Yes",_xlfn.XLOOKUP("Src_CIDR_17_22",'Scoring_Config'!$A:$A,'Scoring_Config'!$C:$C,15),0),"False,0")</f>
        <v>0</v>
      </c>
      <c r="AF158" s="4" cm="1">
        <f t="array" ref="AF158">IF(FALSE,"True," &amp; IF(_xlfn.XLOOKUP("Dst_IsAny",'Scoring_Config'!$A:$A,'Scoring_Config'!$D:$D,"Yes")="Yes",_xlfn.XLOOKUP("Dst_IsAny",'Scoring_Config'!$A:$A,'Scoring_Config'!$C:$C,25),0),"False,0")</f>
        <v>0</v>
      </c>
      <c r="AG158" s="4" cm="1">
        <f t="array" ref="AG158">IF(FALSE,"True," &amp; IF(_xlfn.XLOOKUP("Dst_CIDR_Le_16",'Scoring_Config'!$A:$A,'Scoring_Config'!$D:$D,"Yes")="Yes",_xlfn.XLOOKUP("Dst_CIDR_Le_16",'Scoring_Config'!$A:$A,'Scoring_Config'!$C:$C,25),0),"False,0")</f>
        <v>0</v>
      </c>
      <c r="AH158" s="4" cm="1">
        <f t="array" ref="AH158">IF(FALSE,"True," &amp; IF(_xlfn.XLOOKUP("Dst_CIDR_17_22",'Scoring_Config'!$A:$A,'Scoring_Config'!$D:$D,"Yes")="Yes",_xlfn.XLOOKUP("Dst_CIDR_17_22",'Scoring_Config'!$A:$A,'Scoring_Config'!$C:$C,15),0),"False,0")</f>
        <v>0</v>
      </c>
      <c r="AI158" s="4" cm="1">
        <f t="array" ref="AI158">IF(FALSE,"True," &amp; IF(_xlfn.XLOOKUP("SrcZone_IsAny",'Scoring_Config'!$A:$A,'Scoring_Config'!$D:$D,"Yes")="Yes",_xlfn.XLOOKUP("SrcZone_IsAny",'Scoring_Config'!$A:$A,'Scoring_Config'!$C:$C,5),0),"False,0")</f>
        <v>0</v>
      </c>
      <c r="AJ158" s="4" cm="1">
        <f t="array" ref="AJ158">IF(FALSE,"True," &amp; IF(_xlfn.XLOOKUP("DstZone_IsAny",'Scoring_Config'!$A:$A,'Scoring_Config'!$D:$D,"Yes")="Yes",_xlfn.XLOOKUP("DstZone_IsAny",'Scoring_Config'!$A:$A,'Scoring_Config'!$C:$C,5),0),"False,0")</f>
        <v>0</v>
      </c>
      <c r="AK158" s="4" cm="1">
        <f t="array" ref="AK15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8" s="4" cm="1">
        <f t="array" ref="AL158">IF(FALSE,"True," &amp; IF(_xlfn.XLOOKUP("App_Any_OR_RangeGt1000",'Scoring_Config'!$A:$A,'Scoring_Config'!$D:$D,"Yes")="Yes",_xlfn.XLOOKUP("App_Any_OR_RangeGt1000",'Scoring_Config'!$A:$A,'Scoring_Config'!$C:$C,25),0),"False,0")</f>
        <v>0</v>
      </c>
      <c r="AM158" s="5" cm="1">
        <f t="array" ref="AM158">IF(TRUE,"True," &amp; IF(_xlfn.XLOOKUP("Service_Insecure_Match",'Scoring_Config'!$A:$A,'Scoring_Config'!$D:$D,"Yes")="Yes",_xlfn.XLOOKUP("Service_Insecure_Match",'Scoring_Config'!$A:$A,'Scoring_Config'!$C:$C,20),0),"False,0")</f>
        <v>0</v>
      </c>
      <c r="AN158" s="4" cm="1">
        <f t="array" ref="AN158">IF(FALSE,"True," &amp; IF(_xlfn.XLOOKUP("Risky_Inbound",'Scoring_Config'!$A:$A,'Scoring_Config'!$D:$D,"Yes")="Yes",_xlfn.XLOOKUP("Risky_Inbound",'Scoring_Config'!$A:$A,'Scoring_Config'!$C:$C,20),0),"False,0")</f>
        <v>0</v>
      </c>
      <c r="AO158" s="4" cm="1">
        <f t="array" ref="AO158">IF(FALSE,"True," &amp; IF(_xlfn.XLOOKUP("Risky_Outbound",'Scoring_Config'!$A:$A,'Scoring_Config'!$D:$D,"Yes")="Yes",_xlfn.XLOOKUP("Risky_Outbound",'Scoring_Config'!$A:$A,'Scoring_Config'!$C:$C,10),0),"False,0")</f>
        <v>0</v>
      </c>
      <c r="AP158" s="5" t="s">
        <v>2595</v>
      </c>
      <c r="AQ158" s="5" cm="1">
        <f t="array" ref="AQ15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8" s="5" t="s">
        <v>2598</v>
      </c>
      <c r="AS158" s="4" t="s">
        <v>2592</v>
      </c>
      <c r="AT158" s="5" t="s">
        <v>2595</v>
      </c>
      <c r="AU158" s="4" cm="1">
        <f t="array" ref="AU158">IF(FALSE,"True," &amp; IF(_xlfn.XLOOKUP("Action_IsDenyOrDrop",'Scoring_Config'!$A:$A,'Scoring_Config'!$D:$D,"Yes")="Yes",_xlfn.XLOOKUP("Action_IsDenyOrDrop",'Scoring_Config'!$A:$A,'Scoring_Config'!$C:$C,0),0),"False,0")</f>
        <v>0</v>
      </c>
      <c r="AV158" s="4"/>
      <c r="AW158" s="4" cm="1">
        <f t="array" ref="AW158">IF(FALSE,"True," &amp; IF(_xlfn.XLOOKUP("Migrate_Insecure",'Scoring_Config'!$A:$A,'Scoring_Config'!$D:$D,"Yes")="Yes",_xlfn.XLOOKUP("Migrate_Insecure",'Scoring_Config'!$A:$A,'Scoring_Config'!$C:$C,15),0),"False,0")</f>
        <v>0</v>
      </c>
      <c r="AX158" s="4"/>
      <c r="AY158" s="4" cm="1">
        <f t="array" ref="AY158">IF(FALSE,"True," &amp; IF(_xlfn.XLOOKUP("Migrate_Other_Ports",'Scoring_Config'!$A:$A,'Scoring_Config'!$D:$D,"Yes")="Yes",_xlfn.XLOOKUP("Migrate_Other_Ports",'Scoring_Config'!$A:$A,'Scoring_Config'!$C:$C,5),0),"False,0")</f>
        <v>0</v>
      </c>
      <c r="AZ158" s="4" cm="1">
        <f t="array" ref="AZ158">IF(LEFT(AU158,4)="True",0,(IF(LEFT(AC158,4)="True",IF(_xlfn.XLOOKUP("Src_IsAny",'Scoring_Config'!$A:$A,'Scoring_Config'!$D:$D,"Yes")="Yes",_xlfn.XLOOKUP("Src_IsAny",'Scoring_Config'!$A:$A,'Scoring_Config'!$C:$C,25),0),0)+IF(LEFT(AD158,4)="True",IF(_xlfn.XLOOKUP("Src_CIDR_Le_16",'Scoring_Config'!$A:$A,'Scoring_Config'!$D:$D,"Yes")="Yes",_xlfn.XLOOKUP("Src_CIDR_Le_16",'Scoring_Config'!$A:$A,'Scoring_Config'!$C:$C,25),0),0)+IF(LEFT(AE158,4)="True",IF(_xlfn.XLOOKUP("Src_CIDR_17_22",'Scoring_Config'!$A:$A,'Scoring_Config'!$D:$D,"Yes")="Yes",_xlfn.XLOOKUP("Src_CIDR_17_22",'Scoring_Config'!$A:$A,'Scoring_Config'!$C:$C,15),0),0)+IF(LEFT(AF158,4)="True",IF(_xlfn.XLOOKUP("Dst_IsAny",'Scoring_Config'!$A:$A,'Scoring_Config'!$D:$D,"Yes")="Yes",_xlfn.XLOOKUP("Dst_IsAny",'Scoring_Config'!$A:$A,'Scoring_Config'!$C:$C,25),0),0)+IF(LEFT(AG158,4)="True",IF(_xlfn.XLOOKUP("Dst_CIDR_Le_16",'Scoring_Config'!$A:$A,'Scoring_Config'!$D:$D,"Yes")="Yes",_xlfn.XLOOKUP("Dst_CIDR_Le_16",'Scoring_Config'!$A:$A,'Scoring_Config'!$C:$C,25),0),0)+IF(LEFT(AH158,4)="True",IF(_xlfn.XLOOKUP("Dst_CIDR_17_22",'Scoring_Config'!$A:$A,'Scoring_Config'!$D:$D,"Yes")="Yes",_xlfn.XLOOKUP("Dst_CIDR_17_22",'Scoring_Config'!$A:$A,'Scoring_Config'!$C:$C,15),0),0)+IF(LEFT(AI158,4)="True",IF(_xlfn.XLOOKUP("SrcZone_IsAny",'Scoring_Config'!$A:$A,'Scoring_Config'!$D:$D,"Yes")="Yes",_xlfn.XLOOKUP("SrcZone_IsAny",'Scoring_Config'!$A:$A,'Scoring_Config'!$C:$C,5),0),0)+IF(LEFT(AJ158,4)="True",IF(_xlfn.XLOOKUP("DstZone_IsAny",'Scoring_Config'!$A:$A,'Scoring_Config'!$D:$D,"Yes")="Yes",_xlfn.XLOOKUP("DstZone_IsAny",'Scoring_Config'!$A:$A,'Scoring_Config'!$C:$C,5),0),0)+IF(LEFT(AK158,4)="True",IF(_xlfn.XLOOKUP("Service_Any_OR_RangeGt1000",'Scoring_Config'!$A:$A,'Scoring_Config'!$D:$D,"Yes")="Yes",_xlfn.XLOOKUP("Service_Any_OR_RangeGt1000",'Scoring_Config'!$A:$A,'Scoring_Config'!$C:$C,25),0),0)+IF(LEFT(AL158,4)="True",IF(_xlfn.XLOOKUP("App_Any_OR_RangeGt1000",'Scoring_Config'!$A:$A,'Scoring_Config'!$D:$D,"Yes")="Yes",_xlfn.XLOOKUP("App_Any_OR_RangeGt1000",'Scoring_Config'!$A:$A,'Scoring_Config'!$C:$C,25),0),0)+IF(LEFT(AM158,4)="True",IF(_xlfn.XLOOKUP("Service_Insecure_Match",'Scoring_Config'!$A:$A,'Scoring_Config'!$D:$D,"Yes")="Yes",_xlfn.XLOOKUP("Service_Insecure_Match",'Scoring_Config'!$A:$A,'Scoring_Config'!$C:$C,20),0),0)+IF(LEFT(AN158,4)="True",IF(_xlfn.XLOOKUP("Risky_Inbound",'Scoring_Config'!$A:$A,'Scoring_Config'!$D:$D,"Yes")="Yes",_xlfn.XLOOKUP("Risky_Inbound",'Scoring_Config'!$A:$A,'Scoring_Config'!$C:$C,20),0),0)+IF(LEFT(AO158,4)="True",IF(_xlfn.XLOOKUP("Risky_Outbound",'Scoring_Config'!$A:$A,'Scoring_Config'!$D:$D,"Yes")="Yes",_xlfn.XLOOKUP("Risky_Outbound",'Scoring_Config'!$A:$A,'Scoring_Config'!$C:$C,10),0),0)+IF(LEFT(AW158,4)="True",IF(_xlfn.XLOOKUP("Migrate_Insecure",'Scoring_Config'!$A:$A,'Scoring_Config'!$D:$D,"Yes")="Yes",_xlfn.XLOOKUP("Migrate_Insecure",'Scoring_Config'!$A:$A,'Scoring_Config'!$C:$C,15),0),0)+IF(LEFT(AY158,4)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158,FIND(",",AP158)+1,100)),0)+IF(LEFT(AQ158,4)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158,FIND(",",AR158)+1,100)),0)+IF(_xlfn.XLOOKUP("Profile_Scoring",'Scoring_Config'!$A:$A,'Scoring_Config'!$D:$D,"Yes")="Yes",VALUE(MID(AS158,FIND(",",AS158)+1,100)),0)+IF(_xlfn.XLOOKUP("Options_Scoring",'Scoring_Config'!$A:$A,'Scoring_Config'!$D:$D,"Yes")="Yes",VALUE(MID(AT158,FIND(",",AT158)+1,100)),0)))</f>
        <v>0</v>
      </c>
    </row>
    <row r="159" spans="1:52">
      <c r="A159" s="3" t="s">
        <v>53</v>
      </c>
      <c r="B159" s="3" t="s">
        <v>173</v>
      </c>
      <c r="C159" s="3" t="s">
        <v>330</v>
      </c>
      <c r="D159" s="3"/>
      <c r="E159" s="3" t="s">
        <v>359</v>
      </c>
      <c r="F159" s="3" t="s">
        <v>360</v>
      </c>
      <c r="G159" s="3" t="s">
        <v>423</v>
      </c>
      <c r="H159" s="3" t="s">
        <v>570</v>
      </c>
      <c r="I159" s="3" t="s">
        <v>625</v>
      </c>
      <c r="J159" s="3" t="s">
        <v>363</v>
      </c>
      <c r="K159" s="3" t="s">
        <v>365</v>
      </c>
      <c r="L159" s="3" t="s">
        <v>365</v>
      </c>
      <c r="M159" s="3" t="s">
        <v>365</v>
      </c>
      <c r="N159" s="3" t="s">
        <v>365</v>
      </c>
      <c r="O159" s="4" t="s">
        <v>807</v>
      </c>
      <c r="P159" s="3" t="s">
        <v>868</v>
      </c>
      <c r="Q159" s="3" t="s">
        <v>904</v>
      </c>
      <c r="R159" s="3" t="s">
        <v>906</v>
      </c>
      <c r="S159" s="3" t="s">
        <v>912</v>
      </c>
      <c r="T159" s="3" t="s">
        <v>919</v>
      </c>
      <c r="U159" s="3" t="s">
        <v>1225</v>
      </c>
      <c r="V159" s="3" t="s">
        <v>789</v>
      </c>
      <c r="W159" s="3" t="s">
        <v>1488</v>
      </c>
      <c r="X159" s="3" t="s">
        <v>1763</v>
      </c>
      <c r="Y159" s="3" t="s">
        <v>2232</v>
      </c>
      <c r="Z159" s="3"/>
      <c r="AA159" s="3"/>
      <c r="AB159" s="3"/>
      <c r="AC159" s="4" cm="1">
        <f t="array" ref="AC159">IF(FALSE,"True," &amp; IF(_xlfn.XLOOKUP("Src_IsAny",'Scoring_Config'!$A:$A,'Scoring_Config'!$D:$D,"Yes")="Yes",_xlfn.XLOOKUP("Src_IsAny",'Scoring_Config'!$A:$A,'Scoring_Config'!$C:$C,25),0),"False,0")</f>
        <v>0</v>
      </c>
      <c r="AD159" s="5" cm="1">
        <f t="array" ref="AD159">IF(TRUE,"True," &amp; IF(_xlfn.XLOOKUP("Src_CIDR_Le_16",'Scoring_Config'!$A:$A,'Scoring_Config'!$D:$D,"Yes")="Yes",_xlfn.XLOOKUP("Src_CIDR_Le_16",'Scoring_Config'!$A:$A,'Scoring_Config'!$C:$C,25),0),"False,0")</f>
        <v>0</v>
      </c>
      <c r="AE159" s="4" cm="1">
        <f t="array" ref="AE159">IF(FALSE,"True," &amp; IF(_xlfn.XLOOKUP("Src_CIDR_17_22",'Scoring_Config'!$A:$A,'Scoring_Config'!$D:$D,"Yes")="Yes",_xlfn.XLOOKUP("Src_CIDR_17_22",'Scoring_Config'!$A:$A,'Scoring_Config'!$C:$C,15),0),"False,0")</f>
        <v>0</v>
      </c>
      <c r="AF159" s="5" cm="1">
        <f t="array" ref="AF159">IF(TRUE,"True," &amp; IF(_xlfn.XLOOKUP("Dst_IsAny",'Scoring_Config'!$A:$A,'Scoring_Config'!$D:$D,"Yes")="Yes",_xlfn.XLOOKUP("Dst_IsAny",'Scoring_Config'!$A:$A,'Scoring_Config'!$C:$C,25),0),"False,0")</f>
        <v>0</v>
      </c>
      <c r="AG159" s="4" cm="1">
        <f t="array" ref="AG159">IF(FALSE,"True," &amp; IF(_xlfn.XLOOKUP("Dst_CIDR_Le_16",'Scoring_Config'!$A:$A,'Scoring_Config'!$D:$D,"Yes")="Yes",_xlfn.XLOOKUP("Dst_CIDR_Le_16",'Scoring_Config'!$A:$A,'Scoring_Config'!$C:$C,25),0),"False,0")</f>
        <v>0</v>
      </c>
      <c r="AH159" s="4" cm="1">
        <f t="array" ref="AH159">IF(FALSE,"True," &amp; IF(_xlfn.XLOOKUP("Dst_CIDR_17_22",'Scoring_Config'!$A:$A,'Scoring_Config'!$D:$D,"Yes")="Yes",_xlfn.XLOOKUP("Dst_CIDR_17_22",'Scoring_Config'!$A:$A,'Scoring_Config'!$C:$C,15),0),"False,0")</f>
        <v>0</v>
      </c>
      <c r="AI159" s="4" cm="1">
        <f t="array" ref="AI159">IF(FALSE,"True," &amp; IF(_xlfn.XLOOKUP("SrcZone_IsAny",'Scoring_Config'!$A:$A,'Scoring_Config'!$D:$D,"Yes")="Yes",_xlfn.XLOOKUP("SrcZone_IsAny",'Scoring_Config'!$A:$A,'Scoring_Config'!$C:$C,5),0),"False,0")</f>
        <v>0</v>
      </c>
      <c r="AJ159" s="4" cm="1">
        <f t="array" ref="AJ159">IF(FALSE,"True," &amp; IF(_xlfn.XLOOKUP("DstZone_IsAny",'Scoring_Config'!$A:$A,'Scoring_Config'!$D:$D,"Yes")="Yes",_xlfn.XLOOKUP("DstZone_IsAny",'Scoring_Config'!$A:$A,'Scoring_Config'!$C:$C,5),0),"False,0")</f>
        <v>0</v>
      </c>
      <c r="AK159" s="4" cm="1">
        <f t="array" ref="AK15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59" s="5" cm="1">
        <f t="array" ref="AL159">IF(TRUE,"True," &amp; IF(_xlfn.XLOOKUP("App_Any_OR_RangeGt1000",'Scoring_Config'!$A:$A,'Scoring_Config'!$D:$D,"Yes")="Yes",_xlfn.XLOOKUP("App_Any_OR_RangeGt1000",'Scoring_Config'!$A:$A,'Scoring_Config'!$C:$C,25),0),"False,0")</f>
        <v>0</v>
      </c>
      <c r="AM159" s="5" cm="1">
        <f t="array" ref="AM159">IF(TRUE,"True," &amp; IF(_xlfn.XLOOKUP("Service_Insecure_Match",'Scoring_Config'!$A:$A,'Scoring_Config'!$D:$D,"Yes")="Yes",_xlfn.XLOOKUP("Service_Insecure_Match",'Scoring_Config'!$A:$A,'Scoring_Config'!$C:$C,20),0),"False,0")</f>
        <v>0</v>
      </c>
      <c r="AN159" s="4" cm="1">
        <f t="array" ref="AN159">IF(FALSE,"True," &amp; IF(_xlfn.XLOOKUP("Risky_Inbound",'Scoring_Config'!$A:$A,'Scoring_Config'!$D:$D,"Yes")="Yes",_xlfn.XLOOKUP("Risky_Inbound",'Scoring_Config'!$A:$A,'Scoring_Config'!$C:$C,20),0),"False,0")</f>
        <v>0</v>
      </c>
      <c r="AO159" s="4" cm="1">
        <f t="array" ref="AO159">IF(FALSE,"True," &amp; IF(_xlfn.XLOOKUP("Risky_Outbound",'Scoring_Config'!$A:$A,'Scoring_Config'!$D:$D,"Yes")="Yes",_xlfn.XLOOKUP("Risky_Outbound",'Scoring_Config'!$A:$A,'Scoring_Config'!$C:$C,10),0),"False,0")</f>
        <v>0</v>
      </c>
      <c r="AP159" s="5" t="s">
        <v>2595</v>
      </c>
      <c r="AQ159" s="4" cm="1">
        <f t="array" ref="AQ15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59" s="5" t="s">
        <v>2598</v>
      </c>
      <c r="AS159" s="4" t="s">
        <v>2592</v>
      </c>
      <c r="AT159" s="4" t="s">
        <v>2592</v>
      </c>
      <c r="AU159" s="5" cm="1">
        <f t="array" ref="AU159">IF(TRUE,"True," &amp; IF(_xlfn.XLOOKUP("Action_IsDenyOrDrop",'Scoring_Config'!$A:$A,'Scoring_Config'!$D:$D,"Yes")="Yes",_xlfn.XLOOKUP("Action_IsDenyOrDrop",'Scoring_Config'!$A:$A,'Scoring_Config'!$C:$C,0),0),"False,0")</f>
        <v>0</v>
      </c>
      <c r="AV159" s="4"/>
      <c r="AW159" s="4" cm="1">
        <f t="array" ref="AW159">IF(FALSE,"True," &amp; IF(_xlfn.XLOOKUP("Migrate_Insecure",'Scoring_Config'!$A:$A,'Scoring_Config'!$D:$D,"Yes")="Yes",_xlfn.XLOOKUP("Migrate_Insecure",'Scoring_Config'!$A:$A,'Scoring_Config'!$C:$C,15),0),"False,0")</f>
        <v>0</v>
      </c>
      <c r="AX159" s="4"/>
      <c r="AY159" s="4" cm="1">
        <f t="array" ref="AY159">IF(FALSE,"True," &amp; IF(_xlfn.XLOOKUP("Migrate_Other_Ports",'Scoring_Config'!$A:$A,'Scoring_Config'!$D:$D,"Yes")="Yes",_xlfn.XLOOKUP("Migrate_Other_Ports",'Scoring_Config'!$A:$A,'Scoring_Config'!$C:$C,5),0),"False,0")</f>
        <v>0</v>
      </c>
      <c r="AZ159" s="4" cm="1">
        <f t="array" ref="AZ159">IF(LEFT(AU159,4)="True",0,(IF(LEFT(AC159,4)="True",IF(_xlfn.XLOOKUP("Src_IsAny",'Scoring_Config'!$A:$A,'Scoring_Config'!$D:$D,"Yes")="Yes",_xlfn.XLOOKUP("Src_IsAny",'Scoring_Config'!$A:$A,'Scoring_Config'!$C:$C,25),0),0)+IF(LEFT(AD159,4)="True",IF(_xlfn.XLOOKUP("Src_CIDR_Le_16",'Scoring_Config'!$A:$A,'Scoring_Config'!$D:$D,"Yes")="Yes",_xlfn.XLOOKUP("Src_CIDR_Le_16",'Scoring_Config'!$A:$A,'Scoring_Config'!$C:$C,25),0),0)+IF(LEFT(AE159,4)="True",IF(_xlfn.XLOOKUP("Src_CIDR_17_22",'Scoring_Config'!$A:$A,'Scoring_Config'!$D:$D,"Yes")="Yes",_xlfn.XLOOKUP("Src_CIDR_17_22",'Scoring_Config'!$A:$A,'Scoring_Config'!$C:$C,15),0),0)+IF(LEFT(AF159,4)="True",IF(_xlfn.XLOOKUP("Dst_IsAny",'Scoring_Config'!$A:$A,'Scoring_Config'!$D:$D,"Yes")="Yes",_xlfn.XLOOKUP("Dst_IsAny",'Scoring_Config'!$A:$A,'Scoring_Config'!$C:$C,25),0),0)+IF(LEFT(AG159,4)="True",IF(_xlfn.XLOOKUP("Dst_CIDR_Le_16",'Scoring_Config'!$A:$A,'Scoring_Config'!$D:$D,"Yes")="Yes",_xlfn.XLOOKUP("Dst_CIDR_Le_16",'Scoring_Config'!$A:$A,'Scoring_Config'!$C:$C,25),0),0)+IF(LEFT(AH159,4)="True",IF(_xlfn.XLOOKUP("Dst_CIDR_17_22",'Scoring_Config'!$A:$A,'Scoring_Config'!$D:$D,"Yes")="Yes",_xlfn.XLOOKUP("Dst_CIDR_17_22",'Scoring_Config'!$A:$A,'Scoring_Config'!$C:$C,15),0),0)+IF(LEFT(AI159,4)="True",IF(_xlfn.XLOOKUP("SrcZone_IsAny",'Scoring_Config'!$A:$A,'Scoring_Config'!$D:$D,"Yes")="Yes",_xlfn.XLOOKUP("SrcZone_IsAny",'Scoring_Config'!$A:$A,'Scoring_Config'!$C:$C,5),0),0)+IF(LEFT(AJ159,4)="True",IF(_xlfn.XLOOKUP("DstZone_IsAny",'Scoring_Config'!$A:$A,'Scoring_Config'!$D:$D,"Yes")="Yes",_xlfn.XLOOKUP("DstZone_IsAny",'Scoring_Config'!$A:$A,'Scoring_Config'!$C:$C,5),0),0)+IF(LEFT(AK159,4)="True",IF(_xlfn.XLOOKUP("Service_Any_OR_RangeGt1000",'Scoring_Config'!$A:$A,'Scoring_Config'!$D:$D,"Yes")="Yes",_xlfn.XLOOKUP("Service_Any_OR_RangeGt1000",'Scoring_Config'!$A:$A,'Scoring_Config'!$C:$C,25),0),0)+IF(LEFT(AL159,4)="True",IF(_xlfn.XLOOKUP("App_Any_OR_RangeGt1000",'Scoring_Config'!$A:$A,'Scoring_Config'!$D:$D,"Yes")="Yes",_xlfn.XLOOKUP("App_Any_OR_RangeGt1000",'Scoring_Config'!$A:$A,'Scoring_Config'!$C:$C,25),0),0)+IF(LEFT(AM159,4)="True",IF(_xlfn.XLOOKUP("Service_Insecure_Match",'Scoring_Config'!$A:$A,'Scoring_Config'!$D:$D,"Yes")="Yes",_xlfn.XLOOKUP("Service_Insecure_Match",'Scoring_Config'!$A:$A,'Scoring_Config'!$C:$C,20),0),0)+IF(LEFT(AN159,4)="True",IF(_xlfn.XLOOKUP("Risky_Inbound",'Scoring_Config'!$A:$A,'Scoring_Config'!$D:$D,"Yes")="Yes",_xlfn.XLOOKUP("Risky_Inbound",'Scoring_Config'!$A:$A,'Scoring_Config'!$C:$C,20),0),0)+IF(LEFT(AO159,4)="True",IF(_xlfn.XLOOKUP("Risky_Outbound",'Scoring_Config'!$A:$A,'Scoring_Config'!$D:$D,"Yes")="Yes",_xlfn.XLOOKUP("Risky_Outbound",'Scoring_Config'!$A:$A,'Scoring_Config'!$C:$C,10),0),0)+IF(LEFT(AW159,4)="True",IF(_xlfn.XLOOKUP("Migrate_Insecure",'Scoring_Config'!$A:$A,'Scoring_Config'!$D:$D,"Yes")="Yes",_xlfn.XLOOKUP("Migrate_Insecure",'Scoring_Config'!$A:$A,'Scoring_Config'!$C:$C,15),0),0)+IF(LEFT(AY159,4)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159,FIND(",",AP159)+1,100)),0)+IF(LEFT(AQ159,4)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159,FIND(",",AR159)+1,100)),0)+IF(_xlfn.XLOOKUP("Profile_Scoring",'Scoring_Config'!$A:$A,'Scoring_Config'!$D:$D,"Yes")="Yes",VALUE(MID(AS159,FIND(",",AS159)+1,100)),0)+IF(_xlfn.XLOOKUP("Options_Scoring",'Scoring_Config'!$A:$A,'Scoring_Config'!$D:$D,"Yes")="Yes",VALUE(MID(AT159,FIND(",",AT159)+1,100)),0)))</f>
        <v>0</v>
      </c>
    </row>
    <row r="160" spans="1:52">
      <c r="A160" s="3" t="s">
        <v>53</v>
      </c>
      <c r="B160" s="3" t="s">
        <v>160</v>
      </c>
      <c r="C160" s="3" t="s">
        <v>330</v>
      </c>
      <c r="D160" s="3"/>
      <c r="E160" s="3" t="s">
        <v>359</v>
      </c>
      <c r="F160" s="3" t="s">
        <v>361</v>
      </c>
      <c r="G160" s="3" t="s">
        <v>365</v>
      </c>
      <c r="H160" s="3" t="s">
        <v>365</v>
      </c>
      <c r="I160" s="3" t="s">
        <v>623</v>
      </c>
      <c r="J160" s="3" t="s">
        <v>360</v>
      </c>
      <c r="K160" s="3" t="s">
        <v>365</v>
      </c>
      <c r="L160" s="3" t="s">
        <v>365</v>
      </c>
      <c r="M160" s="3" t="s">
        <v>365</v>
      </c>
      <c r="N160" s="3" t="s">
        <v>365</v>
      </c>
      <c r="O160" s="4" t="s">
        <v>801</v>
      </c>
      <c r="P160" s="3" t="s">
        <v>862</v>
      </c>
      <c r="Q160" s="3" t="s">
        <v>905</v>
      </c>
      <c r="R160" s="3" t="s">
        <v>907</v>
      </c>
      <c r="S160" s="3" t="s">
        <v>913</v>
      </c>
      <c r="T160" s="3" t="s">
        <v>1020</v>
      </c>
      <c r="U160" s="3" t="s">
        <v>1157</v>
      </c>
      <c r="V160" s="3" t="s">
        <v>770</v>
      </c>
      <c r="W160" s="3" t="s">
        <v>1461</v>
      </c>
      <c r="X160" s="3" t="s">
        <v>1764</v>
      </c>
      <c r="Y160" s="3" t="s">
        <v>2233</v>
      </c>
      <c r="Z160" s="3"/>
      <c r="AA160" s="3"/>
      <c r="AB160" s="3"/>
      <c r="AC160" s="5" cm="1">
        <f t="array" ref="AC160">IF(TRUE,"True," &amp; IF(_xlfn.XLOOKUP("Src_IsAny",'Scoring_Config'!$A:$A,'Scoring_Config'!$D:$D,"Yes")="Yes",_xlfn.XLOOKUP("Src_IsAny",'Scoring_Config'!$A:$A,'Scoring_Config'!$C:$C,25),0),"False,0")</f>
        <v>0</v>
      </c>
      <c r="AD160" s="4" cm="1">
        <f t="array" ref="AD160">IF(FALSE,"True," &amp; IF(_xlfn.XLOOKUP("Src_CIDR_Le_16",'Scoring_Config'!$A:$A,'Scoring_Config'!$D:$D,"Yes")="Yes",_xlfn.XLOOKUP("Src_CIDR_Le_16",'Scoring_Config'!$A:$A,'Scoring_Config'!$C:$C,25),0),"False,0")</f>
        <v>0</v>
      </c>
      <c r="AE160" s="4" cm="1">
        <f t="array" ref="AE160">IF(FALSE,"True," &amp; IF(_xlfn.XLOOKUP("Src_CIDR_17_22",'Scoring_Config'!$A:$A,'Scoring_Config'!$D:$D,"Yes")="Yes",_xlfn.XLOOKUP("Src_CIDR_17_22",'Scoring_Config'!$A:$A,'Scoring_Config'!$C:$C,15),0),"False,0")</f>
        <v>0</v>
      </c>
      <c r="AF160" s="5" cm="1">
        <f t="array" ref="AF160">IF(TRUE,"True," &amp; IF(_xlfn.XLOOKUP("Dst_IsAny",'Scoring_Config'!$A:$A,'Scoring_Config'!$D:$D,"Yes")="Yes",_xlfn.XLOOKUP("Dst_IsAny",'Scoring_Config'!$A:$A,'Scoring_Config'!$C:$C,25),0),"False,0")</f>
        <v>0</v>
      </c>
      <c r="AG160" s="4" cm="1">
        <f t="array" ref="AG160">IF(FALSE,"True," &amp; IF(_xlfn.XLOOKUP("Dst_CIDR_Le_16",'Scoring_Config'!$A:$A,'Scoring_Config'!$D:$D,"Yes")="Yes",_xlfn.XLOOKUP("Dst_CIDR_Le_16",'Scoring_Config'!$A:$A,'Scoring_Config'!$C:$C,25),0),"False,0")</f>
        <v>0</v>
      </c>
      <c r="AH160" s="4" cm="1">
        <f t="array" ref="AH160">IF(FALSE,"True," &amp; IF(_xlfn.XLOOKUP("Dst_CIDR_17_22",'Scoring_Config'!$A:$A,'Scoring_Config'!$D:$D,"Yes")="Yes",_xlfn.XLOOKUP("Dst_CIDR_17_22",'Scoring_Config'!$A:$A,'Scoring_Config'!$C:$C,15),0),"False,0")</f>
        <v>0</v>
      </c>
      <c r="AI160" s="4" cm="1">
        <f t="array" ref="AI160">IF(FALSE,"True," &amp; IF(_xlfn.XLOOKUP("SrcZone_IsAny",'Scoring_Config'!$A:$A,'Scoring_Config'!$D:$D,"Yes")="Yes",_xlfn.XLOOKUP("SrcZone_IsAny",'Scoring_Config'!$A:$A,'Scoring_Config'!$C:$C,5),0),"False,0")</f>
        <v>0</v>
      </c>
      <c r="AJ160" s="4" cm="1">
        <f t="array" ref="AJ160">IF(FALSE,"True," &amp; IF(_xlfn.XLOOKUP("DstZone_IsAny",'Scoring_Config'!$A:$A,'Scoring_Config'!$D:$D,"Yes")="Yes",_xlfn.XLOOKUP("DstZone_IsAny",'Scoring_Config'!$A:$A,'Scoring_Config'!$C:$C,5),0),"False,0")</f>
        <v>0</v>
      </c>
      <c r="AK160" s="4" cm="1">
        <f t="array" ref="AK16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0" s="5" cm="1">
        <f t="array" ref="AL160">IF(TRUE,"True," &amp; IF(_xlfn.XLOOKUP("App_Any_OR_RangeGt1000",'Scoring_Config'!$A:$A,'Scoring_Config'!$D:$D,"Yes")="Yes",_xlfn.XLOOKUP("App_Any_OR_RangeGt1000",'Scoring_Config'!$A:$A,'Scoring_Config'!$C:$C,25),0),"False,0")</f>
        <v>0</v>
      </c>
      <c r="AM160" s="5" cm="1">
        <f t="array" ref="AM160">IF(TRUE,"True," &amp; IF(_xlfn.XLOOKUP("Service_Insecure_Match",'Scoring_Config'!$A:$A,'Scoring_Config'!$D:$D,"Yes")="Yes",_xlfn.XLOOKUP("Service_Insecure_Match",'Scoring_Config'!$A:$A,'Scoring_Config'!$C:$C,20),0),"False,0")</f>
        <v>0</v>
      </c>
      <c r="AN160" s="4" cm="1">
        <f t="array" ref="AN160">IF(FALSE,"True," &amp; IF(_xlfn.XLOOKUP("Risky_Inbound",'Scoring_Config'!$A:$A,'Scoring_Config'!$D:$D,"Yes")="Yes",_xlfn.XLOOKUP("Risky_Inbound",'Scoring_Config'!$A:$A,'Scoring_Config'!$C:$C,20),0),"False,0")</f>
        <v>0</v>
      </c>
      <c r="AO160" s="4" cm="1">
        <f t="array" ref="AO160">IF(FALSE,"True," &amp; IF(_xlfn.XLOOKUP("Risky_Outbound",'Scoring_Config'!$A:$A,'Scoring_Config'!$D:$D,"Yes")="Yes",_xlfn.XLOOKUP("Risky_Outbound",'Scoring_Config'!$A:$A,'Scoring_Config'!$C:$C,10),0),"False,0")</f>
        <v>0</v>
      </c>
      <c r="AP160" s="5" t="s">
        <v>2595</v>
      </c>
      <c r="AQ160" s="5" cm="1">
        <f t="array" ref="AQ16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0" s="5" t="s">
        <v>2598</v>
      </c>
      <c r="AS160" s="5" t="s">
        <v>2595</v>
      </c>
      <c r="AT160" s="4" t="s">
        <v>2592</v>
      </c>
      <c r="AU160" s="4" cm="1">
        <f t="array" ref="AU160">IF(FALSE,"True," &amp; IF(_xlfn.XLOOKUP("Action_IsDenyOrDrop",'Scoring_Config'!$A:$A,'Scoring_Config'!$D:$D,"Yes")="Yes",_xlfn.XLOOKUP("Action_IsDenyOrDrop",'Scoring_Config'!$A:$A,'Scoring_Config'!$C:$C,0),0),"False,0")</f>
        <v>0</v>
      </c>
      <c r="AV160" s="4"/>
      <c r="AW160" s="4" cm="1">
        <f t="array" ref="AW160">IF(FALSE,"True," &amp; IF(_xlfn.XLOOKUP("Migrate_Insecure",'Scoring_Config'!$A:$A,'Scoring_Config'!$D:$D,"Yes")="Yes",_xlfn.XLOOKUP("Migrate_Insecure",'Scoring_Config'!$A:$A,'Scoring_Config'!$C:$C,15),0),"False,0")</f>
        <v>0</v>
      </c>
      <c r="AX160" s="4"/>
      <c r="AY160" s="4" cm="1">
        <f t="array" ref="AY160">IF(FALSE,"True," &amp; IF(_xlfn.XLOOKUP("Migrate_Other_Ports",'Scoring_Config'!$A:$A,'Scoring_Config'!$D:$D,"Yes")="Yes",_xlfn.XLOOKUP("Migrate_Other_Ports",'Scoring_Config'!$A:$A,'Scoring_Config'!$C:$C,5),0),"False,0")</f>
        <v>0</v>
      </c>
      <c r="AZ160" s="4" cm="1">
        <f t="array" ref="AZ160">IF(LEFT(AU160,4)="True",0,(IF(LEFT(AC160,4)="True",IF(_xlfn.XLOOKUP("Src_IsAny",'Scoring_Config'!$A:$A,'Scoring_Config'!$D:$D,"Yes")="Yes",_xlfn.XLOOKUP("Src_IsAny",'Scoring_Config'!$A:$A,'Scoring_Config'!$C:$C,25),0),0)+IF(LEFT(AD160,4)="True",IF(_xlfn.XLOOKUP("Src_CIDR_Le_16",'Scoring_Config'!$A:$A,'Scoring_Config'!$D:$D,"Yes")="Yes",_xlfn.XLOOKUP("Src_CIDR_Le_16",'Scoring_Config'!$A:$A,'Scoring_Config'!$C:$C,25),0),0)+IF(LEFT(AE160,4)="True",IF(_xlfn.XLOOKUP("Src_CIDR_17_22",'Scoring_Config'!$A:$A,'Scoring_Config'!$D:$D,"Yes")="Yes",_xlfn.XLOOKUP("Src_CIDR_17_22",'Scoring_Config'!$A:$A,'Scoring_Config'!$C:$C,15),0),0)+IF(LEFT(AF160,4)="True",IF(_xlfn.XLOOKUP("Dst_IsAny",'Scoring_Config'!$A:$A,'Scoring_Config'!$D:$D,"Yes")="Yes",_xlfn.XLOOKUP("Dst_IsAny",'Scoring_Config'!$A:$A,'Scoring_Config'!$C:$C,25),0),0)+IF(LEFT(AG160,4)="True",IF(_xlfn.XLOOKUP("Dst_CIDR_Le_16",'Scoring_Config'!$A:$A,'Scoring_Config'!$D:$D,"Yes")="Yes",_xlfn.XLOOKUP("Dst_CIDR_Le_16",'Scoring_Config'!$A:$A,'Scoring_Config'!$C:$C,25),0),0)+IF(LEFT(AH160,4)="True",IF(_xlfn.XLOOKUP("Dst_CIDR_17_22",'Scoring_Config'!$A:$A,'Scoring_Config'!$D:$D,"Yes")="Yes",_xlfn.XLOOKUP("Dst_CIDR_17_22",'Scoring_Config'!$A:$A,'Scoring_Config'!$C:$C,15),0),0)+IF(LEFT(AI160,4)="True",IF(_xlfn.XLOOKUP("SrcZone_IsAny",'Scoring_Config'!$A:$A,'Scoring_Config'!$D:$D,"Yes")="Yes",_xlfn.XLOOKUP("SrcZone_IsAny",'Scoring_Config'!$A:$A,'Scoring_Config'!$C:$C,5),0),0)+IF(LEFT(AJ160,4)="True",IF(_xlfn.XLOOKUP("DstZone_IsAny",'Scoring_Config'!$A:$A,'Scoring_Config'!$D:$D,"Yes")="Yes",_xlfn.XLOOKUP("DstZone_IsAny",'Scoring_Config'!$A:$A,'Scoring_Config'!$C:$C,5),0),0)+IF(LEFT(AK160,4)="True",IF(_xlfn.XLOOKUP("Service_Any_OR_RangeGt1000",'Scoring_Config'!$A:$A,'Scoring_Config'!$D:$D,"Yes")="Yes",_xlfn.XLOOKUP("Service_Any_OR_RangeGt1000",'Scoring_Config'!$A:$A,'Scoring_Config'!$C:$C,25),0),0)+IF(LEFT(AL160,4)="True",IF(_xlfn.XLOOKUP("App_Any_OR_RangeGt1000",'Scoring_Config'!$A:$A,'Scoring_Config'!$D:$D,"Yes")="Yes",_xlfn.XLOOKUP("App_Any_OR_RangeGt1000",'Scoring_Config'!$A:$A,'Scoring_Config'!$C:$C,25),0),0)+IF(LEFT(AM160,4)="True",IF(_xlfn.XLOOKUP("Service_Insecure_Match",'Scoring_Config'!$A:$A,'Scoring_Config'!$D:$D,"Yes")="Yes",_xlfn.XLOOKUP("Service_Insecure_Match",'Scoring_Config'!$A:$A,'Scoring_Config'!$C:$C,20),0),0)+IF(LEFT(AN160,4)="True",IF(_xlfn.XLOOKUP("Risky_Inbound",'Scoring_Config'!$A:$A,'Scoring_Config'!$D:$D,"Yes")="Yes",_xlfn.XLOOKUP("Risky_Inbound",'Scoring_Config'!$A:$A,'Scoring_Config'!$C:$C,20),0),0)+IF(LEFT(AO160,4)="True",IF(_xlfn.XLOOKUP("Risky_Outbound",'Scoring_Config'!$A:$A,'Scoring_Config'!$D:$D,"Yes")="Yes",_xlfn.XLOOKUP("Risky_Outbound",'Scoring_Config'!$A:$A,'Scoring_Config'!$C:$C,10),0),0)+IF(LEFT(AW160,4)="True",IF(_xlfn.XLOOKUP("Migrate_Insecure",'Scoring_Config'!$A:$A,'Scoring_Config'!$D:$D,"Yes")="Yes",_xlfn.XLOOKUP("Migrate_Insecure",'Scoring_Config'!$A:$A,'Scoring_Config'!$C:$C,15),0),0)+IF(LEFT(AY160,4)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160,FIND(",",AP160)+1,100)),0)+IF(LEFT(AQ160,4)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160,FIND(",",AR160)+1,100)),0)+IF(_xlfn.XLOOKUP("Profile_Scoring",'Scoring_Config'!$A:$A,'Scoring_Config'!$D:$D,"Yes")="Yes",VALUE(MID(AS160,FIND(",",AS160)+1,100)),0)+IF(_xlfn.XLOOKUP("Options_Scoring",'Scoring_Config'!$A:$A,'Scoring_Config'!$D:$D,"Yes")="Yes",VALUE(MID(AT160,FIND(",",AT160)+1,100)),0)))</f>
        <v>0</v>
      </c>
    </row>
    <row r="161" spans="1:52">
      <c r="A161" s="3" t="s">
        <v>53</v>
      </c>
      <c r="B161" s="3" t="s">
        <v>174</v>
      </c>
      <c r="C161" s="3" t="s">
        <v>330</v>
      </c>
      <c r="D161" s="3"/>
      <c r="E161" s="3" t="s">
        <v>359</v>
      </c>
      <c r="F161" s="3" t="s">
        <v>361</v>
      </c>
      <c r="G161" s="3" t="s">
        <v>365</v>
      </c>
      <c r="H161" s="3" t="s">
        <v>365</v>
      </c>
      <c r="I161" s="3" t="s">
        <v>365</v>
      </c>
      <c r="J161" s="3" t="s">
        <v>360</v>
      </c>
      <c r="K161" s="3" t="s">
        <v>365</v>
      </c>
      <c r="L161" s="3" t="s">
        <v>365</v>
      </c>
      <c r="M161" s="3" t="s">
        <v>365</v>
      </c>
      <c r="N161" s="3" t="s">
        <v>365</v>
      </c>
      <c r="O161" s="4" t="s">
        <v>824</v>
      </c>
      <c r="P161" s="3" t="s">
        <v>885</v>
      </c>
      <c r="Q161" s="3" t="s">
        <v>905</v>
      </c>
      <c r="R161" s="3" t="s">
        <v>907</v>
      </c>
      <c r="S161" s="3" t="s">
        <v>913</v>
      </c>
      <c r="T161" s="3" t="s">
        <v>1021</v>
      </c>
      <c r="U161" s="3" t="s">
        <v>1157</v>
      </c>
      <c r="V161" s="3" t="s">
        <v>1388</v>
      </c>
      <c r="W161" s="3" t="s">
        <v>1489</v>
      </c>
      <c r="X161" s="3" t="s">
        <v>1765</v>
      </c>
      <c r="Y161" s="3" t="s">
        <v>2234</v>
      </c>
      <c r="Z161" s="3"/>
      <c r="AA161" s="3"/>
      <c r="AB161" s="3"/>
      <c r="AC161" s="5" cm="1">
        <f t="array" ref="AC161">IF(TRUE,"True," &amp; IF(_xlfn.XLOOKUP("Src_IsAny",'Scoring_Config'!$A:$A,'Scoring_Config'!$D:$D,"Yes")="Yes",_xlfn.XLOOKUP("Src_IsAny",'Scoring_Config'!$A:$A,'Scoring_Config'!$C:$C,25),0),"False,0")</f>
        <v>0</v>
      </c>
      <c r="AD161" s="4" cm="1">
        <f t="array" ref="AD161">IF(FALSE,"True," &amp; IF(_xlfn.XLOOKUP("Src_CIDR_Le_16",'Scoring_Config'!$A:$A,'Scoring_Config'!$D:$D,"Yes")="Yes",_xlfn.XLOOKUP("Src_CIDR_Le_16",'Scoring_Config'!$A:$A,'Scoring_Config'!$C:$C,25),0),"False,0")</f>
        <v>0</v>
      </c>
      <c r="AE161" s="4" cm="1">
        <f t="array" ref="AE161">IF(FALSE,"True," &amp; IF(_xlfn.XLOOKUP("Src_CIDR_17_22",'Scoring_Config'!$A:$A,'Scoring_Config'!$D:$D,"Yes")="Yes",_xlfn.XLOOKUP("Src_CIDR_17_22",'Scoring_Config'!$A:$A,'Scoring_Config'!$C:$C,15),0),"False,0")</f>
        <v>0</v>
      </c>
      <c r="AF161" s="5" cm="1">
        <f t="array" ref="AF161">IF(TRUE,"True," &amp; IF(_xlfn.XLOOKUP("Dst_IsAny",'Scoring_Config'!$A:$A,'Scoring_Config'!$D:$D,"Yes")="Yes",_xlfn.XLOOKUP("Dst_IsAny",'Scoring_Config'!$A:$A,'Scoring_Config'!$C:$C,25),0),"False,0")</f>
        <v>0</v>
      </c>
      <c r="AG161" s="4" cm="1">
        <f t="array" ref="AG161">IF(FALSE,"True," &amp; IF(_xlfn.XLOOKUP("Dst_CIDR_Le_16",'Scoring_Config'!$A:$A,'Scoring_Config'!$D:$D,"Yes")="Yes",_xlfn.XLOOKUP("Dst_CIDR_Le_16",'Scoring_Config'!$A:$A,'Scoring_Config'!$C:$C,25),0),"False,0")</f>
        <v>0</v>
      </c>
      <c r="AH161" s="4" cm="1">
        <f t="array" ref="AH161">IF(FALSE,"True," &amp; IF(_xlfn.XLOOKUP("Dst_CIDR_17_22",'Scoring_Config'!$A:$A,'Scoring_Config'!$D:$D,"Yes")="Yes",_xlfn.XLOOKUP("Dst_CIDR_17_22",'Scoring_Config'!$A:$A,'Scoring_Config'!$C:$C,15),0),"False,0")</f>
        <v>0</v>
      </c>
      <c r="AI161" s="4" cm="1">
        <f t="array" ref="AI161">IF(FALSE,"True," &amp; IF(_xlfn.XLOOKUP("SrcZone_IsAny",'Scoring_Config'!$A:$A,'Scoring_Config'!$D:$D,"Yes")="Yes",_xlfn.XLOOKUP("SrcZone_IsAny",'Scoring_Config'!$A:$A,'Scoring_Config'!$C:$C,5),0),"False,0")</f>
        <v>0</v>
      </c>
      <c r="AJ161" s="4" cm="1">
        <f t="array" ref="AJ161">IF(FALSE,"True," &amp; IF(_xlfn.XLOOKUP("DstZone_IsAny",'Scoring_Config'!$A:$A,'Scoring_Config'!$D:$D,"Yes")="Yes",_xlfn.XLOOKUP("DstZone_IsAny",'Scoring_Config'!$A:$A,'Scoring_Config'!$C:$C,5),0),"False,0")</f>
        <v>0</v>
      </c>
      <c r="AK161" s="4" cm="1">
        <f t="array" ref="AK16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1" s="5" cm="1">
        <f t="array" ref="AL161">IF(TRUE,"True," &amp; IF(_xlfn.XLOOKUP("App_Any_OR_RangeGt1000",'Scoring_Config'!$A:$A,'Scoring_Config'!$D:$D,"Yes")="Yes",_xlfn.XLOOKUP("App_Any_OR_RangeGt1000",'Scoring_Config'!$A:$A,'Scoring_Config'!$C:$C,25),0),"False,0")</f>
        <v>0</v>
      </c>
      <c r="AM161" s="5" cm="1">
        <f t="array" ref="AM161">IF(TRUE,"True," &amp; IF(_xlfn.XLOOKUP("Service_Insecure_Match",'Scoring_Config'!$A:$A,'Scoring_Config'!$D:$D,"Yes")="Yes",_xlfn.XLOOKUP("Service_Insecure_Match",'Scoring_Config'!$A:$A,'Scoring_Config'!$C:$C,20),0),"False,0")</f>
        <v>0</v>
      </c>
      <c r="AN161" s="4" cm="1">
        <f t="array" ref="AN161">IF(FALSE,"True," &amp; IF(_xlfn.XLOOKUP("Risky_Inbound",'Scoring_Config'!$A:$A,'Scoring_Config'!$D:$D,"Yes")="Yes",_xlfn.XLOOKUP("Risky_Inbound",'Scoring_Config'!$A:$A,'Scoring_Config'!$C:$C,20),0),"False,0")</f>
        <v>0</v>
      </c>
      <c r="AO161" s="4" cm="1">
        <f t="array" ref="AO161">IF(FALSE,"True," &amp; IF(_xlfn.XLOOKUP("Risky_Outbound",'Scoring_Config'!$A:$A,'Scoring_Config'!$D:$D,"Yes")="Yes",_xlfn.XLOOKUP("Risky_Outbound",'Scoring_Config'!$A:$A,'Scoring_Config'!$C:$C,10),0),"False,0")</f>
        <v>0</v>
      </c>
      <c r="AP161" s="5" t="s">
        <v>2595</v>
      </c>
      <c r="AQ161" s="5" cm="1">
        <f t="array" ref="AQ16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1" s="4" t="s">
        <v>2592</v>
      </c>
      <c r="AS161" s="5" t="s">
        <v>2595</v>
      </c>
      <c r="AT161" s="4" t="s">
        <v>2592</v>
      </c>
      <c r="AU161" s="4" cm="1">
        <f t="array" ref="AU161">IF(FALSE,"True," &amp; IF(_xlfn.XLOOKUP("Action_IsDenyOrDrop",'Scoring_Config'!$A:$A,'Scoring_Config'!$D:$D,"Yes")="Yes",_xlfn.XLOOKUP("Action_IsDenyOrDrop",'Scoring_Config'!$A:$A,'Scoring_Config'!$C:$C,0),0),"False,0")</f>
        <v>0</v>
      </c>
      <c r="AV161" s="4"/>
      <c r="AW161" s="4" cm="1">
        <f t="array" ref="AW161">IF(FALSE,"True," &amp; IF(_xlfn.XLOOKUP("Migrate_Insecure",'Scoring_Config'!$A:$A,'Scoring_Config'!$D:$D,"Yes")="Yes",_xlfn.XLOOKUP("Migrate_Insecure",'Scoring_Config'!$A:$A,'Scoring_Config'!$C:$C,15),0),"False,0")</f>
        <v>0</v>
      </c>
      <c r="AX161" s="4"/>
      <c r="AY161" s="4" cm="1">
        <f t="array" ref="AY161">IF(FALSE,"True," &amp; IF(_xlfn.XLOOKUP("Migrate_Other_Ports",'Scoring_Config'!$A:$A,'Scoring_Config'!$D:$D,"Yes")="Yes",_xlfn.XLOOKUP("Migrate_Other_Ports",'Scoring_Config'!$A:$A,'Scoring_Config'!$C:$C,5),0),"False,0")</f>
        <v>0</v>
      </c>
      <c r="AZ161" s="4" cm="1">
        <f t="array" ref="AZ161">IF(LEFT(AU161,4)="True",0,(IF(LEFT(AC161,4)="True",IF(_xlfn.XLOOKUP("Src_IsAny",'Scoring_Config'!$A:$A,'Scoring_Config'!$D:$D,"Yes")="Yes",_xlfn.XLOOKUP("Src_IsAny",'Scoring_Config'!$A:$A,'Scoring_Config'!$C:$C,25),0),0)+IF(LEFT(AD161,4)="True",IF(_xlfn.XLOOKUP("Src_CIDR_Le_16",'Scoring_Config'!$A:$A,'Scoring_Config'!$D:$D,"Yes")="Yes",_xlfn.XLOOKUP("Src_CIDR_Le_16",'Scoring_Config'!$A:$A,'Scoring_Config'!$C:$C,25),0),0)+IF(LEFT(AE161,4)="True",IF(_xlfn.XLOOKUP("Src_CIDR_17_22",'Scoring_Config'!$A:$A,'Scoring_Config'!$D:$D,"Yes")="Yes",_xlfn.XLOOKUP("Src_CIDR_17_22",'Scoring_Config'!$A:$A,'Scoring_Config'!$C:$C,15),0),0)+IF(LEFT(AF161,4)="True",IF(_xlfn.XLOOKUP("Dst_IsAny",'Scoring_Config'!$A:$A,'Scoring_Config'!$D:$D,"Yes")="Yes",_xlfn.XLOOKUP("Dst_IsAny",'Scoring_Config'!$A:$A,'Scoring_Config'!$C:$C,25),0),0)+IF(LEFT(AG161,4)="True",IF(_xlfn.XLOOKUP("Dst_CIDR_Le_16",'Scoring_Config'!$A:$A,'Scoring_Config'!$D:$D,"Yes")="Yes",_xlfn.XLOOKUP("Dst_CIDR_Le_16",'Scoring_Config'!$A:$A,'Scoring_Config'!$C:$C,25),0),0)+IF(LEFT(AH161,4)="True",IF(_xlfn.XLOOKUP("Dst_CIDR_17_22",'Scoring_Config'!$A:$A,'Scoring_Config'!$D:$D,"Yes")="Yes",_xlfn.XLOOKUP("Dst_CIDR_17_22",'Scoring_Config'!$A:$A,'Scoring_Config'!$C:$C,15),0),0)+IF(LEFT(AI161,4)="True",IF(_xlfn.XLOOKUP("SrcZone_IsAny",'Scoring_Config'!$A:$A,'Scoring_Config'!$D:$D,"Yes")="Yes",_xlfn.XLOOKUP("SrcZone_IsAny",'Scoring_Config'!$A:$A,'Scoring_Config'!$C:$C,5),0),0)+IF(LEFT(AJ161,4)="True",IF(_xlfn.XLOOKUP("DstZone_IsAny",'Scoring_Config'!$A:$A,'Scoring_Config'!$D:$D,"Yes")="Yes",_xlfn.XLOOKUP("DstZone_IsAny",'Scoring_Config'!$A:$A,'Scoring_Config'!$C:$C,5),0),0)+IF(LEFT(AK161,4)="True",IF(_xlfn.XLOOKUP("Service_Any_OR_RangeGt1000",'Scoring_Config'!$A:$A,'Scoring_Config'!$D:$D,"Yes")="Yes",_xlfn.XLOOKUP("Service_Any_OR_RangeGt1000",'Scoring_Config'!$A:$A,'Scoring_Config'!$C:$C,25),0),0)+IF(LEFT(AL161,4)="True",IF(_xlfn.XLOOKUP("App_Any_OR_RangeGt1000",'Scoring_Config'!$A:$A,'Scoring_Config'!$D:$D,"Yes")="Yes",_xlfn.XLOOKUP("App_Any_OR_RangeGt1000",'Scoring_Config'!$A:$A,'Scoring_Config'!$C:$C,25),0),0)+IF(LEFT(AM161,4)="True",IF(_xlfn.XLOOKUP("Service_Insecure_Match",'Scoring_Config'!$A:$A,'Scoring_Config'!$D:$D,"Yes")="Yes",_xlfn.XLOOKUP("Service_Insecure_Match",'Scoring_Config'!$A:$A,'Scoring_Config'!$C:$C,20),0),0)+IF(LEFT(AN161,4)="True",IF(_xlfn.XLOOKUP("Risky_Inbound",'Scoring_Config'!$A:$A,'Scoring_Config'!$D:$D,"Yes")="Yes",_xlfn.XLOOKUP("Risky_Inbound",'Scoring_Config'!$A:$A,'Scoring_Config'!$C:$C,20),0),0)+IF(LEFT(AO161,4)="True",IF(_xlfn.XLOOKUP("Risky_Outbound",'Scoring_Config'!$A:$A,'Scoring_Config'!$D:$D,"Yes")="Yes",_xlfn.XLOOKUP("Risky_Outbound",'Scoring_Config'!$A:$A,'Scoring_Config'!$C:$C,10),0),0)+IF(LEFT(AW161,4)="True",IF(_xlfn.XLOOKUP("Migrate_Insecure",'Scoring_Config'!$A:$A,'Scoring_Config'!$D:$D,"Yes")="Yes",_xlfn.XLOOKUP("Migrate_Insecure",'Scoring_Config'!$A:$A,'Scoring_Config'!$C:$C,15),0),0)+IF(LEFT(AY161,4)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161,FIND(",",AP161)+1,100)),0)+IF(LEFT(AQ161,4)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161,FIND(",",AR161)+1,100)),0)+IF(_xlfn.XLOOKUP("Profile_Scoring",'Scoring_Config'!$A:$A,'Scoring_Config'!$D:$D,"Yes")="Yes",VALUE(MID(AS161,FIND(",",AS161)+1,100)),0)+IF(_xlfn.XLOOKUP("Options_Scoring",'Scoring_Config'!$A:$A,'Scoring_Config'!$D:$D,"Yes")="Yes",VALUE(MID(AT161,FIND(",",AT161)+1,100)),0)))</f>
        <v>0</v>
      </c>
    </row>
    <row r="162" spans="1:52">
      <c r="A162" s="3" t="s">
        <v>53</v>
      </c>
      <c r="B162" s="3" t="s">
        <v>175</v>
      </c>
      <c r="C162" s="3" t="s">
        <v>330</v>
      </c>
      <c r="D162" s="3"/>
      <c r="E162" s="3" t="s">
        <v>359</v>
      </c>
      <c r="F162" s="3" t="s">
        <v>362</v>
      </c>
      <c r="G162" s="3" t="s">
        <v>424</v>
      </c>
      <c r="H162" s="3" t="s">
        <v>571</v>
      </c>
      <c r="I162" s="3" t="s">
        <v>365</v>
      </c>
      <c r="J162" s="3" t="s">
        <v>360</v>
      </c>
      <c r="K162" s="3" t="s">
        <v>671</v>
      </c>
      <c r="L162" s="3" t="s">
        <v>675</v>
      </c>
      <c r="M162" s="3" t="s">
        <v>773</v>
      </c>
      <c r="N162" s="3" t="s">
        <v>773</v>
      </c>
      <c r="O162" s="4" t="s">
        <v>837</v>
      </c>
      <c r="P162" s="3" t="s">
        <v>837</v>
      </c>
      <c r="Q162" s="3" t="s">
        <v>904</v>
      </c>
      <c r="R162" s="3" t="s">
        <v>909</v>
      </c>
      <c r="S162" s="3" t="s">
        <v>914</v>
      </c>
      <c r="T162" s="3" t="s">
        <v>919</v>
      </c>
      <c r="U162" s="3" t="s">
        <v>1226</v>
      </c>
      <c r="V162" s="3" t="s">
        <v>1386</v>
      </c>
      <c r="W162" s="3" t="s">
        <v>1083</v>
      </c>
      <c r="X162" s="3" t="s">
        <v>1766</v>
      </c>
      <c r="Y162" s="3" t="s">
        <v>2235</v>
      </c>
      <c r="Z162" s="3"/>
      <c r="AA162" s="3"/>
      <c r="AB162" s="3"/>
      <c r="AC162" s="4" cm="1">
        <f t="array" ref="AC162">IF(FALSE,"True," &amp; IF(_xlfn.XLOOKUP("Src_IsAny",'Scoring_Config'!$A:$A,'Scoring_Config'!$D:$D,"Yes")="Yes",_xlfn.XLOOKUP("Src_IsAny",'Scoring_Config'!$A:$A,'Scoring_Config'!$C:$C,25),0),"False,0")</f>
        <v>0</v>
      </c>
      <c r="AD162" s="5" cm="1">
        <f t="array" ref="AD162">IF(TRUE,"True," &amp; IF(_xlfn.XLOOKUP("Src_CIDR_Le_16",'Scoring_Config'!$A:$A,'Scoring_Config'!$D:$D,"Yes")="Yes",_xlfn.XLOOKUP("Src_CIDR_Le_16",'Scoring_Config'!$A:$A,'Scoring_Config'!$C:$C,25),0),"False,0")</f>
        <v>0</v>
      </c>
      <c r="AE162" s="4" cm="1">
        <f t="array" ref="AE162">IF(FALSE,"True," &amp; IF(_xlfn.XLOOKUP("Src_CIDR_17_22",'Scoring_Config'!$A:$A,'Scoring_Config'!$D:$D,"Yes")="Yes",_xlfn.XLOOKUP("Src_CIDR_17_22",'Scoring_Config'!$A:$A,'Scoring_Config'!$C:$C,15),0),"False,0")</f>
        <v>0</v>
      </c>
      <c r="AF162" s="4" cm="1">
        <f t="array" ref="AF162">IF(FALSE,"True," &amp; IF(_xlfn.XLOOKUP("Dst_IsAny",'Scoring_Config'!$A:$A,'Scoring_Config'!$D:$D,"Yes")="Yes",_xlfn.XLOOKUP("Dst_IsAny",'Scoring_Config'!$A:$A,'Scoring_Config'!$C:$C,25),0),"False,0")</f>
        <v>0</v>
      </c>
      <c r="AG162" s="5" cm="1">
        <f t="array" ref="AG162">IF(TRUE,"True," &amp; IF(_xlfn.XLOOKUP("Dst_CIDR_Le_16",'Scoring_Config'!$A:$A,'Scoring_Config'!$D:$D,"Yes")="Yes",_xlfn.XLOOKUP("Dst_CIDR_Le_16",'Scoring_Config'!$A:$A,'Scoring_Config'!$C:$C,25),0),"False,0")</f>
        <v>0</v>
      </c>
      <c r="AH162" s="4" cm="1">
        <f t="array" ref="AH162">IF(FALSE,"True," &amp; IF(_xlfn.XLOOKUP("Dst_CIDR_17_22",'Scoring_Config'!$A:$A,'Scoring_Config'!$D:$D,"Yes")="Yes",_xlfn.XLOOKUP("Dst_CIDR_17_22",'Scoring_Config'!$A:$A,'Scoring_Config'!$C:$C,15),0),"False,0")</f>
        <v>0</v>
      </c>
      <c r="AI162" s="4" cm="1">
        <f t="array" ref="AI162">IF(FALSE,"True," &amp; IF(_xlfn.XLOOKUP("SrcZone_IsAny",'Scoring_Config'!$A:$A,'Scoring_Config'!$D:$D,"Yes")="Yes",_xlfn.XLOOKUP("SrcZone_IsAny",'Scoring_Config'!$A:$A,'Scoring_Config'!$C:$C,5),0),"False,0")</f>
        <v>0</v>
      </c>
      <c r="AJ162" s="4" cm="1">
        <f t="array" ref="AJ162">IF(FALSE,"True," &amp; IF(_xlfn.XLOOKUP("DstZone_IsAny",'Scoring_Config'!$A:$A,'Scoring_Config'!$D:$D,"Yes")="Yes",_xlfn.XLOOKUP("DstZone_IsAny",'Scoring_Config'!$A:$A,'Scoring_Config'!$C:$C,5),0),"False,0")</f>
        <v>0</v>
      </c>
      <c r="AK162" s="4" cm="1">
        <f t="array" ref="AK16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2" s="4" cm="1">
        <f t="array" ref="AL162">IF(FALSE,"True," &amp; IF(_xlfn.XLOOKUP("App_Any_OR_RangeGt1000",'Scoring_Config'!$A:$A,'Scoring_Config'!$D:$D,"Yes")="Yes",_xlfn.XLOOKUP("App_Any_OR_RangeGt1000",'Scoring_Config'!$A:$A,'Scoring_Config'!$C:$C,25),0),"False,0")</f>
        <v>0</v>
      </c>
      <c r="AM162" s="4" cm="1">
        <f t="array" ref="AM162">IF(FALSE,"True," &amp; IF(_xlfn.XLOOKUP("Service_Insecure_Match",'Scoring_Config'!$A:$A,'Scoring_Config'!$D:$D,"Yes")="Yes",_xlfn.XLOOKUP("Service_Insecure_Match",'Scoring_Config'!$A:$A,'Scoring_Config'!$C:$C,20),0),"False,0")</f>
        <v>0</v>
      </c>
      <c r="AN162" s="4" cm="1">
        <f t="array" ref="AN162">IF(FALSE,"True," &amp; IF(_xlfn.XLOOKUP("Risky_Inbound",'Scoring_Config'!$A:$A,'Scoring_Config'!$D:$D,"Yes")="Yes",_xlfn.XLOOKUP("Risky_Inbound",'Scoring_Config'!$A:$A,'Scoring_Config'!$C:$C,20),0),"False,0")</f>
        <v>0</v>
      </c>
      <c r="AO162" s="4" cm="1">
        <f t="array" ref="AO162">IF(FALSE,"True," &amp; IF(_xlfn.XLOOKUP("Risky_Outbound",'Scoring_Config'!$A:$A,'Scoring_Config'!$D:$D,"Yes")="Yes",_xlfn.XLOOKUP("Risky_Outbound",'Scoring_Config'!$A:$A,'Scoring_Config'!$C:$C,10),0),"False,0")</f>
        <v>0</v>
      </c>
      <c r="AP162" s="5" t="s">
        <v>2595</v>
      </c>
      <c r="AQ162" s="4" cm="1">
        <f t="array" ref="AQ16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2" s="4" t="s">
        <v>2592</v>
      </c>
      <c r="AS162" s="4" t="s">
        <v>2592</v>
      </c>
      <c r="AT162" s="4" t="s">
        <v>2592</v>
      </c>
      <c r="AU162" s="5" cm="1">
        <f t="array" ref="AU162">IF(TRUE,"True," &amp; IF(_xlfn.XLOOKUP("Action_IsDenyOrDrop",'Scoring_Config'!$A:$A,'Scoring_Config'!$D:$D,"Yes")="Yes",_xlfn.XLOOKUP("Action_IsDenyOrDrop",'Scoring_Config'!$A:$A,'Scoring_Config'!$C:$C,0),0),"False,0")</f>
        <v>0</v>
      </c>
      <c r="AV162" s="4"/>
      <c r="AW162" s="4" cm="1">
        <f t="array" ref="AW162">IF(FALSE,"True," &amp; IF(_xlfn.XLOOKUP("Migrate_Insecure",'Scoring_Config'!$A:$A,'Scoring_Config'!$D:$D,"Yes")="Yes",_xlfn.XLOOKUP("Migrate_Insecure",'Scoring_Config'!$A:$A,'Scoring_Config'!$C:$C,15),0),"False,0")</f>
        <v>0</v>
      </c>
      <c r="AX162" s="4"/>
      <c r="AY162" s="4" cm="1">
        <f t="array" ref="AY162">IF(FALSE,"True," &amp; IF(_xlfn.XLOOKUP("Migrate_Other_Ports",'Scoring_Config'!$A:$A,'Scoring_Config'!$D:$D,"Yes")="Yes",_xlfn.XLOOKUP("Migrate_Other_Ports",'Scoring_Config'!$A:$A,'Scoring_Config'!$C:$C,5),0),"False,0")</f>
        <v>0</v>
      </c>
      <c r="AZ162" s="4" cm="1">
        <f t="array" ref="AZ162">IF(LEFT(AU162,4)="True",0,(IF(LEFT(AC162,4)="True",IF(_xlfn.XLOOKUP("Src_IsAny",'Scoring_Config'!$A:$A,'Scoring_Config'!$D:$D,"Yes")="Yes",_xlfn.XLOOKUP("Src_IsAny",'Scoring_Config'!$A:$A,'Scoring_Config'!$C:$C,25),0),0)+IF(LEFT(AD162,4)="True",IF(_xlfn.XLOOKUP("Src_CIDR_Le_16",'Scoring_Config'!$A:$A,'Scoring_Config'!$D:$D,"Yes")="Yes",_xlfn.XLOOKUP("Src_CIDR_Le_16",'Scoring_Config'!$A:$A,'Scoring_Config'!$C:$C,25),0),0)+IF(LEFT(AE162,4)="True",IF(_xlfn.XLOOKUP("Src_CIDR_17_22",'Scoring_Config'!$A:$A,'Scoring_Config'!$D:$D,"Yes")="Yes",_xlfn.XLOOKUP("Src_CIDR_17_22",'Scoring_Config'!$A:$A,'Scoring_Config'!$C:$C,15),0),0)+IF(LEFT(AF162,4)="True",IF(_xlfn.XLOOKUP("Dst_IsAny",'Scoring_Config'!$A:$A,'Scoring_Config'!$D:$D,"Yes")="Yes",_xlfn.XLOOKUP("Dst_IsAny",'Scoring_Config'!$A:$A,'Scoring_Config'!$C:$C,25),0),0)+IF(LEFT(AG162,4)="True",IF(_xlfn.XLOOKUP("Dst_CIDR_Le_16",'Scoring_Config'!$A:$A,'Scoring_Config'!$D:$D,"Yes")="Yes",_xlfn.XLOOKUP("Dst_CIDR_Le_16",'Scoring_Config'!$A:$A,'Scoring_Config'!$C:$C,25),0),0)+IF(LEFT(AH162,4)="True",IF(_xlfn.XLOOKUP("Dst_CIDR_17_22",'Scoring_Config'!$A:$A,'Scoring_Config'!$D:$D,"Yes")="Yes",_xlfn.XLOOKUP("Dst_CIDR_17_22",'Scoring_Config'!$A:$A,'Scoring_Config'!$C:$C,15),0),0)+IF(LEFT(AI162,4)="True",IF(_xlfn.XLOOKUP("SrcZone_IsAny",'Scoring_Config'!$A:$A,'Scoring_Config'!$D:$D,"Yes")="Yes",_xlfn.XLOOKUP("SrcZone_IsAny",'Scoring_Config'!$A:$A,'Scoring_Config'!$C:$C,5),0),0)+IF(LEFT(AJ162,4)="True",IF(_xlfn.XLOOKUP("DstZone_IsAny",'Scoring_Config'!$A:$A,'Scoring_Config'!$D:$D,"Yes")="Yes",_xlfn.XLOOKUP("DstZone_IsAny",'Scoring_Config'!$A:$A,'Scoring_Config'!$C:$C,5),0),0)+IF(LEFT(AK162,4)="True",IF(_xlfn.XLOOKUP("Service_Any_OR_RangeGt1000",'Scoring_Config'!$A:$A,'Scoring_Config'!$D:$D,"Yes")="Yes",_xlfn.XLOOKUP("Service_Any_OR_RangeGt1000",'Scoring_Config'!$A:$A,'Scoring_Config'!$C:$C,25),0),0)+IF(LEFT(AL162,4)="True",IF(_xlfn.XLOOKUP("App_Any_OR_RangeGt1000",'Scoring_Config'!$A:$A,'Scoring_Config'!$D:$D,"Yes")="Yes",_xlfn.XLOOKUP("App_Any_OR_RangeGt1000",'Scoring_Config'!$A:$A,'Scoring_Config'!$C:$C,25),0),0)+IF(LEFT(AM162,4)="True",IF(_xlfn.XLOOKUP("Service_Insecure_Match",'Scoring_Config'!$A:$A,'Scoring_Config'!$D:$D,"Yes")="Yes",_xlfn.XLOOKUP("Service_Insecure_Match",'Scoring_Config'!$A:$A,'Scoring_Config'!$C:$C,20),0),0)+IF(LEFT(AN162,4)="True",IF(_xlfn.XLOOKUP("Risky_Inbound",'Scoring_Config'!$A:$A,'Scoring_Config'!$D:$D,"Yes")="Yes",_xlfn.XLOOKUP("Risky_Inbound",'Scoring_Config'!$A:$A,'Scoring_Config'!$C:$C,20),0),0)+IF(LEFT(AO162,4)="True",IF(_xlfn.XLOOKUP("Risky_Outbound",'Scoring_Config'!$A:$A,'Scoring_Config'!$D:$D,"Yes")="Yes",_xlfn.XLOOKUP("Risky_Outbound",'Scoring_Config'!$A:$A,'Scoring_Config'!$C:$C,10),0),0)+IF(LEFT(AW162,4)="True",IF(_xlfn.XLOOKUP("Migrate_Insecure",'Scoring_Config'!$A:$A,'Scoring_Config'!$D:$D,"Yes")="Yes",_xlfn.XLOOKUP("Migrate_Insecure",'Scoring_Config'!$A:$A,'Scoring_Config'!$C:$C,15),0),0)+IF(LEFT(AY162,4)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162,FIND(",",AP162)+1,100)),0)+IF(LEFT(AQ162,4)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162,FIND(",",AR162)+1,100)),0)+IF(_xlfn.XLOOKUP("Profile_Scoring",'Scoring_Config'!$A:$A,'Scoring_Config'!$D:$D,"Yes")="Yes",VALUE(MID(AS162,FIND(",",AS162)+1,100)),0)+IF(_xlfn.XLOOKUP("Options_Scoring",'Scoring_Config'!$A:$A,'Scoring_Config'!$D:$D,"Yes")="Yes",VALUE(MID(AT162,FIND(",",AT162)+1,100)),0)))</f>
        <v>0</v>
      </c>
    </row>
    <row r="163" spans="1:52">
      <c r="A163" s="3" t="s">
        <v>53</v>
      </c>
      <c r="B163" s="3" t="s">
        <v>140</v>
      </c>
      <c r="C163" s="3" t="s">
        <v>330</v>
      </c>
      <c r="D163" s="3"/>
      <c r="E163" s="3" t="s">
        <v>359</v>
      </c>
      <c r="F163" s="3" t="s">
        <v>361</v>
      </c>
      <c r="G163" s="3" t="s">
        <v>365</v>
      </c>
      <c r="H163" s="3" t="s">
        <v>365</v>
      </c>
      <c r="I163" s="3" t="s">
        <v>623</v>
      </c>
      <c r="J163" s="3" t="s">
        <v>364</v>
      </c>
      <c r="K163" s="3" t="s">
        <v>365</v>
      </c>
      <c r="L163" s="3" t="s">
        <v>365</v>
      </c>
      <c r="M163" s="3" t="s">
        <v>365</v>
      </c>
      <c r="N163" s="3" t="s">
        <v>365</v>
      </c>
      <c r="O163" s="4" t="s">
        <v>817</v>
      </c>
      <c r="P163" s="3" t="s">
        <v>878</v>
      </c>
      <c r="Q163" s="3" t="s">
        <v>905</v>
      </c>
      <c r="R163" s="3" t="s">
        <v>907</v>
      </c>
      <c r="S163" s="3" t="s">
        <v>915</v>
      </c>
      <c r="T163" s="3" t="s">
        <v>1022</v>
      </c>
      <c r="U163" s="3" t="s">
        <v>1150</v>
      </c>
      <c r="V163" s="3" t="s">
        <v>789</v>
      </c>
      <c r="W163" s="3" t="s">
        <v>1394</v>
      </c>
      <c r="X163" s="3" t="s">
        <v>1767</v>
      </c>
      <c r="Y163" s="3" t="s">
        <v>2236</v>
      </c>
      <c r="Z163" s="3"/>
      <c r="AA163" s="3"/>
      <c r="AB163" s="3"/>
      <c r="AC163" s="5" cm="1">
        <f t="array" ref="AC163">IF(TRUE,"True," &amp; IF(_xlfn.XLOOKUP("Src_IsAny",'Scoring_Config'!$A:$A,'Scoring_Config'!$D:$D,"Yes")="Yes",_xlfn.XLOOKUP("Src_IsAny",'Scoring_Config'!$A:$A,'Scoring_Config'!$C:$C,25),0),"False,0")</f>
        <v>0</v>
      </c>
      <c r="AD163" s="4" cm="1">
        <f t="array" ref="AD163">IF(FALSE,"True," &amp; IF(_xlfn.XLOOKUP("Src_CIDR_Le_16",'Scoring_Config'!$A:$A,'Scoring_Config'!$D:$D,"Yes")="Yes",_xlfn.XLOOKUP("Src_CIDR_Le_16",'Scoring_Config'!$A:$A,'Scoring_Config'!$C:$C,25),0),"False,0")</f>
        <v>0</v>
      </c>
      <c r="AE163" s="4" cm="1">
        <f t="array" ref="AE163">IF(FALSE,"True," &amp; IF(_xlfn.XLOOKUP("Src_CIDR_17_22",'Scoring_Config'!$A:$A,'Scoring_Config'!$D:$D,"Yes")="Yes",_xlfn.XLOOKUP("Src_CIDR_17_22",'Scoring_Config'!$A:$A,'Scoring_Config'!$C:$C,15),0),"False,0")</f>
        <v>0</v>
      </c>
      <c r="AF163" s="5" cm="1">
        <f t="array" ref="AF163">IF(TRUE,"True," &amp; IF(_xlfn.XLOOKUP("Dst_IsAny",'Scoring_Config'!$A:$A,'Scoring_Config'!$D:$D,"Yes")="Yes",_xlfn.XLOOKUP("Dst_IsAny",'Scoring_Config'!$A:$A,'Scoring_Config'!$C:$C,25),0),"False,0")</f>
        <v>0</v>
      </c>
      <c r="AG163" s="4" cm="1">
        <f t="array" ref="AG163">IF(FALSE,"True," &amp; IF(_xlfn.XLOOKUP("Dst_CIDR_Le_16",'Scoring_Config'!$A:$A,'Scoring_Config'!$D:$D,"Yes")="Yes",_xlfn.XLOOKUP("Dst_CIDR_Le_16",'Scoring_Config'!$A:$A,'Scoring_Config'!$C:$C,25),0),"False,0")</f>
        <v>0</v>
      </c>
      <c r="AH163" s="4" cm="1">
        <f t="array" ref="AH163">IF(FALSE,"True," &amp; IF(_xlfn.XLOOKUP("Dst_CIDR_17_22",'Scoring_Config'!$A:$A,'Scoring_Config'!$D:$D,"Yes")="Yes",_xlfn.XLOOKUP("Dst_CIDR_17_22",'Scoring_Config'!$A:$A,'Scoring_Config'!$C:$C,15),0),"False,0")</f>
        <v>0</v>
      </c>
      <c r="AI163" s="4" cm="1">
        <f t="array" ref="AI163">IF(FALSE,"True," &amp; IF(_xlfn.XLOOKUP("SrcZone_IsAny",'Scoring_Config'!$A:$A,'Scoring_Config'!$D:$D,"Yes")="Yes",_xlfn.XLOOKUP("SrcZone_IsAny",'Scoring_Config'!$A:$A,'Scoring_Config'!$C:$C,5),0),"False,0")</f>
        <v>0</v>
      </c>
      <c r="AJ163" s="4" cm="1">
        <f t="array" ref="AJ163">IF(FALSE,"True," &amp; IF(_xlfn.XLOOKUP("DstZone_IsAny",'Scoring_Config'!$A:$A,'Scoring_Config'!$D:$D,"Yes")="Yes",_xlfn.XLOOKUP("DstZone_IsAny",'Scoring_Config'!$A:$A,'Scoring_Config'!$C:$C,5),0),"False,0")</f>
        <v>0</v>
      </c>
      <c r="AK163" s="4" cm="1">
        <f t="array" ref="AK16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3" s="5" cm="1">
        <f t="array" ref="AL163">IF(TRUE,"True," &amp; IF(_xlfn.XLOOKUP("App_Any_OR_RangeGt1000",'Scoring_Config'!$A:$A,'Scoring_Config'!$D:$D,"Yes")="Yes",_xlfn.XLOOKUP("App_Any_OR_RangeGt1000",'Scoring_Config'!$A:$A,'Scoring_Config'!$C:$C,25),0),"False,0")</f>
        <v>0</v>
      </c>
      <c r="AM163" s="5" cm="1">
        <f t="array" ref="AM163">IF(TRUE,"True," &amp; IF(_xlfn.XLOOKUP("Service_Insecure_Match",'Scoring_Config'!$A:$A,'Scoring_Config'!$D:$D,"Yes")="Yes",_xlfn.XLOOKUP("Service_Insecure_Match",'Scoring_Config'!$A:$A,'Scoring_Config'!$C:$C,20),0),"False,0")</f>
        <v>0</v>
      </c>
      <c r="AN163" s="4" cm="1">
        <f t="array" ref="AN163">IF(FALSE,"True," &amp; IF(_xlfn.XLOOKUP("Risky_Inbound",'Scoring_Config'!$A:$A,'Scoring_Config'!$D:$D,"Yes")="Yes",_xlfn.XLOOKUP("Risky_Inbound",'Scoring_Config'!$A:$A,'Scoring_Config'!$C:$C,20),0),"False,0")</f>
        <v>0</v>
      </c>
      <c r="AO163" s="4" cm="1">
        <f t="array" ref="AO163">IF(FALSE,"True," &amp; IF(_xlfn.XLOOKUP("Risky_Outbound",'Scoring_Config'!$A:$A,'Scoring_Config'!$D:$D,"Yes")="Yes",_xlfn.XLOOKUP("Risky_Outbound",'Scoring_Config'!$A:$A,'Scoring_Config'!$C:$C,10),0),"False,0")</f>
        <v>0</v>
      </c>
      <c r="AP163" s="5" t="s">
        <v>2595</v>
      </c>
      <c r="AQ163" s="5" cm="1">
        <f t="array" ref="AQ16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3" s="5" t="s">
        <v>2598</v>
      </c>
      <c r="AS163" s="5" t="s">
        <v>2595</v>
      </c>
      <c r="AT163" s="4" t="s">
        <v>2592</v>
      </c>
      <c r="AU163" s="4" cm="1">
        <f t="array" ref="AU163">IF(FALSE,"True," &amp; IF(_xlfn.XLOOKUP("Action_IsDenyOrDrop",'Scoring_Config'!$A:$A,'Scoring_Config'!$D:$D,"Yes")="Yes",_xlfn.XLOOKUP("Action_IsDenyOrDrop",'Scoring_Config'!$A:$A,'Scoring_Config'!$C:$C,0),0),"False,0")</f>
        <v>0</v>
      </c>
      <c r="AV163" s="4"/>
      <c r="AW163" s="4" cm="1">
        <f t="array" ref="AW163">IF(FALSE,"True," &amp; IF(_xlfn.XLOOKUP("Migrate_Insecure",'Scoring_Config'!$A:$A,'Scoring_Config'!$D:$D,"Yes")="Yes",_xlfn.XLOOKUP("Migrate_Insecure",'Scoring_Config'!$A:$A,'Scoring_Config'!$C:$C,15),0),"False,0")</f>
        <v>0</v>
      </c>
      <c r="AX163" s="4"/>
      <c r="AY163" s="4" cm="1">
        <f t="array" ref="AY163">IF(FALSE,"True," &amp; IF(_xlfn.XLOOKUP("Migrate_Other_Ports",'Scoring_Config'!$A:$A,'Scoring_Config'!$D:$D,"Yes")="Yes",_xlfn.XLOOKUP("Migrate_Other_Ports",'Scoring_Config'!$A:$A,'Scoring_Config'!$C:$C,5),0),"False,0")</f>
        <v>0</v>
      </c>
      <c r="AZ163" s="4" cm="1">
        <f t="array" ref="AZ163">IF(LEFT(AU163,4)="True",0,(IF(LEFT(AC163,4)="True",IF(_xlfn.XLOOKUP("Src_IsAny",'Scoring_Config'!$A:$A,'Scoring_Config'!$D:$D,"Yes")="Yes",_xlfn.XLOOKUP("Src_IsAny",'Scoring_Config'!$A:$A,'Scoring_Config'!$C:$C,25),0),0)+IF(LEFT(AD163,4)="True",IF(_xlfn.XLOOKUP("Src_CIDR_Le_16",'Scoring_Config'!$A:$A,'Scoring_Config'!$D:$D,"Yes")="Yes",_xlfn.XLOOKUP("Src_CIDR_Le_16",'Scoring_Config'!$A:$A,'Scoring_Config'!$C:$C,25),0),0)+IF(LEFT(AE163,4)="True",IF(_xlfn.XLOOKUP("Src_CIDR_17_22",'Scoring_Config'!$A:$A,'Scoring_Config'!$D:$D,"Yes")="Yes",_xlfn.XLOOKUP("Src_CIDR_17_22",'Scoring_Config'!$A:$A,'Scoring_Config'!$C:$C,15),0),0)+IF(LEFT(AF163,4)="True",IF(_xlfn.XLOOKUP("Dst_IsAny",'Scoring_Config'!$A:$A,'Scoring_Config'!$D:$D,"Yes")="Yes",_xlfn.XLOOKUP("Dst_IsAny",'Scoring_Config'!$A:$A,'Scoring_Config'!$C:$C,25),0),0)+IF(LEFT(AG163,4)="True",IF(_xlfn.XLOOKUP("Dst_CIDR_Le_16",'Scoring_Config'!$A:$A,'Scoring_Config'!$D:$D,"Yes")="Yes",_xlfn.XLOOKUP("Dst_CIDR_Le_16",'Scoring_Config'!$A:$A,'Scoring_Config'!$C:$C,25),0),0)+IF(LEFT(AH163,4)="True",IF(_xlfn.XLOOKUP("Dst_CIDR_17_22",'Scoring_Config'!$A:$A,'Scoring_Config'!$D:$D,"Yes")="Yes",_xlfn.XLOOKUP("Dst_CIDR_17_22",'Scoring_Config'!$A:$A,'Scoring_Config'!$C:$C,15),0),0)+IF(LEFT(AI163,4)="True",IF(_xlfn.XLOOKUP("SrcZone_IsAny",'Scoring_Config'!$A:$A,'Scoring_Config'!$D:$D,"Yes")="Yes",_xlfn.XLOOKUP("SrcZone_IsAny",'Scoring_Config'!$A:$A,'Scoring_Config'!$C:$C,5),0),0)+IF(LEFT(AJ163,4)="True",IF(_xlfn.XLOOKUP("DstZone_IsAny",'Scoring_Config'!$A:$A,'Scoring_Config'!$D:$D,"Yes")="Yes",_xlfn.XLOOKUP("DstZone_IsAny",'Scoring_Config'!$A:$A,'Scoring_Config'!$C:$C,5),0),0)+IF(LEFT(AK163,4)="True",IF(_xlfn.XLOOKUP("Service_Any_OR_RangeGt1000",'Scoring_Config'!$A:$A,'Scoring_Config'!$D:$D,"Yes")="Yes",_xlfn.XLOOKUP("Service_Any_OR_RangeGt1000",'Scoring_Config'!$A:$A,'Scoring_Config'!$C:$C,25),0),0)+IF(LEFT(AL163,4)="True",IF(_xlfn.XLOOKUP("App_Any_OR_RangeGt1000",'Scoring_Config'!$A:$A,'Scoring_Config'!$D:$D,"Yes")="Yes",_xlfn.XLOOKUP("App_Any_OR_RangeGt1000",'Scoring_Config'!$A:$A,'Scoring_Config'!$C:$C,25),0),0)+IF(LEFT(AM163,4)="True",IF(_xlfn.XLOOKUP("Service_Insecure_Match",'Scoring_Config'!$A:$A,'Scoring_Config'!$D:$D,"Yes")="Yes",_xlfn.XLOOKUP("Service_Insecure_Match",'Scoring_Config'!$A:$A,'Scoring_Config'!$C:$C,20),0),0)+IF(LEFT(AN163,4)="True",IF(_xlfn.XLOOKUP("Risky_Inbound",'Scoring_Config'!$A:$A,'Scoring_Config'!$D:$D,"Yes")="Yes",_xlfn.XLOOKUP("Risky_Inbound",'Scoring_Config'!$A:$A,'Scoring_Config'!$C:$C,20),0),0)+IF(LEFT(AO163,4)="True",IF(_xlfn.XLOOKUP("Risky_Outbound",'Scoring_Config'!$A:$A,'Scoring_Config'!$D:$D,"Yes")="Yes",_xlfn.XLOOKUP("Risky_Outbound",'Scoring_Config'!$A:$A,'Scoring_Config'!$C:$C,10),0),0)+IF(LEFT(AW163,4)="True",IF(_xlfn.XLOOKUP("Migrate_Insecure",'Scoring_Config'!$A:$A,'Scoring_Config'!$D:$D,"Yes")="Yes",_xlfn.XLOOKUP("Migrate_Insecure",'Scoring_Config'!$A:$A,'Scoring_Config'!$C:$C,15),0),0)+IF(LEFT(AY163,4)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163,FIND(",",AP163)+1,100)),0)+IF(LEFT(AQ163,4)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163,FIND(",",AR163)+1,100)),0)+IF(_xlfn.XLOOKUP("Profile_Scoring",'Scoring_Config'!$A:$A,'Scoring_Config'!$D:$D,"Yes")="Yes",VALUE(MID(AS163,FIND(",",AS163)+1,100)),0)+IF(_xlfn.XLOOKUP("Options_Scoring",'Scoring_Config'!$A:$A,'Scoring_Config'!$D:$D,"Yes")="Yes",VALUE(MID(AT163,FIND(",",AT163)+1,100)),0)))</f>
        <v>0</v>
      </c>
    </row>
    <row r="164" spans="1:52">
      <c r="A164" s="3" t="s">
        <v>53</v>
      </c>
      <c r="B164" s="3" t="s">
        <v>70</v>
      </c>
      <c r="C164" s="3" t="s">
        <v>330</v>
      </c>
      <c r="D164" s="3"/>
      <c r="E164" s="3" t="s">
        <v>359</v>
      </c>
      <c r="F164" s="3" t="s">
        <v>362</v>
      </c>
      <c r="G164" s="3" t="s">
        <v>365</v>
      </c>
      <c r="H164" s="3" t="s">
        <v>365</v>
      </c>
      <c r="I164" s="3" t="s">
        <v>365</v>
      </c>
      <c r="J164" s="3" t="s">
        <v>363</v>
      </c>
      <c r="K164" s="3" t="s">
        <v>433</v>
      </c>
      <c r="L164" s="3" t="s">
        <v>574</v>
      </c>
      <c r="M164" s="3" t="s">
        <v>770</v>
      </c>
      <c r="N164" s="3" t="s">
        <v>770</v>
      </c>
      <c r="O164" s="4" t="s">
        <v>811</v>
      </c>
      <c r="P164" s="3" t="s">
        <v>872</v>
      </c>
      <c r="Q164" s="3" t="s">
        <v>905</v>
      </c>
      <c r="R164" s="3" t="s">
        <v>908</v>
      </c>
      <c r="S164" s="3" t="s">
        <v>913</v>
      </c>
      <c r="T164" s="3" t="s">
        <v>919</v>
      </c>
      <c r="U164" s="3" t="s">
        <v>1227</v>
      </c>
      <c r="V164" s="3" t="s">
        <v>1389</v>
      </c>
      <c r="W164" s="3" t="s">
        <v>1490</v>
      </c>
      <c r="X164" s="3" t="s">
        <v>1768</v>
      </c>
      <c r="Y164" s="3" t="s">
        <v>2237</v>
      </c>
      <c r="Z164" s="3"/>
      <c r="AA164" s="3"/>
      <c r="AB164" s="3"/>
      <c r="AC164" s="5" cm="1">
        <f t="array" ref="AC164">IF(TRUE,"True," &amp; IF(_xlfn.XLOOKUP("Src_IsAny",'Scoring_Config'!$A:$A,'Scoring_Config'!$D:$D,"Yes")="Yes",_xlfn.XLOOKUP("Src_IsAny",'Scoring_Config'!$A:$A,'Scoring_Config'!$C:$C,25),0),"False,0")</f>
        <v>0</v>
      </c>
      <c r="AD164" s="4" cm="1">
        <f t="array" ref="AD164">IF(FALSE,"True," &amp; IF(_xlfn.XLOOKUP("Src_CIDR_Le_16",'Scoring_Config'!$A:$A,'Scoring_Config'!$D:$D,"Yes")="Yes",_xlfn.XLOOKUP("Src_CIDR_Le_16",'Scoring_Config'!$A:$A,'Scoring_Config'!$C:$C,25),0),"False,0")</f>
        <v>0</v>
      </c>
      <c r="AE164" s="4" cm="1">
        <f t="array" ref="AE164">IF(FALSE,"True," &amp; IF(_xlfn.XLOOKUP("Src_CIDR_17_22",'Scoring_Config'!$A:$A,'Scoring_Config'!$D:$D,"Yes")="Yes",_xlfn.XLOOKUP("Src_CIDR_17_22",'Scoring_Config'!$A:$A,'Scoring_Config'!$C:$C,15),0),"False,0")</f>
        <v>0</v>
      </c>
      <c r="AF164" s="4" cm="1">
        <f t="array" ref="AF164">IF(FALSE,"True," &amp; IF(_xlfn.XLOOKUP("Dst_IsAny",'Scoring_Config'!$A:$A,'Scoring_Config'!$D:$D,"Yes")="Yes",_xlfn.XLOOKUP("Dst_IsAny",'Scoring_Config'!$A:$A,'Scoring_Config'!$C:$C,25),0),"False,0")</f>
        <v>0</v>
      </c>
      <c r="AG164" s="4" cm="1">
        <f t="array" ref="AG164">IF(FALSE,"True," &amp; IF(_xlfn.XLOOKUP("Dst_CIDR_Le_16",'Scoring_Config'!$A:$A,'Scoring_Config'!$D:$D,"Yes")="Yes",_xlfn.XLOOKUP("Dst_CIDR_Le_16",'Scoring_Config'!$A:$A,'Scoring_Config'!$C:$C,25),0),"False,0")</f>
        <v>0</v>
      </c>
      <c r="AH164" s="4" cm="1">
        <f t="array" ref="AH164">IF(FALSE,"True," &amp; IF(_xlfn.XLOOKUP("Dst_CIDR_17_22",'Scoring_Config'!$A:$A,'Scoring_Config'!$D:$D,"Yes")="Yes",_xlfn.XLOOKUP("Dst_CIDR_17_22",'Scoring_Config'!$A:$A,'Scoring_Config'!$C:$C,15),0),"False,0")</f>
        <v>0</v>
      </c>
      <c r="AI164" s="4" cm="1">
        <f t="array" ref="AI164">IF(FALSE,"True," &amp; IF(_xlfn.XLOOKUP("SrcZone_IsAny",'Scoring_Config'!$A:$A,'Scoring_Config'!$D:$D,"Yes")="Yes",_xlfn.XLOOKUP("SrcZone_IsAny",'Scoring_Config'!$A:$A,'Scoring_Config'!$C:$C,5),0),"False,0")</f>
        <v>0</v>
      </c>
      <c r="AJ164" s="4" cm="1">
        <f t="array" ref="AJ164">IF(FALSE,"True," &amp; IF(_xlfn.XLOOKUP("DstZone_IsAny",'Scoring_Config'!$A:$A,'Scoring_Config'!$D:$D,"Yes")="Yes",_xlfn.XLOOKUP("DstZone_IsAny",'Scoring_Config'!$A:$A,'Scoring_Config'!$C:$C,5),0),"False,0")</f>
        <v>0</v>
      </c>
      <c r="AK164" s="4" cm="1">
        <f t="array" ref="AK16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4" s="4" cm="1">
        <f t="array" ref="AL164">IF(FALSE,"True," &amp; IF(_xlfn.XLOOKUP("App_Any_OR_RangeGt1000",'Scoring_Config'!$A:$A,'Scoring_Config'!$D:$D,"Yes")="Yes",_xlfn.XLOOKUP("App_Any_OR_RangeGt1000",'Scoring_Config'!$A:$A,'Scoring_Config'!$C:$C,25),0),"False,0")</f>
        <v>0</v>
      </c>
      <c r="AM164" s="5" cm="1">
        <f t="array" ref="AM164">IF(TRUE,"True," &amp; IF(_xlfn.XLOOKUP("Service_Insecure_Match",'Scoring_Config'!$A:$A,'Scoring_Config'!$D:$D,"Yes")="Yes",_xlfn.XLOOKUP("Service_Insecure_Match",'Scoring_Config'!$A:$A,'Scoring_Config'!$C:$C,20),0),"False,0")</f>
        <v>0</v>
      </c>
      <c r="AN164" s="4" cm="1">
        <f t="array" ref="AN164">IF(FALSE,"True," &amp; IF(_xlfn.XLOOKUP("Risky_Inbound",'Scoring_Config'!$A:$A,'Scoring_Config'!$D:$D,"Yes")="Yes",_xlfn.XLOOKUP("Risky_Inbound",'Scoring_Config'!$A:$A,'Scoring_Config'!$C:$C,20),0),"False,0")</f>
        <v>0</v>
      </c>
      <c r="AO164" s="4" cm="1">
        <f t="array" ref="AO164">IF(FALSE,"True," &amp; IF(_xlfn.XLOOKUP("Risky_Outbound",'Scoring_Config'!$A:$A,'Scoring_Config'!$D:$D,"Yes")="Yes",_xlfn.XLOOKUP("Risky_Outbound",'Scoring_Config'!$A:$A,'Scoring_Config'!$C:$C,10),0),"False,0")</f>
        <v>0</v>
      </c>
      <c r="AP164" s="5" t="s">
        <v>2595</v>
      </c>
      <c r="AQ164" s="4" cm="1">
        <f t="array" ref="AQ16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4" s="4" t="s">
        <v>2592</v>
      </c>
      <c r="AS164" s="4" t="s">
        <v>2592</v>
      </c>
      <c r="AT164" s="4" t="s">
        <v>2592</v>
      </c>
      <c r="AU164" s="4" cm="1">
        <f t="array" ref="AU164">IF(FALSE,"True," &amp; IF(_xlfn.XLOOKUP("Action_IsDenyOrDrop",'Scoring_Config'!$A:$A,'Scoring_Config'!$D:$D,"Yes")="Yes",_xlfn.XLOOKUP("Action_IsDenyOrDrop",'Scoring_Config'!$A:$A,'Scoring_Config'!$C:$C,0),0),"False,0")</f>
        <v>0</v>
      </c>
      <c r="AV164" s="4"/>
      <c r="AW164" s="4" cm="1">
        <f t="array" ref="AW164">IF(FALSE,"True," &amp; IF(_xlfn.XLOOKUP("Migrate_Insecure",'Scoring_Config'!$A:$A,'Scoring_Config'!$D:$D,"Yes")="Yes",_xlfn.XLOOKUP("Migrate_Insecure",'Scoring_Config'!$A:$A,'Scoring_Config'!$C:$C,15),0),"False,0")</f>
        <v>0</v>
      </c>
      <c r="AX164" s="4"/>
      <c r="AY164" s="4" cm="1">
        <f t="array" ref="AY164">IF(FALSE,"True," &amp; IF(_xlfn.XLOOKUP("Migrate_Other_Ports",'Scoring_Config'!$A:$A,'Scoring_Config'!$D:$D,"Yes")="Yes",_xlfn.XLOOKUP("Migrate_Other_Ports",'Scoring_Config'!$A:$A,'Scoring_Config'!$C:$C,5),0),"False,0")</f>
        <v>0</v>
      </c>
      <c r="AZ164" s="4" cm="1">
        <f t="array" ref="AZ164">IF(LEFT(AU164,4)="True",0,(IF(LEFT(AC164,4)="True",IF(_xlfn.XLOOKUP("Src_IsAny",'Scoring_Config'!$A:$A,'Scoring_Config'!$D:$D,"Yes")="Yes",_xlfn.XLOOKUP("Src_IsAny",'Scoring_Config'!$A:$A,'Scoring_Config'!$C:$C,25),0),0)+IF(LEFT(AD164,4)="True",IF(_xlfn.XLOOKUP("Src_CIDR_Le_16",'Scoring_Config'!$A:$A,'Scoring_Config'!$D:$D,"Yes")="Yes",_xlfn.XLOOKUP("Src_CIDR_Le_16",'Scoring_Config'!$A:$A,'Scoring_Config'!$C:$C,25),0),0)+IF(LEFT(AE164,4)="True",IF(_xlfn.XLOOKUP("Src_CIDR_17_22",'Scoring_Config'!$A:$A,'Scoring_Config'!$D:$D,"Yes")="Yes",_xlfn.XLOOKUP("Src_CIDR_17_22",'Scoring_Config'!$A:$A,'Scoring_Config'!$C:$C,15),0),0)+IF(LEFT(AF164,4)="True",IF(_xlfn.XLOOKUP("Dst_IsAny",'Scoring_Config'!$A:$A,'Scoring_Config'!$D:$D,"Yes")="Yes",_xlfn.XLOOKUP("Dst_IsAny",'Scoring_Config'!$A:$A,'Scoring_Config'!$C:$C,25),0),0)+IF(LEFT(AG164,4)="True",IF(_xlfn.XLOOKUP("Dst_CIDR_Le_16",'Scoring_Config'!$A:$A,'Scoring_Config'!$D:$D,"Yes")="Yes",_xlfn.XLOOKUP("Dst_CIDR_Le_16",'Scoring_Config'!$A:$A,'Scoring_Config'!$C:$C,25),0),0)+IF(LEFT(AH164,4)="True",IF(_xlfn.XLOOKUP("Dst_CIDR_17_22",'Scoring_Config'!$A:$A,'Scoring_Config'!$D:$D,"Yes")="Yes",_xlfn.XLOOKUP("Dst_CIDR_17_22",'Scoring_Config'!$A:$A,'Scoring_Config'!$C:$C,15),0),0)+IF(LEFT(AI164,4)="True",IF(_xlfn.XLOOKUP("SrcZone_IsAny",'Scoring_Config'!$A:$A,'Scoring_Config'!$D:$D,"Yes")="Yes",_xlfn.XLOOKUP("SrcZone_IsAny",'Scoring_Config'!$A:$A,'Scoring_Config'!$C:$C,5),0),0)+IF(LEFT(AJ164,4)="True",IF(_xlfn.XLOOKUP("DstZone_IsAny",'Scoring_Config'!$A:$A,'Scoring_Config'!$D:$D,"Yes")="Yes",_xlfn.XLOOKUP("DstZone_IsAny",'Scoring_Config'!$A:$A,'Scoring_Config'!$C:$C,5),0),0)+IF(LEFT(AK164,4)="True",IF(_xlfn.XLOOKUP("Service_Any_OR_RangeGt1000",'Scoring_Config'!$A:$A,'Scoring_Config'!$D:$D,"Yes")="Yes",_xlfn.XLOOKUP("Service_Any_OR_RangeGt1000",'Scoring_Config'!$A:$A,'Scoring_Config'!$C:$C,25),0),0)+IF(LEFT(AL164,4)="True",IF(_xlfn.XLOOKUP("App_Any_OR_RangeGt1000",'Scoring_Config'!$A:$A,'Scoring_Config'!$D:$D,"Yes")="Yes",_xlfn.XLOOKUP("App_Any_OR_RangeGt1000",'Scoring_Config'!$A:$A,'Scoring_Config'!$C:$C,25),0),0)+IF(LEFT(AM164,4)="True",IF(_xlfn.XLOOKUP("Service_Insecure_Match",'Scoring_Config'!$A:$A,'Scoring_Config'!$D:$D,"Yes")="Yes",_xlfn.XLOOKUP("Service_Insecure_Match",'Scoring_Config'!$A:$A,'Scoring_Config'!$C:$C,20),0),0)+IF(LEFT(AN164,4)="True",IF(_xlfn.XLOOKUP("Risky_Inbound",'Scoring_Config'!$A:$A,'Scoring_Config'!$D:$D,"Yes")="Yes",_xlfn.XLOOKUP("Risky_Inbound",'Scoring_Config'!$A:$A,'Scoring_Config'!$C:$C,20),0),0)+IF(LEFT(AO164,4)="True",IF(_xlfn.XLOOKUP("Risky_Outbound",'Scoring_Config'!$A:$A,'Scoring_Config'!$D:$D,"Yes")="Yes",_xlfn.XLOOKUP("Risky_Outbound",'Scoring_Config'!$A:$A,'Scoring_Config'!$C:$C,10),0),0)+IF(LEFT(AW164,4)="True",IF(_xlfn.XLOOKUP("Migrate_Insecure",'Scoring_Config'!$A:$A,'Scoring_Config'!$D:$D,"Yes")="Yes",_xlfn.XLOOKUP("Migrate_Insecure",'Scoring_Config'!$A:$A,'Scoring_Config'!$C:$C,15),0),0)+IF(LEFT(AY164,4)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164,FIND(",",AP164)+1,100)),0)+IF(LEFT(AQ164,4)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164,FIND(",",AR164)+1,100)),0)+IF(_xlfn.XLOOKUP("Profile_Scoring",'Scoring_Config'!$A:$A,'Scoring_Config'!$D:$D,"Yes")="Yes",VALUE(MID(AS164,FIND(",",AS164)+1,100)),0)+IF(_xlfn.XLOOKUP("Options_Scoring",'Scoring_Config'!$A:$A,'Scoring_Config'!$D:$D,"Yes")="Yes",VALUE(MID(AT164,FIND(",",AT164)+1,100)),0)))</f>
        <v>0</v>
      </c>
    </row>
    <row r="165" spans="1:52">
      <c r="A165" s="3" t="s">
        <v>53</v>
      </c>
      <c r="B165" s="3" t="s">
        <v>176</v>
      </c>
      <c r="C165" s="3" t="s">
        <v>330</v>
      </c>
      <c r="D165" s="3"/>
      <c r="E165" s="3" t="s">
        <v>359</v>
      </c>
      <c r="F165" s="3" t="s">
        <v>363</v>
      </c>
      <c r="G165" s="3" t="s">
        <v>425</v>
      </c>
      <c r="H165" s="3" t="s">
        <v>425</v>
      </c>
      <c r="I165" s="3" t="s">
        <v>624</v>
      </c>
      <c r="J165" s="3" t="s">
        <v>362</v>
      </c>
      <c r="K165" s="3" t="s">
        <v>419</v>
      </c>
      <c r="L165" s="3" t="s">
        <v>419</v>
      </c>
      <c r="M165" s="3" t="s">
        <v>776</v>
      </c>
      <c r="N165" s="3" t="s">
        <v>791</v>
      </c>
      <c r="O165" s="4" t="s">
        <v>828</v>
      </c>
      <c r="P165" s="3" t="s">
        <v>889</v>
      </c>
      <c r="Q165" s="3" t="s">
        <v>905</v>
      </c>
      <c r="R165" s="3" t="s">
        <v>911</v>
      </c>
      <c r="S165" s="3" t="s">
        <v>916</v>
      </c>
      <c r="T165" s="3" t="s">
        <v>1023</v>
      </c>
      <c r="U165" s="3" t="s">
        <v>1228</v>
      </c>
      <c r="V165" s="3" t="s">
        <v>1386</v>
      </c>
      <c r="W165" s="3" t="s">
        <v>1400</v>
      </c>
      <c r="X165" s="3" t="s">
        <v>1769</v>
      </c>
      <c r="Y165" s="3" t="s">
        <v>2238</v>
      </c>
      <c r="Z165" s="3"/>
      <c r="AA165" s="3"/>
      <c r="AB165" s="3"/>
      <c r="AC165" s="4" cm="1">
        <f t="array" ref="AC165">IF(FALSE,"True," &amp; IF(_xlfn.XLOOKUP("Src_IsAny",'Scoring_Config'!$A:$A,'Scoring_Config'!$D:$D,"Yes")="Yes",_xlfn.XLOOKUP("Src_IsAny",'Scoring_Config'!$A:$A,'Scoring_Config'!$C:$C,25),0),"False,0")</f>
        <v>0</v>
      </c>
      <c r="AD165" s="4" cm="1">
        <f t="array" ref="AD165">IF(FALSE,"True," &amp; IF(_xlfn.XLOOKUP("Src_CIDR_Le_16",'Scoring_Config'!$A:$A,'Scoring_Config'!$D:$D,"Yes")="Yes",_xlfn.XLOOKUP("Src_CIDR_Le_16",'Scoring_Config'!$A:$A,'Scoring_Config'!$C:$C,25),0),"False,0")</f>
        <v>0</v>
      </c>
      <c r="AE165" s="4" cm="1">
        <f t="array" ref="AE165">IF(FALSE,"True," &amp; IF(_xlfn.XLOOKUP("Src_CIDR_17_22",'Scoring_Config'!$A:$A,'Scoring_Config'!$D:$D,"Yes")="Yes",_xlfn.XLOOKUP("Src_CIDR_17_22",'Scoring_Config'!$A:$A,'Scoring_Config'!$C:$C,15),0),"False,0")</f>
        <v>0</v>
      </c>
      <c r="AF165" s="4" cm="1">
        <f t="array" ref="AF165">IF(FALSE,"True," &amp; IF(_xlfn.XLOOKUP("Dst_IsAny",'Scoring_Config'!$A:$A,'Scoring_Config'!$D:$D,"Yes")="Yes",_xlfn.XLOOKUP("Dst_IsAny",'Scoring_Config'!$A:$A,'Scoring_Config'!$C:$C,25),0),"False,0")</f>
        <v>0</v>
      </c>
      <c r="AG165" s="4" cm="1">
        <f t="array" ref="AG165">IF(FALSE,"True," &amp; IF(_xlfn.XLOOKUP("Dst_CIDR_Le_16",'Scoring_Config'!$A:$A,'Scoring_Config'!$D:$D,"Yes")="Yes",_xlfn.XLOOKUP("Dst_CIDR_Le_16",'Scoring_Config'!$A:$A,'Scoring_Config'!$C:$C,25),0),"False,0")</f>
        <v>0</v>
      </c>
      <c r="AH165" s="4" cm="1">
        <f t="array" ref="AH165">IF(FALSE,"True," &amp; IF(_xlfn.XLOOKUP("Dst_CIDR_17_22",'Scoring_Config'!$A:$A,'Scoring_Config'!$D:$D,"Yes")="Yes",_xlfn.XLOOKUP("Dst_CIDR_17_22",'Scoring_Config'!$A:$A,'Scoring_Config'!$C:$C,15),0),"False,0")</f>
        <v>0</v>
      </c>
      <c r="AI165" s="4" cm="1">
        <f t="array" ref="AI165">IF(FALSE,"True," &amp; IF(_xlfn.XLOOKUP("SrcZone_IsAny",'Scoring_Config'!$A:$A,'Scoring_Config'!$D:$D,"Yes")="Yes",_xlfn.XLOOKUP("SrcZone_IsAny",'Scoring_Config'!$A:$A,'Scoring_Config'!$C:$C,5),0),"False,0")</f>
        <v>0</v>
      </c>
      <c r="AJ165" s="4" cm="1">
        <f t="array" ref="AJ165">IF(FALSE,"True," &amp; IF(_xlfn.XLOOKUP("DstZone_IsAny",'Scoring_Config'!$A:$A,'Scoring_Config'!$D:$D,"Yes")="Yes",_xlfn.XLOOKUP("DstZone_IsAny",'Scoring_Config'!$A:$A,'Scoring_Config'!$C:$C,5),0),"False,0")</f>
        <v>0</v>
      </c>
      <c r="AK165" s="4" cm="1">
        <f t="array" ref="AK16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5" s="5" cm="1">
        <f t="array" ref="AL165">IF(TRUE,"True," &amp; IF(_xlfn.XLOOKUP("App_Any_OR_RangeGt1000",'Scoring_Config'!$A:$A,'Scoring_Config'!$D:$D,"Yes")="Yes",_xlfn.XLOOKUP("App_Any_OR_RangeGt1000",'Scoring_Config'!$A:$A,'Scoring_Config'!$C:$C,25),0),"False,0")</f>
        <v>0</v>
      </c>
      <c r="AM165" s="5" cm="1">
        <f t="array" ref="AM165">IF(TRUE,"True," &amp; IF(_xlfn.XLOOKUP("Service_Insecure_Match",'Scoring_Config'!$A:$A,'Scoring_Config'!$D:$D,"Yes")="Yes",_xlfn.XLOOKUP("Service_Insecure_Match",'Scoring_Config'!$A:$A,'Scoring_Config'!$C:$C,20),0),"False,0")</f>
        <v>0</v>
      </c>
      <c r="AN165" s="4" cm="1">
        <f t="array" ref="AN165">IF(FALSE,"True," &amp; IF(_xlfn.XLOOKUP("Risky_Inbound",'Scoring_Config'!$A:$A,'Scoring_Config'!$D:$D,"Yes")="Yes",_xlfn.XLOOKUP("Risky_Inbound",'Scoring_Config'!$A:$A,'Scoring_Config'!$C:$C,20),0),"False,0")</f>
        <v>0</v>
      </c>
      <c r="AO165" s="4" cm="1">
        <f t="array" ref="AO165">IF(FALSE,"True," &amp; IF(_xlfn.XLOOKUP("Risky_Outbound",'Scoring_Config'!$A:$A,'Scoring_Config'!$D:$D,"Yes")="Yes",_xlfn.XLOOKUP("Risky_Outbound",'Scoring_Config'!$A:$A,'Scoring_Config'!$C:$C,10),0),"False,0")</f>
        <v>0</v>
      </c>
      <c r="AP165" s="5" t="s">
        <v>2595</v>
      </c>
      <c r="AQ165" s="4" cm="1">
        <f t="array" ref="AQ16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5" s="5" t="s">
        <v>2598</v>
      </c>
      <c r="AS165" s="4" t="s">
        <v>2592</v>
      </c>
      <c r="AT165" s="4" t="s">
        <v>2592</v>
      </c>
      <c r="AU165" s="4" cm="1">
        <f t="array" ref="AU165">IF(FALSE,"True," &amp; IF(_xlfn.XLOOKUP("Action_IsDenyOrDrop",'Scoring_Config'!$A:$A,'Scoring_Config'!$D:$D,"Yes")="Yes",_xlfn.XLOOKUP("Action_IsDenyOrDrop",'Scoring_Config'!$A:$A,'Scoring_Config'!$C:$C,0),0),"False,0")</f>
        <v>0</v>
      </c>
      <c r="AV165" s="4"/>
      <c r="AW165" s="4" cm="1">
        <f t="array" ref="AW165">IF(FALSE,"True," &amp; IF(_xlfn.XLOOKUP("Migrate_Insecure",'Scoring_Config'!$A:$A,'Scoring_Config'!$D:$D,"Yes")="Yes",_xlfn.XLOOKUP("Migrate_Insecure",'Scoring_Config'!$A:$A,'Scoring_Config'!$C:$C,15),0),"False,0")</f>
        <v>0</v>
      </c>
      <c r="AX165" s="4"/>
      <c r="AY165" s="4" cm="1">
        <f t="array" ref="AY165">IF(FALSE,"True," &amp; IF(_xlfn.XLOOKUP("Migrate_Other_Ports",'Scoring_Config'!$A:$A,'Scoring_Config'!$D:$D,"Yes")="Yes",_xlfn.XLOOKUP("Migrate_Other_Ports",'Scoring_Config'!$A:$A,'Scoring_Config'!$C:$C,5),0),"False,0")</f>
        <v>0</v>
      </c>
      <c r="AZ165" s="4" cm="1">
        <f t="array" ref="AZ165">IF(LEFT(AU165,4)="True",0,(IF(LEFT(AC165,4)="True",IF(_xlfn.XLOOKUP("Src_IsAny",'Scoring_Config'!$A:$A,'Scoring_Config'!$D:$D,"Yes")="Yes",_xlfn.XLOOKUP("Src_IsAny",'Scoring_Config'!$A:$A,'Scoring_Config'!$C:$C,25),0),0)+IF(LEFT(AD165,4)="True",IF(_xlfn.XLOOKUP("Src_CIDR_Le_16",'Scoring_Config'!$A:$A,'Scoring_Config'!$D:$D,"Yes")="Yes",_xlfn.XLOOKUP("Src_CIDR_Le_16",'Scoring_Config'!$A:$A,'Scoring_Config'!$C:$C,25),0),0)+IF(LEFT(AE165,4)="True",IF(_xlfn.XLOOKUP("Src_CIDR_17_22",'Scoring_Config'!$A:$A,'Scoring_Config'!$D:$D,"Yes")="Yes",_xlfn.XLOOKUP("Src_CIDR_17_22",'Scoring_Config'!$A:$A,'Scoring_Config'!$C:$C,15),0),0)+IF(LEFT(AF165,4)="True",IF(_xlfn.XLOOKUP("Dst_IsAny",'Scoring_Config'!$A:$A,'Scoring_Config'!$D:$D,"Yes")="Yes",_xlfn.XLOOKUP("Dst_IsAny",'Scoring_Config'!$A:$A,'Scoring_Config'!$C:$C,25),0),0)+IF(LEFT(AG165,4)="True",IF(_xlfn.XLOOKUP("Dst_CIDR_Le_16",'Scoring_Config'!$A:$A,'Scoring_Config'!$D:$D,"Yes")="Yes",_xlfn.XLOOKUP("Dst_CIDR_Le_16",'Scoring_Config'!$A:$A,'Scoring_Config'!$C:$C,25),0),0)+IF(LEFT(AH165,4)="True",IF(_xlfn.XLOOKUP("Dst_CIDR_17_22",'Scoring_Config'!$A:$A,'Scoring_Config'!$D:$D,"Yes")="Yes",_xlfn.XLOOKUP("Dst_CIDR_17_22",'Scoring_Config'!$A:$A,'Scoring_Config'!$C:$C,15),0),0)+IF(LEFT(AI165,4)="True",IF(_xlfn.XLOOKUP("SrcZone_IsAny",'Scoring_Config'!$A:$A,'Scoring_Config'!$D:$D,"Yes")="Yes",_xlfn.XLOOKUP("SrcZone_IsAny",'Scoring_Config'!$A:$A,'Scoring_Config'!$C:$C,5),0),0)+IF(LEFT(AJ165,4)="True",IF(_xlfn.XLOOKUP("DstZone_IsAny",'Scoring_Config'!$A:$A,'Scoring_Config'!$D:$D,"Yes")="Yes",_xlfn.XLOOKUP("DstZone_IsAny",'Scoring_Config'!$A:$A,'Scoring_Config'!$C:$C,5),0),0)+IF(LEFT(AK165,4)="True",IF(_xlfn.XLOOKUP("Service_Any_OR_RangeGt1000",'Scoring_Config'!$A:$A,'Scoring_Config'!$D:$D,"Yes")="Yes",_xlfn.XLOOKUP("Service_Any_OR_RangeGt1000",'Scoring_Config'!$A:$A,'Scoring_Config'!$C:$C,25),0),0)+IF(LEFT(AL165,4)="True",IF(_xlfn.XLOOKUP("App_Any_OR_RangeGt1000",'Scoring_Config'!$A:$A,'Scoring_Config'!$D:$D,"Yes")="Yes",_xlfn.XLOOKUP("App_Any_OR_RangeGt1000",'Scoring_Config'!$A:$A,'Scoring_Config'!$C:$C,25),0),0)+IF(LEFT(AM165,4)="True",IF(_xlfn.XLOOKUP("Service_Insecure_Match",'Scoring_Config'!$A:$A,'Scoring_Config'!$D:$D,"Yes")="Yes",_xlfn.XLOOKUP("Service_Insecure_Match",'Scoring_Config'!$A:$A,'Scoring_Config'!$C:$C,20),0),0)+IF(LEFT(AN165,4)="True",IF(_xlfn.XLOOKUP("Risky_Inbound",'Scoring_Config'!$A:$A,'Scoring_Config'!$D:$D,"Yes")="Yes",_xlfn.XLOOKUP("Risky_Inbound",'Scoring_Config'!$A:$A,'Scoring_Config'!$C:$C,20),0),0)+IF(LEFT(AO165,4)="True",IF(_xlfn.XLOOKUP("Risky_Outbound",'Scoring_Config'!$A:$A,'Scoring_Config'!$D:$D,"Yes")="Yes",_xlfn.XLOOKUP("Risky_Outbound",'Scoring_Config'!$A:$A,'Scoring_Config'!$C:$C,10),0),0)+IF(LEFT(AW165,4)="True",IF(_xlfn.XLOOKUP("Migrate_Insecure",'Scoring_Config'!$A:$A,'Scoring_Config'!$D:$D,"Yes")="Yes",_xlfn.XLOOKUP("Migrate_Insecure",'Scoring_Config'!$A:$A,'Scoring_Config'!$C:$C,15),0),0)+IF(LEFT(AY165,4)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165,FIND(",",AP165)+1,100)),0)+IF(LEFT(AQ165,4)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165,FIND(",",AR165)+1,100)),0)+IF(_xlfn.XLOOKUP("Profile_Scoring",'Scoring_Config'!$A:$A,'Scoring_Config'!$D:$D,"Yes")="Yes",VALUE(MID(AS165,FIND(",",AS165)+1,100)),0)+IF(_xlfn.XLOOKUP("Options_Scoring",'Scoring_Config'!$A:$A,'Scoring_Config'!$D:$D,"Yes")="Yes",VALUE(MID(AT165,FIND(",",AT165)+1,100)),0)))</f>
        <v>0</v>
      </c>
    </row>
    <row r="166" spans="1:52">
      <c r="A166" s="3" t="s">
        <v>53</v>
      </c>
      <c r="B166" s="3" t="s">
        <v>177</v>
      </c>
      <c r="C166" s="3" t="s">
        <v>330</v>
      </c>
      <c r="D166" s="3"/>
      <c r="E166" s="3" t="s">
        <v>359</v>
      </c>
      <c r="F166" s="3" t="s">
        <v>361</v>
      </c>
      <c r="G166" s="3" t="s">
        <v>365</v>
      </c>
      <c r="H166" s="3" t="s">
        <v>365</v>
      </c>
      <c r="I166" s="3" t="s">
        <v>623</v>
      </c>
      <c r="J166" s="3" t="s">
        <v>364</v>
      </c>
      <c r="K166" s="3" t="s">
        <v>365</v>
      </c>
      <c r="L166" s="3" t="s">
        <v>365</v>
      </c>
      <c r="M166" s="3" t="s">
        <v>365</v>
      </c>
      <c r="N166" s="3" t="s">
        <v>365</v>
      </c>
      <c r="O166" s="4" t="s">
        <v>816</v>
      </c>
      <c r="P166" s="3" t="s">
        <v>877</v>
      </c>
      <c r="Q166" s="3" t="s">
        <v>905</v>
      </c>
      <c r="R166" s="3" t="s">
        <v>907</v>
      </c>
      <c r="S166" s="3" t="s">
        <v>913</v>
      </c>
      <c r="T166" s="3" t="s">
        <v>919</v>
      </c>
      <c r="U166" s="3" t="s">
        <v>1229</v>
      </c>
      <c r="V166" s="3" t="s">
        <v>1388</v>
      </c>
      <c r="W166" s="3" t="s">
        <v>1491</v>
      </c>
      <c r="X166" s="3" t="s">
        <v>1770</v>
      </c>
      <c r="Y166" s="3" t="s">
        <v>2239</v>
      </c>
      <c r="Z166" s="3"/>
      <c r="AA166" s="3"/>
      <c r="AB166" s="3"/>
      <c r="AC166" s="5" cm="1">
        <f t="array" ref="AC166">IF(TRUE,"True," &amp; IF(_xlfn.XLOOKUP("Src_IsAny",'Scoring_Config'!$A:$A,'Scoring_Config'!$D:$D,"Yes")="Yes",_xlfn.XLOOKUP("Src_IsAny",'Scoring_Config'!$A:$A,'Scoring_Config'!$C:$C,25),0),"False,0")</f>
        <v>0</v>
      </c>
      <c r="AD166" s="4" cm="1">
        <f t="array" ref="AD166">IF(FALSE,"True," &amp; IF(_xlfn.XLOOKUP("Src_CIDR_Le_16",'Scoring_Config'!$A:$A,'Scoring_Config'!$D:$D,"Yes")="Yes",_xlfn.XLOOKUP("Src_CIDR_Le_16",'Scoring_Config'!$A:$A,'Scoring_Config'!$C:$C,25),0),"False,0")</f>
        <v>0</v>
      </c>
      <c r="AE166" s="4" cm="1">
        <f t="array" ref="AE166">IF(FALSE,"True," &amp; IF(_xlfn.XLOOKUP("Src_CIDR_17_22",'Scoring_Config'!$A:$A,'Scoring_Config'!$D:$D,"Yes")="Yes",_xlfn.XLOOKUP("Src_CIDR_17_22",'Scoring_Config'!$A:$A,'Scoring_Config'!$C:$C,15),0),"False,0")</f>
        <v>0</v>
      </c>
      <c r="AF166" s="5" cm="1">
        <f t="array" ref="AF166">IF(TRUE,"True," &amp; IF(_xlfn.XLOOKUP("Dst_IsAny",'Scoring_Config'!$A:$A,'Scoring_Config'!$D:$D,"Yes")="Yes",_xlfn.XLOOKUP("Dst_IsAny",'Scoring_Config'!$A:$A,'Scoring_Config'!$C:$C,25),0),"False,0")</f>
        <v>0</v>
      </c>
      <c r="AG166" s="4" cm="1">
        <f t="array" ref="AG166">IF(FALSE,"True," &amp; IF(_xlfn.XLOOKUP("Dst_CIDR_Le_16",'Scoring_Config'!$A:$A,'Scoring_Config'!$D:$D,"Yes")="Yes",_xlfn.XLOOKUP("Dst_CIDR_Le_16",'Scoring_Config'!$A:$A,'Scoring_Config'!$C:$C,25),0),"False,0")</f>
        <v>0</v>
      </c>
      <c r="AH166" s="4" cm="1">
        <f t="array" ref="AH166">IF(FALSE,"True," &amp; IF(_xlfn.XLOOKUP("Dst_CIDR_17_22",'Scoring_Config'!$A:$A,'Scoring_Config'!$D:$D,"Yes")="Yes",_xlfn.XLOOKUP("Dst_CIDR_17_22",'Scoring_Config'!$A:$A,'Scoring_Config'!$C:$C,15),0),"False,0")</f>
        <v>0</v>
      </c>
      <c r="AI166" s="4" cm="1">
        <f t="array" ref="AI166">IF(FALSE,"True," &amp; IF(_xlfn.XLOOKUP("SrcZone_IsAny",'Scoring_Config'!$A:$A,'Scoring_Config'!$D:$D,"Yes")="Yes",_xlfn.XLOOKUP("SrcZone_IsAny",'Scoring_Config'!$A:$A,'Scoring_Config'!$C:$C,5),0),"False,0")</f>
        <v>0</v>
      </c>
      <c r="AJ166" s="4" cm="1">
        <f t="array" ref="AJ166">IF(FALSE,"True," &amp; IF(_xlfn.XLOOKUP("DstZone_IsAny",'Scoring_Config'!$A:$A,'Scoring_Config'!$D:$D,"Yes")="Yes",_xlfn.XLOOKUP("DstZone_IsAny",'Scoring_Config'!$A:$A,'Scoring_Config'!$C:$C,5),0),"False,0")</f>
        <v>0</v>
      </c>
      <c r="AK166" s="4" cm="1">
        <f t="array" ref="AK16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6" s="5" cm="1">
        <f t="array" ref="AL166">IF(TRUE,"True," &amp; IF(_xlfn.XLOOKUP("App_Any_OR_RangeGt1000",'Scoring_Config'!$A:$A,'Scoring_Config'!$D:$D,"Yes")="Yes",_xlfn.XLOOKUP("App_Any_OR_RangeGt1000",'Scoring_Config'!$A:$A,'Scoring_Config'!$C:$C,25),0),"False,0")</f>
        <v>0</v>
      </c>
      <c r="AM166" s="5" cm="1">
        <f t="array" ref="AM166">IF(TRUE,"True," &amp; IF(_xlfn.XLOOKUP("Service_Insecure_Match",'Scoring_Config'!$A:$A,'Scoring_Config'!$D:$D,"Yes")="Yes",_xlfn.XLOOKUP("Service_Insecure_Match",'Scoring_Config'!$A:$A,'Scoring_Config'!$C:$C,20),0),"False,0")</f>
        <v>0</v>
      </c>
      <c r="AN166" s="4" cm="1">
        <f t="array" ref="AN166">IF(FALSE,"True," &amp; IF(_xlfn.XLOOKUP("Risky_Inbound",'Scoring_Config'!$A:$A,'Scoring_Config'!$D:$D,"Yes")="Yes",_xlfn.XLOOKUP("Risky_Inbound",'Scoring_Config'!$A:$A,'Scoring_Config'!$C:$C,20),0),"False,0")</f>
        <v>0</v>
      </c>
      <c r="AO166" s="4" cm="1">
        <f t="array" ref="AO166">IF(FALSE,"True," &amp; IF(_xlfn.XLOOKUP("Risky_Outbound",'Scoring_Config'!$A:$A,'Scoring_Config'!$D:$D,"Yes")="Yes",_xlfn.XLOOKUP("Risky_Outbound",'Scoring_Config'!$A:$A,'Scoring_Config'!$C:$C,10),0),"False,0")</f>
        <v>0</v>
      </c>
      <c r="AP166" s="5" t="s">
        <v>2595</v>
      </c>
      <c r="AQ166" s="4" cm="1">
        <f t="array" ref="AQ16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6" s="5" t="s">
        <v>2598</v>
      </c>
      <c r="AS166" s="5" t="s">
        <v>2595</v>
      </c>
      <c r="AT166" s="4" t="s">
        <v>2592</v>
      </c>
      <c r="AU166" s="4" cm="1">
        <f t="array" ref="AU166">IF(FALSE,"True," &amp; IF(_xlfn.XLOOKUP("Action_IsDenyOrDrop",'Scoring_Config'!$A:$A,'Scoring_Config'!$D:$D,"Yes")="Yes",_xlfn.XLOOKUP("Action_IsDenyOrDrop",'Scoring_Config'!$A:$A,'Scoring_Config'!$C:$C,0),0),"False,0")</f>
        <v>0</v>
      </c>
      <c r="AV166" s="4"/>
      <c r="AW166" s="4" cm="1">
        <f t="array" ref="AW166">IF(FALSE,"True," &amp; IF(_xlfn.XLOOKUP("Migrate_Insecure",'Scoring_Config'!$A:$A,'Scoring_Config'!$D:$D,"Yes")="Yes",_xlfn.XLOOKUP("Migrate_Insecure",'Scoring_Config'!$A:$A,'Scoring_Config'!$C:$C,15),0),"False,0")</f>
        <v>0</v>
      </c>
      <c r="AX166" s="4"/>
      <c r="AY166" s="4" cm="1">
        <f t="array" ref="AY166">IF(FALSE,"True," &amp; IF(_xlfn.XLOOKUP("Migrate_Other_Ports",'Scoring_Config'!$A:$A,'Scoring_Config'!$D:$D,"Yes")="Yes",_xlfn.XLOOKUP("Migrate_Other_Ports",'Scoring_Config'!$A:$A,'Scoring_Config'!$C:$C,5),0),"False,0")</f>
        <v>0</v>
      </c>
      <c r="AZ166" s="4" cm="1">
        <f t="array" ref="AZ166">IF(LEFT(AU166,4)="True",0,(IF(LEFT(AC166,4)="True",IF(_xlfn.XLOOKUP("Src_IsAny",'Scoring_Config'!$A:$A,'Scoring_Config'!$D:$D,"Yes")="Yes",_xlfn.XLOOKUP("Src_IsAny",'Scoring_Config'!$A:$A,'Scoring_Config'!$C:$C,25),0),0)+IF(LEFT(AD166,4)="True",IF(_xlfn.XLOOKUP("Src_CIDR_Le_16",'Scoring_Config'!$A:$A,'Scoring_Config'!$D:$D,"Yes")="Yes",_xlfn.XLOOKUP("Src_CIDR_Le_16",'Scoring_Config'!$A:$A,'Scoring_Config'!$C:$C,25),0),0)+IF(LEFT(AE166,4)="True",IF(_xlfn.XLOOKUP("Src_CIDR_17_22",'Scoring_Config'!$A:$A,'Scoring_Config'!$D:$D,"Yes")="Yes",_xlfn.XLOOKUP("Src_CIDR_17_22",'Scoring_Config'!$A:$A,'Scoring_Config'!$C:$C,15),0),0)+IF(LEFT(AF166,4)="True",IF(_xlfn.XLOOKUP("Dst_IsAny",'Scoring_Config'!$A:$A,'Scoring_Config'!$D:$D,"Yes")="Yes",_xlfn.XLOOKUP("Dst_IsAny",'Scoring_Config'!$A:$A,'Scoring_Config'!$C:$C,25),0),0)+IF(LEFT(AG166,4)="True",IF(_xlfn.XLOOKUP("Dst_CIDR_Le_16",'Scoring_Config'!$A:$A,'Scoring_Config'!$D:$D,"Yes")="Yes",_xlfn.XLOOKUP("Dst_CIDR_Le_16",'Scoring_Config'!$A:$A,'Scoring_Config'!$C:$C,25),0),0)+IF(LEFT(AH166,4)="True",IF(_xlfn.XLOOKUP("Dst_CIDR_17_22",'Scoring_Config'!$A:$A,'Scoring_Config'!$D:$D,"Yes")="Yes",_xlfn.XLOOKUP("Dst_CIDR_17_22",'Scoring_Config'!$A:$A,'Scoring_Config'!$C:$C,15),0),0)+IF(LEFT(AI166,4)="True",IF(_xlfn.XLOOKUP("SrcZone_IsAny",'Scoring_Config'!$A:$A,'Scoring_Config'!$D:$D,"Yes")="Yes",_xlfn.XLOOKUP("SrcZone_IsAny",'Scoring_Config'!$A:$A,'Scoring_Config'!$C:$C,5),0),0)+IF(LEFT(AJ166,4)="True",IF(_xlfn.XLOOKUP("DstZone_IsAny",'Scoring_Config'!$A:$A,'Scoring_Config'!$D:$D,"Yes")="Yes",_xlfn.XLOOKUP("DstZone_IsAny",'Scoring_Config'!$A:$A,'Scoring_Config'!$C:$C,5),0),0)+IF(LEFT(AK166,4)="True",IF(_xlfn.XLOOKUP("Service_Any_OR_RangeGt1000",'Scoring_Config'!$A:$A,'Scoring_Config'!$D:$D,"Yes")="Yes",_xlfn.XLOOKUP("Service_Any_OR_RangeGt1000",'Scoring_Config'!$A:$A,'Scoring_Config'!$C:$C,25),0),0)+IF(LEFT(AL166,4)="True",IF(_xlfn.XLOOKUP("App_Any_OR_RangeGt1000",'Scoring_Config'!$A:$A,'Scoring_Config'!$D:$D,"Yes")="Yes",_xlfn.XLOOKUP("App_Any_OR_RangeGt1000",'Scoring_Config'!$A:$A,'Scoring_Config'!$C:$C,25),0),0)+IF(LEFT(AM166,4)="True",IF(_xlfn.XLOOKUP("Service_Insecure_Match",'Scoring_Config'!$A:$A,'Scoring_Config'!$D:$D,"Yes")="Yes",_xlfn.XLOOKUP("Service_Insecure_Match",'Scoring_Config'!$A:$A,'Scoring_Config'!$C:$C,20),0),0)+IF(LEFT(AN166,4)="True",IF(_xlfn.XLOOKUP("Risky_Inbound",'Scoring_Config'!$A:$A,'Scoring_Config'!$D:$D,"Yes")="Yes",_xlfn.XLOOKUP("Risky_Inbound",'Scoring_Config'!$A:$A,'Scoring_Config'!$C:$C,20),0),0)+IF(LEFT(AO166,4)="True",IF(_xlfn.XLOOKUP("Risky_Outbound",'Scoring_Config'!$A:$A,'Scoring_Config'!$D:$D,"Yes")="Yes",_xlfn.XLOOKUP("Risky_Outbound",'Scoring_Config'!$A:$A,'Scoring_Config'!$C:$C,10),0),0)+IF(LEFT(AW166,4)="True",IF(_xlfn.XLOOKUP("Migrate_Insecure",'Scoring_Config'!$A:$A,'Scoring_Config'!$D:$D,"Yes")="Yes",_xlfn.XLOOKUP("Migrate_Insecure",'Scoring_Config'!$A:$A,'Scoring_Config'!$C:$C,15),0),0)+IF(LEFT(AY166,4)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166,FIND(",",AP166)+1,100)),0)+IF(LEFT(AQ166,4)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166,FIND(",",AR166)+1,100)),0)+IF(_xlfn.XLOOKUP("Profile_Scoring",'Scoring_Config'!$A:$A,'Scoring_Config'!$D:$D,"Yes")="Yes",VALUE(MID(AS166,FIND(",",AS166)+1,100)),0)+IF(_xlfn.XLOOKUP("Options_Scoring",'Scoring_Config'!$A:$A,'Scoring_Config'!$D:$D,"Yes")="Yes",VALUE(MID(AT166,FIND(",",AT166)+1,100)),0)))</f>
        <v>0</v>
      </c>
    </row>
    <row r="167" spans="1:52">
      <c r="A167" s="3" t="s">
        <v>53</v>
      </c>
      <c r="B167" s="3" t="s">
        <v>133</v>
      </c>
      <c r="C167" s="3" t="s">
        <v>330</v>
      </c>
      <c r="D167" s="3"/>
      <c r="E167" s="3" t="s">
        <v>359</v>
      </c>
      <c r="F167" s="3" t="s">
        <v>364</v>
      </c>
      <c r="G167" s="3" t="s">
        <v>426</v>
      </c>
      <c r="H167" s="3" t="s">
        <v>572</v>
      </c>
      <c r="I167" s="3" t="s">
        <v>625</v>
      </c>
      <c r="J167" s="3" t="s">
        <v>362</v>
      </c>
      <c r="K167" s="3" t="s">
        <v>436</v>
      </c>
      <c r="L167" s="3" t="s">
        <v>575</v>
      </c>
      <c r="M167" s="3" t="s">
        <v>770</v>
      </c>
      <c r="N167" s="3" t="s">
        <v>770</v>
      </c>
      <c r="O167" s="4" t="s">
        <v>824</v>
      </c>
      <c r="P167" s="3" t="s">
        <v>885</v>
      </c>
      <c r="Q167" s="3" t="s">
        <v>905</v>
      </c>
      <c r="R167" s="3" t="s">
        <v>910</v>
      </c>
      <c r="S167" s="3" t="s">
        <v>907</v>
      </c>
      <c r="T167" s="3" t="s">
        <v>1024</v>
      </c>
      <c r="U167" s="3" t="s">
        <v>1150</v>
      </c>
      <c r="V167" s="3" t="s">
        <v>789</v>
      </c>
      <c r="W167" s="3" t="s">
        <v>1492</v>
      </c>
      <c r="X167" s="3" t="s">
        <v>1771</v>
      </c>
      <c r="Y167" s="3" t="s">
        <v>2240</v>
      </c>
      <c r="Z167" s="3"/>
      <c r="AA167" s="3"/>
      <c r="AB167" s="3"/>
      <c r="AC167" s="4" cm="1">
        <f t="array" ref="AC167">IF(FALSE,"True," &amp; IF(_xlfn.XLOOKUP("Src_IsAny",'Scoring_Config'!$A:$A,'Scoring_Config'!$D:$D,"Yes")="Yes",_xlfn.XLOOKUP("Src_IsAny",'Scoring_Config'!$A:$A,'Scoring_Config'!$C:$C,25),0),"False,0")</f>
        <v>0</v>
      </c>
      <c r="AD167" s="4" cm="1">
        <f t="array" ref="AD167">IF(FALSE,"True," &amp; IF(_xlfn.XLOOKUP("Src_CIDR_Le_16",'Scoring_Config'!$A:$A,'Scoring_Config'!$D:$D,"Yes")="Yes",_xlfn.XLOOKUP("Src_CIDR_Le_16",'Scoring_Config'!$A:$A,'Scoring_Config'!$C:$C,25),0),"False,0")</f>
        <v>0</v>
      </c>
      <c r="AE167" s="4" cm="1">
        <f t="array" ref="AE167">IF(FALSE,"True," &amp; IF(_xlfn.XLOOKUP("Src_CIDR_17_22",'Scoring_Config'!$A:$A,'Scoring_Config'!$D:$D,"Yes")="Yes",_xlfn.XLOOKUP("Src_CIDR_17_22",'Scoring_Config'!$A:$A,'Scoring_Config'!$C:$C,15),0),"False,0")</f>
        <v>0</v>
      </c>
      <c r="AF167" s="4" cm="1">
        <f t="array" ref="AF167">IF(FALSE,"True," &amp; IF(_xlfn.XLOOKUP("Dst_IsAny",'Scoring_Config'!$A:$A,'Scoring_Config'!$D:$D,"Yes")="Yes",_xlfn.XLOOKUP("Dst_IsAny",'Scoring_Config'!$A:$A,'Scoring_Config'!$C:$C,25),0),"False,0")</f>
        <v>0</v>
      </c>
      <c r="AG167" s="4" cm="1">
        <f t="array" ref="AG167">IF(FALSE,"True," &amp; IF(_xlfn.XLOOKUP("Dst_CIDR_Le_16",'Scoring_Config'!$A:$A,'Scoring_Config'!$D:$D,"Yes")="Yes",_xlfn.XLOOKUP("Dst_CIDR_Le_16",'Scoring_Config'!$A:$A,'Scoring_Config'!$C:$C,25),0),"False,0")</f>
        <v>0</v>
      </c>
      <c r="AH167" s="4" cm="1">
        <f t="array" ref="AH167">IF(FALSE,"True," &amp; IF(_xlfn.XLOOKUP("Dst_CIDR_17_22",'Scoring_Config'!$A:$A,'Scoring_Config'!$D:$D,"Yes")="Yes",_xlfn.XLOOKUP("Dst_CIDR_17_22",'Scoring_Config'!$A:$A,'Scoring_Config'!$C:$C,15),0),"False,0")</f>
        <v>0</v>
      </c>
      <c r="AI167" s="4" cm="1">
        <f t="array" ref="AI167">IF(FALSE,"True," &amp; IF(_xlfn.XLOOKUP("SrcZone_IsAny",'Scoring_Config'!$A:$A,'Scoring_Config'!$D:$D,"Yes")="Yes",_xlfn.XLOOKUP("SrcZone_IsAny",'Scoring_Config'!$A:$A,'Scoring_Config'!$C:$C,5),0),"False,0")</f>
        <v>0</v>
      </c>
      <c r="AJ167" s="4" cm="1">
        <f t="array" ref="AJ167">IF(FALSE,"True," &amp; IF(_xlfn.XLOOKUP("DstZone_IsAny",'Scoring_Config'!$A:$A,'Scoring_Config'!$D:$D,"Yes")="Yes",_xlfn.XLOOKUP("DstZone_IsAny",'Scoring_Config'!$A:$A,'Scoring_Config'!$C:$C,5),0),"False,0")</f>
        <v>0</v>
      </c>
      <c r="AK167" s="4" cm="1">
        <f t="array" ref="AK16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7" s="4" cm="1">
        <f t="array" ref="AL167">IF(FALSE,"True," &amp; IF(_xlfn.XLOOKUP("App_Any_OR_RangeGt1000",'Scoring_Config'!$A:$A,'Scoring_Config'!$D:$D,"Yes")="Yes",_xlfn.XLOOKUP("App_Any_OR_RangeGt1000",'Scoring_Config'!$A:$A,'Scoring_Config'!$C:$C,25),0),"False,0")</f>
        <v>0</v>
      </c>
      <c r="AM167" s="5" cm="1">
        <f t="array" ref="AM167">IF(TRUE,"True," &amp; IF(_xlfn.XLOOKUP("Service_Insecure_Match",'Scoring_Config'!$A:$A,'Scoring_Config'!$D:$D,"Yes")="Yes",_xlfn.XLOOKUP("Service_Insecure_Match",'Scoring_Config'!$A:$A,'Scoring_Config'!$C:$C,20),0),"False,0")</f>
        <v>0</v>
      </c>
      <c r="AN167" s="4" cm="1">
        <f t="array" ref="AN167">IF(FALSE,"True," &amp; IF(_xlfn.XLOOKUP("Risky_Inbound",'Scoring_Config'!$A:$A,'Scoring_Config'!$D:$D,"Yes")="Yes",_xlfn.XLOOKUP("Risky_Inbound",'Scoring_Config'!$A:$A,'Scoring_Config'!$C:$C,20),0),"False,0")</f>
        <v>0</v>
      </c>
      <c r="AO167" s="4" cm="1">
        <f t="array" ref="AO167">IF(FALSE,"True," &amp; IF(_xlfn.XLOOKUP("Risky_Outbound",'Scoring_Config'!$A:$A,'Scoring_Config'!$D:$D,"Yes")="Yes",_xlfn.XLOOKUP("Risky_Outbound",'Scoring_Config'!$A:$A,'Scoring_Config'!$C:$C,10),0),"False,0")</f>
        <v>0</v>
      </c>
      <c r="AP167" s="5" t="s">
        <v>2595</v>
      </c>
      <c r="AQ167" s="5" cm="1">
        <f t="array" ref="AQ16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7" s="5" t="s">
        <v>2598</v>
      </c>
      <c r="AS167" s="4" t="s">
        <v>2592</v>
      </c>
      <c r="AT167" s="5" t="s">
        <v>2595</v>
      </c>
      <c r="AU167" s="4" cm="1">
        <f t="array" ref="AU167">IF(FALSE,"True," &amp; IF(_xlfn.XLOOKUP("Action_IsDenyOrDrop",'Scoring_Config'!$A:$A,'Scoring_Config'!$D:$D,"Yes")="Yes",_xlfn.XLOOKUP("Action_IsDenyOrDrop",'Scoring_Config'!$A:$A,'Scoring_Config'!$C:$C,0),0),"False,0")</f>
        <v>0</v>
      </c>
      <c r="AV167" s="4"/>
      <c r="AW167" s="4" cm="1">
        <f t="array" ref="AW167">IF(FALSE,"True," &amp; IF(_xlfn.XLOOKUP("Migrate_Insecure",'Scoring_Config'!$A:$A,'Scoring_Config'!$D:$D,"Yes")="Yes",_xlfn.XLOOKUP("Migrate_Insecure",'Scoring_Config'!$A:$A,'Scoring_Config'!$C:$C,15),0),"False,0")</f>
        <v>0</v>
      </c>
      <c r="AX167" s="4"/>
      <c r="AY167" s="4" cm="1">
        <f t="array" ref="AY167">IF(FALSE,"True," &amp; IF(_xlfn.XLOOKUP("Migrate_Other_Ports",'Scoring_Config'!$A:$A,'Scoring_Config'!$D:$D,"Yes")="Yes",_xlfn.XLOOKUP("Migrate_Other_Ports",'Scoring_Config'!$A:$A,'Scoring_Config'!$C:$C,5),0),"False,0")</f>
        <v>0</v>
      </c>
      <c r="AZ167" s="4" cm="1">
        <f t="array" ref="AZ167">IF(LEFT(AU167,4)="True",0,(IF(LEFT(AC167,4)="True",IF(_xlfn.XLOOKUP("Src_IsAny",'Scoring_Config'!$A:$A,'Scoring_Config'!$D:$D,"Yes")="Yes",_xlfn.XLOOKUP("Src_IsAny",'Scoring_Config'!$A:$A,'Scoring_Config'!$C:$C,25),0),0)+IF(LEFT(AD167,4)="True",IF(_xlfn.XLOOKUP("Src_CIDR_Le_16",'Scoring_Config'!$A:$A,'Scoring_Config'!$D:$D,"Yes")="Yes",_xlfn.XLOOKUP("Src_CIDR_Le_16",'Scoring_Config'!$A:$A,'Scoring_Config'!$C:$C,25),0),0)+IF(LEFT(AE167,4)="True",IF(_xlfn.XLOOKUP("Src_CIDR_17_22",'Scoring_Config'!$A:$A,'Scoring_Config'!$D:$D,"Yes")="Yes",_xlfn.XLOOKUP("Src_CIDR_17_22",'Scoring_Config'!$A:$A,'Scoring_Config'!$C:$C,15),0),0)+IF(LEFT(AF167,4)="True",IF(_xlfn.XLOOKUP("Dst_IsAny",'Scoring_Config'!$A:$A,'Scoring_Config'!$D:$D,"Yes")="Yes",_xlfn.XLOOKUP("Dst_IsAny",'Scoring_Config'!$A:$A,'Scoring_Config'!$C:$C,25),0),0)+IF(LEFT(AG167,4)="True",IF(_xlfn.XLOOKUP("Dst_CIDR_Le_16",'Scoring_Config'!$A:$A,'Scoring_Config'!$D:$D,"Yes")="Yes",_xlfn.XLOOKUP("Dst_CIDR_Le_16",'Scoring_Config'!$A:$A,'Scoring_Config'!$C:$C,25),0),0)+IF(LEFT(AH167,4)="True",IF(_xlfn.XLOOKUP("Dst_CIDR_17_22",'Scoring_Config'!$A:$A,'Scoring_Config'!$D:$D,"Yes")="Yes",_xlfn.XLOOKUP("Dst_CIDR_17_22",'Scoring_Config'!$A:$A,'Scoring_Config'!$C:$C,15),0),0)+IF(LEFT(AI167,4)="True",IF(_xlfn.XLOOKUP("SrcZone_IsAny",'Scoring_Config'!$A:$A,'Scoring_Config'!$D:$D,"Yes")="Yes",_xlfn.XLOOKUP("SrcZone_IsAny",'Scoring_Config'!$A:$A,'Scoring_Config'!$C:$C,5),0),0)+IF(LEFT(AJ167,4)="True",IF(_xlfn.XLOOKUP("DstZone_IsAny",'Scoring_Config'!$A:$A,'Scoring_Config'!$D:$D,"Yes")="Yes",_xlfn.XLOOKUP("DstZone_IsAny",'Scoring_Config'!$A:$A,'Scoring_Config'!$C:$C,5),0),0)+IF(LEFT(AK167,4)="True",IF(_xlfn.XLOOKUP("Service_Any_OR_RangeGt1000",'Scoring_Config'!$A:$A,'Scoring_Config'!$D:$D,"Yes")="Yes",_xlfn.XLOOKUP("Service_Any_OR_RangeGt1000",'Scoring_Config'!$A:$A,'Scoring_Config'!$C:$C,25),0),0)+IF(LEFT(AL167,4)="True",IF(_xlfn.XLOOKUP("App_Any_OR_RangeGt1000",'Scoring_Config'!$A:$A,'Scoring_Config'!$D:$D,"Yes")="Yes",_xlfn.XLOOKUP("App_Any_OR_RangeGt1000",'Scoring_Config'!$A:$A,'Scoring_Config'!$C:$C,25),0),0)+IF(LEFT(AM167,4)="True",IF(_xlfn.XLOOKUP("Service_Insecure_Match",'Scoring_Config'!$A:$A,'Scoring_Config'!$D:$D,"Yes")="Yes",_xlfn.XLOOKUP("Service_Insecure_Match",'Scoring_Config'!$A:$A,'Scoring_Config'!$C:$C,20),0),0)+IF(LEFT(AN167,4)="True",IF(_xlfn.XLOOKUP("Risky_Inbound",'Scoring_Config'!$A:$A,'Scoring_Config'!$D:$D,"Yes")="Yes",_xlfn.XLOOKUP("Risky_Inbound",'Scoring_Config'!$A:$A,'Scoring_Config'!$C:$C,20),0),0)+IF(LEFT(AO167,4)="True",IF(_xlfn.XLOOKUP("Risky_Outbound",'Scoring_Config'!$A:$A,'Scoring_Config'!$D:$D,"Yes")="Yes",_xlfn.XLOOKUP("Risky_Outbound",'Scoring_Config'!$A:$A,'Scoring_Config'!$C:$C,10),0),0)+IF(LEFT(AW167,4)="True",IF(_xlfn.XLOOKUP("Migrate_Insecure",'Scoring_Config'!$A:$A,'Scoring_Config'!$D:$D,"Yes")="Yes",_xlfn.XLOOKUP("Migrate_Insecure",'Scoring_Config'!$A:$A,'Scoring_Config'!$C:$C,15),0),0)+IF(LEFT(AY167,4)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167,FIND(",",AP167)+1,100)),0)+IF(LEFT(AQ167,4)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167,FIND(",",AR167)+1,100)),0)+IF(_xlfn.XLOOKUP("Profile_Scoring",'Scoring_Config'!$A:$A,'Scoring_Config'!$D:$D,"Yes")="Yes",VALUE(MID(AS167,FIND(",",AS167)+1,100)),0)+IF(_xlfn.XLOOKUP("Options_Scoring",'Scoring_Config'!$A:$A,'Scoring_Config'!$D:$D,"Yes")="Yes",VALUE(MID(AT167,FIND(",",AT167)+1,100)),0)))</f>
        <v>0</v>
      </c>
    </row>
    <row r="168" spans="1:52">
      <c r="A168" s="3" t="s">
        <v>53</v>
      </c>
      <c r="B168" s="3" t="s">
        <v>178</v>
      </c>
      <c r="C168" s="3" t="s">
        <v>330</v>
      </c>
      <c r="D168" s="3"/>
      <c r="E168" s="3" t="s">
        <v>359</v>
      </c>
      <c r="F168" s="3" t="s">
        <v>361</v>
      </c>
      <c r="G168" s="3" t="s">
        <v>365</v>
      </c>
      <c r="H168" s="3" t="s">
        <v>365</v>
      </c>
      <c r="I168" s="3" t="s">
        <v>622</v>
      </c>
      <c r="J168" s="3" t="s">
        <v>360</v>
      </c>
      <c r="K168" s="3" t="s">
        <v>365</v>
      </c>
      <c r="L168" s="3" t="s">
        <v>365</v>
      </c>
      <c r="M168" s="3" t="s">
        <v>365</v>
      </c>
      <c r="N168" s="3" t="s">
        <v>365</v>
      </c>
      <c r="O168" s="4" t="s">
        <v>821</v>
      </c>
      <c r="P168" s="3" t="s">
        <v>882</v>
      </c>
      <c r="Q168" s="3" t="s">
        <v>905</v>
      </c>
      <c r="R168" s="3" t="s">
        <v>907</v>
      </c>
      <c r="S168" s="3" t="s">
        <v>915</v>
      </c>
      <c r="T168" s="3" t="s">
        <v>919</v>
      </c>
      <c r="U168" s="3" t="s">
        <v>1230</v>
      </c>
      <c r="V168" s="3" t="s">
        <v>772</v>
      </c>
      <c r="W168" s="3" t="s">
        <v>1493</v>
      </c>
      <c r="X168" s="3" t="s">
        <v>1772</v>
      </c>
      <c r="Y168" s="3" t="s">
        <v>2241</v>
      </c>
      <c r="Z168" s="3"/>
      <c r="AA168" s="3"/>
      <c r="AB168" s="3"/>
      <c r="AC168" s="5" cm="1">
        <f t="array" ref="AC168">IF(TRUE,"True," &amp; IF(_xlfn.XLOOKUP("Src_IsAny",'Scoring_Config'!$A:$A,'Scoring_Config'!$D:$D,"Yes")="Yes",_xlfn.XLOOKUP("Src_IsAny",'Scoring_Config'!$A:$A,'Scoring_Config'!$C:$C,25),0),"False,0")</f>
        <v>0</v>
      </c>
      <c r="AD168" s="4" cm="1">
        <f t="array" ref="AD168">IF(FALSE,"True," &amp; IF(_xlfn.XLOOKUP("Src_CIDR_Le_16",'Scoring_Config'!$A:$A,'Scoring_Config'!$D:$D,"Yes")="Yes",_xlfn.XLOOKUP("Src_CIDR_Le_16",'Scoring_Config'!$A:$A,'Scoring_Config'!$C:$C,25),0),"False,0")</f>
        <v>0</v>
      </c>
      <c r="AE168" s="4" cm="1">
        <f t="array" ref="AE168">IF(FALSE,"True," &amp; IF(_xlfn.XLOOKUP("Src_CIDR_17_22",'Scoring_Config'!$A:$A,'Scoring_Config'!$D:$D,"Yes")="Yes",_xlfn.XLOOKUP("Src_CIDR_17_22",'Scoring_Config'!$A:$A,'Scoring_Config'!$C:$C,15),0),"False,0")</f>
        <v>0</v>
      </c>
      <c r="AF168" s="5" cm="1">
        <f t="array" ref="AF168">IF(TRUE,"True," &amp; IF(_xlfn.XLOOKUP("Dst_IsAny",'Scoring_Config'!$A:$A,'Scoring_Config'!$D:$D,"Yes")="Yes",_xlfn.XLOOKUP("Dst_IsAny",'Scoring_Config'!$A:$A,'Scoring_Config'!$C:$C,25),0),"False,0")</f>
        <v>0</v>
      </c>
      <c r="AG168" s="4" cm="1">
        <f t="array" ref="AG168">IF(FALSE,"True," &amp; IF(_xlfn.XLOOKUP("Dst_CIDR_Le_16",'Scoring_Config'!$A:$A,'Scoring_Config'!$D:$D,"Yes")="Yes",_xlfn.XLOOKUP("Dst_CIDR_Le_16",'Scoring_Config'!$A:$A,'Scoring_Config'!$C:$C,25),0),"False,0")</f>
        <v>0</v>
      </c>
      <c r="AH168" s="4" cm="1">
        <f t="array" ref="AH168">IF(FALSE,"True," &amp; IF(_xlfn.XLOOKUP("Dst_CIDR_17_22",'Scoring_Config'!$A:$A,'Scoring_Config'!$D:$D,"Yes")="Yes",_xlfn.XLOOKUP("Dst_CIDR_17_22",'Scoring_Config'!$A:$A,'Scoring_Config'!$C:$C,15),0),"False,0")</f>
        <v>0</v>
      </c>
      <c r="AI168" s="4" cm="1">
        <f t="array" ref="AI168">IF(FALSE,"True," &amp; IF(_xlfn.XLOOKUP("SrcZone_IsAny",'Scoring_Config'!$A:$A,'Scoring_Config'!$D:$D,"Yes")="Yes",_xlfn.XLOOKUP("SrcZone_IsAny",'Scoring_Config'!$A:$A,'Scoring_Config'!$C:$C,5),0),"False,0")</f>
        <v>0</v>
      </c>
      <c r="AJ168" s="4" cm="1">
        <f t="array" ref="AJ168">IF(FALSE,"True," &amp; IF(_xlfn.XLOOKUP("DstZone_IsAny",'Scoring_Config'!$A:$A,'Scoring_Config'!$D:$D,"Yes")="Yes",_xlfn.XLOOKUP("DstZone_IsAny",'Scoring_Config'!$A:$A,'Scoring_Config'!$C:$C,5),0),"False,0")</f>
        <v>0</v>
      </c>
      <c r="AK168" s="4" cm="1">
        <f t="array" ref="AK16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8" s="5" cm="1">
        <f t="array" ref="AL168">IF(TRUE,"True," &amp; IF(_xlfn.XLOOKUP("App_Any_OR_RangeGt1000",'Scoring_Config'!$A:$A,'Scoring_Config'!$D:$D,"Yes")="Yes",_xlfn.XLOOKUP("App_Any_OR_RangeGt1000",'Scoring_Config'!$A:$A,'Scoring_Config'!$C:$C,25),0),"False,0")</f>
        <v>0</v>
      </c>
      <c r="AM168" s="5" cm="1">
        <f t="array" ref="AM168">IF(TRUE,"True," &amp; IF(_xlfn.XLOOKUP("Service_Insecure_Match",'Scoring_Config'!$A:$A,'Scoring_Config'!$D:$D,"Yes")="Yes",_xlfn.XLOOKUP("Service_Insecure_Match",'Scoring_Config'!$A:$A,'Scoring_Config'!$C:$C,20),0),"False,0")</f>
        <v>0</v>
      </c>
      <c r="AN168" s="4" cm="1">
        <f t="array" ref="AN168">IF(FALSE,"True," &amp; IF(_xlfn.XLOOKUP("Risky_Inbound",'Scoring_Config'!$A:$A,'Scoring_Config'!$D:$D,"Yes")="Yes",_xlfn.XLOOKUP("Risky_Inbound",'Scoring_Config'!$A:$A,'Scoring_Config'!$C:$C,20),0),"False,0")</f>
        <v>0</v>
      </c>
      <c r="AO168" s="4" cm="1">
        <f t="array" ref="AO168">IF(FALSE,"True," &amp; IF(_xlfn.XLOOKUP("Risky_Outbound",'Scoring_Config'!$A:$A,'Scoring_Config'!$D:$D,"Yes")="Yes",_xlfn.XLOOKUP("Risky_Outbound",'Scoring_Config'!$A:$A,'Scoring_Config'!$C:$C,10),0),"False,0")</f>
        <v>0</v>
      </c>
      <c r="AP168" s="5" t="s">
        <v>2595</v>
      </c>
      <c r="AQ168" s="4" cm="1">
        <f t="array" ref="AQ16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8" s="5" t="s">
        <v>2598</v>
      </c>
      <c r="AS168" s="5" t="s">
        <v>2595</v>
      </c>
      <c r="AT168" s="4" t="s">
        <v>2592</v>
      </c>
      <c r="AU168" s="4" cm="1">
        <f t="array" ref="AU168">IF(FALSE,"True," &amp; IF(_xlfn.XLOOKUP("Action_IsDenyOrDrop",'Scoring_Config'!$A:$A,'Scoring_Config'!$D:$D,"Yes")="Yes",_xlfn.XLOOKUP("Action_IsDenyOrDrop",'Scoring_Config'!$A:$A,'Scoring_Config'!$C:$C,0),0),"False,0")</f>
        <v>0</v>
      </c>
      <c r="AV168" s="4"/>
      <c r="AW168" s="4" cm="1">
        <f t="array" ref="AW168">IF(FALSE,"True," &amp; IF(_xlfn.XLOOKUP("Migrate_Insecure",'Scoring_Config'!$A:$A,'Scoring_Config'!$D:$D,"Yes")="Yes",_xlfn.XLOOKUP("Migrate_Insecure",'Scoring_Config'!$A:$A,'Scoring_Config'!$C:$C,15),0),"False,0")</f>
        <v>0</v>
      </c>
      <c r="AX168" s="4"/>
      <c r="AY168" s="4" cm="1">
        <f t="array" ref="AY168">IF(FALSE,"True," &amp; IF(_xlfn.XLOOKUP("Migrate_Other_Ports",'Scoring_Config'!$A:$A,'Scoring_Config'!$D:$D,"Yes")="Yes",_xlfn.XLOOKUP("Migrate_Other_Ports",'Scoring_Config'!$A:$A,'Scoring_Config'!$C:$C,5),0),"False,0")</f>
        <v>0</v>
      </c>
      <c r="AZ168" s="4" cm="1">
        <f t="array" ref="AZ168">IF(LEFT(AU168,4)="True",0,(IF(LEFT(AC168,4)="True",IF(_xlfn.XLOOKUP("Src_IsAny",'Scoring_Config'!$A:$A,'Scoring_Config'!$D:$D,"Yes")="Yes",_xlfn.XLOOKUP("Src_IsAny",'Scoring_Config'!$A:$A,'Scoring_Config'!$C:$C,25),0),0)+IF(LEFT(AD168,4)="True",IF(_xlfn.XLOOKUP("Src_CIDR_Le_16",'Scoring_Config'!$A:$A,'Scoring_Config'!$D:$D,"Yes")="Yes",_xlfn.XLOOKUP("Src_CIDR_Le_16",'Scoring_Config'!$A:$A,'Scoring_Config'!$C:$C,25),0),0)+IF(LEFT(AE168,4)="True",IF(_xlfn.XLOOKUP("Src_CIDR_17_22",'Scoring_Config'!$A:$A,'Scoring_Config'!$D:$D,"Yes")="Yes",_xlfn.XLOOKUP("Src_CIDR_17_22",'Scoring_Config'!$A:$A,'Scoring_Config'!$C:$C,15),0),0)+IF(LEFT(AF168,4)="True",IF(_xlfn.XLOOKUP("Dst_IsAny",'Scoring_Config'!$A:$A,'Scoring_Config'!$D:$D,"Yes")="Yes",_xlfn.XLOOKUP("Dst_IsAny",'Scoring_Config'!$A:$A,'Scoring_Config'!$C:$C,25),0),0)+IF(LEFT(AG168,4)="True",IF(_xlfn.XLOOKUP("Dst_CIDR_Le_16",'Scoring_Config'!$A:$A,'Scoring_Config'!$D:$D,"Yes")="Yes",_xlfn.XLOOKUP("Dst_CIDR_Le_16",'Scoring_Config'!$A:$A,'Scoring_Config'!$C:$C,25),0),0)+IF(LEFT(AH168,4)="True",IF(_xlfn.XLOOKUP("Dst_CIDR_17_22",'Scoring_Config'!$A:$A,'Scoring_Config'!$D:$D,"Yes")="Yes",_xlfn.XLOOKUP("Dst_CIDR_17_22",'Scoring_Config'!$A:$A,'Scoring_Config'!$C:$C,15),0),0)+IF(LEFT(AI168,4)="True",IF(_xlfn.XLOOKUP("SrcZone_IsAny",'Scoring_Config'!$A:$A,'Scoring_Config'!$D:$D,"Yes")="Yes",_xlfn.XLOOKUP("SrcZone_IsAny",'Scoring_Config'!$A:$A,'Scoring_Config'!$C:$C,5),0),0)+IF(LEFT(AJ168,4)="True",IF(_xlfn.XLOOKUP("DstZone_IsAny",'Scoring_Config'!$A:$A,'Scoring_Config'!$D:$D,"Yes")="Yes",_xlfn.XLOOKUP("DstZone_IsAny",'Scoring_Config'!$A:$A,'Scoring_Config'!$C:$C,5),0),0)+IF(LEFT(AK168,4)="True",IF(_xlfn.XLOOKUP("Service_Any_OR_RangeGt1000",'Scoring_Config'!$A:$A,'Scoring_Config'!$D:$D,"Yes")="Yes",_xlfn.XLOOKUP("Service_Any_OR_RangeGt1000",'Scoring_Config'!$A:$A,'Scoring_Config'!$C:$C,25),0),0)+IF(LEFT(AL168,4)="True",IF(_xlfn.XLOOKUP("App_Any_OR_RangeGt1000",'Scoring_Config'!$A:$A,'Scoring_Config'!$D:$D,"Yes")="Yes",_xlfn.XLOOKUP("App_Any_OR_RangeGt1000",'Scoring_Config'!$A:$A,'Scoring_Config'!$C:$C,25),0),0)+IF(LEFT(AM168,4)="True",IF(_xlfn.XLOOKUP("Service_Insecure_Match",'Scoring_Config'!$A:$A,'Scoring_Config'!$D:$D,"Yes")="Yes",_xlfn.XLOOKUP("Service_Insecure_Match",'Scoring_Config'!$A:$A,'Scoring_Config'!$C:$C,20),0),0)+IF(LEFT(AN168,4)="True",IF(_xlfn.XLOOKUP("Risky_Inbound",'Scoring_Config'!$A:$A,'Scoring_Config'!$D:$D,"Yes")="Yes",_xlfn.XLOOKUP("Risky_Inbound",'Scoring_Config'!$A:$A,'Scoring_Config'!$C:$C,20),0),0)+IF(LEFT(AO168,4)="True",IF(_xlfn.XLOOKUP("Risky_Outbound",'Scoring_Config'!$A:$A,'Scoring_Config'!$D:$D,"Yes")="Yes",_xlfn.XLOOKUP("Risky_Outbound",'Scoring_Config'!$A:$A,'Scoring_Config'!$C:$C,10),0),0)+IF(LEFT(AW168,4)="True",IF(_xlfn.XLOOKUP("Migrate_Insecure",'Scoring_Config'!$A:$A,'Scoring_Config'!$D:$D,"Yes")="Yes",_xlfn.XLOOKUP("Migrate_Insecure",'Scoring_Config'!$A:$A,'Scoring_Config'!$C:$C,15),0),0)+IF(LEFT(AY168,4)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168,FIND(",",AP168)+1,100)),0)+IF(LEFT(AQ168,4)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168,FIND(",",AR168)+1,100)),0)+IF(_xlfn.XLOOKUP("Profile_Scoring",'Scoring_Config'!$A:$A,'Scoring_Config'!$D:$D,"Yes")="Yes",VALUE(MID(AS168,FIND(",",AS168)+1,100)),0)+IF(_xlfn.XLOOKUP("Options_Scoring",'Scoring_Config'!$A:$A,'Scoring_Config'!$D:$D,"Yes")="Yes",VALUE(MID(AT168,FIND(",",AT168)+1,100)),0)))</f>
        <v>0</v>
      </c>
    </row>
    <row r="169" spans="1:52">
      <c r="A169" s="3" t="s">
        <v>53</v>
      </c>
      <c r="B169" s="3" t="s">
        <v>150</v>
      </c>
      <c r="C169" s="3" t="s">
        <v>330</v>
      </c>
      <c r="D169" s="3"/>
      <c r="E169" s="3" t="s">
        <v>359</v>
      </c>
      <c r="F169" s="3" t="s">
        <v>362</v>
      </c>
      <c r="G169" s="3" t="s">
        <v>365</v>
      </c>
      <c r="H169" s="3" t="s">
        <v>365</v>
      </c>
      <c r="I169" s="3" t="s">
        <v>625</v>
      </c>
      <c r="J169" s="3" t="s">
        <v>360</v>
      </c>
      <c r="K169" s="3" t="s">
        <v>365</v>
      </c>
      <c r="L169" s="3" t="s">
        <v>365</v>
      </c>
      <c r="M169" s="3" t="s">
        <v>775</v>
      </c>
      <c r="N169" s="3" t="s">
        <v>796</v>
      </c>
      <c r="O169" s="4" t="s">
        <v>836</v>
      </c>
      <c r="P169" s="3" t="s">
        <v>836</v>
      </c>
      <c r="Q169" s="3" t="s">
        <v>905</v>
      </c>
      <c r="R169" s="3" t="s">
        <v>907</v>
      </c>
      <c r="S169" s="3" t="s">
        <v>916</v>
      </c>
      <c r="T169" s="3" t="s">
        <v>1025</v>
      </c>
      <c r="U169" s="3" t="s">
        <v>1231</v>
      </c>
      <c r="V169" s="3" t="s">
        <v>1387</v>
      </c>
      <c r="W169" s="3" t="s">
        <v>1421</v>
      </c>
      <c r="X169" s="3" t="s">
        <v>1773</v>
      </c>
      <c r="Y169" s="3" t="s">
        <v>2242</v>
      </c>
      <c r="Z169" s="3"/>
      <c r="AA169" s="3"/>
      <c r="AB169" s="3"/>
      <c r="AC169" s="5" cm="1">
        <f t="array" ref="AC169">IF(TRUE,"True," &amp; IF(_xlfn.XLOOKUP("Src_IsAny",'Scoring_Config'!$A:$A,'Scoring_Config'!$D:$D,"Yes")="Yes",_xlfn.XLOOKUP("Src_IsAny",'Scoring_Config'!$A:$A,'Scoring_Config'!$C:$C,25),0),"False,0")</f>
        <v>0</v>
      </c>
      <c r="AD169" s="4" cm="1">
        <f t="array" ref="AD169">IF(FALSE,"True," &amp; IF(_xlfn.XLOOKUP("Src_CIDR_Le_16",'Scoring_Config'!$A:$A,'Scoring_Config'!$D:$D,"Yes")="Yes",_xlfn.XLOOKUP("Src_CIDR_Le_16",'Scoring_Config'!$A:$A,'Scoring_Config'!$C:$C,25),0),"False,0")</f>
        <v>0</v>
      </c>
      <c r="AE169" s="4" cm="1">
        <f t="array" ref="AE169">IF(FALSE,"True," &amp; IF(_xlfn.XLOOKUP("Src_CIDR_17_22",'Scoring_Config'!$A:$A,'Scoring_Config'!$D:$D,"Yes")="Yes",_xlfn.XLOOKUP("Src_CIDR_17_22",'Scoring_Config'!$A:$A,'Scoring_Config'!$C:$C,15),0),"False,0")</f>
        <v>0</v>
      </c>
      <c r="AF169" s="5" cm="1">
        <f t="array" ref="AF169">IF(TRUE,"True," &amp; IF(_xlfn.XLOOKUP("Dst_IsAny",'Scoring_Config'!$A:$A,'Scoring_Config'!$D:$D,"Yes")="Yes",_xlfn.XLOOKUP("Dst_IsAny",'Scoring_Config'!$A:$A,'Scoring_Config'!$C:$C,25),0),"False,0")</f>
        <v>0</v>
      </c>
      <c r="AG169" s="4" cm="1">
        <f t="array" ref="AG169">IF(FALSE,"True," &amp; IF(_xlfn.XLOOKUP("Dst_CIDR_Le_16",'Scoring_Config'!$A:$A,'Scoring_Config'!$D:$D,"Yes")="Yes",_xlfn.XLOOKUP("Dst_CIDR_Le_16",'Scoring_Config'!$A:$A,'Scoring_Config'!$C:$C,25),0),"False,0")</f>
        <v>0</v>
      </c>
      <c r="AH169" s="4" cm="1">
        <f t="array" ref="AH169">IF(FALSE,"True," &amp; IF(_xlfn.XLOOKUP("Dst_CIDR_17_22",'Scoring_Config'!$A:$A,'Scoring_Config'!$D:$D,"Yes")="Yes",_xlfn.XLOOKUP("Dst_CIDR_17_22",'Scoring_Config'!$A:$A,'Scoring_Config'!$C:$C,15),0),"False,0")</f>
        <v>0</v>
      </c>
      <c r="AI169" s="4" cm="1">
        <f t="array" ref="AI169">IF(FALSE,"True," &amp; IF(_xlfn.XLOOKUP("SrcZone_IsAny",'Scoring_Config'!$A:$A,'Scoring_Config'!$D:$D,"Yes")="Yes",_xlfn.XLOOKUP("SrcZone_IsAny",'Scoring_Config'!$A:$A,'Scoring_Config'!$C:$C,5),0),"False,0")</f>
        <v>0</v>
      </c>
      <c r="AJ169" s="4" cm="1">
        <f t="array" ref="AJ169">IF(FALSE,"True," &amp; IF(_xlfn.XLOOKUP("DstZone_IsAny",'Scoring_Config'!$A:$A,'Scoring_Config'!$D:$D,"Yes")="Yes",_xlfn.XLOOKUP("DstZone_IsAny",'Scoring_Config'!$A:$A,'Scoring_Config'!$C:$C,5),0),"False,0")</f>
        <v>0</v>
      </c>
      <c r="AK169" s="4" cm="1">
        <f t="array" ref="AK16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69" s="4" cm="1">
        <f t="array" ref="AL169">IF(FALSE,"True," &amp; IF(_xlfn.XLOOKUP("App_Any_OR_RangeGt1000",'Scoring_Config'!$A:$A,'Scoring_Config'!$D:$D,"Yes")="Yes",_xlfn.XLOOKUP("App_Any_OR_RangeGt1000",'Scoring_Config'!$A:$A,'Scoring_Config'!$C:$C,25),0),"False,0")</f>
        <v>0</v>
      </c>
      <c r="AM169" s="4" cm="1">
        <f t="array" ref="AM169">IF(FALSE,"True," &amp; IF(_xlfn.XLOOKUP("Service_Insecure_Match",'Scoring_Config'!$A:$A,'Scoring_Config'!$D:$D,"Yes")="Yes",_xlfn.XLOOKUP("Service_Insecure_Match",'Scoring_Config'!$A:$A,'Scoring_Config'!$C:$C,20),0),"False,0")</f>
        <v>0</v>
      </c>
      <c r="AN169" s="4" cm="1">
        <f t="array" ref="AN169">IF(FALSE,"True," &amp; IF(_xlfn.XLOOKUP("Risky_Inbound",'Scoring_Config'!$A:$A,'Scoring_Config'!$D:$D,"Yes")="Yes",_xlfn.XLOOKUP("Risky_Inbound",'Scoring_Config'!$A:$A,'Scoring_Config'!$C:$C,20),0),"False,0")</f>
        <v>0</v>
      </c>
      <c r="AO169" s="4" cm="1">
        <f t="array" ref="AO169">IF(FALSE,"True," &amp; IF(_xlfn.XLOOKUP("Risky_Outbound",'Scoring_Config'!$A:$A,'Scoring_Config'!$D:$D,"Yes")="Yes",_xlfn.XLOOKUP("Risky_Outbound",'Scoring_Config'!$A:$A,'Scoring_Config'!$C:$C,10),0),"False,0")</f>
        <v>0</v>
      </c>
      <c r="AP169" s="5" t="s">
        <v>2595</v>
      </c>
      <c r="AQ169" s="4" cm="1">
        <f t="array" ref="AQ16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69" s="5" t="s">
        <v>2598</v>
      </c>
      <c r="AS169" s="5" t="s">
        <v>2595</v>
      </c>
      <c r="AT169" s="4" t="s">
        <v>2592</v>
      </c>
      <c r="AU169" s="4" cm="1">
        <f t="array" ref="AU169">IF(FALSE,"True," &amp; IF(_xlfn.XLOOKUP("Action_IsDenyOrDrop",'Scoring_Config'!$A:$A,'Scoring_Config'!$D:$D,"Yes")="Yes",_xlfn.XLOOKUP("Action_IsDenyOrDrop",'Scoring_Config'!$A:$A,'Scoring_Config'!$C:$C,0),0),"False,0")</f>
        <v>0</v>
      </c>
      <c r="AV169" s="4"/>
      <c r="AW169" s="4" cm="1">
        <f t="array" ref="AW169">IF(FALSE,"True," &amp; IF(_xlfn.XLOOKUP("Migrate_Insecure",'Scoring_Config'!$A:$A,'Scoring_Config'!$D:$D,"Yes")="Yes",_xlfn.XLOOKUP("Migrate_Insecure",'Scoring_Config'!$A:$A,'Scoring_Config'!$C:$C,15),0),"False,0")</f>
        <v>0</v>
      </c>
      <c r="AX169" s="4"/>
      <c r="AY169" s="4" cm="1">
        <f t="array" ref="AY169">IF(FALSE,"True," &amp; IF(_xlfn.XLOOKUP("Migrate_Other_Ports",'Scoring_Config'!$A:$A,'Scoring_Config'!$D:$D,"Yes")="Yes",_xlfn.XLOOKUP("Migrate_Other_Ports",'Scoring_Config'!$A:$A,'Scoring_Config'!$C:$C,5),0),"False,0")</f>
        <v>0</v>
      </c>
      <c r="AZ169" s="4" cm="1">
        <f t="array" ref="AZ169">IF(LEFT(AU169,4)="True",0,(IF(LEFT(AC169,4)="True",IF(_xlfn.XLOOKUP("Src_IsAny",'Scoring_Config'!$A:$A,'Scoring_Config'!$D:$D,"Yes")="Yes",_xlfn.XLOOKUP("Src_IsAny",'Scoring_Config'!$A:$A,'Scoring_Config'!$C:$C,25),0),0)+IF(LEFT(AD169,4)="True",IF(_xlfn.XLOOKUP("Src_CIDR_Le_16",'Scoring_Config'!$A:$A,'Scoring_Config'!$D:$D,"Yes")="Yes",_xlfn.XLOOKUP("Src_CIDR_Le_16",'Scoring_Config'!$A:$A,'Scoring_Config'!$C:$C,25),0),0)+IF(LEFT(AE169,4)="True",IF(_xlfn.XLOOKUP("Src_CIDR_17_22",'Scoring_Config'!$A:$A,'Scoring_Config'!$D:$D,"Yes")="Yes",_xlfn.XLOOKUP("Src_CIDR_17_22",'Scoring_Config'!$A:$A,'Scoring_Config'!$C:$C,15),0),0)+IF(LEFT(AF169,4)="True",IF(_xlfn.XLOOKUP("Dst_IsAny",'Scoring_Config'!$A:$A,'Scoring_Config'!$D:$D,"Yes")="Yes",_xlfn.XLOOKUP("Dst_IsAny",'Scoring_Config'!$A:$A,'Scoring_Config'!$C:$C,25),0),0)+IF(LEFT(AG169,4)="True",IF(_xlfn.XLOOKUP("Dst_CIDR_Le_16",'Scoring_Config'!$A:$A,'Scoring_Config'!$D:$D,"Yes")="Yes",_xlfn.XLOOKUP("Dst_CIDR_Le_16",'Scoring_Config'!$A:$A,'Scoring_Config'!$C:$C,25),0),0)+IF(LEFT(AH169,4)="True",IF(_xlfn.XLOOKUP("Dst_CIDR_17_22",'Scoring_Config'!$A:$A,'Scoring_Config'!$D:$D,"Yes")="Yes",_xlfn.XLOOKUP("Dst_CIDR_17_22",'Scoring_Config'!$A:$A,'Scoring_Config'!$C:$C,15),0),0)+IF(LEFT(AI169,4)="True",IF(_xlfn.XLOOKUP("SrcZone_IsAny",'Scoring_Config'!$A:$A,'Scoring_Config'!$D:$D,"Yes")="Yes",_xlfn.XLOOKUP("SrcZone_IsAny",'Scoring_Config'!$A:$A,'Scoring_Config'!$C:$C,5),0),0)+IF(LEFT(AJ169,4)="True",IF(_xlfn.XLOOKUP("DstZone_IsAny",'Scoring_Config'!$A:$A,'Scoring_Config'!$D:$D,"Yes")="Yes",_xlfn.XLOOKUP("DstZone_IsAny",'Scoring_Config'!$A:$A,'Scoring_Config'!$C:$C,5),0),0)+IF(LEFT(AK169,4)="True",IF(_xlfn.XLOOKUP("Service_Any_OR_RangeGt1000",'Scoring_Config'!$A:$A,'Scoring_Config'!$D:$D,"Yes")="Yes",_xlfn.XLOOKUP("Service_Any_OR_RangeGt1000",'Scoring_Config'!$A:$A,'Scoring_Config'!$C:$C,25),0),0)+IF(LEFT(AL169,4)="True",IF(_xlfn.XLOOKUP("App_Any_OR_RangeGt1000",'Scoring_Config'!$A:$A,'Scoring_Config'!$D:$D,"Yes")="Yes",_xlfn.XLOOKUP("App_Any_OR_RangeGt1000",'Scoring_Config'!$A:$A,'Scoring_Config'!$C:$C,25),0),0)+IF(LEFT(AM169,4)="True",IF(_xlfn.XLOOKUP("Service_Insecure_Match",'Scoring_Config'!$A:$A,'Scoring_Config'!$D:$D,"Yes")="Yes",_xlfn.XLOOKUP("Service_Insecure_Match",'Scoring_Config'!$A:$A,'Scoring_Config'!$C:$C,20),0),0)+IF(LEFT(AN169,4)="True",IF(_xlfn.XLOOKUP("Risky_Inbound",'Scoring_Config'!$A:$A,'Scoring_Config'!$D:$D,"Yes")="Yes",_xlfn.XLOOKUP("Risky_Inbound",'Scoring_Config'!$A:$A,'Scoring_Config'!$C:$C,20),0),0)+IF(LEFT(AO169,4)="True",IF(_xlfn.XLOOKUP("Risky_Outbound",'Scoring_Config'!$A:$A,'Scoring_Config'!$D:$D,"Yes")="Yes",_xlfn.XLOOKUP("Risky_Outbound",'Scoring_Config'!$A:$A,'Scoring_Config'!$C:$C,10),0),0)+IF(LEFT(AW169,4)="True",IF(_xlfn.XLOOKUP("Migrate_Insecure",'Scoring_Config'!$A:$A,'Scoring_Config'!$D:$D,"Yes")="Yes",_xlfn.XLOOKUP("Migrate_Insecure",'Scoring_Config'!$A:$A,'Scoring_Config'!$C:$C,15),0),0)+IF(LEFT(AY169,4)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169,FIND(",",AP169)+1,100)),0)+IF(LEFT(AQ169,4)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169,FIND(",",AR169)+1,100)),0)+IF(_xlfn.XLOOKUP("Profile_Scoring",'Scoring_Config'!$A:$A,'Scoring_Config'!$D:$D,"Yes")="Yes",VALUE(MID(AS169,FIND(",",AS169)+1,100)),0)+IF(_xlfn.XLOOKUP("Options_Scoring",'Scoring_Config'!$A:$A,'Scoring_Config'!$D:$D,"Yes")="Yes",VALUE(MID(AT169,FIND(",",AT169)+1,100)),0)))</f>
        <v>0</v>
      </c>
    </row>
    <row r="170" spans="1:52">
      <c r="A170" s="3" t="s">
        <v>53</v>
      </c>
      <c r="B170" s="3" t="s">
        <v>102</v>
      </c>
      <c r="C170" s="3" t="s">
        <v>330</v>
      </c>
      <c r="D170" s="3"/>
      <c r="E170" s="3" t="s">
        <v>359</v>
      </c>
      <c r="F170" s="3" t="s">
        <v>361</v>
      </c>
      <c r="G170" s="3" t="s">
        <v>365</v>
      </c>
      <c r="H170" s="3" t="s">
        <v>365</v>
      </c>
      <c r="I170" s="3" t="s">
        <v>625</v>
      </c>
      <c r="J170" s="3" t="s">
        <v>364</v>
      </c>
      <c r="K170" s="3" t="s">
        <v>365</v>
      </c>
      <c r="L170" s="3" t="s">
        <v>365</v>
      </c>
      <c r="M170" s="3" t="s">
        <v>365</v>
      </c>
      <c r="N170" s="3" t="s">
        <v>365</v>
      </c>
      <c r="O170" s="4" t="s">
        <v>831</v>
      </c>
      <c r="P170" s="3" t="s">
        <v>892</v>
      </c>
      <c r="Q170" s="3" t="s">
        <v>905</v>
      </c>
      <c r="R170" s="3" t="s">
        <v>907</v>
      </c>
      <c r="S170" s="3" t="s">
        <v>907</v>
      </c>
      <c r="T170" s="3" t="s">
        <v>1026</v>
      </c>
      <c r="U170" s="3"/>
      <c r="V170" s="3" t="s">
        <v>772</v>
      </c>
      <c r="W170" s="3" t="s">
        <v>1494</v>
      </c>
      <c r="X170" s="3" t="s">
        <v>1774</v>
      </c>
      <c r="Y170" s="3" t="s">
        <v>2243</v>
      </c>
      <c r="Z170" s="3"/>
      <c r="AA170" s="3"/>
      <c r="AB170" s="3"/>
      <c r="AC170" s="5" cm="1">
        <f t="array" ref="AC170">IF(TRUE,"True," &amp; IF(_xlfn.XLOOKUP("Src_IsAny",'Scoring_Config'!$A:$A,'Scoring_Config'!$D:$D,"Yes")="Yes",_xlfn.XLOOKUP("Src_IsAny",'Scoring_Config'!$A:$A,'Scoring_Config'!$C:$C,25),0),"False,0")</f>
        <v>0</v>
      </c>
      <c r="AD170" s="4" cm="1">
        <f t="array" ref="AD170">IF(FALSE,"True," &amp; IF(_xlfn.XLOOKUP("Src_CIDR_Le_16",'Scoring_Config'!$A:$A,'Scoring_Config'!$D:$D,"Yes")="Yes",_xlfn.XLOOKUP("Src_CIDR_Le_16",'Scoring_Config'!$A:$A,'Scoring_Config'!$C:$C,25),0),"False,0")</f>
        <v>0</v>
      </c>
      <c r="AE170" s="4" cm="1">
        <f t="array" ref="AE170">IF(FALSE,"True," &amp; IF(_xlfn.XLOOKUP("Src_CIDR_17_22",'Scoring_Config'!$A:$A,'Scoring_Config'!$D:$D,"Yes")="Yes",_xlfn.XLOOKUP("Src_CIDR_17_22",'Scoring_Config'!$A:$A,'Scoring_Config'!$C:$C,15),0),"False,0")</f>
        <v>0</v>
      </c>
      <c r="AF170" s="5" cm="1">
        <f t="array" ref="AF170">IF(TRUE,"True," &amp; IF(_xlfn.XLOOKUP("Dst_IsAny",'Scoring_Config'!$A:$A,'Scoring_Config'!$D:$D,"Yes")="Yes",_xlfn.XLOOKUP("Dst_IsAny",'Scoring_Config'!$A:$A,'Scoring_Config'!$C:$C,25),0),"False,0")</f>
        <v>0</v>
      </c>
      <c r="AG170" s="4" cm="1">
        <f t="array" ref="AG170">IF(FALSE,"True," &amp; IF(_xlfn.XLOOKUP("Dst_CIDR_Le_16",'Scoring_Config'!$A:$A,'Scoring_Config'!$D:$D,"Yes")="Yes",_xlfn.XLOOKUP("Dst_CIDR_Le_16",'Scoring_Config'!$A:$A,'Scoring_Config'!$C:$C,25),0),"False,0")</f>
        <v>0</v>
      </c>
      <c r="AH170" s="4" cm="1">
        <f t="array" ref="AH170">IF(FALSE,"True," &amp; IF(_xlfn.XLOOKUP("Dst_CIDR_17_22",'Scoring_Config'!$A:$A,'Scoring_Config'!$D:$D,"Yes")="Yes",_xlfn.XLOOKUP("Dst_CIDR_17_22",'Scoring_Config'!$A:$A,'Scoring_Config'!$C:$C,15),0),"False,0")</f>
        <v>0</v>
      </c>
      <c r="AI170" s="4" cm="1">
        <f t="array" ref="AI170">IF(FALSE,"True," &amp; IF(_xlfn.XLOOKUP("SrcZone_IsAny",'Scoring_Config'!$A:$A,'Scoring_Config'!$D:$D,"Yes")="Yes",_xlfn.XLOOKUP("SrcZone_IsAny",'Scoring_Config'!$A:$A,'Scoring_Config'!$C:$C,5),0),"False,0")</f>
        <v>0</v>
      </c>
      <c r="AJ170" s="4" cm="1">
        <f t="array" ref="AJ170">IF(FALSE,"True," &amp; IF(_xlfn.XLOOKUP("DstZone_IsAny",'Scoring_Config'!$A:$A,'Scoring_Config'!$D:$D,"Yes")="Yes",_xlfn.XLOOKUP("DstZone_IsAny",'Scoring_Config'!$A:$A,'Scoring_Config'!$C:$C,5),0),"False,0")</f>
        <v>0</v>
      </c>
      <c r="AK170" s="4" cm="1">
        <f t="array" ref="AK17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0" s="5" cm="1">
        <f t="array" ref="AL170">IF(TRUE,"True," &amp; IF(_xlfn.XLOOKUP("App_Any_OR_RangeGt1000",'Scoring_Config'!$A:$A,'Scoring_Config'!$D:$D,"Yes")="Yes",_xlfn.XLOOKUP("App_Any_OR_RangeGt1000",'Scoring_Config'!$A:$A,'Scoring_Config'!$C:$C,25),0),"False,0")</f>
        <v>0</v>
      </c>
      <c r="AM170" s="5" cm="1">
        <f t="array" ref="AM170">IF(TRUE,"True," &amp; IF(_xlfn.XLOOKUP("Service_Insecure_Match",'Scoring_Config'!$A:$A,'Scoring_Config'!$D:$D,"Yes")="Yes",_xlfn.XLOOKUP("Service_Insecure_Match",'Scoring_Config'!$A:$A,'Scoring_Config'!$C:$C,20),0),"False,0")</f>
        <v>0</v>
      </c>
      <c r="AN170" s="4" cm="1">
        <f t="array" ref="AN170">IF(FALSE,"True," &amp; IF(_xlfn.XLOOKUP("Risky_Inbound",'Scoring_Config'!$A:$A,'Scoring_Config'!$D:$D,"Yes")="Yes",_xlfn.XLOOKUP("Risky_Inbound",'Scoring_Config'!$A:$A,'Scoring_Config'!$C:$C,20),0),"False,0")</f>
        <v>0</v>
      </c>
      <c r="AO170" s="4" cm="1">
        <f t="array" ref="AO170">IF(FALSE,"True," &amp; IF(_xlfn.XLOOKUP("Risky_Outbound",'Scoring_Config'!$A:$A,'Scoring_Config'!$D:$D,"Yes")="Yes",_xlfn.XLOOKUP("Risky_Outbound",'Scoring_Config'!$A:$A,'Scoring_Config'!$C:$C,10),0),"False,0")</f>
        <v>0</v>
      </c>
      <c r="AP170" s="5" t="s">
        <v>2595</v>
      </c>
      <c r="AQ170" s="5" cm="1">
        <f t="array" ref="AQ17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0" s="5" t="s">
        <v>2598</v>
      </c>
      <c r="AS170" s="5" t="s">
        <v>2595</v>
      </c>
      <c r="AT170" s="5" t="s">
        <v>2595</v>
      </c>
      <c r="AU170" s="4" cm="1">
        <f t="array" ref="AU170">IF(FALSE,"True," &amp; IF(_xlfn.XLOOKUP("Action_IsDenyOrDrop",'Scoring_Config'!$A:$A,'Scoring_Config'!$D:$D,"Yes")="Yes",_xlfn.XLOOKUP("Action_IsDenyOrDrop",'Scoring_Config'!$A:$A,'Scoring_Config'!$C:$C,0),0),"False,0")</f>
        <v>0</v>
      </c>
      <c r="AV170" s="4"/>
      <c r="AW170" s="4" cm="1">
        <f t="array" ref="AW170">IF(FALSE,"True," &amp; IF(_xlfn.XLOOKUP("Migrate_Insecure",'Scoring_Config'!$A:$A,'Scoring_Config'!$D:$D,"Yes")="Yes",_xlfn.XLOOKUP("Migrate_Insecure",'Scoring_Config'!$A:$A,'Scoring_Config'!$C:$C,15),0),"False,0")</f>
        <v>0</v>
      </c>
      <c r="AX170" s="4"/>
      <c r="AY170" s="4" cm="1">
        <f t="array" ref="AY170">IF(FALSE,"True," &amp; IF(_xlfn.XLOOKUP("Migrate_Other_Ports",'Scoring_Config'!$A:$A,'Scoring_Config'!$D:$D,"Yes")="Yes",_xlfn.XLOOKUP("Migrate_Other_Ports",'Scoring_Config'!$A:$A,'Scoring_Config'!$C:$C,5),0),"False,0")</f>
        <v>0</v>
      </c>
      <c r="AZ170" s="4" cm="1">
        <f t="array" ref="AZ170">IF(LEFT(AU170,4)="True",0,(IF(LEFT(AC170,4)="True",IF(_xlfn.XLOOKUP("Src_IsAny",'Scoring_Config'!$A:$A,'Scoring_Config'!$D:$D,"Yes")="Yes",_xlfn.XLOOKUP("Src_IsAny",'Scoring_Config'!$A:$A,'Scoring_Config'!$C:$C,25),0),0)+IF(LEFT(AD170,4)="True",IF(_xlfn.XLOOKUP("Src_CIDR_Le_16",'Scoring_Config'!$A:$A,'Scoring_Config'!$D:$D,"Yes")="Yes",_xlfn.XLOOKUP("Src_CIDR_Le_16",'Scoring_Config'!$A:$A,'Scoring_Config'!$C:$C,25),0),0)+IF(LEFT(AE170,4)="True",IF(_xlfn.XLOOKUP("Src_CIDR_17_22",'Scoring_Config'!$A:$A,'Scoring_Config'!$D:$D,"Yes")="Yes",_xlfn.XLOOKUP("Src_CIDR_17_22",'Scoring_Config'!$A:$A,'Scoring_Config'!$C:$C,15),0),0)+IF(LEFT(AF170,4)="True",IF(_xlfn.XLOOKUP("Dst_IsAny",'Scoring_Config'!$A:$A,'Scoring_Config'!$D:$D,"Yes")="Yes",_xlfn.XLOOKUP("Dst_IsAny",'Scoring_Config'!$A:$A,'Scoring_Config'!$C:$C,25),0),0)+IF(LEFT(AG170,4)="True",IF(_xlfn.XLOOKUP("Dst_CIDR_Le_16",'Scoring_Config'!$A:$A,'Scoring_Config'!$D:$D,"Yes")="Yes",_xlfn.XLOOKUP("Dst_CIDR_Le_16",'Scoring_Config'!$A:$A,'Scoring_Config'!$C:$C,25),0),0)+IF(LEFT(AH170,4)="True",IF(_xlfn.XLOOKUP("Dst_CIDR_17_22",'Scoring_Config'!$A:$A,'Scoring_Config'!$D:$D,"Yes")="Yes",_xlfn.XLOOKUP("Dst_CIDR_17_22",'Scoring_Config'!$A:$A,'Scoring_Config'!$C:$C,15),0),0)+IF(LEFT(AI170,4)="True",IF(_xlfn.XLOOKUP("SrcZone_IsAny",'Scoring_Config'!$A:$A,'Scoring_Config'!$D:$D,"Yes")="Yes",_xlfn.XLOOKUP("SrcZone_IsAny",'Scoring_Config'!$A:$A,'Scoring_Config'!$C:$C,5),0),0)+IF(LEFT(AJ170,4)="True",IF(_xlfn.XLOOKUP("DstZone_IsAny",'Scoring_Config'!$A:$A,'Scoring_Config'!$D:$D,"Yes")="Yes",_xlfn.XLOOKUP("DstZone_IsAny",'Scoring_Config'!$A:$A,'Scoring_Config'!$C:$C,5),0),0)+IF(LEFT(AK170,4)="True",IF(_xlfn.XLOOKUP("Service_Any_OR_RangeGt1000",'Scoring_Config'!$A:$A,'Scoring_Config'!$D:$D,"Yes")="Yes",_xlfn.XLOOKUP("Service_Any_OR_RangeGt1000",'Scoring_Config'!$A:$A,'Scoring_Config'!$C:$C,25),0),0)+IF(LEFT(AL170,4)="True",IF(_xlfn.XLOOKUP("App_Any_OR_RangeGt1000",'Scoring_Config'!$A:$A,'Scoring_Config'!$D:$D,"Yes")="Yes",_xlfn.XLOOKUP("App_Any_OR_RangeGt1000",'Scoring_Config'!$A:$A,'Scoring_Config'!$C:$C,25),0),0)+IF(LEFT(AM170,4)="True",IF(_xlfn.XLOOKUP("Service_Insecure_Match",'Scoring_Config'!$A:$A,'Scoring_Config'!$D:$D,"Yes")="Yes",_xlfn.XLOOKUP("Service_Insecure_Match",'Scoring_Config'!$A:$A,'Scoring_Config'!$C:$C,20),0),0)+IF(LEFT(AN170,4)="True",IF(_xlfn.XLOOKUP("Risky_Inbound",'Scoring_Config'!$A:$A,'Scoring_Config'!$D:$D,"Yes")="Yes",_xlfn.XLOOKUP("Risky_Inbound",'Scoring_Config'!$A:$A,'Scoring_Config'!$C:$C,20),0),0)+IF(LEFT(AO170,4)="True",IF(_xlfn.XLOOKUP("Risky_Outbound",'Scoring_Config'!$A:$A,'Scoring_Config'!$D:$D,"Yes")="Yes",_xlfn.XLOOKUP("Risky_Outbound",'Scoring_Config'!$A:$A,'Scoring_Config'!$C:$C,10),0),0)+IF(LEFT(AW170,4)="True",IF(_xlfn.XLOOKUP("Migrate_Insecure",'Scoring_Config'!$A:$A,'Scoring_Config'!$D:$D,"Yes")="Yes",_xlfn.XLOOKUP("Migrate_Insecure",'Scoring_Config'!$A:$A,'Scoring_Config'!$C:$C,15),0),0)+IF(LEFT(AY170,4)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170,FIND(",",AP170)+1,100)),0)+IF(LEFT(AQ170,4)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170,FIND(",",AR170)+1,100)),0)+IF(_xlfn.XLOOKUP("Profile_Scoring",'Scoring_Config'!$A:$A,'Scoring_Config'!$D:$D,"Yes")="Yes",VALUE(MID(AS170,FIND(",",AS170)+1,100)),0)+IF(_xlfn.XLOOKUP("Options_Scoring",'Scoring_Config'!$A:$A,'Scoring_Config'!$D:$D,"Yes")="Yes",VALUE(MID(AT170,FIND(",",AT170)+1,100)),0)))</f>
        <v>0</v>
      </c>
    </row>
    <row r="171" spans="1:52">
      <c r="A171" s="3" t="s">
        <v>53</v>
      </c>
      <c r="B171" s="3" t="s">
        <v>179</v>
      </c>
      <c r="C171" s="3" t="s">
        <v>330</v>
      </c>
      <c r="D171" s="3"/>
      <c r="E171" s="3" t="s">
        <v>359</v>
      </c>
      <c r="F171" s="3" t="s">
        <v>363</v>
      </c>
      <c r="G171" s="3" t="s">
        <v>427</v>
      </c>
      <c r="H171" s="3" t="s">
        <v>427</v>
      </c>
      <c r="I171" s="3" t="s">
        <v>622</v>
      </c>
      <c r="J171" s="3" t="s">
        <v>362</v>
      </c>
      <c r="K171" s="3" t="s">
        <v>672</v>
      </c>
      <c r="L171" s="3" t="s">
        <v>754</v>
      </c>
      <c r="M171" s="3" t="s">
        <v>770</v>
      </c>
      <c r="N171" s="3" t="s">
        <v>770</v>
      </c>
      <c r="O171" s="4" t="s">
        <v>838</v>
      </c>
      <c r="P171" s="3" t="s">
        <v>838</v>
      </c>
      <c r="Q171" s="3" t="s">
        <v>905</v>
      </c>
      <c r="R171" s="3" t="s">
        <v>906</v>
      </c>
      <c r="S171" s="3" t="s">
        <v>916</v>
      </c>
      <c r="T171" s="3" t="s">
        <v>919</v>
      </c>
      <c r="U171" s="3" t="s">
        <v>1232</v>
      </c>
      <c r="V171" s="3" t="s">
        <v>789</v>
      </c>
      <c r="W171" s="3" t="s">
        <v>1495</v>
      </c>
      <c r="X171" s="3" t="s">
        <v>1775</v>
      </c>
      <c r="Y171" s="3" t="s">
        <v>2244</v>
      </c>
      <c r="Z171" s="3"/>
      <c r="AA171" s="3"/>
      <c r="AB171" s="3"/>
      <c r="AC171" s="4" cm="1">
        <f t="array" ref="AC171">IF(FALSE,"True," &amp; IF(_xlfn.XLOOKUP("Src_IsAny",'Scoring_Config'!$A:$A,'Scoring_Config'!$D:$D,"Yes")="Yes",_xlfn.XLOOKUP("Src_IsAny",'Scoring_Config'!$A:$A,'Scoring_Config'!$C:$C,25),0),"False,0")</f>
        <v>0</v>
      </c>
      <c r="AD171" s="4" cm="1">
        <f t="array" ref="AD171">IF(FALSE,"True," &amp; IF(_xlfn.XLOOKUP("Src_CIDR_Le_16",'Scoring_Config'!$A:$A,'Scoring_Config'!$D:$D,"Yes")="Yes",_xlfn.XLOOKUP("Src_CIDR_Le_16",'Scoring_Config'!$A:$A,'Scoring_Config'!$C:$C,25),0),"False,0")</f>
        <v>0</v>
      </c>
      <c r="AE171" s="4" cm="1">
        <f t="array" ref="AE171">IF(FALSE,"True," &amp; IF(_xlfn.XLOOKUP("Src_CIDR_17_22",'Scoring_Config'!$A:$A,'Scoring_Config'!$D:$D,"Yes")="Yes",_xlfn.XLOOKUP("Src_CIDR_17_22",'Scoring_Config'!$A:$A,'Scoring_Config'!$C:$C,15),0),"False,0")</f>
        <v>0</v>
      </c>
      <c r="AF171" s="4" cm="1">
        <f t="array" ref="AF171">IF(FALSE,"True," &amp; IF(_xlfn.XLOOKUP("Dst_IsAny",'Scoring_Config'!$A:$A,'Scoring_Config'!$D:$D,"Yes")="Yes",_xlfn.XLOOKUP("Dst_IsAny",'Scoring_Config'!$A:$A,'Scoring_Config'!$C:$C,25),0),"False,0")</f>
        <v>0</v>
      </c>
      <c r="AG171" s="4" cm="1">
        <f t="array" ref="AG171">IF(FALSE,"True," &amp; IF(_xlfn.XLOOKUP("Dst_CIDR_Le_16",'Scoring_Config'!$A:$A,'Scoring_Config'!$D:$D,"Yes")="Yes",_xlfn.XLOOKUP("Dst_CIDR_Le_16",'Scoring_Config'!$A:$A,'Scoring_Config'!$C:$C,25),0),"False,0")</f>
        <v>0</v>
      </c>
      <c r="AH171" s="4" cm="1">
        <f t="array" ref="AH171">IF(FALSE,"True," &amp; IF(_xlfn.XLOOKUP("Dst_CIDR_17_22",'Scoring_Config'!$A:$A,'Scoring_Config'!$D:$D,"Yes")="Yes",_xlfn.XLOOKUP("Dst_CIDR_17_22",'Scoring_Config'!$A:$A,'Scoring_Config'!$C:$C,15),0),"False,0")</f>
        <v>0</v>
      </c>
      <c r="AI171" s="4" cm="1">
        <f t="array" ref="AI171">IF(FALSE,"True," &amp; IF(_xlfn.XLOOKUP("SrcZone_IsAny",'Scoring_Config'!$A:$A,'Scoring_Config'!$D:$D,"Yes")="Yes",_xlfn.XLOOKUP("SrcZone_IsAny",'Scoring_Config'!$A:$A,'Scoring_Config'!$C:$C,5),0),"False,0")</f>
        <v>0</v>
      </c>
      <c r="AJ171" s="4" cm="1">
        <f t="array" ref="AJ171">IF(FALSE,"True," &amp; IF(_xlfn.XLOOKUP("DstZone_IsAny",'Scoring_Config'!$A:$A,'Scoring_Config'!$D:$D,"Yes")="Yes",_xlfn.XLOOKUP("DstZone_IsAny",'Scoring_Config'!$A:$A,'Scoring_Config'!$C:$C,5),0),"False,0")</f>
        <v>0</v>
      </c>
      <c r="AK171" s="4" cm="1">
        <f t="array" ref="AK17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1" s="4" cm="1">
        <f t="array" ref="AL171">IF(FALSE,"True," &amp; IF(_xlfn.XLOOKUP("App_Any_OR_RangeGt1000",'Scoring_Config'!$A:$A,'Scoring_Config'!$D:$D,"Yes")="Yes",_xlfn.XLOOKUP("App_Any_OR_RangeGt1000",'Scoring_Config'!$A:$A,'Scoring_Config'!$C:$C,25),0),"False,0")</f>
        <v>0</v>
      </c>
      <c r="AM171" s="4" cm="1">
        <f t="array" ref="AM171">IF(FALSE,"True," &amp; IF(_xlfn.XLOOKUP("Service_Insecure_Match",'Scoring_Config'!$A:$A,'Scoring_Config'!$D:$D,"Yes")="Yes",_xlfn.XLOOKUP("Service_Insecure_Match",'Scoring_Config'!$A:$A,'Scoring_Config'!$C:$C,20),0),"False,0")</f>
        <v>0</v>
      </c>
      <c r="AN171" s="4" cm="1">
        <f t="array" ref="AN171">IF(FALSE,"True," &amp; IF(_xlfn.XLOOKUP("Risky_Inbound",'Scoring_Config'!$A:$A,'Scoring_Config'!$D:$D,"Yes")="Yes",_xlfn.XLOOKUP("Risky_Inbound",'Scoring_Config'!$A:$A,'Scoring_Config'!$C:$C,20),0),"False,0")</f>
        <v>0</v>
      </c>
      <c r="AO171" s="4" cm="1">
        <f t="array" ref="AO171">IF(FALSE,"True," &amp; IF(_xlfn.XLOOKUP("Risky_Outbound",'Scoring_Config'!$A:$A,'Scoring_Config'!$D:$D,"Yes")="Yes",_xlfn.XLOOKUP("Risky_Outbound",'Scoring_Config'!$A:$A,'Scoring_Config'!$C:$C,10),0),"False,0")</f>
        <v>0</v>
      </c>
      <c r="AP171" s="5" t="s">
        <v>2595</v>
      </c>
      <c r="AQ171" s="4" cm="1">
        <f t="array" ref="AQ17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1" s="5" t="s">
        <v>2598</v>
      </c>
      <c r="AS171" s="4" t="s">
        <v>2592</v>
      </c>
      <c r="AT171" s="4" t="s">
        <v>2592</v>
      </c>
      <c r="AU171" s="4" cm="1">
        <f t="array" ref="AU171">IF(FALSE,"True," &amp; IF(_xlfn.XLOOKUP("Action_IsDenyOrDrop",'Scoring_Config'!$A:$A,'Scoring_Config'!$D:$D,"Yes")="Yes",_xlfn.XLOOKUP("Action_IsDenyOrDrop",'Scoring_Config'!$A:$A,'Scoring_Config'!$C:$C,0),0),"False,0")</f>
        <v>0</v>
      </c>
      <c r="AV171" s="4"/>
      <c r="AW171" s="4" cm="1">
        <f t="array" ref="AW171">IF(FALSE,"True," &amp; IF(_xlfn.XLOOKUP("Migrate_Insecure",'Scoring_Config'!$A:$A,'Scoring_Config'!$D:$D,"Yes")="Yes",_xlfn.XLOOKUP("Migrate_Insecure",'Scoring_Config'!$A:$A,'Scoring_Config'!$C:$C,15),0),"False,0")</f>
        <v>0</v>
      </c>
      <c r="AX171" s="4"/>
      <c r="AY171" s="4" cm="1">
        <f t="array" ref="AY171">IF(FALSE,"True," &amp; IF(_xlfn.XLOOKUP("Migrate_Other_Ports",'Scoring_Config'!$A:$A,'Scoring_Config'!$D:$D,"Yes")="Yes",_xlfn.XLOOKUP("Migrate_Other_Ports",'Scoring_Config'!$A:$A,'Scoring_Config'!$C:$C,5),0),"False,0")</f>
        <v>0</v>
      </c>
      <c r="AZ171" s="4" cm="1">
        <f t="array" ref="AZ171">IF(LEFT(AU171,4)="True",0,(IF(LEFT(AC171,4)="True",IF(_xlfn.XLOOKUP("Src_IsAny",'Scoring_Config'!$A:$A,'Scoring_Config'!$D:$D,"Yes")="Yes",_xlfn.XLOOKUP("Src_IsAny",'Scoring_Config'!$A:$A,'Scoring_Config'!$C:$C,25),0),0)+IF(LEFT(AD171,4)="True",IF(_xlfn.XLOOKUP("Src_CIDR_Le_16",'Scoring_Config'!$A:$A,'Scoring_Config'!$D:$D,"Yes")="Yes",_xlfn.XLOOKUP("Src_CIDR_Le_16",'Scoring_Config'!$A:$A,'Scoring_Config'!$C:$C,25),0),0)+IF(LEFT(AE171,4)="True",IF(_xlfn.XLOOKUP("Src_CIDR_17_22",'Scoring_Config'!$A:$A,'Scoring_Config'!$D:$D,"Yes")="Yes",_xlfn.XLOOKUP("Src_CIDR_17_22",'Scoring_Config'!$A:$A,'Scoring_Config'!$C:$C,15),0),0)+IF(LEFT(AF171,4)="True",IF(_xlfn.XLOOKUP("Dst_IsAny",'Scoring_Config'!$A:$A,'Scoring_Config'!$D:$D,"Yes")="Yes",_xlfn.XLOOKUP("Dst_IsAny",'Scoring_Config'!$A:$A,'Scoring_Config'!$C:$C,25),0),0)+IF(LEFT(AG171,4)="True",IF(_xlfn.XLOOKUP("Dst_CIDR_Le_16",'Scoring_Config'!$A:$A,'Scoring_Config'!$D:$D,"Yes")="Yes",_xlfn.XLOOKUP("Dst_CIDR_Le_16",'Scoring_Config'!$A:$A,'Scoring_Config'!$C:$C,25),0),0)+IF(LEFT(AH171,4)="True",IF(_xlfn.XLOOKUP("Dst_CIDR_17_22",'Scoring_Config'!$A:$A,'Scoring_Config'!$D:$D,"Yes")="Yes",_xlfn.XLOOKUP("Dst_CIDR_17_22",'Scoring_Config'!$A:$A,'Scoring_Config'!$C:$C,15),0),0)+IF(LEFT(AI171,4)="True",IF(_xlfn.XLOOKUP("SrcZone_IsAny",'Scoring_Config'!$A:$A,'Scoring_Config'!$D:$D,"Yes")="Yes",_xlfn.XLOOKUP("SrcZone_IsAny",'Scoring_Config'!$A:$A,'Scoring_Config'!$C:$C,5),0),0)+IF(LEFT(AJ171,4)="True",IF(_xlfn.XLOOKUP("DstZone_IsAny",'Scoring_Config'!$A:$A,'Scoring_Config'!$D:$D,"Yes")="Yes",_xlfn.XLOOKUP("DstZone_IsAny",'Scoring_Config'!$A:$A,'Scoring_Config'!$C:$C,5),0),0)+IF(LEFT(AK171,4)="True",IF(_xlfn.XLOOKUP("Service_Any_OR_RangeGt1000",'Scoring_Config'!$A:$A,'Scoring_Config'!$D:$D,"Yes")="Yes",_xlfn.XLOOKUP("Service_Any_OR_RangeGt1000",'Scoring_Config'!$A:$A,'Scoring_Config'!$C:$C,25),0),0)+IF(LEFT(AL171,4)="True",IF(_xlfn.XLOOKUP("App_Any_OR_RangeGt1000",'Scoring_Config'!$A:$A,'Scoring_Config'!$D:$D,"Yes")="Yes",_xlfn.XLOOKUP("App_Any_OR_RangeGt1000",'Scoring_Config'!$A:$A,'Scoring_Config'!$C:$C,25),0),0)+IF(LEFT(AM171,4)="True",IF(_xlfn.XLOOKUP("Service_Insecure_Match",'Scoring_Config'!$A:$A,'Scoring_Config'!$D:$D,"Yes")="Yes",_xlfn.XLOOKUP("Service_Insecure_Match",'Scoring_Config'!$A:$A,'Scoring_Config'!$C:$C,20),0),0)+IF(LEFT(AN171,4)="True",IF(_xlfn.XLOOKUP("Risky_Inbound",'Scoring_Config'!$A:$A,'Scoring_Config'!$D:$D,"Yes")="Yes",_xlfn.XLOOKUP("Risky_Inbound",'Scoring_Config'!$A:$A,'Scoring_Config'!$C:$C,20),0),0)+IF(LEFT(AO171,4)="True",IF(_xlfn.XLOOKUP("Risky_Outbound",'Scoring_Config'!$A:$A,'Scoring_Config'!$D:$D,"Yes")="Yes",_xlfn.XLOOKUP("Risky_Outbound",'Scoring_Config'!$A:$A,'Scoring_Config'!$C:$C,10),0),0)+IF(LEFT(AW171,4)="True",IF(_xlfn.XLOOKUP("Migrate_Insecure",'Scoring_Config'!$A:$A,'Scoring_Config'!$D:$D,"Yes")="Yes",_xlfn.XLOOKUP("Migrate_Insecure",'Scoring_Config'!$A:$A,'Scoring_Config'!$C:$C,15),0),0)+IF(LEFT(AY171,4)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171,FIND(",",AP171)+1,100)),0)+IF(LEFT(AQ171,4)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171,FIND(",",AR171)+1,100)),0)+IF(_xlfn.XLOOKUP("Profile_Scoring",'Scoring_Config'!$A:$A,'Scoring_Config'!$D:$D,"Yes")="Yes",VALUE(MID(AS171,FIND(",",AS171)+1,100)),0)+IF(_xlfn.XLOOKUP("Options_Scoring",'Scoring_Config'!$A:$A,'Scoring_Config'!$D:$D,"Yes")="Yes",VALUE(MID(AT171,FIND(",",AT171)+1,100)),0)))</f>
        <v>0</v>
      </c>
    </row>
    <row r="172" spans="1:52">
      <c r="A172" s="3" t="s">
        <v>53</v>
      </c>
      <c r="B172" s="3" t="s">
        <v>180</v>
      </c>
      <c r="C172" s="3" t="s">
        <v>330</v>
      </c>
      <c r="D172" s="3"/>
      <c r="E172" s="3" t="s">
        <v>359</v>
      </c>
      <c r="F172" s="3" t="s">
        <v>361</v>
      </c>
      <c r="G172" s="3" t="s">
        <v>365</v>
      </c>
      <c r="H172" s="3" t="s">
        <v>365</v>
      </c>
      <c r="I172" s="3" t="s">
        <v>624</v>
      </c>
      <c r="J172" s="3" t="s">
        <v>360</v>
      </c>
      <c r="K172" s="3" t="s">
        <v>365</v>
      </c>
      <c r="L172" s="3" t="s">
        <v>365</v>
      </c>
      <c r="M172" s="3" t="s">
        <v>365</v>
      </c>
      <c r="N172" s="3" t="s">
        <v>365</v>
      </c>
      <c r="O172" s="4" t="s">
        <v>821</v>
      </c>
      <c r="P172" s="3" t="s">
        <v>882</v>
      </c>
      <c r="Q172" s="3" t="s">
        <v>905</v>
      </c>
      <c r="R172" s="3" t="s">
        <v>907</v>
      </c>
      <c r="S172" s="3" t="s">
        <v>907</v>
      </c>
      <c r="T172" s="3" t="s">
        <v>919</v>
      </c>
      <c r="U172" s="3" t="s">
        <v>1150</v>
      </c>
      <c r="V172" s="3" t="s">
        <v>1388</v>
      </c>
      <c r="W172" s="3" t="s">
        <v>1496</v>
      </c>
      <c r="X172" s="3" t="s">
        <v>1776</v>
      </c>
      <c r="Y172" s="3" t="s">
        <v>2245</v>
      </c>
      <c r="Z172" s="3"/>
      <c r="AA172" s="3"/>
      <c r="AB172" s="3"/>
      <c r="AC172" s="5" cm="1">
        <f t="array" ref="AC172">IF(TRUE,"True," &amp; IF(_xlfn.XLOOKUP("Src_IsAny",'Scoring_Config'!$A:$A,'Scoring_Config'!$D:$D,"Yes")="Yes",_xlfn.XLOOKUP("Src_IsAny",'Scoring_Config'!$A:$A,'Scoring_Config'!$C:$C,25),0),"False,0")</f>
        <v>0</v>
      </c>
      <c r="AD172" s="4" cm="1">
        <f t="array" ref="AD172">IF(FALSE,"True," &amp; IF(_xlfn.XLOOKUP("Src_CIDR_Le_16",'Scoring_Config'!$A:$A,'Scoring_Config'!$D:$D,"Yes")="Yes",_xlfn.XLOOKUP("Src_CIDR_Le_16",'Scoring_Config'!$A:$A,'Scoring_Config'!$C:$C,25),0),"False,0")</f>
        <v>0</v>
      </c>
      <c r="AE172" s="4" cm="1">
        <f t="array" ref="AE172">IF(FALSE,"True," &amp; IF(_xlfn.XLOOKUP("Src_CIDR_17_22",'Scoring_Config'!$A:$A,'Scoring_Config'!$D:$D,"Yes")="Yes",_xlfn.XLOOKUP("Src_CIDR_17_22",'Scoring_Config'!$A:$A,'Scoring_Config'!$C:$C,15),0),"False,0")</f>
        <v>0</v>
      </c>
      <c r="AF172" s="5" cm="1">
        <f t="array" ref="AF172">IF(TRUE,"True," &amp; IF(_xlfn.XLOOKUP("Dst_IsAny",'Scoring_Config'!$A:$A,'Scoring_Config'!$D:$D,"Yes")="Yes",_xlfn.XLOOKUP("Dst_IsAny",'Scoring_Config'!$A:$A,'Scoring_Config'!$C:$C,25),0),"False,0")</f>
        <v>0</v>
      </c>
      <c r="AG172" s="4" cm="1">
        <f t="array" ref="AG172">IF(FALSE,"True," &amp; IF(_xlfn.XLOOKUP("Dst_CIDR_Le_16",'Scoring_Config'!$A:$A,'Scoring_Config'!$D:$D,"Yes")="Yes",_xlfn.XLOOKUP("Dst_CIDR_Le_16",'Scoring_Config'!$A:$A,'Scoring_Config'!$C:$C,25),0),"False,0")</f>
        <v>0</v>
      </c>
      <c r="AH172" s="4" cm="1">
        <f t="array" ref="AH172">IF(FALSE,"True," &amp; IF(_xlfn.XLOOKUP("Dst_CIDR_17_22",'Scoring_Config'!$A:$A,'Scoring_Config'!$D:$D,"Yes")="Yes",_xlfn.XLOOKUP("Dst_CIDR_17_22",'Scoring_Config'!$A:$A,'Scoring_Config'!$C:$C,15),0),"False,0")</f>
        <v>0</v>
      </c>
      <c r="AI172" s="4" cm="1">
        <f t="array" ref="AI172">IF(FALSE,"True," &amp; IF(_xlfn.XLOOKUP("SrcZone_IsAny",'Scoring_Config'!$A:$A,'Scoring_Config'!$D:$D,"Yes")="Yes",_xlfn.XLOOKUP("SrcZone_IsAny",'Scoring_Config'!$A:$A,'Scoring_Config'!$C:$C,5),0),"False,0")</f>
        <v>0</v>
      </c>
      <c r="AJ172" s="4" cm="1">
        <f t="array" ref="AJ172">IF(FALSE,"True," &amp; IF(_xlfn.XLOOKUP("DstZone_IsAny",'Scoring_Config'!$A:$A,'Scoring_Config'!$D:$D,"Yes")="Yes",_xlfn.XLOOKUP("DstZone_IsAny",'Scoring_Config'!$A:$A,'Scoring_Config'!$C:$C,5),0),"False,0")</f>
        <v>0</v>
      </c>
      <c r="AK172" s="4" cm="1">
        <f t="array" ref="AK17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2" s="5" cm="1">
        <f t="array" ref="AL172">IF(TRUE,"True," &amp; IF(_xlfn.XLOOKUP("App_Any_OR_RangeGt1000",'Scoring_Config'!$A:$A,'Scoring_Config'!$D:$D,"Yes")="Yes",_xlfn.XLOOKUP("App_Any_OR_RangeGt1000",'Scoring_Config'!$A:$A,'Scoring_Config'!$C:$C,25),0),"False,0")</f>
        <v>0</v>
      </c>
      <c r="AM172" s="5" cm="1">
        <f t="array" ref="AM172">IF(TRUE,"True," &amp; IF(_xlfn.XLOOKUP("Service_Insecure_Match",'Scoring_Config'!$A:$A,'Scoring_Config'!$D:$D,"Yes")="Yes",_xlfn.XLOOKUP("Service_Insecure_Match",'Scoring_Config'!$A:$A,'Scoring_Config'!$C:$C,20),0),"False,0")</f>
        <v>0</v>
      </c>
      <c r="AN172" s="4" cm="1">
        <f t="array" ref="AN172">IF(FALSE,"True," &amp; IF(_xlfn.XLOOKUP("Risky_Inbound",'Scoring_Config'!$A:$A,'Scoring_Config'!$D:$D,"Yes")="Yes",_xlfn.XLOOKUP("Risky_Inbound",'Scoring_Config'!$A:$A,'Scoring_Config'!$C:$C,20),0),"False,0")</f>
        <v>0</v>
      </c>
      <c r="AO172" s="4" cm="1">
        <f t="array" ref="AO172">IF(FALSE,"True," &amp; IF(_xlfn.XLOOKUP("Risky_Outbound",'Scoring_Config'!$A:$A,'Scoring_Config'!$D:$D,"Yes")="Yes",_xlfn.XLOOKUP("Risky_Outbound",'Scoring_Config'!$A:$A,'Scoring_Config'!$C:$C,10),0),"False,0")</f>
        <v>0</v>
      </c>
      <c r="AP172" s="5" t="s">
        <v>2595</v>
      </c>
      <c r="AQ172" s="5" cm="1">
        <f t="array" ref="AQ17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2" s="5" t="s">
        <v>2598</v>
      </c>
      <c r="AS172" s="5" t="s">
        <v>2595</v>
      </c>
      <c r="AT172" s="5" t="s">
        <v>2595</v>
      </c>
      <c r="AU172" s="4" cm="1">
        <f t="array" ref="AU172">IF(FALSE,"True," &amp; IF(_xlfn.XLOOKUP("Action_IsDenyOrDrop",'Scoring_Config'!$A:$A,'Scoring_Config'!$D:$D,"Yes")="Yes",_xlfn.XLOOKUP("Action_IsDenyOrDrop",'Scoring_Config'!$A:$A,'Scoring_Config'!$C:$C,0),0),"False,0")</f>
        <v>0</v>
      </c>
      <c r="AV172" s="4"/>
      <c r="AW172" s="4" cm="1">
        <f t="array" ref="AW172">IF(FALSE,"True," &amp; IF(_xlfn.XLOOKUP("Migrate_Insecure",'Scoring_Config'!$A:$A,'Scoring_Config'!$D:$D,"Yes")="Yes",_xlfn.XLOOKUP("Migrate_Insecure",'Scoring_Config'!$A:$A,'Scoring_Config'!$C:$C,15),0),"False,0")</f>
        <v>0</v>
      </c>
      <c r="AX172" s="4"/>
      <c r="AY172" s="4" cm="1">
        <f t="array" ref="AY172">IF(FALSE,"True," &amp; IF(_xlfn.XLOOKUP("Migrate_Other_Ports",'Scoring_Config'!$A:$A,'Scoring_Config'!$D:$D,"Yes")="Yes",_xlfn.XLOOKUP("Migrate_Other_Ports",'Scoring_Config'!$A:$A,'Scoring_Config'!$C:$C,5),0),"False,0")</f>
        <v>0</v>
      </c>
      <c r="AZ172" s="4" cm="1">
        <f t="array" ref="AZ172">IF(LEFT(AU172,4)="True",0,(IF(LEFT(AC172,4)="True",IF(_xlfn.XLOOKUP("Src_IsAny",'Scoring_Config'!$A:$A,'Scoring_Config'!$D:$D,"Yes")="Yes",_xlfn.XLOOKUP("Src_IsAny",'Scoring_Config'!$A:$A,'Scoring_Config'!$C:$C,25),0),0)+IF(LEFT(AD172,4)="True",IF(_xlfn.XLOOKUP("Src_CIDR_Le_16",'Scoring_Config'!$A:$A,'Scoring_Config'!$D:$D,"Yes")="Yes",_xlfn.XLOOKUP("Src_CIDR_Le_16",'Scoring_Config'!$A:$A,'Scoring_Config'!$C:$C,25),0),0)+IF(LEFT(AE172,4)="True",IF(_xlfn.XLOOKUP("Src_CIDR_17_22",'Scoring_Config'!$A:$A,'Scoring_Config'!$D:$D,"Yes")="Yes",_xlfn.XLOOKUP("Src_CIDR_17_22",'Scoring_Config'!$A:$A,'Scoring_Config'!$C:$C,15),0),0)+IF(LEFT(AF172,4)="True",IF(_xlfn.XLOOKUP("Dst_IsAny",'Scoring_Config'!$A:$A,'Scoring_Config'!$D:$D,"Yes")="Yes",_xlfn.XLOOKUP("Dst_IsAny",'Scoring_Config'!$A:$A,'Scoring_Config'!$C:$C,25),0),0)+IF(LEFT(AG172,4)="True",IF(_xlfn.XLOOKUP("Dst_CIDR_Le_16",'Scoring_Config'!$A:$A,'Scoring_Config'!$D:$D,"Yes")="Yes",_xlfn.XLOOKUP("Dst_CIDR_Le_16",'Scoring_Config'!$A:$A,'Scoring_Config'!$C:$C,25),0),0)+IF(LEFT(AH172,4)="True",IF(_xlfn.XLOOKUP("Dst_CIDR_17_22",'Scoring_Config'!$A:$A,'Scoring_Config'!$D:$D,"Yes")="Yes",_xlfn.XLOOKUP("Dst_CIDR_17_22",'Scoring_Config'!$A:$A,'Scoring_Config'!$C:$C,15),0),0)+IF(LEFT(AI172,4)="True",IF(_xlfn.XLOOKUP("SrcZone_IsAny",'Scoring_Config'!$A:$A,'Scoring_Config'!$D:$D,"Yes")="Yes",_xlfn.XLOOKUP("SrcZone_IsAny",'Scoring_Config'!$A:$A,'Scoring_Config'!$C:$C,5),0),0)+IF(LEFT(AJ172,4)="True",IF(_xlfn.XLOOKUP("DstZone_IsAny",'Scoring_Config'!$A:$A,'Scoring_Config'!$D:$D,"Yes")="Yes",_xlfn.XLOOKUP("DstZone_IsAny",'Scoring_Config'!$A:$A,'Scoring_Config'!$C:$C,5),0),0)+IF(LEFT(AK172,4)="True",IF(_xlfn.XLOOKUP("Service_Any_OR_RangeGt1000",'Scoring_Config'!$A:$A,'Scoring_Config'!$D:$D,"Yes")="Yes",_xlfn.XLOOKUP("Service_Any_OR_RangeGt1000",'Scoring_Config'!$A:$A,'Scoring_Config'!$C:$C,25),0),0)+IF(LEFT(AL172,4)="True",IF(_xlfn.XLOOKUP("App_Any_OR_RangeGt1000",'Scoring_Config'!$A:$A,'Scoring_Config'!$D:$D,"Yes")="Yes",_xlfn.XLOOKUP("App_Any_OR_RangeGt1000",'Scoring_Config'!$A:$A,'Scoring_Config'!$C:$C,25),0),0)+IF(LEFT(AM172,4)="True",IF(_xlfn.XLOOKUP("Service_Insecure_Match",'Scoring_Config'!$A:$A,'Scoring_Config'!$D:$D,"Yes")="Yes",_xlfn.XLOOKUP("Service_Insecure_Match",'Scoring_Config'!$A:$A,'Scoring_Config'!$C:$C,20),0),0)+IF(LEFT(AN172,4)="True",IF(_xlfn.XLOOKUP("Risky_Inbound",'Scoring_Config'!$A:$A,'Scoring_Config'!$D:$D,"Yes")="Yes",_xlfn.XLOOKUP("Risky_Inbound",'Scoring_Config'!$A:$A,'Scoring_Config'!$C:$C,20),0),0)+IF(LEFT(AO172,4)="True",IF(_xlfn.XLOOKUP("Risky_Outbound",'Scoring_Config'!$A:$A,'Scoring_Config'!$D:$D,"Yes")="Yes",_xlfn.XLOOKUP("Risky_Outbound",'Scoring_Config'!$A:$A,'Scoring_Config'!$C:$C,10),0),0)+IF(LEFT(AW172,4)="True",IF(_xlfn.XLOOKUP("Migrate_Insecure",'Scoring_Config'!$A:$A,'Scoring_Config'!$D:$D,"Yes")="Yes",_xlfn.XLOOKUP("Migrate_Insecure",'Scoring_Config'!$A:$A,'Scoring_Config'!$C:$C,15),0),0)+IF(LEFT(AY172,4)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172,FIND(",",AP172)+1,100)),0)+IF(LEFT(AQ172,4)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172,FIND(",",AR172)+1,100)),0)+IF(_xlfn.XLOOKUP("Profile_Scoring",'Scoring_Config'!$A:$A,'Scoring_Config'!$D:$D,"Yes")="Yes",VALUE(MID(AS172,FIND(",",AS172)+1,100)),0)+IF(_xlfn.XLOOKUP("Options_Scoring",'Scoring_Config'!$A:$A,'Scoring_Config'!$D:$D,"Yes")="Yes",VALUE(MID(AT172,FIND(",",AT172)+1,100)),0)))</f>
        <v>0</v>
      </c>
    </row>
    <row r="173" spans="1:52">
      <c r="A173" s="3" t="s">
        <v>53</v>
      </c>
      <c r="B173" s="3" t="s">
        <v>181</v>
      </c>
      <c r="C173" s="3" t="s">
        <v>330</v>
      </c>
      <c r="D173" s="3"/>
      <c r="E173" s="3" t="s">
        <v>359</v>
      </c>
      <c r="F173" s="3" t="s">
        <v>361</v>
      </c>
      <c r="G173" s="3" t="s">
        <v>427</v>
      </c>
      <c r="H173" s="3" t="s">
        <v>427</v>
      </c>
      <c r="I173" s="3" t="s">
        <v>365</v>
      </c>
      <c r="J173" s="3" t="s">
        <v>360</v>
      </c>
      <c r="K173" s="3" t="s">
        <v>452</v>
      </c>
      <c r="L173" s="3" t="s">
        <v>581</v>
      </c>
      <c r="M173" s="3" t="s">
        <v>773</v>
      </c>
      <c r="N173" s="3" t="s">
        <v>773</v>
      </c>
      <c r="O173" s="4" t="s">
        <v>839</v>
      </c>
      <c r="P173" s="3" t="s">
        <v>839</v>
      </c>
      <c r="Q173" s="3" t="s">
        <v>904</v>
      </c>
      <c r="R173" s="3" t="s">
        <v>906</v>
      </c>
      <c r="S173" s="3" t="s">
        <v>914</v>
      </c>
      <c r="T173" s="3" t="s">
        <v>919</v>
      </c>
      <c r="U173" s="3" t="s">
        <v>1233</v>
      </c>
      <c r="V173" s="3" t="s">
        <v>772</v>
      </c>
      <c r="W173" s="3" t="s">
        <v>1497</v>
      </c>
      <c r="X173" s="3" t="s">
        <v>1777</v>
      </c>
      <c r="Y173" s="3" t="s">
        <v>2246</v>
      </c>
      <c r="Z173" s="3"/>
      <c r="AA173" s="3"/>
      <c r="AB173" s="3"/>
      <c r="AC173" s="4" cm="1">
        <f t="array" ref="AC173">IF(FALSE,"True," &amp; IF(_xlfn.XLOOKUP("Src_IsAny",'Scoring_Config'!$A:$A,'Scoring_Config'!$D:$D,"Yes")="Yes",_xlfn.XLOOKUP("Src_IsAny",'Scoring_Config'!$A:$A,'Scoring_Config'!$C:$C,25),0),"False,0")</f>
        <v>0</v>
      </c>
      <c r="AD173" s="4" cm="1">
        <f t="array" ref="AD173">IF(FALSE,"True," &amp; IF(_xlfn.XLOOKUP("Src_CIDR_Le_16",'Scoring_Config'!$A:$A,'Scoring_Config'!$D:$D,"Yes")="Yes",_xlfn.XLOOKUP("Src_CIDR_Le_16",'Scoring_Config'!$A:$A,'Scoring_Config'!$C:$C,25),0),"False,0")</f>
        <v>0</v>
      </c>
      <c r="AE173" s="4" cm="1">
        <f t="array" ref="AE173">IF(FALSE,"True," &amp; IF(_xlfn.XLOOKUP("Src_CIDR_17_22",'Scoring_Config'!$A:$A,'Scoring_Config'!$D:$D,"Yes")="Yes",_xlfn.XLOOKUP("Src_CIDR_17_22",'Scoring_Config'!$A:$A,'Scoring_Config'!$C:$C,15),0),"False,0")</f>
        <v>0</v>
      </c>
      <c r="AF173" s="5" cm="1">
        <f t="array" ref="AF173">IF(TRUE,"True," &amp; IF(_xlfn.XLOOKUP("Dst_IsAny",'Scoring_Config'!$A:$A,'Scoring_Config'!$D:$D,"Yes")="Yes",_xlfn.XLOOKUP("Dst_IsAny",'Scoring_Config'!$A:$A,'Scoring_Config'!$C:$C,25),0),"False,0")</f>
        <v>0</v>
      </c>
      <c r="AG173" s="5" cm="1">
        <f t="array" ref="AG173">IF(TRUE,"True," &amp; IF(_xlfn.XLOOKUP("Dst_CIDR_Le_16",'Scoring_Config'!$A:$A,'Scoring_Config'!$D:$D,"Yes")="Yes",_xlfn.XLOOKUP("Dst_CIDR_Le_16",'Scoring_Config'!$A:$A,'Scoring_Config'!$C:$C,25),0),"False,0")</f>
        <v>0</v>
      </c>
      <c r="AH173" s="4" cm="1">
        <f t="array" ref="AH173">IF(FALSE,"True," &amp; IF(_xlfn.XLOOKUP("Dst_CIDR_17_22",'Scoring_Config'!$A:$A,'Scoring_Config'!$D:$D,"Yes")="Yes",_xlfn.XLOOKUP("Dst_CIDR_17_22",'Scoring_Config'!$A:$A,'Scoring_Config'!$C:$C,15),0),"False,0")</f>
        <v>0</v>
      </c>
      <c r="AI173" s="4" cm="1">
        <f t="array" ref="AI173">IF(FALSE,"True," &amp; IF(_xlfn.XLOOKUP("SrcZone_IsAny",'Scoring_Config'!$A:$A,'Scoring_Config'!$D:$D,"Yes")="Yes",_xlfn.XLOOKUP("SrcZone_IsAny",'Scoring_Config'!$A:$A,'Scoring_Config'!$C:$C,5),0),"False,0")</f>
        <v>0</v>
      </c>
      <c r="AJ173" s="4" cm="1">
        <f t="array" ref="AJ173">IF(FALSE,"True," &amp; IF(_xlfn.XLOOKUP("DstZone_IsAny",'Scoring_Config'!$A:$A,'Scoring_Config'!$D:$D,"Yes")="Yes",_xlfn.XLOOKUP("DstZone_IsAny",'Scoring_Config'!$A:$A,'Scoring_Config'!$C:$C,5),0),"False,0")</f>
        <v>0</v>
      </c>
      <c r="AK173" s="4" cm="1">
        <f t="array" ref="AK17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3" s="4" cm="1">
        <f t="array" ref="AL173">IF(FALSE,"True," &amp; IF(_xlfn.XLOOKUP("App_Any_OR_RangeGt1000",'Scoring_Config'!$A:$A,'Scoring_Config'!$D:$D,"Yes")="Yes",_xlfn.XLOOKUP("App_Any_OR_RangeGt1000",'Scoring_Config'!$A:$A,'Scoring_Config'!$C:$C,25),0),"False,0")</f>
        <v>0</v>
      </c>
      <c r="AM173" s="4" cm="1">
        <f t="array" ref="AM173">IF(FALSE,"True," &amp; IF(_xlfn.XLOOKUP("Service_Insecure_Match",'Scoring_Config'!$A:$A,'Scoring_Config'!$D:$D,"Yes")="Yes",_xlfn.XLOOKUP("Service_Insecure_Match",'Scoring_Config'!$A:$A,'Scoring_Config'!$C:$C,20),0),"False,0")</f>
        <v>0</v>
      </c>
      <c r="AN173" s="4" cm="1">
        <f t="array" ref="AN173">IF(FALSE,"True," &amp; IF(_xlfn.XLOOKUP("Risky_Inbound",'Scoring_Config'!$A:$A,'Scoring_Config'!$D:$D,"Yes")="Yes",_xlfn.XLOOKUP("Risky_Inbound",'Scoring_Config'!$A:$A,'Scoring_Config'!$C:$C,20),0),"False,0")</f>
        <v>0</v>
      </c>
      <c r="AO173" s="4" cm="1">
        <f t="array" ref="AO173">IF(FALSE,"True," &amp; IF(_xlfn.XLOOKUP("Risky_Outbound",'Scoring_Config'!$A:$A,'Scoring_Config'!$D:$D,"Yes")="Yes",_xlfn.XLOOKUP("Risky_Outbound",'Scoring_Config'!$A:$A,'Scoring_Config'!$C:$C,10),0),"False,0")</f>
        <v>0</v>
      </c>
      <c r="AP173" s="5" t="s">
        <v>2595</v>
      </c>
      <c r="AQ173" s="4" cm="1">
        <f t="array" ref="AQ17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3" s="4" t="s">
        <v>2592</v>
      </c>
      <c r="AS173" s="4" t="s">
        <v>2592</v>
      </c>
      <c r="AT173" s="4" t="s">
        <v>2592</v>
      </c>
      <c r="AU173" s="5" cm="1">
        <f t="array" ref="AU173">IF(TRUE,"True," &amp; IF(_xlfn.XLOOKUP("Action_IsDenyOrDrop",'Scoring_Config'!$A:$A,'Scoring_Config'!$D:$D,"Yes")="Yes",_xlfn.XLOOKUP("Action_IsDenyOrDrop",'Scoring_Config'!$A:$A,'Scoring_Config'!$C:$C,0),0),"False,0")</f>
        <v>0</v>
      </c>
      <c r="AV173" s="4"/>
      <c r="AW173" s="4" cm="1">
        <f t="array" ref="AW173">IF(FALSE,"True," &amp; IF(_xlfn.XLOOKUP("Migrate_Insecure",'Scoring_Config'!$A:$A,'Scoring_Config'!$D:$D,"Yes")="Yes",_xlfn.XLOOKUP("Migrate_Insecure",'Scoring_Config'!$A:$A,'Scoring_Config'!$C:$C,15),0),"False,0")</f>
        <v>0</v>
      </c>
      <c r="AX173" s="4"/>
      <c r="AY173" s="4" cm="1">
        <f t="array" ref="AY173">IF(FALSE,"True," &amp; IF(_xlfn.XLOOKUP("Migrate_Other_Ports",'Scoring_Config'!$A:$A,'Scoring_Config'!$D:$D,"Yes")="Yes",_xlfn.XLOOKUP("Migrate_Other_Ports",'Scoring_Config'!$A:$A,'Scoring_Config'!$C:$C,5),0),"False,0")</f>
        <v>0</v>
      </c>
      <c r="AZ173" s="4" cm="1">
        <f t="array" ref="AZ173">IF(LEFT(AU173,4)="True",0,(IF(LEFT(AC173,4)="True",IF(_xlfn.XLOOKUP("Src_IsAny",'Scoring_Config'!$A:$A,'Scoring_Config'!$D:$D,"Yes")="Yes",_xlfn.XLOOKUP("Src_IsAny",'Scoring_Config'!$A:$A,'Scoring_Config'!$C:$C,25),0),0)+IF(LEFT(AD173,4)="True",IF(_xlfn.XLOOKUP("Src_CIDR_Le_16",'Scoring_Config'!$A:$A,'Scoring_Config'!$D:$D,"Yes")="Yes",_xlfn.XLOOKUP("Src_CIDR_Le_16",'Scoring_Config'!$A:$A,'Scoring_Config'!$C:$C,25),0),0)+IF(LEFT(AE173,4)="True",IF(_xlfn.XLOOKUP("Src_CIDR_17_22",'Scoring_Config'!$A:$A,'Scoring_Config'!$D:$D,"Yes")="Yes",_xlfn.XLOOKUP("Src_CIDR_17_22",'Scoring_Config'!$A:$A,'Scoring_Config'!$C:$C,15),0),0)+IF(LEFT(AF173,4)="True",IF(_xlfn.XLOOKUP("Dst_IsAny",'Scoring_Config'!$A:$A,'Scoring_Config'!$D:$D,"Yes")="Yes",_xlfn.XLOOKUP("Dst_IsAny",'Scoring_Config'!$A:$A,'Scoring_Config'!$C:$C,25),0),0)+IF(LEFT(AG173,4)="True",IF(_xlfn.XLOOKUP("Dst_CIDR_Le_16",'Scoring_Config'!$A:$A,'Scoring_Config'!$D:$D,"Yes")="Yes",_xlfn.XLOOKUP("Dst_CIDR_Le_16",'Scoring_Config'!$A:$A,'Scoring_Config'!$C:$C,25),0),0)+IF(LEFT(AH173,4)="True",IF(_xlfn.XLOOKUP("Dst_CIDR_17_22",'Scoring_Config'!$A:$A,'Scoring_Config'!$D:$D,"Yes")="Yes",_xlfn.XLOOKUP("Dst_CIDR_17_22",'Scoring_Config'!$A:$A,'Scoring_Config'!$C:$C,15),0),0)+IF(LEFT(AI173,4)="True",IF(_xlfn.XLOOKUP("SrcZone_IsAny",'Scoring_Config'!$A:$A,'Scoring_Config'!$D:$D,"Yes")="Yes",_xlfn.XLOOKUP("SrcZone_IsAny",'Scoring_Config'!$A:$A,'Scoring_Config'!$C:$C,5),0),0)+IF(LEFT(AJ173,4)="True",IF(_xlfn.XLOOKUP("DstZone_IsAny",'Scoring_Config'!$A:$A,'Scoring_Config'!$D:$D,"Yes")="Yes",_xlfn.XLOOKUP("DstZone_IsAny",'Scoring_Config'!$A:$A,'Scoring_Config'!$C:$C,5),0),0)+IF(LEFT(AK173,4)="True",IF(_xlfn.XLOOKUP("Service_Any_OR_RangeGt1000",'Scoring_Config'!$A:$A,'Scoring_Config'!$D:$D,"Yes")="Yes",_xlfn.XLOOKUP("Service_Any_OR_RangeGt1000",'Scoring_Config'!$A:$A,'Scoring_Config'!$C:$C,25),0),0)+IF(LEFT(AL173,4)="True",IF(_xlfn.XLOOKUP("App_Any_OR_RangeGt1000",'Scoring_Config'!$A:$A,'Scoring_Config'!$D:$D,"Yes")="Yes",_xlfn.XLOOKUP("App_Any_OR_RangeGt1000",'Scoring_Config'!$A:$A,'Scoring_Config'!$C:$C,25),0),0)+IF(LEFT(AM173,4)="True",IF(_xlfn.XLOOKUP("Service_Insecure_Match",'Scoring_Config'!$A:$A,'Scoring_Config'!$D:$D,"Yes")="Yes",_xlfn.XLOOKUP("Service_Insecure_Match",'Scoring_Config'!$A:$A,'Scoring_Config'!$C:$C,20),0),0)+IF(LEFT(AN173,4)="True",IF(_xlfn.XLOOKUP("Risky_Inbound",'Scoring_Config'!$A:$A,'Scoring_Config'!$D:$D,"Yes")="Yes",_xlfn.XLOOKUP("Risky_Inbound",'Scoring_Config'!$A:$A,'Scoring_Config'!$C:$C,20),0),0)+IF(LEFT(AO173,4)="True",IF(_xlfn.XLOOKUP("Risky_Outbound",'Scoring_Config'!$A:$A,'Scoring_Config'!$D:$D,"Yes")="Yes",_xlfn.XLOOKUP("Risky_Outbound",'Scoring_Config'!$A:$A,'Scoring_Config'!$C:$C,10),0),0)+IF(LEFT(AW173,4)="True",IF(_xlfn.XLOOKUP("Migrate_Insecure",'Scoring_Config'!$A:$A,'Scoring_Config'!$D:$D,"Yes")="Yes",_xlfn.XLOOKUP("Migrate_Insecure",'Scoring_Config'!$A:$A,'Scoring_Config'!$C:$C,15),0),0)+IF(LEFT(AY173,4)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173,FIND(",",AP173)+1,100)),0)+IF(LEFT(AQ173,4)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173,FIND(",",AR173)+1,100)),0)+IF(_xlfn.XLOOKUP("Profile_Scoring",'Scoring_Config'!$A:$A,'Scoring_Config'!$D:$D,"Yes")="Yes",VALUE(MID(AS173,FIND(",",AS173)+1,100)),0)+IF(_xlfn.XLOOKUP("Options_Scoring",'Scoring_Config'!$A:$A,'Scoring_Config'!$D:$D,"Yes")="Yes",VALUE(MID(AT173,FIND(",",AT173)+1,100)),0)))</f>
        <v>0</v>
      </c>
    </row>
    <row r="174" spans="1:52">
      <c r="A174" s="3" t="s">
        <v>53</v>
      </c>
      <c r="B174" s="3" t="s">
        <v>157</v>
      </c>
      <c r="C174" s="3" t="s">
        <v>330</v>
      </c>
      <c r="D174" s="3"/>
      <c r="E174" s="3" t="s">
        <v>359</v>
      </c>
      <c r="F174" s="3" t="s">
        <v>362</v>
      </c>
      <c r="G174" s="3" t="s">
        <v>365</v>
      </c>
      <c r="H174" s="3" t="s">
        <v>365</v>
      </c>
      <c r="I174" s="3" t="s">
        <v>365</v>
      </c>
      <c r="J174" s="3" t="s">
        <v>364</v>
      </c>
      <c r="K174" s="3" t="s">
        <v>365</v>
      </c>
      <c r="L174" s="3" t="s">
        <v>365</v>
      </c>
      <c r="M174" s="3" t="s">
        <v>776</v>
      </c>
      <c r="N174" s="3" t="s">
        <v>791</v>
      </c>
      <c r="O174" s="4" t="s">
        <v>839</v>
      </c>
      <c r="P174" s="3" t="s">
        <v>839</v>
      </c>
      <c r="Q174" s="3" t="s">
        <v>905</v>
      </c>
      <c r="R174" s="3" t="s">
        <v>911</v>
      </c>
      <c r="S174" s="3" t="s">
        <v>913</v>
      </c>
      <c r="T174" s="3" t="s">
        <v>919</v>
      </c>
      <c r="U174" s="3" t="s">
        <v>1150</v>
      </c>
      <c r="V174" s="3" t="s">
        <v>1386</v>
      </c>
      <c r="W174" s="3" t="s">
        <v>1465</v>
      </c>
      <c r="X174" s="3" t="s">
        <v>1778</v>
      </c>
      <c r="Y174" s="3" t="s">
        <v>2247</v>
      </c>
      <c r="Z174" s="3"/>
      <c r="AA174" s="3"/>
      <c r="AB174" s="3"/>
      <c r="AC174" s="5" cm="1">
        <f t="array" ref="AC174">IF(TRUE,"True," &amp; IF(_xlfn.XLOOKUP("Src_IsAny",'Scoring_Config'!$A:$A,'Scoring_Config'!$D:$D,"Yes")="Yes",_xlfn.XLOOKUP("Src_IsAny",'Scoring_Config'!$A:$A,'Scoring_Config'!$C:$C,25),0),"False,0")</f>
        <v>0</v>
      </c>
      <c r="AD174" s="4" cm="1">
        <f t="array" ref="AD174">IF(FALSE,"True," &amp; IF(_xlfn.XLOOKUP("Src_CIDR_Le_16",'Scoring_Config'!$A:$A,'Scoring_Config'!$D:$D,"Yes")="Yes",_xlfn.XLOOKUP("Src_CIDR_Le_16",'Scoring_Config'!$A:$A,'Scoring_Config'!$C:$C,25),0),"False,0")</f>
        <v>0</v>
      </c>
      <c r="AE174" s="4" cm="1">
        <f t="array" ref="AE174">IF(FALSE,"True," &amp; IF(_xlfn.XLOOKUP("Src_CIDR_17_22",'Scoring_Config'!$A:$A,'Scoring_Config'!$D:$D,"Yes")="Yes",_xlfn.XLOOKUP("Src_CIDR_17_22",'Scoring_Config'!$A:$A,'Scoring_Config'!$C:$C,15),0),"False,0")</f>
        <v>0</v>
      </c>
      <c r="AF174" s="5" cm="1">
        <f t="array" ref="AF174">IF(TRUE,"True," &amp; IF(_xlfn.XLOOKUP("Dst_IsAny",'Scoring_Config'!$A:$A,'Scoring_Config'!$D:$D,"Yes")="Yes",_xlfn.XLOOKUP("Dst_IsAny",'Scoring_Config'!$A:$A,'Scoring_Config'!$C:$C,25),0),"False,0")</f>
        <v>0</v>
      </c>
      <c r="AG174" s="4" cm="1">
        <f t="array" ref="AG174">IF(FALSE,"True," &amp; IF(_xlfn.XLOOKUP("Dst_CIDR_Le_16",'Scoring_Config'!$A:$A,'Scoring_Config'!$D:$D,"Yes")="Yes",_xlfn.XLOOKUP("Dst_CIDR_Le_16",'Scoring_Config'!$A:$A,'Scoring_Config'!$C:$C,25),0),"False,0")</f>
        <v>0</v>
      </c>
      <c r="AH174" s="4" cm="1">
        <f t="array" ref="AH174">IF(FALSE,"True," &amp; IF(_xlfn.XLOOKUP("Dst_CIDR_17_22",'Scoring_Config'!$A:$A,'Scoring_Config'!$D:$D,"Yes")="Yes",_xlfn.XLOOKUP("Dst_CIDR_17_22",'Scoring_Config'!$A:$A,'Scoring_Config'!$C:$C,15),0),"False,0")</f>
        <v>0</v>
      </c>
      <c r="AI174" s="4" cm="1">
        <f t="array" ref="AI174">IF(FALSE,"True," &amp; IF(_xlfn.XLOOKUP("SrcZone_IsAny",'Scoring_Config'!$A:$A,'Scoring_Config'!$D:$D,"Yes")="Yes",_xlfn.XLOOKUP("SrcZone_IsAny",'Scoring_Config'!$A:$A,'Scoring_Config'!$C:$C,5),0),"False,0")</f>
        <v>0</v>
      </c>
      <c r="AJ174" s="4" cm="1">
        <f t="array" ref="AJ174">IF(FALSE,"True," &amp; IF(_xlfn.XLOOKUP("DstZone_IsAny",'Scoring_Config'!$A:$A,'Scoring_Config'!$D:$D,"Yes")="Yes",_xlfn.XLOOKUP("DstZone_IsAny",'Scoring_Config'!$A:$A,'Scoring_Config'!$C:$C,5),0),"False,0")</f>
        <v>0</v>
      </c>
      <c r="AK174" s="4" cm="1">
        <f t="array" ref="AK17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4" s="5" cm="1">
        <f t="array" ref="AL174">IF(TRUE,"True," &amp; IF(_xlfn.XLOOKUP("App_Any_OR_RangeGt1000",'Scoring_Config'!$A:$A,'Scoring_Config'!$D:$D,"Yes")="Yes",_xlfn.XLOOKUP("App_Any_OR_RangeGt1000",'Scoring_Config'!$A:$A,'Scoring_Config'!$C:$C,25),0),"False,0")</f>
        <v>0</v>
      </c>
      <c r="AM174" s="4" cm="1">
        <f t="array" ref="AM174">IF(FALSE,"True," &amp; IF(_xlfn.XLOOKUP("Service_Insecure_Match",'Scoring_Config'!$A:$A,'Scoring_Config'!$D:$D,"Yes")="Yes",_xlfn.XLOOKUP("Service_Insecure_Match",'Scoring_Config'!$A:$A,'Scoring_Config'!$C:$C,20),0),"False,0")</f>
        <v>0</v>
      </c>
      <c r="AN174" s="4" cm="1">
        <f t="array" ref="AN174">IF(FALSE,"True," &amp; IF(_xlfn.XLOOKUP("Risky_Inbound",'Scoring_Config'!$A:$A,'Scoring_Config'!$D:$D,"Yes")="Yes",_xlfn.XLOOKUP("Risky_Inbound",'Scoring_Config'!$A:$A,'Scoring_Config'!$C:$C,20),0),"False,0")</f>
        <v>0</v>
      </c>
      <c r="AO174" s="4" cm="1">
        <f t="array" ref="AO174">IF(FALSE,"True," &amp; IF(_xlfn.XLOOKUP("Risky_Outbound",'Scoring_Config'!$A:$A,'Scoring_Config'!$D:$D,"Yes")="Yes",_xlfn.XLOOKUP("Risky_Outbound",'Scoring_Config'!$A:$A,'Scoring_Config'!$C:$C,10),0),"False,0")</f>
        <v>0</v>
      </c>
      <c r="AP174" s="5" t="s">
        <v>2595</v>
      </c>
      <c r="AQ174" s="5" cm="1">
        <f t="array" ref="AQ17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4" s="4" t="s">
        <v>2592</v>
      </c>
      <c r="AS174" s="4" t="s">
        <v>2592</v>
      </c>
      <c r="AT174" s="4" t="s">
        <v>2592</v>
      </c>
      <c r="AU174" s="4" cm="1">
        <f t="array" ref="AU174">IF(FALSE,"True," &amp; IF(_xlfn.XLOOKUP("Action_IsDenyOrDrop",'Scoring_Config'!$A:$A,'Scoring_Config'!$D:$D,"Yes")="Yes",_xlfn.XLOOKUP("Action_IsDenyOrDrop",'Scoring_Config'!$A:$A,'Scoring_Config'!$C:$C,0),0),"False,0")</f>
        <v>0</v>
      </c>
      <c r="AV174" s="4"/>
      <c r="AW174" s="4" cm="1">
        <f t="array" ref="AW174">IF(FALSE,"True," &amp; IF(_xlfn.XLOOKUP("Migrate_Insecure",'Scoring_Config'!$A:$A,'Scoring_Config'!$D:$D,"Yes")="Yes",_xlfn.XLOOKUP("Migrate_Insecure",'Scoring_Config'!$A:$A,'Scoring_Config'!$C:$C,15),0),"False,0")</f>
        <v>0</v>
      </c>
      <c r="AX174" s="4"/>
      <c r="AY174" s="4" cm="1">
        <f t="array" ref="AY174">IF(FALSE,"True," &amp; IF(_xlfn.XLOOKUP("Migrate_Other_Ports",'Scoring_Config'!$A:$A,'Scoring_Config'!$D:$D,"Yes")="Yes",_xlfn.XLOOKUP("Migrate_Other_Ports",'Scoring_Config'!$A:$A,'Scoring_Config'!$C:$C,5),0),"False,0")</f>
        <v>0</v>
      </c>
      <c r="AZ174" s="4" cm="1">
        <f t="array" ref="AZ174">IF(LEFT(AU174,4)="True",0,(IF(LEFT(AC174,4)="True",IF(_xlfn.XLOOKUP("Src_IsAny",'Scoring_Config'!$A:$A,'Scoring_Config'!$D:$D,"Yes")="Yes",_xlfn.XLOOKUP("Src_IsAny",'Scoring_Config'!$A:$A,'Scoring_Config'!$C:$C,25),0),0)+IF(LEFT(AD174,4)="True",IF(_xlfn.XLOOKUP("Src_CIDR_Le_16",'Scoring_Config'!$A:$A,'Scoring_Config'!$D:$D,"Yes")="Yes",_xlfn.XLOOKUP("Src_CIDR_Le_16",'Scoring_Config'!$A:$A,'Scoring_Config'!$C:$C,25),0),0)+IF(LEFT(AE174,4)="True",IF(_xlfn.XLOOKUP("Src_CIDR_17_22",'Scoring_Config'!$A:$A,'Scoring_Config'!$D:$D,"Yes")="Yes",_xlfn.XLOOKUP("Src_CIDR_17_22",'Scoring_Config'!$A:$A,'Scoring_Config'!$C:$C,15),0),0)+IF(LEFT(AF174,4)="True",IF(_xlfn.XLOOKUP("Dst_IsAny",'Scoring_Config'!$A:$A,'Scoring_Config'!$D:$D,"Yes")="Yes",_xlfn.XLOOKUP("Dst_IsAny",'Scoring_Config'!$A:$A,'Scoring_Config'!$C:$C,25),0),0)+IF(LEFT(AG174,4)="True",IF(_xlfn.XLOOKUP("Dst_CIDR_Le_16",'Scoring_Config'!$A:$A,'Scoring_Config'!$D:$D,"Yes")="Yes",_xlfn.XLOOKUP("Dst_CIDR_Le_16",'Scoring_Config'!$A:$A,'Scoring_Config'!$C:$C,25),0),0)+IF(LEFT(AH174,4)="True",IF(_xlfn.XLOOKUP("Dst_CIDR_17_22",'Scoring_Config'!$A:$A,'Scoring_Config'!$D:$D,"Yes")="Yes",_xlfn.XLOOKUP("Dst_CIDR_17_22",'Scoring_Config'!$A:$A,'Scoring_Config'!$C:$C,15),0),0)+IF(LEFT(AI174,4)="True",IF(_xlfn.XLOOKUP("SrcZone_IsAny",'Scoring_Config'!$A:$A,'Scoring_Config'!$D:$D,"Yes")="Yes",_xlfn.XLOOKUP("SrcZone_IsAny",'Scoring_Config'!$A:$A,'Scoring_Config'!$C:$C,5),0),0)+IF(LEFT(AJ174,4)="True",IF(_xlfn.XLOOKUP("DstZone_IsAny",'Scoring_Config'!$A:$A,'Scoring_Config'!$D:$D,"Yes")="Yes",_xlfn.XLOOKUP("DstZone_IsAny",'Scoring_Config'!$A:$A,'Scoring_Config'!$C:$C,5),0),0)+IF(LEFT(AK174,4)="True",IF(_xlfn.XLOOKUP("Service_Any_OR_RangeGt1000",'Scoring_Config'!$A:$A,'Scoring_Config'!$D:$D,"Yes")="Yes",_xlfn.XLOOKUP("Service_Any_OR_RangeGt1000",'Scoring_Config'!$A:$A,'Scoring_Config'!$C:$C,25),0),0)+IF(LEFT(AL174,4)="True",IF(_xlfn.XLOOKUP("App_Any_OR_RangeGt1000",'Scoring_Config'!$A:$A,'Scoring_Config'!$D:$D,"Yes")="Yes",_xlfn.XLOOKUP("App_Any_OR_RangeGt1000",'Scoring_Config'!$A:$A,'Scoring_Config'!$C:$C,25),0),0)+IF(LEFT(AM174,4)="True",IF(_xlfn.XLOOKUP("Service_Insecure_Match",'Scoring_Config'!$A:$A,'Scoring_Config'!$D:$D,"Yes")="Yes",_xlfn.XLOOKUP("Service_Insecure_Match",'Scoring_Config'!$A:$A,'Scoring_Config'!$C:$C,20),0),0)+IF(LEFT(AN174,4)="True",IF(_xlfn.XLOOKUP("Risky_Inbound",'Scoring_Config'!$A:$A,'Scoring_Config'!$D:$D,"Yes")="Yes",_xlfn.XLOOKUP("Risky_Inbound",'Scoring_Config'!$A:$A,'Scoring_Config'!$C:$C,20),0),0)+IF(LEFT(AO174,4)="True",IF(_xlfn.XLOOKUP("Risky_Outbound",'Scoring_Config'!$A:$A,'Scoring_Config'!$D:$D,"Yes")="Yes",_xlfn.XLOOKUP("Risky_Outbound",'Scoring_Config'!$A:$A,'Scoring_Config'!$C:$C,10),0),0)+IF(LEFT(AW174,4)="True",IF(_xlfn.XLOOKUP("Migrate_Insecure",'Scoring_Config'!$A:$A,'Scoring_Config'!$D:$D,"Yes")="Yes",_xlfn.XLOOKUP("Migrate_Insecure",'Scoring_Config'!$A:$A,'Scoring_Config'!$C:$C,15),0),0)+IF(LEFT(AY174,4)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174,FIND(",",AP174)+1,100)),0)+IF(LEFT(AQ174,4)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174,FIND(",",AR174)+1,100)),0)+IF(_xlfn.XLOOKUP("Profile_Scoring",'Scoring_Config'!$A:$A,'Scoring_Config'!$D:$D,"Yes")="Yes",VALUE(MID(AS174,FIND(",",AS174)+1,100)),0)+IF(_xlfn.XLOOKUP("Options_Scoring",'Scoring_Config'!$A:$A,'Scoring_Config'!$D:$D,"Yes")="Yes",VALUE(MID(AT174,FIND(",",AT174)+1,100)),0)))</f>
        <v>0</v>
      </c>
    </row>
    <row r="175" spans="1:52">
      <c r="A175" s="3" t="s">
        <v>53</v>
      </c>
      <c r="B175" s="3" t="s">
        <v>182</v>
      </c>
      <c r="C175" s="3" t="s">
        <v>330</v>
      </c>
      <c r="D175" s="3"/>
      <c r="E175" s="3" t="s">
        <v>359</v>
      </c>
      <c r="F175" s="3" t="s">
        <v>365</v>
      </c>
      <c r="G175" s="3" t="s">
        <v>428</v>
      </c>
      <c r="H175" s="3" t="s">
        <v>573</v>
      </c>
      <c r="I175" s="3" t="s">
        <v>625</v>
      </c>
      <c r="J175" s="3" t="s">
        <v>363</v>
      </c>
      <c r="K175" s="3" t="s">
        <v>673</v>
      </c>
      <c r="L175" s="3" t="s">
        <v>755</v>
      </c>
      <c r="M175" s="3" t="s">
        <v>365</v>
      </c>
      <c r="N175" s="3" t="s">
        <v>365</v>
      </c>
      <c r="O175" s="4" t="s">
        <v>822</v>
      </c>
      <c r="P175" s="3" t="s">
        <v>883</v>
      </c>
      <c r="Q175" s="3" t="s">
        <v>905</v>
      </c>
      <c r="R175" s="3" t="s">
        <v>909</v>
      </c>
      <c r="S175" s="3" t="s">
        <v>912</v>
      </c>
      <c r="T175" s="3" t="s">
        <v>1027</v>
      </c>
      <c r="U175" s="3" t="s">
        <v>1150</v>
      </c>
      <c r="V175" s="3" t="s">
        <v>772</v>
      </c>
      <c r="W175" s="3" t="s">
        <v>1498</v>
      </c>
      <c r="X175" s="3" t="s">
        <v>1779</v>
      </c>
      <c r="Y175" s="3" t="s">
        <v>2248</v>
      </c>
      <c r="Z175" s="3"/>
      <c r="AA175" s="3"/>
      <c r="AB175" s="3"/>
      <c r="AC175" s="4" cm="1">
        <f t="array" ref="AC175">IF(FALSE,"True," &amp; IF(_xlfn.XLOOKUP("Src_IsAny",'Scoring_Config'!$A:$A,'Scoring_Config'!$D:$D,"Yes")="Yes",_xlfn.XLOOKUP("Src_IsAny",'Scoring_Config'!$A:$A,'Scoring_Config'!$C:$C,25),0),"False,0")</f>
        <v>0</v>
      </c>
      <c r="AD175" s="4" cm="1">
        <f t="array" ref="AD175">IF(FALSE,"True," &amp; IF(_xlfn.XLOOKUP("Src_CIDR_Le_16",'Scoring_Config'!$A:$A,'Scoring_Config'!$D:$D,"Yes")="Yes",_xlfn.XLOOKUP("Src_CIDR_Le_16",'Scoring_Config'!$A:$A,'Scoring_Config'!$C:$C,25),0),"False,0")</f>
        <v>0</v>
      </c>
      <c r="AE175" s="4" cm="1">
        <f t="array" ref="AE175">IF(FALSE,"True," &amp; IF(_xlfn.XLOOKUP("Src_CIDR_17_22",'Scoring_Config'!$A:$A,'Scoring_Config'!$D:$D,"Yes")="Yes",_xlfn.XLOOKUP("Src_CIDR_17_22",'Scoring_Config'!$A:$A,'Scoring_Config'!$C:$C,15),0),"False,0")</f>
        <v>0</v>
      </c>
      <c r="AF175" s="4" cm="1">
        <f t="array" ref="AF175">IF(FALSE,"True," &amp; IF(_xlfn.XLOOKUP("Dst_IsAny",'Scoring_Config'!$A:$A,'Scoring_Config'!$D:$D,"Yes")="Yes",_xlfn.XLOOKUP("Dst_IsAny",'Scoring_Config'!$A:$A,'Scoring_Config'!$C:$C,25),0),"False,0")</f>
        <v>0</v>
      </c>
      <c r="AG175" s="4" cm="1">
        <f t="array" ref="AG175">IF(FALSE,"True," &amp; IF(_xlfn.XLOOKUP("Dst_CIDR_Le_16",'Scoring_Config'!$A:$A,'Scoring_Config'!$D:$D,"Yes")="Yes",_xlfn.XLOOKUP("Dst_CIDR_Le_16",'Scoring_Config'!$A:$A,'Scoring_Config'!$C:$C,25),0),"False,0")</f>
        <v>0</v>
      </c>
      <c r="AH175" s="4" cm="1">
        <f t="array" ref="AH175">IF(FALSE,"True," &amp; IF(_xlfn.XLOOKUP("Dst_CIDR_17_22",'Scoring_Config'!$A:$A,'Scoring_Config'!$D:$D,"Yes")="Yes",_xlfn.XLOOKUP("Dst_CIDR_17_22",'Scoring_Config'!$A:$A,'Scoring_Config'!$C:$C,15),0),"False,0")</f>
        <v>0</v>
      </c>
      <c r="AI175" s="5" cm="1">
        <f t="array" ref="AI175">IF(TRUE,"True," &amp; IF(_xlfn.XLOOKUP("SrcZone_IsAny",'Scoring_Config'!$A:$A,'Scoring_Config'!$D:$D,"Yes")="Yes",_xlfn.XLOOKUP("SrcZone_IsAny",'Scoring_Config'!$A:$A,'Scoring_Config'!$C:$C,5),0),"False,0")</f>
        <v>0</v>
      </c>
      <c r="AJ175" s="4" cm="1">
        <f t="array" ref="AJ175">IF(FALSE,"True," &amp; IF(_xlfn.XLOOKUP("DstZone_IsAny",'Scoring_Config'!$A:$A,'Scoring_Config'!$D:$D,"Yes")="Yes",_xlfn.XLOOKUP("DstZone_IsAny",'Scoring_Config'!$A:$A,'Scoring_Config'!$C:$C,5),0),"False,0")</f>
        <v>0</v>
      </c>
      <c r="AK175" s="5" cm="1">
        <f t="array" ref="AK175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75" s="5" cm="1">
        <f t="array" ref="AL175">IF(TRUE,"True," &amp; IF(_xlfn.XLOOKUP("App_Any_OR_RangeGt1000",'Scoring_Config'!$A:$A,'Scoring_Config'!$D:$D,"Yes")="Yes",_xlfn.XLOOKUP("App_Any_OR_RangeGt1000",'Scoring_Config'!$A:$A,'Scoring_Config'!$C:$C,25),0),"False,0")</f>
        <v>0</v>
      </c>
      <c r="AM175" s="5" cm="1">
        <f t="array" ref="AM175">IF(TRUE,"True," &amp; IF(_xlfn.XLOOKUP("Service_Insecure_Match",'Scoring_Config'!$A:$A,'Scoring_Config'!$D:$D,"Yes")="Yes",_xlfn.XLOOKUP("Service_Insecure_Match",'Scoring_Config'!$A:$A,'Scoring_Config'!$C:$C,20),0),"False,0")</f>
        <v>0</v>
      </c>
      <c r="AN175" s="5" cm="1">
        <f t="array" ref="AN175">IF(TRUE,"True," &amp; IF(_xlfn.XLOOKUP("Risky_Inbound",'Scoring_Config'!$A:$A,'Scoring_Config'!$D:$D,"Yes")="Yes",_xlfn.XLOOKUP("Risky_Inbound",'Scoring_Config'!$A:$A,'Scoring_Config'!$C:$C,20),0),"False,0")</f>
        <v>0</v>
      </c>
      <c r="AO175" s="4" cm="1">
        <f t="array" ref="AO175">IF(FALSE,"True," &amp; IF(_xlfn.XLOOKUP("Risky_Outbound",'Scoring_Config'!$A:$A,'Scoring_Config'!$D:$D,"Yes")="Yes",_xlfn.XLOOKUP("Risky_Outbound",'Scoring_Config'!$A:$A,'Scoring_Config'!$C:$C,10),0),"False,0")</f>
        <v>0</v>
      </c>
      <c r="AP175" s="5" t="s">
        <v>2595</v>
      </c>
      <c r="AQ175" s="5" cm="1">
        <f t="array" ref="AQ17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5" s="5" t="s">
        <v>2598</v>
      </c>
      <c r="AS175" s="4" t="s">
        <v>2592</v>
      </c>
      <c r="AT175" s="4" t="s">
        <v>2592</v>
      </c>
      <c r="AU175" s="4" cm="1">
        <f t="array" ref="AU175">IF(FALSE,"True," &amp; IF(_xlfn.XLOOKUP("Action_IsDenyOrDrop",'Scoring_Config'!$A:$A,'Scoring_Config'!$D:$D,"Yes")="Yes",_xlfn.XLOOKUP("Action_IsDenyOrDrop",'Scoring_Config'!$A:$A,'Scoring_Config'!$C:$C,0),0),"False,0")</f>
        <v>0</v>
      </c>
      <c r="AV175" s="4"/>
      <c r="AW175" s="4" cm="1">
        <f t="array" ref="AW175">IF(FALSE,"True," &amp; IF(_xlfn.XLOOKUP("Migrate_Insecure",'Scoring_Config'!$A:$A,'Scoring_Config'!$D:$D,"Yes")="Yes",_xlfn.XLOOKUP("Migrate_Insecure",'Scoring_Config'!$A:$A,'Scoring_Config'!$C:$C,15),0),"False,0")</f>
        <v>0</v>
      </c>
      <c r="AX175" s="4"/>
      <c r="AY175" s="4" cm="1">
        <f t="array" ref="AY175">IF(FALSE,"True," &amp; IF(_xlfn.XLOOKUP("Migrate_Other_Ports",'Scoring_Config'!$A:$A,'Scoring_Config'!$D:$D,"Yes")="Yes",_xlfn.XLOOKUP("Migrate_Other_Ports",'Scoring_Config'!$A:$A,'Scoring_Config'!$C:$C,5),0),"False,0")</f>
        <v>0</v>
      </c>
      <c r="AZ175" s="4" cm="1">
        <f t="array" ref="AZ175">IF(LEFT(AU175,4)="True",0,(IF(LEFT(AC175,4)="True",IF(_xlfn.XLOOKUP("Src_IsAny",'Scoring_Config'!$A:$A,'Scoring_Config'!$D:$D,"Yes")="Yes",_xlfn.XLOOKUP("Src_IsAny",'Scoring_Config'!$A:$A,'Scoring_Config'!$C:$C,25),0),0)+IF(LEFT(AD175,4)="True",IF(_xlfn.XLOOKUP("Src_CIDR_Le_16",'Scoring_Config'!$A:$A,'Scoring_Config'!$D:$D,"Yes")="Yes",_xlfn.XLOOKUP("Src_CIDR_Le_16",'Scoring_Config'!$A:$A,'Scoring_Config'!$C:$C,25),0),0)+IF(LEFT(AE175,4)="True",IF(_xlfn.XLOOKUP("Src_CIDR_17_22",'Scoring_Config'!$A:$A,'Scoring_Config'!$D:$D,"Yes")="Yes",_xlfn.XLOOKUP("Src_CIDR_17_22",'Scoring_Config'!$A:$A,'Scoring_Config'!$C:$C,15),0),0)+IF(LEFT(AF175,4)="True",IF(_xlfn.XLOOKUP("Dst_IsAny",'Scoring_Config'!$A:$A,'Scoring_Config'!$D:$D,"Yes")="Yes",_xlfn.XLOOKUP("Dst_IsAny",'Scoring_Config'!$A:$A,'Scoring_Config'!$C:$C,25),0),0)+IF(LEFT(AG175,4)="True",IF(_xlfn.XLOOKUP("Dst_CIDR_Le_16",'Scoring_Config'!$A:$A,'Scoring_Config'!$D:$D,"Yes")="Yes",_xlfn.XLOOKUP("Dst_CIDR_Le_16",'Scoring_Config'!$A:$A,'Scoring_Config'!$C:$C,25),0),0)+IF(LEFT(AH175,4)="True",IF(_xlfn.XLOOKUP("Dst_CIDR_17_22",'Scoring_Config'!$A:$A,'Scoring_Config'!$D:$D,"Yes")="Yes",_xlfn.XLOOKUP("Dst_CIDR_17_22",'Scoring_Config'!$A:$A,'Scoring_Config'!$C:$C,15),0),0)+IF(LEFT(AI175,4)="True",IF(_xlfn.XLOOKUP("SrcZone_IsAny",'Scoring_Config'!$A:$A,'Scoring_Config'!$D:$D,"Yes")="Yes",_xlfn.XLOOKUP("SrcZone_IsAny",'Scoring_Config'!$A:$A,'Scoring_Config'!$C:$C,5),0),0)+IF(LEFT(AJ175,4)="True",IF(_xlfn.XLOOKUP("DstZone_IsAny",'Scoring_Config'!$A:$A,'Scoring_Config'!$D:$D,"Yes")="Yes",_xlfn.XLOOKUP("DstZone_IsAny",'Scoring_Config'!$A:$A,'Scoring_Config'!$C:$C,5),0),0)+IF(LEFT(AK175,4)="True",IF(_xlfn.XLOOKUP("Service_Any_OR_RangeGt1000",'Scoring_Config'!$A:$A,'Scoring_Config'!$D:$D,"Yes")="Yes",_xlfn.XLOOKUP("Service_Any_OR_RangeGt1000",'Scoring_Config'!$A:$A,'Scoring_Config'!$C:$C,25),0),0)+IF(LEFT(AL175,4)="True",IF(_xlfn.XLOOKUP("App_Any_OR_RangeGt1000",'Scoring_Config'!$A:$A,'Scoring_Config'!$D:$D,"Yes")="Yes",_xlfn.XLOOKUP("App_Any_OR_RangeGt1000",'Scoring_Config'!$A:$A,'Scoring_Config'!$C:$C,25),0),0)+IF(LEFT(AM175,4)="True",IF(_xlfn.XLOOKUP("Service_Insecure_Match",'Scoring_Config'!$A:$A,'Scoring_Config'!$D:$D,"Yes")="Yes",_xlfn.XLOOKUP("Service_Insecure_Match",'Scoring_Config'!$A:$A,'Scoring_Config'!$C:$C,20),0),0)+IF(LEFT(AN175,4)="True",IF(_xlfn.XLOOKUP("Risky_Inbound",'Scoring_Config'!$A:$A,'Scoring_Config'!$D:$D,"Yes")="Yes",_xlfn.XLOOKUP("Risky_Inbound",'Scoring_Config'!$A:$A,'Scoring_Config'!$C:$C,20),0),0)+IF(LEFT(AO175,4)="True",IF(_xlfn.XLOOKUP("Risky_Outbound",'Scoring_Config'!$A:$A,'Scoring_Config'!$D:$D,"Yes")="Yes",_xlfn.XLOOKUP("Risky_Outbound",'Scoring_Config'!$A:$A,'Scoring_Config'!$C:$C,10),0),0)+IF(LEFT(AW175,4)="True",IF(_xlfn.XLOOKUP("Migrate_Insecure",'Scoring_Config'!$A:$A,'Scoring_Config'!$D:$D,"Yes")="Yes",_xlfn.XLOOKUP("Migrate_Insecure",'Scoring_Config'!$A:$A,'Scoring_Config'!$C:$C,15),0),0)+IF(LEFT(AY175,4)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175,FIND(",",AP175)+1,100)),0)+IF(LEFT(AQ175,4)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175,FIND(",",AR175)+1,100)),0)+IF(_xlfn.XLOOKUP("Profile_Scoring",'Scoring_Config'!$A:$A,'Scoring_Config'!$D:$D,"Yes")="Yes",VALUE(MID(AS175,FIND(",",AS175)+1,100)),0)+IF(_xlfn.XLOOKUP("Options_Scoring",'Scoring_Config'!$A:$A,'Scoring_Config'!$D:$D,"Yes")="Yes",VALUE(MID(AT175,FIND(",",AT175)+1,100)),0)))</f>
        <v>0</v>
      </c>
    </row>
    <row r="176" spans="1:52">
      <c r="A176" s="3" t="s">
        <v>53</v>
      </c>
      <c r="B176" s="3" t="s">
        <v>183</v>
      </c>
      <c r="C176" s="3" t="s">
        <v>330</v>
      </c>
      <c r="D176" s="3"/>
      <c r="E176" s="3" t="s">
        <v>359</v>
      </c>
      <c r="F176" s="3" t="s">
        <v>361</v>
      </c>
      <c r="G176" s="3" t="s">
        <v>408</v>
      </c>
      <c r="H176" s="3" t="s">
        <v>408</v>
      </c>
      <c r="I176" s="3" t="s">
        <v>622</v>
      </c>
      <c r="J176" s="3" t="s">
        <v>362</v>
      </c>
      <c r="K176" s="3" t="s">
        <v>674</v>
      </c>
      <c r="L176" s="3" t="s">
        <v>756</v>
      </c>
      <c r="M176" s="3" t="s">
        <v>772</v>
      </c>
      <c r="N176" s="3" t="s">
        <v>794</v>
      </c>
      <c r="O176" s="4" t="s">
        <v>815</v>
      </c>
      <c r="P176" s="3" t="s">
        <v>876</v>
      </c>
      <c r="Q176" s="3" t="s">
        <v>905</v>
      </c>
      <c r="R176" s="3" t="s">
        <v>909</v>
      </c>
      <c r="S176" s="3" t="s">
        <v>907</v>
      </c>
      <c r="T176" s="3" t="s">
        <v>1028</v>
      </c>
      <c r="U176" s="3" t="s">
        <v>1234</v>
      </c>
      <c r="V176" s="3" t="s">
        <v>1387</v>
      </c>
      <c r="W176" s="3" t="s">
        <v>926</v>
      </c>
      <c r="X176" s="3" t="s">
        <v>1780</v>
      </c>
      <c r="Y176" s="3" t="s">
        <v>2249</v>
      </c>
      <c r="Z176" s="3"/>
      <c r="AA176" s="3"/>
      <c r="AB176" s="3"/>
      <c r="AC176" s="4" cm="1">
        <f t="array" ref="AC176">IF(FALSE,"True," &amp; IF(_xlfn.XLOOKUP("Src_IsAny",'Scoring_Config'!$A:$A,'Scoring_Config'!$D:$D,"Yes")="Yes",_xlfn.XLOOKUP("Src_IsAny",'Scoring_Config'!$A:$A,'Scoring_Config'!$C:$C,25),0),"False,0")</f>
        <v>0</v>
      </c>
      <c r="AD176" s="5" cm="1">
        <f t="array" ref="AD176">IF(TRUE,"True," &amp; IF(_xlfn.XLOOKUP("Src_CIDR_Le_16",'Scoring_Config'!$A:$A,'Scoring_Config'!$D:$D,"Yes")="Yes",_xlfn.XLOOKUP("Src_CIDR_Le_16",'Scoring_Config'!$A:$A,'Scoring_Config'!$C:$C,25),0),"False,0")</f>
        <v>0</v>
      </c>
      <c r="AE176" s="4" cm="1">
        <f t="array" ref="AE176">IF(FALSE,"True," &amp; IF(_xlfn.XLOOKUP("Src_CIDR_17_22",'Scoring_Config'!$A:$A,'Scoring_Config'!$D:$D,"Yes")="Yes",_xlfn.XLOOKUP("Src_CIDR_17_22",'Scoring_Config'!$A:$A,'Scoring_Config'!$C:$C,15),0),"False,0")</f>
        <v>0</v>
      </c>
      <c r="AF176" s="4" cm="1">
        <f t="array" ref="AF176">IF(FALSE,"True," &amp; IF(_xlfn.XLOOKUP("Dst_IsAny",'Scoring_Config'!$A:$A,'Scoring_Config'!$D:$D,"Yes")="Yes",_xlfn.XLOOKUP("Dst_IsAny",'Scoring_Config'!$A:$A,'Scoring_Config'!$C:$C,25),0),"False,0")</f>
        <v>0</v>
      </c>
      <c r="AG176" s="5" cm="1">
        <f t="array" ref="AG176">IF(TRUE,"True," &amp; IF(_xlfn.XLOOKUP("Dst_CIDR_Le_16",'Scoring_Config'!$A:$A,'Scoring_Config'!$D:$D,"Yes")="Yes",_xlfn.XLOOKUP("Dst_CIDR_Le_16",'Scoring_Config'!$A:$A,'Scoring_Config'!$C:$C,25),0),"False,0")</f>
        <v>0</v>
      </c>
      <c r="AH176" s="4" cm="1">
        <f t="array" ref="AH176">IF(FALSE,"True," &amp; IF(_xlfn.XLOOKUP("Dst_CIDR_17_22",'Scoring_Config'!$A:$A,'Scoring_Config'!$D:$D,"Yes")="Yes",_xlfn.XLOOKUP("Dst_CIDR_17_22",'Scoring_Config'!$A:$A,'Scoring_Config'!$C:$C,15),0),"False,0")</f>
        <v>0</v>
      </c>
      <c r="AI176" s="4" cm="1">
        <f t="array" ref="AI176">IF(FALSE,"True," &amp; IF(_xlfn.XLOOKUP("SrcZone_IsAny",'Scoring_Config'!$A:$A,'Scoring_Config'!$D:$D,"Yes")="Yes",_xlfn.XLOOKUP("SrcZone_IsAny",'Scoring_Config'!$A:$A,'Scoring_Config'!$C:$C,5),0),"False,0")</f>
        <v>0</v>
      </c>
      <c r="AJ176" s="4" cm="1">
        <f t="array" ref="AJ176">IF(FALSE,"True," &amp; IF(_xlfn.XLOOKUP("DstZone_IsAny",'Scoring_Config'!$A:$A,'Scoring_Config'!$D:$D,"Yes")="Yes",_xlfn.XLOOKUP("DstZone_IsAny",'Scoring_Config'!$A:$A,'Scoring_Config'!$C:$C,5),0),"False,0")</f>
        <v>0</v>
      </c>
      <c r="AK176" s="4" cm="1">
        <f t="array" ref="AK17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6" s="4" cm="1">
        <f t="array" ref="AL176">IF(FALSE,"True," &amp; IF(_xlfn.XLOOKUP("App_Any_OR_RangeGt1000",'Scoring_Config'!$A:$A,'Scoring_Config'!$D:$D,"Yes")="Yes",_xlfn.XLOOKUP("App_Any_OR_RangeGt1000",'Scoring_Config'!$A:$A,'Scoring_Config'!$C:$C,25),0),"False,0")</f>
        <v>0</v>
      </c>
      <c r="AM176" s="4" cm="1">
        <f t="array" ref="AM176">IF(FALSE,"True," &amp; IF(_xlfn.XLOOKUP("Service_Insecure_Match",'Scoring_Config'!$A:$A,'Scoring_Config'!$D:$D,"Yes")="Yes",_xlfn.XLOOKUP("Service_Insecure_Match",'Scoring_Config'!$A:$A,'Scoring_Config'!$C:$C,20),0),"False,0")</f>
        <v>0</v>
      </c>
      <c r="AN176" s="4" cm="1">
        <f t="array" ref="AN176">IF(FALSE,"True," &amp; IF(_xlfn.XLOOKUP("Risky_Inbound",'Scoring_Config'!$A:$A,'Scoring_Config'!$D:$D,"Yes")="Yes",_xlfn.XLOOKUP("Risky_Inbound",'Scoring_Config'!$A:$A,'Scoring_Config'!$C:$C,20),0),"False,0")</f>
        <v>0</v>
      </c>
      <c r="AO176" s="4" cm="1">
        <f t="array" ref="AO176">IF(FALSE,"True," &amp; IF(_xlfn.XLOOKUP("Risky_Outbound",'Scoring_Config'!$A:$A,'Scoring_Config'!$D:$D,"Yes")="Yes",_xlfn.XLOOKUP("Risky_Outbound",'Scoring_Config'!$A:$A,'Scoring_Config'!$C:$C,10),0),"False,0")</f>
        <v>0</v>
      </c>
      <c r="AP176" s="5" t="s">
        <v>2595</v>
      </c>
      <c r="AQ176" s="4" cm="1">
        <f t="array" ref="AQ17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6" s="5" t="s">
        <v>2598</v>
      </c>
      <c r="AS176" s="4" t="s">
        <v>2592</v>
      </c>
      <c r="AT176" s="5" t="s">
        <v>2595</v>
      </c>
      <c r="AU176" s="4" cm="1">
        <f t="array" ref="AU176">IF(FALSE,"True," &amp; IF(_xlfn.XLOOKUP("Action_IsDenyOrDrop",'Scoring_Config'!$A:$A,'Scoring_Config'!$D:$D,"Yes")="Yes",_xlfn.XLOOKUP("Action_IsDenyOrDrop",'Scoring_Config'!$A:$A,'Scoring_Config'!$C:$C,0),0),"False,0")</f>
        <v>0</v>
      </c>
      <c r="AV176" s="4"/>
      <c r="AW176" s="4" cm="1">
        <f t="array" ref="AW176">IF(FALSE,"True," &amp; IF(_xlfn.XLOOKUP("Migrate_Insecure",'Scoring_Config'!$A:$A,'Scoring_Config'!$D:$D,"Yes")="Yes",_xlfn.XLOOKUP("Migrate_Insecure",'Scoring_Config'!$A:$A,'Scoring_Config'!$C:$C,15),0),"False,0")</f>
        <v>0</v>
      </c>
      <c r="AX176" s="4"/>
      <c r="AY176" s="4" cm="1">
        <f t="array" ref="AY176">IF(FALSE,"True," &amp; IF(_xlfn.XLOOKUP("Migrate_Other_Ports",'Scoring_Config'!$A:$A,'Scoring_Config'!$D:$D,"Yes")="Yes",_xlfn.XLOOKUP("Migrate_Other_Ports",'Scoring_Config'!$A:$A,'Scoring_Config'!$C:$C,5),0),"False,0")</f>
        <v>0</v>
      </c>
      <c r="AZ176" s="4" cm="1">
        <f t="array" ref="AZ176">IF(LEFT(AU176,4)="True",0,(IF(LEFT(AC176,4)="True",IF(_xlfn.XLOOKUP("Src_IsAny",'Scoring_Config'!$A:$A,'Scoring_Config'!$D:$D,"Yes")="Yes",_xlfn.XLOOKUP("Src_IsAny",'Scoring_Config'!$A:$A,'Scoring_Config'!$C:$C,25),0),0)+IF(LEFT(AD176,4)="True",IF(_xlfn.XLOOKUP("Src_CIDR_Le_16",'Scoring_Config'!$A:$A,'Scoring_Config'!$D:$D,"Yes")="Yes",_xlfn.XLOOKUP("Src_CIDR_Le_16",'Scoring_Config'!$A:$A,'Scoring_Config'!$C:$C,25),0),0)+IF(LEFT(AE176,4)="True",IF(_xlfn.XLOOKUP("Src_CIDR_17_22",'Scoring_Config'!$A:$A,'Scoring_Config'!$D:$D,"Yes")="Yes",_xlfn.XLOOKUP("Src_CIDR_17_22",'Scoring_Config'!$A:$A,'Scoring_Config'!$C:$C,15),0),0)+IF(LEFT(AF176,4)="True",IF(_xlfn.XLOOKUP("Dst_IsAny",'Scoring_Config'!$A:$A,'Scoring_Config'!$D:$D,"Yes")="Yes",_xlfn.XLOOKUP("Dst_IsAny",'Scoring_Config'!$A:$A,'Scoring_Config'!$C:$C,25),0),0)+IF(LEFT(AG176,4)="True",IF(_xlfn.XLOOKUP("Dst_CIDR_Le_16",'Scoring_Config'!$A:$A,'Scoring_Config'!$D:$D,"Yes")="Yes",_xlfn.XLOOKUP("Dst_CIDR_Le_16",'Scoring_Config'!$A:$A,'Scoring_Config'!$C:$C,25),0),0)+IF(LEFT(AH176,4)="True",IF(_xlfn.XLOOKUP("Dst_CIDR_17_22",'Scoring_Config'!$A:$A,'Scoring_Config'!$D:$D,"Yes")="Yes",_xlfn.XLOOKUP("Dst_CIDR_17_22",'Scoring_Config'!$A:$A,'Scoring_Config'!$C:$C,15),0),0)+IF(LEFT(AI176,4)="True",IF(_xlfn.XLOOKUP("SrcZone_IsAny",'Scoring_Config'!$A:$A,'Scoring_Config'!$D:$D,"Yes")="Yes",_xlfn.XLOOKUP("SrcZone_IsAny",'Scoring_Config'!$A:$A,'Scoring_Config'!$C:$C,5),0),0)+IF(LEFT(AJ176,4)="True",IF(_xlfn.XLOOKUP("DstZone_IsAny",'Scoring_Config'!$A:$A,'Scoring_Config'!$D:$D,"Yes")="Yes",_xlfn.XLOOKUP("DstZone_IsAny",'Scoring_Config'!$A:$A,'Scoring_Config'!$C:$C,5),0),0)+IF(LEFT(AK176,4)="True",IF(_xlfn.XLOOKUP("Service_Any_OR_RangeGt1000",'Scoring_Config'!$A:$A,'Scoring_Config'!$D:$D,"Yes")="Yes",_xlfn.XLOOKUP("Service_Any_OR_RangeGt1000",'Scoring_Config'!$A:$A,'Scoring_Config'!$C:$C,25),0),0)+IF(LEFT(AL176,4)="True",IF(_xlfn.XLOOKUP("App_Any_OR_RangeGt1000",'Scoring_Config'!$A:$A,'Scoring_Config'!$D:$D,"Yes")="Yes",_xlfn.XLOOKUP("App_Any_OR_RangeGt1000",'Scoring_Config'!$A:$A,'Scoring_Config'!$C:$C,25),0),0)+IF(LEFT(AM176,4)="True",IF(_xlfn.XLOOKUP("Service_Insecure_Match",'Scoring_Config'!$A:$A,'Scoring_Config'!$D:$D,"Yes")="Yes",_xlfn.XLOOKUP("Service_Insecure_Match",'Scoring_Config'!$A:$A,'Scoring_Config'!$C:$C,20),0),0)+IF(LEFT(AN176,4)="True",IF(_xlfn.XLOOKUP("Risky_Inbound",'Scoring_Config'!$A:$A,'Scoring_Config'!$D:$D,"Yes")="Yes",_xlfn.XLOOKUP("Risky_Inbound",'Scoring_Config'!$A:$A,'Scoring_Config'!$C:$C,20),0),0)+IF(LEFT(AO176,4)="True",IF(_xlfn.XLOOKUP("Risky_Outbound",'Scoring_Config'!$A:$A,'Scoring_Config'!$D:$D,"Yes")="Yes",_xlfn.XLOOKUP("Risky_Outbound",'Scoring_Config'!$A:$A,'Scoring_Config'!$C:$C,10),0),0)+IF(LEFT(AW176,4)="True",IF(_xlfn.XLOOKUP("Migrate_Insecure",'Scoring_Config'!$A:$A,'Scoring_Config'!$D:$D,"Yes")="Yes",_xlfn.XLOOKUP("Migrate_Insecure",'Scoring_Config'!$A:$A,'Scoring_Config'!$C:$C,15),0),0)+IF(LEFT(AY176,4)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176,FIND(",",AP176)+1,100)),0)+IF(LEFT(AQ176,4)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176,FIND(",",AR176)+1,100)),0)+IF(_xlfn.XLOOKUP("Profile_Scoring",'Scoring_Config'!$A:$A,'Scoring_Config'!$D:$D,"Yes")="Yes",VALUE(MID(AS176,FIND(",",AS176)+1,100)),0)+IF(_xlfn.XLOOKUP("Options_Scoring",'Scoring_Config'!$A:$A,'Scoring_Config'!$D:$D,"Yes")="Yes",VALUE(MID(AT176,FIND(",",AT176)+1,100)),0)))</f>
        <v>0</v>
      </c>
    </row>
    <row r="177" spans="1:52">
      <c r="A177" s="3" t="s">
        <v>53</v>
      </c>
      <c r="B177" s="3" t="s">
        <v>184</v>
      </c>
      <c r="C177" s="3" t="s">
        <v>330</v>
      </c>
      <c r="D177" s="3"/>
      <c r="E177" s="3" t="s">
        <v>359</v>
      </c>
      <c r="F177" s="3" t="s">
        <v>362</v>
      </c>
      <c r="G177" s="3" t="s">
        <v>429</v>
      </c>
      <c r="H177" s="3" t="s">
        <v>422</v>
      </c>
      <c r="I177" s="3" t="s">
        <v>625</v>
      </c>
      <c r="J177" s="3" t="s">
        <v>360</v>
      </c>
      <c r="K177" s="3" t="s">
        <v>440</v>
      </c>
      <c r="L177" s="3" t="s">
        <v>576</v>
      </c>
      <c r="M177" s="3" t="s">
        <v>774</v>
      </c>
      <c r="N177" s="3" t="s">
        <v>795</v>
      </c>
      <c r="O177" s="4" t="s">
        <v>815</v>
      </c>
      <c r="P177" s="3" t="s">
        <v>876</v>
      </c>
      <c r="Q177" s="3" t="s">
        <v>904</v>
      </c>
      <c r="R177" s="3" t="s">
        <v>911</v>
      </c>
      <c r="S177" s="3" t="s">
        <v>916</v>
      </c>
      <c r="T177" s="3" t="s">
        <v>1029</v>
      </c>
      <c r="U177" s="3" t="s">
        <v>1145</v>
      </c>
      <c r="V177" s="3" t="s">
        <v>772</v>
      </c>
      <c r="W177" s="3" t="s">
        <v>1437</v>
      </c>
      <c r="X177" s="3" t="s">
        <v>1781</v>
      </c>
      <c r="Y177" s="3" t="s">
        <v>2250</v>
      </c>
      <c r="Z177" s="3"/>
      <c r="AA177" s="3"/>
      <c r="AB177" s="3"/>
      <c r="AC177" s="4" cm="1">
        <f t="array" ref="AC177">IF(FALSE,"True," &amp; IF(_xlfn.XLOOKUP("Src_IsAny",'Scoring_Config'!$A:$A,'Scoring_Config'!$D:$D,"Yes")="Yes",_xlfn.XLOOKUP("Src_IsAny",'Scoring_Config'!$A:$A,'Scoring_Config'!$C:$C,25),0),"False,0")</f>
        <v>0</v>
      </c>
      <c r="AD177" s="5" cm="1">
        <f t="array" ref="AD177">IF(TRUE,"True," &amp; IF(_xlfn.XLOOKUP("Src_CIDR_Le_16",'Scoring_Config'!$A:$A,'Scoring_Config'!$D:$D,"Yes")="Yes",_xlfn.XLOOKUP("Src_CIDR_Le_16",'Scoring_Config'!$A:$A,'Scoring_Config'!$C:$C,25),0),"False,0")</f>
        <v>0</v>
      </c>
      <c r="AE177" s="4" cm="1">
        <f t="array" ref="AE177">IF(FALSE,"True," &amp; IF(_xlfn.XLOOKUP("Src_CIDR_17_22",'Scoring_Config'!$A:$A,'Scoring_Config'!$D:$D,"Yes")="Yes",_xlfn.XLOOKUP("Src_CIDR_17_22",'Scoring_Config'!$A:$A,'Scoring_Config'!$C:$C,15),0),"False,0")</f>
        <v>0</v>
      </c>
      <c r="AF177" s="4" cm="1">
        <f t="array" ref="AF177">IF(FALSE,"True," &amp; IF(_xlfn.XLOOKUP("Dst_IsAny",'Scoring_Config'!$A:$A,'Scoring_Config'!$D:$D,"Yes")="Yes",_xlfn.XLOOKUP("Dst_IsAny",'Scoring_Config'!$A:$A,'Scoring_Config'!$C:$C,25),0),"False,0")</f>
        <v>0</v>
      </c>
      <c r="AG177" s="4" cm="1">
        <f t="array" ref="AG177">IF(FALSE,"True," &amp; IF(_xlfn.XLOOKUP("Dst_CIDR_Le_16",'Scoring_Config'!$A:$A,'Scoring_Config'!$D:$D,"Yes")="Yes",_xlfn.XLOOKUP("Dst_CIDR_Le_16",'Scoring_Config'!$A:$A,'Scoring_Config'!$C:$C,25),0),"False,0")</f>
        <v>0</v>
      </c>
      <c r="AH177" s="4" cm="1">
        <f t="array" ref="AH177">IF(FALSE,"True," &amp; IF(_xlfn.XLOOKUP("Dst_CIDR_17_22",'Scoring_Config'!$A:$A,'Scoring_Config'!$D:$D,"Yes")="Yes",_xlfn.XLOOKUP("Dst_CIDR_17_22",'Scoring_Config'!$A:$A,'Scoring_Config'!$C:$C,15),0),"False,0")</f>
        <v>0</v>
      </c>
      <c r="AI177" s="4" cm="1">
        <f t="array" ref="AI177">IF(FALSE,"True," &amp; IF(_xlfn.XLOOKUP("SrcZone_IsAny",'Scoring_Config'!$A:$A,'Scoring_Config'!$D:$D,"Yes")="Yes",_xlfn.XLOOKUP("SrcZone_IsAny",'Scoring_Config'!$A:$A,'Scoring_Config'!$C:$C,5),0),"False,0")</f>
        <v>0</v>
      </c>
      <c r="AJ177" s="4" cm="1">
        <f t="array" ref="AJ177">IF(FALSE,"True," &amp; IF(_xlfn.XLOOKUP("DstZone_IsAny",'Scoring_Config'!$A:$A,'Scoring_Config'!$D:$D,"Yes")="Yes",_xlfn.XLOOKUP("DstZone_IsAny",'Scoring_Config'!$A:$A,'Scoring_Config'!$C:$C,5),0),"False,0")</f>
        <v>0</v>
      </c>
      <c r="AK177" s="4" cm="1">
        <f t="array" ref="AK17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7" s="4" cm="1">
        <f t="array" ref="AL177">IF(FALSE,"True," &amp; IF(_xlfn.XLOOKUP("App_Any_OR_RangeGt1000",'Scoring_Config'!$A:$A,'Scoring_Config'!$D:$D,"Yes")="Yes",_xlfn.XLOOKUP("App_Any_OR_RangeGt1000",'Scoring_Config'!$A:$A,'Scoring_Config'!$C:$C,25),0),"False,0")</f>
        <v>0</v>
      </c>
      <c r="AM177" s="4" cm="1">
        <f t="array" ref="AM177">IF(FALSE,"True," &amp; IF(_xlfn.XLOOKUP("Service_Insecure_Match",'Scoring_Config'!$A:$A,'Scoring_Config'!$D:$D,"Yes")="Yes",_xlfn.XLOOKUP("Service_Insecure_Match",'Scoring_Config'!$A:$A,'Scoring_Config'!$C:$C,20),0),"False,0")</f>
        <v>0</v>
      </c>
      <c r="AN177" s="4" cm="1">
        <f t="array" ref="AN177">IF(FALSE,"True," &amp; IF(_xlfn.XLOOKUP("Risky_Inbound",'Scoring_Config'!$A:$A,'Scoring_Config'!$D:$D,"Yes")="Yes",_xlfn.XLOOKUP("Risky_Inbound",'Scoring_Config'!$A:$A,'Scoring_Config'!$C:$C,20),0),"False,0")</f>
        <v>0</v>
      </c>
      <c r="AO177" s="4" cm="1">
        <f t="array" ref="AO177">IF(FALSE,"True," &amp; IF(_xlfn.XLOOKUP("Risky_Outbound",'Scoring_Config'!$A:$A,'Scoring_Config'!$D:$D,"Yes")="Yes",_xlfn.XLOOKUP("Risky_Outbound",'Scoring_Config'!$A:$A,'Scoring_Config'!$C:$C,10),0),"False,0")</f>
        <v>0</v>
      </c>
      <c r="AP177" s="5" t="s">
        <v>2595</v>
      </c>
      <c r="AQ177" s="5" cm="1">
        <f t="array" ref="AQ17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7" s="5" t="s">
        <v>2598</v>
      </c>
      <c r="AS177" s="4" t="s">
        <v>2592</v>
      </c>
      <c r="AT177" s="4" t="s">
        <v>2592</v>
      </c>
      <c r="AU177" s="5" cm="1">
        <f t="array" ref="AU177">IF(TRUE,"True," &amp; IF(_xlfn.XLOOKUP("Action_IsDenyOrDrop",'Scoring_Config'!$A:$A,'Scoring_Config'!$D:$D,"Yes")="Yes",_xlfn.XLOOKUP("Action_IsDenyOrDrop",'Scoring_Config'!$A:$A,'Scoring_Config'!$C:$C,0),0),"False,0")</f>
        <v>0</v>
      </c>
      <c r="AV177" s="4"/>
      <c r="AW177" s="4" cm="1">
        <f t="array" ref="AW177">IF(FALSE,"True," &amp; IF(_xlfn.XLOOKUP("Migrate_Insecure",'Scoring_Config'!$A:$A,'Scoring_Config'!$D:$D,"Yes")="Yes",_xlfn.XLOOKUP("Migrate_Insecure",'Scoring_Config'!$A:$A,'Scoring_Config'!$C:$C,15),0),"False,0")</f>
        <v>0</v>
      </c>
      <c r="AX177" s="4"/>
      <c r="AY177" s="4" cm="1">
        <f t="array" ref="AY177">IF(FALSE,"True," &amp; IF(_xlfn.XLOOKUP("Migrate_Other_Ports",'Scoring_Config'!$A:$A,'Scoring_Config'!$D:$D,"Yes")="Yes",_xlfn.XLOOKUP("Migrate_Other_Ports",'Scoring_Config'!$A:$A,'Scoring_Config'!$C:$C,5),0),"False,0")</f>
        <v>0</v>
      </c>
      <c r="AZ177" s="4" cm="1">
        <f t="array" ref="AZ177">IF(LEFT(AU177,4)="True",0,(IF(LEFT(AC177,4)="True",IF(_xlfn.XLOOKUP("Src_IsAny",'Scoring_Config'!$A:$A,'Scoring_Config'!$D:$D,"Yes")="Yes",_xlfn.XLOOKUP("Src_IsAny",'Scoring_Config'!$A:$A,'Scoring_Config'!$C:$C,25),0),0)+IF(LEFT(AD177,4)="True",IF(_xlfn.XLOOKUP("Src_CIDR_Le_16",'Scoring_Config'!$A:$A,'Scoring_Config'!$D:$D,"Yes")="Yes",_xlfn.XLOOKUP("Src_CIDR_Le_16",'Scoring_Config'!$A:$A,'Scoring_Config'!$C:$C,25),0),0)+IF(LEFT(AE177,4)="True",IF(_xlfn.XLOOKUP("Src_CIDR_17_22",'Scoring_Config'!$A:$A,'Scoring_Config'!$D:$D,"Yes")="Yes",_xlfn.XLOOKUP("Src_CIDR_17_22",'Scoring_Config'!$A:$A,'Scoring_Config'!$C:$C,15),0),0)+IF(LEFT(AF177,4)="True",IF(_xlfn.XLOOKUP("Dst_IsAny",'Scoring_Config'!$A:$A,'Scoring_Config'!$D:$D,"Yes")="Yes",_xlfn.XLOOKUP("Dst_IsAny",'Scoring_Config'!$A:$A,'Scoring_Config'!$C:$C,25),0),0)+IF(LEFT(AG177,4)="True",IF(_xlfn.XLOOKUP("Dst_CIDR_Le_16",'Scoring_Config'!$A:$A,'Scoring_Config'!$D:$D,"Yes")="Yes",_xlfn.XLOOKUP("Dst_CIDR_Le_16",'Scoring_Config'!$A:$A,'Scoring_Config'!$C:$C,25),0),0)+IF(LEFT(AH177,4)="True",IF(_xlfn.XLOOKUP("Dst_CIDR_17_22",'Scoring_Config'!$A:$A,'Scoring_Config'!$D:$D,"Yes")="Yes",_xlfn.XLOOKUP("Dst_CIDR_17_22",'Scoring_Config'!$A:$A,'Scoring_Config'!$C:$C,15),0),0)+IF(LEFT(AI177,4)="True",IF(_xlfn.XLOOKUP("SrcZone_IsAny",'Scoring_Config'!$A:$A,'Scoring_Config'!$D:$D,"Yes")="Yes",_xlfn.XLOOKUP("SrcZone_IsAny",'Scoring_Config'!$A:$A,'Scoring_Config'!$C:$C,5),0),0)+IF(LEFT(AJ177,4)="True",IF(_xlfn.XLOOKUP("DstZone_IsAny",'Scoring_Config'!$A:$A,'Scoring_Config'!$D:$D,"Yes")="Yes",_xlfn.XLOOKUP("DstZone_IsAny",'Scoring_Config'!$A:$A,'Scoring_Config'!$C:$C,5),0),0)+IF(LEFT(AK177,4)="True",IF(_xlfn.XLOOKUP("Service_Any_OR_RangeGt1000",'Scoring_Config'!$A:$A,'Scoring_Config'!$D:$D,"Yes")="Yes",_xlfn.XLOOKUP("Service_Any_OR_RangeGt1000",'Scoring_Config'!$A:$A,'Scoring_Config'!$C:$C,25),0),0)+IF(LEFT(AL177,4)="True",IF(_xlfn.XLOOKUP("App_Any_OR_RangeGt1000",'Scoring_Config'!$A:$A,'Scoring_Config'!$D:$D,"Yes")="Yes",_xlfn.XLOOKUP("App_Any_OR_RangeGt1000",'Scoring_Config'!$A:$A,'Scoring_Config'!$C:$C,25),0),0)+IF(LEFT(AM177,4)="True",IF(_xlfn.XLOOKUP("Service_Insecure_Match",'Scoring_Config'!$A:$A,'Scoring_Config'!$D:$D,"Yes")="Yes",_xlfn.XLOOKUP("Service_Insecure_Match",'Scoring_Config'!$A:$A,'Scoring_Config'!$C:$C,20),0),0)+IF(LEFT(AN177,4)="True",IF(_xlfn.XLOOKUP("Risky_Inbound",'Scoring_Config'!$A:$A,'Scoring_Config'!$D:$D,"Yes")="Yes",_xlfn.XLOOKUP("Risky_Inbound",'Scoring_Config'!$A:$A,'Scoring_Config'!$C:$C,20),0),0)+IF(LEFT(AO177,4)="True",IF(_xlfn.XLOOKUP("Risky_Outbound",'Scoring_Config'!$A:$A,'Scoring_Config'!$D:$D,"Yes")="Yes",_xlfn.XLOOKUP("Risky_Outbound",'Scoring_Config'!$A:$A,'Scoring_Config'!$C:$C,10),0),0)+IF(LEFT(AW177,4)="True",IF(_xlfn.XLOOKUP("Migrate_Insecure",'Scoring_Config'!$A:$A,'Scoring_Config'!$D:$D,"Yes")="Yes",_xlfn.XLOOKUP("Migrate_Insecure",'Scoring_Config'!$A:$A,'Scoring_Config'!$C:$C,15),0),0)+IF(LEFT(AY177,4)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177,FIND(",",AP177)+1,100)),0)+IF(LEFT(AQ177,4)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177,FIND(",",AR177)+1,100)),0)+IF(_xlfn.XLOOKUP("Profile_Scoring",'Scoring_Config'!$A:$A,'Scoring_Config'!$D:$D,"Yes")="Yes",VALUE(MID(AS177,FIND(",",AS177)+1,100)),0)+IF(_xlfn.XLOOKUP("Options_Scoring",'Scoring_Config'!$A:$A,'Scoring_Config'!$D:$D,"Yes")="Yes",VALUE(MID(AT177,FIND(",",AT177)+1,100)),0)))</f>
        <v>0</v>
      </c>
    </row>
    <row r="178" spans="1:52">
      <c r="A178" s="3" t="s">
        <v>53</v>
      </c>
      <c r="B178" s="3" t="s">
        <v>135</v>
      </c>
      <c r="C178" s="3" t="s">
        <v>330</v>
      </c>
      <c r="D178" s="3"/>
      <c r="E178" s="3" t="s">
        <v>359</v>
      </c>
      <c r="F178" s="3" t="s">
        <v>361</v>
      </c>
      <c r="G178" s="3" t="s">
        <v>365</v>
      </c>
      <c r="H178" s="3" t="s">
        <v>365</v>
      </c>
      <c r="I178" s="3" t="s">
        <v>365</v>
      </c>
      <c r="J178" s="3" t="s">
        <v>360</v>
      </c>
      <c r="K178" s="3" t="s">
        <v>365</v>
      </c>
      <c r="L178" s="3" t="s">
        <v>365</v>
      </c>
      <c r="M178" s="3" t="s">
        <v>365</v>
      </c>
      <c r="N178" s="3" t="s">
        <v>365</v>
      </c>
      <c r="O178" s="4" t="s">
        <v>811</v>
      </c>
      <c r="P178" s="3" t="s">
        <v>872</v>
      </c>
      <c r="Q178" s="3" t="s">
        <v>905</v>
      </c>
      <c r="R178" s="3" t="s">
        <v>907</v>
      </c>
      <c r="S178" s="3" t="s">
        <v>912</v>
      </c>
      <c r="T178" s="3" t="s">
        <v>919</v>
      </c>
      <c r="U178" s="3" t="s">
        <v>1235</v>
      </c>
      <c r="V178" s="3" t="s">
        <v>1388</v>
      </c>
      <c r="W178" s="3" t="s">
        <v>1499</v>
      </c>
      <c r="X178" s="3" t="s">
        <v>1782</v>
      </c>
      <c r="Y178" s="3" t="s">
        <v>2251</v>
      </c>
      <c r="Z178" s="3"/>
      <c r="AA178" s="3"/>
      <c r="AB178" s="3"/>
      <c r="AC178" s="5" cm="1">
        <f t="array" ref="AC178">IF(TRUE,"True," &amp; IF(_xlfn.XLOOKUP("Src_IsAny",'Scoring_Config'!$A:$A,'Scoring_Config'!$D:$D,"Yes")="Yes",_xlfn.XLOOKUP("Src_IsAny",'Scoring_Config'!$A:$A,'Scoring_Config'!$C:$C,25),0),"False,0")</f>
        <v>0</v>
      </c>
      <c r="AD178" s="4" cm="1">
        <f t="array" ref="AD178">IF(FALSE,"True," &amp; IF(_xlfn.XLOOKUP("Src_CIDR_Le_16",'Scoring_Config'!$A:$A,'Scoring_Config'!$D:$D,"Yes")="Yes",_xlfn.XLOOKUP("Src_CIDR_Le_16",'Scoring_Config'!$A:$A,'Scoring_Config'!$C:$C,25),0),"False,0")</f>
        <v>0</v>
      </c>
      <c r="AE178" s="4" cm="1">
        <f t="array" ref="AE178">IF(FALSE,"True," &amp; IF(_xlfn.XLOOKUP("Src_CIDR_17_22",'Scoring_Config'!$A:$A,'Scoring_Config'!$D:$D,"Yes")="Yes",_xlfn.XLOOKUP("Src_CIDR_17_22",'Scoring_Config'!$A:$A,'Scoring_Config'!$C:$C,15),0),"False,0")</f>
        <v>0</v>
      </c>
      <c r="AF178" s="5" cm="1">
        <f t="array" ref="AF178">IF(TRUE,"True," &amp; IF(_xlfn.XLOOKUP("Dst_IsAny",'Scoring_Config'!$A:$A,'Scoring_Config'!$D:$D,"Yes")="Yes",_xlfn.XLOOKUP("Dst_IsAny",'Scoring_Config'!$A:$A,'Scoring_Config'!$C:$C,25),0),"False,0")</f>
        <v>0</v>
      </c>
      <c r="AG178" s="4" cm="1">
        <f t="array" ref="AG178">IF(FALSE,"True," &amp; IF(_xlfn.XLOOKUP("Dst_CIDR_Le_16",'Scoring_Config'!$A:$A,'Scoring_Config'!$D:$D,"Yes")="Yes",_xlfn.XLOOKUP("Dst_CIDR_Le_16",'Scoring_Config'!$A:$A,'Scoring_Config'!$C:$C,25),0),"False,0")</f>
        <v>0</v>
      </c>
      <c r="AH178" s="4" cm="1">
        <f t="array" ref="AH178">IF(FALSE,"True," &amp; IF(_xlfn.XLOOKUP("Dst_CIDR_17_22",'Scoring_Config'!$A:$A,'Scoring_Config'!$D:$D,"Yes")="Yes",_xlfn.XLOOKUP("Dst_CIDR_17_22",'Scoring_Config'!$A:$A,'Scoring_Config'!$C:$C,15),0),"False,0")</f>
        <v>0</v>
      </c>
      <c r="AI178" s="4" cm="1">
        <f t="array" ref="AI178">IF(FALSE,"True," &amp; IF(_xlfn.XLOOKUP("SrcZone_IsAny",'Scoring_Config'!$A:$A,'Scoring_Config'!$D:$D,"Yes")="Yes",_xlfn.XLOOKUP("SrcZone_IsAny",'Scoring_Config'!$A:$A,'Scoring_Config'!$C:$C,5),0),"False,0")</f>
        <v>0</v>
      </c>
      <c r="AJ178" s="4" cm="1">
        <f t="array" ref="AJ178">IF(FALSE,"True," &amp; IF(_xlfn.XLOOKUP("DstZone_IsAny",'Scoring_Config'!$A:$A,'Scoring_Config'!$D:$D,"Yes")="Yes",_xlfn.XLOOKUP("DstZone_IsAny",'Scoring_Config'!$A:$A,'Scoring_Config'!$C:$C,5),0),"False,0")</f>
        <v>0</v>
      </c>
      <c r="AK178" s="4" cm="1">
        <f t="array" ref="AK17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8" s="5" cm="1">
        <f t="array" ref="AL178">IF(TRUE,"True," &amp; IF(_xlfn.XLOOKUP("App_Any_OR_RangeGt1000",'Scoring_Config'!$A:$A,'Scoring_Config'!$D:$D,"Yes")="Yes",_xlfn.XLOOKUP("App_Any_OR_RangeGt1000",'Scoring_Config'!$A:$A,'Scoring_Config'!$C:$C,25),0),"False,0")</f>
        <v>0</v>
      </c>
      <c r="AM178" s="5" cm="1">
        <f t="array" ref="AM178">IF(TRUE,"True," &amp; IF(_xlfn.XLOOKUP("Service_Insecure_Match",'Scoring_Config'!$A:$A,'Scoring_Config'!$D:$D,"Yes")="Yes",_xlfn.XLOOKUP("Service_Insecure_Match",'Scoring_Config'!$A:$A,'Scoring_Config'!$C:$C,20),0),"False,0")</f>
        <v>0</v>
      </c>
      <c r="AN178" s="4" cm="1">
        <f t="array" ref="AN178">IF(FALSE,"True," &amp; IF(_xlfn.XLOOKUP("Risky_Inbound",'Scoring_Config'!$A:$A,'Scoring_Config'!$D:$D,"Yes")="Yes",_xlfn.XLOOKUP("Risky_Inbound",'Scoring_Config'!$A:$A,'Scoring_Config'!$C:$C,20),0),"False,0")</f>
        <v>0</v>
      </c>
      <c r="AO178" s="4" cm="1">
        <f t="array" ref="AO178">IF(FALSE,"True," &amp; IF(_xlfn.XLOOKUP("Risky_Outbound",'Scoring_Config'!$A:$A,'Scoring_Config'!$D:$D,"Yes")="Yes",_xlfn.XLOOKUP("Risky_Outbound",'Scoring_Config'!$A:$A,'Scoring_Config'!$C:$C,10),0),"False,0")</f>
        <v>0</v>
      </c>
      <c r="AP178" s="5" t="s">
        <v>2595</v>
      </c>
      <c r="AQ178" s="4" cm="1">
        <f t="array" ref="AQ17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8" s="4" t="s">
        <v>2592</v>
      </c>
      <c r="AS178" s="5" t="s">
        <v>2595</v>
      </c>
      <c r="AT178" s="4" t="s">
        <v>2592</v>
      </c>
      <c r="AU178" s="4" cm="1">
        <f t="array" ref="AU178">IF(FALSE,"True," &amp; IF(_xlfn.XLOOKUP("Action_IsDenyOrDrop",'Scoring_Config'!$A:$A,'Scoring_Config'!$D:$D,"Yes")="Yes",_xlfn.XLOOKUP("Action_IsDenyOrDrop",'Scoring_Config'!$A:$A,'Scoring_Config'!$C:$C,0),0),"False,0")</f>
        <v>0</v>
      </c>
      <c r="AV178" s="4"/>
      <c r="AW178" s="4" cm="1">
        <f t="array" ref="AW178">IF(FALSE,"True," &amp; IF(_xlfn.XLOOKUP("Migrate_Insecure",'Scoring_Config'!$A:$A,'Scoring_Config'!$D:$D,"Yes")="Yes",_xlfn.XLOOKUP("Migrate_Insecure",'Scoring_Config'!$A:$A,'Scoring_Config'!$C:$C,15),0),"False,0")</f>
        <v>0</v>
      </c>
      <c r="AX178" s="4"/>
      <c r="AY178" s="4" cm="1">
        <f t="array" ref="AY178">IF(FALSE,"True," &amp; IF(_xlfn.XLOOKUP("Migrate_Other_Ports",'Scoring_Config'!$A:$A,'Scoring_Config'!$D:$D,"Yes")="Yes",_xlfn.XLOOKUP("Migrate_Other_Ports",'Scoring_Config'!$A:$A,'Scoring_Config'!$C:$C,5),0),"False,0")</f>
        <v>0</v>
      </c>
      <c r="AZ178" s="4" cm="1">
        <f t="array" ref="AZ178">IF(LEFT(AU178,4)="True",0,(IF(LEFT(AC178,4)="True",IF(_xlfn.XLOOKUP("Src_IsAny",'Scoring_Config'!$A:$A,'Scoring_Config'!$D:$D,"Yes")="Yes",_xlfn.XLOOKUP("Src_IsAny",'Scoring_Config'!$A:$A,'Scoring_Config'!$C:$C,25),0),0)+IF(LEFT(AD178,4)="True",IF(_xlfn.XLOOKUP("Src_CIDR_Le_16",'Scoring_Config'!$A:$A,'Scoring_Config'!$D:$D,"Yes")="Yes",_xlfn.XLOOKUP("Src_CIDR_Le_16",'Scoring_Config'!$A:$A,'Scoring_Config'!$C:$C,25),0),0)+IF(LEFT(AE178,4)="True",IF(_xlfn.XLOOKUP("Src_CIDR_17_22",'Scoring_Config'!$A:$A,'Scoring_Config'!$D:$D,"Yes")="Yes",_xlfn.XLOOKUP("Src_CIDR_17_22",'Scoring_Config'!$A:$A,'Scoring_Config'!$C:$C,15),0),0)+IF(LEFT(AF178,4)="True",IF(_xlfn.XLOOKUP("Dst_IsAny",'Scoring_Config'!$A:$A,'Scoring_Config'!$D:$D,"Yes")="Yes",_xlfn.XLOOKUP("Dst_IsAny",'Scoring_Config'!$A:$A,'Scoring_Config'!$C:$C,25),0),0)+IF(LEFT(AG178,4)="True",IF(_xlfn.XLOOKUP("Dst_CIDR_Le_16",'Scoring_Config'!$A:$A,'Scoring_Config'!$D:$D,"Yes")="Yes",_xlfn.XLOOKUP("Dst_CIDR_Le_16",'Scoring_Config'!$A:$A,'Scoring_Config'!$C:$C,25),0),0)+IF(LEFT(AH178,4)="True",IF(_xlfn.XLOOKUP("Dst_CIDR_17_22",'Scoring_Config'!$A:$A,'Scoring_Config'!$D:$D,"Yes")="Yes",_xlfn.XLOOKUP("Dst_CIDR_17_22",'Scoring_Config'!$A:$A,'Scoring_Config'!$C:$C,15),0),0)+IF(LEFT(AI178,4)="True",IF(_xlfn.XLOOKUP("SrcZone_IsAny",'Scoring_Config'!$A:$A,'Scoring_Config'!$D:$D,"Yes")="Yes",_xlfn.XLOOKUP("SrcZone_IsAny",'Scoring_Config'!$A:$A,'Scoring_Config'!$C:$C,5),0),0)+IF(LEFT(AJ178,4)="True",IF(_xlfn.XLOOKUP("DstZone_IsAny",'Scoring_Config'!$A:$A,'Scoring_Config'!$D:$D,"Yes")="Yes",_xlfn.XLOOKUP("DstZone_IsAny",'Scoring_Config'!$A:$A,'Scoring_Config'!$C:$C,5),0),0)+IF(LEFT(AK178,4)="True",IF(_xlfn.XLOOKUP("Service_Any_OR_RangeGt1000",'Scoring_Config'!$A:$A,'Scoring_Config'!$D:$D,"Yes")="Yes",_xlfn.XLOOKUP("Service_Any_OR_RangeGt1000",'Scoring_Config'!$A:$A,'Scoring_Config'!$C:$C,25),0),0)+IF(LEFT(AL178,4)="True",IF(_xlfn.XLOOKUP("App_Any_OR_RangeGt1000",'Scoring_Config'!$A:$A,'Scoring_Config'!$D:$D,"Yes")="Yes",_xlfn.XLOOKUP("App_Any_OR_RangeGt1000",'Scoring_Config'!$A:$A,'Scoring_Config'!$C:$C,25),0),0)+IF(LEFT(AM178,4)="True",IF(_xlfn.XLOOKUP("Service_Insecure_Match",'Scoring_Config'!$A:$A,'Scoring_Config'!$D:$D,"Yes")="Yes",_xlfn.XLOOKUP("Service_Insecure_Match",'Scoring_Config'!$A:$A,'Scoring_Config'!$C:$C,20),0),0)+IF(LEFT(AN178,4)="True",IF(_xlfn.XLOOKUP("Risky_Inbound",'Scoring_Config'!$A:$A,'Scoring_Config'!$D:$D,"Yes")="Yes",_xlfn.XLOOKUP("Risky_Inbound",'Scoring_Config'!$A:$A,'Scoring_Config'!$C:$C,20),0),0)+IF(LEFT(AO178,4)="True",IF(_xlfn.XLOOKUP("Risky_Outbound",'Scoring_Config'!$A:$A,'Scoring_Config'!$D:$D,"Yes")="Yes",_xlfn.XLOOKUP("Risky_Outbound",'Scoring_Config'!$A:$A,'Scoring_Config'!$C:$C,10),0),0)+IF(LEFT(AW178,4)="True",IF(_xlfn.XLOOKUP("Migrate_Insecure",'Scoring_Config'!$A:$A,'Scoring_Config'!$D:$D,"Yes")="Yes",_xlfn.XLOOKUP("Migrate_Insecure",'Scoring_Config'!$A:$A,'Scoring_Config'!$C:$C,15),0),0)+IF(LEFT(AY178,4)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178,FIND(",",AP178)+1,100)),0)+IF(LEFT(AQ178,4)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178,FIND(",",AR178)+1,100)),0)+IF(_xlfn.XLOOKUP("Profile_Scoring",'Scoring_Config'!$A:$A,'Scoring_Config'!$D:$D,"Yes")="Yes",VALUE(MID(AS178,FIND(",",AS178)+1,100)),0)+IF(_xlfn.XLOOKUP("Options_Scoring",'Scoring_Config'!$A:$A,'Scoring_Config'!$D:$D,"Yes")="Yes",VALUE(MID(AT178,FIND(",",AT178)+1,100)),0)))</f>
        <v>0</v>
      </c>
    </row>
    <row r="179" spans="1:52">
      <c r="A179" s="3" t="s">
        <v>53</v>
      </c>
      <c r="B179" s="3" t="s">
        <v>140</v>
      </c>
      <c r="C179" s="3" t="s">
        <v>330</v>
      </c>
      <c r="D179" s="3"/>
      <c r="E179" s="3" t="s">
        <v>359</v>
      </c>
      <c r="F179" s="3" t="s">
        <v>364</v>
      </c>
      <c r="G179" s="3" t="s">
        <v>430</v>
      </c>
      <c r="H179" s="3" t="s">
        <v>430</v>
      </c>
      <c r="I179" s="3" t="s">
        <v>624</v>
      </c>
      <c r="J179" s="3" t="s">
        <v>362</v>
      </c>
      <c r="K179" s="3" t="s">
        <v>668</v>
      </c>
      <c r="L179" s="3" t="s">
        <v>752</v>
      </c>
      <c r="M179" s="3" t="s">
        <v>775</v>
      </c>
      <c r="N179" s="3" t="s">
        <v>796</v>
      </c>
      <c r="O179" s="4" t="s">
        <v>831</v>
      </c>
      <c r="P179" s="3" t="s">
        <v>892</v>
      </c>
      <c r="Q179" s="3" t="s">
        <v>905</v>
      </c>
      <c r="R179" s="3" t="s">
        <v>908</v>
      </c>
      <c r="S179" s="3" t="s">
        <v>907</v>
      </c>
      <c r="T179" s="3" t="s">
        <v>1030</v>
      </c>
      <c r="U179" s="3" t="s">
        <v>1157</v>
      </c>
      <c r="V179" s="3" t="s">
        <v>1386</v>
      </c>
      <c r="W179" s="3" t="s">
        <v>1008</v>
      </c>
      <c r="X179" s="3" t="s">
        <v>1783</v>
      </c>
      <c r="Y179" s="3" t="s">
        <v>2252</v>
      </c>
      <c r="Z179" s="3"/>
      <c r="AA179" s="3"/>
      <c r="AB179" s="3"/>
      <c r="AC179" s="4" cm="1">
        <f t="array" ref="AC179">IF(FALSE,"True," &amp; IF(_xlfn.XLOOKUP("Src_IsAny",'Scoring_Config'!$A:$A,'Scoring_Config'!$D:$D,"Yes")="Yes",_xlfn.XLOOKUP("Src_IsAny",'Scoring_Config'!$A:$A,'Scoring_Config'!$C:$C,25),0),"False,0")</f>
        <v>0</v>
      </c>
      <c r="AD179" s="4" cm="1">
        <f t="array" ref="AD179">IF(FALSE,"True," &amp; IF(_xlfn.XLOOKUP("Src_CIDR_Le_16",'Scoring_Config'!$A:$A,'Scoring_Config'!$D:$D,"Yes")="Yes",_xlfn.XLOOKUP("Src_CIDR_Le_16",'Scoring_Config'!$A:$A,'Scoring_Config'!$C:$C,25),0),"False,0")</f>
        <v>0</v>
      </c>
      <c r="AE179" s="4" cm="1">
        <f t="array" ref="AE179">IF(FALSE,"True," &amp; IF(_xlfn.XLOOKUP("Src_CIDR_17_22",'Scoring_Config'!$A:$A,'Scoring_Config'!$D:$D,"Yes")="Yes",_xlfn.XLOOKUP("Src_CIDR_17_22",'Scoring_Config'!$A:$A,'Scoring_Config'!$C:$C,15),0),"False,0")</f>
        <v>0</v>
      </c>
      <c r="AF179" s="4" cm="1">
        <f t="array" ref="AF179">IF(FALSE,"True," &amp; IF(_xlfn.XLOOKUP("Dst_IsAny",'Scoring_Config'!$A:$A,'Scoring_Config'!$D:$D,"Yes")="Yes",_xlfn.XLOOKUP("Dst_IsAny",'Scoring_Config'!$A:$A,'Scoring_Config'!$C:$C,25),0),"False,0")</f>
        <v>0</v>
      </c>
      <c r="AG179" s="4" cm="1">
        <f t="array" ref="AG179">IF(FALSE,"True," &amp; IF(_xlfn.XLOOKUP("Dst_CIDR_Le_16",'Scoring_Config'!$A:$A,'Scoring_Config'!$D:$D,"Yes")="Yes",_xlfn.XLOOKUP("Dst_CIDR_Le_16",'Scoring_Config'!$A:$A,'Scoring_Config'!$C:$C,25),0),"False,0")</f>
        <v>0</v>
      </c>
      <c r="AH179" s="4" cm="1">
        <f t="array" ref="AH179">IF(FALSE,"True," &amp; IF(_xlfn.XLOOKUP("Dst_CIDR_17_22",'Scoring_Config'!$A:$A,'Scoring_Config'!$D:$D,"Yes")="Yes",_xlfn.XLOOKUP("Dst_CIDR_17_22",'Scoring_Config'!$A:$A,'Scoring_Config'!$C:$C,15),0),"False,0")</f>
        <v>0</v>
      </c>
      <c r="AI179" s="4" cm="1">
        <f t="array" ref="AI179">IF(FALSE,"True," &amp; IF(_xlfn.XLOOKUP("SrcZone_IsAny",'Scoring_Config'!$A:$A,'Scoring_Config'!$D:$D,"Yes")="Yes",_xlfn.XLOOKUP("SrcZone_IsAny",'Scoring_Config'!$A:$A,'Scoring_Config'!$C:$C,5),0),"False,0")</f>
        <v>0</v>
      </c>
      <c r="AJ179" s="4" cm="1">
        <f t="array" ref="AJ179">IF(FALSE,"True," &amp; IF(_xlfn.XLOOKUP("DstZone_IsAny",'Scoring_Config'!$A:$A,'Scoring_Config'!$D:$D,"Yes")="Yes",_xlfn.XLOOKUP("DstZone_IsAny",'Scoring_Config'!$A:$A,'Scoring_Config'!$C:$C,5),0),"False,0")</f>
        <v>0</v>
      </c>
      <c r="AK179" s="4" cm="1">
        <f t="array" ref="AK17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79" s="4" cm="1">
        <f t="array" ref="AL179">IF(FALSE,"True," &amp; IF(_xlfn.XLOOKUP("App_Any_OR_RangeGt1000",'Scoring_Config'!$A:$A,'Scoring_Config'!$D:$D,"Yes")="Yes",_xlfn.XLOOKUP("App_Any_OR_RangeGt1000",'Scoring_Config'!$A:$A,'Scoring_Config'!$C:$C,25),0),"False,0")</f>
        <v>0</v>
      </c>
      <c r="AM179" s="5" cm="1">
        <f t="array" ref="AM179">IF(TRUE,"True," &amp; IF(_xlfn.XLOOKUP("Service_Insecure_Match",'Scoring_Config'!$A:$A,'Scoring_Config'!$D:$D,"Yes")="Yes",_xlfn.XLOOKUP("Service_Insecure_Match",'Scoring_Config'!$A:$A,'Scoring_Config'!$C:$C,20),0),"False,0")</f>
        <v>0</v>
      </c>
      <c r="AN179" s="4" cm="1">
        <f t="array" ref="AN179">IF(FALSE,"True," &amp; IF(_xlfn.XLOOKUP("Risky_Inbound",'Scoring_Config'!$A:$A,'Scoring_Config'!$D:$D,"Yes")="Yes",_xlfn.XLOOKUP("Risky_Inbound",'Scoring_Config'!$A:$A,'Scoring_Config'!$C:$C,20),0),"False,0")</f>
        <v>0</v>
      </c>
      <c r="AO179" s="4" cm="1">
        <f t="array" ref="AO179">IF(FALSE,"True," &amp; IF(_xlfn.XLOOKUP("Risky_Outbound",'Scoring_Config'!$A:$A,'Scoring_Config'!$D:$D,"Yes")="Yes",_xlfn.XLOOKUP("Risky_Outbound",'Scoring_Config'!$A:$A,'Scoring_Config'!$C:$C,10),0),"False,0")</f>
        <v>0</v>
      </c>
      <c r="AP179" s="5" t="s">
        <v>2595</v>
      </c>
      <c r="AQ179" s="5" cm="1">
        <f t="array" ref="AQ17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79" s="5" t="s">
        <v>2598</v>
      </c>
      <c r="AS179" s="4" t="s">
        <v>2592</v>
      </c>
      <c r="AT179" s="5" t="s">
        <v>2595</v>
      </c>
      <c r="AU179" s="4" cm="1">
        <f t="array" ref="AU179">IF(FALSE,"True," &amp; IF(_xlfn.XLOOKUP("Action_IsDenyOrDrop",'Scoring_Config'!$A:$A,'Scoring_Config'!$D:$D,"Yes")="Yes",_xlfn.XLOOKUP("Action_IsDenyOrDrop",'Scoring_Config'!$A:$A,'Scoring_Config'!$C:$C,0),0),"False,0")</f>
        <v>0</v>
      </c>
      <c r="AV179" s="4"/>
      <c r="AW179" s="4" cm="1">
        <f t="array" ref="AW179">IF(FALSE,"True," &amp; IF(_xlfn.XLOOKUP("Migrate_Insecure",'Scoring_Config'!$A:$A,'Scoring_Config'!$D:$D,"Yes")="Yes",_xlfn.XLOOKUP("Migrate_Insecure",'Scoring_Config'!$A:$A,'Scoring_Config'!$C:$C,15),0),"False,0")</f>
        <v>0</v>
      </c>
      <c r="AX179" s="4"/>
      <c r="AY179" s="4" cm="1">
        <f t="array" ref="AY179">IF(FALSE,"True," &amp; IF(_xlfn.XLOOKUP("Migrate_Other_Ports",'Scoring_Config'!$A:$A,'Scoring_Config'!$D:$D,"Yes")="Yes",_xlfn.XLOOKUP("Migrate_Other_Ports",'Scoring_Config'!$A:$A,'Scoring_Config'!$C:$C,5),0),"False,0")</f>
        <v>0</v>
      </c>
      <c r="AZ179" s="4" cm="1">
        <f t="array" ref="AZ179">IF(LEFT(AU179,4)="True",0,(IF(LEFT(AC179,4)="True",IF(_xlfn.XLOOKUP("Src_IsAny",'Scoring_Config'!$A:$A,'Scoring_Config'!$D:$D,"Yes")="Yes",_xlfn.XLOOKUP("Src_IsAny",'Scoring_Config'!$A:$A,'Scoring_Config'!$C:$C,25),0),0)+IF(LEFT(AD179,4)="True",IF(_xlfn.XLOOKUP("Src_CIDR_Le_16",'Scoring_Config'!$A:$A,'Scoring_Config'!$D:$D,"Yes")="Yes",_xlfn.XLOOKUP("Src_CIDR_Le_16",'Scoring_Config'!$A:$A,'Scoring_Config'!$C:$C,25),0),0)+IF(LEFT(AE179,4)="True",IF(_xlfn.XLOOKUP("Src_CIDR_17_22",'Scoring_Config'!$A:$A,'Scoring_Config'!$D:$D,"Yes")="Yes",_xlfn.XLOOKUP("Src_CIDR_17_22",'Scoring_Config'!$A:$A,'Scoring_Config'!$C:$C,15),0),0)+IF(LEFT(AF179,4)="True",IF(_xlfn.XLOOKUP("Dst_IsAny",'Scoring_Config'!$A:$A,'Scoring_Config'!$D:$D,"Yes")="Yes",_xlfn.XLOOKUP("Dst_IsAny",'Scoring_Config'!$A:$A,'Scoring_Config'!$C:$C,25),0),0)+IF(LEFT(AG179,4)="True",IF(_xlfn.XLOOKUP("Dst_CIDR_Le_16",'Scoring_Config'!$A:$A,'Scoring_Config'!$D:$D,"Yes")="Yes",_xlfn.XLOOKUP("Dst_CIDR_Le_16",'Scoring_Config'!$A:$A,'Scoring_Config'!$C:$C,25),0),0)+IF(LEFT(AH179,4)="True",IF(_xlfn.XLOOKUP("Dst_CIDR_17_22",'Scoring_Config'!$A:$A,'Scoring_Config'!$D:$D,"Yes")="Yes",_xlfn.XLOOKUP("Dst_CIDR_17_22",'Scoring_Config'!$A:$A,'Scoring_Config'!$C:$C,15),0),0)+IF(LEFT(AI179,4)="True",IF(_xlfn.XLOOKUP("SrcZone_IsAny",'Scoring_Config'!$A:$A,'Scoring_Config'!$D:$D,"Yes")="Yes",_xlfn.XLOOKUP("SrcZone_IsAny",'Scoring_Config'!$A:$A,'Scoring_Config'!$C:$C,5),0),0)+IF(LEFT(AJ179,4)="True",IF(_xlfn.XLOOKUP("DstZone_IsAny",'Scoring_Config'!$A:$A,'Scoring_Config'!$D:$D,"Yes")="Yes",_xlfn.XLOOKUP("DstZone_IsAny",'Scoring_Config'!$A:$A,'Scoring_Config'!$C:$C,5),0),0)+IF(LEFT(AK179,4)="True",IF(_xlfn.XLOOKUP("Service_Any_OR_RangeGt1000",'Scoring_Config'!$A:$A,'Scoring_Config'!$D:$D,"Yes")="Yes",_xlfn.XLOOKUP("Service_Any_OR_RangeGt1000",'Scoring_Config'!$A:$A,'Scoring_Config'!$C:$C,25),0),0)+IF(LEFT(AL179,4)="True",IF(_xlfn.XLOOKUP("App_Any_OR_RangeGt1000",'Scoring_Config'!$A:$A,'Scoring_Config'!$D:$D,"Yes")="Yes",_xlfn.XLOOKUP("App_Any_OR_RangeGt1000",'Scoring_Config'!$A:$A,'Scoring_Config'!$C:$C,25),0),0)+IF(LEFT(AM179,4)="True",IF(_xlfn.XLOOKUP("Service_Insecure_Match",'Scoring_Config'!$A:$A,'Scoring_Config'!$D:$D,"Yes")="Yes",_xlfn.XLOOKUP("Service_Insecure_Match",'Scoring_Config'!$A:$A,'Scoring_Config'!$C:$C,20),0),0)+IF(LEFT(AN179,4)="True",IF(_xlfn.XLOOKUP("Risky_Inbound",'Scoring_Config'!$A:$A,'Scoring_Config'!$D:$D,"Yes")="Yes",_xlfn.XLOOKUP("Risky_Inbound",'Scoring_Config'!$A:$A,'Scoring_Config'!$C:$C,20),0),0)+IF(LEFT(AO179,4)="True",IF(_xlfn.XLOOKUP("Risky_Outbound",'Scoring_Config'!$A:$A,'Scoring_Config'!$D:$D,"Yes")="Yes",_xlfn.XLOOKUP("Risky_Outbound",'Scoring_Config'!$A:$A,'Scoring_Config'!$C:$C,10),0),0)+IF(LEFT(AW179,4)="True",IF(_xlfn.XLOOKUP("Migrate_Insecure",'Scoring_Config'!$A:$A,'Scoring_Config'!$D:$D,"Yes")="Yes",_xlfn.XLOOKUP("Migrate_Insecure",'Scoring_Config'!$A:$A,'Scoring_Config'!$C:$C,15),0),0)+IF(LEFT(AY179,4)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179,FIND(",",AP179)+1,100)),0)+IF(LEFT(AQ179,4)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179,FIND(",",AR179)+1,100)),0)+IF(_xlfn.XLOOKUP("Profile_Scoring",'Scoring_Config'!$A:$A,'Scoring_Config'!$D:$D,"Yes")="Yes",VALUE(MID(AS179,FIND(",",AS179)+1,100)),0)+IF(_xlfn.XLOOKUP("Options_Scoring",'Scoring_Config'!$A:$A,'Scoring_Config'!$D:$D,"Yes")="Yes",VALUE(MID(AT179,FIND(",",AT179)+1,100)),0)))</f>
        <v>0</v>
      </c>
    </row>
    <row r="180" spans="1:52">
      <c r="A180" s="3" t="s">
        <v>53</v>
      </c>
      <c r="B180" s="3" t="s">
        <v>185</v>
      </c>
      <c r="C180" s="3" t="s">
        <v>330</v>
      </c>
      <c r="D180" s="3"/>
      <c r="E180" s="3" t="s">
        <v>359</v>
      </c>
      <c r="F180" s="3" t="s">
        <v>364</v>
      </c>
      <c r="G180" s="3" t="s">
        <v>365</v>
      </c>
      <c r="H180" s="3" t="s">
        <v>365</v>
      </c>
      <c r="I180" s="3" t="s">
        <v>622</v>
      </c>
      <c r="J180" s="3" t="s">
        <v>360</v>
      </c>
      <c r="K180" s="3" t="s">
        <v>365</v>
      </c>
      <c r="L180" s="3" t="s">
        <v>365</v>
      </c>
      <c r="M180" s="3" t="s">
        <v>770</v>
      </c>
      <c r="N180" s="3" t="s">
        <v>770</v>
      </c>
      <c r="O180" s="4" t="s">
        <v>802</v>
      </c>
      <c r="P180" s="3" t="s">
        <v>863</v>
      </c>
      <c r="Q180" s="3" t="s">
        <v>905</v>
      </c>
      <c r="R180" s="3" t="s">
        <v>911</v>
      </c>
      <c r="S180" s="3" t="s">
        <v>912</v>
      </c>
      <c r="T180" s="3" t="s">
        <v>1031</v>
      </c>
      <c r="U180" s="3" t="s">
        <v>1236</v>
      </c>
      <c r="V180" s="3" t="s">
        <v>1387</v>
      </c>
      <c r="W180" s="3" t="s">
        <v>1092</v>
      </c>
      <c r="X180" s="3" t="s">
        <v>1784</v>
      </c>
      <c r="Y180" s="3" t="s">
        <v>2253</v>
      </c>
      <c r="Z180" s="3"/>
      <c r="AA180" s="3"/>
      <c r="AB180" s="3"/>
      <c r="AC180" s="5" cm="1">
        <f t="array" ref="AC180">IF(TRUE,"True," &amp; IF(_xlfn.XLOOKUP("Src_IsAny",'Scoring_Config'!$A:$A,'Scoring_Config'!$D:$D,"Yes")="Yes",_xlfn.XLOOKUP("Src_IsAny",'Scoring_Config'!$A:$A,'Scoring_Config'!$C:$C,25),0),"False,0")</f>
        <v>0</v>
      </c>
      <c r="AD180" s="4" cm="1">
        <f t="array" ref="AD180">IF(FALSE,"True," &amp; IF(_xlfn.XLOOKUP("Src_CIDR_Le_16",'Scoring_Config'!$A:$A,'Scoring_Config'!$D:$D,"Yes")="Yes",_xlfn.XLOOKUP("Src_CIDR_Le_16",'Scoring_Config'!$A:$A,'Scoring_Config'!$C:$C,25),0),"False,0")</f>
        <v>0</v>
      </c>
      <c r="AE180" s="4" cm="1">
        <f t="array" ref="AE180">IF(FALSE,"True," &amp; IF(_xlfn.XLOOKUP("Src_CIDR_17_22",'Scoring_Config'!$A:$A,'Scoring_Config'!$D:$D,"Yes")="Yes",_xlfn.XLOOKUP("Src_CIDR_17_22",'Scoring_Config'!$A:$A,'Scoring_Config'!$C:$C,15),0),"False,0")</f>
        <v>0</v>
      </c>
      <c r="AF180" s="5" cm="1">
        <f t="array" ref="AF180">IF(TRUE,"True," &amp; IF(_xlfn.XLOOKUP("Dst_IsAny",'Scoring_Config'!$A:$A,'Scoring_Config'!$D:$D,"Yes")="Yes",_xlfn.XLOOKUP("Dst_IsAny",'Scoring_Config'!$A:$A,'Scoring_Config'!$C:$C,25),0),"False,0")</f>
        <v>0</v>
      </c>
      <c r="AG180" s="4" cm="1">
        <f t="array" ref="AG180">IF(FALSE,"True," &amp; IF(_xlfn.XLOOKUP("Dst_CIDR_Le_16",'Scoring_Config'!$A:$A,'Scoring_Config'!$D:$D,"Yes")="Yes",_xlfn.XLOOKUP("Dst_CIDR_Le_16",'Scoring_Config'!$A:$A,'Scoring_Config'!$C:$C,25),0),"False,0")</f>
        <v>0</v>
      </c>
      <c r="AH180" s="4" cm="1">
        <f t="array" ref="AH180">IF(FALSE,"True," &amp; IF(_xlfn.XLOOKUP("Dst_CIDR_17_22",'Scoring_Config'!$A:$A,'Scoring_Config'!$D:$D,"Yes")="Yes",_xlfn.XLOOKUP("Dst_CIDR_17_22",'Scoring_Config'!$A:$A,'Scoring_Config'!$C:$C,15),0),"False,0")</f>
        <v>0</v>
      </c>
      <c r="AI180" s="4" cm="1">
        <f t="array" ref="AI180">IF(FALSE,"True," &amp; IF(_xlfn.XLOOKUP("SrcZone_IsAny",'Scoring_Config'!$A:$A,'Scoring_Config'!$D:$D,"Yes")="Yes",_xlfn.XLOOKUP("SrcZone_IsAny",'Scoring_Config'!$A:$A,'Scoring_Config'!$C:$C,5),0),"False,0")</f>
        <v>0</v>
      </c>
      <c r="AJ180" s="4" cm="1">
        <f t="array" ref="AJ180">IF(FALSE,"True," &amp; IF(_xlfn.XLOOKUP("DstZone_IsAny",'Scoring_Config'!$A:$A,'Scoring_Config'!$D:$D,"Yes")="Yes",_xlfn.XLOOKUP("DstZone_IsAny",'Scoring_Config'!$A:$A,'Scoring_Config'!$C:$C,5),0),"False,0")</f>
        <v>0</v>
      </c>
      <c r="AK180" s="4" cm="1">
        <f t="array" ref="AK18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0" s="4" cm="1">
        <f t="array" ref="AL180">IF(FALSE,"True," &amp; IF(_xlfn.XLOOKUP("App_Any_OR_RangeGt1000",'Scoring_Config'!$A:$A,'Scoring_Config'!$D:$D,"Yes")="Yes",_xlfn.XLOOKUP("App_Any_OR_RangeGt1000",'Scoring_Config'!$A:$A,'Scoring_Config'!$C:$C,25),0),"False,0")</f>
        <v>0</v>
      </c>
      <c r="AM180" s="5" cm="1">
        <f t="array" ref="AM180">IF(TRUE,"True," &amp; IF(_xlfn.XLOOKUP("Service_Insecure_Match",'Scoring_Config'!$A:$A,'Scoring_Config'!$D:$D,"Yes")="Yes",_xlfn.XLOOKUP("Service_Insecure_Match",'Scoring_Config'!$A:$A,'Scoring_Config'!$C:$C,20),0),"False,0")</f>
        <v>0</v>
      </c>
      <c r="AN180" s="4" cm="1">
        <f t="array" ref="AN180">IF(FALSE,"True," &amp; IF(_xlfn.XLOOKUP("Risky_Inbound",'Scoring_Config'!$A:$A,'Scoring_Config'!$D:$D,"Yes")="Yes",_xlfn.XLOOKUP("Risky_Inbound",'Scoring_Config'!$A:$A,'Scoring_Config'!$C:$C,20),0),"False,0")</f>
        <v>0</v>
      </c>
      <c r="AO180" s="4" cm="1">
        <f t="array" ref="AO180">IF(FALSE,"True," &amp; IF(_xlfn.XLOOKUP("Risky_Outbound",'Scoring_Config'!$A:$A,'Scoring_Config'!$D:$D,"Yes")="Yes",_xlfn.XLOOKUP("Risky_Outbound",'Scoring_Config'!$A:$A,'Scoring_Config'!$C:$C,10),0),"False,0")</f>
        <v>0</v>
      </c>
      <c r="AP180" s="5" t="s">
        <v>2595</v>
      </c>
      <c r="AQ180" s="4" cm="1">
        <f t="array" ref="AQ18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0" s="5" t="s">
        <v>2598</v>
      </c>
      <c r="AS180" s="4" t="s">
        <v>2592</v>
      </c>
      <c r="AT180" s="4" t="s">
        <v>2592</v>
      </c>
      <c r="AU180" s="4" cm="1">
        <f t="array" ref="AU180">IF(FALSE,"True," &amp; IF(_xlfn.XLOOKUP("Action_IsDenyOrDrop",'Scoring_Config'!$A:$A,'Scoring_Config'!$D:$D,"Yes")="Yes",_xlfn.XLOOKUP("Action_IsDenyOrDrop",'Scoring_Config'!$A:$A,'Scoring_Config'!$C:$C,0),0),"False,0")</f>
        <v>0</v>
      </c>
      <c r="AV180" s="4"/>
      <c r="AW180" s="4" cm="1">
        <f t="array" ref="AW180">IF(FALSE,"True," &amp; IF(_xlfn.XLOOKUP("Migrate_Insecure",'Scoring_Config'!$A:$A,'Scoring_Config'!$D:$D,"Yes")="Yes",_xlfn.XLOOKUP("Migrate_Insecure",'Scoring_Config'!$A:$A,'Scoring_Config'!$C:$C,15),0),"False,0")</f>
        <v>0</v>
      </c>
      <c r="AX180" s="4"/>
      <c r="AY180" s="4" cm="1">
        <f t="array" ref="AY180">IF(FALSE,"True," &amp; IF(_xlfn.XLOOKUP("Migrate_Other_Ports",'Scoring_Config'!$A:$A,'Scoring_Config'!$D:$D,"Yes")="Yes",_xlfn.XLOOKUP("Migrate_Other_Ports",'Scoring_Config'!$A:$A,'Scoring_Config'!$C:$C,5),0),"False,0")</f>
        <v>0</v>
      </c>
      <c r="AZ180" s="4" cm="1">
        <f t="array" ref="AZ180">IF(LEFT(AU180,4)="True",0,(IF(LEFT(AC180,4)="True",IF(_xlfn.XLOOKUP("Src_IsAny",'Scoring_Config'!$A:$A,'Scoring_Config'!$D:$D,"Yes")="Yes",_xlfn.XLOOKUP("Src_IsAny",'Scoring_Config'!$A:$A,'Scoring_Config'!$C:$C,25),0),0)+IF(LEFT(AD180,4)="True",IF(_xlfn.XLOOKUP("Src_CIDR_Le_16",'Scoring_Config'!$A:$A,'Scoring_Config'!$D:$D,"Yes")="Yes",_xlfn.XLOOKUP("Src_CIDR_Le_16",'Scoring_Config'!$A:$A,'Scoring_Config'!$C:$C,25),0),0)+IF(LEFT(AE180,4)="True",IF(_xlfn.XLOOKUP("Src_CIDR_17_22",'Scoring_Config'!$A:$A,'Scoring_Config'!$D:$D,"Yes")="Yes",_xlfn.XLOOKUP("Src_CIDR_17_22",'Scoring_Config'!$A:$A,'Scoring_Config'!$C:$C,15),0),0)+IF(LEFT(AF180,4)="True",IF(_xlfn.XLOOKUP("Dst_IsAny",'Scoring_Config'!$A:$A,'Scoring_Config'!$D:$D,"Yes")="Yes",_xlfn.XLOOKUP("Dst_IsAny",'Scoring_Config'!$A:$A,'Scoring_Config'!$C:$C,25),0),0)+IF(LEFT(AG180,4)="True",IF(_xlfn.XLOOKUP("Dst_CIDR_Le_16",'Scoring_Config'!$A:$A,'Scoring_Config'!$D:$D,"Yes")="Yes",_xlfn.XLOOKUP("Dst_CIDR_Le_16",'Scoring_Config'!$A:$A,'Scoring_Config'!$C:$C,25),0),0)+IF(LEFT(AH180,4)="True",IF(_xlfn.XLOOKUP("Dst_CIDR_17_22",'Scoring_Config'!$A:$A,'Scoring_Config'!$D:$D,"Yes")="Yes",_xlfn.XLOOKUP("Dst_CIDR_17_22",'Scoring_Config'!$A:$A,'Scoring_Config'!$C:$C,15),0),0)+IF(LEFT(AI180,4)="True",IF(_xlfn.XLOOKUP("SrcZone_IsAny",'Scoring_Config'!$A:$A,'Scoring_Config'!$D:$D,"Yes")="Yes",_xlfn.XLOOKUP("SrcZone_IsAny",'Scoring_Config'!$A:$A,'Scoring_Config'!$C:$C,5),0),0)+IF(LEFT(AJ180,4)="True",IF(_xlfn.XLOOKUP("DstZone_IsAny",'Scoring_Config'!$A:$A,'Scoring_Config'!$D:$D,"Yes")="Yes",_xlfn.XLOOKUP("DstZone_IsAny",'Scoring_Config'!$A:$A,'Scoring_Config'!$C:$C,5),0),0)+IF(LEFT(AK180,4)="True",IF(_xlfn.XLOOKUP("Service_Any_OR_RangeGt1000",'Scoring_Config'!$A:$A,'Scoring_Config'!$D:$D,"Yes")="Yes",_xlfn.XLOOKUP("Service_Any_OR_RangeGt1000",'Scoring_Config'!$A:$A,'Scoring_Config'!$C:$C,25),0),0)+IF(LEFT(AL180,4)="True",IF(_xlfn.XLOOKUP("App_Any_OR_RangeGt1000",'Scoring_Config'!$A:$A,'Scoring_Config'!$D:$D,"Yes")="Yes",_xlfn.XLOOKUP("App_Any_OR_RangeGt1000",'Scoring_Config'!$A:$A,'Scoring_Config'!$C:$C,25),0),0)+IF(LEFT(AM180,4)="True",IF(_xlfn.XLOOKUP("Service_Insecure_Match",'Scoring_Config'!$A:$A,'Scoring_Config'!$D:$D,"Yes")="Yes",_xlfn.XLOOKUP("Service_Insecure_Match",'Scoring_Config'!$A:$A,'Scoring_Config'!$C:$C,20),0),0)+IF(LEFT(AN180,4)="True",IF(_xlfn.XLOOKUP("Risky_Inbound",'Scoring_Config'!$A:$A,'Scoring_Config'!$D:$D,"Yes")="Yes",_xlfn.XLOOKUP("Risky_Inbound",'Scoring_Config'!$A:$A,'Scoring_Config'!$C:$C,20),0),0)+IF(LEFT(AO180,4)="True",IF(_xlfn.XLOOKUP("Risky_Outbound",'Scoring_Config'!$A:$A,'Scoring_Config'!$D:$D,"Yes")="Yes",_xlfn.XLOOKUP("Risky_Outbound",'Scoring_Config'!$A:$A,'Scoring_Config'!$C:$C,10),0),0)+IF(LEFT(AW180,4)="True",IF(_xlfn.XLOOKUP("Migrate_Insecure",'Scoring_Config'!$A:$A,'Scoring_Config'!$D:$D,"Yes")="Yes",_xlfn.XLOOKUP("Migrate_Insecure",'Scoring_Config'!$A:$A,'Scoring_Config'!$C:$C,15),0),0)+IF(LEFT(AY180,4)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180,FIND(",",AP180)+1,100)),0)+IF(LEFT(AQ180,4)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180,FIND(",",AR180)+1,100)),0)+IF(_xlfn.XLOOKUP("Profile_Scoring",'Scoring_Config'!$A:$A,'Scoring_Config'!$D:$D,"Yes")="Yes",VALUE(MID(AS180,FIND(",",AS180)+1,100)),0)+IF(_xlfn.XLOOKUP("Options_Scoring",'Scoring_Config'!$A:$A,'Scoring_Config'!$D:$D,"Yes")="Yes",VALUE(MID(AT180,FIND(",",AT180)+1,100)),0)))</f>
        <v>0</v>
      </c>
    </row>
    <row r="181" spans="1:52">
      <c r="A181" s="3" t="s">
        <v>53</v>
      </c>
      <c r="B181" s="3" t="s">
        <v>186</v>
      </c>
      <c r="C181" s="3" t="s">
        <v>330</v>
      </c>
      <c r="D181" s="3"/>
      <c r="E181" s="3" t="s">
        <v>359</v>
      </c>
      <c r="F181" s="3" t="s">
        <v>362</v>
      </c>
      <c r="G181" s="3" t="s">
        <v>365</v>
      </c>
      <c r="H181" s="3" t="s">
        <v>365</v>
      </c>
      <c r="I181" s="3" t="s">
        <v>622</v>
      </c>
      <c r="J181" s="3" t="s">
        <v>365</v>
      </c>
      <c r="K181" s="3" t="s">
        <v>365</v>
      </c>
      <c r="L181" s="3" t="s">
        <v>365</v>
      </c>
      <c r="M181" s="3" t="s">
        <v>772</v>
      </c>
      <c r="N181" s="3" t="s">
        <v>794</v>
      </c>
      <c r="O181" s="4" t="s">
        <v>814</v>
      </c>
      <c r="P181" s="3" t="s">
        <v>875</v>
      </c>
      <c r="Q181" s="3" t="s">
        <v>905</v>
      </c>
      <c r="R181" s="3" t="s">
        <v>907</v>
      </c>
      <c r="S181" s="3" t="s">
        <v>913</v>
      </c>
      <c r="T181" s="3" t="s">
        <v>1032</v>
      </c>
      <c r="U181" s="3" t="s">
        <v>1150</v>
      </c>
      <c r="V181" s="3" t="s">
        <v>1389</v>
      </c>
      <c r="W181" s="3" t="s">
        <v>1500</v>
      </c>
      <c r="X181" s="3" t="s">
        <v>1785</v>
      </c>
      <c r="Y181" s="3" t="s">
        <v>2254</v>
      </c>
      <c r="Z181" s="3"/>
      <c r="AA181" s="3"/>
      <c r="AB181" s="3"/>
      <c r="AC181" s="5" cm="1">
        <f t="array" ref="AC181">IF(TRUE,"True," &amp; IF(_xlfn.XLOOKUP("Src_IsAny",'Scoring_Config'!$A:$A,'Scoring_Config'!$D:$D,"Yes")="Yes",_xlfn.XLOOKUP("Src_IsAny",'Scoring_Config'!$A:$A,'Scoring_Config'!$C:$C,25),0),"False,0")</f>
        <v>0</v>
      </c>
      <c r="AD181" s="4" cm="1">
        <f t="array" ref="AD181">IF(FALSE,"True," &amp; IF(_xlfn.XLOOKUP("Src_CIDR_Le_16",'Scoring_Config'!$A:$A,'Scoring_Config'!$D:$D,"Yes")="Yes",_xlfn.XLOOKUP("Src_CIDR_Le_16",'Scoring_Config'!$A:$A,'Scoring_Config'!$C:$C,25),0),"False,0")</f>
        <v>0</v>
      </c>
      <c r="AE181" s="4" cm="1">
        <f t="array" ref="AE181">IF(FALSE,"True," &amp; IF(_xlfn.XLOOKUP("Src_CIDR_17_22",'Scoring_Config'!$A:$A,'Scoring_Config'!$D:$D,"Yes")="Yes",_xlfn.XLOOKUP("Src_CIDR_17_22",'Scoring_Config'!$A:$A,'Scoring_Config'!$C:$C,15),0),"False,0")</f>
        <v>0</v>
      </c>
      <c r="AF181" s="5" cm="1">
        <f t="array" ref="AF181">IF(TRUE,"True," &amp; IF(_xlfn.XLOOKUP("Dst_IsAny",'Scoring_Config'!$A:$A,'Scoring_Config'!$D:$D,"Yes")="Yes",_xlfn.XLOOKUP("Dst_IsAny",'Scoring_Config'!$A:$A,'Scoring_Config'!$C:$C,25),0),"False,0")</f>
        <v>0</v>
      </c>
      <c r="AG181" s="4" cm="1">
        <f t="array" ref="AG181">IF(FALSE,"True," &amp; IF(_xlfn.XLOOKUP("Dst_CIDR_Le_16",'Scoring_Config'!$A:$A,'Scoring_Config'!$D:$D,"Yes")="Yes",_xlfn.XLOOKUP("Dst_CIDR_Le_16",'Scoring_Config'!$A:$A,'Scoring_Config'!$C:$C,25),0),"False,0")</f>
        <v>0</v>
      </c>
      <c r="AH181" s="4" cm="1">
        <f t="array" ref="AH181">IF(FALSE,"True," &amp; IF(_xlfn.XLOOKUP("Dst_CIDR_17_22",'Scoring_Config'!$A:$A,'Scoring_Config'!$D:$D,"Yes")="Yes",_xlfn.XLOOKUP("Dst_CIDR_17_22",'Scoring_Config'!$A:$A,'Scoring_Config'!$C:$C,15),0),"False,0")</f>
        <v>0</v>
      </c>
      <c r="AI181" s="4" cm="1">
        <f t="array" ref="AI181">IF(FALSE,"True," &amp; IF(_xlfn.XLOOKUP("SrcZone_IsAny",'Scoring_Config'!$A:$A,'Scoring_Config'!$D:$D,"Yes")="Yes",_xlfn.XLOOKUP("SrcZone_IsAny",'Scoring_Config'!$A:$A,'Scoring_Config'!$C:$C,5),0),"False,0")</f>
        <v>0</v>
      </c>
      <c r="AJ181" s="5" cm="1">
        <f t="array" ref="AJ181">IF(TRUE,"True," &amp; IF(_xlfn.XLOOKUP("DstZone_IsAny",'Scoring_Config'!$A:$A,'Scoring_Config'!$D:$D,"Yes")="Yes",_xlfn.XLOOKUP("DstZone_IsAny",'Scoring_Config'!$A:$A,'Scoring_Config'!$C:$C,5),0),"False,0")</f>
        <v>0</v>
      </c>
      <c r="AK181" s="4" cm="1">
        <f t="array" ref="AK18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1" s="4" cm="1">
        <f t="array" ref="AL181">IF(FALSE,"True," &amp; IF(_xlfn.XLOOKUP("App_Any_OR_RangeGt1000",'Scoring_Config'!$A:$A,'Scoring_Config'!$D:$D,"Yes")="Yes",_xlfn.XLOOKUP("App_Any_OR_RangeGt1000",'Scoring_Config'!$A:$A,'Scoring_Config'!$C:$C,25),0),"False,0")</f>
        <v>0</v>
      </c>
      <c r="AM181" s="5" cm="1">
        <f t="array" ref="AM181">IF(TRUE,"True," &amp; IF(_xlfn.XLOOKUP("Service_Insecure_Match",'Scoring_Config'!$A:$A,'Scoring_Config'!$D:$D,"Yes")="Yes",_xlfn.XLOOKUP("Service_Insecure_Match",'Scoring_Config'!$A:$A,'Scoring_Config'!$C:$C,20),0),"False,0")</f>
        <v>0</v>
      </c>
      <c r="AN181" s="4" cm="1">
        <f t="array" ref="AN181">IF(FALSE,"True," &amp; IF(_xlfn.XLOOKUP("Risky_Inbound",'Scoring_Config'!$A:$A,'Scoring_Config'!$D:$D,"Yes")="Yes",_xlfn.XLOOKUP("Risky_Inbound",'Scoring_Config'!$A:$A,'Scoring_Config'!$C:$C,20),0),"False,0")</f>
        <v>0</v>
      </c>
      <c r="AO181" s="4" cm="1">
        <f t="array" ref="AO181">IF(FALSE,"True," &amp; IF(_xlfn.XLOOKUP("Risky_Outbound",'Scoring_Config'!$A:$A,'Scoring_Config'!$D:$D,"Yes")="Yes",_xlfn.XLOOKUP("Risky_Outbound",'Scoring_Config'!$A:$A,'Scoring_Config'!$C:$C,10),0),"False,0")</f>
        <v>0</v>
      </c>
      <c r="AP181" s="5" t="s">
        <v>2595</v>
      </c>
      <c r="AQ181" s="5" cm="1">
        <f t="array" ref="AQ18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1" s="5" t="s">
        <v>2598</v>
      </c>
      <c r="AS181" s="5" t="s">
        <v>2595</v>
      </c>
      <c r="AT181" s="4" t="s">
        <v>2592</v>
      </c>
      <c r="AU181" s="4" cm="1">
        <f t="array" ref="AU181">IF(FALSE,"True," &amp; IF(_xlfn.XLOOKUP("Action_IsDenyOrDrop",'Scoring_Config'!$A:$A,'Scoring_Config'!$D:$D,"Yes")="Yes",_xlfn.XLOOKUP("Action_IsDenyOrDrop",'Scoring_Config'!$A:$A,'Scoring_Config'!$C:$C,0),0),"False,0")</f>
        <v>0</v>
      </c>
      <c r="AV181" s="4"/>
      <c r="AW181" s="4" cm="1">
        <f t="array" ref="AW181">IF(FALSE,"True," &amp; IF(_xlfn.XLOOKUP("Migrate_Insecure",'Scoring_Config'!$A:$A,'Scoring_Config'!$D:$D,"Yes")="Yes",_xlfn.XLOOKUP("Migrate_Insecure",'Scoring_Config'!$A:$A,'Scoring_Config'!$C:$C,15),0),"False,0")</f>
        <v>0</v>
      </c>
      <c r="AX181" s="4"/>
      <c r="AY181" s="4" cm="1">
        <f t="array" ref="AY181">IF(FALSE,"True," &amp; IF(_xlfn.XLOOKUP("Migrate_Other_Ports",'Scoring_Config'!$A:$A,'Scoring_Config'!$D:$D,"Yes")="Yes",_xlfn.XLOOKUP("Migrate_Other_Ports",'Scoring_Config'!$A:$A,'Scoring_Config'!$C:$C,5),0),"False,0")</f>
        <v>0</v>
      </c>
      <c r="AZ181" s="4" cm="1">
        <f t="array" ref="AZ181">IF(LEFT(AU181,4)="True",0,(IF(LEFT(AC181,4)="True",IF(_xlfn.XLOOKUP("Src_IsAny",'Scoring_Config'!$A:$A,'Scoring_Config'!$D:$D,"Yes")="Yes",_xlfn.XLOOKUP("Src_IsAny",'Scoring_Config'!$A:$A,'Scoring_Config'!$C:$C,25),0),0)+IF(LEFT(AD181,4)="True",IF(_xlfn.XLOOKUP("Src_CIDR_Le_16",'Scoring_Config'!$A:$A,'Scoring_Config'!$D:$D,"Yes")="Yes",_xlfn.XLOOKUP("Src_CIDR_Le_16",'Scoring_Config'!$A:$A,'Scoring_Config'!$C:$C,25),0),0)+IF(LEFT(AE181,4)="True",IF(_xlfn.XLOOKUP("Src_CIDR_17_22",'Scoring_Config'!$A:$A,'Scoring_Config'!$D:$D,"Yes")="Yes",_xlfn.XLOOKUP("Src_CIDR_17_22",'Scoring_Config'!$A:$A,'Scoring_Config'!$C:$C,15),0),0)+IF(LEFT(AF181,4)="True",IF(_xlfn.XLOOKUP("Dst_IsAny",'Scoring_Config'!$A:$A,'Scoring_Config'!$D:$D,"Yes")="Yes",_xlfn.XLOOKUP("Dst_IsAny",'Scoring_Config'!$A:$A,'Scoring_Config'!$C:$C,25),0),0)+IF(LEFT(AG181,4)="True",IF(_xlfn.XLOOKUP("Dst_CIDR_Le_16",'Scoring_Config'!$A:$A,'Scoring_Config'!$D:$D,"Yes")="Yes",_xlfn.XLOOKUP("Dst_CIDR_Le_16",'Scoring_Config'!$A:$A,'Scoring_Config'!$C:$C,25),0),0)+IF(LEFT(AH181,4)="True",IF(_xlfn.XLOOKUP("Dst_CIDR_17_22",'Scoring_Config'!$A:$A,'Scoring_Config'!$D:$D,"Yes")="Yes",_xlfn.XLOOKUP("Dst_CIDR_17_22",'Scoring_Config'!$A:$A,'Scoring_Config'!$C:$C,15),0),0)+IF(LEFT(AI181,4)="True",IF(_xlfn.XLOOKUP("SrcZone_IsAny",'Scoring_Config'!$A:$A,'Scoring_Config'!$D:$D,"Yes")="Yes",_xlfn.XLOOKUP("SrcZone_IsAny",'Scoring_Config'!$A:$A,'Scoring_Config'!$C:$C,5),0),0)+IF(LEFT(AJ181,4)="True",IF(_xlfn.XLOOKUP("DstZone_IsAny",'Scoring_Config'!$A:$A,'Scoring_Config'!$D:$D,"Yes")="Yes",_xlfn.XLOOKUP("DstZone_IsAny",'Scoring_Config'!$A:$A,'Scoring_Config'!$C:$C,5),0),0)+IF(LEFT(AK181,4)="True",IF(_xlfn.XLOOKUP("Service_Any_OR_RangeGt1000",'Scoring_Config'!$A:$A,'Scoring_Config'!$D:$D,"Yes")="Yes",_xlfn.XLOOKUP("Service_Any_OR_RangeGt1000",'Scoring_Config'!$A:$A,'Scoring_Config'!$C:$C,25),0),0)+IF(LEFT(AL181,4)="True",IF(_xlfn.XLOOKUP("App_Any_OR_RangeGt1000",'Scoring_Config'!$A:$A,'Scoring_Config'!$D:$D,"Yes")="Yes",_xlfn.XLOOKUP("App_Any_OR_RangeGt1000",'Scoring_Config'!$A:$A,'Scoring_Config'!$C:$C,25),0),0)+IF(LEFT(AM181,4)="True",IF(_xlfn.XLOOKUP("Service_Insecure_Match",'Scoring_Config'!$A:$A,'Scoring_Config'!$D:$D,"Yes")="Yes",_xlfn.XLOOKUP("Service_Insecure_Match",'Scoring_Config'!$A:$A,'Scoring_Config'!$C:$C,20),0),0)+IF(LEFT(AN181,4)="True",IF(_xlfn.XLOOKUP("Risky_Inbound",'Scoring_Config'!$A:$A,'Scoring_Config'!$D:$D,"Yes")="Yes",_xlfn.XLOOKUP("Risky_Inbound",'Scoring_Config'!$A:$A,'Scoring_Config'!$C:$C,20),0),0)+IF(LEFT(AO181,4)="True",IF(_xlfn.XLOOKUP("Risky_Outbound",'Scoring_Config'!$A:$A,'Scoring_Config'!$D:$D,"Yes")="Yes",_xlfn.XLOOKUP("Risky_Outbound",'Scoring_Config'!$A:$A,'Scoring_Config'!$C:$C,10),0),0)+IF(LEFT(AW181,4)="True",IF(_xlfn.XLOOKUP("Migrate_Insecure",'Scoring_Config'!$A:$A,'Scoring_Config'!$D:$D,"Yes")="Yes",_xlfn.XLOOKUP("Migrate_Insecure",'Scoring_Config'!$A:$A,'Scoring_Config'!$C:$C,15),0),0)+IF(LEFT(AY181,4)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181,FIND(",",AP181)+1,100)),0)+IF(LEFT(AQ181,4)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181,FIND(",",AR181)+1,100)),0)+IF(_xlfn.XLOOKUP("Profile_Scoring",'Scoring_Config'!$A:$A,'Scoring_Config'!$D:$D,"Yes")="Yes",VALUE(MID(AS181,FIND(",",AS181)+1,100)),0)+IF(_xlfn.XLOOKUP("Options_Scoring",'Scoring_Config'!$A:$A,'Scoring_Config'!$D:$D,"Yes")="Yes",VALUE(MID(AT181,FIND(",",AT181)+1,100)),0)))</f>
        <v>0</v>
      </c>
    </row>
    <row r="182" spans="1:52">
      <c r="A182" s="3" t="s">
        <v>53</v>
      </c>
      <c r="B182" s="3" t="s">
        <v>187</v>
      </c>
      <c r="C182" s="3" t="s">
        <v>330</v>
      </c>
      <c r="D182" s="3"/>
      <c r="E182" s="3" t="s">
        <v>359</v>
      </c>
      <c r="F182" s="3" t="s">
        <v>361</v>
      </c>
      <c r="G182" s="3" t="s">
        <v>409</v>
      </c>
      <c r="H182" s="3" t="s">
        <v>563</v>
      </c>
      <c r="I182" s="3" t="s">
        <v>625</v>
      </c>
      <c r="J182" s="3" t="s">
        <v>363</v>
      </c>
      <c r="K182" s="3" t="s">
        <v>365</v>
      </c>
      <c r="L182" s="3" t="s">
        <v>365</v>
      </c>
      <c r="M182" s="3" t="s">
        <v>773</v>
      </c>
      <c r="N182" s="3" t="s">
        <v>773</v>
      </c>
      <c r="O182" s="4" t="s">
        <v>811</v>
      </c>
      <c r="P182" s="3" t="s">
        <v>872</v>
      </c>
      <c r="Q182" s="3" t="s">
        <v>905</v>
      </c>
      <c r="R182" s="3" t="s">
        <v>911</v>
      </c>
      <c r="S182" s="3" t="s">
        <v>913</v>
      </c>
      <c r="T182" s="3" t="s">
        <v>1033</v>
      </c>
      <c r="U182" s="3" t="s">
        <v>1237</v>
      </c>
      <c r="V182" s="3" t="s">
        <v>1389</v>
      </c>
      <c r="W182" s="3" t="s">
        <v>1113</v>
      </c>
      <c r="X182" s="3" t="s">
        <v>1786</v>
      </c>
      <c r="Y182" s="3" t="s">
        <v>2255</v>
      </c>
      <c r="Z182" s="3"/>
      <c r="AA182" s="3"/>
      <c r="AB182" s="3"/>
      <c r="AC182" s="4" cm="1">
        <f t="array" ref="AC182">IF(FALSE,"True," &amp; IF(_xlfn.XLOOKUP("Src_IsAny",'Scoring_Config'!$A:$A,'Scoring_Config'!$D:$D,"Yes")="Yes",_xlfn.XLOOKUP("Src_IsAny",'Scoring_Config'!$A:$A,'Scoring_Config'!$C:$C,25),0),"False,0")</f>
        <v>0</v>
      </c>
      <c r="AD182" s="5" cm="1">
        <f t="array" ref="AD182">IF(TRUE,"True," &amp; IF(_xlfn.XLOOKUP("Src_CIDR_Le_16",'Scoring_Config'!$A:$A,'Scoring_Config'!$D:$D,"Yes")="Yes",_xlfn.XLOOKUP("Src_CIDR_Le_16",'Scoring_Config'!$A:$A,'Scoring_Config'!$C:$C,25),0),"False,0")</f>
        <v>0</v>
      </c>
      <c r="AE182" s="4" cm="1">
        <f t="array" ref="AE182">IF(FALSE,"True," &amp; IF(_xlfn.XLOOKUP("Src_CIDR_17_22",'Scoring_Config'!$A:$A,'Scoring_Config'!$D:$D,"Yes")="Yes",_xlfn.XLOOKUP("Src_CIDR_17_22",'Scoring_Config'!$A:$A,'Scoring_Config'!$C:$C,15),0),"False,0")</f>
        <v>0</v>
      </c>
      <c r="AF182" s="5" cm="1">
        <f t="array" ref="AF182">IF(TRUE,"True," &amp; IF(_xlfn.XLOOKUP("Dst_IsAny",'Scoring_Config'!$A:$A,'Scoring_Config'!$D:$D,"Yes")="Yes",_xlfn.XLOOKUP("Dst_IsAny",'Scoring_Config'!$A:$A,'Scoring_Config'!$C:$C,25),0),"False,0")</f>
        <v>0</v>
      </c>
      <c r="AG182" s="4" cm="1">
        <f t="array" ref="AG182">IF(FALSE,"True," &amp; IF(_xlfn.XLOOKUP("Dst_CIDR_Le_16",'Scoring_Config'!$A:$A,'Scoring_Config'!$D:$D,"Yes")="Yes",_xlfn.XLOOKUP("Dst_CIDR_Le_16",'Scoring_Config'!$A:$A,'Scoring_Config'!$C:$C,25),0),"False,0")</f>
        <v>0</v>
      </c>
      <c r="AH182" s="4" cm="1">
        <f t="array" ref="AH182">IF(FALSE,"True," &amp; IF(_xlfn.XLOOKUP("Dst_CIDR_17_22",'Scoring_Config'!$A:$A,'Scoring_Config'!$D:$D,"Yes")="Yes",_xlfn.XLOOKUP("Dst_CIDR_17_22",'Scoring_Config'!$A:$A,'Scoring_Config'!$C:$C,15),0),"False,0")</f>
        <v>0</v>
      </c>
      <c r="AI182" s="4" cm="1">
        <f t="array" ref="AI182">IF(FALSE,"True," &amp; IF(_xlfn.XLOOKUP("SrcZone_IsAny",'Scoring_Config'!$A:$A,'Scoring_Config'!$D:$D,"Yes")="Yes",_xlfn.XLOOKUP("SrcZone_IsAny",'Scoring_Config'!$A:$A,'Scoring_Config'!$C:$C,5),0),"False,0")</f>
        <v>0</v>
      </c>
      <c r="AJ182" s="4" cm="1">
        <f t="array" ref="AJ182">IF(FALSE,"True," &amp; IF(_xlfn.XLOOKUP("DstZone_IsAny",'Scoring_Config'!$A:$A,'Scoring_Config'!$D:$D,"Yes")="Yes",_xlfn.XLOOKUP("DstZone_IsAny",'Scoring_Config'!$A:$A,'Scoring_Config'!$C:$C,5),0),"False,0")</f>
        <v>0</v>
      </c>
      <c r="AK182" s="4" cm="1">
        <f t="array" ref="AK18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2" s="4" cm="1">
        <f t="array" ref="AL182">IF(FALSE,"True," &amp; IF(_xlfn.XLOOKUP("App_Any_OR_RangeGt1000",'Scoring_Config'!$A:$A,'Scoring_Config'!$D:$D,"Yes")="Yes",_xlfn.XLOOKUP("App_Any_OR_RangeGt1000",'Scoring_Config'!$A:$A,'Scoring_Config'!$C:$C,25),0),"False,0")</f>
        <v>0</v>
      </c>
      <c r="AM182" s="5" cm="1">
        <f t="array" ref="AM182">IF(TRUE,"True," &amp; IF(_xlfn.XLOOKUP("Service_Insecure_Match",'Scoring_Config'!$A:$A,'Scoring_Config'!$D:$D,"Yes")="Yes",_xlfn.XLOOKUP("Service_Insecure_Match",'Scoring_Config'!$A:$A,'Scoring_Config'!$C:$C,20),0),"False,0")</f>
        <v>0</v>
      </c>
      <c r="AN182" s="5" cm="1">
        <f t="array" ref="AN182">IF(TRUE,"True," &amp; IF(_xlfn.XLOOKUP("Risky_Inbound",'Scoring_Config'!$A:$A,'Scoring_Config'!$D:$D,"Yes")="Yes",_xlfn.XLOOKUP("Risky_Inbound",'Scoring_Config'!$A:$A,'Scoring_Config'!$C:$C,20),0),"False,0")</f>
        <v>0</v>
      </c>
      <c r="AO182" s="4" cm="1">
        <f t="array" ref="AO182">IF(FALSE,"True," &amp; IF(_xlfn.XLOOKUP("Risky_Outbound",'Scoring_Config'!$A:$A,'Scoring_Config'!$D:$D,"Yes")="Yes",_xlfn.XLOOKUP("Risky_Outbound",'Scoring_Config'!$A:$A,'Scoring_Config'!$C:$C,10),0),"False,0")</f>
        <v>0</v>
      </c>
      <c r="AP182" s="5" t="s">
        <v>2595</v>
      </c>
      <c r="AQ182" s="4" cm="1">
        <f t="array" ref="AQ18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2" s="5" t="s">
        <v>2598</v>
      </c>
      <c r="AS182" s="4" t="s">
        <v>2592</v>
      </c>
      <c r="AT182" s="4" t="s">
        <v>2592</v>
      </c>
      <c r="AU182" s="4" cm="1">
        <f t="array" ref="AU182">IF(FALSE,"True," &amp; IF(_xlfn.XLOOKUP("Action_IsDenyOrDrop",'Scoring_Config'!$A:$A,'Scoring_Config'!$D:$D,"Yes")="Yes",_xlfn.XLOOKUP("Action_IsDenyOrDrop",'Scoring_Config'!$A:$A,'Scoring_Config'!$C:$C,0),0),"False,0")</f>
        <v>0</v>
      </c>
      <c r="AV182" s="4"/>
      <c r="AW182" s="4" cm="1">
        <f t="array" ref="AW182">IF(FALSE,"True," &amp; IF(_xlfn.XLOOKUP("Migrate_Insecure",'Scoring_Config'!$A:$A,'Scoring_Config'!$D:$D,"Yes")="Yes",_xlfn.XLOOKUP("Migrate_Insecure",'Scoring_Config'!$A:$A,'Scoring_Config'!$C:$C,15),0),"False,0")</f>
        <v>0</v>
      </c>
      <c r="AX182" s="4"/>
      <c r="AY182" s="4" cm="1">
        <f t="array" ref="AY182">IF(FALSE,"True," &amp; IF(_xlfn.XLOOKUP("Migrate_Other_Ports",'Scoring_Config'!$A:$A,'Scoring_Config'!$D:$D,"Yes")="Yes",_xlfn.XLOOKUP("Migrate_Other_Ports",'Scoring_Config'!$A:$A,'Scoring_Config'!$C:$C,5),0),"False,0")</f>
        <v>0</v>
      </c>
      <c r="AZ182" s="4" cm="1">
        <f t="array" ref="AZ182">IF(LEFT(AU182,4)="True",0,(IF(LEFT(AC182,4)="True",IF(_xlfn.XLOOKUP("Src_IsAny",'Scoring_Config'!$A:$A,'Scoring_Config'!$D:$D,"Yes")="Yes",_xlfn.XLOOKUP("Src_IsAny",'Scoring_Config'!$A:$A,'Scoring_Config'!$C:$C,25),0),0)+IF(LEFT(AD182,4)="True",IF(_xlfn.XLOOKUP("Src_CIDR_Le_16",'Scoring_Config'!$A:$A,'Scoring_Config'!$D:$D,"Yes")="Yes",_xlfn.XLOOKUP("Src_CIDR_Le_16",'Scoring_Config'!$A:$A,'Scoring_Config'!$C:$C,25),0),0)+IF(LEFT(AE182,4)="True",IF(_xlfn.XLOOKUP("Src_CIDR_17_22",'Scoring_Config'!$A:$A,'Scoring_Config'!$D:$D,"Yes")="Yes",_xlfn.XLOOKUP("Src_CIDR_17_22",'Scoring_Config'!$A:$A,'Scoring_Config'!$C:$C,15),0),0)+IF(LEFT(AF182,4)="True",IF(_xlfn.XLOOKUP("Dst_IsAny",'Scoring_Config'!$A:$A,'Scoring_Config'!$D:$D,"Yes")="Yes",_xlfn.XLOOKUP("Dst_IsAny",'Scoring_Config'!$A:$A,'Scoring_Config'!$C:$C,25),0),0)+IF(LEFT(AG182,4)="True",IF(_xlfn.XLOOKUP("Dst_CIDR_Le_16",'Scoring_Config'!$A:$A,'Scoring_Config'!$D:$D,"Yes")="Yes",_xlfn.XLOOKUP("Dst_CIDR_Le_16",'Scoring_Config'!$A:$A,'Scoring_Config'!$C:$C,25),0),0)+IF(LEFT(AH182,4)="True",IF(_xlfn.XLOOKUP("Dst_CIDR_17_22",'Scoring_Config'!$A:$A,'Scoring_Config'!$D:$D,"Yes")="Yes",_xlfn.XLOOKUP("Dst_CIDR_17_22",'Scoring_Config'!$A:$A,'Scoring_Config'!$C:$C,15),0),0)+IF(LEFT(AI182,4)="True",IF(_xlfn.XLOOKUP("SrcZone_IsAny",'Scoring_Config'!$A:$A,'Scoring_Config'!$D:$D,"Yes")="Yes",_xlfn.XLOOKUP("SrcZone_IsAny",'Scoring_Config'!$A:$A,'Scoring_Config'!$C:$C,5),0),0)+IF(LEFT(AJ182,4)="True",IF(_xlfn.XLOOKUP("DstZone_IsAny",'Scoring_Config'!$A:$A,'Scoring_Config'!$D:$D,"Yes")="Yes",_xlfn.XLOOKUP("DstZone_IsAny",'Scoring_Config'!$A:$A,'Scoring_Config'!$C:$C,5),0),0)+IF(LEFT(AK182,4)="True",IF(_xlfn.XLOOKUP("Service_Any_OR_RangeGt1000",'Scoring_Config'!$A:$A,'Scoring_Config'!$D:$D,"Yes")="Yes",_xlfn.XLOOKUP("Service_Any_OR_RangeGt1000",'Scoring_Config'!$A:$A,'Scoring_Config'!$C:$C,25),0),0)+IF(LEFT(AL182,4)="True",IF(_xlfn.XLOOKUP("App_Any_OR_RangeGt1000",'Scoring_Config'!$A:$A,'Scoring_Config'!$D:$D,"Yes")="Yes",_xlfn.XLOOKUP("App_Any_OR_RangeGt1000",'Scoring_Config'!$A:$A,'Scoring_Config'!$C:$C,25),0),0)+IF(LEFT(AM182,4)="True",IF(_xlfn.XLOOKUP("Service_Insecure_Match",'Scoring_Config'!$A:$A,'Scoring_Config'!$D:$D,"Yes")="Yes",_xlfn.XLOOKUP("Service_Insecure_Match",'Scoring_Config'!$A:$A,'Scoring_Config'!$C:$C,20),0),0)+IF(LEFT(AN182,4)="True",IF(_xlfn.XLOOKUP("Risky_Inbound",'Scoring_Config'!$A:$A,'Scoring_Config'!$D:$D,"Yes")="Yes",_xlfn.XLOOKUP("Risky_Inbound",'Scoring_Config'!$A:$A,'Scoring_Config'!$C:$C,20),0),0)+IF(LEFT(AO182,4)="True",IF(_xlfn.XLOOKUP("Risky_Outbound",'Scoring_Config'!$A:$A,'Scoring_Config'!$D:$D,"Yes")="Yes",_xlfn.XLOOKUP("Risky_Outbound",'Scoring_Config'!$A:$A,'Scoring_Config'!$C:$C,10),0),0)+IF(LEFT(AW182,4)="True",IF(_xlfn.XLOOKUP("Migrate_Insecure",'Scoring_Config'!$A:$A,'Scoring_Config'!$D:$D,"Yes")="Yes",_xlfn.XLOOKUP("Migrate_Insecure",'Scoring_Config'!$A:$A,'Scoring_Config'!$C:$C,15),0),0)+IF(LEFT(AY182,4)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182,FIND(",",AP182)+1,100)),0)+IF(LEFT(AQ182,4)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182,FIND(",",AR182)+1,100)),0)+IF(_xlfn.XLOOKUP("Profile_Scoring",'Scoring_Config'!$A:$A,'Scoring_Config'!$D:$D,"Yes")="Yes",VALUE(MID(AS182,FIND(",",AS182)+1,100)),0)+IF(_xlfn.XLOOKUP("Options_Scoring",'Scoring_Config'!$A:$A,'Scoring_Config'!$D:$D,"Yes")="Yes",VALUE(MID(AT182,FIND(",",AT182)+1,100)),0)))</f>
        <v>0</v>
      </c>
    </row>
    <row r="183" spans="1:52">
      <c r="A183" s="3" t="s">
        <v>53</v>
      </c>
      <c r="B183" s="3" t="s">
        <v>188</v>
      </c>
      <c r="C183" s="3" t="s">
        <v>330</v>
      </c>
      <c r="D183" s="3"/>
      <c r="E183" s="3" t="s">
        <v>359</v>
      </c>
      <c r="F183" s="3" t="s">
        <v>360</v>
      </c>
      <c r="G183" s="3" t="s">
        <v>365</v>
      </c>
      <c r="H183" s="3" t="s">
        <v>365</v>
      </c>
      <c r="I183" s="3" t="s">
        <v>365</v>
      </c>
      <c r="J183" s="3" t="s">
        <v>364</v>
      </c>
      <c r="K183" s="3" t="s">
        <v>437</v>
      </c>
      <c r="L183" s="3" t="s">
        <v>437</v>
      </c>
      <c r="M183" s="3" t="s">
        <v>771</v>
      </c>
      <c r="N183" s="3" t="s">
        <v>793</v>
      </c>
      <c r="O183" s="4" t="s">
        <v>810</v>
      </c>
      <c r="P183" s="3" t="s">
        <v>871</v>
      </c>
      <c r="Q183" s="3" t="s">
        <v>905</v>
      </c>
      <c r="R183" s="3" t="s">
        <v>911</v>
      </c>
      <c r="S183" s="3" t="s">
        <v>913</v>
      </c>
      <c r="T183" s="3" t="s">
        <v>1034</v>
      </c>
      <c r="U183" s="3" t="s">
        <v>1238</v>
      </c>
      <c r="V183" s="3" t="s">
        <v>1387</v>
      </c>
      <c r="W183" s="3" t="s">
        <v>963</v>
      </c>
      <c r="X183" s="3" t="s">
        <v>1787</v>
      </c>
      <c r="Y183" s="3" t="s">
        <v>2256</v>
      </c>
      <c r="Z183" s="3"/>
      <c r="AA183" s="3"/>
      <c r="AB183" s="3"/>
      <c r="AC183" s="5" cm="1">
        <f t="array" ref="AC183">IF(TRUE,"True," &amp; IF(_xlfn.XLOOKUP("Src_IsAny",'Scoring_Config'!$A:$A,'Scoring_Config'!$D:$D,"Yes")="Yes",_xlfn.XLOOKUP("Src_IsAny",'Scoring_Config'!$A:$A,'Scoring_Config'!$C:$C,25),0),"False,0")</f>
        <v>0</v>
      </c>
      <c r="AD183" s="4" cm="1">
        <f t="array" ref="AD183">IF(FALSE,"True," &amp; IF(_xlfn.XLOOKUP("Src_CIDR_Le_16",'Scoring_Config'!$A:$A,'Scoring_Config'!$D:$D,"Yes")="Yes",_xlfn.XLOOKUP("Src_CIDR_Le_16",'Scoring_Config'!$A:$A,'Scoring_Config'!$C:$C,25),0),"False,0")</f>
        <v>0</v>
      </c>
      <c r="AE183" s="4" cm="1">
        <f t="array" ref="AE183">IF(FALSE,"True," &amp; IF(_xlfn.XLOOKUP("Src_CIDR_17_22",'Scoring_Config'!$A:$A,'Scoring_Config'!$D:$D,"Yes")="Yes",_xlfn.XLOOKUP("Src_CIDR_17_22",'Scoring_Config'!$A:$A,'Scoring_Config'!$C:$C,15),0),"False,0")</f>
        <v>0</v>
      </c>
      <c r="AF183" s="4" cm="1">
        <f t="array" ref="AF183">IF(FALSE,"True," &amp; IF(_xlfn.XLOOKUP("Dst_IsAny",'Scoring_Config'!$A:$A,'Scoring_Config'!$D:$D,"Yes")="Yes",_xlfn.XLOOKUP("Dst_IsAny",'Scoring_Config'!$A:$A,'Scoring_Config'!$C:$C,25),0),"False,0")</f>
        <v>0</v>
      </c>
      <c r="AG183" s="4" cm="1">
        <f t="array" ref="AG183">IF(FALSE,"True," &amp; IF(_xlfn.XLOOKUP("Dst_CIDR_Le_16",'Scoring_Config'!$A:$A,'Scoring_Config'!$D:$D,"Yes")="Yes",_xlfn.XLOOKUP("Dst_CIDR_Le_16",'Scoring_Config'!$A:$A,'Scoring_Config'!$C:$C,25),0),"False,0")</f>
        <v>0</v>
      </c>
      <c r="AH183" s="4" cm="1">
        <f t="array" ref="AH183">IF(FALSE,"True," &amp; IF(_xlfn.XLOOKUP("Dst_CIDR_17_22",'Scoring_Config'!$A:$A,'Scoring_Config'!$D:$D,"Yes")="Yes",_xlfn.XLOOKUP("Dst_CIDR_17_22",'Scoring_Config'!$A:$A,'Scoring_Config'!$C:$C,15),0),"False,0")</f>
        <v>0</v>
      </c>
      <c r="AI183" s="4" cm="1">
        <f t="array" ref="AI183">IF(FALSE,"True," &amp; IF(_xlfn.XLOOKUP("SrcZone_IsAny",'Scoring_Config'!$A:$A,'Scoring_Config'!$D:$D,"Yes")="Yes",_xlfn.XLOOKUP("SrcZone_IsAny",'Scoring_Config'!$A:$A,'Scoring_Config'!$C:$C,5),0),"False,0")</f>
        <v>0</v>
      </c>
      <c r="AJ183" s="4" cm="1">
        <f t="array" ref="AJ183">IF(FALSE,"True," &amp; IF(_xlfn.XLOOKUP("DstZone_IsAny",'Scoring_Config'!$A:$A,'Scoring_Config'!$D:$D,"Yes")="Yes",_xlfn.XLOOKUP("DstZone_IsAny",'Scoring_Config'!$A:$A,'Scoring_Config'!$C:$C,5),0),"False,0")</f>
        <v>0</v>
      </c>
      <c r="AK183" s="4" cm="1">
        <f t="array" ref="AK18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3" s="4" cm="1">
        <f t="array" ref="AL183">IF(FALSE,"True," &amp; IF(_xlfn.XLOOKUP("App_Any_OR_RangeGt1000",'Scoring_Config'!$A:$A,'Scoring_Config'!$D:$D,"Yes")="Yes",_xlfn.XLOOKUP("App_Any_OR_RangeGt1000",'Scoring_Config'!$A:$A,'Scoring_Config'!$C:$C,25),0),"False,0")</f>
        <v>0</v>
      </c>
      <c r="AM183" s="5" cm="1">
        <f t="array" ref="AM183">IF(TRUE,"True," &amp; IF(_xlfn.XLOOKUP("Service_Insecure_Match",'Scoring_Config'!$A:$A,'Scoring_Config'!$D:$D,"Yes")="Yes",_xlfn.XLOOKUP("Service_Insecure_Match",'Scoring_Config'!$A:$A,'Scoring_Config'!$C:$C,20),0),"False,0")</f>
        <v>0</v>
      </c>
      <c r="AN183" s="4" cm="1">
        <f t="array" ref="AN183">IF(FALSE,"True," &amp; IF(_xlfn.XLOOKUP("Risky_Inbound",'Scoring_Config'!$A:$A,'Scoring_Config'!$D:$D,"Yes")="Yes",_xlfn.XLOOKUP("Risky_Inbound",'Scoring_Config'!$A:$A,'Scoring_Config'!$C:$C,20),0),"False,0")</f>
        <v>0</v>
      </c>
      <c r="AO183" s="4" cm="1">
        <f t="array" ref="AO183">IF(FALSE,"True," &amp; IF(_xlfn.XLOOKUP("Risky_Outbound",'Scoring_Config'!$A:$A,'Scoring_Config'!$D:$D,"Yes")="Yes",_xlfn.XLOOKUP("Risky_Outbound",'Scoring_Config'!$A:$A,'Scoring_Config'!$C:$C,10),0),"False,0")</f>
        <v>0</v>
      </c>
      <c r="AP183" s="5" t="s">
        <v>2595</v>
      </c>
      <c r="AQ183" s="4" cm="1">
        <f t="array" ref="AQ18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3" s="4" t="s">
        <v>2592</v>
      </c>
      <c r="AS183" s="4" t="s">
        <v>2592</v>
      </c>
      <c r="AT183" s="4" t="s">
        <v>2592</v>
      </c>
      <c r="AU183" s="4" cm="1">
        <f t="array" ref="AU183">IF(FALSE,"True," &amp; IF(_xlfn.XLOOKUP("Action_IsDenyOrDrop",'Scoring_Config'!$A:$A,'Scoring_Config'!$D:$D,"Yes")="Yes",_xlfn.XLOOKUP("Action_IsDenyOrDrop",'Scoring_Config'!$A:$A,'Scoring_Config'!$C:$C,0),0),"False,0")</f>
        <v>0</v>
      </c>
      <c r="AV183" s="4"/>
      <c r="AW183" s="4" cm="1">
        <f t="array" ref="AW183">IF(FALSE,"True," &amp; IF(_xlfn.XLOOKUP("Migrate_Insecure",'Scoring_Config'!$A:$A,'Scoring_Config'!$D:$D,"Yes")="Yes",_xlfn.XLOOKUP("Migrate_Insecure",'Scoring_Config'!$A:$A,'Scoring_Config'!$C:$C,15),0),"False,0")</f>
        <v>0</v>
      </c>
      <c r="AX183" s="4"/>
      <c r="AY183" s="4" cm="1">
        <f t="array" ref="AY183">IF(FALSE,"True," &amp; IF(_xlfn.XLOOKUP("Migrate_Other_Ports",'Scoring_Config'!$A:$A,'Scoring_Config'!$D:$D,"Yes")="Yes",_xlfn.XLOOKUP("Migrate_Other_Ports",'Scoring_Config'!$A:$A,'Scoring_Config'!$C:$C,5),0),"False,0")</f>
        <v>0</v>
      </c>
      <c r="AZ183" s="4" cm="1">
        <f t="array" ref="AZ183">IF(LEFT(AU183,4)="True",0,(IF(LEFT(AC183,4)="True",IF(_xlfn.XLOOKUP("Src_IsAny",'Scoring_Config'!$A:$A,'Scoring_Config'!$D:$D,"Yes")="Yes",_xlfn.XLOOKUP("Src_IsAny",'Scoring_Config'!$A:$A,'Scoring_Config'!$C:$C,25),0),0)+IF(LEFT(AD183,4)="True",IF(_xlfn.XLOOKUP("Src_CIDR_Le_16",'Scoring_Config'!$A:$A,'Scoring_Config'!$D:$D,"Yes")="Yes",_xlfn.XLOOKUP("Src_CIDR_Le_16",'Scoring_Config'!$A:$A,'Scoring_Config'!$C:$C,25),0),0)+IF(LEFT(AE183,4)="True",IF(_xlfn.XLOOKUP("Src_CIDR_17_22",'Scoring_Config'!$A:$A,'Scoring_Config'!$D:$D,"Yes")="Yes",_xlfn.XLOOKUP("Src_CIDR_17_22",'Scoring_Config'!$A:$A,'Scoring_Config'!$C:$C,15),0),0)+IF(LEFT(AF183,4)="True",IF(_xlfn.XLOOKUP("Dst_IsAny",'Scoring_Config'!$A:$A,'Scoring_Config'!$D:$D,"Yes")="Yes",_xlfn.XLOOKUP("Dst_IsAny",'Scoring_Config'!$A:$A,'Scoring_Config'!$C:$C,25),0),0)+IF(LEFT(AG183,4)="True",IF(_xlfn.XLOOKUP("Dst_CIDR_Le_16",'Scoring_Config'!$A:$A,'Scoring_Config'!$D:$D,"Yes")="Yes",_xlfn.XLOOKUP("Dst_CIDR_Le_16",'Scoring_Config'!$A:$A,'Scoring_Config'!$C:$C,25),0),0)+IF(LEFT(AH183,4)="True",IF(_xlfn.XLOOKUP("Dst_CIDR_17_22",'Scoring_Config'!$A:$A,'Scoring_Config'!$D:$D,"Yes")="Yes",_xlfn.XLOOKUP("Dst_CIDR_17_22",'Scoring_Config'!$A:$A,'Scoring_Config'!$C:$C,15),0),0)+IF(LEFT(AI183,4)="True",IF(_xlfn.XLOOKUP("SrcZone_IsAny",'Scoring_Config'!$A:$A,'Scoring_Config'!$D:$D,"Yes")="Yes",_xlfn.XLOOKUP("SrcZone_IsAny",'Scoring_Config'!$A:$A,'Scoring_Config'!$C:$C,5),0),0)+IF(LEFT(AJ183,4)="True",IF(_xlfn.XLOOKUP("DstZone_IsAny",'Scoring_Config'!$A:$A,'Scoring_Config'!$D:$D,"Yes")="Yes",_xlfn.XLOOKUP("DstZone_IsAny",'Scoring_Config'!$A:$A,'Scoring_Config'!$C:$C,5),0),0)+IF(LEFT(AK183,4)="True",IF(_xlfn.XLOOKUP("Service_Any_OR_RangeGt1000",'Scoring_Config'!$A:$A,'Scoring_Config'!$D:$D,"Yes")="Yes",_xlfn.XLOOKUP("Service_Any_OR_RangeGt1000",'Scoring_Config'!$A:$A,'Scoring_Config'!$C:$C,25),0),0)+IF(LEFT(AL183,4)="True",IF(_xlfn.XLOOKUP("App_Any_OR_RangeGt1000",'Scoring_Config'!$A:$A,'Scoring_Config'!$D:$D,"Yes")="Yes",_xlfn.XLOOKUP("App_Any_OR_RangeGt1000",'Scoring_Config'!$A:$A,'Scoring_Config'!$C:$C,25),0),0)+IF(LEFT(AM183,4)="True",IF(_xlfn.XLOOKUP("Service_Insecure_Match",'Scoring_Config'!$A:$A,'Scoring_Config'!$D:$D,"Yes")="Yes",_xlfn.XLOOKUP("Service_Insecure_Match",'Scoring_Config'!$A:$A,'Scoring_Config'!$C:$C,20),0),0)+IF(LEFT(AN183,4)="True",IF(_xlfn.XLOOKUP("Risky_Inbound",'Scoring_Config'!$A:$A,'Scoring_Config'!$D:$D,"Yes")="Yes",_xlfn.XLOOKUP("Risky_Inbound",'Scoring_Config'!$A:$A,'Scoring_Config'!$C:$C,20),0),0)+IF(LEFT(AO183,4)="True",IF(_xlfn.XLOOKUP("Risky_Outbound",'Scoring_Config'!$A:$A,'Scoring_Config'!$D:$D,"Yes")="Yes",_xlfn.XLOOKUP("Risky_Outbound",'Scoring_Config'!$A:$A,'Scoring_Config'!$C:$C,10),0),0)+IF(LEFT(AW183,4)="True",IF(_xlfn.XLOOKUP("Migrate_Insecure",'Scoring_Config'!$A:$A,'Scoring_Config'!$D:$D,"Yes")="Yes",_xlfn.XLOOKUP("Migrate_Insecure",'Scoring_Config'!$A:$A,'Scoring_Config'!$C:$C,15),0),0)+IF(LEFT(AY183,4)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183,FIND(",",AP183)+1,100)),0)+IF(LEFT(AQ183,4)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183,FIND(",",AR183)+1,100)),0)+IF(_xlfn.XLOOKUP("Profile_Scoring",'Scoring_Config'!$A:$A,'Scoring_Config'!$D:$D,"Yes")="Yes",VALUE(MID(AS183,FIND(",",AS183)+1,100)),0)+IF(_xlfn.XLOOKUP("Options_Scoring",'Scoring_Config'!$A:$A,'Scoring_Config'!$D:$D,"Yes")="Yes",VALUE(MID(AT183,FIND(",",AT183)+1,100)),0)))</f>
        <v>0</v>
      </c>
    </row>
    <row r="184" spans="1:52">
      <c r="A184" s="3" t="s">
        <v>53</v>
      </c>
      <c r="B184" s="3" t="s">
        <v>124</v>
      </c>
      <c r="C184" s="3" t="s">
        <v>330</v>
      </c>
      <c r="D184" s="3"/>
      <c r="E184" s="3" t="s">
        <v>359</v>
      </c>
      <c r="F184" s="3" t="s">
        <v>361</v>
      </c>
      <c r="G184" s="3" t="s">
        <v>365</v>
      </c>
      <c r="H184" s="3" t="s">
        <v>365</v>
      </c>
      <c r="I184" s="3" t="s">
        <v>624</v>
      </c>
      <c r="J184" s="3" t="s">
        <v>360</v>
      </c>
      <c r="K184" s="3" t="s">
        <v>450</v>
      </c>
      <c r="L184" s="3" t="s">
        <v>580</v>
      </c>
      <c r="M184" s="3" t="s">
        <v>775</v>
      </c>
      <c r="N184" s="3" t="s">
        <v>796</v>
      </c>
      <c r="O184" s="4" t="s">
        <v>836</v>
      </c>
      <c r="P184" s="3" t="s">
        <v>836</v>
      </c>
      <c r="Q184" s="3" t="s">
        <v>905</v>
      </c>
      <c r="R184" s="3" t="s">
        <v>908</v>
      </c>
      <c r="S184" s="3" t="s">
        <v>914</v>
      </c>
      <c r="T184" s="3" t="s">
        <v>919</v>
      </c>
      <c r="U184" s="3" t="s">
        <v>1150</v>
      </c>
      <c r="V184" s="3" t="s">
        <v>1388</v>
      </c>
      <c r="W184" s="3" t="s">
        <v>1398</v>
      </c>
      <c r="X184" s="3" t="s">
        <v>1788</v>
      </c>
      <c r="Y184" s="3" t="s">
        <v>2257</v>
      </c>
      <c r="Z184" s="3"/>
      <c r="AA184" s="3"/>
      <c r="AB184" s="3"/>
      <c r="AC184" s="5" cm="1">
        <f t="array" ref="AC184">IF(TRUE,"True," &amp; IF(_xlfn.XLOOKUP("Src_IsAny",'Scoring_Config'!$A:$A,'Scoring_Config'!$D:$D,"Yes")="Yes",_xlfn.XLOOKUP("Src_IsAny",'Scoring_Config'!$A:$A,'Scoring_Config'!$C:$C,25),0),"False,0")</f>
        <v>0</v>
      </c>
      <c r="AD184" s="4" cm="1">
        <f t="array" ref="AD184">IF(FALSE,"True," &amp; IF(_xlfn.XLOOKUP("Src_CIDR_Le_16",'Scoring_Config'!$A:$A,'Scoring_Config'!$D:$D,"Yes")="Yes",_xlfn.XLOOKUP("Src_CIDR_Le_16",'Scoring_Config'!$A:$A,'Scoring_Config'!$C:$C,25),0),"False,0")</f>
        <v>0</v>
      </c>
      <c r="AE184" s="4" cm="1">
        <f t="array" ref="AE184">IF(FALSE,"True," &amp; IF(_xlfn.XLOOKUP("Src_CIDR_17_22",'Scoring_Config'!$A:$A,'Scoring_Config'!$D:$D,"Yes")="Yes",_xlfn.XLOOKUP("Src_CIDR_17_22",'Scoring_Config'!$A:$A,'Scoring_Config'!$C:$C,15),0),"False,0")</f>
        <v>0</v>
      </c>
      <c r="AF184" s="4" cm="1">
        <f t="array" ref="AF184">IF(FALSE,"True," &amp; IF(_xlfn.XLOOKUP("Dst_IsAny",'Scoring_Config'!$A:$A,'Scoring_Config'!$D:$D,"Yes")="Yes",_xlfn.XLOOKUP("Dst_IsAny",'Scoring_Config'!$A:$A,'Scoring_Config'!$C:$C,25),0),"False,0")</f>
        <v>0</v>
      </c>
      <c r="AG184" s="5" cm="1">
        <f t="array" ref="AG184">IF(TRUE,"True," &amp; IF(_xlfn.XLOOKUP("Dst_CIDR_Le_16",'Scoring_Config'!$A:$A,'Scoring_Config'!$D:$D,"Yes")="Yes",_xlfn.XLOOKUP("Dst_CIDR_Le_16",'Scoring_Config'!$A:$A,'Scoring_Config'!$C:$C,25),0),"False,0")</f>
        <v>0</v>
      </c>
      <c r="AH184" s="4" cm="1">
        <f t="array" ref="AH184">IF(FALSE,"True," &amp; IF(_xlfn.XLOOKUP("Dst_CIDR_17_22",'Scoring_Config'!$A:$A,'Scoring_Config'!$D:$D,"Yes")="Yes",_xlfn.XLOOKUP("Dst_CIDR_17_22",'Scoring_Config'!$A:$A,'Scoring_Config'!$C:$C,15),0),"False,0")</f>
        <v>0</v>
      </c>
      <c r="AI184" s="4" cm="1">
        <f t="array" ref="AI184">IF(FALSE,"True," &amp; IF(_xlfn.XLOOKUP("SrcZone_IsAny",'Scoring_Config'!$A:$A,'Scoring_Config'!$D:$D,"Yes")="Yes",_xlfn.XLOOKUP("SrcZone_IsAny",'Scoring_Config'!$A:$A,'Scoring_Config'!$C:$C,5),0),"False,0")</f>
        <v>0</v>
      </c>
      <c r="AJ184" s="4" cm="1">
        <f t="array" ref="AJ184">IF(FALSE,"True," &amp; IF(_xlfn.XLOOKUP("DstZone_IsAny",'Scoring_Config'!$A:$A,'Scoring_Config'!$D:$D,"Yes")="Yes",_xlfn.XLOOKUP("DstZone_IsAny",'Scoring_Config'!$A:$A,'Scoring_Config'!$C:$C,5),0),"False,0")</f>
        <v>0</v>
      </c>
      <c r="AK184" s="4" cm="1">
        <f t="array" ref="AK18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4" s="4" cm="1">
        <f t="array" ref="AL184">IF(FALSE,"True," &amp; IF(_xlfn.XLOOKUP("App_Any_OR_RangeGt1000",'Scoring_Config'!$A:$A,'Scoring_Config'!$D:$D,"Yes")="Yes",_xlfn.XLOOKUP("App_Any_OR_RangeGt1000",'Scoring_Config'!$A:$A,'Scoring_Config'!$C:$C,25),0),"False,0")</f>
        <v>0</v>
      </c>
      <c r="AM184" s="4" cm="1">
        <f t="array" ref="AM184">IF(FALSE,"True," &amp; IF(_xlfn.XLOOKUP("Service_Insecure_Match",'Scoring_Config'!$A:$A,'Scoring_Config'!$D:$D,"Yes")="Yes",_xlfn.XLOOKUP("Service_Insecure_Match",'Scoring_Config'!$A:$A,'Scoring_Config'!$C:$C,20),0),"False,0")</f>
        <v>0</v>
      </c>
      <c r="AN184" s="4" cm="1">
        <f t="array" ref="AN184">IF(FALSE,"True," &amp; IF(_xlfn.XLOOKUP("Risky_Inbound",'Scoring_Config'!$A:$A,'Scoring_Config'!$D:$D,"Yes")="Yes",_xlfn.XLOOKUP("Risky_Inbound",'Scoring_Config'!$A:$A,'Scoring_Config'!$C:$C,20),0),"False,0")</f>
        <v>0</v>
      </c>
      <c r="AO184" s="4" cm="1">
        <f t="array" ref="AO184">IF(FALSE,"True," &amp; IF(_xlfn.XLOOKUP("Risky_Outbound",'Scoring_Config'!$A:$A,'Scoring_Config'!$D:$D,"Yes")="Yes",_xlfn.XLOOKUP("Risky_Outbound",'Scoring_Config'!$A:$A,'Scoring_Config'!$C:$C,10),0),"False,0")</f>
        <v>0</v>
      </c>
      <c r="AP184" s="5" t="s">
        <v>2595</v>
      </c>
      <c r="AQ184" s="5" cm="1">
        <f t="array" ref="AQ18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4" s="5" t="s">
        <v>2598</v>
      </c>
      <c r="AS184" s="4" t="s">
        <v>2592</v>
      </c>
      <c r="AT184" s="4" t="s">
        <v>2592</v>
      </c>
      <c r="AU184" s="4" cm="1">
        <f t="array" ref="AU184">IF(FALSE,"True," &amp; IF(_xlfn.XLOOKUP("Action_IsDenyOrDrop",'Scoring_Config'!$A:$A,'Scoring_Config'!$D:$D,"Yes")="Yes",_xlfn.XLOOKUP("Action_IsDenyOrDrop",'Scoring_Config'!$A:$A,'Scoring_Config'!$C:$C,0),0),"False,0")</f>
        <v>0</v>
      </c>
      <c r="AV184" s="4"/>
      <c r="AW184" s="4" cm="1">
        <f t="array" ref="AW184">IF(FALSE,"True," &amp; IF(_xlfn.XLOOKUP("Migrate_Insecure",'Scoring_Config'!$A:$A,'Scoring_Config'!$D:$D,"Yes")="Yes",_xlfn.XLOOKUP("Migrate_Insecure",'Scoring_Config'!$A:$A,'Scoring_Config'!$C:$C,15),0),"False,0")</f>
        <v>0</v>
      </c>
      <c r="AX184" s="4"/>
      <c r="AY184" s="4" cm="1">
        <f t="array" ref="AY184">IF(FALSE,"True," &amp; IF(_xlfn.XLOOKUP("Migrate_Other_Ports",'Scoring_Config'!$A:$A,'Scoring_Config'!$D:$D,"Yes")="Yes",_xlfn.XLOOKUP("Migrate_Other_Ports",'Scoring_Config'!$A:$A,'Scoring_Config'!$C:$C,5),0),"False,0")</f>
        <v>0</v>
      </c>
      <c r="AZ184" s="4" cm="1">
        <f t="array" ref="AZ184">IF(LEFT(AU184,4)="True",0,(IF(LEFT(AC184,4)="True",IF(_xlfn.XLOOKUP("Src_IsAny",'Scoring_Config'!$A:$A,'Scoring_Config'!$D:$D,"Yes")="Yes",_xlfn.XLOOKUP("Src_IsAny",'Scoring_Config'!$A:$A,'Scoring_Config'!$C:$C,25),0),0)+IF(LEFT(AD184,4)="True",IF(_xlfn.XLOOKUP("Src_CIDR_Le_16",'Scoring_Config'!$A:$A,'Scoring_Config'!$D:$D,"Yes")="Yes",_xlfn.XLOOKUP("Src_CIDR_Le_16",'Scoring_Config'!$A:$A,'Scoring_Config'!$C:$C,25),0),0)+IF(LEFT(AE184,4)="True",IF(_xlfn.XLOOKUP("Src_CIDR_17_22",'Scoring_Config'!$A:$A,'Scoring_Config'!$D:$D,"Yes")="Yes",_xlfn.XLOOKUP("Src_CIDR_17_22",'Scoring_Config'!$A:$A,'Scoring_Config'!$C:$C,15),0),0)+IF(LEFT(AF184,4)="True",IF(_xlfn.XLOOKUP("Dst_IsAny",'Scoring_Config'!$A:$A,'Scoring_Config'!$D:$D,"Yes")="Yes",_xlfn.XLOOKUP("Dst_IsAny",'Scoring_Config'!$A:$A,'Scoring_Config'!$C:$C,25),0),0)+IF(LEFT(AG184,4)="True",IF(_xlfn.XLOOKUP("Dst_CIDR_Le_16",'Scoring_Config'!$A:$A,'Scoring_Config'!$D:$D,"Yes")="Yes",_xlfn.XLOOKUP("Dst_CIDR_Le_16",'Scoring_Config'!$A:$A,'Scoring_Config'!$C:$C,25),0),0)+IF(LEFT(AH184,4)="True",IF(_xlfn.XLOOKUP("Dst_CIDR_17_22",'Scoring_Config'!$A:$A,'Scoring_Config'!$D:$D,"Yes")="Yes",_xlfn.XLOOKUP("Dst_CIDR_17_22",'Scoring_Config'!$A:$A,'Scoring_Config'!$C:$C,15),0),0)+IF(LEFT(AI184,4)="True",IF(_xlfn.XLOOKUP("SrcZone_IsAny",'Scoring_Config'!$A:$A,'Scoring_Config'!$D:$D,"Yes")="Yes",_xlfn.XLOOKUP("SrcZone_IsAny",'Scoring_Config'!$A:$A,'Scoring_Config'!$C:$C,5),0),0)+IF(LEFT(AJ184,4)="True",IF(_xlfn.XLOOKUP("DstZone_IsAny",'Scoring_Config'!$A:$A,'Scoring_Config'!$D:$D,"Yes")="Yes",_xlfn.XLOOKUP("DstZone_IsAny",'Scoring_Config'!$A:$A,'Scoring_Config'!$C:$C,5),0),0)+IF(LEFT(AK184,4)="True",IF(_xlfn.XLOOKUP("Service_Any_OR_RangeGt1000",'Scoring_Config'!$A:$A,'Scoring_Config'!$D:$D,"Yes")="Yes",_xlfn.XLOOKUP("Service_Any_OR_RangeGt1000",'Scoring_Config'!$A:$A,'Scoring_Config'!$C:$C,25),0),0)+IF(LEFT(AL184,4)="True",IF(_xlfn.XLOOKUP("App_Any_OR_RangeGt1000",'Scoring_Config'!$A:$A,'Scoring_Config'!$D:$D,"Yes")="Yes",_xlfn.XLOOKUP("App_Any_OR_RangeGt1000",'Scoring_Config'!$A:$A,'Scoring_Config'!$C:$C,25),0),0)+IF(LEFT(AM184,4)="True",IF(_xlfn.XLOOKUP("Service_Insecure_Match",'Scoring_Config'!$A:$A,'Scoring_Config'!$D:$D,"Yes")="Yes",_xlfn.XLOOKUP("Service_Insecure_Match",'Scoring_Config'!$A:$A,'Scoring_Config'!$C:$C,20),0),0)+IF(LEFT(AN184,4)="True",IF(_xlfn.XLOOKUP("Risky_Inbound",'Scoring_Config'!$A:$A,'Scoring_Config'!$D:$D,"Yes")="Yes",_xlfn.XLOOKUP("Risky_Inbound",'Scoring_Config'!$A:$A,'Scoring_Config'!$C:$C,20),0),0)+IF(LEFT(AO184,4)="True",IF(_xlfn.XLOOKUP("Risky_Outbound",'Scoring_Config'!$A:$A,'Scoring_Config'!$D:$D,"Yes")="Yes",_xlfn.XLOOKUP("Risky_Outbound",'Scoring_Config'!$A:$A,'Scoring_Config'!$C:$C,10),0),0)+IF(LEFT(AW184,4)="True",IF(_xlfn.XLOOKUP("Migrate_Insecure",'Scoring_Config'!$A:$A,'Scoring_Config'!$D:$D,"Yes")="Yes",_xlfn.XLOOKUP("Migrate_Insecure",'Scoring_Config'!$A:$A,'Scoring_Config'!$C:$C,15),0),0)+IF(LEFT(AY184,4)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184,FIND(",",AP184)+1,100)),0)+IF(LEFT(AQ184,4)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184,FIND(",",AR184)+1,100)),0)+IF(_xlfn.XLOOKUP("Profile_Scoring",'Scoring_Config'!$A:$A,'Scoring_Config'!$D:$D,"Yes")="Yes",VALUE(MID(AS184,FIND(",",AS184)+1,100)),0)+IF(_xlfn.XLOOKUP("Options_Scoring",'Scoring_Config'!$A:$A,'Scoring_Config'!$D:$D,"Yes")="Yes",VALUE(MID(AT184,FIND(",",AT184)+1,100)),0)))</f>
        <v>0</v>
      </c>
    </row>
    <row r="185" spans="1:52">
      <c r="A185" s="3" t="s">
        <v>53</v>
      </c>
      <c r="B185" s="3" t="s">
        <v>189</v>
      </c>
      <c r="C185" s="3" t="s">
        <v>330</v>
      </c>
      <c r="D185" s="3"/>
      <c r="E185" s="3" t="s">
        <v>359</v>
      </c>
      <c r="F185" s="3" t="s">
        <v>363</v>
      </c>
      <c r="G185" s="3" t="s">
        <v>417</v>
      </c>
      <c r="H185" s="3" t="s">
        <v>569</v>
      </c>
      <c r="I185" s="3" t="s">
        <v>625</v>
      </c>
      <c r="J185" s="3" t="s">
        <v>363</v>
      </c>
      <c r="K185" s="3" t="s">
        <v>365</v>
      </c>
      <c r="L185" s="3" t="s">
        <v>365</v>
      </c>
      <c r="M185" s="3" t="s">
        <v>775</v>
      </c>
      <c r="N185" s="3" t="s">
        <v>796</v>
      </c>
      <c r="O185" s="4" t="s">
        <v>837</v>
      </c>
      <c r="P185" s="3" t="s">
        <v>837</v>
      </c>
      <c r="Q185" s="3" t="s">
        <v>905</v>
      </c>
      <c r="R185" s="3" t="s">
        <v>908</v>
      </c>
      <c r="S185" s="3" t="s">
        <v>916</v>
      </c>
      <c r="T185" s="3" t="s">
        <v>1035</v>
      </c>
      <c r="U185" s="3" t="s">
        <v>1239</v>
      </c>
      <c r="V185" s="3" t="s">
        <v>789</v>
      </c>
      <c r="W185" s="3" t="s">
        <v>1428</v>
      </c>
      <c r="X185" s="3" t="s">
        <v>1789</v>
      </c>
      <c r="Y185" s="3" t="s">
        <v>2258</v>
      </c>
      <c r="Z185" s="3"/>
      <c r="AA185" s="3"/>
      <c r="AB185" s="3"/>
      <c r="AC185" s="4" cm="1">
        <f t="array" ref="AC185">IF(FALSE,"True," &amp; IF(_xlfn.XLOOKUP("Src_IsAny",'Scoring_Config'!$A:$A,'Scoring_Config'!$D:$D,"Yes")="Yes",_xlfn.XLOOKUP("Src_IsAny",'Scoring_Config'!$A:$A,'Scoring_Config'!$C:$C,25),0),"False,0")</f>
        <v>0</v>
      </c>
      <c r="AD185" s="5" cm="1">
        <f t="array" ref="AD185">IF(TRUE,"True," &amp; IF(_xlfn.XLOOKUP("Src_CIDR_Le_16",'Scoring_Config'!$A:$A,'Scoring_Config'!$D:$D,"Yes")="Yes",_xlfn.XLOOKUP("Src_CIDR_Le_16",'Scoring_Config'!$A:$A,'Scoring_Config'!$C:$C,25),0),"False,0")</f>
        <v>0</v>
      </c>
      <c r="AE185" s="4" cm="1">
        <f t="array" ref="AE185">IF(FALSE,"True," &amp; IF(_xlfn.XLOOKUP("Src_CIDR_17_22",'Scoring_Config'!$A:$A,'Scoring_Config'!$D:$D,"Yes")="Yes",_xlfn.XLOOKUP("Src_CIDR_17_22",'Scoring_Config'!$A:$A,'Scoring_Config'!$C:$C,15),0),"False,0")</f>
        <v>0</v>
      </c>
      <c r="AF185" s="5" cm="1">
        <f t="array" ref="AF185">IF(TRUE,"True," &amp; IF(_xlfn.XLOOKUP("Dst_IsAny",'Scoring_Config'!$A:$A,'Scoring_Config'!$D:$D,"Yes")="Yes",_xlfn.XLOOKUP("Dst_IsAny",'Scoring_Config'!$A:$A,'Scoring_Config'!$C:$C,25),0),"False,0")</f>
        <v>0</v>
      </c>
      <c r="AG185" s="4" cm="1">
        <f t="array" ref="AG185">IF(FALSE,"True," &amp; IF(_xlfn.XLOOKUP("Dst_CIDR_Le_16",'Scoring_Config'!$A:$A,'Scoring_Config'!$D:$D,"Yes")="Yes",_xlfn.XLOOKUP("Dst_CIDR_Le_16",'Scoring_Config'!$A:$A,'Scoring_Config'!$C:$C,25),0),"False,0")</f>
        <v>0</v>
      </c>
      <c r="AH185" s="4" cm="1">
        <f t="array" ref="AH185">IF(FALSE,"True," &amp; IF(_xlfn.XLOOKUP("Dst_CIDR_17_22",'Scoring_Config'!$A:$A,'Scoring_Config'!$D:$D,"Yes")="Yes",_xlfn.XLOOKUP("Dst_CIDR_17_22",'Scoring_Config'!$A:$A,'Scoring_Config'!$C:$C,15),0),"False,0")</f>
        <v>0</v>
      </c>
      <c r="AI185" s="4" cm="1">
        <f t="array" ref="AI185">IF(FALSE,"True," &amp; IF(_xlfn.XLOOKUP("SrcZone_IsAny",'Scoring_Config'!$A:$A,'Scoring_Config'!$D:$D,"Yes")="Yes",_xlfn.XLOOKUP("SrcZone_IsAny",'Scoring_Config'!$A:$A,'Scoring_Config'!$C:$C,5),0),"False,0")</f>
        <v>0</v>
      </c>
      <c r="AJ185" s="4" cm="1">
        <f t="array" ref="AJ185">IF(FALSE,"True," &amp; IF(_xlfn.XLOOKUP("DstZone_IsAny",'Scoring_Config'!$A:$A,'Scoring_Config'!$D:$D,"Yes")="Yes",_xlfn.XLOOKUP("DstZone_IsAny",'Scoring_Config'!$A:$A,'Scoring_Config'!$C:$C,5),0),"False,0")</f>
        <v>0</v>
      </c>
      <c r="AK185" s="4" cm="1">
        <f t="array" ref="AK18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5" s="4" cm="1">
        <f t="array" ref="AL185">IF(FALSE,"True," &amp; IF(_xlfn.XLOOKUP("App_Any_OR_RangeGt1000",'Scoring_Config'!$A:$A,'Scoring_Config'!$D:$D,"Yes")="Yes",_xlfn.XLOOKUP("App_Any_OR_RangeGt1000",'Scoring_Config'!$A:$A,'Scoring_Config'!$C:$C,25),0),"False,0")</f>
        <v>0</v>
      </c>
      <c r="AM185" s="4" cm="1">
        <f t="array" ref="AM185">IF(FALSE,"True," &amp; IF(_xlfn.XLOOKUP("Service_Insecure_Match",'Scoring_Config'!$A:$A,'Scoring_Config'!$D:$D,"Yes")="Yes",_xlfn.XLOOKUP("Service_Insecure_Match",'Scoring_Config'!$A:$A,'Scoring_Config'!$C:$C,20),0),"False,0")</f>
        <v>0</v>
      </c>
      <c r="AN185" s="4" cm="1">
        <f t="array" ref="AN185">IF(FALSE,"True," &amp; IF(_xlfn.XLOOKUP("Risky_Inbound",'Scoring_Config'!$A:$A,'Scoring_Config'!$D:$D,"Yes")="Yes",_xlfn.XLOOKUP("Risky_Inbound",'Scoring_Config'!$A:$A,'Scoring_Config'!$C:$C,20),0),"False,0")</f>
        <v>0</v>
      </c>
      <c r="AO185" s="4" cm="1">
        <f t="array" ref="AO185">IF(FALSE,"True," &amp; IF(_xlfn.XLOOKUP("Risky_Outbound",'Scoring_Config'!$A:$A,'Scoring_Config'!$D:$D,"Yes")="Yes",_xlfn.XLOOKUP("Risky_Outbound",'Scoring_Config'!$A:$A,'Scoring_Config'!$C:$C,10),0),"False,0")</f>
        <v>0</v>
      </c>
      <c r="AP185" s="5" t="s">
        <v>2595</v>
      </c>
      <c r="AQ185" s="4" cm="1">
        <f t="array" ref="AQ18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5" s="5" t="s">
        <v>2598</v>
      </c>
      <c r="AS185" s="4" t="s">
        <v>2592</v>
      </c>
      <c r="AT185" s="4" t="s">
        <v>2592</v>
      </c>
      <c r="AU185" s="4" cm="1">
        <f t="array" ref="AU185">IF(FALSE,"True," &amp; IF(_xlfn.XLOOKUP("Action_IsDenyOrDrop",'Scoring_Config'!$A:$A,'Scoring_Config'!$D:$D,"Yes")="Yes",_xlfn.XLOOKUP("Action_IsDenyOrDrop",'Scoring_Config'!$A:$A,'Scoring_Config'!$C:$C,0),0),"False,0")</f>
        <v>0</v>
      </c>
      <c r="AV185" s="4"/>
      <c r="AW185" s="4" cm="1">
        <f t="array" ref="AW185">IF(FALSE,"True," &amp; IF(_xlfn.XLOOKUP("Migrate_Insecure",'Scoring_Config'!$A:$A,'Scoring_Config'!$D:$D,"Yes")="Yes",_xlfn.XLOOKUP("Migrate_Insecure",'Scoring_Config'!$A:$A,'Scoring_Config'!$C:$C,15),0),"False,0")</f>
        <v>0</v>
      </c>
      <c r="AX185" s="4"/>
      <c r="AY185" s="4" cm="1">
        <f t="array" ref="AY185">IF(FALSE,"True," &amp; IF(_xlfn.XLOOKUP("Migrate_Other_Ports",'Scoring_Config'!$A:$A,'Scoring_Config'!$D:$D,"Yes")="Yes",_xlfn.XLOOKUP("Migrate_Other_Ports",'Scoring_Config'!$A:$A,'Scoring_Config'!$C:$C,5),0),"False,0")</f>
        <v>0</v>
      </c>
      <c r="AZ185" s="4" cm="1">
        <f t="array" ref="AZ185">IF(LEFT(AU185,4)="True",0,(IF(LEFT(AC185,4)="True",IF(_xlfn.XLOOKUP("Src_IsAny",'Scoring_Config'!$A:$A,'Scoring_Config'!$D:$D,"Yes")="Yes",_xlfn.XLOOKUP("Src_IsAny",'Scoring_Config'!$A:$A,'Scoring_Config'!$C:$C,25),0),0)+IF(LEFT(AD185,4)="True",IF(_xlfn.XLOOKUP("Src_CIDR_Le_16",'Scoring_Config'!$A:$A,'Scoring_Config'!$D:$D,"Yes")="Yes",_xlfn.XLOOKUP("Src_CIDR_Le_16",'Scoring_Config'!$A:$A,'Scoring_Config'!$C:$C,25),0),0)+IF(LEFT(AE185,4)="True",IF(_xlfn.XLOOKUP("Src_CIDR_17_22",'Scoring_Config'!$A:$A,'Scoring_Config'!$D:$D,"Yes")="Yes",_xlfn.XLOOKUP("Src_CIDR_17_22",'Scoring_Config'!$A:$A,'Scoring_Config'!$C:$C,15),0),0)+IF(LEFT(AF185,4)="True",IF(_xlfn.XLOOKUP("Dst_IsAny",'Scoring_Config'!$A:$A,'Scoring_Config'!$D:$D,"Yes")="Yes",_xlfn.XLOOKUP("Dst_IsAny",'Scoring_Config'!$A:$A,'Scoring_Config'!$C:$C,25),0),0)+IF(LEFT(AG185,4)="True",IF(_xlfn.XLOOKUP("Dst_CIDR_Le_16",'Scoring_Config'!$A:$A,'Scoring_Config'!$D:$D,"Yes")="Yes",_xlfn.XLOOKUP("Dst_CIDR_Le_16",'Scoring_Config'!$A:$A,'Scoring_Config'!$C:$C,25),0),0)+IF(LEFT(AH185,4)="True",IF(_xlfn.XLOOKUP("Dst_CIDR_17_22",'Scoring_Config'!$A:$A,'Scoring_Config'!$D:$D,"Yes")="Yes",_xlfn.XLOOKUP("Dst_CIDR_17_22",'Scoring_Config'!$A:$A,'Scoring_Config'!$C:$C,15),0),0)+IF(LEFT(AI185,4)="True",IF(_xlfn.XLOOKUP("SrcZone_IsAny",'Scoring_Config'!$A:$A,'Scoring_Config'!$D:$D,"Yes")="Yes",_xlfn.XLOOKUP("SrcZone_IsAny",'Scoring_Config'!$A:$A,'Scoring_Config'!$C:$C,5),0),0)+IF(LEFT(AJ185,4)="True",IF(_xlfn.XLOOKUP("DstZone_IsAny",'Scoring_Config'!$A:$A,'Scoring_Config'!$D:$D,"Yes")="Yes",_xlfn.XLOOKUP("DstZone_IsAny",'Scoring_Config'!$A:$A,'Scoring_Config'!$C:$C,5),0),0)+IF(LEFT(AK185,4)="True",IF(_xlfn.XLOOKUP("Service_Any_OR_RangeGt1000",'Scoring_Config'!$A:$A,'Scoring_Config'!$D:$D,"Yes")="Yes",_xlfn.XLOOKUP("Service_Any_OR_RangeGt1000",'Scoring_Config'!$A:$A,'Scoring_Config'!$C:$C,25),0),0)+IF(LEFT(AL185,4)="True",IF(_xlfn.XLOOKUP("App_Any_OR_RangeGt1000",'Scoring_Config'!$A:$A,'Scoring_Config'!$D:$D,"Yes")="Yes",_xlfn.XLOOKUP("App_Any_OR_RangeGt1000",'Scoring_Config'!$A:$A,'Scoring_Config'!$C:$C,25),0),0)+IF(LEFT(AM185,4)="True",IF(_xlfn.XLOOKUP("Service_Insecure_Match",'Scoring_Config'!$A:$A,'Scoring_Config'!$D:$D,"Yes")="Yes",_xlfn.XLOOKUP("Service_Insecure_Match",'Scoring_Config'!$A:$A,'Scoring_Config'!$C:$C,20),0),0)+IF(LEFT(AN185,4)="True",IF(_xlfn.XLOOKUP("Risky_Inbound",'Scoring_Config'!$A:$A,'Scoring_Config'!$D:$D,"Yes")="Yes",_xlfn.XLOOKUP("Risky_Inbound",'Scoring_Config'!$A:$A,'Scoring_Config'!$C:$C,20),0),0)+IF(LEFT(AO185,4)="True",IF(_xlfn.XLOOKUP("Risky_Outbound",'Scoring_Config'!$A:$A,'Scoring_Config'!$D:$D,"Yes")="Yes",_xlfn.XLOOKUP("Risky_Outbound",'Scoring_Config'!$A:$A,'Scoring_Config'!$C:$C,10),0),0)+IF(LEFT(AW185,4)="True",IF(_xlfn.XLOOKUP("Migrate_Insecure",'Scoring_Config'!$A:$A,'Scoring_Config'!$D:$D,"Yes")="Yes",_xlfn.XLOOKUP("Migrate_Insecure",'Scoring_Config'!$A:$A,'Scoring_Config'!$C:$C,15),0),0)+IF(LEFT(AY185,4)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185,FIND(",",AP185)+1,100)),0)+IF(LEFT(AQ185,4)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185,FIND(",",AR185)+1,100)),0)+IF(_xlfn.XLOOKUP("Profile_Scoring",'Scoring_Config'!$A:$A,'Scoring_Config'!$D:$D,"Yes")="Yes",VALUE(MID(AS185,FIND(",",AS185)+1,100)),0)+IF(_xlfn.XLOOKUP("Options_Scoring",'Scoring_Config'!$A:$A,'Scoring_Config'!$D:$D,"Yes")="Yes",VALUE(MID(AT185,FIND(",",AT185)+1,100)),0)))</f>
        <v>0</v>
      </c>
    </row>
    <row r="186" spans="1:52">
      <c r="A186" s="3" t="s">
        <v>53</v>
      </c>
      <c r="B186" s="3" t="s">
        <v>78</v>
      </c>
      <c r="C186" s="3" t="s">
        <v>330</v>
      </c>
      <c r="D186" s="3"/>
      <c r="E186" s="3" t="s">
        <v>359</v>
      </c>
      <c r="F186" s="3" t="s">
        <v>364</v>
      </c>
      <c r="G186" s="3" t="s">
        <v>431</v>
      </c>
      <c r="H186" s="3" t="s">
        <v>431</v>
      </c>
      <c r="I186" s="3" t="s">
        <v>625</v>
      </c>
      <c r="J186" s="3" t="s">
        <v>360</v>
      </c>
      <c r="K186" s="3" t="s">
        <v>365</v>
      </c>
      <c r="L186" s="3" t="s">
        <v>365</v>
      </c>
      <c r="M186" s="3" t="s">
        <v>769</v>
      </c>
      <c r="N186" s="3" t="s">
        <v>792</v>
      </c>
      <c r="O186" s="4" t="s">
        <v>823</v>
      </c>
      <c r="P186" s="3" t="s">
        <v>884</v>
      </c>
      <c r="Q186" s="3" t="s">
        <v>905</v>
      </c>
      <c r="R186" s="3" t="s">
        <v>909</v>
      </c>
      <c r="S186" s="3" t="s">
        <v>916</v>
      </c>
      <c r="T186" s="3" t="s">
        <v>919</v>
      </c>
      <c r="U186" s="3" t="s">
        <v>1240</v>
      </c>
      <c r="V186" s="3" t="s">
        <v>1386</v>
      </c>
      <c r="W186" s="3" t="s">
        <v>1501</v>
      </c>
      <c r="X186" s="3" t="s">
        <v>1790</v>
      </c>
      <c r="Y186" s="3" t="s">
        <v>2259</v>
      </c>
      <c r="Z186" s="3"/>
      <c r="AA186" s="3"/>
      <c r="AB186" s="3"/>
      <c r="AC186" s="4" cm="1">
        <f t="array" ref="AC186">IF(FALSE,"True," &amp; IF(_xlfn.XLOOKUP("Src_IsAny",'Scoring_Config'!$A:$A,'Scoring_Config'!$D:$D,"Yes")="Yes",_xlfn.XLOOKUP("Src_IsAny",'Scoring_Config'!$A:$A,'Scoring_Config'!$C:$C,25),0),"False,0")</f>
        <v>0</v>
      </c>
      <c r="AD186" s="4" cm="1">
        <f t="array" ref="AD186">IF(FALSE,"True," &amp; IF(_xlfn.XLOOKUP("Src_CIDR_Le_16",'Scoring_Config'!$A:$A,'Scoring_Config'!$D:$D,"Yes")="Yes",_xlfn.XLOOKUP("Src_CIDR_Le_16",'Scoring_Config'!$A:$A,'Scoring_Config'!$C:$C,25),0),"False,0")</f>
        <v>0</v>
      </c>
      <c r="AE186" s="4" cm="1">
        <f t="array" ref="AE186">IF(FALSE,"True," &amp; IF(_xlfn.XLOOKUP("Src_CIDR_17_22",'Scoring_Config'!$A:$A,'Scoring_Config'!$D:$D,"Yes")="Yes",_xlfn.XLOOKUP("Src_CIDR_17_22",'Scoring_Config'!$A:$A,'Scoring_Config'!$C:$C,15),0),"False,0")</f>
        <v>0</v>
      </c>
      <c r="AF186" s="5" cm="1">
        <f t="array" ref="AF186">IF(TRUE,"True," &amp; IF(_xlfn.XLOOKUP("Dst_IsAny",'Scoring_Config'!$A:$A,'Scoring_Config'!$D:$D,"Yes")="Yes",_xlfn.XLOOKUP("Dst_IsAny",'Scoring_Config'!$A:$A,'Scoring_Config'!$C:$C,25),0),"False,0")</f>
        <v>0</v>
      </c>
      <c r="AG186" s="4" cm="1">
        <f t="array" ref="AG186">IF(FALSE,"True," &amp; IF(_xlfn.XLOOKUP("Dst_CIDR_Le_16",'Scoring_Config'!$A:$A,'Scoring_Config'!$D:$D,"Yes")="Yes",_xlfn.XLOOKUP("Dst_CIDR_Le_16",'Scoring_Config'!$A:$A,'Scoring_Config'!$C:$C,25),0),"False,0")</f>
        <v>0</v>
      </c>
      <c r="AH186" s="4" cm="1">
        <f t="array" ref="AH186">IF(FALSE,"True," &amp; IF(_xlfn.XLOOKUP("Dst_CIDR_17_22",'Scoring_Config'!$A:$A,'Scoring_Config'!$D:$D,"Yes")="Yes",_xlfn.XLOOKUP("Dst_CIDR_17_22",'Scoring_Config'!$A:$A,'Scoring_Config'!$C:$C,15),0),"False,0")</f>
        <v>0</v>
      </c>
      <c r="AI186" s="4" cm="1">
        <f t="array" ref="AI186">IF(FALSE,"True," &amp; IF(_xlfn.XLOOKUP("SrcZone_IsAny",'Scoring_Config'!$A:$A,'Scoring_Config'!$D:$D,"Yes")="Yes",_xlfn.XLOOKUP("SrcZone_IsAny",'Scoring_Config'!$A:$A,'Scoring_Config'!$C:$C,5),0),"False,0")</f>
        <v>0</v>
      </c>
      <c r="AJ186" s="4" cm="1">
        <f t="array" ref="AJ186">IF(FALSE,"True," &amp; IF(_xlfn.XLOOKUP("DstZone_IsAny",'Scoring_Config'!$A:$A,'Scoring_Config'!$D:$D,"Yes")="Yes",_xlfn.XLOOKUP("DstZone_IsAny",'Scoring_Config'!$A:$A,'Scoring_Config'!$C:$C,5),0),"False,0")</f>
        <v>0</v>
      </c>
      <c r="AK186" s="4" cm="1">
        <f t="array" ref="AK18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6" s="4" cm="1">
        <f t="array" ref="AL186">IF(FALSE,"True," &amp; IF(_xlfn.XLOOKUP("App_Any_OR_RangeGt1000",'Scoring_Config'!$A:$A,'Scoring_Config'!$D:$D,"Yes")="Yes",_xlfn.XLOOKUP("App_Any_OR_RangeGt1000",'Scoring_Config'!$A:$A,'Scoring_Config'!$C:$C,25),0),"False,0")</f>
        <v>0</v>
      </c>
      <c r="AM186" s="5" cm="1">
        <f t="array" ref="AM186">IF(TRUE,"True," &amp; IF(_xlfn.XLOOKUP("Service_Insecure_Match",'Scoring_Config'!$A:$A,'Scoring_Config'!$D:$D,"Yes")="Yes",_xlfn.XLOOKUP("Service_Insecure_Match",'Scoring_Config'!$A:$A,'Scoring_Config'!$C:$C,20),0),"False,0")</f>
        <v>0</v>
      </c>
      <c r="AN186" s="4" cm="1">
        <f t="array" ref="AN186">IF(FALSE,"True," &amp; IF(_xlfn.XLOOKUP("Risky_Inbound",'Scoring_Config'!$A:$A,'Scoring_Config'!$D:$D,"Yes")="Yes",_xlfn.XLOOKUP("Risky_Inbound",'Scoring_Config'!$A:$A,'Scoring_Config'!$C:$C,20),0),"False,0")</f>
        <v>0</v>
      </c>
      <c r="AO186" s="4" cm="1">
        <f t="array" ref="AO186">IF(FALSE,"True," &amp; IF(_xlfn.XLOOKUP("Risky_Outbound",'Scoring_Config'!$A:$A,'Scoring_Config'!$D:$D,"Yes")="Yes",_xlfn.XLOOKUP("Risky_Outbound",'Scoring_Config'!$A:$A,'Scoring_Config'!$C:$C,10),0),"False,0")</f>
        <v>0</v>
      </c>
      <c r="AP186" s="5" t="s">
        <v>2595</v>
      </c>
      <c r="AQ186" s="4" cm="1">
        <f t="array" ref="AQ18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6" s="5" t="s">
        <v>2598</v>
      </c>
      <c r="AS186" s="4" t="s">
        <v>2592</v>
      </c>
      <c r="AT186" s="4" t="s">
        <v>2592</v>
      </c>
      <c r="AU186" s="4" cm="1">
        <f t="array" ref="AU186">IF(FALSE,"True," &amp; IF(_xlfn.XLOOKUP("Action_IsDenyOrDrop",'Scoring_Config'!$A:$A,'Scoring_Config'!$D:$D,"Yes")="Yes",_xlfn.XLOOKUP("Action_IsDenyOrDrop",'Scoring_Config'!$A:$A,'Scoring_Config'!$C:$C,0),0),"False,0")</f>
        <v>0</v>
      </c>
      <c r="AV186" s="4"/>
      <c r="AW186" s="4" cm="1">
        <f t="array" ref="AW186">IF(FALSE,"True," &amp; IF(_xlfn.XLOOKUP("Migrate_Insecure",'Scoring_Config'!$A:$A,'Scoring_Config'!$D:$D,"Yes")="Yes",_xlfn.XLOOKUP("Migrate_Insecure",'Scoring_Config'!$A:$A,'Scoring_Config'!$C:$C,15),0),"False,0")</f>
        <v>0</v>
      </c>
      <c r="AX186" s="4"/>
      <c r="AY186" s="4" cm="1">
        <f t="array" ref="AY186">IF(FALSE,"True," &amp; IF(_xlfn.XLOOKUP("Migrate_Other_Ports",'Scoring_Config'!$A:$A,'Scoring_Config'!$D:$D,"Yes")="Yes",_xlfn.XLOOKUP("Migrate_Other_Ports",'Scoring_Config'!$A:$A,'Scoring_Config'!$C:$C,5),0),"False,0")</f>
        <v>0</v>
      </c>
      <c r="AZ186" s="4" cm="1">
        <f t="array" ref="AZ186">IF(LEFT(AU186,4)="True",0,(IF(LEFT(AC186,4)="True",IF(_xlfn.XLOOKUP("Src_IsAny",'Scoring_Config'!$A:$A,'Scoring_Config'!$D:$D,"Yes")="Yes",_xlfn.XLOOKUP("Src_IsAny",'Scoring_Config'!$A:$A,'Scoring_Config'!$C:$C,25),0),0)+IF(LEFT(AD186,4)="True",IF(_xlfn.XLOOKUP("Src_CIDR_Le_16",'Scoring_Config'!$A:$A,'Scoring_Config'!$D:$D,"Yes")="Yes",_xlfn.XLOOKUP("Src_CIDR_Le_16",'Scoring_Config'!$A:$A,'Scoring_Config'!$C:$C,25),0),0)+IF(LEFT(AE186,4)="True",IF(_xlfn.XLOOKUP("Src_CIDR_17_22",'Scoring_Config'!$A:$A,'Scoring_Config'!$D:$D,"Yes")="Yes",_xlfn.XLOOKUP("Src_CIDR_17_22",'Scoring_Config'!$A:$A,'Scoring_Config'!$C:$C,15),0),0)+IF(LEFT(AF186,4)="True",IF(_xlfn.XLOOKUP("Dst_IsAny",'Scoring_Config'!$A:$A,'Scoring_Config'!$D:$D,"Yes")="Yes",_xlfn.XLOOKUP("Dst_IsAny",'Scoring_Config'!$A:$A,'Scoring_Config'!$C:$C,25),0),0)+IF(LEFT(AG186,4)="True",IF(_xlfn.XLOOKUP("Dst_CIDR_Le_16",'Scoring_Config'!$A:$A,'Scoring_Config'!$D:$D,"Yes")="Yes",_xlfn.XLOOKUP("Dst_CIDR_Le_16",'Scoring_Config'!$A:$A,'Scoring_Config'!$C:$C,25),0),0)+IF(LEFT(AH186,4)="True",IF(_xlfn.XLOOKUP("Dst_CIDR_17_22",'Scoring_Config'!$A:$A,'Scoring_Config'!$D:$D,"Yes")="Yes",_xlfn.XLOOKUP("Dst_CIDR_17_22",'Scoring_Config'!$A:$A,'Scoring_Config'!$C:$C,15),0),0)+IF(LEFT(AI186,4)="True",IF(_xlfn.XLOOKUP("SrcZone_IsAny",'Scoring_Config'!$A:$A,'Scoring_Config'!$D:$D,"Yes")="Yes",_xlfn.XLOOKUP("SrcZone_IsAny",'Scoring_Config'!$A:$A,'Scoring_Config'!$C:$C,5),0),0)+IF(LEFT(AJ186,4)="True",IF(_xlfn.XLOOKUP("DstZone_IsAny",'Scoring_Config'!$A:$A,'Scoring_Config'!$D:$D,"Yes")="Yes",_xlfn.XLOOKUP("DstZone_IsAny",'Scoring_Config'!$A:$A,'Scoring_Config'!$C:$C,5),0),0)+IF(LEFT(AK186,4)="True",IF(_xlfn.XLOOKUP("Service_Any_OR_RangeGt1000",'Scoring_Config'!$A:$A,'Scoring_Config'!$D:$D,"Yes")="Yes",_xlfn.XLOOKUP("Service_Any_OR_RangeGt1000",'Scoring_Config'!$A:$A,'Scoring_Config'!$C:$C,25),0),0)+IF(LEFT(AL186,4)="True",IF(_xlfn.XLOOKUP("App_Any_OR_RangeGt1000",'Scoring_Config'!$A:$A,'Scoring_Config'!$D:$D,"Yes")="Yes",_xlfn.XLOOKUP("App_Any_OR_RangeGt1000",'Scoring_Config'!$A:$A,'Scoring_Config'!$C:$C,25),0),0)+IF(LEFT(AM186,4)="True",IF(_xlfn.XLOOKUP("Service_Insecure_Match",'Scoring_Config'!$A:$A,'Scoring_Config'!$D:$D,"Yes")="Yes",_xlfn.XLOOKUP("Service_Insecure_Match",'Scoring_Config'!$A:$A,'Scoring_Config'!$C:$C,20),0),0)+IF(LEFT(AN186,4)="True",IF(_xlfn.XLOOKUP("Risky_Inbound",'Scoring_Config'!$A:$A,'Scoring_Config'!$D:$D,"Yes")="Yes",_xlfn.XLOOKUP("Risky_Inbound",'Scoring_Config'!$A:$A,'Scoring_Config'!$C:$C,20),0),0)+IF(LEFT(AO186,4)="True",IF(_xlfn.XLOOKUP("Risky_Outbound",'Scoring_Config'!$A:$A,'Scoring_Config'!$D:$D,"Yes")="Yes",_xlfn.XLOOKUP("Risky_Outbound",'Scoring_Config'!$A:$A,'Scoring_Config'!$C:$C,10),0),0)+IF(LEFT(AW186,4)="True",IF(_xlfn.XLOOKUP("Migrate_Insecure",'Scoring_Config'!$A:$A,'Scoring_Config'!$D:$D,"Yes")="Yes",_xlfn.XLOOKUP("Migrate_Insecure",'Scoring_Config'!$A:$A,'Scoring_Config'!$C:$C,15),0),0)+IF(LEFT(AY186,4)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186,FIND(",",AP186)+1,100)),0)+IF(LEFT(AQ186,4)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186,FIND(",",AR186)+1,100)),0)+IF(_xlfn.XLOOKUP("Profile_Scoring",'Scoring_Config'!$A:$A,'Scoring_Config'!$D:$D,"Yes")="Yes",VALUE(MID(AS186,FIND(",",AS186)+1,100)),0)+IF(_xlfn.XLOOKUP("Options_Scoring",'Scoring_Config'!$A:$A,'Scoring_Config'!$D:$D,"Yes")="Yes",VALUE(MID(AT186,FIND(",",AT186)+1,100)),0)))</f>
        <v>0</v>
      </c>
    </row>
    <row r="187" spans="1:52">
      <c r="A187" s="3" t="s">
        <v>53</v>
      </c>
      <c r="B187" s="3" t="s">
        <v>190</v>
      </c>
      <c r="C187" s="3" t="s">
        <v>330</v>
      </c>
      <c r="D187" s="3"/>
      <c r="E187" s="3" t="s">
        <v>359</v>
      </c>
      <c r="F187" s="3" t="s">
        <v>361</v>
      </c>
      <c r="G187" s="3" t="s">
        <v>432</v>
      </c>
      <c r="H187" s="3" t="s">
        <v>432</v>
      </c>
      <c r="I187" s="3" t="s">
        <v>624</v>
      </c>
      <c r="J187" s="3" t="s">
        <v>363</v>
      </c>
      <c r="K187" s="3" t="s">
        <v>365</v>
      </c>
      <c r="L187" s="3" t="s">
        <v>365</v>
      </c>
      <c r="M187" s="3" t="s">
        <v>770</v>
      </c>
      <c r="N187" s="3" t="s">
        <v>770</v>
      </c>
      <c r="O187" s="4" t="s">
        <v>835</v>
      </c>
      <c r="P187" s="3" t="s">
        <v>835</v>
      </c>
      <c r="Q187" s="3" t="s">
        <v>904</v>
      </c>
      <c r="R187" s="3" t="s">
        <v>911</v>
      </c>
      <c r="S187" s="3" t="s">
        <v>914</v>
      </c>
      <c r="T187" s="3" t="s">
        <v>1036</v>
      </c>
      <c r="U187" s="3" t="s">
        <v>1241</v>
      </c>
      <c r="V187" s="3" t="s">
        <v>789</v>
      </c>
      <c r="W187" s="3" t="s">
        <v>1418</v>
      </c>
      <c r="X187" s="3" t="s">
        <v>1791</v>
      </c>
      <c r="Y187" s="3" t="s">
        <v>2260</v>
      </c>
      <c r="Z187" s="3"/>
      <c r="AA187" s="3"/>
      <c r="AB187" s="3"/>
      <c r="AC187" s="4" cm="1">
        <f t="array" ref="AC187">IF(FALSE,"True," &amp; IF(_xlfn.XLOOKUP("Src_IsAny",'Scoring_Config'!$A:$A,'Scoring_Config'!$D:$D,"Yes")="Yes",_xlfn.XLOOKUP("Src_IsAny",'Scoring_Config'!$A:$A,'Scoring_Config'!$C:$C,25),0),"False,0")</f>
        <v>0</v>
      </c>
      <c r="AD187" s="4" cm="1">
        <f t="array" ref="AD187">IF(FALSE,"True," &amp; IF(_xlfn.XLOOKUP("Src_CIDR_Le_16",'Scoring_Config'!$A:$A,'Scoring_Config'!$D:$D,"Yes")="Yes",_xlfn.XLOOKUP("Src_CIDR_Le_16",'Scoring_Config'!$A:$A,'Scoring_Config'!$C:$C,25),0),"False,0")</f>
        <v>0</v>
      </c>
      <c r="AE187" s="4" cm="1">
        <f t="array" ref="AE187">IF(FALSE,"True," &amp; IF(_xlfn.XLOOKUP("Src_CIDR_17_22",'Scoring_Config'!$A:$A,'Scoring_Config'!$D:$D,"Yes")="Yes",_xlfn.XLOOKUP("Src_CIDR_17_22",'Scoring_Config'!$A:$A,'Scoring_Config'!$C:$C,15),0),"False,0")</f>
        <v>0</v>
      </c>
      <c r="AF187" s="5" cm="1">
        <f t="array" ref="AF187">IF(TRUE,"True," &amp; IF(_xlfn.XLOOKUP("Dst_IsAny",'Scoring_Config'!$A:$A,'Scoring_Config'!$D:$D,"Yes")="Yes",_xlfn.XLOOKUP("Dst_IsAny",'Scoring_Config'!$A:$A,'Scoring_Config'!$C:$C,25),0),"False,0")</f>
        <v>0</v>
      </c>
      <c r="AG187" s="4" cm="1">
        <f t="array" ref="AG187">IF(FALSE,"True," &amp; IF(_xlfn.XLOOKUP("Dst_CIDR_Le_16",'Scoring_Config'!$A:$A,'Scoring_Config'!$D:$D,"Yes")="Yes",_xlfn.XLOOKUP("Dst_CIDR_Le_16",'Scoring_Config'!$A:$A,'Scoring_Config'!$C:$C,25),0),"False,0")</f>
        <v>0</v>
      </c>
      <c r="AH187" s="4" cm="1">
        <f t="array" ref="AH187">IF(FALSE,"True," &amp; IF(_xlfn.XLOOKUP("Dst_CIDR_17_22",'Scoring_Config'!$A:$A,'Scoring_Config'!$D:$D,"Yes")="Yes",_xlfn.XLOOKUP("Dst_CIDR_17_22",'Scoring_Config'!$A:$A,'Scoring_Config'!$C:$C,15),0),"False,0")</f>
        <v>0</v>
      </c>
      <c r="AI187" s="4" cm="1">
        <f t="array" ref="AI187">IF(FALSE,"True," &amp; IF(_xlfn.XLOOKUP("SrcZone_IsAny",'Scoring_Config'!$A:$A,'Scoring_Config'!$D:$D,"Yes")="Yes",_xlfn.XLOOKUP("SrcZone_IsAny",'Scoring_Config'!$A:$A,'Scoring_Config'!$C:$C,5),0),"False,0")</f>
        <v>0</v>
      </c>
      <c r="AJ187" s="4" cm="1">
        <f t="array" ref="AJ187">IF(FALSE,"True," &amp; IF(_xlfn.XLOOKUP("DstZone_IsAny",'Scoring_Config'!$A:$A,'Scoring_Config'!$D:$D,"Yes")="Yes",_xlfn.XLOOKUP("DstZone_IsAny",'Scoring_Config'!$A:$A,'Scoring_Config'!$C:$C,5),0),"False,0")</f>
        <v>0</v>
      </c>
      <c r="AK187" s="4" cm="1">
        <f t="array" ref="AK18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7" s="4" cm="1">
        <f t="array" ref="AL187">IF(FALSE,"True," &amp; IF(_xlfn.XLOOKUP("App_Any_OR_RangeGt1000",'Scoring_Config'!$A:$A,'Scoring_Config'!$D:$D,"Yes")="Yes",_xlfn.XLOOKUP("App_Any_OR_RangeGt1000",'Scoring_Config'!$A:$A,'Scoring_Config'!$C:$C,25),0),"False,0")</f>
        <v>0</v>
      </c>
      <c r="AM187" s="4" cm="1">
        <f t="array" ref="AM187">IF(FALSE,"True," &amp; IF(_xlfn.XLOOKUP("Service_Insecure_Match",'Scoring_Config'!$A:$A,'Scoring_Config'!$D:$D,"Yes")="Yes",_xlfn.XLOOKUP("Service_Insecure_Match",'Scoring_Config'!$A:$A,'Scoring_Config'!$C:$C,20),0),"False,0")</f>
        <v>0</v>
      </c>
      <c r="AN187" s="4" cm="1">
        <f t="array" ref="AN187">IF(FALSE,"True," &amp; IF(_xlfn.XLOOKUP("Risky_Inbound",'Scoring_Config'!$A:$A,'Scoring_Config'!$D:$D,"Yes")="Yes",_xlfn.XLOOKUP("Risky_Inbound",'Scoring_Config'!$A:$A,'Scoring_Config'!$C:$C,20),0),"False,0")</f>
        <v>0</v>
      </c>
      <c r="AO187" s="4" cm="1">
        <f t="array" ref="AO187">IF(FALSE,"True," &amp; IF(_xlfn.XLOOKUP("Risky_Outbound",'Scoring_Config'!$A:$A,'Scoring_Config'!$D:$D,"Yes")="Yes",_xlfn.XLOOKUP("Risky_Outbound",'Scoring_Config'!$A:$A,'Scoring_Config'!$C:$C,10),0),"False,0")</f>
        <v>0</v>
      </c>
      <c r="AP187" s="5" t="s">
        <v>2595</v>
      </c>
      <c r="AQ187" s="4" cm="1">
        <f t="array" ref="AQ18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7" s="5" t="s">
        <v>2598</v>
      </c>
      <c r="AS187" s="4" t="s">
        <v>2592</v>
      </c>
      <c r="AT187" s="4" t="s">
        <v>2592</v>
      </c>
      <c r="AU187" s="5" cm="1">
        <f t="array" ref="AU187">IF(TRUE,"True," &amp; IF(_xlfn.XLOOKUP("Action_IsDenyOrDrop",'Scoring_Config'!$A:$A,'Scoring_Config'!$D:$D,"Yes")="Yes",_xlfn.XLOOKUP("Action_IsDenyOrDrop",'Scoring_Config'!$A:$A,'Scoring_Config'!$C:$C,0),0),"False,0")</f>
        <v>0</v>
      </c>
      <c r="AV187" s="4"/>
      <c r="AW187" s="4" cm="1">
        <f t="array" ref="AW187">IF(FALSE,"True," &amp; IF(_xlfn.XLOOKUP("Migrate_Insecure",'Scoring_Config'!$A:$A,'Scoring_Config'!$D:$D,"Yes")="Yes",_xlfn.XLOOKUP("Migrate_Insecure",'Scoring_Config'!$A:$A,'Scoring_Config'!$C:$C,15),0),"False,0")</f>
        <v>0</v>
      </c>
      <c r="AX187" s="4"/>
      <c r="AY187" s="4" cm="1">
        <f t="array" ref="AY187">IF(FALSE,"True," &amp; IF(_xlfn.XLOOKUP("Migrate_Other_Ports",'Scoring_Config'!$A:$A,'Scoring_Config'!$D:$D,"Yes")="Yes",_xlfn.XLOOKUP("Migrate_Other_Ports",'Scoring_Config'!$A:$A,'Scoring_Config'!$C:$C,5),0),"False,0")</f>
        <v>0</v>
      </c>
      <c r="AZ187" s="4" cm="1">
        <f t="array" ref="AZ187">IF(LEFT(AU187,4)="True",0,(IF(LEFT(AC187,4)="True",IF(_xlfn.XLOOKUP("Src_IsAny",'Scoring_Config'!$A:$A,'Scoring_Config'!$D:$D,"Yes")="Yes",_xlfn.XLOOKUP("Src_IsAny",'Scoring_Config'!$A:$A,'Scoring_Config'!$C:$C,25),0),0)+IF(LEFT(AD187,4)="True",IF(_xlfn.XLOOKUP("Src_CIDR_Le_16",'Scoring_Config'!$A:$A,'Scoring_Config'!$D:$D,"Yes")="Yes",_xlfn.XLOOKUP("Src_CIDR_Le_16",'Scoring_Config'!$A:$A,'Scoring_Config'!$C:$C,25),0),0)+IF(LEFT(AE187,4)="True",IF(_xlfn.XLOOKUP("Src_CIDR_17_22",'Scoring_Config'!$A:$A,'Scoring_Config'!$D:$D,"Yes")="Yes",_xlfn.XLOOKUP("Src_CIDR_17_22",'Scoring_Config'!$A:$A,'Scoring_Config'!$C:$C,15),0),0)+IF(LEFT(AF187,4)="True",IF(_xlfn.XLOOKUP("Dst_IsAny",'Scoring_Config'!$A:$A,'Scoring_Config'!$D:$D,"Yes")="Yes",_xlfn.XLOOKUP("Dst_IsAny",'Scoring_Config'!$A:$A,'Scoring_Config'!$C:$C,25),0),0)+IF(LEFT(AG187,4)="True",IF(_xlfn.XLOOKUP("Dst_CIDR_Le_16",'Scoring_Config'!$A:$A,'Scoring_Config'!$D:$D,"Yes")="Yes",_xlfn.XLOOKUP("Dst_CIDR_Le_16",'Scoring_Config'!$A:$A,'Scoring_Config'!$C:$C,25),0),0)+IF(LEFT(AH187,4)="True",IF(_xlfn.XLOOKUP("Dst_CIDR_17_22",'Scoring_Config'!$A:$A,'Scoring_Config'!$D:$D,"Yes")="Yes",_xlfn.XLOOKUP("Dst_CIDR_17_22",'Scoring_Config'!$A:$A,'Scoring_Config'!$C:$C,15),0),0)+IF(LEFT(AI187,4)="True",IF(_xlfn.XLOOKUP("SrcZone_IsAny",'Scoring_Config'!$A:$A,'Scoring_Config'!$D:$D,"Yes")="Yes",_xlfn.XLOOKUP("SrcZone_IsAny",'Scoring_Config'!$A:$A,'Scoring_Config'!$C:$C,5),0),0)+IF(LEFT(AJ187,4)="True",IF(_xlfn.XLOOKUP("DstZone_IsAny",'Scoring_Config'!$A:$A,'Scoring_Config'!$D:$D,"Yes")="Yes",_xlfn.XLOOKUP("DstZone_IsAny",'Scoring_Config'!$A:$A,'Scoring_Config'!$C:$C,5),0),0)+IF(LEFT(AK187,4)="True",IF(_xlfn.XLOOKUP("Service_Any_OR_RangeGt1000",'Scoring_Config'!$A:$A,'Scoring_Config'!$D:$D,"Yes")="Yes",_xlfn.XLOOKUP("Service_Any_OR_RangeGt1000",'Scoring_Config'!$A:$A,'Scoring_Config'!$C:$C,25),0),0)+IF(LEFT(AL187,4)="True",IF(_xlfn.XLOOKUP("App_Any_OR_RangeGt1000",'Scoring_Config'!$A:$A,'Scoring_Config'!$D:$D,"Yes")="Yes",_xlfn.XLOOKUP("App_Any_OR_RangeGt1000",'Scoring_Config'!$A:$A,'Scoring_Config'!$C:$C,25),0),0)+IF(LEFT(AM187,4)="True",IF(_xlfn.XLOOKUP("Service_Insecure_Match",'Scoring_Config'!$A:$A,'Scoring_Config'!$D:$D,"Yes")="Yes",_xlfn.XLOOKUP("Service_Insecure_Match",'Scoring_Config'!$A:$A,'Scoring_Config'!$C:$C,20),0),0)+IF(LEFT(AN187,4)="True",IF(_xlfn.XLOOKUP("Risky_Inbound",'Scoring_Config'!$A:$A,'Scoring_Config'!$D:$D,"Yes")="Yes",_xlfn.XLOOKUP("Risky_Inbound",'Scoring_Config'!$A:$A,'Scoring_Config'!$C:$C,20),0),0)+IF(LEFT(AO187,4)="True",IF(_xlfn.XLOOKUP("Risky_Outbound",'Scoring_Config'!$A:$A,'Scoring_Config'!$D:$D,"Yes")="Yes",_xlfn.XLOOKUP("Risky_Outbound",'Scoring_Config'!$A:$A,'Scoring_Config'!$C:$C,10),0),0)+IF(LEFT(AW187,4)="True",IF(_xlfn.XLOOKUP("Migrate_Insecure",'Scoring_Config'!$A:$A,'Scoring_Config'!$D:$D,"Yes")="Yes",_xlfn.XLOOKUP("Migrate_Insecure",'Scoring_Config'!$A:$A,'Scoring_Config'!$C:$C,15),0),0)+IF(LEFT(AY187,4)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187,FIND(",",AP187)+1,100)),0)+IF(LEFT(AQ187,4)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187,FIND(",",AR187)+1,100)),0)+IF(_xlfn.XLOOKUP("Profile_Scoring",'Scoring_Config'!$A:$A,'Scoring_Config'!$D:$D,"Yes")="Yes",VALUE(MID(AS187,FIND(",",AS187)+1,100)),0)+IF(_xlfn.XLOOKUP("Options_Scoring",'Scoring_Config'!$A:$A,'Scoring_Config'!$D:$D,"Yes")="Yes",VALUE(MID(AT187,FIND(",",AT187)+1,100)),0)))</f>
        <v>0</v>
      </c>
    </row>
    <row r="188" spans="1:52">
      <c r="A188" s="3" t="s">
        <v>53</v>
      </c>
      <c r="B188" s="3" t="s">
        <v>191</v>
      </c>
      <c r="C188" s="3" t="s">
        <v>330</v>
      </c>
      <c r="D188" s="3"/>
      <c r="E188" s="3" t="s">
        <v>359</v>
      </c>
      <c r="F188" s="3" t="s">
        <v>361</v>
      </c>
      <c r="G188" s="3" t="s">
        <v>411</v>
      </c>
      <c r="H188" s="3" t="s">
        <v>565</v>
      </c>
      <c r="I188" s="3" t="s">
        <v>623</v>
      </c>
      <c r="J188" s="3" t="s">
        <v>362</v>
      </c>
      <c r="K188" s="3" t="s">
        <v>435</v>
      </c>
      <c r="L188" s="3" t="s">
        <v>435</v>
      </c>
      <c r="M188" s="3" t="s">
        <v>773</v>
      </c>
      <c r="N188" s="3" t="s">
        <v>773</v>
      </c>
      <c r="O188" s="4" t="s">
        <v>822</v>
      </c>
      <c r="P188" s="3" t="s">
        <v>883</v>
      </c>
      <c r="Q188" s="3" t="s">
        <v>905</v>
      </c>
      <c r="R188" s="3" t="s">
        <v>911</v>
      </c>
      <c r="S188" s="3" t="s">
        <v>912</v>
      </c>
      <c r="T188" s="3" t="s">
        <v>919</v>
      </c>
      <c r="U188" s="3" t="s">
        <v>1242</v>
      </c>
      <c r="V188" s="3" t="s">
        <v>1388</v>
      </c>
      <c r="W188" s="3" t="s">
        <v>1502</v>
      </c>
      <c r="X188" s="3" t="s">
        <v>1792</v>
      </c>
      <c r="Y188" s="3" t="s">
        <v>2261</v>
      </c>
      <c r="Z188" s="3"/>
      <c r="AA188" s="3"/>
      <c r="AB188" s="3"/>
      <c r="AC188" s="4" cm="1">
        <f t="array" ref="AC188">IF(FALSE,"True," &amp; IF(_xlfn.XLOOKUP("Src_IsAny",'Scoring_Config'!$A:$A,'Scoring_Config'!$D:$D,"Yes")="Yes",_xlfn.XLOOKUP("Src_IsAny",'Scoring_Config'!$A:$A,'Scoring_Config'!$C:$C,25),0),"False,0")</f>
        <v>0</v>
      </c>
      <c r="AD188" s="4" cm="1">
        <f t="array" ref="AD188">IF(FALSE,"True," &amp; IF(_xlfn.XLOOKUP("Src_CIDR_Le_16",'Scoring_Config'!$A:$A,'Scoring_Config'!$D:$D,"Yes")="Yes",_xlfn.XLOOKUP("Src_CIDR_Le_16",'Scoring_Config'!$A:$A,'Scoring_Config'!$C:$C,25),0),"False,0")</f>
        <v>0</v>
      </c>
      <c r="AE188" s="4" cm="1">
        <f t="array" ref="AE188">IF(FALSE,"True," &amp; IF(_xlfn.XLOOKUP("Src_CIDR_17_22",'Scoring_Config'!$A:$A,'Scoring_Config'!$D:$D,"Yes")="Yes",_xlfn.XLOOKUP("Src_CIDR_17_22",'Scoring_Config'!$A:$A,'Scoring_Config'!$C:$C,15),0),"False,0")</f>
        <v>0</v>
      </c>
      <c r="AF188" s="4" cm="1">
        <f t="array" ref="AF188">IF(FALSE,"True," &amp; IF(_xlfn.XLOOKUP("Dst_IsAny",'Scoring_Config'!$A:$A,'Scoring_Config'!$D:$D,"Yes")="Yes",_xlfn.XLOOKUP("Dst_IsAny",'Scoring_Config'!$A:$A,'Scoring_Config'!$C:$C,25),0),"False,0")</f>
        <v>0</v>
      </c>
      <c r="AG188" s="4" cm="1">
        <f t="array" ref="AG188">IF(FALSE,"True," &amp; IF(_xlfn.XLOOKUP("Dst_CIDR_Le_16",'Scoring_Config'!$A:$A,'Scoring_Config'!$D:$D,"Yes")="Yes",_xlfn.XLOOKUP("Dst_CIDR_Le_16",'Scoring_Config'!$A:$A,'Scoring_Config'!$C:$C,25),0),"False,0")</f>
        <v>0</v>
      </c>
      <c r="AH188" s="4" cm="1">
        <f t="array" ref="AH188">IF(FALSE,"True," &amp; IF(_xlfn.XLOOKUP("Dst_CIDR_17_22",'Scoring_Config'!$A:$A,'Scoring_Config'!$D:$D,"Yes")="Yes",_xlfn.XLOOKUP("Dst_CIDR_17_22",'Scoring_Config'!$A:$A,'Scoring_Config'!$C:$C,15),0),"False,0")</f>
        <v>0</v>
      </c>
      <c r="AI188" s="4" cm="1">
        <f t="array" ref="AI188">IF(FALSE,"True," &amp; IF(_xlfn.XLOOKUP("SrcZone_IsAny",'Scoring_Config'!$A:$A,'Scoring_Config'!$D:$D,"Yes")="Yes",_xlfn.XLOOKUP("SrcZone_IsAny",'Scoring_Config'!$A:$A,'Scoring_Config'!$C:$C,5),0),"False,0")</f>
        <v>0</v>
      </c>
      <c r="AJ188" s="4" cm="1">
        <f t="array" ref="AJ188">IF(FALSE,"True," &amp; IF(_xlfn.XLOOKUP("DstZone_IsAny",'Scoring_Config'!$A:$A,'Scoring_Config'!$D:$D,"Yes")="Yes",_xlfn.XLOOKUP("DstZone_IsAny",'Scoring_Config'!$A:$A,'Scoring_Config'!$C:$C,5),0),"False,0")</f>
        <v>0</v>
      </c>
      <c r="AK188" s="5" cm="1">
        <f t="array" ref="AK188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88" s="4" cm="1">
        <f t="array" ref="AL188">IF(FALSE,"True," &amp; IF(_xlfn.XLOOKUP("App_Any_OR_RangeGt1000",'Scoring_Config'!$A:$A,'Scoring_Config'!$D:$D,"Yes")="Yes",_xlfn.XLOOKUP("App_Any_OR_RangeGt1000",'Scoring_Config'!$A:$A,'Scoring_Config'!$C:$C,25),0),"False,0")</f>
        <v>0</v>
      </c>
      <c r="AM188" s="5" cm="1">
        <f t="array" ref="AM188">IF(TRUE,"True," &amp; IF(_xlfn.XLOOKUP("Service_Insecure_Match",'Scoring_Config'!$A:$A,'Scoring_Config'!$D:$D,"Yes")="Yes",_xlfn.XLOOKUP("Service_Insecure_Match",'Scoring_Config'!$A:$A,'Scoring_Config'!$C:$C,20),0),"False,0")</f>
        <v>0</v>
      </c>
      <c r="AN188" s="4" cm="1">
        <f t="array" ref="AN188">IF(FALSE,"True," &amp; IF(_xlfn.XLOOKUP("Risky_Inbound",'Scoring_Config'!$A:$A,'Scoring_Config'!$D:$D,"Yes")="Yes",_xlfn.XLOOKUP("Risky_Inbound",'Scoring_Config'!$A:$A,'Scoring_Config'!$C:$C,20),0),"False,0")</f>
        <v>0</v>
      </c>
      <c r="AO188" s="4" cm="1">
        <f t="array" ref="AO188">IF(FALSE,"True," &amp; IF(_xlfn.XLOOKUP("Risky_Outbound",'Scoring_Config'!$A:$A,'Scoring_Config'!$D:$D,"Yes")="Yes",_xlfn.XLOOKUP("Risky_Outbound",'Scoring_Config'!$A:$A,'Scoring_Config'!$C:$C,10),0),"False,0")</f>
        <v>0</v>
      </c>
      <c r="AP188" s="5" t="s">
        <v>2595</v>
      </c>
      <c r="AQ188" s="4" cm="1">
        <f t="array" ref="AQ18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8" s="5" t="s">
        <v>2598</v>
      </c>
      <c r="AS188" s="4" t="s">
        <v>2592</v>
      </c>
      <c r="AT188" s="4" t="s">
        <v>2592</v>
      </c>
      <c r="AU188" s="4" cm="1">
        <f t="array" ref="AU188">IF(FALSE,"True," &amp; IF(_xlfn.XLOOKUP("Action_IsDenyOrDrop",'Scoring_Config'!$A:$A,'Scoring_Config'!$D:$D,"Yes")="Yes",_xlfn.XLOOKUP("Action_IsDenyOrDrop",'Scoring_Config'!$A:$A,'Scoring_Config'!$C:$C,0),0),"False,0")</f>
        <v>0</v>
      </c>
      <c r="AV188" s="4"/>
      <c r="AW188" s="4" cm="1">
        <f t="array" ref="AW188">IF(FALSE,"True," &amp; IF(_xlfn.XLOOKUP("Migrate_Insecure",'Scoring_Config'!$A:$A,'Scoring_Config'!$D:$D,"Yes")="Yes",_xlfn.XLOOKUP("Migrate_Insecure",'Scoring_Config'!$A:$A,'Scoring_Config'!$C:$C,15),0),"False,0")</f>
        <v>0</v>
      </c>
      <c r="AX188" s="4"/>
      <c r="AY188" s="4" cm="1">
        <f t="array" ref="AY188">IF(FALSE,"True," &amp; IF(_xlfn.XLOOKUP("Migrate_Other_Ports",'Scoring_Config'!$A:$A,'Scoring_Config'!$D:$D,"Yes")="Yes",_xlfn.XLOOKUP("Migrate_Other_Ports",'Scoring_Config'!$A:$A,'Scoring_Config'!$C:$C,5),0),"False,0")</f>
        <v>0</v>
      </c>
      <c r="AZ188" s="4" cm="1">
        <f t="array" ref="AZ188">IF(LEFT(AU188,4)="True",0,(IF(LEFT(AC188,4)="True",IF(_xlfn.XLOOKUP("Src_IsAny",'Scoring_Config'!$A:$A,'Scoring_Config'!$D:$D,"Yes")="Yes",_xlfn.XLOOKUP("Src_IsAny",'Scoring_Config'!$A:$A,'Scoring_Config'!$C:$C,25),0),0)+IF(LEFT(AD188,4)="True",IF(_xlfn.XLOOKUP("Src_CIDR_Le_16",'Scoring_Config'!$A:$A,'Scoring_Config'!$D:$D,"Yes")="Yes",_xlfn.XLOOKUP("Src_CIDR_Le_16",'Scoring_Config'!$A:$A,'Scoring_Config'!$C:$C,25),0),0)+IF(LEFT(AE188,4)="True",IF(_xlfn.XLOOKUP("Src_CIDR_17_22",'Scoring_Config'!$A:$A,'Scoring_Config'!$D:$D,"Yes")="Yes",_xlfn.XLOOKUP("Src_CIDR_17_22",'Scoring_Config'!$A:$A,'Scoring_Config'!$C:$C,15),0),0)+IF(LEFT(AF188,4)="True",IF(_xlfn.XLOOKUP("Dst_IsAny",'Scoring_Config'!$A:$A,'Scoring_Config'!$D:$D,"Yes")="Yes",_xlfn.XLOOKUP("Dst_IsAny",'Scoring_Config'!$A:$A,'Scoring_Config'!$C:$C,25),0),0)+IF(LEFT(AG188,4)="True",IF(_xlfn.XLOOKUP("Dst_CIDR_Le_16",'Scoring_Config'!$A:$A,'Scoring_Config'!$D:$D,"Yes")="Yes",_xlfn.XLOOKUP("Dst_CIDR_Le_16",'Scoring_Config'!$A:$A,'Scoring_Config'!$C:$C,25),0),0)+IF(LEFT(AH188,4)="True",IF(_xlfn.XLOOKUP("Dst_CIDR_17_22",'Scoring_Config'!$A:$A,'Scoring_Config'!$D:$D,"Yes")="Yes",_xlfn.XLOOKUP("Dst_CIDR_17_22",'Scoring_Config'!$A:$A,'Scoring_Config'!$C:$C,15),0),0)+IF(LEFT(AI188,4)="True",IF(_xlfn.XLOOKUP("SrcZone_IsAny",'Scoring_Config'!$A:$A,'Scoring_Config'!$D:$D,"Yes")="Yes",_xlfn.XLOOKUP("SrcZone_IsAny",'Scoring_Config'!$A:$A,'Scoring_Config'!$C:$C,5),0),0)+IF(LEFT(AJ188,4)="True",IF(_xlfn.XLOOKUP("DstZone_IsAny",'Scoring_Config'!$A:$A,'Scoring_Config'!$D:$D,"Yes")="Yes",_xlfn.XLOOKUP("DstZone_IsAny",'Scoring_Config'!$A:$A,'Scoring_Config'!$C:$C,5),0),0)+IF(LEFT(AK188,4)="True",IF(_xlfn.XLOOKUP("Service_Any_OR_RangeGt1000",'Scoring_Config'!$A:$A,'Scoring_Config'!$D:$D,"Yes")="Yes",_xlfn.XLOOKUP("Service_Any_OR_RangeGt1000",'Scoring_Config'!$A:$A,'Scoring_Config'!$C:$C,25),0),0)+IF(LEFT(AL188,4)="True",IF(_xlfn.XLOOKUP("App_Any_OR_RangeGt1000",'Scoring_Config'!$A:$A,'Scoring_Config'!$D:$D,"Yes")="Yes",_xlfn.XLOOKUP("App_Any_OR_RangeGt1000",'Scoring_Config'!$A:$A,'Scoring_Config'!$C:$C,25),0),0)+IF(LEFT(AM188,4)="True",IF(_xlfn.XLOOKUP("Service_Insecure_Match",'Scoring_Config'!$A:$A,'Scoring_Config'!$D:$D,"Yes")="Yes",_xlfn.XLOOKUP("Service_Insecure_Match",'Scoring_Config'!$A:$A,'Scoring_Config'!$C:$C,20),0),0)+IF(LEFT(AN188,4)="True",IF(_xlfn.XLOOKUP("Risky_Inbound",'Scoring_Config'!$A:$A,'Scoring_Config'!$D:$D,"Yes")="Yes",_xlfn.XLOOKUP("Risky_Inbound",'Scoring_Config'!$A:$A,'Scoring_Config'!$C:$C,20),0),0)+IF(LEFT(AO188,4)="True",IF(_xlfn.XLOOKUP("Risky_Outbound",'Scoring_Config'!$A:$A,'Scoring_Config'!$D:$D,"Yes")="Yes",_xlfn.XLOOKUP("Risky_Outbound",'Scoring_Config'!$A:$A,'Scoring_Config'!$C:$C,10),0),0)+IF(LEFT(AW188,4)="True",IF(_xlfn.XLOOKUP("Migrate_Insecure",'Scoring_Config'!$A:$A,'Scoring_Config'!$D:$D,"Yes")="Yes",_xlfn.XLOOKUP("Migrate_Insecure",'Scoring_Config'!$A:$A,'Scoring_Config'!$C:$C,15),0),0)+IF(LEFT(AY188,4)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188,FIND(",",AP188)+1,100)),0)+IF(LEFT(AQ188,4)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188,FIND(",",AR188)+1,100)),0)+IF(_xlfn.XLOOKUP("Profile_Scoring",'Scoring_Config'!$A:$A,'Scoring_Config'!$D:$D,"Yes")="Yes",VALUE(MID(AS188,FIND(",",AS188)+1,100)),0)+IF(_xlfn.XLOOKUP("Options_Scoring",'Scoring_Config'!$A:$A,'Scoring_Config'!$D:$D,"Yes")="Yes",VALUE(MID(AT188,FIND(",",AT188)+1,100)),0)))</f>
        <v>0</v>
      </c>
    </row>
    <row r="189" spans="1:52">
      <c r="A189" s="3" t="s">
        <v>53</v>
      </c>
      <c r="B189" s="3" t="s">
        <v>107</v>
      </c>
      <c r="C189" s="3" t="s">
        <v>330</v>
      </c>
      <c r="D189" s="3"/>
      <c r="E189" s="3" t="s">
        <v>359</v>
      </c>
      <c r="F189" s="3" t="s">
        <v>361</v>
      </c>
      <c r="G189" s="3" t="s">
        <v>433</v>
      </c>
      <c r="H189" s="3" t="s">
        <v>574</v>
      </c>
      <c r="I189" s="3" t="s">
        <v>623</v>
      </c>
      <c r="J189" s="3" t="s">
        <v>360</v>
      </c>
      <c r="K189" s="3" t="s">
        <v>435</v>
      </c>
      <c r="L189" s="3" t="s">
        <v>435</v>
      </c>
      <c r="M189" s="3" t="s">
        <v>365</v>
      </c>
      <c r="N189" s="3" t="s">
        <v>365</v>
      </c>
      <c r="O189" s="4" t="s">
        <v>836</v>
      </c>
      <c r="P189" s="3" t="s">
        <v>836</v>
      </c>
      <c r="Q189" s="3" t="s">
        <v>905</v>
      </c>
      <c r="R189" s="3" t="s">
        <v>911</v>
      </c>
      <c r="S189" s="3" t="s">
        <v>916</v>
      </c>
      <c r="T189" s="3" t="s">
        <v>1037</v>
      </c>
      <c r="U189" s="3" t="s">
        <v>1150</v>
      </c>
      <c r="V189" s="3" t="s">
        <v>1387</v>
      </c>
      <c r="W189" s="3" t="s">
        <v>1118</v>
      </c>
      <c r="X189" s="3" t="s">
        <v>1793</v>
      </c>
      <c r="Y189" s="3" t="s">
        <v>2262</v>
      </c>
      <c r="Z189" s="3"/>
      <c r="AA189" s="3"/>
      <c r="AB189" s="3"/>
      <c r="AC189" s="4" cm="1">
        <f t="array" ref="AC189">IF(FALSE,"True," &amp; IF(_xlfn.XLOOKUP("Src_IsAny",'Scoring_Config'!$A:$A,'Scoring_Config'!$D:$D,"Yes")="Yes",_xlfn.XLOOKUP("Src_IsAny",'Scoring_Config'!$A:$A,'Scoring_Config'!$C:$C,25),0),"False,0")</f>
        <v>0</v>
      </c>
      <c r="AD189" s="4" cm="1">
        <f t="array" ref="AD189">IF(FALSE,"True," &amp; IF(_xlfn.XLOOKUP("Src_CIDR_Le_16",'Scoring_Config'!$A:$A,'Scoring_Config'!$D:$D,"Yes")="Yes",_xlfn.XLOOKUP("Src_CIDR_Le_16",'Scoring_Config'!$A:$A,'Scoring_Config'!$C:$C,25),0),"False,0")</f>
        <v>0</v>
      </c>
      <c r="AE189" s="4" cm="1">
        <f t="array" ref="AE189">IF(FALSE,"True," &amp; IF(_xlfn.XLOOKUP("Src_CIDR_17_22",'Scoring_Config'!$A:$A,'Scoring_Config'!$D:$D,"Yes")="Yes",_xlfn.XLOOKUP("Src_CIDR_17_22",'Scoring_Config'!$A:$A,'Scoring_Config'!$C:$C,15),0),"False,0")</f>
        <v>0</v>
      </c>
      <c r="AF189" s="4" cm="1">
        <f t="array" ref="AF189">IF(FALSE,"True," &amp; IF(_xlfn.XLOOKUP("Dst_IsAny",'Scoring_Config'!$A:$A,'Scoring_Config'!$D:$D,"Yes")="Yes",_xlfn.XLOOKUP("Dst_IsAny",'Scoring_Config'!$A:$A,'Scoring_Config'!$C:$C,25),0),"False,0")</f>
        <v>0</v>
      </c>
      <c r="AG189" s="4" cm="1">
        <f t="array" ref="AG189">IF(FALSE,"True," &amp; IF(_xlfn.XLOOKUP("Dst_CIDR_Le_16",'Scoring_Config'!$A:$A,'Scoring_Config'!$D:$D,"Yes")="Yes",_xlfn.XLOOKUP("Dst_CIDR_Le_16",'Scoring_Config'!$A:$A,'Scoring_Config'!$C:$C,25),0),"False,0")</f>
        <v>0</v>
      </c>
      <c r="AH189" s="4" cm="1">
        <f t="array" ref="AH189">IF(FALSE,"True," &amp; IF(_xlfn.XLOOKUP("Dst_CIDR_17_22",'Scoring_Config'!$A:$A,'Scoring_Config'!$D:$D,"Yes")="Yes",_xlfn.XLOOKUP("Dst_CIDR_17_22",'Scoring_Config'!$A:$A,'Scoring_Config'!$C:$C,15),0),"False,0")</f>
        <v>0</v>
      </c>
      <c r="AI189" s="4" cm="1">
        <f t="array" ref="AI189">IF(FALSE,"True," &amp; IF(_xlfn.XLOOKUP("SrcZone_IsAny",'Scoring_Config'!$A:$A,'Scoring_Config'!$D:$D,"Yes")="Yes",_xlfn.XLOOKUP("SrcZone_IsAny",'Scoring_Config'!$A:$A,'Scoring_Config'!$C:$C,5),0),"False,0")</f>
        <v>0</v>
      </c>
      <c r="AJ189" s="4" cm="1">
        <f t="array" ref="AJ189">IF(FALSE,"True," &amp; IF(_xlfn.XLOOKUP("DstZone_IsAny",'Scoring_Config'!$A:$A,'Scoring_Config'!$D:$D,"Yes")="Yes",_xlfn.XLOOKUP("DstZone_IsAny",'Scoring_Config'!$A:$A,'Scoring_Config'!$C:$C,5),0),"False,0")</f>
        <v>0</v>
      </c>
      <c r="AK189" s="4" cm="1">
        <f t="array" ref="AK18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89" s="5" cm="1">
        <f t="array" ref="AL189">IF(TRUE,"True," &amp; IF(_xlfn.XLOOKUP("App_Any_OR_RangeGt1000",'Scoring_Config'!$A:$A,'Scoring_Config'!$D:$D,"Yes")="Yes",_xlfn.XLOOKUP("App_Any_OR_RangeGt1000",'Scoring_Config'!$A:$A,'Scoring_Config'!$C:$C,25),0),"False,0")</f>
        <v>0</v>
      </c>
      <c r="AM189" s="4" cm="1">
        <f t="array" ref="AM189">IF(FALSE,"True," &amp; IF(_xlfn.XLOOKUP("Service_Insecure_Match",'Scoring_Config'!$A:$A,'Scoring_Config'!$D:$D,"Yes")="Yes",_xlfn.XLOOKUP("Service_Insecure_Match",'Scoring_Config'!$A:$A,'Scoring_Config'!$C:$C,20),0),"False,0")</f>
        <v>0</v>
      </c>
      <c r="AN189" s="4" cm="1">
        <f t="array" ref="AN189">IF(FALSE,"True," &amp; IF(_xlfn.XLOOKUP("Risky_Inbound",'Scoring_Config'!$A:$A,'Scoring_Config'!$D:$D,"Yes")="Yes",_xlfn.XLOOKUP("Risky_Inbound",'Scoring_Config'!$A:$A,'Scoring_Config'!$C:$C,20),0),"False,0")</f>
        <v>0</v>
      </c>
      <c r="AO189" s="4" cm="1">
        <f t="array" ref="AO189">IF(FALSE,"True," &amp; IF(_xlfn.XLOOKUP("Risky_Outbound",'Scoring_Config'!$A:$A,'Scoring_Config'!$D:$D,"Yes")="Yes",_xlfn.XLOOKUP("Risky_Outbound",'Scoring_Config'!$A:$A,'Scoring_Config'!$C:$C,10),0),"False,0")</f>
        <v>0</v>
      </c>
      <c r="AP189" s="5" t="s">
        <v>2595</v>
      </c>
      <c r="AQ189" s="5" cm="1">
        <f t="array" ref="AQ18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89" s="5" t="s">
        <v>2598</v>
      </c>
      <c r="AS189" s="4" t="s">
        <v>2592</v>
      </c>
      <c r="AT189" s="4" t="s">
        <v>2592</v>
      </c>
      <c r="AU189" s="4" cm="1">
        <f t="array" ref="AU189">IF(FALSE,"True," &amp; IF(_xlfn.XLOOKUP("Action_IsDenyOrDrop",'Scoring_Config'!$A:$A,'Scoring_Config'!$D:$D,"Yes")="Yes",_xlfn.XLOOKUP("Action_IsDenyOrDrop",'Scoring_Config'!$A:$A,'Scoring_Config'!$C:$C,0),0),"False,0")</f>
        <v>0</v>
      </c>
      <c r="AV189" s="4"/>
      <c r="AW189" s="4" cm="1">
        <f t="array" ref="AW189">IF(FALSE,"True," &amp; IF(_xlfn.XLOOKUP("Migrate_Insecure",'Scoring_Config'!$A:$A,'Scoring_Config'!$D:$D,"Yes")="Yes",_xlfn.XLOOKUP("Migrate_Insecure",'Scoring_Config'!$A:$A,'Scoring_Config'!$C:$C,15),0),"False,0")</f>
        <v>0</v>
      </c>
      <c r="AX189" s="4"/>
      <c r="AY189" s="4" cm="1">
        <f t="array" ref="AY189">IF(FALSE,"True," &amp; IF(_xlfn.XLOOKUP("Migrate_Other_Ports",'Scoring_Config'!$A:$A,'Scoring_Config'!$D:$D,"Yes")="Yes",_xlfn.XLOOKUP("Migrate_Other_Ports",'Scoring_Config'!$A:$A,'Scoring_Config'!$C:$C,5),0),"False,0")</f>
        <v>0</v>
      </c>
      <c r="AZ189" s="4" cm="1">
        <f t="array" ref="AZ189">IF(LEFT(AU189,4)="True",0,(IF(LEFT(AC189,4)="True",IF(_xlfn.XLOOKUP("Src_IsAny",'Scoring_Config'!$A:$A,'Scoring_Config'!$D:$D,"Yes")="Yes",_xlfn.XLOOKUP("Src_IsAny",'Scoring_Config'!$A:$A,'Scoring_Config'!$C:$C,25),0),0)+IF(LEFT(AD189,4)="True",IF(_xlfn.XLOOKUP("Src_CIDR_Le_16",'Scoring_Config'!$A:$A,'Scoring_Config'!$D:$D,"Yes")="Yes",_xlfn.XLOOKUP("Src_CIDR_Le_16",'Scoring_Config'!$A:$A,'Scoring_Config'!$C:$C,25),0),0)+IF(LEFT(AE189,4)="True",IF(_xlfn.XLOOKUP("Src_CIDR_17_22",'Scoring_Config'!$A:$A,'Scoring_Config'!$D:$D,"Yes")="Yes",_xlfn.XLOOKUP("Src_CIDR_17_22",'Scoring_Config'!$A:$A,'Scoring_Config'!$C:$C,15),0),0)+IF(LEFT(AF189,4)="True",IF(_xlfn.XLOOKUP("Dst_IsAny",'Scoring_Config'!$A:$A,'Scoring_Config'!$D:$D,"Yes")="Yes",_xlfn.XLOOKUP("Dst_IsAny",'Scoring_Config'!$A:$A,'Scoring_Config'!$C:$C,25),0),0)+IF(LEFT(AG189,4)="True",IF(_xlfn.XLOOKUP("Dst_CIDR_Le_16",'Scoring_Config'!$A:$A,'Scoring_Config'!$D:$D,"Yes")="Yes",_xlfn.XLOOKUP("Dst_CIDR_Le_16",'Scoring_Config'!$A:$A,'Scoring_Config'!$C:$C,25),0),0)+IF(LEFT(AH189,4)="True",IF(_xlfn.XLOOKUP("Dst_CIDR_17_22",'Scoring_Config'!$A:$A,'Scoring_Config'!$D:$D,"Yes")="Yes",_xlfn.XLOOKUP("Dst_CIDR_17_22",'Scoring_Config'!$A:$A,'Scoring_Config'!$C:$C,15),0),0)+IF(LEFT(AI189,4)="True",IF(_xlfn.XLOOKUP("SrcZone_IsAny",'Scoring_Config'!$A:$A,'Scoring_Config'!$D:$D,"Yes")="Yes",_xlfn.XLOOKUP("SrcZone_IsAny",'Scoring_Config'!$A:$A,'Scoring_Config'!$C:$C,5),0),0)+IF(LEFT(AJ189,4)="True",IF(_xlfn.XLOOKUP("DstZone_IsAny",'Scoring_Config'!$A:$A,'Scoring_Config'!$D:$D,"Yes")="Yes",_xlfn.XLOOKUP("DstZone_IsAny",'Scoring_Config'!$A:$A,'Scoring_Config'!$C:$C,5),0),0)+IF(LEFT(AK189,4)="True",IF(_xlfn.XLOOKUP("Service_Any_OR_RangeGt1000",'Scoring_Config'!$A:$A,'Scoring_Config'!$D:$D,"Yes")="Yes",_xlfn.XLOOKUP("Service_Any_OR_RangeGt1000",'Scoring_Config'!$A:$A,'Scoring_Config'!$C:$C,25),0),0)+IF(LEFT(AL189,4)="True",IF(_xlfn.XLOOKUP("App_Any_OR_RangeGt1000",'Scoring_Config'!$A:$A,'Scoring_Config'!$D:$D,"Yes")="Yes",_xlfn.XLOOKUP("App_Any_OR_RangeGt1000",'Scoring_Config'!$A:$A,'Scoring_Config'!$C:$C,25),0),0)+IF(LEFT(AM189,4)="True",IF(_xlfn.XLOOKUP("Service_Insecure_Match",'Scoring_Config'!$A:$A,'Scoring_Config'!$D:$D,"Yes")="Yes",_xlfn.XLOOKUP("Service_Insecure_Match",'Scoring_Config'!$A:$A,'Scoring_Config'!$C:$C,20),0),0)+IF(LEFT(AN189,4)="True",IF(_xlfn.XLOOKUP("Risky_Inbound",'Scoring_Config'!$A:$A,'Scoring_Config'!$D:$D,"Yes")="Yes",_xlfn.XLOOKUP("Risky_Inbound",'Scoring_Config'!$A:$A,'Scoring_Config'!$C:$C,20),0),0)+IF(LEFT(AO189,4)="True",IF(_xlfn.XLOOKUP("Risky_Outbound",'Scoring_Config'!$A:$A,'Scoring_Config'!$D:$D,"Yes")="Yes",_xlfn.XLOOKUP("Risky_Outbound",'Scoring_Config'!$A:$A,'Scoring_Config'!$C:$C,10),0),0)+IF(LEFT(AW189,4)="True",IF(_xlfn.XLOOKUP("Migrate_Insecure",'Scoring_Config'!$A:$A,'Scoring_Config'!$D:$D,"Yes")="Yes",_xlfn.XLOOKUP("Migrate_Insecure",'Scoring_Config'!$A:$A,'Scoring_Config'!$C:$C,15),0),0)+IF(LEFT(AY189,4)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189,FIND(",",AP189)+1,100)),0)+IF(LEFT(AQ189,4)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189,FIND(",",AR189)+1,100)),0)+IF(_xlfn.XLOOKUP("Profile_Scoring",'Scoring_Config'!$A:$A,'Scoring_Config'!$D:$D,"Yes")="Yes",VALUE(MID(AS189,FIND(",",AS189)+1,100)),0)+IF(_xlfn.XLOOKUP("Options_Scoring",'Scoring_Config'!$A:$A,'Scoring_Config'!$D:$D,"Yes")="Yes",VALUE(MID(AT189,FIND(",",AT189)+1,100)),0)))</f>
        <v>0</v>
      </c>
    </row>
    <row r="190" spans="1:52">
      <c r="A190" s="3" t="s">
        <v>53</v>
      </c>
      <c r="B190" s="3" t="s">
        <v>117</v>
      </c>
      <c r="C190" s="3" t="s">
        <v>330</v>
      </c>
      <c r="D190" s="3"/>
      <c r="E190" s="3" t="s">
        <v>359</v>
      </c>
      <c r="F190" s="3" t="s">
        <v>363</v>
      </c>
      <c r="G190" s="3" t="s">
        <v>434</v>
      </c>
      <c r="H190" s="3" t="s">
        <v>434</v>
      </c>
      <c r="I190" s="3" t="s">
        <v>365</v>
      </c>
      <c r="J190" s="3" t="s">
        <v>360</v>
      </c>
      <c r="K190" s="3" t="s">
        <v>429</v>
      </c>
      <c r="L190" s="3" t="s">
        <v>422</v>
      </c>
      <c r="M190" s="3" t="s">
        <v>774</v>
      </c>
      <c r="N190" s="3" t="s">
        <v>795</v>
      </c>
      <c r="O190" s="4" t="s">
        <v>840</v>
      </c>
      <c r="P190" s="3" t="s">
        <v>840</v>
      </c>
      <c r="Q190" s="3" t="s">
        <v>905</v>
      </c>
      <c r="R190" s="3" t="s">
        <v>909</v>
      </c>
      <c r="S190" s="3" t="s">
        <v>907</v>
      </c>
      <c r="T190" s="3" t="s">
        <v>1038</v>
      </c>
      <c r="U190" s="3" t="s">
        <v>1145</v>
      </c>
      <c r="V190" s="3" t="s">
        <v>1387</v>
      </c>
      <c r="W190" s="3" t="s">
        <v>1503</v>
      </c>
      <c r="X190" s="3" t="s">
        <v>1794</v>
      </c>
      <c r="Y190" s="3" t="s">
        <v>2263</v>
      </c>
      <c r="Z190" s="3"/>
      <c r="AA190" s="3"/>
      <c r="AB190" s="3"/>
      <c r="AC190" s="4" cm="1">
        <f t="array" ref="AC190">IF(FALSE,"True," &amp; IF(_xlfn.XLOOKUP("Src_IsAny",'Scoring_Config'!$A:$A,'Scoring_Config'!$D:$D,"Yes")="Yes",_xlfn.XLOOKUP("Src_IsAny",'Scoring_Config'!$A:$A,'Scoring_Config'!$C:$C,25),0),"False,0")</f>
        <v>0</v>
      </c>
      <c r="AD190" s="4" cm="1">
        <f t="array" ref="AD190">IF(FALSE,"True," &amp; IF(_xlfn.XLOOKUP("Src_CIDR_Le_16",'Scoring_Config'!$A:$A,'Scoring_Config'!$D:$D,"Yes")="Yes",_xlfn.XLOOKUP("Src_CIDR_Le_16",'Scoring_Config'!$A:$A,'Scoring_Config'!$C:$C,25),0),"False,0")</f>
        <v>0</v>
      </c>
      <c r="AE190" s="4" cm="1">
        <f t="array" ref="AE190">IF(FALSE,"True," &amp; IF(_xlfn.XLOOKUP("Src_CIDR_17_22",'Scoring_Config'!$A:$A,'Scoring_Config'!$D:$D,"Yes")="Yes",_xlfn.XLOOKUP("Src_CIDR_17_22",'Scoring_Config'!$A:$A,'Scoring_Config'!$C:$C,15),0),"False,0")</f>
        <v>0</v>
      </c>
      <c r="AF190" s="4" cm="1">
        <f t="array" ref="AF190">IF(FALSE,"True," &amp; IF(_xlfn.XLOOKUP("Dst_IsAny",'Scoring_Config'!$A:$A,'Scoring_Config'!$D:$D,"Yes")="Yes",_xlfn.XLOOKUP("Dst_IsAny",'Scoring_Config'!$A:$A,'Scoring_Config'!$C:$C,25),0),"False,0")</f>
        <v>0</v>
      </c>
      <c r="AG190" s="5" cm="1">
        <f t="array" ref="AG190">IF(TRUE,"True," &amp; IF(_xlfn.XLOOKUP("Dst_CIDR_Le_16",'Scoring_Config'!$A:$A,'Scoring_Config'!$D:$D,"Yes")="Yes",_xlfn.XLOOKUP("Dst_CIDR_Le_16",'Scoring_Config'!$A:$A,'Scoring_Config'!$C:$C,25),0),"False,0")</f>
        <v>0</v>
      </c>
      <c r="AH190" s="4" cm="1">
        <f t="array" ref="AH190">IF(FALSE,"True," &amp; IF(_xlfn.XLOOKUP("Dst_CIDR_17_22",'Scoring_Config'!$A:$A,'Scoring_Config'!$D:$D,"Yes")="Yes",_xlfn.XLOOKUP("Dst_CIDR_17_22",'Scoring_Config'!$A:$A,'Scoring_Config'!$C:$C,15),0),"False,0")</f>
        <v>0</v>
      </c>
      <c r="AI190" s="4" cm="1">
        <f t="array" ref="AI190">IF(FALSE,"True," &amp; IF(_xlfn.XLOOKUP("SrcZone_IsAny",'Scoring_Config'!$A:$A,'Scoring_Config'!$D:$D,"Yes")="Yes",_xlfn.XLOOKUP("SrcZone_IsAny",'Scoring_Config'!$A:$A,'Scoring_Config'!$C:$C,5),0),"False,0")</f>
        <v>0</v>
      </c>
      <c r="AJ190" s="4" cm="1">
        <f t="array" ref="AJ190">IF(FALSE,"True," &amp; IF(_xlfn.XLOOKUP("DstZone_IsAny",'Scoring_Config'!$A:$A,'Scoring_Config'!$D:$D,"Yes")="Yes",_xlfn.XLOOKUP("DstZone_IsAny",'Scoring_Config'!$A:$A,'Scoring_Config'!$C:$C,5),0),"False,0")</f>
        <v>0</v>
      </c>
      <c r="AK190" s="4" cm="1">
        <f t="array" ref="AK19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0" s="4" cm="1">
        <f t="array" ref="AL190">IF(FALSE,"True," &amp; IF(_xlfn.XLOOKUP("App_Any_OR_RangeGt1000",'Scoring_Config'!$A:$A,'Scoring_Config'!$D:$D,"Yes")="Yes",_xlfn.XLOOKUP("App_Any_OR_RangeGt1000",'Scoring_Config'!$A:$A,'Scoring_Config'!$C:$C,25),0),"False,0")</f>
        <v>0</v>
      </c>
      <c r="AM190" s="4" cm="1">
        <f t="array" ref="AM190">IF(FALSE,"True," &amp; IF(_xlfn.XLOOKUP("Service_Insecure_Match",'Scoring_Config'!$A:$A,'Scoring_Config'!$D:$D,"Yes")="Yes",_xlfn.XLOOKUP("Service_Insecure_Match",'Scoring_Config'!$A:$A,'Scoring_Config'!$C:$C,20),0),"False,0")</f>
        <v>0</v>
      </c>
      <c r="AN190" s="4" cm="1">
        <f t="array" ref="AN190">IF(FALSE,"True," &amp; IF(_xlfn.XLOOKUP("Risky_Inbound",'Scoring_Config'!$A:$A,'Scoring_Config'!$D:$D,"Yes")="Yes",_xlfn.XLOOKUP("Risky_Inbound",'Scoring_Config'!$A:$A,'Scoring_Config'!$C:$C,20),0),"False,0")</f>
        <v>0</v>
      </c>
      <c r="AO190" s="4" cm="1">
        <f t="array" ref="AO190">IF(FALSE,"True," &amp; IF(_xlfn.XLOOKUP("Risky_Outbound",'Scoring_Config'!$A:$A,'Scoring_Config'!$D:$D,"Yes")="Yes",_xlfn.XLOOKUP("Risky_Outbound",'Scoring_Config'!$A:$A,'Scoring_Config'!$C:$C,10),0),"False,0")</f>
        <v>0</v>
      </c>
      <c r="AP190" s="5" t="s">
        <v>2595</v>
      </c>
      <c r="AQ190" s="5" cm="1">
        <f t="array" ref="AQ19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0" s="4" t="s">
        <v>2592</v>
      </c>
      <c r="AS190" s="4" t="s">
        <v>2592</v>
      </c>
      <c r="AT190" s="5" t="s">
        <v>2595</v>
      </c>
      <c r="AU190" s="4" cm="1">
        <f t="array" ref="AU190">IF(FALSE,"True," &amp; IF(_xlfn.XLOOKUP("Action_IsDenyOrDrop",'Scoring_Config'!$A:$A,'Scoring_Config'!$D:$D,"Yes")="Yes",_xlfn.XLOOKUP("Action_IsDenyOrDrop",'Scoring_Config'!$A:$A,'Scoring_Config'!$C:$C,0),0),"False,0")</f>
        <v>0</v>
      </c>
      <c r="AV190" s="4"/>
      <c r="AW190" s="4" cm="1">
        <f t="array" ref="AW190">IF(FALSE,"True," &amp; IF(_xlfn.XLOOKUP("Migrate_Insecure",'Scoring_Config'!$A:$A,'Scoring_Config'!$D:$D,"Yes")="Yes",_xlfn.XLOOKUP("Migrate_Insecure",'Scoring_Config'!$A:$A,'Scoring_Config'!$C:$C,15),0),"False,0")</f>
        <v>0</v>
      </c>
      <c r="AX190" s="4"/>
      <c r="AY190" s="4" cm="1">
        <f t="array" ref="AY190">IF(FALSE,"True," &amp; IF(_xlfn.XLOOKUP("Migrate_Other_Ports",'Scoring_Config'!$A:$A,'Scoring_Config'!$D:$D,"Yes")="Yes",_xlfn.XLOOKUP("Migrate_Other_Ports",'Scoring_Config'!$A:$A,'Scoring_Config'!$C:$C,5),0),"False,0")</f>
        <v>0</v>
      </c>
      <c r="AZ190" s="4" cm="1">
        <f t="array" ref="AZ190">IF(LEFT(AU190,4)="True",0,(IF(LEFT(AC190,4)="True",IF(_xlfn.XLOOKUP("Src_IsAny",'Scoring_Config'!$A:$A,'Scoring_Config'!$D:$D,"Yes")="Yes",_xlfn.XLOOKUP("Src_IsAny",'Scoring_Config'!$A:$A,'Scoring_Config'!$C:$C,25),0),0)+IF(LEFT(AD190,4)="True",IF(_xlfn.XLOOKUP("Src_CIDR_Le_16",'Scoring_Config'!$A:$A,'Scoring_Config'!$D:$D,"Yes")="Yes",_xlfn.XLOOKUP("Src_CIDR_Le_16",'Scoring_Config'!$A:$A,'Scoring_Config'!$C:$C,25),0),0)+IF(LEFT(AE190,4)="True",IF(_xlfn.XLOOKUP("Src_CIDR_17_22",'Scoring_Config'!$A:$A,'Scoring_Config'!$D:$D,"Yes")="Yes",_xlfn.XLOOKUP("Src_CIDR_17_22",'Scoring_Config'!$A:$A,'Scoring_Config'!$C:$C,15),0),0)+IF(LEFT(AF190,4)="True",IF(_xlfn.XLOOKUP("Dst_IsAny",'Scoring_Config'!$A:$A,'Scoring_Config'!$D:$D,"Yes")="Yes",_xlfn.XLOOKUP("Dst_IsAny",'Scoring_Config'!$A:$A,'Scoring_Config'!$C:$C,25),0),0)+IF(LEFT(AG190,4)="True",IF(_xlfn.XLOOKUP("Dst_CIDR_Le_16",'Scoring_Config'!$A:$A,'Scoring_Config'!$D:$D,"Yes")="Yes",_xlfn.XLOOKUP("Dst_CIDR_Le_16",'Scoring_Config'!$A:$A,'Scoring_Config'!$C:$C,25),0),0)+IF(LEFT(AH190,4)="True",IF(_xlfn.XLOOKUP("Dst_CIDR_17_22",'Scoring_Config'!$A:$A,'Scoring_Config'!$D:$D,"Yes")="Yes",_xlfn.XLOOKUP("Dst_CIDR_17_22",'Scoring_Config'!$A:$A,'Scoring_Config'!$C:$C,15),0),0)+IF(LEFT(AI190,4)="True",IF(_xlfn.XLOOKUP("SrcZone_IsAny",'Scoring_Config'!$A:$A,'Scoring_Config'!$D:$D,"Yes")="Yes",_xlfn.XLOOKUP("SrcZone_IsAny",'Scoring_Config'!$A:$A,'Scoring_Config'!$C:$C,5),0),0)+IF(LEFT(AJ190,4)="True",IF(_xlfn.XLOOKUP("DstZone_IsAny",'Scoring_Config'!$A:$A,'Scoring_Config'!$D:$D,"Yes")="Yes",_xlfn.XLOOKUP("DstZone_IsAny",'Scoring_Config'!$A:$A,'Scoring_Config'!$C:$C,5),0),0)+IF(LEFT(AK190,4)="True",IF(_xlfn.XLOOKUP("Service_Any_OR_RangeGt1000",'Scoring_Config'!$A:$A,'Scoring_Config'!$D:$D,"Yes")="Yes",_xlfn.XLOOKUP("Service_Any_OR_RangeGt1000",'Scoring_Config'!$A:$A,'Scoring_Config'!$C:$C,25),0),0)+IF(LEFT(AL190,4)="True",IF(_xlfn.XLOOKUP("App_Any_OR_RangeGt1000",'Scoring_Config'!$A:$A,'Scoring_Config'!$D:$D,"Yes")="Yes",_xlfn.XLOOKUP("App_Any_OR_RangeGt1000",'Scoring_Config'!$A:$A,'Scoring_Config'!$C:$C,25),0),0)+IF(LEFT(AM190,4)="True",IF(_xlfn.XLOOKUP("Service_Insecure_Match",'Scoring_Config'!$A:$A,'Scoring_Config'!$D:$D,"Yes")="Yes",_xlfn.XLOOKUP("Service_Insecure_Match",'Scoring_Config'!$A:$A,'Scoring_Config'!$C:$C,20),0),0)+IF(LEFT(AN190,4)="True",IF(_xlfn.XLOOKUP("Risky_Inbound",'Scoring_Config'!$A:$A,'Scoring_Config'!$D:$D,"Yes")="Yes",_xlfn.XLOOKUP("Risky_Inbound",'Scoring_Config'!$A:$A,'Scoring_Config'!$C:$C,20),0),0)+IF(LEFT(AO190,4)="True",IF(_xlfn.XLOOKUP("Risky_Outbound",'Scoring_Config'!$A:$A,'Scoring_Config'!$D:$D,"Yes")="Yes",_xlfn.XLOOKUP("Risky_Outbound",'Scoring_Config'!$A:$A,'Scoring_Config'!$C:$C,10),0),0)+IF(LEFT(AW190,4)="True",IF(_xlfn.XLOOKUP("Migrate_Insecure",'Scoring_Config'!$A:$A,'Scoring_Config'!$D:$D,"Yes")="Yes",_xlfn.XLOOKUP("Migrate_Insecure",'Scoring_Config'!$A:$A,'Scoring_Config'!$C:$C,15),0),0)+IF(LEFT(AY190,4)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190,FIND(",",AP190)+1,100)),0)+IF(LEFT(AQ190,4)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190,FIND(",",AR190)+1,100)),0)+IF(_xlfn.XLOOKUP("Profile_Scoring",'Scoring_Config'!$A:$A,'Scoring_Config'!$D:$D,"Yes")="Yes",VALUE(MID(AS190,FIND(",",AS190)+1,100)),0)+IF(_xlfn.XLOOKUP("Options_Scoring",'Scoring_Config'!$A:$A,'Scoring_Config'!$D:$D,"Yes")="Yes",VALUE(MID(AT190,FIND(",",AT190)+1,100)),0)))</f>
        <v>0</v>
      </c>
    </row>
    <row r="191" spans="1:52">
      <c r="A191" s="3" t="s">
        <v>53</v>
      </c>
      <c r="B191" s="3" t="s">
        <v>192</v>
      </c>
      <c r="C191" s="3" t="s">
        <v>330</v>
      </c>
      <c r="D191" s="3"/>
      <c r="E191" s="3" t="s">
        <v>359</v>
      </c>
      <c r="F191" s="3" t="s">
        <v>363</v>
      </c>
      <c r="G191" s="3" t="s">
        <v>365</v>
      </c>
      <c r="H191" s="3" t="s">
        <v>365</v>
      </c>
      <c r="I191" s="3" t="s">
        <v>623</v>
      </c>
      <c r="J191" s="3" t="s">
        <v>364</v>
      </c>
      <c r="K191" s="3" t="s">
        <v>365</v>
      </c>
      <c r="L191" s="3" t="s">
        <v>365</v>
      </c>
      <c r="M191" s="3" t="s">
        <v>772</v>
      </c>
      <c r="N191" s="3" t="s">
        <v>794</v>
      </c>
      <c r="O191" s="4" t="s">
        <v>811</v>
      </c>
      <c r="P191" s="3" t="s">
        <v>872</v>
      </c>
      <c r="Q191" s="3" t="s">
        <v>905</v>
      </c>
      <c r="R191" s="3" t="s">
        <v>909</v>
      </c>
      <c r="S191" s="3" t="s">
        <v>907</v>
      </c>
      <c r="T191" s="3" t="s">
        <v>1039</v>
      </c>
      <c r="U191" s="3" t="s">
        <v>1243</v>
      </c>
      <c r="V191" s="3" t="s">
        <v>772</v>
      </c>
      <c r="W191" s="3" t="s">
        <v>941</v>
      </c>
      <c r="X191" s="3" t="s">
        <v>1795</v>
      </c>
      <c r="Y191" s="3" t="s">
        <v>2264</v>
      </c>
      <c r="Z191" s="3"/>
      <c r="AA191" s="3"/>
      <c r="AB191" s="3"/>
      <c r="AC191" s="5" cm="1">
        <f t="array" ref="AC191">IF(TRUE,"True," &amp; IF(_xlfn.XLOOKUP("Src_IsAny",'Scoring_Config'!$A:$A,'Scoring_Config'!$D:$D,"Yes")="Yes",_xlfn.XLOOKUP("Src_IsAny",'Scoring_Config'!$A:$A,'Scoring_Config'!$C:$C,25),0),"False,0")</f>
        <v>0</v>
      </c>
      <c r="AD191" s="4" cm="1">
        <f t="array" ref="AD191">IF(FALSE,"True," &amp; IF(_xlfn.XLOOKUP("Src_CIDR_Le_16",'Scoring_Config'!$A:$A,'Scoring_Config'!$D:$D,"Yes")="Yes",_xlfn.XLOOKUP("Src_CIDR_Le_16",'Scoring_Config'!$A:$A,'Scoring_Config'!$C:$C,25),0),"False,0")</f>
        <v>0</v>
      </c>
      <c r="AE191" s="4" cm="1">
        <f t="array" ref="AE191">IF(FALSE,"True," &amp; IF(_xlfn.XLOOKUP("Src_CIDR_17_22",'Scoring_Config'!$A:$A,'Scoring_Config'!$D:$D,"Yes")="Yes",_xlfn.XLOOKUP("Src_CIDR_17_22",'Scoring_Config'!$A:$A,'Scoring_Config'!$C:$C,15),0),"False,0")</f>
        <v>0</v>
      </c>
      <c r="AF191" s="5" cm="1">
        <f t="array" ref="AF191">IF(TRUE,"True," &amp; IF(_xlfn.XLOOKUP("Dst_IsAny",'Scoring_Config'!$A:$A,'Scoring_Config'!$D:$D,"Yes")="Yes",_xlfn.XLOOKUP("Dst_IsAny",'Scoring_Config'!$A:$A,'Scoring_Config'!$C:$C,25),0),"False,0")</f>
        <v>0</v>
      </c>
      <c r="AG191" s="4" cm="1">
        <f t="array" ref="AG191">IF(FALSE,"True," &amp; IF(_xlfn.XLOOKUP("Dst_CIDR_Le_16",'Scoring_Config'!$A:$A,'Scoring_Config'!$D:$D,"Yes")="Yes",_xlfn.XLOOKUP("Dst_CIDR_Le_16",'Scoring_Config'!$A:$A,'Scoring_Config'!$C:$C,25),0),"False,0")</f>
        <v>0</v>
      </c>
      <c r="AH191" s="4" cm="1">
        <f t="array" ref="AH191">IF(FALSE,"True," &amp; IF(_xlfn.XLOOKUP("Dst_CIDR_17_22",'Scoring_Config'!$A:$A,'Scoring_Config'!$D:$D,"Yes")="Yes",_xlfn.XLOOKUP("Dst_CIDR_17_22",'Scoring_Config'!$A:$A,'Scoring_Config'!$C:$C,15),0),"False,0")</f>
        <v>0</v>
      </c>
      <c r="AI191" s="4" cm="1">
        <f t="array" ref="AI191">IF(FALSE,"True," &amp; IF(_xlfn.XLOOKUP("SrcZone_IsAny",'Scoring_Config'!$A:$A,'Scoring_Config'!$D:$D,"Yes")="Yes",_xlfn.XLOOKUP("SrcZone_IsAny",'Scoring_Config'!$A:$A,'Scoring_Config'!$C:$C,5),0),"False,0")</f>
        <v>0</v>
      </c>
      <c r="AJ191" s="4" cm="1">
        <f t="array" ref="AJ191">IF(FALSE,"True," &amp; IF(_xlfn.XLOOKUP("DstZone_IsAny",'Scoring_Config'!$A:$A,'Scoring_Config'!$D:$D,"Yes")="Yes",_xlfn.XLOOKUP("DstZone_IsAny",'Scoring_Config'!$A:$A,'Scoring_Config'!$C:$C,5),0),"False,0")</f>
        <v>0</v>
      </c>
      <c r="AK191" s="4" cm="1">
        <f t="array" ref="AK19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1" s="4" cm="1">
        <f t="array" ref="AL191">IF(FALSE,"True," &amp; IF(_xlfn.XLOOKUP("App_Any_OR_RangeGt1000",'Scoring_Config'!$A:$A,'Scoring_Config'!$D:$D,"Yes")="Yes",_xlfn.XLOOKUP("App_Any_OR_RangeGt1000",'Scoring_Config'!$A:$A,'Scoring_Config'!$C:$C,25),0),"False,0")</f>
        <v>0</v>
      </c>
      <c r="AM191" s="5" cm="1">
        <f t="array" ref="AM191">IF(TRUE,"True," &amp; IF(_xlfn.XLOOKUP("Service_Insecure_Match",'Scoring_Config'!$A:$A,'Scoring_Config'!$D:$D,"Yes")="Yes",_xlfn.XLOOKUP("Service_Insecure_Match",'Scoring_Config'!$A:$A,'Scoring_Config'!$C:$C,20),0),"False,0")</f>
        <v>0</v>
      </c>
      <c r="AN191" s="4" cm="1">
        <f t="array" ref="AN191">IF(FALSE,"True," &amp; IF(_xlfn.XLOOKUP("Risky_Inbound",'Scoring_Config'!$A:$A,'Scoring_Config'!$D:$D,"Yes")="Yes",_xlfn.XLOOKUP("Risky_Inbound",'Scoring_Config'!$A:$A,'Scoring_Config'!$C:$C,20),0),"False,0")</f>
        <v>0</v>
      </c>
      <c r="AO191" s="4" cm="1">
        <f t="array" ref="AO191">IF(FALSE,"True," &amp; IF(_xlfn.XLOOKUP("Risky_Outbound",'Scoring_Config'!$A:$A,'Scoring_Config'!$D:$D,"Yes")="Yes",_xlfn.XLOOKUP("Risky_Outbound",'Scoring_Config'!$A:$A,'Scoring_Config'!$C:$C,10),0),"False,0")</f>
        <v>0</v>
      </c>
      <c r="AP191" s="5" t="s">
        <v>2595</v>
      </c>
      <c r="AQ191" s="4" cm="1">
        <f t="array" ref="AQ19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1" s="5" t="s">
        <v>2598</v>
      </c>
      <c r="AS191" s="4" t="s">
        <v>2592</v>
      </c>
      <c r="AT191" s="5" t="s">
        <v>2595</v>
      </c>
      <c r="AU191" s="4" cm="1">
        <f t="array" ref="AU191">IF(FALSE,"True," &amp; IF(_xlfn.XLOOKUP("Action_IsDenyOrDrop",'Scoring_Config'!$A:$A,'Scoring_Config'!$D:$D,"Yes")="Yes",_xlfn.XLOOKUP("Action_IsDenyOrDrop",'Scoring_Config'!$A:$A,'Scoring_Config'!$C:$C,0),0),"False,0")</f>
        <v>0</v>
      </c>
      <c r="AV191" s="4"/>
      <c r="AW191" s="4" cm="1">
        <f t="array" ref="AW191">IF(FALSE,"True," &amp; IF(_xlfn.XLOOKUP("Migrate_Insecure",'Scoring_Config'!$A:$A,'Scoring_Config'!$D:$D,"Yes")="Yes",_xlfn.XLOOKUP("Migrate_Insecure",'Scoring_Config'!$A:$A,'Scoring_Config'!$C:$C,15),0),"False,0")</f>
        <v>0</v>
      </c>
      <c r="AX191" s="4"/>
      <c r="AY191" s="4" cm="1">
        <f t="array" ref="AY191">IF(FALSE,"True," &amp; IF(_xlfn.XLOOKUP("Migrate_Other_Ports",'Scoring_Config'!$A:$A,'Scoring_Config'!$D:$D,"Yes")="Yes",_xlfn.XLOOKUP("Migrate_Other_Ports",'Scoring_Config'!$A:$A,'Scoring_Config'!$C:$C,5),0),"False,0")</f>
        <v>0</v>
      </c>
      <c r="AZ191" s="4" cm="1">
        <f t="array" ref="AZ191">IF(LEFT(AU191,4)="True",0,(IF(LEFT(AC191,4)="True",IF(_xlfn.XLOOKUP("Src_IsAny",'Scoring_Config'!$A:$A,'Scoring_Config'!$D:$D,"Yes")="Yes",_xlfn.XLOOKUP("Src_IsAny",'Scoring_Config'!$A:$A,'Scoring_Config'!$C:$C,25),0),0)+IF(LEFT(AD191,4)="True",IF(_xlfn.XLOOKUP("Src_CIDR_Le_16",'Scoring_Config'!$A:$A,'Scoring_Config'!$D:$D,"Yes")="Yes",_xlfn.XLOOKUP("Src_CIDR_Le_16",'Scoring_Config'!$A:$A,'Scoring_Config'!$C:$C,25),0),0)+IF(LEFT(AE191,4)="True",IF(_xlfn.XLOOKUP("Src_CIDR_17_22",'Scoring_Config'!$A:$A,'Scoring_Config'!$D:$D,"Yes")="Yes",_xlfn.XLOOKUP("Src_CIDR_17_22",'Scoring_Config'!$A:$A,'Scoring_Config'!$C:$C,15),0),0)+IF(LEFT(AF191,4)="True",IF(_xlfn.XLOOKUP("Dst_IsAny",'Scoring_Config'!$A:$A,'Scoring_Config'!$D:$D,"Yes")="Yes",_xlfn.XLOOKUP("Dst_IsAny",'Scoring_Config'!$A:$A,'Scoring_Config'!$C:$C,25),0),0)+IF(LEFT(AG191,4)="True",IF(_xlfn.XLOOKUP("Dst_CIDR_Le_16",'Scoring_Config'!$A:$A,'Scoring_Config'!$D:$D,"Yes")="Yes",_xlfn.XLOOKUP("Dst_CIDR_Le_16",'Scoring_Config'!$A:$A,'Scoring_Config'!$C:$C,25),0),0)+IF(LEFT(AH191,4)="True",IF(_xlfn.XLOOKUP("Dst_CIDR_17_22",'Scoring_Config'!$A:$A,'Scoring_Config'!$D:$D,"Yes")="Yes",_xlfn.XLOOKUP("Dst_CIDR_17_22",'Scoring_Config'!$A:$A,'Scoring_Config'!$C:$C,15),0),0)+IF(LEFT(AI191,4)="True",IF(_xlfn.XLOOKUP("SrcZone_IsAny",'Scoring_Config'!$A:$A,'Scoring_Config'!$D:$D,"Yes")="Yes",_xlfn.XLOOKUP("SrcZone_IsAny",'Scoring_Config'!$A:$A,'Scoring_Config'!$C:$C,5),0),0)+IF(LEFT(AJ191,4)="True",IF(_xlfn.XLOOKUP("DstZone_IsAny",'Scoring_Config'!$A:$A,'Scoring_Config'!$D:$D,"Yes")="Yes",_xlfn.XLOOKUP("DstZone_IsAny",'Scoring_Config'!$A:$A,'Scoring_Config'!$C:$C,5),0),0)+IF(LEFT(AK191,4)="True",IF(_xlfn.XLOOKUP("Service_Any_OR_RangeGt1000",'Scoring_Config'!$A:$A,'Scoring_Config'!$D:$D,"Yes")="Yes",_xlfn.XLOOKUP("Service_Any_OR_RangeGt1000",'Scoring_Config'!$A:$A,'Scoring_Config'!$C:$C,25),0),0)+IF(LEFT(AL191,4)="True",IF(_xlfn.XLOOKUP("App_Any_OR_RangeGt1000",'Scoring_Config'!$A:$A,'Scoring_Config'!$D:$D,"Yes")="Yes",_xlfn.XLOOKUP("App_Any_OR_RangeGt1000",'Scoring_Config'!$A:$A,'Scoring_Config'!$C:$C,25),0),0)+IF(LEFT(AM191,4)="True",IF(_xlfn.XLOOKUP("Service_Insecure_Match",'Scoring_Config'!$A:$A,'Scoring_Config'!$D:$D,"Yes")="Yes",_xlfn.XLOOKUP("Service_Insecure_Match",'Scoring_Config'!$A:$A,'Scoring_Config'!$C:$C,20),0),0)+IF(LEFT(AN191,4)="True",IF(_xlfn.XLOOKUP("Risky_Inbound",'Scoring_Config'!$A:$A,'Scoring_Config'!$D:$D,"Yes")="Yes",_xlfn.XLOOKUP("Risky_Inbound",'Scoring_Config'!$A:$A,'Scoring_Config'!$C:$C,20),0),0)+IF(LEFT(AO191,4)="True",IF(_xlfn.XLOOKUP("Risky_Outbound",'Scoring_Config'!$A:$A,'Scoring_Config'!$D:$D,"Yes")="Yes",_xlfn.XLOOKUP("Risky_Outbound",'Scoring_Config'!$A:$A,'Scoring_Config'!$C:$C,10),0),0)+IF(LEFT(AW191,4)="True",IF(_xlfn.XLOOKUP("Migrate_Insecure",'Scoring_Config'!$A:$A,'Scoring_Config'!$D:$D,"Yes")="Yes",_xlfn.XLOOKUP("Migrate_Insecure",'Scoring_Config'!$A:$A,'Scoring_Config'!$C:$C,15),0),0)+IF(LEFT(AY191,4)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191,FIND(",",AP191)+1,100)),0)+IF(LEFT(AQ191,4)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191,FIND(",",AR191)+1,100)),0)+IF(_xlfn.XLOOKUP("Profile_Scoring",'Scoring_Config'!$A:$A,'Scoring_Config'!$D:$D,"Yes")="Yes",VALUE(MID(AS191,FIND(",",AS191)+1,100)),0)+IF(_xlfn.XLOOKUP("Options_Scoring",'Scoring_Config'!$A:$A,'Scoring_Config'!$D:$D,"Yes")="Yes",VALUE(MID(AT191,FIND(",",AT191)+1,100)),0)))</f>
        <v>0</v>
      </c>
    </row>
    <row r="192" spans="1:52">
      <c r="A192" s="3" t="s">
        <v>53</v>
      </c>
      <c r="B192" s="3" t="s">
        <v>193</v>
      </c>
      <c r="C192" s="3" t="s">
        <v>330</v>
      </c>
      <c r="D192" s="3"/>
      <c r="E192" s="3" t="s">
        <v>359</v>
      </c>
      <c r="F192" s="3" t="s">
        <v>363</v>
      </c>
      <c r="G192" s="3" t="s">
        <v>435</v>
      </c>
      <c r="H192" s="3" t="s">
        <v>435</v>
      </c>
      <c r="I192" s="3" t="s">
        <v>624</v>
      </c>
      <c r="J192" s="3" t="s">
        <v>360</v>
      </c>
      <c r="K192" s="3" t="s">
        <v>365</v>
      </c>
      <c r="L192" s="3" t="s">
        <v>365</v>
      </c>
      <c r="M192" s="3" t="s">
        <v>365</v>
      </c>
      <c r="N192" s="3" t="s">
        <v>365</v>
      </c>
      <c r="O192" s="4" t="s">
        <v>821</v>
      </c>
      <c r="P192" s="3" t="s">
        <v>882</v>
      </c>
      <c r="Q192" s="3" t="s">
        <v>905</v>
      </c>
      <c r="R192" s="3" t="s">
        <v>907</v>
      </c>
      <c r="S192" s="3" t="s">
        <v>916</v>
      </c>
      <c r="T192" s="3" t="s">
        <v>919</v>
      </c>
      <c r="U192" s="3" t="s">
        <v>1147</v>
      </c>
      <c r="V192" s="3" t="s">
        <v>1386</v>
      </c>
      <c r="W192" s="3" t="s">
        <v>1504</v>
      </c>
      <c r="X192" s="3" t="s">
        <v>1796</v>
      </c>
      <c r="Y192" s="3" t="s">
        <v>2265</v>
      </c>
      <c r="Z192" s="3"/>
      <c r="AA192" s="3"/>
      <c r="AB192" s="3"/>
      <c r="AC192" s="4" cm="1">
        <f t="array" ref="AC192">IF(FALSE,"True," &amp; IF(_xlfn.XLOOKUP("Src_IsAny",'Scoring_Config'!$A:$A,'Scoring_Config'!$D:$D,"Yes")="Yes",_xlfn.XLOOKUP("Src_IsAny",'Scoring_Config'!$A:$A,'Scoring_Config'!$C:$C,25),0),"False,0")</f>
        <v>0</v>
      </c>
      <c r="AD192" s="4" cm="1">
        <f t="array" ref="AD192">IF(FALSE,"True," &amp; IF(_xlfn.XLOOKUP("Src_CIDR_Le_16",'Scoring_Config'!$A:$A,'Scoring_Config'!$D:$D,"Yes")="Yes",_xlfn.XLOOKUP("Src_CIDR_Le_16",'Scoring_Config'!$A:$A,'Scoring_Config'!$C:$C,25),0),"False,0")</f>
        <v>0</v>
      </c>
      <c r="AE192" s="4" cm="1">
        <f t="array" ref="AE192">IF(FALSE,"True," &amp; IF(_xlfn.XLOOKUP("Src_CIDR_17_22",'Scoring_Config'!$A:$A,'Scoring_Config'!$D:$D,"Yes")="Yes",_xlfn.XLOOKUP("Src_CIDR_17_22",'Scoring_Config'!$A:$A,'Scoring_Config'!$C:$C,15),0),"False,0")</f>
        <v>0</v>
      </c>
      <c r="AF192" s="5" cm="1">
        <f t="array" ref="AF192">IF(TRUE,"True," &amp; IF(_xlfn.XLOOKUP("Dst_IsAny",'Scoring_Config'!$A:$A,'Scoring_Config'!$D:$D,"Yes")="Yes",_xlfn.XLOOKUP("Dst_IsAny",'Scoring_Config'!$A:$A,'Scoring_Config'!$C:$C,25),0),"False,0")</f>
        <v>0</v>
      </c>
      <c r="AG192" s="4" cm="1">
        <f t="array" ref="AG192">IF(FALSE,"True," &amp; IF(_xlfn.XLOOKUP("Dst_CIDR_Le_16",'Scoring_Config'!$A:$A,'Scoring_Config'!$D:$D,"Yes")="Yes",_xlfn.XLOOKUP("Dst_CIDR_Le_16",'Scoring_Config'!$A:$A,'Scoring_Config'!$C:$C,25),0),"False,0")</f>
        <v>0</v>
      </c>
      <c r="AH192" s="4" cm="1">
        <f t="array" ref="AH192">IF(FALSE,"True," &amp; IF(_xlfn.XLOOKUP("Dst_CIDR_17_22",'Scoring_Config'!$A:$A,'Scoring_Config'!$D:$D,"Yes")="Yes",_xlfn.XLOOKUP("Dst_CIDR_17_22",'Scoring_Config'!$A:$A,'Scoring_Config'!$C:$C,15),0),"False,0")</f>
        <v>0</v>
      </c>
      <c r="AI192" s="4" cm="1">
        <f t="array" ref="AI192">IF(FALSE,"True," &amp; IF(_xlfn.XLOOKUP("SrcZone_IsAny",'Scoring_Config'!$A:$A,'Scoring_Config'!$D:$D,"Yes")="Yes",_xlfn.XLOOKUP("SrcZone_IsAny",'Scoring_Config'!$A:$A,'Scoring_Config'!$C:$C,5),0),"False,0")</f>
        <v>0</v>
      </c>
      <c r="AJ192" s="4" cm="1">
        <f t="array" ref="AJ192">IF(FALSE,"True," &amp; IF(_xlfn.XLOOKUP("DstZone_IsAny",'Scoring_Config'!$A:$A,'Scoring_Config'!$D:$D,"Yes")="Yes",_xlfn.XLOOKUP("DstZone_IsAny",'Scoring_Config'!$A:$A,'Scoring_Config'!$C:$C,5),0),"False,0")</f>
        <v>0</v>
      </c>
      <c r="AK192" s="4" cm="1">
        <f t="array" ref="AK19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2" s="5" cm="1">
        <f t="array" ref="AL192">IF(TRUE,"True," &amp; IF(_xlfn.XLOOKUP("App_Any_OR_RangeGt1000",'Scoring_Config'!$A:$A,'Scoring_Config'!$D:$D,"Yes")="Yes",_xlfn.XLOOKUP("App_Any_OR_RangeGt1000",'Scoring_Config'!$A:$A,'Scoring_Config'!$C:$C,25),0),"False,0")</f>
        <v>0</v>
      </c>
      <c r="AM192" s="5" cm="1">
        <f t="array" ref="AM192">IF(TRUE,"True," &amp; IF(_xlfn.XLOOKUP("Service_Insecure_Match",'Scoring_Config'!$A:$A,'Scoring_Config'!$D:$D,"Yes")="Yes",_xlfn.XLOOKUP("Service_Insecure_Match",'Scoring_Config'!$A:$A,'Scoring_Config'!$C:$C,20),0),"False,0")</f>
        <v>0</v>
      </c>
      <c r="AN192" s="4" cm="1">
        <f t="array" ref="AN192">IF(FALSE,"True," &amp; IF(_xlfn.XLOOKUP("Risky_Inbound",'Scoring_Config'!$A:$A,'Scoring_Config'!$D:$D,"Yes")="Yes",_xlfn.XLOOKUP("Risky_Inbound",'Scoring_Config'!$A:$A,'Scoring_Config'!$C:$C,20),0),"False,0")</f>
        <v>0</v>
      </c>
      <c r="AO192" s="4" cm="1">
        <f t="array" ref="AO192">IF(FALSE,"True," &amp; IF(_xlfn.XLOOKUP("Risky_Outbound",'Scoring_Config'!$A:$A,'Scoring_Config'!$D:$D,"Yes")="Yes",_xlfn.XLOOKUP("Risky_Outbound",'Scoring_Config'!$A:$A,'Scoring_Config'!$C:$C,10),0),"False,0")</f>
        <v>0</v>
      </c>
      <c r="AP192" s="5" t="s">
        <v>2595</v>
      </c>
      <c r="AQ192" s="5" cm="1">
        <f t="array" ref="AQ19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2" s="5" t="s">
        <v>2598</v>
      </c>
      <c r="AS192" s="5" t="s">
        <v>2595</v>
      </c>
      <c r="AT192" s="4" t="s">
        <v>2592</v>
      </c>
      <c r="AU192" s="4" cm="1">
        <f t="array" ref="AU192">IF(FALSE,"True," &amp; IF(_xlfn.XLOOKUP("Action_IsDenyOrDrop",'Scoring_Config'!$A:$A,'Scoring_Config'!$D:$D,"Yes")="Yes",_xlfn.XLOOKUP("Action_IsDenyOrDrop",'Scoring_Config'!$A:$A,'Scoring_Config'!$C:$C,0),0),"False,0")</f>
        <v>0</v>
      </c>
      <c r="AV192" s="4"/>
      <c r="AW192" s="4" cm="1">
        <f t="array" ref="AW192">IF(FALSE,"True," &amp; IF(_xlfn.XLOOKUP("Migrate_Insecure",'Scoring_Config'!$A:$A,'Scoring_Config'!$D:$D,"Yes")="Yes",_xlfn.XLOOKUP("Migrate_Insecure",'Scoring_Config'!$A:$A,'Scoring_Config'!$C:$C,15),0),"False,0")</f>
        <v>0</v>
      </c>
      <c r="AX192" s="4"/>
      <c r="AY192" s="4" cm="1">
        <f t="array" ref="AY192">IF(FALSE,"True," &amp; IF(_xlfn.XLOOKUP("Migrate_Other_Ports",'Scoring_Config'!$A:$A,'Scoring_Config'!$D:$D,"Yes")="Yes",_xlfn.XLOOKUP("Migrate_Other_Ports",'Scoring_Config'!$A:$A,'Scoring_Config'!$C:$C,5),0),"False,0")</f>
        <v>0</v>
      </c>
      <c r="AZ192" s="4" cm="1">
        <f t="array" ref="AZ192">IF(LEFT(AU192,4)="True",0,(IF(LEFT(AC192,4)="True",IF(_xlfn.XLOOKUP("Src_IsAny",'Scoring_Config'!$A:$A,'Scoring_Config'!$D:$D,"Yes")="Yes",_xlfn.XLOOKUP("Src_IsAny",'Scoring_Config'!$A:$A,'Scoring_Config'!$C:$C,25),0),0)+IF(LEFT(AD192,4)="True",IF(_xlfn.XLOOKUP("Src_CIDR_Le_16",'Scoring_Config'!$A:$A,'Scoring_Config'!$D:$D,"Yes")="Yes",_xlfn.XLOOKUP("Src_CIDR_Le_16",'Scoring_Config'!$A:$A,'Scoring_Config'!$C:$C,25),0),0)+IF(LEFT(AE192,4)="True",IF(_xlfn.XLOOKUP("Src_CIDR_17_22",'Scoring_Config'!$A:$A,'Scoring_Config'!$D:$D,"Yes")="Yes",_xlfn.XLOOKUP("Src_CIDR_17_22",'Scoring_Config'!$A:$A,'Scoring_Config'!$C:$C,15),0),0)+IF(LEFT(AF192,4)="True",IF(_xlfn.XLOOKUP("Dst_IsAny",'Scoring_Config'!$A:$A,'Scoring_Config'!$D:$D,"Yes")="Yes",_xlfn.XLOOKUP("Dst_IsAny",'Scoring_Config'!$A:$A,'Scoring_Config'!$C:$C,25),0),0)+IF(LEFT(AG192,4)="True",IF(_xlfn.XLOOKUP("Dst_CIDR_Le_16",'Scoring_Config'!$A:$A,'Scoring_Config'!$D:$D,"Yes")="Yes",_xlfn.XLOOKUP("Dst_CIDR_Le_16",'Scoring_Config'!$A:$A,'Scoring_Config'!$C:$C,25),0),0)+IF(LEFT(AH192,4)="True",IF(_xlfn.XLOOKUP("Dst_CIDR_17_22",'Scoring_Config'!$A:$A,'Scoring_Config'!$D:$D,"Yes")="Yes",_xlfn.XLOOKUP("Dst_CIDR_17_22",'Scoring_Config'!$A:$A,'Scoring_Config'!$C:$C,15),0),0)+IF(LEFT(AI192,4)="True",IF(_xlfn.XLOOKUP("SrcZone_IsAny",'Scoring_Config'!$A:$A,'Scoring_Config'!$D:$D,"Yes")="Yes",_xlfn.XLOOKUP("SrcZone_IsAny",'Scoring_Config'!$A:$A,'Scoring_Config'!$C:$C,5),0),0)+IF(LEFT(AJ192,4)="True",IF(_xlfn.XLOOKUP("DstZone_IsAny",'Scoring_Config'!$A:$A,'Scoring_Config'!$D:$D,"Yes")="Yes",_xlfn.XLOOKUP("DstZone_IsAny",'Scoring_Config'!$A:$A,'Scoring_Config'!$C:$C,5),0),0)+IF(LEFT(AK192,4)="True",IF(_xlfn.XLOOKUP("Service_Any_OR_RangeGt1000",'Scoring_Config'!$A:$A,'Scoring_Config'!$D:$D,"Yes")="Yes",_xlfn.XLOOKUP("Service_Any_OR_RangeGt1000",'Scoring_Config'!$A:$A,'Scoring_Config'!$C:$C,25),0),0)+IF(LEFT(AL192,4)="True",IF(_xlfn.XLOOKUP("App_Any_OR_RangeGt1000",'Scoring_Config'!$A:$A,'Scoring_Config'!$D:$D,"Yes")="Yes",_xlfn.XLOOKUP("App_Any_OR_RangeGt1000",'Scoring_Config'!$A:$A,'Scoring_Config'!$C:$C,25),0),0)+IF(LEFT(AM192,4)="True",IF(_xlfn.XLOOKUP("Service_Insecure_Match",'Scoring_Config'!$A:$A,'Scoring_Config'!$D:$D,"Yes")="Yes",_xlfn.XLOOKUP("Service_Insecure_Match",'Scoring_Config'!$A:$A,'Scoring_Config'!$C:$C,20),0),0)+IF(LEFT(AN192,4)="True",IF(_xlfn.XLOOKUP("Risky_Inbound",'Scoring_Config'!$A:$A,'Scoring_Config'!$D:$D,"Yes")="Yes",_xlfn.XLOOKUP("Risky_Inbound",'Scoring_Config'!$A:$A,'Scoring_Config'!$C:$C,20),0),0)+IF(LEFT(AO192,4)="True",IF(_xlfn.XLOOKUP("Risky_Outbound",'Scoring_Config'!$A:$A,'Scoring_Config'!$D:$D,"Yes")="Yes",_xlfn.XLOOKUP("Risky_Outbound",'Scoring_Config'!$A:$A,'Scoring_Config'!$C:$C,10),0),0)+IF(LEFT(AW192,4)="True",IF(_xlfn.XLOOKUP("Migrate_Insecure",'Scoring_Config'!$A:$A,'Scoring_Config'!$D:$D,"Yes")="Yes",_xlfn.XLOOKUP("Migrate_Insecure",'Scoring_Config'!$A:$A,'Scoring_Config'!$C:$C,15),0),0)+IF(LEFT(AY192,4)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192,FIND(",",AP192)+1,100)),0)+IF(LEFT(AQ192,4)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192,FIND(",",AR192)+1,100)),0)+IF(_xlfn.XLOOKUP("Profile_Scoring",'Scoring_Config'!$A:$A,'Scoring_Config'!$D:$D,"Yes")="Yes",VALUE(MID(AS192,FIND(",",AS192)+1,100)),0)+IF(_xlfn.XLOOKUP("Options_Scoring",'Scoring_Config'!$A:$A,'Scoring_Config'!$D:$D,"Yes")="Yes",VALUE(MID(AT192,FIND(",",AT192)+1,100)),0)))</f>
        <v>0</v>
      </c>
    </row>
    <row r="193" spans="1:52">
      <c r="A193" s="3" t="s">
        <v>53</v>
      </c>
      <c r="B193" s="3" t="s">
        <v>194</v>
      </c>
      <c r="C193" s="3" t="s">
        <v>330</v>
      </c>
      <c r="D193" s="3"/>
      <c r="E193" s="3" t="s">
        <v>359</v>
      </c>
      <c r="F193" s="3" t="s">
        <v>361</v>
      </c>
      <c r="G193" s="3" t="s">
        <v>365</v>
      </c>
      <c r="H193" s="3" t="s">
        <v>365</v>
      </c>
      <c r="I193" s="3" t="s">
        <v>625</v>
      </c>
      <c r="J193" s="3" t="s">
        <v>360</v>
      </c>
      <c r="K193" s="3" t="s">
        <v>365</v>
      </c>
      <c r="L193" s="3" t="s">
        <v>365</v>
      </c>
      <c r="M193" s="3" t="s">
        <v>365</v>
      </c>
      <c r="N193" s="3" t="s">
        <v>365</v>
      </c>
      <c r="O193" s="4" t="s">
        <v>801</v>
      </c>
      <c r="P193" s="3" t="s">
        <v>862</v>
      </c>
      <c r="Q193" s="3" t="s">
        <v>905</v>
      </c>
      <c r="R193" s="3" t="s">
        <v>907</v>
      </c>
      <c r="S193" s="3" t="s">
        <v>913</v>
      </c>
      <c r="T193" s="3" t="s">
        <v>1040</v>
      </c>
      <c r="U193" s="3"/>
      <c r="V193" s="3" t="s">
        <v>1388</v>
      </c>
      <c r="W193" s="3" t="s">
        <v>1505</v>
      </c>
      <c r="X193" s="3" t="s">
        <v>1797</v>
      </c>
      <c r="Y193" s="3" t="s">
        <v>2266</v>
      </c>
      <c r="Z193" s="3"/>
      <c r="AA193" s="3"/>
      <c r="AB193" s="3"/>
      <c r="AC193" s="5" cm="1">
        <f t="array" ref="AC193">IF(TRUE,"True," &amp; IF(_xlfn.XLOOKUP("Src_IsAny",'Scoring_Config'!$A:$A,'Scoring_Config'!$D:$D,"Yes")="Yes",_xlfn.XLOOKUP("Src_IsAny",'Scoring_Config'!$A:$A,'Scoring_Config'!$C:$C,25),0),"False,0")</f>
        <v>0</v>
      </c>
      <c r="AD193" s="4" cm="1">
        <f t="array" ref="AD193">IF(FALSE,"True," &amp; IF(_xlfn.XLOOKUP("Src_CIDR_Le_16",'Scoring_Config'!$A:$A,'Scoring_Config'!$D:$D,"Yes")="Yes",_xlfn.XLOOKUP("Src_CIDR_Le_16",'Scoring_Config'!$A:$A,'Scoring_Config'!$C:$C,25),0),"False,0")</f>
        <v>0</v>
      </c>
      <c r="AE193" s="4" cm="1">
        <f t="array" ref="AE193">IF(FALSE,"True," &amp; IF(_xlfn.XLOOKUP("Src_CIDR_17_22",'Scoring_Config'!$A:$A,'Scoring_Config'!$D:$D,"Yes")="Yes",_xlfn.XLOOKUP("Src_CIDR_17_22",'Scoring_Config'!$A:$A,'Scoring_Config'!$C:$C,15),0),"False,0")</f>
        <v>0</v>
      </c>
      <c r="AF193" s="5" cm="1">
        <f t="array" ref="AF193">IF(TRUE,"True," &amp; IF(_xlfn.XLOOKUP("Dst_IsAny",'Scoring_Config'!$A:$A,'Scoring_Config'!$D:$D,"Yes")="Yes",_xlfn.XLOOKUP("Dst_IsAny",'Scoring_Config'!$A:$A,'Scoring_Config'!$C:$C,25),0),"False,0")</f>
        <v>0</v>
      </c>
      <c r="AG193" s="4" cm="1">
        <f t="array" ref="AG193">IF(FALSE,"True," &amp; IF(_xlfn.XLOOKUP("Dst_CIDR_Le_16",'Scoring_Config'!$A:$A,'Scoring_Config'!$D:$D,"Yes")="Yes",_xlfn.XLOOKUP("Dst_CIDR_Le_16",'Scoring_Config'!$A:$A,'Scoring_Config'!$C:$C,25),0),"False,0")</f>
        <v>0</v>
      </c>
      <c r="AH193" s="4" cm="1">
        <f t="array" ref="AH193">IF(FALSE,"True," &amp; IF(_xlfn.XLOOKUP("Dst_CIDR_17_22",'Scoring_Config'!$A:$A,'Scoring_Config'!$D:$D,"Yes")="Yes",_xlfn.XLOOKUP("Dst_CIDR_17_22",'Scoring_Config'!$A:$A,'Scoring_Config'!$C:$C,15),0),"False,0")</f>
        <v>0</v>
      </c>
      <c r="AI193" s="4" cm="1">
        <f t="array" ref="AI193">IF(FALSE,"True," &amp; IF(_xlfn.XLOOKUP("SrcZone_IsAny",'Scoring_Config'!$A:$A,'Scoring_Config'!$D:$D,"Yes")="Yes",_xlfn.XLOOKUP("SrcZone_IsAny",'Scoring_Config'!$A:$A,'Scoring_Config'!$C:$C,5),0),"False,0")</f>
        <v>0</v>
      </c>
      <c r="AJ193" s="4" cm="1">
        <f t="array" ref="AJ193">IF(FALSE,"True," &amp; IF(_xlfn.XLOOKUP("DstZone_IsAny",'Scoring_Config'!$A:$A,'Scoring_Config'!$D:$D,"Yes")="Yes",_xlfn.XLOOKUP("DstZone_IsAny",'Scoring_Config'!$A:$A,'Scoring_Config'!$C:$C,5),0),"False,0")</f>
        <v>0</v>
      </c>
      <c r="AK193" s="4" cm="1">
        <f t="array" ref="AK19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3" s="5" cm="1">
        <f t="array" ref="AL193">IF(TRUE,"True," &amp; IF(_xlfn.XLOOKUP("App_Any_OR_RangeGt1000",'Scoring_Config'!$A:$A,'Scoring_Config'!$D:$D,"Yes")="Yes",_xlfn.XLOOKUP("App_Any_OR_RangeGt1000",'Scoring_Config'!$A:$A,'Scoring_Config'!$C:$C,25),0),"False,0")</f>
        <v>0</v>
      </c>
      <c r="AM193" s="5" cm="1">
        <f t="array" ref="AM193">IF(TRUE,"True," &amp; IF(_xlfn.XLOOKUP("Service_Insecure_Match",'Scoring_Config'!$A:$A,'Scoring_Config'!$D:$D,"Yes")="Yes",_xlfn.XLOOKUP("Service_Insecure_Match",'Scoring_Config'!$A:$A,'Scoring_Config'!$C:$C,20),0),"False,0")</f>
        <v>0</v>
      </c>
      <c r="AN193" s="4" cm="1">
        <f t="array" ref="AN193">IF(FALSE,"True," &amp; IF(_xlfn.XLOOKUP("Risky_Inbound",'Scoring_Config'!$A:$A,'Scoring_Config'!$D:$D,"Yes")="Yes",_xlfn.XLOOKUP("Risky_Inbound",'Scoring_Config'!$A:$A,'Scoring_Config'!$C:$C,20),0),"False,0")</f>
        <v>0</v>
      </c>
      <c r="AO193" s="4" cm="1">
        <f t="array" ref="AO193">IF(FALSE,"True," &amp; IF(_xlfn.XLOOKUP("Risky_Outbound",'Scoring_Config'!$A:$A,'Scoring_Config'!$D:$D,"Yes")="Yes",_xlfn.XLOOKUP("Risky_Outbound",'Scoring_Config'!$A:$A,'Scoring_Config'!$C:$C,10),0),"False,0")</f>
        <v>0</v>
      </c>
      <c r="AP193" s="5" t="s">
        <v>2595</v>
      </c>
      <c r="AQ193" s="5" cm="1">
        <f t="array" ref="AQ19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3" s="5" t="s">
        <v>2598</v>
      </c>
      <c r="AS193" s="5" t="s">
        <v>2595</v>
      </c>
      <c r="AT193" s="4" t="s">
        <v>2592</v>
      </c>
      <c r="AU193" s="4" cm="1">
        <f t="array" ref="AU193">IF(FALSE,"True," &amp; IF(_xlfn.XLOOKUP("Action_IsDenyOrDrop",'Scoring_Config'!$A:$A,'Scoring_Config'!$D:$D,"Yes")="Yes",_xlfn.XLOOKUP("Action_IsDenyOrDrop",'Scoring_Config'!$A:$A,'Scoring_Config'!$C:$C,0),0),"False,0")</f>
        <v>0</v>
      </c>
      <c r="AV193" s="4"/>
      <c r="AW193" s="4" cm="1">
        <f t="array" ref="AW193">IF(FALSE,"True," &amp; IF(_xlfn.XLOOKUP("Migrate_Insecure",'Scoring_Config'!$A:$A,'Scoring_Config'!$D:$D,"Yes")="Yes",_xlfn.XLOOKUP("Migrate_Insecure",'Scoring_Config'!$A:$A,'Scoring_Config'!$C:$C,15),0),"False,0")</f>
        <v>0</v>
      </c>
      <c r="AX193" s="4"/>
      <c r="AY193" s="4" cm="1">
        <f t="array" ref="AY193">IF(FALSE,"True," &amp; IF(_xlfn.XLOOKUP("Migrate_Other_Ports",'Scoring_Config'!$A:$A,'Scoring_Config'!$D:$D,"Yes")="Yes",_xlfn.XLOOKUP("Migrate_Other_Ports",'Scoring_Config'!$A:$A,'Scoring_Config'!$C:$C,5),0),"False,0")</f>
        <v>0</v>
      </c>
      <c r="AZ193" s="4" cm="1">
        <f t="array" ref="AZ193">IF(LEFT(AU193,4)="True",0,(IF(LEFT(AC193,4)="True",IF(_xlfn.XLOOKUP("Src_IsAny",'Scoring_Config'!$A:$A,'Scoring_Config'!$D:$D,"Yes")="Yes",_xlfn.XLOOKUP("Src_IsAny",'Scoring_Config'!$A:$A,'Scoring_Config'!$C:$C,25),0),0)+IF(LEFT(AD193,4)="True",IF(_xlfn.XLOOKUP("Src_CIDR_Le_16",'Scoring_Config'!$A:$A,'Scoring_Config'!$D:$D,"Yes")="Yes",_xlfn.XLOOKUP("Src_CIDR_Le_16",'Scoring_Config'!$A:$A,'Scoring_Config'!$C:$C,25),0),0)+IF(LEFT(AE193,4)="True",IF(_xlfn.XLOOKUP("Src_CIDR_17_22",'Scoring_Config'!$A:$A,'Scoring_Config'!$D:$D,"Yes")="Yes",_xlfn.XLOOKUP("Src_CIDR_17_22",'Scoring_Config'!$A:$A,'Scoring_Config'!$C:$C,15),0),0)+IF(LEFT(AF193,4)="True",IF(_xlfn.XLOOKUP("Dst_IsAny",'Scoring_Config'!$A:$A,'Scoring_Config'!$D:$D,"Yes")="Yes",_xlfn.XLOOKUP("Dst_IsAny",'Scoring_Config'!$A:$A,'Scoring_Config'!$C:$C,25),0),0)+IF(LEFT(AG193,4)="True",IF(_xlfn.XLOOKUP("Dst_CIDR_Le_16",'Scoring_Config'!$A:$A,'Scoring_Config'!$D:$D,"Yes")="Yes",_xlfn.XLOOKUP("Dst_CIDR_Le_16",'Scoring_Config'!$A:$A,'Scoring_Config'!$C:$C,25),0),0)+IF(LEFT(AH193,4)="True",IF(_xlfn.XLOOKUP("Dst_CIDR_17_22",'Scoring_Config'!$A:$A,'Scoring_Config'!$D:$D,"Yes")="Yes",_xlfn.XLOOKUP("Dst_CIDR_17_22",'Scoring_Config'!$A:$A,'Scoring_Config'!$C:$C,15),0),0)+IF(LEFT(AI193,4)="True",IF(_xlfn.XLOOKUP("SrcZone_IsAny",'Scoring_Config'!$A:$A,'Scoring_Config'!$D:$D,"Yes")="Yes",_xlfn.XLOOKUP("SrcZone_IsAny",'Scoring_Config'!$A:$A,'Scoring_Config'!$C:$C,5),0),0)+IF(LEFT(AJ193,4)="True",IF(_xlfn.XLOOKUP("DstZone_IsAny",'Scoring_Config'!$A:$A,'Scoring_Config'!$D:$D,"Yes")="Yes",_xlfn.XLOOKUP("DstZone_IsAny",'Scoring_Config'!$A:$A,'Scoring_Config'!$C:$C,5),0),0)+IF(LEFT(AK193,4)="True",IF(_xlfn.XLOOKUP("Service_Any_OR_RangeGt1000",'Scoring_Config'!$A:$A,'Scoring_Config'!$D:$D,"Yes")="Yes",_xlfn.XLOOKUP("Service_Any_OR_RangeGt1000",'Scoring_Config'!$A:$A,'Scoring_Config'!$C:$C,25),0),0)+IF(LEFT(AL193,4)="True",IF(_xlfn.XLOOKUP("App_Any_OR_RangeGt1000",'Scoring_Config'!$A:$A,'Scoring_Config'!$D:$D,"Yes")="Yes",_xlfn.XLOOKUP("App_Any_OR_RangeGt1000",'Scoring_Config'!$A:$A,'Scoring_Config'!$C:$C,25),0),0)+IF(LEFT(AM193,4)="True",IF(_xlfn.XLOOKUP("Service_Insecure_Match",'Scoring_Config'!$A:$A,'Scoring_Config'!$D:$D,"Yes")="Yes",_xlfn.XLOOKUP("Service_Insecure_Match",'Scoring_Config'!$A:$A,'Scoring_Config'!$C:$C,20),0),0)+IF(LEFT(AN193,4)="True",IF(_xlfn.XLOOKUP("Risky_Inbound",'Scoring_Config'!$A:$A,'Scoring_Config'!$D:$D,"Yes")="Yes",_xlfn.XLOOKUP("Risky_Inbound",'Scoring_Config'!$A:$A,'Scoring_Config'!$C:$C,20),0),0)+IF(LEFT(AO193,4)="True",IF(_xlfn.XLOOKUP("Risky_Outbound",'Scoring_Config'!$A:$A,'Scoring_Config'!$D:$D,"Yes")="Yes",_xlfn.XLOOKUP("Risky_Outbound",'Scoring_Config'!$A:$A,'Scoring_Config'!$C:$C,10),0),0)+IF(LEFT(AW193,4)="True",IF(_xlfn.XLOOKUP("Migrate_Insecure",'Scoring_Config'!$A:$A,'Scoring_Config'!$D:$D,"Yes")="Yes",_xlfn.XLOOKUP("Migrate_Insecure",'Scoring_Config'!$A:$A,'Scoring_Config'!$C:$C,15),0),0)+IF(LEFT(AY193,4)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193,FIND(",",AP193)+1,100)),0)+IF(LEFT(AQ193,4)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193,FIND(",",AR193)+1,100)),0)+IF(_xlfn.XLOOKUP("Profile_Scoring",'Scoring_Config'!$A:$A,'Scoring_Config'!$D:$D,"Yes")="Yes",VALUE(MID(AS193,FIND(",",AS193)+1,100)),0)+IF(_xlfn.XLOOKUP("Options_Scoring",'Scoring_Config'!$A:$A,'Scoring_Config'!$D:$D,"Yes")="Yes",VALUE(MID(AT193,FIND(",",AT193)+1,100)),0)))</f>
        <v>0</v>
      </c>
    </row>
    <row r="194" spans="1:52">
      <c r="A194" s="3" t="s">
        <v>53</v>
      </c>
      <c r="B194" s="3" t="s">
        <v>102</v>
      </c>
      <c r="C194" s="3" t="s">
        <v>330</v>
      </c>
      <c r="D194" s="3"/>
      <c r="E194" s="3" t="s">
        <v>359</v>
      </c>
      <c r="F194" s="3" t="s">
        <v>364</v>
      </c>
      <c r="G194" s="3" t="s">
        <v>435</v>
      </c>
      <c r="H194" s="3" t="s">
        <v>435</v>
      </c>
      <c r="I194" s="3" t="s">
        <v>625</v>
      </c>
      <c r="J194" s="3" t="s">
        <v>362</v>
      </c>
      <c r="K194" s="3" t="s">
        <v>365</v>
      </c>
      <c r="L194" s="3" t="s">
        <v>365</v>
      </c>
      <c r="M194" s="3" t="s">
        <v>773</v>
      </c>
      <c r="N194" s="3" t="s">
        <v>773</v>
      </c>
      <c r="O194" s="4" t="s">
        <v>823</v>
      </c>
      <c r="P194" s="3" t="s">
        <v>884</v>
      </c>
      <c r="Q194" s="3" t="s">
        <v>905</v>
      </c>
      <c r="R194" s="3" t="s">
        <v>907</v>
      </c>
      <c r="S194" s="3" t="s">
        <v>913</v>
      </c>
      <c r="T194" s="3" t="s">
        <v>1041</v>
      </c>
      <c r="U194" s="3" t="s">
        <v>1244</v>
      </c>
      <c r="V194" s="3" t="s">
        <v>1386</v>
      </c>
      <c r="W194" s="3" t="s">
        <v>1435</v>
      </c>
      <c r="X194" s="3" t="s">
        <v>1798</v>
      </c>
      <c r="Y194" s="3" t="s">
        <v>2267</v>
      </c>
      <c r="Z194" s="3"/>
      <c r="AA194" s="3"/>
      <c r="AB194" s="3"/>
      <c r="AC194" s="4" cm="1">
        <f t="array" ref="AC194">IF(FALSE,"True," &amp; IF(_xlfn.XLOOKUP("Src_IsAny",'Scoring_Config'!$A:$A,'Scoring_Config'!$D:$D,"Yes")="Yes",_xlfn.XLOOKUP("Src_IsAny",'Scoring_Config'!$A:$A,'Scoring_Config'!$C:$C,25),0),"False,0")</f>
        <v>0</v>
      </c>
      <c r="AD194" s="4" cm="1">
        <f t="array" ref="AD194">IF(FALSE,"True," &amp; IF(_xlfn.XLOOKUP("Src_CIDR_Le_16",'Scoring_Config'!$A:$A,'Scoring_Config'!$D:$D,"Yes")="Yes",_xlfn.XLOOKUP("Src_CIDR_Le_16",'Scoring_Config'!$A:$A,'Scoring_Config'!$C:$C,25),0),"False,0")</f>
        <v>0</v>
      </c>
      <c r="AE194" s="4" cm="1">
        <f t="array" ref="AE194">IF(FALSE,"True," &amp; IF(_xlfn.XLOOKUP("Src_CIDR_17_22",'Scoring_Config'!$A:$A,'Scoring_Config'!$D:$D,"Yes")="Yes",_xlfn.XLOOKUP("Src_CIDR_17_22",'Scoring_Config'!$A:$A,'Scoring_Config'!$C:$C,15),0),"False,0")</f>
        <v>0</v>
      </c>
      <c r="AF194" s="5" cm="1">
        <f t="array" ref="AF194">IF(TRUE,"True," &amp; IF(_xlfn.XLOOKUP("Dst_IsAny",'Scoring_Config'!$A:$A,'Scoring_Config'!$D:$D,"Yes")="Yes",_xlfn.XLOOKUP("Dst_IsAny",'Scoring_Config'!$A:$A,'Scoring_Config'!$C:$C,25),0),"False,0")</f>
        <v>0</v>
      </c>
      <c r="AG194" s="4" cm="1">
        <f t="array" ref="AG194">IF(FALSE,"True," &amp; IF(_xlfn.XLOOKUP("Dst_CIDR_Le_16",'Scoring_Config'!$A:$A,'Scoring_Config'!$D:$D,"Yes")="Yes",_xlfn.XLOOKUP("Dst_CIDR_Le_16",'Scoring_Config'!$A:$A,'Scoring_Config'!$C:$C,25),0),"False,0")</f>
        <v>0</v>
      </c>
      <c r="AH194" s="4" cm="1">
        <f t="array" ref="AH194">IF(FALSE,"True," &amp; IF(_xlfn.XLOOKUP("Dst_CIDR_17_22",'Scoring_Config'!$A:$A,'Scoring_Config'!$D:$D,"Yes")="Yes",_xlfn.XLOOKUP("Dst_CIDR_17_22",'Scoring_Config'!$A:$A,'Scoring_Config'!$C:$C,15),0),"False,0")</f>
        <v>0</v>
      </c>
      <c r="AI194" s="4" cm="1">
        <f t="array" ref="AI194">IF(FALSE,"True," &amp; IF(_xlfn.XLOOKUP("SrcZone_IsAny",'Scoring_Config'!$A:$A,'Scoring_Config'!$D:$D,"Yes")="Yes",_xlfn.XLOOKUP("SrcZone_IsAny",'Scoring_Config'!$A:$A,'Scoring_Config'!$C:$C,5),0),"False,0")</f>
        <v>0</v>
      </c>
      <c r="AJ194" s="4" cm="1">
        <f t="array" ref="AJ194">IF(FALSE,"True," &amp; IF(_xlfn.XLOOKUP("DstZone_IsAny",'Scoring_Config'!$A:$A,'Scoring_Config'!$D:$D,"Yes")="Yes",_xlfn.XLOOKUP("DstZone_IsAny",'Scoring_Config'!$A:$A,'Scoring_Config'!$C:$C,5),0),"False,0")</f>
        <v>0</v>
      </c>
      <c r="AK194" s="4" cm="1">
        <f t="array" ref="AK19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4" s="4" cm="1">
        <f t="array" ref="AL194">IF(FALSE,"True," &amp; IF(_xlfn.XLOOKUP("App_Any_OR_RangeGt1000",'Scoring_Config'!$A:$A,'Scoring_Config'!$D:$D,"Yes")="Yes",_xlfn.XLOOKUP("App_Any_OR_RangeGt1000",'Scoring_Config'!$A:$A,'Scoring_Config'!$C:$C,25),0),"False,0")</f>
        <v>0</v>
      </c>
      <c r="AM194" s="5" cm="1">
        <f t="array" ref="AM194">IF(TRUE,"True," &amp; IF(_xlfn.XLOOKUP("Service_Insecure_Match",'Scoring_Config'!$A:$A,'Scoring_Config'!$D:$D,"Yes")="Yes",_xlfn.XLOOKUP("Service_Insecure_Match",'Scoring_Config'!$A:$A,'Scoring_Config'!$C:$C,20),0),"False,0")</f>
        <v>0</v>
      </c>
      <c r="AN194" s="4" cm="1">
        <f t="array" ref="AN194">IF(FALSE,"True," &amp; IF(_xlfn.XLOOKUP("Risky_Inbound",'Scoring_Config'!$A:$A,'Scoring_Config'!$D:$D,"Yes")="Yes",_xlfn.XLOOKUP("Risky_Inbound",'Scoring_Config'!$A:$A,'Scoring_Config'!$C:$C,20),0),"False,0")</f>
        <v>0</v>
      </c>
      <c r="AO194" s="4" cm="1">
        <f t="array" ref="AO194">IF(FALSE,"True," &amp; IF(_xlfn.XLOOKUP("Risky_Outbound",'Scoring_Config'!$A:$A,'Scoring_Config'!$D:$D,"Yes")="Yes",_xlfn.XLOOKUP("Risky_Outbound",'Scoring_Config'!$A:$A,'Scoring_Config'!$C:$C,10),0),"False,0")</f>
        <v>0</v>
      </c>
      <c r="AP194" s="5" t="s">
        <v>2595</v>
      </c>
      <c r="AQ194" s="4" cm="1">
        <f t="array" ref="AQ19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4" s="5" t="s">
        <v>2598</v>
      </c>
      <c r="AS194" s="5" t="s">
        <v>2595</v>
      </c>
      <c r="AT194" s="4" t="s">
        <v>2592</v>
      </c>
      <c r="AU194" s="4" cm="1">
        <f t="array" ref="AU194">IF(FALSE,"True," &amp; IF(_xlfn.XLOOKUP("Action_IsDenyOrDrop",'Scoring_Config'!$A:$A,'Scoring_Config'!$D:$D,"Yes")="Yes",_xlfn.XLOOKUP("Action_IsDenyOrDrop",'Scoring_Config'!$A:$A,'Scoring_Config'!$C:$C,0),0),"False,0")</f>
        <v>0</v>
      </c>
      <c r="AV194" s="4"/>
      <c r="AW194" s="4" cm="1">
        <f t="array" ref="AW194">IF(FALSE,"True," &amp; IF(_xlfn.XLOOKUP("Migrate_Insecure",'Scoring_Config'!$A:$A,'Scoring_Config'!$D:$D,"Yes")="Yes",_xlfn.XLOOKUP("Migrate_Insecure",'Scoring_Config'!$A:$A,'Scoring_Config'!$C:$C,15),0),"False,0")</f>
        <v>0</v>
      </c>
      <c r="AX194" s="4"/>
      <c r="AY194" s="4" cm="1">
        <f t="array" ref="AY194">IF(FALSE,"True," &amp; IF(_xlfn.XLOOKUP("Migrate_Other_Ports",'Scoring_Config'!$A:$A,'Scoring_Config'!$D:$D,"Yes")="Yes",_xlfn.XLOOKUP("Migrate_Other_Ports",'Scoring_Config'!$A:$A,'Scoring_Config'!$C:$C,5),0),"False,0")</f>
        <v>0</v>
      </c>
      <c r="AZ194" s="4" cm="1">
        <f t="array" ref="AZ194">IF(LEFT(AU194,4)="True",0,(IF(LEFT(AC194,4)="True",IF(_xlfn.XLOOKUP("Src_IsAny",'Scoring_Config'!$A:$A,'Scoring_Config'!$D:$D,"Yes")="Yes",_xlfn.XLOOKUP("Src_IsAny",'Scoring_Config'!$A:$A,'Scoring_Config'!$C:$C,25),0),0)+IF(LEFT(AD194,4)="True",IF(_xlfn.XLOOKUP("Src_CIDR_Le_16",'Scoring_Config'!$A:$A,'Scoring_Config'!$D:$D,"Yes")="Yes",_xlfn.XLOOKUP("Src_CIDR_Le_16",'Scoring_Config'!$A:$A,'Scoring_Config'!$C:$C,25),0),0)+IF(LEFT(AE194,4)="True",IF(_xlfn.XLOOKUP("Src_CIDR_17_22",'Scoring_Config'!$A:$A,'Scoring_Config'!$D:$D,"Yes")="Yes",_xlfn.XLOOKUP("Src_CIDR_17_22",'Scoring_Config'!$A:$A,'Scoring_Config'!$C:$C,15),0),0)+IF(LEFT(AF194,4)="True",IF(_xlfn.XLOOKUP("Dst_IsAny",'Scoring_Config'!$A:$A,'Scoring_Config'!$D:$D,"Yes")="Yes",_xlfn.XLOOKUP("Dst_IsAny",'Scoring_Config'!$A:$A,'Scoring_Config'!$C:$C,25),0),0)+IF(LEFT(AG194,4)="True",IF(_xlfn.XLOOKUP("Dst_CIDR_Le_16",'Scoring_Config'!$A:$A,'Scoring_Config'!$D:$D,"Yes")="Yes",_xlfn.XLOOKUP("Dst_CIDR_Le_16",'Scoring_Config'!$A:$A,'Scoring_Config'!$C:$C,25),0),0)+IF(LEFT(AH194,4)="True",IF(_xlfn.XLOOKUP("Dst_CIDR_17_22",'Scoring_Config'!$A:$A,'Scoring_Config'!$D:$D,"Yes")="Yes",_xlfn.XLOOKUP("Dst_CIDR_17_22",'Scoring_Config'!$A:$A,'Scoring_Config'!$C:$C,15),0),0)+IF(LEFT(AI194,4)="True",IF(_xlfn.XLOOKUP("SrcZone_IsAny",'Scoring_Config'!$A:$A,'Scoring_Config'!$D:$D,"Yes")="Yes",_xlfn.XLOOKUP("SrcZone_IsAny",'Scoring_Config'!$A:$A,'Scoring_Config'!$C:$C,5),0),0)+IF(LEFT(AJ194,4)="True",IF(_xlfn.XLOOKUP("DstZone_IsAny",'Scoring_Config'!$A:$A,'Scoring_Config'!$D:$D,"Yes")="Yes",_xlfn.XLOOKUP("DstZone_IsAny",'Scoring_Config'!$A:$A,'Scoring_Config'!$C:$C,5),0),0)+IF(LEFT(AK194,4)="True",IF(_xlfn.XLOOKUP("Service_Any_OR_RangeGt1000",'Scoring_Config'!$A:$A,'Scoring_Config'!$D:$D,"Yes")="Yes",_xlfn.XLOOKUP("Service_Any_OR_RangeGt1000",'Scoring_Config'!$A:$A,'Scoring_Config'!$C:$C,25),0),0)+IF(LEFT(AL194,4)="True",IF(_xlfn.XLOOKUP("App_Any_OR_RangeGt1000",'Scoring_Config'!$A:$A,'Scoring_Config'!$D:$D,"Yes")="Yes",_xlfn.XLOOKUP("App_Any_OR_RangeGt1000",'Scoring_Config'!$A:$A,'Scoring_Config'!$C:$C,25),0),0)+IF(LEFT(AM194,4)="True",IF(_xlfn.XLOOKUP("Service_Insecure_Match",'Scoring_Config'!$A:$A,'Scoring_Config'!$D:$D,"Yes")="Yes",_xlfn.XLOOKUP("Service_Insecure_Match",'Scoring_Config'!$A:$A,'Scoring_Config'!$C:$C,20),0),0)+IF(LEFT(AN194,4)="True",IF(_xlfn.XLOOKUP("Risky_Inbound",'Scoring_Config'!$A:$A,'Scoring_Config'!$D:$D,"Yes")="Yes",_xlfn.XLOOKUP("Risky_Inbound",'Scoring_Config'!$A:$A,'Scoring_Config'!$C:$C,20),0),0)+IF(LEFT(AO194,4)="True",IF(_xlfn.XLOOKUP("Risky_Outbound",'Scoring_Config'!$A:$A,'Scoring_Config'!$D:$D,"Yes")="Yes",_xlfn.XLOOKUP("Risky_Outbound",'Scoring_Config'!$A:$A,'Scoring_Config'!$C:$C,10),0),0)+IF(LEFT(AW194,4)="True",IF(_xlfn.XLOOKUP("Migrate_Insecure",'Scoring_Config'!$A:$A,'Scoring_Config'!$D:$D,"Yes")="Yes",_xlfn.XLOOKUP("Migrate_Insecure",'Scoring_Config'!$A:$A,'Scoring_Config'!$C:$C,15),0),0)+IF(LEFT(AY194,4)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194,FIND(",",AP194)+1,100)),0)+IF(LEFT(AQ194,4)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194,FIND(",",AR194)+1,100)),0)+IF(_xlfn.XLOOKUP("Profile_Scoring",'Scoring_Config'!$A:$A,'Scoring_Config'!$D:$D,"Yes")="Yes",VALUE(MID(AS194,FIND(",",AS194)+1,100)),0)+IF(_xlfn.XLOOKUP("Options_Scoring",'Scoring_Config'!$A:$A,'Scoring_Config'!$D:$D,"Yes")="Yes",VALUE(MID(AT194,FIND(",",AT194)+1,100)),0)))</f>
        <v>0</v>
      </c>
    </row>
    <row r="195" spans="1:52">
      <c r="A195" s="3" t="s">
        <v>53</v>
      </c>
      <c r="B195" s="3" t="s">
        <v>160</v>
      </c>
      <c r="C195" s="3" t="s">
        <v>330</v>
      </c>
      <c r="D195" s="3"/>
      <c r="E195" s="3" t="s">
        <v>359</v>
      </c>
      <c r="F195" s="3" t="s">
        <v>364</v>
      </c>
      <c r="G195" s="3" t="s">
        <v>436</v>
      </c>
      <c r="H195" s="3" t="s">
        <v>575</v>
      </c>
      <c r="I195" s="3" t="s">
        <v>365</v>
      </c>
      <c r="J195" s="3" t="s">
        <v>360</v>
      </c>
      <c r="K195" s="3" t="s">
        <v>675</v>
      </c>
      <c r="L195" s="3" t="s">
        <v>675</v>
      </c>
      <c r="M195" s="3" t="s">
        <v>773</v>
      </c>
      <c r="N195" s="3" t="s">
        <v>773</v>
      </c>
      <c r="O195" s="4" t="s">
        <v>830</v>
      </c>
      <c r="P195" s="3" t="s">
        <v>891</v>
      </c>
      <c r="Q195" s="3" t="s">
        <v>905</v>
      </c>
      <c r="R195" s="3" t="s">
        <v>906</v>
      </c>
      <c r="S195" s="3" t="s">
        <v>913</v>
      </c>
      <c r="T195" s="3" t="s">
        <v>919</v>
      </c>
      <c r="U195" s="3" t="s">
        <v>1145</v>
      </c>
      <c r="V195" s="3" t="s">
        <v>1389</v>
      </c>
      <c r="W195" s="3" t="s">
        <v>1506</v>
      </c>
      <c r="X195" s="3" t="s">
        <v>1799</v>
      </c>
      <c r="Y195" s="3" t="s">
        <v>2268</v>
      </c>
      <c r="Z195" s="3"/>
      <c r="AA195" s="3"/>
      <c r="AB195" s="3"/>
      <c r="AC195" s="4" cm="1">
        <f t="array" ref="AC195">IF(FALSE,"True," &amp; IF(_xlfn.XLOOKUP("Src_IsAny",'Scoring_Config'!$A:$A,'Scoring_Config'!$D:$D,"Yes")="Yes",_xlfn.XLOOKUP("Src_IsAny",'Scoring_Config'!$A:$A,'Scoring_Config'!$C:$C,25),0),"False,0")</f>
        <v>0</v>
      </c>
      <c r="AD195" s="4" cm="1">
        <f t="array" ref="AD195">IF(FALSE,"True," &amp; IF(_xlfn.XLOOKUP("Src_CIDR_Le_16",'Scoring_Config'!$A:$A,'Scoring_Config'!$D:$D,"Yes")="Yes",_xlfn.XLOOKUP("Src_CIDR_Le_16",'Scoring_Config'!$A:$A,'Scoring_Config'!$C:$C,25),0),"False,0")</f>
        <v>0</v>
      </c>
      <c r="AE195" s="4" cm="1">
        <f t="array" ref="AE195">IF(FALSE,"True," &amp; IF(_xlfn.XLOOKUP("Src_CIDR_17_22",'Scoring_Config'!$A:$A,'Scoring_Config'!$D:$D,"Yes")="Yes",_xlfn.XLOOKUP("Src_CIDR_17_22",'Scoring_Config'!$A:$A,'Scoring_Config'!$C:$C,15),0),"False,0")</f>
        <v>0</v>
      </c>
      <c r="AF195" s="4" cm="1">
        <f t="array" ref="AF195">IF(FALSE,"True," &amp; IF(_xlfn.XLOOKUP("Dst_IsAny",'Scoring_Config'!$A:$A,'Scoring_Config'!$D:$D,"Yes")="Yes",_xlfn.XLOOKUP("Dst_IsAny",'Scoring_Config'!$A:$A,'Scoring_Config'!$C:$C,25),0),"False,0")</f>
        <v>0</v>
      </c>
      <c r="AG195" s="5" cm="1">
        <f t="array" ref="AG195">IF(TRUE,"True," &amp; IF(_xlfn.XLOOKUP("Dst_CIDR_Le_16",'Scoring_Config'!$A:$A,'Scoring_Config'!$D:$D,"Yes")="Yes",_xlfn.XLOOKUP("Dst_CIDR_Le_16",'Scoring_Config'!$A:$A,'Scoring_Config'!$C:$C,25),0),"False,0")</f>
        <v>0</v>
      </c>
      <c r="AH195" s="4" cm="1">
        <f t="array" ref="AH195">IF(FALSE,"True," &amp; IF(_xlfn.XLOOKUP("Dst_CIDR_17_22",'Scoring_Config'!$A:$A,'Scoring_Config'!$D:$D,"Yes")="Yes",_xlfn.XLOOKUP("Dst_CIDR_17_22",'Scoring_Config'!$A:$A,'Scoring_Config'!$C:$C,15),0),"False,0")</f>
        <v>0</v>
      </c>
      <c r="AI195" s="4" cm="1">
        <f t="array" ref="AI195">IF(FALSE,"True," &amp; IF(_xlfn.XLOOKUP("SrcZone_IsAny",'Scoring_Config'!$A:$A,'Scoring_Config'!$D:$D,"Yes")="Yes",_xlfn.XLOOKUP("SrcZone_IsAny",'Scoring_Config'!$A:$A,'Scoring_Config'!$C:$C,5),0),"False,0")</f>
        <v>0</v>
      </c>
      <c r="AJ195" s="4" cm="1">
        <f t="array" ref="AJ195">IF(FALSE,"True," &amp; IF(_xlfn.XLOOKUP("DstZone_IsAny",'Scoring_Config'!$A:$A,'Scoring_Config'!$D:$D,"Yes")="Yes",_xlfn.XLOOKUP("DstZone_IsAny",'Scoring_Config'!$A:$A,'Scoring_Config'!$C:$C,5),0),"False,0")</f>
        <v>0</v>
      </c>
      <c r="AK195" s="4" cm="1">
        <f t="array" ref="AK19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5" s="4" cm="1">
        <f t="array" ref="AL195">IF(FALSE,"True," &amp; IF(_xlfn.XLOOKUP("App_Any_OR_RangeGt1000",'Scoring_Config'!$A:$A,'Scoring_Config'!$D:$D,"Yes")="Yes",_xlfn.XLOOKUP("App_Any_OR_RangeGt1000",'Scoring_Config'!$A:$A,'Scoring_Config'!$C:$C,25),0),"False,0")</f>
        <v>0</v>
      </c>
      <c r="AM195" s="5" cm="1">
        <f t="array" ref="AM195">IF(TRUE,"True," &amp; IF(_xlfn.XLOOKUP("Service_Insecure_Match",'Scoring_Config'!$A:$A,'Scoring_Config'!$D:$D,"Yes")="Yes",_xlfn.XLOOKUP("Service_Insecure_Match",'Scoring_Config'!$A:$A,'Scoring_Config'!$C:$C,20),0),"False,0")</f>
        <v>0</v>
      </c>
      <c r="AN195" s="4" cm="1">
        <f t="array" ref="AN195">IF(FALSE,"True," &amp; IF(_xlfn.XLOOKUP("Risky_Inbound",'Scoring_Config'!$A:$A,'Scoring_Config'!$D:$D,"Yes")="Yes",_xlfn.XLOOKUP("Risky_Inbound",'Scoring_Config'!$A:$A,'Scoring_Config'!$C:$C,20),0),"False,0")</f>
        <v>0</v>
      </c>
      <c r="AO195" s="4" cm="1">
        <f t="array" ref="AO195">IF(FALSE,"True," &amp; IF(_xlfn.XLOOKUP("Risky_Outbound",'Scoring_Config'!$A:$A,'Scoring_Config'!$D:$D,"Yes")="Yes",_xlfn.XLOOKUP("Risky_Outbound",'Scoring_Config'!$A:$A,'Scoring_Config'!$C:$C,10),0),"False,0")</f>
        <v>0</v>
      </c>
      <c r="AP195" s="5" t="s">
        <v>2595</v>
      </c>
      <c r="AQ195" s="5" cm="1">
        <f t="array" ref="AQ19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5" s="4" t="s">
        <v>2592</v>
      </c>
      <c r="AS195" s="4" t="s">
        <v>2592</v>
      </c>
      <c r="AT195" s="4" t="s">
        <v>2592</v>
      </c>
      <c r="AU195" s="4" cm="1">
        <f t="array" ref="AU195">IF(FALSE,"True," &amp; IF(_xlfn.XLOOKUP("Action_IsDenyOrDrop",'Scoring_Config'!$A:$A,'Scoring_Config'!$D:$D,"Yes")="Yes",_xlfn.XLOOKUP("Action_IsDenyOrDrop",'Scoring_Config'!$A:$A,'Scoring_Config'!$C:$C,0),0),"False,0")</f>
        <v>0</v>
      </c>
      <c r="AV195" s="4"/>
      <c r="AW195" s="4" cm="1">
        <f t="array" ref="AW195">IF(FALSE,"True," &amp; IF(_xlfn.XLOOKUP("Migrate_Insecure",'Scoring_Config'!$A:$A,'Scoring_Config'!$D:$D,"Yes")="Yes",_xlfn.XLOOKUP("Migrate_Insecure",'Scoring_Config'!$A:$A,'Scoring_Config'!$C:$C,15),0),"False,0")</f>
        <v>0</v>
      </c>
      <c r="AX195" s="4"/>
      <c r="AY195" s="4" cm="1">
        <f t="array" ref="AY195">IF(FALSE,"True," &amp; IF(_xlfn.XLOOKUP("Migrate_Other_Ports",'Scoring_Config'!$A:$A,'Scoring_Config'!$D:$D,"Yes")="Yes",_xlfn.XLOOKUP("Migrate_Other_Ports",'Scoring_Config'!$A:$A,'Scoring_Config'!$C:$C,5),0),"False,0")</f>
        <v>0</v>
      </c>
      <c r="AZ195" s="4" cm="1">
        <f t="array" ref="AZ195">IF(LEFT(AU195,4)="True",0,(IF(LEFT(AC195,4)="True",IF(_xlfn.XLOOKUP("Src_IsAny",'Scoring_Config'!$A:$A,'Scoring_Config'!$D:$D,"Yes")="Yes",_xlfn.XLOOKUP("Src_IsAny",'Scoring_Config'!$A:$A,'Scoring_Config'!$C:$C,25),0),0)+IF(LEFT(AD195,4)="True",IF(_xlfn.XLOOKUP("Src_CIDR_Le_16",'Scoring_Config'!$A:$A,'Scoring_Config'!$D:$D,"Yes")="Yes",_xlfn.XLOOKUP("Src_CIDR_Le_16",'Scoring_Config'!$A:$A,'Scoring_Config'!$C:$C,25),0),0)+IF(LEFT(AE195,4)="True",IF(_xlfn.XLOOKUP("Src_CIDR_17_22",'Scoring_Config'!$A:$A,'Scoring_Config'!$D:$D,"Yes")="Yes",_xlfn.XLOOKUP("Src_CIDR_17_22",'Scoring_Config'!$A:$A,'Scoring_Config'!$C:$C,15),0),0)+IF(LEFT(AF195,4)="True",IF(_xlfn.XLOOKUP("Dst_IsAny",'Scoring_Config'!$A:$A,'Scoring_Config'!$D:$D,"Yes")="Yes",_xlfn.XLOOKUP("Dst_IsAny",'Scoring_Config'!$A:$A,'Scoring_Config'!$C:$C,25),0),0)+IF(LEFT(AG195,4)="True",IF(_xlfn.XLOOKUP("Dst_CIDR_Le_16",'Scoring_Config'!$A:$A,'Scoring_Config'!$D:$D,"Yes")="Yes",_xlfn.XLOOKUP("Dst_CIDR_Le_16",'Scoring_Config'!$A:$A,'Scoring_Config'!$C:$C,25),0),0)+IF(LEFT(AH195,4)="True",IF(_xlfn.XLOOKUP("Dst_CIDR_17_22",'Scoring_Config'!$A:$A,'Scoring_Config'!$D:$D,"Yes")="Yes",_xlfn.XLOOKUP("Dst_CIDR_17_22",'Scoring_Config'!$A:$A,'Scoring_Config'!$C:$C,15),0),0)+IF(LEFT(AI195,4)="True",IF(_xlfn.XLOOKUP("SrcZone_IsAny",'Scoring_Config'!$A:$A,'Scoring_Config'!$D:$D,"Yes")="Yes",_xlfn.XLOOKUP("SrcZone_IsAny",'Scoring_Config'!$A:$A,'Scoring_Config'!$C:$C,5),0),0)+IF(LEFT(AJ195,4)="True",IF(_xlfn.XLOOKUP("DstZone_IsAny",'Scoring_Config'!$A:$A,'Scoring_Config'!$D:$D,"Yes")="Yes",_xlfn.XLOOKUP("DstZone_IsAny",'Scoring_Config'!$A:$A,'Scoring_Config'!$C:$C,5),0),0)+IF(LEFT(AK195,4)="True",IF(_xlfn.XLOOKUP("Service_Any_OR_RangeGt1000",'Scoring_Config'!$A:$A,'Scoring_Config'!$D:$D,"Yes")="Yes",_xlfn.XLOOKUP("Service_Any_OR_RangeGt1000",'Scoring_Config'!$A:$A,'Scoring_Config'!$C:$C,25),0),0)+IF(LEFT(AL195,4)="True",IF(_xlfn.XLOOKUP("App_Any_OR_RangeGt1000",'Scoring_Config'!$A:$A,'Scoring_Config'!$D:$D,"Yes")="Yes",_xlfn.XLOOKUP("App_Any_OR_RangeGt1000",'Scoring_Config'!$A:$A,'Scoring_Config'!$C:$C,25),0),0)+IF(LEFT(AM195,4)="True",IF(_xlfn.XLOOKUP("Service_Insecure_Match",'Scoring_Config'!$A:$A,'Scoring_Config'!$D:$D,"Yes")="Yes",_xlfn.XLOOKUP("Service_Insecure_Match",'Scoring_Config'!$A:$A,'Scoring_Config'!$C:$C,20),0),0)+IF(LEFT(AN195,4)="True",IF(_xlfn.XLOOKUP("Risky_Inbound",'Scoring_Config'!$A:$A,'Scoring_Config'!$D:$D,"Yes")="Yes",_xlfn.XLOOKUP("Risky_Inbound",'Scoring_Config'!$A:$A,'Scoring_Config'!$C:$C,20),0),0)+IF(LEFT(AO195,4)="True",IF(_xlfn.XLOOKUP("Risky_Outbound",'Scoring_Config'!$A:$A,'Scoring_Config'!$D:$D,"Yes")="Yes",_xlfn.XLOOKUP("Risky_Outbound",'Scoring_Config'!$A:$A,'Scoring_Config'!$C:$C,10),0),0)+IF(LEFT(AW195,4)="True",IF(_xlfn.XLOOKUP("Migrate_Insecure",'Scoring_Config'!$A:$A,'Scoring_Config'!$D:$D,"Yes")="Yes",_xlfn.XLOOKUP("Migrate_Insecure",'Scoring_Config'!$A:$A,'Scoring_Config'!$C:$C,15),0),0)+IF(LEFT(AY195,4)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195,FIND(",",AP195)+1,100)),0)+IF(LEFT(AQ195,4)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195,FIND(",",AR195)+1,100)),0)+IF(_xlfn.XLOOKUP("Profile_Scoring",'Scoring_Config'!$A:$A,'Scoring_Config'!$D:$D,"Yes")="Yes",VALUE(MID(AS195,FIND(",",AS195)+1,100)),0)+IF(_xlfn.XLOOKUP("Options_Scoring",'Scoring_Config'!$A:$A,'Scoring_Config'!$D:$D,"Yes")="Yes",VALUE(MID(AT195,FIND(",",AT195)+1,100)),0)))</f>
        <v>0</v>
      </c>
    </row>
    <row r="196" spans="1:52">
      <c r="A196" s="3" t="s">
        <v>53</v>
      </c>
      <c r="B196" s="3" t="s">
        <v>195</v>
      </c>
      <c r="C196" s="3" t="s">
        <v>330</v>
      </c>
      <c r="D196" s="3"/>
      <c r="E196" s="3" t="s">
        <v>359</v>
      </c>
      <c r="F196" s="3" t="s">
        <v>362</v>
      </c>
      <c r="G196" s="3" t="s">
        <v>437</v>
      </c>
      <c r="H196" s="3" t="s">
        <v>437</v>
      </c>
      <c r="I196" s="3" t="s">
        <v>622</v>
      </c>
      <c r="J196" s="3" t="s">
        <v>364</v>
      </c>
      <c r="K196" s="3" t="s">
        <v>667</v>
      </c>
      <c r="L196" s="3" t="s">
        <v>751</v>
      </c>
      <c r="M196" s="3" t="s">
        <v>775</v>
      </c>
      <c r="N196" s="3" t="s">
        <v>796</v>
      </c>
      <c r="O196" s="4" t="s">
        <v>839</v>
      </c>
      <c r="P196" s="3" t="s">
        <v>839</v>
      </c>
      <c r="Q196" s="3" t="s">
        <v>905</v>
      </c>
      <c r="R196" s="3" t="s">
        <v>911</v>
      </c>
      <c r="S196" s="3" t="s">
        <v>913</v>
      </c>
      <c r="T196" s="3" t="s">
        <v>1042</v>
      </c>
      <c r="U196" s="3" t="s">
        <v>1150</v>
      </c>
      <c r="V196" s="3" t="s">
        <v>1389</v>
      </c>
      <c r="W196" s="3" t="s">
        <v>1507</v>
      </c>
      <c r="X196" s="3" t="s">
        <v>1800</v>
      </c>
      <c r="Y196" s="3" t="s">
        <v>2269</v>
      </c>
      <c r="Z196" s="3"/>
      <c r="AA196" s="3"/>
      <c r="AB196" s="3"/>
      <c r="AC196" s="4" cm="1">
        <f t="array" ref="AC196">IF(FALSE,"True," &amp; IF(_xlfn.XLOOKUP("Src_IsAny",'Scoring_Config'!$A:$A,'Scoring_Config'!$D:$D,"Yes")="Yes",_xlfn.XLOOKUP("Src_IsAny",'Scoring_Config'!$A:$A,'Scoring_Config'!$C:$C,25),0),"False,0")</f>
        <v>0</v>
      </c>
      <c r="AD196" s="4" cm="1">
        <f t="array" ref="AD196">IF(FALSE,"True," &amp; IF(_xlfn.XLOOKUP("Src_CIDR_Le_16",'Scoring_Config'!$A:$A,'Scoring_Config'!$D:$D,"Yes")="Yes",_xlfn.XLOOKUP("Src_CIDR_Le_16",'Scoring_Config'!$A:$A,'Scoring_Config'!$C:$C,25),0),"False,0")</f>
        <v>0</v>
      </c>
      <c r="AE196" s="4" cm="1">
        <f t="array" ref="AE196">IF(FALSE,"True," &amp; IF(_xlfn.XLOOKUP("Src_CIDR_17_22",'Scoring_Config'!$A:$A,'Scoring_Config'!$D:$D,"Yes")="Yes",_xlfn.XLOOKUP("Src_CIDR_17_22",'Scoring_Config'!$A:$A,'Scoring_Config'!$C:$C,15),0),"False,0")</f>
        <v>0</v>
      </c>
      <c r="AF196" s="4" cm="1">
        <f t="array" ref="AF196">IF(FALSE,"True," &amp; IF(_xlfn.XLOOKUP("Dst_IsAny",'Scoring_Config'!$A:$A,'Scoring_Config'!$D:$D,"Yes")="Yes",_xlfn.XLOOKUP("Dst_IsAny",'Scoring_Config'!$A:$A,'Scoring_Config'!$C:$C,25),0),"False,0")</f>
        <v>0</v>
      </c>
      <c r="AG196" s="4" cm="1">
        <f t="array" ref="AG196">IF(FALSE,"True," &amp; IF(_xlfn.XLOOKUP("Dst_CIDR_Le_16",'Scoring_Config'!$A:$A,'Scoring_Config'!$D:$D,"Yes")="Yes",_xlfn.XLOOKUP("Dst_CIDR_Le_16",'Scoring_Config'!$A:$A,'Scoring_Config'!$C:$C,25),0),"False,0")</f>
        <v>0</v>
      </c>
      <c r="AH196" s="4" cm="1">
        <f t="array" ref="AH196">IF(FALSE,"True," &amp; IF(_xlfn.XLOOKUP("Dst_CIDR_17_22",'Scoring_Config'!$A:$A,'Scoring_Config'!$D:$D,"Yes")="Yes",_xlfn.XLOOKUP("Dst_CIDR_17_22",'Scoring_Config'!$A:$A,'Scoring_Config'!$C:$C,15),0),"False,0")</f>
        <v>0</v>
      </c>
      <c r="AI196" s="4" cm="1">
        <f t="array" ref="AI196">IF(FALSE,"True," &amp; IF(_xlfn.XLOOKUP("SrcZone_IsAny",'Scoring_Config'!$A:$A,'Scoring_Config'!$D:$D,"Yes")="Yes",_xlfn.XLOOKUP("SrcZone_IsAny",'Scoring_Config'!$A:$A,'Scoring_Config'!$C:$C,5),0),"False,0")</f>
        <v>0</v>
      </c>
      <c r="AJ196" s="4" cm="1">
        <f t="array" ref="AJ196">IF(FALSE,"True," &amp; IF(_xlfn.XLOOKUP("DstZone_IsAny",'Scoring_Config'!$A:$A,'Scoring_Config'!$D:$D,"Yes")="Yes",_xlfn.XLOOKUP("DstZone_IsAny",'Scoring_Config'!$A:$A,'Scoring_Config'!$C:$C,5),0),"False,0")</f>
        <v>0</v>
      </c>
      <c r="AK196" s="4" cm="1">
        <f t="array" ref="AK19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6" s="4" cm="1">
        <f t="array" ref="AL196">IF(FALSE,"True," &amp; IF(_xlfn.XLOOKUP("App_Any_OR_RangeGt1000",'Scoring_Config'!$A:$A,'Scoring_Config'!$D:$D,"Yes")="Yes",_xlfn.XLOOKUP("App_Any_OR_RangeGt1000",'Scoring_Config'!$A:$A,'Scoring_Config'!$C:$C,25),0),"False,0")</f>
        <v>0</v>
      </c>
      <c r="AM196" s="4" cm="1">
        <f t="array" ref="AM196">IF(FALSE,"True," &amp; IF(_xlfn.XLOOKUP("Service_Insecure_Match",'Scoring_Config'!$A:$A,'Scoring_Config'!$D:$D,"Yes")="Yes",_xlfn.XLOOKUP("Service_Insecure_Match",'Scoring_Config'!$A:$A,'Scoring_Config'!$C:$C,20),0),"False,0")</f>
        <v>0</v>
      </c>
      <c r="AN196" s="4" cm="1">
        <f t="array" ref="AN196">IF(FALSE,"True," &amp; IF(_xlfn.XLOOKUP("Risky_Inbound",'Scoring_Config'!$A:$A,'Scoring_Config'!$D:$D,"Yes")="Yes",_xlfn.XLOOKUP("Risky_Inbound",'Scoring_Config'!$A:$A,'Scoring_Config'!$C:$C,20),0),"False,0")</f>
        <v>0</v>
      </c>
      <c r="AO196" s="4" cm="1">
        <f t="array" ref="AO196">IF(FALSE,"True," &amp; IF(_xlfn.XLOOKUP("Risky_Outbound",'Scoring_Config'!$A:$A,'Scoring_Config'!$D:$D,"Yes")="Yes",_xlfn.XLOOKUP("Risky_Outbound",'Scoring_Config'!$A:$A,'Scoring_Config'!$C:$C,10),0),"False,0")</f>
        <v>0</v>
      </c>
      <c r="AP196" s="5" t="s">
        <v>2595</v>
      </c>
      <c r="AQ196" s="5" cm="1">
        <f t="array" ref="AQ19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6" s="5" t="s">
        <v>2598</v>
      </c>
      <c r="AS196" s="4" t="s">
        <v>2592</v>
      </c>
      <c r="AT196" s="4" t="s">
        <v>2592</v>
      </c>
      <c r="AU196" s="4" cm="1">
        <f t="array" ref="AU196">IF(FALSE,"True," &amp; IF(_xlfn.XLOOKUP("Action_IsDenyOrDrop",'Scoring_Config'!$A:$A,'Scoring_Config'!$D:$D,"Yes")="Yes",_xlfn.XLOOKUP("Action_IsDenyOrDrop",'Scoring_Config'!$A:$A,'Scoring_Config'!$C:$C,0),0),"False,0")</f>
        <v>0</v>
      </c>
      <c r="AV196" s="4"/>
      <c r="AW196" s="4" cm="1">
        <f t="array" ref="AW196">IF(FALSE,"True," &amp; IF(_xlfn.XLOOKUP("Migrate_Insecure",'Scoring_Config'!$A:$A,'Scoring_Config'!$D:$D,"Yes")="Yes",_xlfn.XLOOKUP("Migrate_Insecure",'Scoring_Config'!$A:$A,'Scoring_Config'!$C:$C,15),0),"False,0")</f>
        <v>0</v>
      </c>
      <c r="AX196" s="4"/>
      <c r="AY196" s="4" cm="1">
        <f t="array" ref="AY196">IF(FALSE,"True," &amp; IF(_xlfn.XLOOKUP("Migrate_Other_Ports",'Scoring_Config'!$A:$A,'Scoring_Config'!$D:$D,"Yes")="Yes",_xlfn.XLOOKUP("Migrate_Other_Ports",'Scoring_Config'!$A:$A,'Scoring_Config'!$C:$C,5),0),"False,0")</f>
        <v>0</v>
      </c>
      <c r="AZ196" s="4" cm="1">
        <f t="array" ref="AZ196">IF(LEFT(AU196,4)="True",0,(IF(LEFT(AC196,4)="True",IF(_xlfn.XLOOKUP("Src_IsAny",'Scoring_Config'!$A:$A,'Scoring_Config'!$D:$D,"Yes")="Yes",_xlfn.XLOOKUP("Src_IsAny",'Scoring_Config'!$A:$A,'Scoring_Config'!$C:$C,25),0),0)+IF(LEFT(AD196,4)="True",IF(_xlfn.XLOOKUP("Src_CIDR_Le_16",'Scoring_Config'!$A:$A,'Scoring_Config'!$D:$D,"Yes")="Yes",_xlfn.XLOOKUP("Src_CIDR_Le_16",'Scoring_Config'!$A:$A,'Scoring_Config'!$C:$C,25),0),0)+IF(LEFT(AE196,4)="True",IF(_xlfn.XLOOKUP("Src_CIDR_17_22",'Scoring_Config'!$A:$A,'Scoring_Config'!$D:$D,"Yes")="Yes",_xlfn.XLOOKUP("Src_CIDR_17_22",'Scoring_Config'!$A:$A,'Scoring_Config'!$C:$C,15),0),0)+IF(LEFT(AF196,4)="True",IF(_xlfn.XLOOKUP("Dst_IsAny",'Scoring_Config'!$A:$A,'Scoring_Config'!$D:$D,"Yes")="Yes",_xlfn.XLOOKUP("Dst_IsAny",'Scoring_Config'!$A:$A,'Scoring_Config'!$C:$C,25),0),0)+IF(LEFT(AG196,4)="True",IF(_xlfn.XLOOKUP("Dst_CIDR_Le_16",'Scoring_Config'!$A:$A,'Scoring_Config'!$D:$D,"Yes")="Yes",_xlfn.XLOOKUP("Dst_CIDR_Le_16",'Scoring_Config'!$A:$A,'Scoring_Config'!$C:$C,25),0),0)+IF(LEFT(AH196,4)="True",IF(_xlfn.XLOOKUP("Dst_CIDR_17_22",'Scoring_Config'!$A:$A,'Scoring_Config'!$D:$D,"Yes")="Yes",_xlfn.XLOOKUP("Dst_CIDR_17_22",'Scoring_Config'!$A:$A,'Scoring_Config'!$C:$C,15),0),0)+IF(LEFT(AI196,4)="True",IF(_xlfn.XLOOKUP("SrcZone_IsAny",'Scoring_Config'!$A:$A,'Scoring_Config'!$D:$D,"Yes")="Yes",_xlfn.XLOOKUP("SrcZone_IsAny",'Scoring_Config'!$A:$A,'Scoring_Config'!$C:$C,5),0),0)+IF(LEFT(AJ196,4)="True",IF(_xlfn.XLOOKUP("DstZone_IsAny",'Scoring_Config'!$A:$A,'Scoring_Config'!$D:$D,"Yes")="Yes",_xlfn.XLOOKUP("DstZone_IsAny",'Scoring_Config'!$A:$A,'Scoring_Config'!$C:$C,5),0),0)+IF(LEFT(AK196,4)="True",IF(_xlfn.XLOOKUP("Service_Any_OR_RangeGt1000",'Scoring_Config'!$A:$A,'Scoring_Config'!$D:$D,"Yes")="Yes",_xlfn.XLOOKUP("Service_Any_OR_RangeGt1000",'Scoring_Config'!$A:$A,'Scoring_Config'!$C:$C,25),0),0)+IF(LEFT(AL196,4)="True",IF(_xlfn.XLOOKUP("App_Any_OR_RangeGt1000",'Scoring_Config'!$A:$A,'Scoring_Config'!$D:$D,"Yes")="Yes",_xlfn.XLOOKUP("App_Any_OR_RangeGt1000",'Scoring_Config'!$A:$A,'Scoring_Config'!$C:$C,25),0),0)+IF(LEFT(AM196,4)="True",IF(_xlfn.XLOOKUP("Service_Insecure_Match",'Scoring_Config'!$A:$A,'Scoring_Config'!$D:$D,"Yes")="Yes",_xlfn.XLOOKUP("Service_Insecure_Match",'Scoring_Config'!$A:$A,'Scoring_Config'!$C:$C,20),0),0)+IF(LEFT(AN196,4)="True",IF(_xlfn.XLOOKUP("Risky_Inbound",'Scoring_Config'!$A:$A,'Scoring_Config'!$D:$D,"Yes")="Yes",_xlfn.XLOOKUP("Risky_Inbound",'Scoring_Config'!$A:$A,'Scoring_Config'!$C:$C,20),0),0)+IF(LEFT(AO196,4)="True",IF(_xlfn.XLOOKUP("Risky_Outbound",'Scoring_Config'!$A:$A,'Scoring_Config'!$D:$D,"Yes")="Yes",_xlfn.XLOOKUP("Risky_Outbound",'Scoring_Config'!$A:$A,'Scoring_Config'!$C:$C,10),0),0)+IF(LEFT(AW196,4)="True",IF(_xlfn.XLOOKUP("Migrate_Insecure",'Scoring_Config'!$A:$A,'Scoring_Config'!$D:$D,"Yes")="Yes",_xlfn.XLOOKUP("Migrate_Insecure",'Scoring_Config'!$A:$A,'Scoring_Config'!$C:$C,15),0),0)+IF(LEFT(AY196,4)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196,FIND(",",AP196)+1,100)),0)+IF(LEFT(AQ196,4)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196,FIND(",",AR196)+1,100)),0)+IF(_xlfn.XLOOKUP("Profile_Scoring",'Scoring_Config'!$A:$A,'Scoring_Config'!$D:$D,"Yes")="Yes",VALUE(MID(AS196,FIND(",",AS196)+1,100)),0)+IF(_xlfn.XLOOKUP("Options_Scoring",'Scoring_Config'!$A:$A,'Scoring_Config'!$D:$D,"Yes")="Yes",VALUE(MID(AT196,FIND(",",AT196)+1,100)),0)))</f>
        <v>0</v>
      </c>
    </row>
    <row r="197" spans="1:52">
      <c r="A197" s="3" t="s">
        <v>53</v>
      </c>
      <c r="B197" s="3" t="s">
        <v>196</v>
      </c>
      <c r="C197" s="3" t="s">
        <v>330</v>
      </c>
      <c r="D197" s="3"/>
      <c r="E197" s="3" t="s">
        <v>359</v>
      </c>
      <c r="F197" s="3" t="s">
        <v>364</v>
      </c>
      <c r="G197" s="3" t="s">
        <v>434</v>
      </c>
      <c r="H197" s="3" t="s">
        <v>434</v>
      </c>
      <c r="I197" s="3" t="s">
        <v>623</v>
      </c>
      <c r="J197" s="3" t="s">
        <v>363</v>
      </c>
      <c r="K197" s="3" t="s">
        <v>365</v>
      </c>
      <c r="L197" s="3" t="s">
        <v>365</v>
      </c>
      <c r="M197" s="3" t="s">
        <v>772</v>
      </c>
      <c r="N197" s="3" t="s">
        <v>794</v>
      </c>
      <c r="O197" s="4" t="s">
        <v>822</v>
      </c>
      <c r="P197" s="3" t="s">
        <v>883</v>
      </c>
      <c r="Q197" s="3" t="s">
        <v>905</v>
      </c>
      <c r="R197" s="3" t="s">
        <v>910</v>
      </c>
      <c r="S197" s="3" t="s">
        <v>916</v>
      </c>
      <c r="T197" s="3" t="s">
        <v>1043</v>
      </c>
      <c r="U197" s="3" t="s">
        <v>1245</v>
      </c>
      <c r="V197" s="3" t="s">
        <v>1389</v>
      </c>
      <c r="W197" s="3" t="s">
        <v>1508</v>
      </c>
      <c r="X197" s="3" t="s">
        <v>1801</v>
      </c>
      <c r="Y197" s="3" t="s">
        <v>2270</v>
      </c>
      <c r="Z197" s="3"/>
      <c r="AA197" s="3"/>
      <c r="AB197" s="3"/>
      <c r="AC197" s="4" cm="1">
        <f t="array" ref="AC197">IF(FALSE,"True," &amp; IF(_xlfn.XLOOKUP("Src_IsAny",'Scoring_Config'!$A:$A,'Scoring_Config'!$D:$D,"Yes")="Yes",_xlfn.XLOOKUP("Src_IsAny",'Scoring_Config'!$A:$A,'Scoring_Config'!$C:$C,25),0),"False,0")</f>
        <v>0</v>
      </c>
      <c r="AD197" s="4" cm="1">
        <f t="array" ref="AD197">IF(FALSE,"True," &amp; IF(_xlfn.XLOOKUP("Src_CIDR_Le_16",'Scoring_Config'!$A:$A,'Scoring_Config'!$D:$D,"Yes")="Yes",_xlfn.XLOOKUP("Src_CIDR_Le_16",'Scoring_Config'!$A:$A,'Scoring_Config'!$C:$C,25),0),"False,0")</f>
        <v>0</v>
      </c>
      <c r="AE197" s="4" cm="1">
        <f t="array" ref="AE197">IF(FALSE,"True," &amp; IF(_xlfn.XLOOKUP("Src_CIDR_17_22",'Scoring_Config'!$A:$A,'Scoring_Config'!$D:$D,"Yes")="Yes",_xlfn.XLOOKUP("Src_CIDR_17_22",'Scoring_Config'!$A:$A,'Scoring_Config'!$C:$C,15),0),"False,0")</f>
        <v>0</v>
      </c>
      <c r="AF197" s="5" cm="1">
        <f t="array" ref="AF197">IF(TRUE,"True," &amp; IF(_xlfn.XLOOKUP("Dst_IsAny",'Scoring_Config'!$A:$A,'Scoring_Config'!$D:$D,"Yes")="Yes",_xlfn.XLOOKUP("Dst_IsAny",'Scoring_Config'!$A:$A,'Scoring_Config'!$C:$C,25),0),"False,0")</f>
        <v>0</v>
      </c>
      <c r="AG197" s="4" cm="1">
        <f t="array" ref="AG197">IF(FALSE,"True," &amp; IF(_xlfn.XLOOKUP("Dst_CIDR_Le_16",'Scoring_Config'!$A:$A,'Scoring_Config'!$D:$D,"Yes")="Yes",_xlfn.XLOOKUP("Dst_CIDR_Le_16",'Scoring_Config'!$A:$A,'Scoring_Config'!$C:$C,25),0),"False,0")</f>
        <v>0</v>
      </c>
      <c r="AH197" s="4" cm="1">
        <f t="array" ref="AH197">IF(FALSE,"True," &amp; IF(_xlfn.XLOOKUP("Dst_CIDR_17_22",'Scoring_Config'!$A:$A,'Scoring_Config'!$D:$D,"Yes")="Yes",_xlfn.XLOOKUP("Dst_CIDR_17_22",'Scoring_Config'!$A:$A,'Scoring_Config'!$C:$C,15),0),"False,0")</f>
        <v>0</v>
      </c>
      <c r="AI197" s="4" cm="1">
        <f t="array" ref="AI197">IF(FALSE,"True," &amp; IF(_xlfn.XLOOKUP("SrcZone_IsAny",'Scoring_Config'!$A:$A,'Scoring_Config'!$D:$D,"Yes")="Yes",_xlfn.XLOOKUP("SrcZone_IsAny",'Scoring_Config'!$A:$A,'Scoring_Config'!$C:$C,5),0),"False,0")</f>
        <v>0</v>
      </c>
      <c r="AJ197" s="4" cm="1">
        <f t="array" ref="AJ197">IF(FALSE,"True," &amp; IF(_xlfn.XLOOKUP("DstZone_IsAny",'Scoring_Config'!$A:$A,'Scoring_Config'!$D:$D,"Yes")="Yes",_xlfn.XLOOKUP("DstZone_IsAny",'Scoring_Config'!$A:$A,'Scoring_Config'!$C:$C,5),0),"False,0")</f>
        <v>0</v>
      </c>
      <c r="AK197" s="5" cm="1">
        <f t="array" ref="AK197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97" s="4" cm="1">
        <f t="array" ref="AL197">IF(FALSE,"True," &amp; IF(_xlfn.XLOOKUP("App_Any_OR_RangeGt1000",'Scoring_Config'!$A:$A,'Scoring_Config'!$D:$D,"Yes")="Yes",_xlfn.XLOOKUP("App_Any_OR_RangeGt1000",'Scoring_Config'!$A:$A,'Scoring_Config'!$C:$C,25),0),"False,0")</f>
        <v>0</v>
      </c>
      <c r="AM197" s="5" cm="1">
        <f t="array" ref="AM197">IF(TRUE,"True," &amp; IF(_xlfn.XLOOKUP("Service_Insecure_Match",'Scoring_Config'!$A:$A,'Scoring_Config'!$D:$D,"Yes")="Yes",_xlfn.XLOOKUP("Service_Insecure_Match",'Scoring_Config'!$A:$A,'Scoring_Config'!$C:$C,20),0),"False,0")</f>
        <v>0</v>
      </c>
      <c r="AN197" s="4" cm="1">
        <f t="array" ref="AN197">IF(FALSE,"True," &amp; IF(_xlfn.XLOOKUP("Risky_Inbound",'Scoring_Config'!$A:$A,'Scoring_Config'!$D:$D,"Yes")="Yes",_xlfn.XLOOKUP("Risky_Inbound",'Scoring_Config'!$A:$A,'Scoring_Config'!$C:$C,20),0),"False,0")</f>
        <v>0</v>
      </c>
      <c r="AO197" s="4" cm="1">
        <f t="array" ref="AO197">IF(FALSE,"True," &amp; IF(_xlfn.XLOOKUP("Risky_Outbound",'Scoring_Config'!$A:$A,'Scoring_Config'!$D:$D,"Yes")="Yes",_xlfn.XLOOKUP("Risky_Outbound",'Scoring_Config'!$A:$A,'Scoring_Config'!$C:$C,10),0),"False,0")</f>
        <v>0</v>
      </c>
      <c r="AP197" s="5" t="s">
        <v>2595</v>
      </c>
      <c r="AQ197" s="4" cm="1">
        <f t="array" ref="AQ19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7" s="5" t="s">
        <v>2598</v>
      </c>
      <c r="AS197" s="4" t="s">
        <v>2592</v>
      </c>
      <c r="AT197" s="4" t="s">
        <v>2592</v>
      </c>
      <c r="AU197" s="4" cm="1">
        <f t="array" ref="AU197">IF(FALSE,"True," &amp; IF(_xlfn.XLOOKUP("Action_IsDenyOrDrop",'Scoring_Config'!$A:$A,'Scoring_Config'!$D:$D,"Yes")="Yes",_xlfn.XLOOKUP("Action_IsDenyOrDrop",'Scoring_Config'!$A:$A,'Scoring_Config'!$C:$C,0),0),"False,0")</f>
        <v>0</v>
      </c>
      <c r="AV197" s="4"/>
      <c r="AW197" s="4" cm="1">
        <f t="array" ref="AW197">IF(FALSE,"True," &amp; IF(_xlfn.XLOOKUP("Migrate_Insecure",'Scoring_Config'!$A:$A,'Scoring_Config'!$D:$D,"Yes")="Yes",_xlfn.XLOOKUP("Migrate_Insecure",'Scoring_Config'!$A:$A,'Scoring_Config'!$C:$C,15),0),"False,0")</f>
        <v>0</v>
      </c>
      <c r="AX197" s="4" t="s">
        <v>2601</v>
      </c>
      <c r="AY197" s="5" cm="1">
        <f t="array" ref="AY197">IF(TRUE,"True," &amp; IF(_xlfn.XLOOKUP("Migrate_Other_Ports",'Scoring_Config'!$A:$A,'Scoring_Config'!$D:$D,"Yes")="Yes",_xlfn.XLOOKUP("Migrate_Other_Ports",'Scoring_Config'!$A:$A,'Scoring_Config'!$C:$C,5),0),"False,0")</f>
        <v>0</v>
      </c>
      <c r="AZ197" s="4" cm="1">
        <f t="array" ref="AZ197">IF(LEFT(AU197,4)="True",0,(IF(LEFT(AC197,4)="True",IF(_xlfn.XLOOKUP("Src_IsAny",'Scoring_Config'!$A:$A,'Scoring_Config'!$D:$D,"Yes")="Yes",_xlfn.XLOOKUP("Src_IsAny",'Scoring_Config'!$A:$A,'Scoring_Config'!$C:$C,25),0),0)+IF(LEFT(AD197,4)="True",IF(_xlfn.XLOOKUP("Src_CIDR_Le_16",'Scoring_Config'!$A:$A,'Scoring_Config'!$D:$D,"Yes")="Yes",_xlfn.XLOOKUP("Src_CIDR_Le_16",'Scoring_Config'!$A:$A,'Scoring_Config'!$C:$C,25),0),0)+IF(LEFT(AE197,4)="True",IF(_xlfn.XLOOKUP("Src_CIDR_17_22",'Scoring_Config'!$A:$A,'Scoring_Config'!$D:$D,"Yes")="Yes",_xlfn.XLOOKUP("Src_CIDR_17_22",'Scoring_Config'!$A:$A,'Scoring_Config'!$C:$C,15),0),0)+IF(LEFT(AF197,4)="True",IF(_xlfn.XLOOKUP("Dst_IsAny",'Scoring_Config'!$A:$A,'Scoring_Config'!$D:$D,"Yes")="Yes",_xlfn.XLOOKUP("Dst_IsAny",'Scoring_Config'!$A:$A,'Scoring_Config'!$C:$C,25),0),0)+IF(LEFT(AG197,4)="True",IF(_xlfn.XLOOKUP("Dst_CIDR_Le_16",'Scoring_Config'!$A:$A,'Scoring_Config'!$D:$D,"Yes")="Yes",_xlfn.XLOOKUP("Dst_CIDR_Le_16",'Scoring_Config'!$A:$A,'Scoring_Config'!$C:$C,25),0),0)+IF(LEFT(AH197,4)="True",IF(_xlfn.XLOOKUP("Dst_CIDR_17_22",'Scoring_Config'!$A:$A,'Scoring_Config'!$D:$D,"Yes")="Yes",_xlfn.XLOOKUP("Dst_CIDR_17_22",'Scoring_Config'!$A:$A,'Scoring_Config'!$C:$C,15),0),0)+IF(LEFT(AI197,4)="True",IF(_xlfn.XLOOKUP("SrcZone_IsAny",'Scoring_Config'!$A:$A,'Scoring_Config'!$D:$D,"Yes")="Yes",_xlfn.XLOOKUP("SrcZone_IsAny",'Scoring_Config'!$A:$A,'Scoring_Config'!$C:$C,5),0),0)+IF(LEFT(AJ197,4)="True",IF(_xlfn.XLOOKUP("DstZone_IsAny",'Scoring_Config'!$A:$A,'Scoring_Config'!$D:$D,"Yes")="Yes",_xlfn.XLOOKUP("DstZone_IsAny",'Scoring_Config'!$A:$A,'Scoring_Config'!$C:$C,5),0),0)+IF(LEFT(AK197,4)="True",IF(_xlfn.XLOOKUP("Service_Any_OR_RangeGt1000",'Scoring_Config'!$A:$A,'Scoring_Config'!$D:$D,"Yes")="Yes",_xlfn.XLOOKUP("Service_Any_OR_RangeGt1000",'Scoring_Config'!$A:$A,'Scoring_Config'!$C:$C,25),0),0)+IF(LEFT(AL197,4)="True",IF(_xlfn.XLOOKUP("App_Any_OR_RangeGt1000",'Scoring_Config'!$A:$A,'Scoring_Config'!$D:$D,"Yes")="Yes",_xlfn.XLOOKUP("App_Any_OR_RangeGt1000",'Scoring_Config'!$A:$A,'Scoring_Config'!$C:$C,25),0),0)+IF(LEFT(AM197,4)="True",IF(_xlfn.XLOOKUP("Service_Insecure_Match",'Scoring_Config'!$A:$A,'Scoring_Config'!$D:$D,"Yes")="Yes",_xlfn.XLOOKUP("Service_Insecure_Match",'Scoring_Config'!$A:$A,'Scoring_Config'!$C:$C,20),0),0)+IF(LEFT(AN197,4)="True",IF(_xlfn.XLOOKUP("Risky_Inbound",'Scoring_Config'!$A:$A,'Scoring_Config'!$D:$D,"Yes")="Yes",_xlfn.XLOOKUP("Risky_Inbound",'Scoring_Config'!$A:$A,'Scoring_Config'!$C:$C,20),0),0)+IF(LEFT(AO197,4)="True",IF(_xlfn.XLOOKUP("Risky_Outbound",'Scoring_Config'!$A:$A,'Scoring_Config'!$D:$D,"Yes")="Yes",_xlfn.XLOOKUP("Risky_Outbound",'Scoring_Config'!$A:$A,'Scoring_Config'!$C:$C,10),0),0)+IF(LEFT(AW197,4)="True",IF(_xlfn.XLOOKUP("Migrate_Insecure",'Scoring_Config'!$A:$A,'Scoring_Config'!$D:$D,"Yes")="Yes",_xlfn.XLOOKUP("Migrate_Insecure",'Scoring_Config'!$A:$A,'Scoring_Config'!$C:$C,15),0),0)+IF(LEFT(AY197,4)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197,FIND(",",AP197)+1,100)),0)+IF(LEFT(AQ197,4)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197,FIND(",",AR197)+1,100)),0)+IF(_xlfn.XLOOKUP("Profile_Scoring",'Scoring_Config'!$A:$A,'Scoring_Config'!$D:$D,"Yes")="Yes",VALUE(MID(AS197,FIND(",",AS197)+1,100)),0)+IF(_xlfn.XLOOKUP("Options_Scoring",'Scoring_Config'!$A:$A,'Scoring_Config'!$D:$D,"Yes")="Yes",VALUE(MID(AT197,FIND(",",AT197)+1,100)),0)))</f>
        <v>0</v>
      </c>
    </row>
    <row r="198" spans="1:52">
      <c r="A198" s="3" t="s">
        <v>53</v>
      </c>
      <c r="B198" s="3" t="s">
        <v>157</v>
      </c>
      <c r="C198" s="3" t="s">
        <v>330</v>
      </c>
      <c r="D198" s="3"/>
      <c r="E198" s="3" t="s">
        <v>359</v>
      </c>
      <c r="F198" s="3" t="s">
        <v>362</v>
      </c>
      <c r="G198" s="3" t="s">
        <v>438</v>
      </c>
      <c r="H198" s="3" t="s">
        <v>438</v>
      </c>
      <c r="I198" s="3" t="s">
        <v>625</v>
      </c>
      <c r="J198" s="3" t="s">
        <v>364</v>
      </c>
      <c r="K198" s="3" t="s">
        <v>365</v>
      </c>
      <c r="L198" s="3" t="s">
        <v>365</v>
      </c>
      <c r="M198" s="3" t="s">
        <v>776</v>
      </c>
      <c r="N198" s="3" t="s">
        <v>791</v>
      </c>
      <c r="O198" s="4" t="s">
        <v>818</v>
      </c>
      <c r="P198" s="3" t="s">
        <v>879</v>
      </c>
      <c r="Q198" s="3" t="s">
        <v>905</v>
      </c>
      <c r="R198" s="3" t="s">
        <v>907</v>
      </c>
      <c r="S198" s="3" t="s">
        <v>912</v>
      </c>
      <c r="T198" s="3" t="s">
        <v>1044</v>
      </c>
      <c r="U198" s="3" t="s">
        <v>1246</v>
      </c>
      <c r="V198" s="3" t="s">
        <v>1388</v>
      </c>
      <c r="W198" s="3" t="s">
        <v>1444</v>
      </c>
      <c r="X198" s="3" t="s">
        <v>1802</v>
      </c>
      <c r="Y198" s="3" t="s">
        <v>2271</v>
      </c>
      <c r="Z198" s="3"/>
      <c r="AA198" s="3"/>
      <c r="AB198" s="3"/>
      <c r="AC198" s="4" cm="1">
        <f t="array" ref="AC198">IF(FALSE,"True," &amp; IF(_xlfn.XLOOKUP("Src_IsAny",'Scoring_Config'!$A:$A,'Scoring_Config'!$D:$D,"Yes")="Yes",_xlfn.XLOOKUP("Src_IsAny",'Scoring_Config'!$A:$A,'Scoring_Config'!$C:$C,25),0),"False,0")</f>
        <v>0</v>
      </c>
      <c r="AD198" s="5" cm="1">
        <f t="array" ref="AD198">IF(TRUE,"True," &amp; IF(_xlfn.XLOOKUP("Src_CIDR_Le_16",'Scoring_Config'!$A:$A,'Scoring_Config'!$D:$D,"Yes")="Yes",_xlfn.XLOOKUP("Src_CIDR_Le_16",'Scoring_Config'!$A:$A,'Scoring_Config'!$C:$C,25),0),"False,0")</f>
        <v>0</v>
      </c>
      <c r="AE198" s="4" cm="1">
        <f t="array" ref="AE198">IF(FALSE,"True," &amp; IF(_xlfn.XLOOKUP("Src_CIDR_17_22",'Scoring_Config'!$A:$A,'Scoring_Config'!$D:$D,"Yes")="Yes",_xlfn.XLOOKUP("Src_CIDR_17_22",'Scoring_Config'!$A:$A,'Scoring_Config'!$C:$C,15),0),"False,0")</f>
        <v>0</v>
      </c>
      <c r="AF198" s="5" cm="1">
        <f t="array" ref="AF198">IF(TRUE,"True," &amp; IF(_xlfn.XLOOKUP("Dst_IsAny",'Scoring_Config'!$A:$A,'Scoring_Config'!$D:$D,"Yes")="Yes",_xlfn.XLOOKUP("Dst_IsAny",'Scoring_Config'!$A:$A,'Scoring_Config'!$C:$C,25),0),"False,0")</f>
        <v>0</v>
      </c>
      <c r="AG198" s="4" cm="1">
        <f t="array" ref="AG198">IF(FALSE,"True," &amp; IF(_xlfn.XLOOKUP("Dst_CIDR_Le_16",'Scoring_Config'!$A:$A,'Scoring_Config'!$D:$D,"Yes")="Yes",_xlfn.XLOOKUP("Dst_CIDR_Le_16",'Scoring_Config'!$A:$A,'Scoring_Config'!$C:$C,25),0),"False,0")</f>
        <v>0</v>
      </c>
      <c r="AH198" s="4" cm="1">
        <f t="array" ref="AH198">IF(FALSE,"True," &amp; IF(_xlfn.XLOOKUP("Dst_CIDR_17_22",'Scoring_Config'!$A:$A,'Scoring_Config'!$D:$D,"Yes")="Yes",_xlfn.XLOOKUP("Dst_CIDR_17_22",'Scoring_Config'!$A:$A,'Scoring_Config'!$C:$C,15),0),"False,0")</f>
        <v>0</v>
      </c>
      <c r="AI198" s="4" cm="1">
        <f t="array" ref="AI198">IF(FALSE,"True," &amp; IF(_xlfn.XLOOKUP("SrcZone_IsAny",'Scoring_Config'!$A:$A,'Scoring_Config'!$D:$D,"Yes")="Yes",_xlfn.XLOOKUP("SrcZone_IsAny",'Scoring_Config'!$A:$A,'Scoring_Config'!$C:$C,5),0),"False,0")</f>
        <v>0</v>
      </c>
      <c r="AJ198" s="4" cm="1">
        <f t="array" ref="AJ198">IF(FALSE,"True," &amp; IF(_xlfn.XLOOKUP("DstZone_IsAny",'Scoring_Config'!$A:$A,'Scoring_Config'!$D:$D,"Yes")="Yes",_xlfn.XLOOKUP("DstZone_IsAny",'Scoring_Config'!$A:$A,'Scoring_Config'!$C:$C,5),0),"False,0")</f>
        <v>0</v>
      </c>
      <c r="AK198" s="5" cm="1">
        <f t="array" ref="AK198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198" s="5" cm="1">
        <f t="array" ref="AL198">IF(TRUE,"True," &amp; IF(_xlfn.XLOOKUP("App_Any_OR_RangeGt1000",'Scoring_Config'!$A:$A,'Scoring_Config'!$D:$D,"Yes")="Yes",_xlfn.XLOOKUP("App_Any_OR_RangeGt1000",'Scoring_Config'!$A:$A,'Scoring_Config'!$C:$C,25),0),"False,0")</f>
        <v>0</v>
      </c>
      <c r="AM198" s="5" cm="1">
        <f t="array" ref="AM198">IF(TRUE,"True," &amp; IF(_xlfn.XLOOKUP("Service_Insecure_Match",'Scoring_Config'!$A:$A,'Scoring_Config'!$D:$D,"Yes")="Yes",_xlfn.XLOOKUP("Service_Insecure_Match",'Scoring_Config'!$A:$A,'Scoring_Config'!$C:$C,20),0),"False,0")</f>
        <v>0</v>
      </c>
      <c r="AN198" s="4" cm="1">
        <f t="array" ref="AN198">IF(FALSE,"True," &amp; IF(_xlfn.XLOOKUP("Risky_Inbound",'Scoring_Config'!$A:$A,'Scoring_Config'!$D:$D,"Yes")="Yes",_xlfn.XLOOKUP("Risky_Inbound",'Scoring_Config'!$A:$A,'Scoring_Config'!$C:$C,20),0),"False,0")</f>
        <v>0</v>
      </c>
      <c r="AO198" s="4" cm="1">
        <f t="array" ref="AO198">IF(FALSE,"True," &amp; IF(_xlfn.XLOOKUP("Risky_Outbound",'Scoring_Config'!$A:$A,'Scoring_Config'!$D:$D,"Yes")="Yes",_xlfn.XLOOKUP("Risky_Outbound",'Scoring_Config'!$A:$A,'Scoring_Config'!$C:$C,10),0),"False,0")</f>
        <v>0</v>
      </c>
      <c r="AP198" s="5" t="s">
        <v>2595</v>
      </c>
      <c r="AQ198" s="4" cm="1">
        <f t="array" ref="AQ19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8" s="5" t="s">
        <v>2598</v>
      </c>
      <c r="AS198" s="5" t="s">
        <v>2595</v>
      </c>
      <c r="AT198" s="4" t="s">
        <v>2592</v>
      </c>
      <c r="AU198" s="4" cm="1">
        <f t="array" ref="AU198">IF(FALSE,"True," &amp; IF(_xlfn.XLOOKUP("Action_IsDenyOrDrop",'Scoring_Config'!$A:$A,'Scoring_Config'!$D:$D,"Yes")="Yes",_xlfn.XLOOKUP("Action_IsDenyOrDrop",'Scoring_Config'!$A:$A,'Scoring_Config'!$C:$C,0),0),"False,0")</f>
        <v>0</v>
      </c>
      <c r="AV198" s="4"/>
      <c r="AW198" s="4" cm="1">
        <f t="array" ref="AW198">IF(FALSE,"True," &amp; IF(_xlfn.XLOOKUP("Migrate_Insecure",'Scoring_Config'!$A:$A,'Scoring_Config'!$D:$D,"Yes")="Yes",_xlfn.XLOOKUP("Migrate_Insecure",'Scoring_Config'!$A:$A,'Scoring_Config'!$C:$C,15),0),"False,0")</f>
        <v>0</v>
      </c>
      <c r="AX198" s="4"/>
      <c r="AY198" s="4" cm="1">
        <f t="array" ref="AY198">IF(FALSE,"True," &amp; IF(_xlfn.XLOOKUP("Migrate_Other_Ports",'Scoring_Config'!$A:$A,'Scoring_Config'!$D:$D,"Yes")="Yes",_xlfn.XLOOKUP("Migrate_Other_Ports",'Scoring_Config'!$A:$A,'Scoring_Config'!$C:$C,5),0),"False,0")</f>
        <v>0</v>
      </c>
      <c r="AZ198" s="4" cm="1">
        <f t="array" ref="AZ198">IF(LEFT(AU198,4)="True",0,(IF(LEFT(AC198,4)="True",IF(_xlfn.XLOOKUP("Src_IsAny",'Scoring_Config'!$A:$A,'Scoring_Config'!$D:$D,"Yes")="Yes",_xlfn.XLOOKUP("Src_IsAny",'Scoring_Config'!$A:$A,'Scoring_Config'!$C:$C,25),0),0)+IF(LEFT(AD198,4)="True",IF(_xlfn.XLOOKUP("Src_CIDR_Le_16",'Scoring_Config'!$A:$A,'Scoring_Config'!$D:$D,"Yes")="Yes",_xlfn.XLOOKUP("Src_CIDR_Le_16",'Scoring_Config'!$A:$A,'Scoring_Config'!$C:$C,25),0),0)+IF(LEFT(AE198,4)="True",IF(_xlfn.XLOOKUP("Src_CIDR_17_22",'Scoring_Config'!$A:$A,'Scoring_Config'!$D:$D,"Yes")="Yes",_xlfn.XLOOKUP("Src_CIDR_17_22",'Scoring_Config'!$A:$A,'Scoring_Config'!$C:$C,15),0),0)+IF(LEFT(AF198,4)="True",IF(_xlfn.XLOOKUP("Dst_IsAny",'Scoring_Config'!$A:$A,'Scoring_Config'!$D:$D,"Yes")="Yes",_xlfn.XLOOKUP("Dst_IsAny",'Scoring_Config'!$A:$A,'Scoring_Config'!$C:$C,25),0),0)+IF(LEFT(AG198,4)="True",IF(_xlfn.XLOOKUP("Dst_CIDR_Le_16",'Scoring_Config'!$A:$A,'Scoring_Config'!$D:$D,"Yes")="Yes",_xlfn.XLOOKUP("Dst_CIDR_Le_16",'Scoring_Config'!$A:$A,'Scoring_Config'!$C:$C,25),0),0)+IF(LEFT(AH198,4)="True",IF(_xlfn.XLOOKUP("Dst_CIDR_17_22",'Scoring_Config'!$A:$A,'Scoring_Config'!$D:$D,"Yes")="Yes",_xlfn.XLOOKUP("Dst_CIDR_17_22",'Scoring_Config'!$A:$A,'Scoring_Config'!$C:$C,15),0),0)+IF(LEFT(AI198,4)="True",IF(_xlfn.XLOOKUP("SrcZone_IsAny",'Scoring_Config'!$A:$A,'Scoring_Config'!$D:$D,"Yes")="Yes",_xlfn.XLOOKUP("SrcZone_IsAny",'Scoring_Config'!$A:$A,'Scoring_Config'!$C:$C,5),0),0)+IF(LEFT(AJ198,4)="True",IF(_xlfn.XLOOKUP("DstZone_IsAny",'Scoring_Config'!$A:$A,'Scoring_Config'!$D:$D,"Yes")="Yes",_xlfn.XLOOKUP("DstZone_IsAny",'Scoring_Config'!$A:$A,'Scoring_Config'!$C:$C,5),0),0)+IF(LEFT(AK198,4)="True",IF(_xlfn.XLOOKUP("Service_Any_OR_RangeGt1000",'Scoring_Config'!$A:$A,'Scoring_Config'!$D:$D,"Yes")="Yes",_xlfn.XLOOKUP("Service_Any_OR_RangeGt1000",'Scoring_Config'!$A:$A,'Scoring_Config'!$C:$C,25),0),0)+IF(LEFT(AL198,4)="True",IF(_xlfn.XLOOKUP("App_Any_OR_RangeGt1000",'Scoring_Config'!$A:$A,'Scoring_Config'!$D:$D,"Yes")="Yes",_xlfn.XLOOKUP("App_Any_OR_RangeGt1000",'Scoring_Config'!$A:$A,'Scoring_Config'!$C:$C,25),0),0)+IF(LEFT(AM198,4)="True",IF(_xlfn.XLOOKUP("Service_Insecure_Match",'Scoring_Config'!$A:$A,'Scoring_Config'!$D:$D,"Yes")="Yes",_xlfn.XLOOKUP("Service_Insecure_Match",'Scoring_Config'!$A:$A,'Scoring_Config'!$C:$C,20),0),0)+IF(LEFT(AN198,4)="True",IF(_xlfn.XLOOKUP("Risky_Inbound",'Scoring_Config'!$A:$A,'Scoring_Config'!$D:$D,"Yes")="Yes",_xlfn.XLOOKUP("Risky_Inbound",'Scoring_Config'!$A:$A,'Scoring_Config'!$C:$C,20),0),0)+IF(LEFT(AO198,4)="True",IF(_xlfn.XLOOKUP("Risky_Outbound",'Scoring_Config'!$A:$A,'Scoring_Config'!$D:$D,"Yes")="Yes",_xlfn.XLOOKUP("Risky_Outbound",'Scoring_Config'!$A:$A,'Scoring_Config'!$C:$C,10),0),0)+IF(LEFT(AW198,4)="True",IF(_xlfn.XLOOKUP("Migrate_Insecure",'Scoring_Config'!$A:$A,'Scoring_Config'!$D:$D,"Yes")="Yes",_xlfn.XLOOKUP("Migrate_Insecure",'Scoring_Config'!$A:$A,'Scoring_Config'!$C:$C,15),0),0)+IF(LEFT(AY198,4)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198,FIND(",",AP198)+1,100)),0)+IF(LEFT(AQ198,4)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198,FIND(",",AR198)+1,100)),0)+IF(_xlfn.XLOOKUP("Profile_Scoring",'Scoring_Config'!$A:$A,'Scoring_Config'!$D:$D,"Yes")="Yes",VALUE(MID(AS198,FIND(",",AS198)+1,100)),0)+IF(_xlfn.XLOOKUP("Options_Scoring",'Scoring_Config'!$A:$A,'Scoring_Config'!$D:$D,"Yes")="Yes",VALUE(MID(AT198,FIND(",",AT198)+1,100)),0)))</f>
        <v>0</v>
      </c>
    </row>
    <row r="199" spans="1:52">
      <c r="A199" s="3" t="s">
        <v>53</v>
      </c>
      <c r="B199" s="3" t="s">
        <v>197</v>
      </c>
      <c r="C199" s="3" t="s">
        <v>330</v>
      </c>
      <c r="D199" s="3"/>
      <c r="E199" s="3" t="s">
        <v>359</v>
      </c>
      <c r="F199" s="3" t="s">
        <v>362</v>
      </c>
      <c r="G199" s="3" t="s">
        <v>439</v>
      </c>
      <c r="H199" s="3" t="s">
        <v>418</v>
      </c>
      <c r="I199" s="3" t="s">
        <v>624</v>
      </c>
      <c r="J199" s="3" t="s">
        <v>362</v>
      </c>
      <c r="K199" s="3" t="s">
        <v>365</v>
      </c>
      <c r="L199" s="3" t="s">
        <v>365</v>
      </c>
      <c r="M199" s="3" t="s">
        <v>772</v>
      </c>
      <c r="N199" s="3" t="s">
        <v>794</v>
      </c>
      <c r="O199" s="4" t="s">
        <v>801</v>
      </c>
      <c r="P199" s="3" t="s">
        <v>862</v>
      </c>
      <c r="Q199" s="3" t="s">
        <v>905</v>
      </c>
      <c r="R199" s="3" t="s">
        <v>907</v>
      </c>
      <c r="S199" s="3" t="s">
        <v>916</v>
      </c>
      <c r="T199" s="3" t="s">
        <v>1045</v>
      </c>
      <c r="U199" s="3" t="s">
        <v>1145</v>
      </c>
      <c r="V199" s="3" t="s">
        <v>772</v>
      </c>
      <c r="W199" s="3" t="s">
        <v>1509</v>
      </c>
      <c r="X199" s="3" t="s">
        <v>1803</v>
      </c>
      <c r="Y199" s="3" t="s">
        <v>2272</v>
      </c>
      <c r="Z199" s="3"/>
      <c r="AA199" s="3"/>
      <c r="AB199" s="3"/>
      <c r="AC199" s="4" cm="1">
        <f t="array" ref="AC199">IF(FALSE,"True," &amp; IF(_xlfn.XLOOKUP("Src_IsAny",'Scoring_Config'!$A:$A,'Scoring_Config'!$D:$D,"Yes")="Yes",_xlfn.XLOOKUP("Src_IsAny",'Scoring_Config'!$A:$A,'Scoring_Config'!$C:$C,25),0),"False,0")</f>
        <v>0</v>
      </c>
      <c r="AD199" s="5" cm="1">
        <f t="array" ref="AD199">IF(TRUE,"True," &amp; IF(_xlfn.XLOOKUP("Src_CIDR_Le_16",'Scoring_Config'!$A:$A,'Scoring_Config'!$D:$D,"Yes")="Yes",_xlfn.XLOOKUP("Src_CIDR_Le_16",'Scoring_Config'!$A:$A,'Scoring_Config'!$C:$C,25),0),"False,0")</f>
        <v>0</v>
      </c>
      <c r="AE199" s="4" cm="1">
        <f t="array" ref="AE199">IF(FALSE,"True," &amp; IF(_xlfn.XLOOKUP("Src_CIDR_17_22",'Scoring_Config'!$A:$A,'Scoring_Config'!$D:$D,"Yes")="Yes",_xlfn.XLOOKUP("Src_CIDR_17_22",'Scoring_Config'!$A:$A,'Scoring_Config'!$C:$C,15),0),"False,0")</f>
        <v>0</v>
      </c>
      <c r="AF199" s="5" cm="1">
        <f t="array" ref="AF199">IF(TRUE,"True," &amp; IF(_xlfn.XLOOKUP("Dst_IsAny",'Scoring_Config'!$A:$A,'Scoring_Config'!$D:$D,"Yes")="Yes",_xlfn.XLOOKUP("Dst_IsAny",'Scoring_Config'!$A:$A,'Scoring_Config'!$C:$C,25),0),"False,0")</f>
        <v>0</v>
      </c>
      <c r="AG199" s="4" cm="1">
        <f t="array" ref="AG199">IF(FALSE,"True," &amp; IF(_xlfn.XLOOKUP("Dst_CIDR_Le_16",'Scoring_Config'!$A:$A,'Scoring_Config'!$D:$D,"Yes")="Yes",_xlfn.XLOOKUP("Dst_CIDR_Le_16",'Scoring_Config'!$A:$A,'Scoring_Config'!$C:$C,25),0),"False,0")</f>
        <v>0</v>
      </c>
      <c r="AH199" s="4" cm="1">
        <f t="array" ref="AH199">IF(FALSE,"True," &amp; IF(_xlfn.XLOOKUP("Dst_CIDR_17_22",'Scoring_Config'!$A:$A,'Scoring_Config'!$D:$D,"Yes")="Yes",_xlfn.XLOOKUP("Dst_CIDR_17_22",'Scoring_Config'!$A:$A,'Scoring_Config'!$C:$C,15),0),"False,0")</f>
        <v>0</v>
      </c>
      <c r="AI199" s="4" cm="1">
        <f t="array" ref="AI199">IF(FALSE,"True," &amp; IF(_xlfn.XLOOKUP("SrcZone_IsAny",'Scoring_Config'!$A:$A,'Scoring_Config'!$D:$D,"Yes")="Yes",_xlfn.XLOOKUP("SrcZone_IsAny",'Scoring_Config'!$A:$A,'Scoring_Config'!$C:$C,5),0),"False,0")</f>
        <v>0</v>
      </c>
      <c r="AJ199" s="4" cm="1">
        <f t="array" ref="AJ199">IF(FALSE,"True," &amp; IF(_xlfn.XLOOKUP("DstZone_IsAny",'Scoring_Config'!$A:$A,'Scoring_Config'!$D:$D,"Yes")="Yes",_xlfn.XLOOKUP("DstZone_IsAny",'Scoring_Config'!$A:$A,'Scoring_Config'!$C:$C,5),0),"False,0")</f>
        <v>0</v>
      </c>
      <c r="AK199" s="4" cm="1">
        <f t="array" ref="AK19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199" s="4" cm="1">
        <f t="array" ref="AL199">IF(FALSE,"True," &amp; IF(_xlfn.XLOOKUP("App_Any_OR_RangeGt1000",'Scoring_Config'!$A:$A,'Scoring_Config'!$D:$D,"Yes")="Yes",_xlfn.XLOOKUP("App_Any_OR_RangeGt1000",'Scoring_Config'!$A:$A,'Scoring_Config'!$C:$C,25),0),"False,0")</f>
        <v>0</v>
      </c>
      <c r="AM199" s="5" cm="1">
        <f t="array" ref="AM199">IF(TRUE,"True," &amp; IF(_xlfn.XLOOKUP("Service_Insecure_Match",'Scoring_Config'!$A:$A,'Scoring_Config'!$D:$D,"Yes")="Yes",_xlfn.XLOOKUP("Service_Insecure_Match",'Scoring_Config'!$A:$A,'Scoring_Config'!$C:$C,20),0),"False,0")</f>
        <v>0</v>
      </c>
      <c r="AN199" s="4" cm="1">
        <f t="array" ref="AN199">IF(FALSE,"True," &amp; IF(_xlfn.XLOOKUP("Risky_Inbound",'Scoring_Config'!$A:$A,'Scoring_Config'!$D:$D,"Yes")="Yes",_xlfn.XLOOKUP("Risky_Inbound",'Scoring_Config'!$A:$A,'Scoring_Config'!$C:$C,20),0),"False,0")</f>
        <v>0</v>
      </c>
      <c r="AO199" s="4" cm="1">
        <f t="array" ref="AO199">IF(FALSE,"True," &amp; IF(_xlfn.XLOOKUP("Risky_Outbound",'Scoring_Config'!$A:$A,'Scoring_Config'!$D:$D,"Yes")="Yes",_xlfn.XLOOKUP("Risky_Outbound",'Scoring_Config'!$A:$A,'Scoring_Config'!$C:$C,10),0),"False,0")</f>
        <v>0</v>
      </c>
      <c r="AP199" s="5" t="s">
        <v>2595</v>
      </c>
      <c r="AQ199" s="5" cm="1">
        <f t="array" ref="AQ19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199" s="5" t="s">
        <v>2598</v>
      </c>
      <c r="AS199" s="5" t="s">
        <v>2595</v>
      </c>
      <c r="AT199" s="4" t="s">
        <v>2592</v>
      </c>
      <c r="AU199" s="4" cm="1">
        <f t="array" ref="AU199">IF(FALSE,"True," &amp; IF(_xlfn.XLOOKUP("Action_IsDenyOrDrop",'Scoring_Config'!$A:$A,'Scoring_Config'!$D:$D,"Yes")="Yes",_xlfn.XLOOKUP("Action_IsDenyOrDrop",'Scoring_Config'!$A:$A,'Scoring_Config'!$C:$C,0),0),"False,0")</f>
        <v>0</v>
      </c>
      <c r="AV199" s="4"/>
      <c r="AW199" s="4" cm="1">
        <f t="array" ref="AW199">IF(FALSE,"True," &amp; IF(_xlfn.XLOOKUP("Migrate_Insecure",'Scoring_Config'!$A:$A,'Scoring_Config'!$D:$D,"Yes")="Yes",_xlfn.XLOOKUP("Migrate_Insecure",'Scoring_Config'!$A:$A,'Scoring_Config'!$C:$C,15),0),"False,0")</f>
        <v>0</v>
      </c>
      <c r="AX199" s="4"/>
      <c r="AY199" s="4" cm="1">
        <f t="array" ref="AY199">IF(FALSE,"True," &amp; IF(_xlfn.XLOOKUP("Migrate_Other_Ports",'Scoring_Config'!$A:$A,'Scoring_Config'!$D:$D,"Yes")="Yes",_xlfn.XLOOKUP("Migrate_Other_Ports",'Scoring_Config'!$A:$A,'Scoring_Config'!$C:$C,5),0),"False,0")</f>
        <v>0</v>
      </c>
      <c r="AZ199" s="4" cm="1">
        <f t="array" ref="AZ199">IF(LEFT(AU199,4)="True",0,(IF(LEFT(AC199,4)="True",IF(_xlfn.XLOOKUP("Src_IsAny",'Scoring_Config'!$A:$A,'Scoring_Config'!$D:$D,"Yes")="Yes",_xlfn.XLOOKUP("Src_IsAny",'Scoring_Config'!$A:$A,'Scoring_Config'!$C:$C,25),0),0)+IF(LEFT(AD199,4)="True",IF(_xlfn.XLOOKUP("Src_CIDR_Le_16",'Scoring_Config'!$A:$A,'Scoring_Config'!$D:$D,"Yes")="Yes",_xlfn.XLOOKUP("Src_CIDR_Le_16",'Scoring_Config'!$A:$A,'Scoring_Config'!$C:$C,25),0),0)+IF(LEFT(AE199,4)="True",IF(_xlfn.XLOOKUP("Src_CIDR_17_22",'Scoring_Config'!$A:$A,'Scoring_Config'!$D:$D,"Yes")="Yes",_xlfn.XLOOKUP("Src_CIDR_17_22",'Scoring_Config'!$A:$A,'Scoring_Config'!$C:$C,15),0),0)+IF(LEFT(AF199,4)="True",IF(_xlfn.XLOOKUP("Dst_IsAny",'Scoring_Config'!$A:$A,'Scoring_Config'!$D:$D,"Yes")="Yes",_xlfn.XLOOKUP("Dst_IsAny",'Scoring_Config'!$A:$A,'Scoring_Config'!$C:$C,25),0),0)+IF(LEFT(AG199,4)="True",IF(_xlfn.XLOOKUP("Dst_CIDR_Le_16",'Scoring_Config'!$A:$A,'Scoring_Config'!$D:$D,"Yes")="Yes",_xlfn.XLOOKUP("Dst_CIDR_Le_16",'Scoring_Config'!$A:$A,'Scoring_Config'!$C:$C,25),0),0)+IF(LEFT(AH199,4)="True",IF(_xlfn.XLOOKUP("Dst_CIDR_17_22",'Scoring_Config'!$A:$A,'Scoring_Config'!$D:$D,"Yes")="Yes",_xlfn.XLOOKUP("Dst_CIDR_17_22",'Scoring_Config'!$A:$A,'Scoring_Config'!$C:$C,15),0),0)+IF(LEFT(AI199,4)="True",IF(_xlfn.XLOOKUP("SrcZone_IsAny",'Scoring_Config'!$A:$A,'Scoring_Config'!$D:$D,"Yes")="Yes",_xlfn.XLOOKUP("SrcZone_IsAny",'Scoring_Config'!$A:$A,'Scoring_Config'!$C:$C,5),0),0)+IF(LEFT(AJ199,4)="True",IF(_xlfn.XLOOKUP("DstZone_IsAny",'Scoring_Config'!$A:$A,'Scoring_Config'!$D:$D,"Yes")="Yes",_xlfn.XLOOKUP("DstZone_IsAny",'Scoring_Config'!$A:$A,'Scoring_Config'!$C:$C,5),0),0)+IF(LEFT(AK199,4)="True",IF(_xlfn.XLOOKUP("Service_Any_OR_RangeGt1000",'Scoring_Config'!$A:$A,'Scoring_Config'!$D:$D,"Yes")="Yes",_xlfn.XLOOKUP("Service_Any_OR_RangeGt1000",'Scoring_Config'!$A:$A,'Scoring_Config'!$C:$C,25),0),0)+IF(LEFT(AL199,4)="True",IF(_xlfn.XLOOKUP("App_Any_OR_RangeGt1000",'Scoring_Config'!$A:$A,'Scoring_Config'!$D:$D,"Yes")="Yes",_xlfn.XLOOKUP("App_Any_OR_RangeGt1000",'Scoring_Config'!$A:$A,'Scoring_Config'!$C:$C,25),0),0)+IF(LEFT(AM199,4)="True",IF(_xlfn.XLOOKUP("Service_Insecure_Match",'Scoring_Config'!$A:$A,'Scoring_Config'!$D:$D,"Yes")="Yes",_xlfn.XLOOKUP("Service_Insecure_Match",'Scoring_Config'!$A:$A,'Scoring_Config'!$C:$C,20),0),0)+IF(LEFT(AN199,4)="True",IF(_xlfn.XLOOKUP("Risky_Inbound",'Scoring_Config'!$A:$A,'Scoring_Config'!$D:$D,"Yes")="Yes",_xlfn.XLOOKUP("Risky_Inbound",'Scoring_Config'!$A:$A,'Scoring_Config'!$C:$C,20),0),0)+IF(LEFT(AO199,4)="True",IF(_xlfn.XLOOKUP("Risky_Outbound",'Scoring_Config'!$A:$A,'Scoring_Config'!$D:$D,"Yes")="Yes",_xlfn.XLOOKUP("Risky_Outbound",'Scoring_Config'!$A:$A,'Scoring_Config'!$C:$C,10),0),0)+IF(LEFT(AW199,4)="True",IF(_xlfn.XLOOKUP("Migrate_Insecure",'Scoring_Config'!$A:$A,'Scoring_Config'!$D:$D,"Yes")="Yes",_xlfn.XLOOKUP("Migrate_Insecure",'Scoring_Config'!$A:$A,'Scoring_Config'!$C:$C,15),0),0)+IF(LEFT(AY199,4)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199,FIND(",",AP199)+1,100)),0)+IF(LEFT(AQ199,4)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199,FIND(",",AR199)+1,100)),0)+IF(_xlfn.XLOOKUP("Profile_Scoring",'Scoring_Config'!$A:$A,'Scoring_Config'!$D:$D,"Yes")="Yes",VALUE(MID(AS199,FIND(",",AS199)+1,100)),0)+IF(_xlfn.XLOOKUP("Options_Scoring",'Scoring_Config'!$A:$A,'Scoring_Config'!$D:$D,"Yes")="Yes",VALUE(MID(AT199,FIND(",",AT199)+1,100)),0)))</f>
        <v>0</v>
      </c>
    </row>
    <row r="200" spans="1:52">
      <c r="A200" s="3" t="s">
        <v>53</v>
      </c>
      <c r="B200" s="3" t="s">
        <v>198</v>
      </c>
      <c r="C200" s="3" t="s">
        <v>330</v>
      </c>
      <c r="D200" s="3"/>
      <c r="E200" s="3" t="s">
        <v>359</v>
      </c>
      <c r="F200" s="3" t="s">
        <v>363</v>
      </c>
      <c r="G200" s="3" t="s">
        <v>365</v>
      </c>
      <c r="H200" s="3" t="s">
        <v>365</v>
      </c>
      <c r="I200" s="3" t="s">
        <v>623</v>
      </c>
      <c r="J200" s="3" t="s">
        <v>362</v>
      </c>
      <c r="K200" s="3" t="s">
        <v>365</v>
      </c>
      <c r="L200" s="3" t="s">
        <v>365</v>
      </c>
      <c r="M200" s="3" t="s">
        <v>776</v>
      </c>
      <c r="N200" s="3" t="s">
        <v>791</v>
      </c>
      <c r="O200" s="4" t="s">
        <v>825</v>
      </c>
      <c r="P200" s="3" t="s">
        <v>886</v>
      </c>
      <c r="Q200" s="3" t="s">
        <v>905</v>
      </c>
      <c r="R200" s="3" t="s">
        <v>910</v>
      </c>
      <c r="S200" s="3" t="s">
        <v>914</v>
      </c>
      <c r="T200" s="3" t="s">
        <v>919</v>
      </c>
      <c r="U200" s="3" t="s">
        <v>1247</v>
      </c>
      <c r="V200" s="3" t="s">
        <v>1386</v>
      </c>
      <c r="W200" s="3" t="s">
        <v>1510</v>
      </c>
      <c r="X200" s="3" t="s">
        <v>1804</v>
      </c>
      <c r="Y200" s="3" t="s">
        <v>2273</v>
      </c>
      <c r="Z200" s="3"/>
      <c r="AA200" s="3"/>
      <c r="AB200" s="3"/>
      <c r="AC200" s="5" cm="1">
        <f t="array" ref="AC200">IF(TRUE,"True," &amp; IF(_xlfn.XLOOKUP("Src_IsAny",'Scoring_Config'!$A:$A,'Scoring_Config'!$D:$D,"Yes")="Yes",_xlfn.XLOOKUP("Src_IsAny",'Scoring_Config'!$A:$A,'Scoring_Config'!$C:$C,25),0),"False,0")</f>
        <v>0</v>
      </c>
      <c r="AD200" s="4" cm="1">
        <f t="array" ref="AD200">IF(FALSE,"True," &amp; IF(_xlfn.XLOOKUP("Src_CIDR_Le_16",'Scoring_Config'!$A:$A,'Scoring_Config'!$D:$D,"Yes")="Yes",_xlfn.XLOOKUP("Src_CIDR_Le_16",'Scoring_Config'!$A:$A,'Scoring_Config'!$C:$C,25),0),"False,0")</f>
        <v>0</v>
      </c>
      <c r="AE200" s="4" cm="1">
        <f t="array" ref="AE200">IF(FALSE,"True," &amp; IF(_xlfn.XLOOKUP("Src_CIDR_17_22",'Scoring_Config'!$A:$A,'Scoring_Config'!$D:$D,"Yes")="Yes",_xlfn.XLOOKUP("Src_CIDR_17_22",'Scoring_Config'!$A:$A,'Scoring_Config'!$C:$C,15),0),"False,0")</f>
        <v>0</v>
      </c>
      <c r="AF200" s="5" cm="1">
        <f t="array" ref="AF200">IF(TRUE,"True," &amp; IF(_xlfn.XLOOKUP("Dst_IsAny",'Scoring_Config'!$A:$A,'Scoring_Config'!$D:$D,"Yes")="Yes",_xlfn.XLOOKUP("Dst_IsAny",'Scoring_Config'!$A:$A,'Scoring_Config'!$C:$C,25),0),"False,0")</f>
        <v>0</v>
      </c>
      <c r="AG200" s="4" cm="1">
        <f t="array" ref="AG200">IF(FALSE,"True," &amp; IF(_xlfn.XLOOKUP("Dst_CIDR_Le_16",'Scoring_Config'!$A:$A,'Scoring_Config'!$D:$D,"Yes")="Yes",_xlfn.XLOOKUP("Dst_CIDR_Le_16",'Scoring_Config'!$A:$A,'Scoring_Config'!$C:$C,25),0),"False,0")</f>
        <v>0</v>
      </c>
      <c r="AH200" s="4" cm="1">
        <f t="array" ref="AH200">IF(FALSE,"True," &amp; IF(_xlfn.XLOOKUP("Dst_CIDR_17_22",'Scoring_Config'!$A:$A,'Scoring_Config'!$D:$D,"Yes")="Yes",_xlfn.XLOOKUP("Dst_CIDR_17_22",'Scoring_Config'!$A:$A,'Scoring_Config'!$C:$C,15),0),"False,0")</f>
        <v>0</v>
      </c>
      <c r="AI200" s="4" cm="1">
        <f t="array" ref="AI200">IF(FALSE,"True," &amp; IF(_xlfn.XLOOKUP("SrcZone_IsAny",'Scoring_Config'!$A:$A,'Scoring_Config'!$D:$D,"Yes")="Yes",_xlfn.XLOOKUP("SrcZone_IsAny",'Scoring_Config'!$A:$A,'Scoring_Config'!$C:$C,5),0),"False,0")</f>
        <v>0</v>
      </c>
      <c r="AJ200" s="4" cm="1">
        <f t="array" ref="AJ200">IF(FALSE,"True," &amp; IF(_xlfn.XLOOKUP("DstZone_IsAny",'Scoring_Config'!$A:$A,'Scoring_Config'!$D:$D,"Yes")="Yes",_xlfn.XLOOKUP("DstZone_IsAny",'Scoring_Config'!$A:$A,'Scoring_Config'!$C:$C,5),0),"False,0")</f>
        <v>0</v>
      </c>
      <c r="AK200" s="4" cm="1">
        <f t="array" ref="AK20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0" s="5" cm="1">
        <f t="array" ref="AL200">IF(TRUE,"True," &amp; IF(_xlfn.XLOOKUP("App_Any_OR_RangeGt1000",'Scoring_Config'!$A:$A,'Scoring_Config'!$D:$D,"Yes")="Yes",_xlfn.XLOOKUP("App_Any_OR_RangeGt1000",'Scoring_Config'!$A:$A,'Scoring_Config'!$C:$C,25),0),"False,0")</f>
        <v>0</v>
      </c>
      <c r="AM200" s="5" cm="1">
        <f t="array" ref="AM200">IF(TRUE,"True," &amp; IF(_xlfn.XLOOKUP("Service_Insecure_Match",'Scoring_Config'!$A:$A,'Scoring_Config'!$D:$D,"Yes")="Yes",_xlfn.XLOOKUP("Service_Insecure_Match",'Scoring_Config'!$A:$A,'Scoring_Config'!$C:$C,20),0),"False,0")</f>
        <v>0</v>
      </c>
      <c r="AN200" s="4" cm="1">
        <f t="array" ref="AN200">IF(FALSE,"True," &amp; IF(_xlfn.XLOOKUP("Risky_Inbound",'Scoring_Config'!$A:$A,'Scoring_Config'!$D:$D,"Yes")="Yes",_xlfn.XLOOKUP("Risky_Inbound",'Scoring_Config'!$A:$A,'Scoring_Config'!$C:$C,20),0),"False,0")</f>
        <v>0</v>
      </c>
      <c r="AO200" s="4" cm="1">
        <f t="array" ref="AO200">IF(FALSE,"True," &amp; IF(_xlfn.XLOOKUP("Risky_Outbound",'Scoring_Config'!$A:$A,'Scoring_Config'!$D:$D,"Yes")="Yes",_xlfn.XLOOKUP("Risky_Outbound",'Scoring_Config'!$A:$A,'Scoring_Config'!$C:$C,10),0),"False,0")</f>
        <v>0</v>
      </c>
      <c r="AP200" s="5" t="s">
        <v>2595</v>
      </c>
      <c r="AQ200" s="4" cm="1">
        <f t="array" ref="AQ20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0" s="5" t="s">
        <v>2598</v>
      </c>
      <c r="AS200" s="4" t="s">
        <v>2592</v>
      </c>
      <c r="AT200" s="4" t="s">
        <v>2592</v>
      </c>
      <c r="AU200" s="4" cm="1">
        <f t="array" ref="AU200">IF(FALSE,"True," &amp; IF(_xlfn.XLOOKUP("Action_IsDenyOrDrop",'Scoring_Config'!$A:$A,'Scoring_Config'!$D:$D,"Yes")="Yes",_xlfn.XLOOKUP("Action_IsDenyOrDrop",'Scoring_Config'!$A:$A,'Scoring_Config'!$C:$C,0),0),"False,0")</f>
        <v>0</v>
      </c>
      <c r="AV200" s="4"/>
      <c r="AW200" s="4" cm="1">
        <f t="array" ref="AW200">IF(FALSE,"True," &amp; IF(_xlfn.XLOOKUP("Migrate_Insecure",'Scoring_Config'!$A:$A,'Scoring_Config'!$D:$D,"Yes")="Yes",_xlfn.XLOOKUP("Migrate_Insecure",'Scoring_Config'!$A:$A,'Scoring_Config'!$C:$C,15),0),"False,0")</f>
        <v>0</v>
      </c>
      <c r="AX200" s="4"/>
      <c r="AY200" s="4" cm="1">
        <f t="array" ref="AY200">IF(FALSE,"True," &amp; IF(_xlfn.XLOOKUP("Migrate_Other_Ports",'Scoring_Config'!$A:$A,'Scoring_Config'!$D:$D,"Yes")="Yes",_xlfn.XLOOKUP("Migrate_Other_Ports",'Scoring_Config'!$A:$A,'Scoring_Config'!$C:$C,5),0),"False,0")</f>
        <v>0</v>
      </c>
      <c r="AZ200" s="4" cm="1">
        <f t="array" ref="AZ200">IF(LEFT(AU200,4)="True",0,(IF(LEFT(AC200,4)="True",IF(_xlfn.XLOOKUP("Src_IsAny",'Scoring_Config'!$A:$A,'Scoring_Config'!$D:$D,"Yes")="Yes",_xlfn.XLOOKUP("Src_IsAny",'Scoring_Config'!$A:$A,'Scoring_Config'!$C:$C,25),0),0)+IF(LEFT(AD200,4)="True",IF(_xlfn.XLOOKUP("Src_CIDR_Le_16",'Scoring_Config'!$A:$A,'Scoring_Config'!$D:$D,"Yes")="Yes",_xlfn.XLOOKUP("Src_CIDR_Le_16",'Scoring_Config'!$A:$A,'Scoring_Config'!$C:$C,25),0),0)+IF(LEFT(AE200,4)="True",IF(_xlfn.XLOOKUP("Src_CIDR_17_22",'Scoring_Config'!$A:$A,'Scoring_Config'!$D:$D,"Yes")="Yes",_xlfn.XLOOKUP("Src_CIDR_17_22",'Scoring_Config'!$A:$A,'Scoring_Config'!$C:$C,15),0),0)+IF(LEFT(AF200,4)="True",IF(_xlfn.XLOOKUP("Dst_IsAny",'Scoring_Config'!$A:$A,'Scoring_Config'!$D:$D,"Yes")="Yes",_xlfn.XLOOKUP("Dst_IsAny",'Scoring_Config'!$A:$A,'Scoring_Config'!$C:$C,25),0),0)+IF(LEFT(AG200,4)="True",IF(_xlfn.XLOOKUP("Dst_CIDR_Le_16",'Scoring_Config'!$A:$A,'Scoring_Config'!$D:$D,"Yes")="Yes",_xlfn.XLOOKUP("Dst_CIDR_Le_16",'Scoring_Config'!$A:$A,'Scoring_Config'!$C:$C,25),0),0)+IF(LEFT(AH200,4)="True",IF(_xlfn.XLOOKUP("Dst_CIDR_17_22",'Scoring_Config'!$A:$A,'Scoring_Config'!$D:$D,"Yes")="Yes",_xlfn.XLOOKUP("Dst_CIDR_17_22",'Scoring_Config'!$A:$A,'Scoring_Config'!$C:$C,15),0),0)+IF(LEFT(AI200,4)="True",IF(_xlfn.XLOOKUP("SrcZone_IsAny",'Scoring_Config'!$A:$A,'Scoring_Config'!$D:$D,"Yes")="Yes",_xlfn.XLOOKUP("SrcZone_IsAny",'Scoring_Config'!$A:$A,'Scoring_Config'!$C:$C,5),0),0)+IF(LEFT(AJ200,4)="True",IF(_xlfn.XLOOKUP("DstZone_IsAny",'Scoring_Config'!$A:$A,'Scoring_Config'!$D:$D,"Yes")="Yes",_xlfn.XLOOKUP("DstZone_IsAny",'Scoring_Config'!$A:$A,'Scoring_Config'!$C:$C,5),0),0)+IF(LEFT(AK200,4)="True",IF(_xlfn.XLOOKUP("Service_Any_OR_RangeGt1000",'Scoring_Config'!$A:$A,'Scoring_Config'!$D:$D,"Yes")="Yes",_xlfn.XLOOKUP("Service_Any_OR_RangeGt1000",'Scoring_Config'!$A:$A,'Scoring_Config'!$C:$C,25),0),0)+IF(LEFT(AL200,4)="True",IF(_xlfn.XLOOKUP("App_Any_OR_RangeGt1000",'Scoring_Config'!$A:$A,'Scoring_Config'!$D:$D,"Yes")="Yes",_xlfn.XLOOKUP("App_Any_OR_RangeGt1000",'Scoring_Config'!$A:$A,'Scoring_Config'!$C:$C,25),0),0)+IF(LEFT(AM200,4)="True",IF(_xlfn.XLOOKUP("Service_Insecure_Match",'Scoring_Config'!$A:$A,'Scoring_Config'!$D:$D,"Yes")="Yes",_xlfn.XLOOKUP("Service_Insecure_Match",'Scoring_Config'!$A:$A,'Scoring_Config'!$C:$C,20),0),0)+IF(LEFT(AN200,4)="True",IF(_xlfn.XLOOKUP("Risky_Inbound",'Scoring_Config'!$A:$A,'Scoring_Config'!$D:$D,"Yes")="Yes",_xlfn.XLOOKUP("Risky_Inbound",'Scoring_Config'!$A:$A,'Scoring_Config'!$C:$C,20),0),0)+IF(LEFT(AO200,4)="True",IF(_xlfn.XLOOKUP("Risky_Outbound",'Scoring_Config'!$A:$A,'Scoring_Config'!$D:$D,"Yes")="Yes",_xlfn.XLOOKUP("Risky_Outbound",'Scoring_Config'!$A:$A,'Scoring_Config'!$C:$C,10),0),0)+IF(LEFT(AW200,4)="True",IF(_xlfn.XLOOKUP("Migrate_Insecure",'Scoring_Config'!$A:$A,'Scoring_Config'!$D:$D,"Yes")="Yes",_xlfn.XLOOKUP("Migrate_Insecure",'Scoring_Config'!$A:$A,'Scoring_Config'!$C:$C,15),0),0)+IF(LEFT(AY200,4)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200,FIND(",",AP200)+1,100)),0)+IF(LEFT(AQ200,4)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200,FIND(",",AR200)+1,100)),0)+IF(_xlfn.XLOOKUP("Profile_Scoring",'Scoring_Config'!$A:$A,'Scoring_Config'!$D:$D,"Yes")="Yes",VALUE(MID(AS200,FIND(",",AS200)+1,100)),0)+IF(_xlfn.XLOOKUP("Options_Scoring",'Scoring_Config'!$A:$A,'Scoring_Config'!$D:$D,"Yes")="Yes",VALUE(MID(AT200,FIND(",",AT200)+1,100)),0)))</f>
        <v>0</v>
      </c>
    </row>
    <row r="201" spans="1:52">
      <c r="A201" s="3" t="s">
        <v>53</v>
      </c>
      <c r="B201" s="3" t="s">
        <v>199</v>
      </c>
      <c r="C201" s="3" t="s">
        <v>330</v>
      </c>
      <c r="D201" s="3"/>
      <c r="E201" s="3" t="s">
        <v>359</v>
      </c>
      <c r="F201" s="3" t="s">
        <v>365</v>
      </c>
      <c r="G201" s="3" t="s">
        <v>365</v>
      </c>
      <c r="H201" s="3" t="s">
        <v>365</v>
      </c>
      <c r="I201" s="3" t="s">
        <v>625</v>
      </c>
      <c r="J201" s="3" t="s">
        <v>362</v>
      </c>
      <c r="K201" s="3" t="s">
        <v>408</v>
      </c>
      <c r="L201" s="3" t="s">
        <v>408</v>
      </c>
      <c r="M201" s="3" t="s">
        <v>769</v>
      </c>
      <c r="N201" s="3" t="s">
        <v>792</v>
      </c>
      <c r="O201" s="4" t="s">
        <v>810</v>
      </c>
      <c r="P201" s="3" t="s">
        <v>871</v>
      </c>
      <c r="Q201" s="3" t="s">
        <v>905</v>
      </c>
      <c r="R201" s="3" t="s">
        <v>909</v>
      </c>
      <c r="S201" s="3" t="s">
        <v>912</v>
      </c>
      <c r="T201" s="3" t="s">
        <v>1046</v>
      </c>
      <c r="U201" s="3" t="s">
        <v>1248</v>
      </c>
      <c r="V201" s="3" t="s">
        <v>1387</v>
      </c>
      <c r="W201" s="3" t="s">
        <v>1002</v>
      </c>
      <c r="X201" s="3" t="s">
        <v>1805</v>
      </c>
      <c r="Y201" s="3" t="s">
        <v>2274</v>
      </c>
      <c r="Z201" s="3"/>
      <c r="AA201" s="3"/>
      <c r="AB201" s="3"/>
      <c r="AC201" s="5" cm="1">
        <f t="array" ref="AC201">IF(TRUE,"True," &amp; IF(_xlfn.XLOOKUP("Src_IsAny",'Scoring_Config'!$A:$A,'Scoring_Config'!$D:$D,"Yes")="Yes",_xlfn.XLOOKUP("Src_IsAny",'Scoring_Config'!$A:$A,'Scoring_Config'!$C:$C,25),0),"False,0")</f>
        <v>0</v>
      </c>
      <c r="AD201" s="4" cm="1">
        <f t="array" ref="AD201">IF(FALSE,"True," &amp; IF(_xlfn.XLOOKUP("Src_CIDR_Le_16",'Scoring_Config'!$A:$A,'Scoring_Config'!$D:$D,"Yes")="Yes",_xlfn.XLOOKUP("Src_CIDR_Le_16",'Scoring_Config'!$A:$A,'Scoring_Config'!$C:$C,25),0),"False,0")</f>
        <v>0</v>
      </c>
      <c r="AE201" s="4" cm="1">
        <f t="array" ref="AE201">IF(FALSE,"True," &amp; IF(_xlfn.XLOOKUP("Src_CIDR_17_22",'Scoring_Config'!$A:$A,'Scoring_Config'!$D:$D,"Yes")="Yes",_xlfn.XLOOKUP("Src_CIDR_17_22",'Scoring_Config'!$A:$A,'Scoring_Config'!$C:$C,15),0),"False,0")</f>
        <v>0</v>
      </c>
      <c r="AF201" s="4" cm="1">
        <f t="array" ref="AF201">IF(FALSE,"True," &amp; IF(_xlfn.XLOOKUP("Dst_IsAny",'Scoring_Config'!$A:$A,'Scoring_Config'!$D:$D,"Yes")="Yes",_xlfn.XLOOKUP("Dst_IsAny",'Scoring_Config'!$A:$A,'Scoring_Config'!$C:$C,25),0),"False,0")</f>
        <v>0</v>
      </c>
      <c r="AG201" s="5" cm="1">
        <f t="array" ref="AG201">IF(TRUE,"True," &amp; IF(_xlfn.XLOOKUP("Dst_CIDR_Le_16",'Scoring_Config'!$A:$A,'Scoring_Config'!$D:$D,"Yes")="Yes",_xlfn.XLOOKUP("Dst_CIDR_Le_16",'Scoring_Config'!$A:$A,'Scoring_Config'!$C:$C,25),0),"False,0")</f>
        <v>0</v>
      </c>
      <c r="AH201" s="4" cm="1">
        <f t="array" ref="AH201">IF(FALSE,"True," &amp; IF(_xlfn.XLOOKUP("Dst_CIDR_17_22",'Scoring_Config'!$A:$A,'Scoring_Config'!$D:$D,"Yes")="Yes",_xlfn.XLOOKUP("Dst_CIDR_17_22",'Scoring_Config'!$A:$A,'Scoring_Config'!$C:$C,15),0),"False,0")</f>
        <v>0</v>
      </c>
      <c r="AI201" s="5" cm="1">
        <f t="array" ref="AI201">IF(TRUE,"True," &amp; IF(_xlfn.XLOOKUP("SrcZone_IsAny",'Scoring_Config'!$A:$A,'Scoring_Config'!$D:$D,"Yes")="Yes",_xlfn.XLOOKUP("SrcZone_IsAny",'Scoring_Config'!$A:$A,'Scoring_Config'!$C:$C,5),0),"False,0")</f>
        <v>0</v>
      </c>
      <c r="AJ201" s="4" cm="1">
        <f t="array" ref="AJ201">IF(FALSE,"True," &amp; IF(_xlfn.XLOOKUP("DstZone_IsAny",'Scoring_Config'!$A:$A,'Scoring_Config'!$D:$D,"Yes")="Yes",_xlfn.XLOOKUP("DstZone_IsAny",'Scoring_Config'!$A:$A,'Scoring_Config'!$C:$C,5),0),"False,0")</f>
        <v>0</v>
      </c>
      <c r="AK201" s="4" cm="1">
        <f t="array" ref="AK20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1" s="4" cm="1">
        <f t="array" ref="AL201">IF(FALSE,"True," &amp; IF(_xlfn.XLOOKUP("App_Any_OR_RangeGt1000",'Scoring_Config'!$A:$A,'Scoring_Config'!$D:$D,"Yes")="Yes",_xlfn.XLOOKUP("App_Any_OR_RangeGt1000",'Scoring_Config'!$A:$A,'Scoring_Config'!$C:$C,25),0),"False,0")</f>
        <v>0</v>
      </c>
      <c r="AM201" s="5" cm="1">
        <f t="array" ref="AM201">IF(TRUE,"True," &amp; IF(_xlfn.XLOOKUP("Service_Insecure_Match",'Scoring_Config'!$A:$A,'Scoring_Config'!$D:$D,"Yes")="Yes",_xlfn.XLOOKUP("Service_Insecure_Match",'Scoring_Config'!$A:$A,'Scoring_Config'!$C:$C,20),0),"False,0")</f>
        <v>0</v>
      </c>
      <c r="AN201" s="4" cm="1">
        <f t="array" ref="AN201">IF(FALSE,"True," &amp; IF(_xlfn.XLOOKUP("Risky_Inbound",'Scoring_Config'!$A:$A,'Scoring_Config'!$D:$D,"Yes")="Yes",_xlfn.XLOOKUP("Risky_Inbound",'Scoring_Config'!$A:$A,'Scoring_Config'!$C:$C,20),0),"False,0")</f>
        <v>0</v>
      </c>
      <c r="AO201" s="4" cm="1">
        <f t="array" ref="AO201">IF(FALSE,"True," &amp; IF(_xlfn.XLOOKUP("Risky_Outbound",'Scoring_Config'!$A:$A,'Scoring_Config'!$D:$D,"Yes")="Yes",_xlfn.XLOOKUP("Risky_Outbound",'Scoring_Config'!$A:$A,'Scoring_Config'!$C:$C,10),0),"False,0")</f>
        <v>0</v>
      </c>
      <c r="AP201" s="5" t="s">
        <v>2595</v>
      </c>
      <c r="AQ201" s="4" cm="1">
        <f t="array" ref="AQ20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1" s="5" t="s">
        <v>2598</v>
      </c>
      <c r="AS201" s="4" t="s">
        <v>2592</v>
      </c>
      <c r="AT201" s="4" t="s">
        <v>2592</v>
      </c>
      <c r="AU201" s="4" cm="1">
        <f t="array" ref="AU201">IF(FALSE,"True," &amp; IF(_xlfn.XLOOKUP("Action_IsDenyOrDrop",'Scoring_Config'!$A:$A,'Scoring_Config'!$D:$D,"Yes")="Yes",_xlfn.XLOOKUP("Action_IsDenyOrDrop",'Scoring_Config'!$A:$A,'Scoring_Config'!$C:$C,0),0),"False,0")</f>
        <v>0</v>
      </c>
      <c r="AV201" s="4"/>
      <c r="AW201" s="4" cm="1">
        <f t="array" ref="AW201">IF(FALSE,"True," &amp; IF(_xlfn.XLOOKUP("Migrate_Insecure",'Scoring_Config'!$A:$A,'Scoring_Config'!$D:$D,"Yes")="Yes",_xlfn.XLOOKUP("Migrate_Insecure",'Scoring_Config'!$A:$A,'Scoring_Config'!$C:$C,15),0),"False,0")</f>
        <v>0</v>
      </c>
      <c r="AX201" s="4"/>
      <c r="AY201" s="4" cm="1">
        <f t="array" ref="AY201">IF(FALSE,"True," &amp; IF(_xlfn.XLOOKUP("Migrate_Other_Ports",'Scoring_Config'!$A:$A,'Scoring_Config'!$D:$D,"Yes")="Yes",_xlfn.XLOOKUP("Migrate_Other_Ports",'Scoring_Config'!$A:$A,'Scoring_Config'!$C:$C,5),0),"False,0")</f>
        <v>0</v>
      </c>
      <c r="AZ201" s="4" cm="1">
        <f t="array" ref="AZ201">IF(LEFT(AU201,4)="True",0,(IF(LEFT(AC201,4)="True",IF(_xlfn.XLOOKUP("Src_IsAny",'Scoring_Config'!$A:$A,'Scoring_Config'!$D:$D,"Yes")="Yes",_xlfn.XLOOKUP("Src_IsAny",'Scoring_Config'!$A:$A,'Scoring_Config'!$C:$C,25),0),0)+IF(LEFT(AD201,4)="True",IF(_xlfn.XLOOKUP("Src_CIDR_Le_16",'Scoring_Config'!$A:$A,'Scoring_Config'!$D:$D,"Yes")="Yes",_xlfn.XLOOKUP("Src_CIDR_Le_16",'Scoring_Config'!$A:$A,'Scoring_Config'!$C:$C,25),0),0)+IF(LEFT(AE201,4)="True",IF(_xlfn.XLOOKUP("Src_CIDR_17_22",'Scoring_Config'!$A:$A,'Scoring_Config'!$D:$D,"Yes")="Yes",_xlfn.XLOOKUP("Src_CIDR_17_22",'Scoring_Config'!$A:$A,'Scoring_Config'!$C:$C,15),0),0)+IF(LEFT(AF201,4)="True",IF(_xlfn.XLOOKUP("Dst_IsAny",'Scoring_Config'!$A:$A,'Scoring_Config'!$D:$D,"Yes")="Yes",_xlfn.XLOOKUP("Dst_IsAny",'Scoring_Config'!$A:$A,'Scoring_Config'!$C:$C,25),0),0)+IF(LEFT(AG201,4)="True",IF(_xlfn.XLOOKUP("Dst_CIDR_Le_16",'Scoring_Config'!$A:$A,'Scoring_Config'!$D:$D,"Yes")="Yes",_xlfn.XLOOKUP("Dst_CIDR_Le_16",'Scoring_Config'!$A:$A,'Scoring_Config'!$C:$C,25),0),0)+IF(LEFT(AH201,4)="True",IF(_xlfn.XLOOKUP("Dst_CIDR_17_22",'Scoring_Config'!$A:$A,'Scoring_Config'!$D:$D,"Yes")="Yes",_xlfn.XLOOKUP("Dst_CIDR_17_22",'Scoring_Config'!$A:$A,'Scoring_Config'!$C:$C,15),0),0)+IF(LEFT(AI201,4)="True",IF(_xlfn.XLOOKUP("SrcZone_IsAny",'Scoring_Config'!$A:$A,'Scoring_Config'!$D:$D,"Yes")="Yes",_xlfn.XLOOKUP("SrcZone_IsAny",'Scoring_Config'!$A:$A,'Scoring_Config'!$C:$C,5),0),0)+IF(LEFT(AJ201,4)="True",IF(_xlfn.XLOOKUP("DstZone_IsAny",'Scoring_Config'!$A:$A,'Scoring_Config'!$D:$D,"Yes")="Yes",_xlfn.XLOOKUP("DstZone_IsAny",'Scoring_Config'!$A:$A,'Scoring_Config'!$C:$C,5),0),0)+IF(LEFT(AK201,4)="True",IF(_xlfn.XLOOKUP("Service_Any_OR_RangeGt1000",'Scoring_Config'!$A:$A,'Scoring_Config'!$D:$D,"Yes")="Yes",_xlfn.XLOOKUP("Service_Any_OR_RangeGt1000",'Scoring_Config'!$A:$A,'Scoring_Config'!$C:$C,25),0),0)+IF(LEFT(AL201,4)="True",IF(_xlfn.XLOOKUP("App_Any_OR_RangeGt1000",'Scoring_Config'!$A:$A,'Scoring_Config'!$D:$D,"Yes")="Yes",_xlfn.XLOOKUP("App_Any_OR_RangeGt1000",'Scoring_Config'!$A:$A,'Scoring_Config'!$C:$C,25),0),0)+IF(LEFT(AM201,4)="True",IF(_xlfn.XLOOKUP("Service_Insecure_Match",'Scoring_Config'!$A:$A,'Scoring_Config'!$D:$D,"Yes")="Yes",_xlfn.XLOOKUP("Service_Insecure_Match",'Scoring_Config'!$A:$A,'Scoring_Config'!$C:$C,20),0),0)+IF(LEFT(AN201,4)="True",IF(_xlfn.XLOOKUP("Risky_Inbound",'Scoring_Config'!$A:$A,'Scoring_Config'!$D:$D,"Yes")="Yes",_xlfn.XLOOKUP("Risky_Inbound",'Scoring_Config'!$A:$A,'Scoring_Config'!$C:$C,20),0),0)+IF(LEFT(AO201,4)="True",IF(_xlfn.XLOOKUP("Risky_Outbound",'Scoring_Config'!$A:$A,'Scoring_Config'!$D:$D,"Yes")="Yes",_xlfn.XLOOKUP("Risky_Outbound",'Scoring_Config'!$A:$A,'Scoring_Config'!$C:$C,10),0),0)+IF(LEFT(AW201,4)="True",IF(_xlfn.XLOOKUP("Migrate_Insecure",'Scoring_Config'!$A:$A,'Scoring_Config'!$D:$D,"Yes")="Yes",_xlfn.XLOOKUP("Migrate_Insecure",'Scoring_Config'!$A:$A,'Scoring_Config'!$C:$C,15),0),0)+IF(LEFT(AY201,4)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201,FIND(",",AP201)+1,100)),0)+IF(LEFT(AQ201,4)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201,FIND(",",AR201)+1,100)),0)+IF(_xlfn.XLOOKUP("Profile_Scoring",'Scoring_Config'!$A:$A,'Scoring_Config'!$D:$D,"Yes")="Yes",VALUE(MID(AS201,FIND(",",AS201)+1,100)),0)+IF(_xlfn.XLOOKUP("Options_Scoring",'Scoring_Config'!$A:$A,'Scoring_Config'!$D:$D,"Yes")="Yes",VALUE(MID(AT201,FIND(",",AT201)+1,100)),0)))</f>
        <v>0</v>
      </c>
    </row>
    <row r="202" spans="1:52">
      <c r="A202" s="3" t="s">
        <v>53</v>
      </c>
      <c r="B202" s="3" t="s">
        <v>165</v>
      </c>
      <c r="C202" s="3" t="s">
        <v>330</v>
      </c>
      <c r="D202" s="3"/>
      <c r="E202" s="3" t="s">
        <v>359</v>
      </c>
      <c r="F202" s="3" t="s">
        <v>360</v>
      </c>
      <c r="G202" s="3" t="s">
        <v>440</v>
      </c>
      <c r="H202" s="3" t="s">
        <v>576</v>
      </c>
      <c r="I202" s="3" t="s">
        <v>622</v>
      </c>
      <c r="J202" s="3" t="s">
        <v>360</v>
      </c>
      <c r="K202" s="3" t="s">
        <v>365</v>
      </c>
      <c r="L202" s="3" t="s">
        <v>365</v>
      </c>
      <c r="M202" s="3" t="s">
        <v>773</v>
      </c>
      <c r="N202" s="3" t="s">
        <v>773</v>
      </c>
      <c r="O202" s="4" t="s">
        <v>822</v>
      </c>
      <c r="P202" s="3" t="s">
        <v>883</v>
      </c>
      <c r="Q202" s="3" t="s">
        <v>905</v>
      </c>
      <c r="R202" s="3" t="s">
        <v>911</v>
      </c>
      <c r="S202" s="3" t="s">
        <v>913</v>
      </c>
      <c r="T202" s="3" t="s">
        <v>919</v>
      </c>
      <c r="U202" s="3" t="s">
        <v>1249</v>
      </c>
      <c r="V202" s="3" t="s">
        <v>770</v>
      </c>
      <c r="W202" s="3" t="s">
        <v>1010</v>
      </c>
      <c r="X202" s="3" t="s">
        <v>1806</v>
      </c>
      <c r="Y202" s="3" t="s">
        <v>2275</v>
      </c>
      <c r="Z202" s="3"/>
      <c r="AA202" s="3"/>
      <c r="AB202" s="3"/>
      <c r="AC202" s="4" cm="1">
        <f t="array" ref="AC202">IF(FALSE,"True," &amp; IF(_xlfn.XLOOKUP("Src_IsAny",'Scoring_Config'!$A:$A,'Scoring_Config'!$D:$D,"Yes")="Yes",_xlfn.XLOOKUP("Src_IsAny",'Scoring_Config'!$A:$A,'Scoring_Config'!$C:$C,25),0),"False,0")</f>
        <v>0</v>
      </c>
      <c r="AD202" s="4" cm="1">
        <f t="array" ref="AD202">IF(FALSE,"True," &amp; IF(_xlfn.XLOOKUP("Src_CIDR_Le_16",'Scoring_Config'!$A:$A,'Scoring_Config'!$D:$D,"Yes")="Yes",_xlfn.XLOOKUP("Src_CIDR_Le_16",'Scoring_Config'!$A:$A,'Scoring_Config'!$C:$C,25),0),"False,0")</f>
        <v>0</v>
      </c>
      <c r="AE202" s="4" cm="1">
        <f t="array" ref="AE202">IF(FALSE,"True," &amp; IF(_xlfn.XLOOKUP("Src_CIDR_17_22",'Scoring_Config'!$A:$A,'Scoring_Config'!$D:$D,"Yes")="Yes",_xlfn.XLOOKUP("Src_CIDR_17_22",'Scoring_Config'!$A:$A,'Scoring_Config'!$C:$C,15),0),"False,0")</f>
        <v>0</v>
      </c>
      <c r="AF202" s="5" cm="1">
        <f t="array" ref="AF202">IF(TRUE,"True," &amp; IF(_xlfn.XLOOKUP("Dst_IsAny",'Scoring_Config'!$A:$A,'Scoring_Config'!$D:$D,"Yes")="Yes",_xlfn.XLOOKUP("Dst_IsAny",'Scoring_Config'!$A:$A,'Scoring_Config'!$C:$C,25),0),"False,0")</f>
        <v>0</v>
      </c>
      <c r="AG202" s="4" cm="1">
        <f t="array" ref="AG202">IF(FALSE,"True," &amp; IF(_xlfn.XLOOKUP("Dst_CIDR_Le_16",'Scoring_Config'!$A:$A,'Scoring_Config'!$D:$D,"Yes")="Yes",_xlfn.XLOOKUP("Dst_CIDR_Le_16",'Scoring_Config'!$A:$A,'Scoring_Config'!$C:$C,25),0),"False,0")</f>
        <v>0</v>
      </c>
      <c r="AH202" s="4" cm="1">
        <f t="array" ref="AH202">IF(FALSE,"True," &amp; IF(_xlfn.XLOOKUP("Dst_CIDR_17_22",'Scoring_Config'!$A:$A,'Scoring_Config'!$D:$D,"Yes")="Yes",_xlfn.XLOOKUP("Dst_CIDR_17_22",'Scoring_Config'!$A:$A,'Scoring_Config'!$C:$C,15),0),"False,0")</f>
        <v>0</v>
      </c>
      <c r="AI202" s="4" cm="1">
        <f t="array" ref="AI202">IF(FALSE,"True," &amp; IF(_xlfn.XLOOKUP("SrcZone_IsAny",'Scoring_Config'!$A:$A,'Scoring_Config'!$D:$D,"Yes")="Yes",_xlfn.XLOOKUP("SrcZone_IsAny",'Scoring_Config'!$A:$A,'Scoring_Config'!$C:$C,5),0),"False,0")</f>
        <v>0</v>
      </c>
      <c r="AJ202" s="4" cm="1">
        <f t="array" ref="AJ202">IF(FALSE,"True," &amp; IF(_xlfn.XLOOKUP("DstZone_IsAny",'Scoring_Config'!$A:$A,'Scoring_Config'!$D:$D,"Yes")="Yes",_xlfn.XLOOKUP("DstZone_IsAny",'Scoring_Config'!$A:$A,'Scoring_Config'!$C:$C,5),0),"False,0")</f>
        <v>0</v>
      </c>
      <c r="AK202" s="5" cm="1">
        <f t="array" ref="AK202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02" s="4" cm="1">
        <f t="array" ref="AL202">IF(FALSE,"True," &amp; IF(_xlfn.XLOOKUP("App_Any_OR_RangeGt1000",'Scoring_Config'!$A:$A,'Scoring_Config'!$D:$D,"Yes")="Yes",_xlfn.XLOOKUP("App_Any_OR_RangeGt1000",'Scoring_Config'!$A:$A,'Scoring_Config'!$C:$C,25),0),"False,0")</f>
        <v>0</v>
      </c>
      <c r="AM202" s="5" cm="1">
        <f t="array" ref="AM202">IF(TRUE,"True," &amp; IF(_xlfn.XLOOKUP("Service_Insecure_Match",'Scoring_Config'!$A:$A,'Scoring_Config'!$D:$D,"Yes")="Yes",_xlfn.XLOOKUP("Service_Insecure_Match",'Scoring_Config'!$A:$A,'Scoring_Config'!$C:$C,20),0),"False,0")</f>
        <v>0</v>
      </c>
      <c r="AN202" s="4" cm="1">
        <f t="array" ref="AN202">IF(FALSE,"True," &amp; IF(_xlfn.XLOOKUP("Risky_Inbound",'Scoring_Config'!$A:$A,'Scoring_Config'!$D:$D,"Yes")="Yes",_xlfn.XLOOKUP("Risky_Inbound",'Scoring_Config'!$A:$A,'Scoring_Config'!$C:$C,20),0),"False,0")</f>
        <v>0</v>
      </c>
      <c r="AO202" s="4" cm="1">
        <f t="array" ref="AO202">IF(FALSE,"True," &amp; IF(_xlfn.XLOOKUP("Risky_Outbound",'Scoring_Config'!$A:$A,'Scoring_Config'!$D:$D,"Yes")="Yes",_xlfn.XLOOKUP("Risky_Outbound",'Scoring_Config'!$A:$A,'Scoring_Config'!$C:$C,10),0),"False,0")</f>
        <v>0</v>
      </c>
      <c r="AP202" s="5" t="s">
        <v>2595</v>
      </c>
      <c r="AQ202" s="4" cm="1">
        <f t="array" ref="AQ20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2" s="5" t="s">
        <v>2598</v>
      </c>
      <c r="AS202" s="4" t="s">
        <v>2592</v>
      </c>
      <c r="AT202" s="4" t="s">
        <v>2592</v>
      </c>
      <c r="AU202" s="4" cm="1">
        <f t="array" ref="AU202">IF(FALSE,"True," &amp; IF(_xlfn.XLOOKUP("Action_IsDenyOrDrop",'Scoring_Config'!$A:$A,'Scoring_Config'!$D:$D,"Yes")="Yes",_xlfn.XLOOKUP("Action_IsDenyOrDrop",'Scoring_Config'!$A:$A,'Scoring_Config'!$C:$C,0),0),"False,0")</f>
        <v>0</v>
      </c>
      <c r="AV202" s="4"/>
      <c r="AW202" s="4" cm="1">
        <f t="array" ref="AW202">IF(FALSE,"True," &amp; IF(_xlfn.XLOOKUP("Migrate_Insecure",'Scoring_Config'!$A:$A,'Scoring_Config'!$D:$D,"Yes")="Yes",_xlfn.XLOOKUP("Migrate_Insecure",'Scoring_Config'!$A:$A,'Scoring_Config'!$C:$C,15),0),"False,0")</f>
        <v>0</v>
      </c>
      <c r="AX202" s="4"/>
      <c r="AY202" s="4" cm="1">
        <f t="array" ref="AY202">IF(FALSE,"True," &amp; IF(_xlfn.XLOOKUP("Migrate_Other_Ports",'Scoring_Config'!$A:$A,'Scoring_Config'!$D:$D,"Yes")="Yes",_xlfn.XLOOKUP("Migrate_Other_Ports",'Scoring_Config'!$A:$A,'Scoring_Config'!$C:$C,5),0),"False,0")</f>
        <v>0</v>
      </c>
      <c r="AZ202" s="4" cm="1">
        <f t="array" ref="AZ202">IF(LEFT(AU202,4)="True",0,(IF(LEFT(AC202,4)="True",IF(_xlfn.XLOOKUP("Src_IsAny",'Scoring_Config'!$A:$A,'Scoring_Config'!$D:$D,"Yes")="Yes",_xlfn.XLOOKUP("Src_IsAny",'Scoring_Config'!$A:$A,'Scoring_Config'!$C:$C,25),0),0)+IF(LEFT(AD202,4)="True",IF(_xlfn.XLOOKUP("Src_CIDR_Le_16",'Scoring_Config'!$A:$A,'Scoring_Config'!$D:$D,"Yes")="Yes",_xlfn.XLOOKUP("Src_CIDR_Le_16",'Scoring_Config'!$A:$A,'Scoring_Config'!$C:$C,25),0),0)+IF(LEFT(AE202,4)="True",IF(_xlfn.XLOOKUP("Src_CIDR_17_22",'Scoring_Config'!$A:$A,'Scoring_Config'!$D:$D,"Yes")="Yes",_xlfn.XLOOKUP("Src_CIDR_17_22",'Scoring_Config'!$A:$A,'Scoring_Config'!$C:$C,15),0),0)+IF(LEFT(AF202,4)="True",IF(_xlfn.XLOOKUP("Dst_IsAny",'Scoring_Config'!$A:$A,'Scoring_Config'!$D:$D,"Yes")="Yes",_xlfn.XLOOKUP("Dst_IsAny",'Scoring_Config'!$A:$A,'Scoring_Config'!$C:$C,25),0),0)+IF(LEFT(AG202,4)="True",IF(_xlfn.XLOOKUP("Dst_CIDR_Le_16",'Scoring_Config'!$A:$A,'Scoring_Config'!$D:$D,"Yes")="Yes",_xlfn.XLOOKUP("Dst_CIDR_Le_16",'Scoring_Config'!$A:$A,'Scoring_Config'!$C:$C,25),0),0)+IF(LEFT(AH202,4)="True",IF(_xlfn.XLOOKUP("Dst_CIDR_17_22",'Scoring_Config'!$A:$A,'Scoring_Config'!$D:$D,"Yes")="Yes",_xlfn.XLOOKUP("Dst_CIDR_17_22",'Scoring_Config'!$A:$A,'Scoring_Config'!$C:$C,15),0),0)+IF(LEFT(AI202,4)="True",IF(_xlfn.XLOOKUP("SrcZone_IsAny",'Scoring_Config'!$A:$A,'Scoring_Config'!$D:$D,"Yes")="Yes",_xlfn.XLOOKUP("SrcZone_IsAny",'Scoring_Config'!$A:$A,'Scoring_Config'!$C:$C,5),0),0)+IF(LEFT(AJ202,4)="True",IF(_xlfn.XLOOKUP("DstZone_IsAny",'Scoring_Config'!$A:$A,'Scoring_Config'!$D:$D,"Yes")="Yes",_xlfn.XLOOKUP("DstZone_IsAny",'Scoring_Config'!$A:$A,'Scoring_Config'!$C:$C,5),0),0)+IF(LEFT(AK202,4)="True",IF(_xlfn.XLOOKUP("Service_Any_OR_RangeGt1000",'Scoring_Config'!$A:$A,'Scoring_Config'!$D:$D,"Yes")="Yes",_xlfn.XLOOKUP("Service_Any_OR_RangeGt1000",'Scoring_Config'!$A:$A,'Scoring_Config'!$C:$C,25),0),0)+IF(LEFT(AL202,4)="True",IF(_xlfn.XLOOKUP("App_Any_OR_RangeGt1000",'Scoring_Config'!$A:$A,'Scoring_Config'!$D:$D,"Yes")="Yes",_xlfn.XLOOKUP("App_Any_OR_RangeGt1000",'Scoring_Config'!$A:$A,'Scoring_Config'!$C:$C,25),0),0)+IF(LEFT(AM202,4)="True",IF(_xlfn.XLOOKUP("Service_Insecure_Match",'Scoring_Config'!$A:$A,'Scoring_Config'!$D:$D,"Yes")="Yes",_xlfn.XLOOKUP("Service_Insecure_Match",'Scoring_Config'!$A:$A,'Scoring_Config'!$C:$C,20),0),0)+IF(LEFT(AN202,4)="True",IF(_xlfn.XLOOKUP("Risky_Inbound",'Scoring_Config'!$A:$A,'Scoring_Config'!$D:$D,"Yes")="Yes",_xlfn.XLOOKUP("Risky_Inbound",'Scoring_Config'!$A:$A,'Scoring_Config'!$C:$C,20),0),0)+IF(LEFT(AO202,4)="True",IF(_xlfn.XLOOKUP("Risky_Outbound",'Scoring_Config'!$A:$A,'Scoring_Config'!$D:$D,"Yes")="Yes",_xlfn.XLOOKUP("Risky_Outbound",'Scoring_Config'!$A:$A,'Scoring_Config'!$C:$C,10),0),0)+IF(LEFT(AW202,4)="True",IF(_xlfn.XLOOKUP("Migrate_Insecure",'Scoring_Config'!$A:$A,'Scoring_Config'!$D:$D,"Yes")="Yes",_xlfn.XLOOKUP("Migrate_Insecure",'Scoring_Config'!$A:$A,'Scoring_Config'!$C:$C,15),0),0)+IF(LEFT(AY202,4)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202,FIND(",",AP202)+1,100)),0)+IF(LEFT(AQ202,4)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202,FIND(",",AR202)+1,100)),0)+IF(_xlfn.XLOOKUP("Profile_Scoring",'Scoring_Config'!$A:$A,'Scoring_Config'!$D:$D,"Yes")="Yes",VALUE(MID(AS202,FIND(",",AS202)+1,100)),0)+IF(_xlfn.XLOOKUP("Options_Scoring",'Scoring_Config'!$A:$A,'Scoring_Config'!$D:$D,"Yes")="Yes",VALUE(MID(AT202,FIND(",",AT202)+1,100)),0)))</f>
        <v>0</v>
      </c>
    </row>
    <row r="203" spans="1:52">
      <c r="A203" s="3" t="s">
        <v>53</v>
      </c>
      <c r="B203" s="3" t="s">
        <v>188</v>
      </c>
      <c r="C203" s="3" t="s">
        <v>330</v>
      </c>
      <c r="D203" s="3"/>
      <c r="E203" s="3" t="s">
        <v>359</v>
      </c>
      <c r="F203" s="3" t="s">
        <v>360</v>
      </c>
      <c r="G203" s="3" t="s">
        <v>418</v>
      </c>
      <c r="H203" s="3" t="s">
        <v>418</v>
      </c>
      <c r="I203" s="3" t="s">
        <v>623</v>
      </c>
      <c r="J203" s="3" t="s">
        <v>364</v>
      </c>
      <c r="K203" s="3" t="s">
        <v>412</v>
      </c>
      <c r="L203" s="3" t="s">
        <v>566</v>
      </c>
      <c r="M203" s="3" t="s">
        <v>771</v>
      </c>
      <c r="N203" s="3" t="s">
        <v>793</v>
      </c>
      <c r="O203" s="4" t="s">
        <v>833</v>
      </c>
      <c r="P203" s="3" t="s">
        <v>894</v>
      </c>
      <c r="Q203" s="3" t="s">
        <v>905</v>
      </c>
      <c r="R203" s="3" t="s">
        <v>909</v>
      </c>
      <c r="S203" s="3" t="s">
        <v>913</v>
      </c>
      <c r="T203" s="3" t="s">
        <v>1047</v>
      </c>
      <c r="U203" s="3" t="s">
        <v>1250</v>
      </c>
      <c r="V203" s="3" t="s">
        <v>789</v>
      </c>
      <c r="W203" s="3" t="s">
        <v>1450</v>
      </c>
      <c r="X203" s="3" t="s">
        <v>1807</v>
      </c>
      <c r="Y203" s="3" t="s">
        <v>2276</v>
      </c>
      <c r="Z203" s="3"/>
      <c r="AA203" s="3"/>
      <c r="AB203" s="3"/>
      <c r="AC203" s="4" cm="1">
        <f t="array" ref="AC203">IF(FALSE,"True," &amp; IF(_xlfn.XLOOKUP("Src_IsAny",'Scoring_Config'!$A:$A,'Scoring_Config'!$D:$D,"Yes")="Yes",_xlfn.XLOOKUP("Src_IsAny",'Scoring_Config'!$A:$A,'Scoring_Config'!$C:$C,25),0),"False,0")</f>
        <v>0</v>
      </c>
      <c r="AD203" s="5" cm="1">
        <f t="array" ref="AD203">IF(TRUE,"True," &amp; IF(_xlfn.XLOOKUP("Src_CIDR_Le_16",'Scoring_Config'!$A:$A,'Scoring_Config'!$D:$D,"Yes")="Yes",_xlfn.XLOOKUP("Src_CIDR_Le_16",'Scoring_Config'!$A:$A,'Scoring_Config'!$C:$C,25),0),"False,0")</f>
        <v>0</v>
      </c>
      <c r="AE203" s="4" cm="1">
        <f t="array" ref="AE203">IF(FALSE,"True," &amp; IF(_xlfn.XLOOKUP("Src_CIDR_17_22",'Scoring_Config'!$A:$A,'Scoring_Config'!$D:$D,"Yes")="Yes",_xlfn.XLOOKUP("Src_CIDR_17_22",'Scoring_Config'!$A:$A,'Scoring_Config'!$C:$C,15),0),"False,0")</f>
        <v>0</v>
      </c>
      <c r="AF203" s="5" cm="1">
        <f t="array" ref="AF203">IF(TRUE,"True," &amp; IF(_xlfn.XLOOKUP("Dst_IsAny",'Scoring_Config'!$A:$A,'Scoring_Config'!$D:$D,"Yes")="Yes",_xlfn.XLOOKUP("Dst_IsAny",'Scoring_Config'!$A:$A,'Scoring_Config'!$C:$C,25),0),"False,0")</f>
        <v>0</v>
      </c>
      <c r="AG203" s="5" cm="1">
        <f t="array" ref="AG203">IF(TRUE,"True," &amp; IF(_xlfn.XLOOKUP("Dst_CIDR_Le_16",'Scoring_Config'!$A:$A,'Scoring_Config'!$D:$D,"Yes")="Yes",_xlfn.XLOOKUP("Dst_CIDR_Le_16",'Scoring_Config'!$A:$A,'Scoring_Config'!$C:$C,25),0),"False,0")</f>
        <v>0</v>
      </c>
      <c r="AH203" s="4" cm="1">
        <f t="array" ref="AH203">IF(FALSE,"True," &amp; IF(_xlfn.XLOOKUP("Dst_CIDR_17_22",'Scoring_Config'!$A:$A,'Scoring_Config'!$D:$D,"Yes")="Yes",_xlfn.XLOOKUP("Dst_CIDR_17_22",'Scoring_Config'!$A:$A,'Scoring_Config'!$C:$C,15),0),"False,0")</f>
        <v>0</v>
      </c>
      <c r="AI203" s="4" cm="1">
        <f t="array" ref="AI203">IF(FALSE,"True," &amp; IF(_xlfn.XLOOKUP("SrcZone_IsAny",'Scoring_Config'!$A:$A,'Scoring_Config'!$D:$D,"Yes")="Yes",_xlfn.XLOOKUP("SrcZone_IsAny",'Scoring_Config'!$A:$A,'Scoring_Config'!$C:$C,5),0),"False,0")</f>
        <v>0</v>
      </c>
      <c r="AJ203" s="4" cm="1">
        <f t="array" ref="AJ203">IF(FALSE,"True," &amp; IF(_xlfn.XLOOKUP("DstZone_IsAny",'Scoring_Config'!$A:$A,'Scoring_Config'!$D:$D,"Yes")="Yes",_xlfn.XLOOKUP("DstZone_IsAny",'Scoring_Config'!$A:$A,'Scoring_Config'!$C:$C,5),0),"False,0")</f>
        <v>0</v>
      </c>
      <c r="AK203" s="5" cm="1">
        <f t="array" ref="AK20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03" s="4" cm="1">
        <f t="array" ref="AL203">IF(FALSE,"True," &amp; IF(_xlfn.XLOOKUP("App_Any_OR_RangeGt1000",'Scoring_Config'!$A:$A,'Scoring_Config'!$D:$D,"Yes")="Yes",_xlfn.XLOOKUP("App_Any_OR_RangeGt1000",'Scoring_Config'!$A:$A,'Scoring_Config'!$C:$C,25),0),"False,0")</f>
        <v>0</v>
      </c>
      <c r="AM203" s="5" cm="1">
        <f t="array" ref="AM203">IF(TRUE,"True," &amp; IF(_xlfn.XLOOKUP("Service_Insecure_Match",'Scoring_Config'!$A:$A,'Scoring_Config'!$D:$D,"Yes")="Yes",_xlfn.XLOOKUP("Service_Insecure_Match",'Scoring_Config'!$A:$A,'Scoring_Config'!$C:$C,20),0),"False,0")</f>
        <v>0</v>
      </c>
      <c r="AN203" s="4" cm="1">
        <f t="array" ref="AN203">IF(FALSE,"True," &amp; IF(_xlfn.XLOOKUP("Risky_Inbound",'Scoring_Config'!$A:$A,'Scoring_Config'!$D:$D,"Yes")="Yes",_xlfn.XLOOKUP("Risky_Inbound",'Scoring_Config'!$A:$A,'Scoring_Config'!$C:$C,20),0),"False,0")</f>
        <v>0</v>
      </c>
      <c r="AO203" s="4" cm="1">
        <f t="array" ref="AO203">IF(FALSE,"True," &amp; IF(_xlfn.XLOOKUP("Risky_Outbound",'Scoring_Config'!$A:$A,'Scoring_Config'!$D:$D,"Yes")="Yes",_xlfn.XLOOKUP("Risky_Outbound",'Scoring_Config'!$A:$A,'Scoring_Config'!$C:$C,10),0),"False,0")</f>
        <v>0</v>
      </c>
      <c r="AP203" s="5" t="s">
        <v>2595</v>
      </c>
      <c r="AQ203" s="4" cm="1">
        <f t="array" ref="AQ20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3" s="5" t="s">
        <v>2598</v>
      </c>
      <c r="AS203" s="4" t="s">
        <v>2592</v>
      </c>
      <c r="AT203" s="4" t="s">
        <v>2592</v>
      </c>
      <c r="AU203" s="4" cm="1">
        <f t="array" ref="AU203">IF(FALSE,"True," &amp; IF(_xlfn.XLOOKUP("Action_IsDenyOrDrop",'Scoring_Config'!$A:$A,'Scoring_Config'!$D:$D,"Yes")="Yes",_xlfn.XLOOKUP("Action_IsDenyOrDrop",'Scoring_Config'!$A:$A,'Scoring_Config'!$C:$C,0),0),"False,0")</f>
        <v>0</v>
      </c>
      <c r="AV203" s="4" t="s">
        <v>771</v>
      </c>
      <c r="AW203" s="5" cm="1">
        <f t="array" ref="AW203">IF(TRUE,"True," &amp; IF(_xlfn.XLOOKUP("Migrate_Insecure",'Scoring_Config'!$A:$A,'Scoring_Config'!$D:$D,"Yes")="Yes",_xlfn.XLOOKUP("Migrate_Insecure",'Scoring_Config'!$A:$A,'Scoring_Config'!$C:$C,15),0),"False,0")</f>
        <v>0</v>
      </c>
      <c r="AX203" s="4"/>
      <c r="AY203" s="4" cm="1">
        <f t="array" ref="AY203">IF(FALSE,"True," &amp; IF(_xlfn.XLOOKUP("Migrate_Other_Ports",'Scoring_Config'!$A:$A,'Scoring_Config'!$D:$D,"Yes")="Yes",_xlfn.XLOOKUP("Migrate_Other_Ports",'Scoring_Config'!$A:$A,'Scoring_Config'!$C:$C,5),0),"False,0")</f>
        <v>0</v>
      </c>
      <c r="AZ203" s="4" cm="1">
        <f t="array" ref="AZ203">IF(LEFT(AU203,4)="True",0,(IF(LEFT(AC203,4)="True",IF(_xlfn.XLOOKUP("Src_IsAny",'Scoring_Config'!$A:$A,'Scoring_Config'!$D:$D,"Yes")="Yes",_xlfn.XLOOKUP("Src_IsAny",'Scoring_Config'!$A:$A,'Scoring_Config'!$C:$C,25),0),0)+IF(LEFT(AD203,4)="True",IF(_xlfn.XLOOKUP("Src_CIDR_Le_16",'Scoring_Config'!$A:$A,'Scoring_Config'!$D:$D,"Yes")="Yes",_xlfn.XLOOKUP("Src_CIDR_Le_16",'Scoring_Config'!$A:$A,'Scoring_Config'!$C:$C,25),0),0)+IF(LEFT(AE203,4)="True",IF(_xlfn.XLOOKUP("Src_CIDR_17_22",'Scoring_Config'!$A:$A,'Scoring_Config'!$D:$D,"Yes")="Yes",_xlfn.XLOOKUP("Src_CIDR_17_22",'Scoring_Config'!$A:$A,'Scoring_Config'!$C:$C,15),0),0)+IF(LEFT(AF203,4)="True",IF(_xlfn.XLOOKUP("Dst_IsAny",'Scoring_Config'!$A:$A,'Scoring_Config'!$D:$D,"Yes")="Yes",_xlfn.XLOOKUP("Dst_IsAny",'Scoring_Config'!$A:$A,'Scoring_Config'!$C:$C,25),0),0)+IF(LEFT(AG203,4)="True",IF(_xlfn.XLOOKUP("Dst_CIDR_Le_16",'Scoring_Config'!$A:$A,'Scoring_Config'!$D:$D,"Yes")="Yes",_xlfn.XLOOKUP("Dst_CIDR_Le_16",'Scoring_Config'!$A:$A,'Scoring_Config'!$C:$C,25),0),0)+IF(LEFT(AH203,4)="True",IF(_xlfn.XLOOKUP("Dst_CIDR_17_22",'Scoring_Config'!$A:$A,'Scoring_Config'!$D:$D,"Yes")="Yes",_xlfn.XLOOKUP("Dst_CIDR_17_22",'Scoring_Config'!$A:$A,'Scoring_Config'!$C:$C,15),0),0)+IF(LEFT(AI203,4)="True",IF(_xlfn.XLOOKUP("SrcZone_IsAny",'Scoring_Config'!$A:$A,'Scoring_Config'!$D:$D,"Yes")="Yes",_xlfn.XLOOKUP("SrcZone_IsAny",'Scoring_Config'!$A:$A,'Scoring_Config'!$C:$C,5),0),0)+IF(LEFT(AJ203,4)="True",IF(_xlfn.XLOOKUP("DstZone_IsAny",'Scoring_Config'!$A:$A,'Scoring_Config'!$D:$D,"Yes")="Yes",_xlfn.XLOOKUP("DstZone_IsAny",'Scoring_Config'!$A:$A,'Scoring_Config'!$C:$C,5),0),0)+IF(LEFT(AK203,4)="True",IF(_xlfn.XLOOKUP("Service_Any_OR_RangeGt1000",'Scoring_Config'!$A:$A,'Scoring_Config'!$D:$D,"Yes")="Yes",_xlfn.XLOOKUP("Service_Any_OR_RangeGt1000",'Scoring_Config'!$A:$A,'Scoring_Config'!$C:$C,25),0),0)+IF(LEFT(AL203,4)="True",IF(_xlfn.XLOOKUP("App_Any_OR_RangeGt1000",'Scoring_Config'!$A:$A,'Scoring_Config'!$D:$D,"Yes")="Yes",_xlfn.XLOOKUP("App_Any_OR_RangeGt1000",'Scoring_Config'!$A:$A,'Scoring_Config'!$C:$C,25),0),0)+IF(LEFT(AM203,4)="True",IF(_xlfn.XLOOKUP("Service_Insecure_Match",'Scoring_Config'!$A:$A,'Scoring_Config'!$D:$D,"Yes")="Yes",_xlfn.XLOOKUP("Service_Insecure_Match",'Scoring_Config'!$A:$A,'Scoring_Config'!$C:$C,20),0),0)+IF(LEFT(AN203,4)="True",IF(_xlfn.XLOOKUP("Risky_Inbound",'Scoring_Config'!$A:$A,'Scoring_Config'!$D:$D,"Yes")="Yes",_xlfn.XLOOKUP("Risky_Inbound",'Scoring_Config'!$A:$A,'Scoring_Config'!$C:$C,20),0),0)+IF(LEFT(AO203,4)="True",IF(_xlfn.XLOOKUP("Risky_Outbound",'Scoring_Config'!$A:$A,'Scoring_Config'!$D:$D,"Yes")="Yes",_xlfn.XLOOKUP("Risky_Outbound",'Scoring_Config'!$A:$A,'Scoring_Config'!$C:$C,10),0),0)+IF(LEFT(AW203,4)="True",IF(_xlfn.XLOOKUP("Migrate_Insecure",'Scoring_Config'!$A:$A,'Scoring_Config'!$D:$D,"Yes")="Yes",_xlfn.XLOOKUP("Migrate_Insecure",'Scoring_Config'!$A:$A,'Scoring_Config'!$C:$C,15),0),0)+IF(LEFT(AY203,4)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203,FIND(",",AP203)+1,100)),0)+IF(LEFT(AQ203,4)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203,FIND(",",AR203)+1,100)),0)+IF(_xlfn.XLOOKUP("Profile_Scoring",'Scoring_Config'!$A:$A,'Scoring_Config'!$D:$D,"Yes")="Yes",VALUE(MID(AS203,FIND(",",AS203)+1,100)),0)+IF(_xlfn.XLOOKUP("Options_Scoring",'Scoring_Config'!$A:$A,'Scoring_Config'!$D:$D,"Yes")="Yes",VALUE(MID(AT203,FIND(",",AT203)+1,100)),0)))</f>
        <v>0</v>
      </c>
    </row>
    <row r="204" spans="1:52">
      <c r="A204" s="3" t="s">
        <v>53</v>
      </c>
      <c r="B204" s="3" t="s">
        <v>200</v>
      </c>
      <c r="C204" s="3" t="s">
        <v>330</v>
      </c>
      <c r="D204" s="3"/>
      <c r="E204" s="3" t="s">
        <v>359</v>
      </c>
      <c r="F204" s="3" t="s">
        <v>363</v>
      </c>
      <c r="G204" s="3" t="s">
        <v>365</v>
      </c>
      <c r="H204" s="3" t="s">
        <v>365</v>
      </c>
      <c r="I204" s="3" t="s">
        <v>625</v>
      </c>
      <c r="J204" s="3" t="s">
        <v>360</v>
      </c>
      <c r="K204" s="3" t="s">
        <v>365</v>
      </c>
      <c r="L204" s="3" t="s">
        <v>365</v>
      </c>
      <c r="M204" s="3" t="s">
        <v>774</v>
      </c>
      <c r="N204" s="3" t="s">
        <v>795</v>
      </c>
      <c r="O204" s="4" t="s">
        <v>830</v>
      </c>
      <c r="P204" s="3" t="s">
        <v>891</v>
      </c>
      <c r="Q204" s="3" t="s">
        <v>904</v>
      </c>
      <c r="R204" s="3" t="s">
        <v>906</v>
      </c>
      <c r="S204" s="3" t="s">
        <v>914</v>
      </c>
      <c r="T204" s="3" t="s">
        <v>1035</v>
      </c>
      <c r="U204" s="3" t="s">
        <v>1145</v>
      </c>
      <c r="V204" s="3" t="s">
        <v>772</v>
      </c>
      <c r="W204" s="3" t="s">
        <v>1511</v>
      </c>
      <c r="X204" s="3" t="s">
        <v>1808</v>
      </c>
      <c r="Y204" s="3" t="s">
        <v>2277</v>
      </c>
      <c r="Z204" s="3"/>
      <c r="AA204" s="3"/>
      <c r="AB204" s="3"/>
      <c r="AC204" s="5" cm="1">
        <f t="array" ref="AC204">IF(TRUE,"True," &amp; IF(_xlfn.XLOOKUP("Src_IsAny",'Scoring_Config'!$A:$A,'Scoring_Config'!$D:$D,"Yes")="Yes",_xlfn.XLOOKUP("Src_IsAny",'Scoring_Config'!$A:$A,'Scoring_Config'!$C:$C,25),0),"False,0")</f>
        <v>0</v>
      </c>
      <c r="AD204" s="4" cm="1">
        <f t="array" ref="AD204">IF(FALSE,"True," &amp; IF(_xlfn.XLOOKUP("Src_CIDR_Le_16",'Scoring_Config'!$A:$A,'Scoring_Config'!$D:$D,"Yes")="Yes",_xlfn.XLOOKUP("Src_CIDR_Le_16",'Scoring_Config'!$A:$A,'Scoring_Config'!$C:$C,25),0),"False,0")</f>
        <v>0</v>
      </c>
      <c r="AE204" s="4" cm="1">
        <f t="array" ref="AE204">IF(FALSE,"True," &amp; IF(_xlfn.XLOOKUP("Src_CIDR_17_22",'Scoring_Config'!$A:$A,'Scoring_Config'!$D:$D,"Yes")="Yes",_xlfn.XLOOKUP("Src_CIDR_17_22",'Scoring_Config'!$A:$A,'Scoring_Config'!$C:$C,15),0),"False,0")</f>
        <v>0</v>
      </c>
      <c r="AF204" s="5" cm="1">
        <f t="array" ref="AF204">IF(TRUE,"True," &amp; IF(_xlfn.XLOOKUP("Dst_IsAny",'Scoring_Config'!$A:$A,'Scoring_Config'!$D:$D,"Yes")="Yes",_xlfn.XLOOKUP("Dst_IsAny",'Scoring_Config'!$A:$A,'Scoring_Config'!$C:$C,25),0),"False,0")</f>
        <v>0</v>
      </c>
      <c r="AG204" s="4" cm="1">
        <f t="array" ref="AG204">IF(FALSE,"True," &amp; IF(_xlfn.XLOOKUP("Dst_CIDR_Le_16",'Scoring_Config'!$A:$A,'Scoring_Config'!$D:$D,"Yes")="Yes",_xlfn.XLOOKUP("Dst_CIDR_Le_16",'Scoring_Config'!$A:$A,'Scoring_Config'!$C:$C,25),0),"False,0")</f>
        <v>0</v>
      </c>
      <c r="AH204" s="4" cm="1">
        <f t="array" ref="AH204">IF(FALSE,"True," &amp; IF(_xlfn.XLOOKUP("Dst_CIDR_17_22",'Scoring_Config'!$A:$A,'Scoring_Config'!$D:$D,"Yes")="Yes",_xlfn.XLOOKUP("Dst_CIDR_17_22",'Scoring_Config'!$A:$A,'Scoring_Config'!$C:$C,15),0),"False,0")</f>
        <v>0</v>
      </c>
      <c r="AI204" s="4" cm="1">
        <f t="array" ref="AI204">IF(FALSE,"True," &amp; IF(_xlfn.XLOOKUP("SrcZone_IsAny",'Scoring_Config'!$A:$A,'Scoring_Config'!$D:$D,"Yes")="Yes",_xlfn.XLOOKUP("SrcZone_IsAny",'Scoring_Config'!$A:$A,'Scoring_Config'!$C:$C,5),0),"False,0")</f>
        <v>0</v>
      </c>
      <c r="AJ204" s="4" cm="1">
        <f t="array" ref="AJ204">IF(FALSE,"True," &amp; IF(_xlfn.XLOOKUP("DstZone_IsAny",'Scoring_Config'!$A:$A,'Scoring_Config'!$D:$D,"Yes")="Yes",_xlfn.XLOOKUP("DstZone_IsAny",'Scoring_Config'!$A:$A,'Scoring_Config'!$C:$C,5),0),"False,0")</f>
        <v>0</v>
      </c>
      <c r="AK204" s="4" cm="1">
        <f t="array" ref="AK20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4" s="4" cm="1">
        <f t="array" ref="AL204">IF(FALSE,"True," &amp; IF(_xlfn.XLOOKUP("App_Any_OR_RangeGt1000",'Scoring_Config'!$A:$A,'Scoring_Config'!$D:$D,"Yes")="Yes",_xlfn.XLOOKUP("App_Any_OR_RangeGt1000",'Scoring_Config'!$A:$A,'Scoring_Config'!$C:$C,25),0),"False,0")</f>
        <v>0</v>
      </c>
      <c r="AM204" s="5" cm="1">
        <f t="array" ref="AM204">IF(TRUE,"True," &amp; IF(_xlfn.XLOOKUP("Service_Insecure_Match",'Scoring_Config'!$A:$A,'Scoring_Config'!$D:$D,"Yes")="Yes",_xlfn.XLOOKUP("Service_Insecure_Match",'Scoring_Config'!$A:$A,'Scoring_Config'!$C:$C,20),0),"False,0")</f>
        <v>0</v>
      </c>
      <c r="AN204" s="4" cm="1">
        <f t="array" ref="AN204">IF(FALSE,"True," &amp; IF(_xlfn.XLOOKUP("Risky_Inbound",'Scoring_Config'!$A:$A,'Scoring_Config'!$D:$D,"Yes")="Yes",_xlfn.XLOOKUP("Risky_Inbound",'Scoring_Config'!$A:$A,'Scoring_Config'!$C:$C,20),0),"False,0")</f>
        <v>0</v>
      </c>
      <c r="AO204" s="4" cm="1">
        <f t="array" ref="AO204">IF(FALSE,"True," &amp; IF(_xlfn.XLOOKUP("Risky_Outbound",'Scoring_Config'!$A:$A,'Scoring_Config'!$D:$D,"Yes")="Yes",_xlfn.XLOOKUP("Risky_Outbound",'Scoring_Config'!$A:$A,'Scoring_Config'!$C:$C,10),0),"False,0")</f>
        <v>0</v>
      </c>
      <c r="AP204" s="5" t="s">
        <v>2595</v>
      </c>
      <c r="AQ204" s="5" cm="1">
        <f t="array" ref="AQ20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4" s="5" t="s">
        <v>2598</v>
      </c>
      <c r="AS204" s="4" t="s">
        <v>2592</v>
      </c>
      <c r="AT204" s="4" t="s">
        <v>2592</v>
      </c>
      <c r="AU204" s="5" cm="1">
        <f t="array" ref="AU204">IF(TRUE,"True," &amp; IF(_xlfn.XLOOKUP("Action_IsDenyOrDrop",'Scoring_Config'!$A:$A,'Scoring_Config'!$D:$D,"Yes")="Yes",_xlfn.XLOOKUP("Action_IsDenyOrDrop",'Scoring_Config'!$A:$A,'Scoring_Config'!$C:$C,0),0),"False,0")</f>
        <v>0</v>
      </c>
      <c r="AV204" s="4"/>
      <c r="AW204" s="4" cm="1">
        <f t="array" ref="AW204">IF(FALSE,"True," &amp; IF(_xlfn.XLOOKUP("Migrate_Insecure",'Scoring_Config'!$A:$A,'Scoring_Config'!$D:$D,"Yes")="Yes",_xlfn.XLOOKUP("Migrate_Insecure",'Scoring_Config'!$A:$A,'Scoring_Config'!$C:$C,15),0),"False,0")</f>
        <v>0</v>
      </c>
      <c r="AX204" s="4"/>
      <c r="AY204" s="4" cm="1">
        <f t="array" ref="AY204">IF(FALSE,"True," &amp; IF(_xlfn.XLOOKUP("Migrate_Other_Ports",'Scoring_Config'!$A:$A,'Scoring_Config'!$D:$D,"Yes")="Yes",_xlfn.XLOOKUP("Migrate_Other_Ports",'Scoring_Config'!$A:$A,'Scoring_Config'!$C:$C,5),0),"False,0")</f>
        <v>0</v>
      </c>
      <c r="AZ204" s="4" cm="1">
        <f t="array" ref="AZ204">IF(LEFT(AU204,4)="True",0,(IF(LEFT(AC204,4)="True",IF(_xlfn.XLOOKUP("Src_IsAny",'Scoring_Config'!$A:$A,'Scoring_Config'!$D:$D,"Yes")="Yes",_xlfn.XLOOKUP("Src_IsAny",'Scoring_Config'!$A:$A,'Scoring_Config'!$C:$C,25),0),0)+IF(LEFT(AD204,4)="True",IF(_xlfn.XLOOKUP("Src_CIDR_Le_16",'Scoring_Config'!$A:$A,'Scoring_Config'!$D:$D,"Yes")="Yes",_xlfn.XLOOKUP("Src_CIDR_Le_16",'Scoring_Config'!$A:$A,'Scoring_Config'!$C:$C,25),0),0)+IF(LEFT(AE204,4)="True",IF(_xlfn.XLOOKUP("Src_CIDR_17_22",'Scoring_Config'!$A:$A,'Scoring_Config'!$D:$D,"Yes")="Yes",_xlfn.XLOOKUP("Src_CIDR_17_22",'Scoring_Config'!$A:$A,'Scoring_Config'!$C:$C,15),0),0)+IF(LEFT(AF204,4)="True",IF(_xlfn.XLOOKUP("Dst_IsAny",'Scoring_Config'!$A:$A,'Scoring_Config'!$D:$D,"Yes")="Yes",_xlfn.XLOOKUP("Dst_IsAny",'Scoring_Config'!$A:$A,'Scoring_Config'!$C:$C,25),0),0)+IF(LEFT(AG204,4)="True",IF(_xlfn.XLOOKUP("Dst_CIDR_Le_16",'Scoring_Config'!$A:$A,'Scoring_Config'!$D:$D,"Yes")="Yes",_xlfn.XLOOKUP("Dst_CIDR_Le_16",'Scoring_Config'!$A:$A,'Scoring_Config'!$C:$C,25),0),0)+IF(LEFT(AH204,4)="True",IF(_xlfn.XLOOKUP("Dst_CIDR_17_22",'Scoring_Config'!$A:$A,'Scoring_Config'!$D:$D,"Yes")="Yes",_xlfn.XLOOKUP("Dst_CIDR_17_22",'Scoring_Config'!$A:$A,'Scoring_Config'!$C:$C,15),0),0)+IF(LEFT(AI204,4)="True",IF(_xlfn.XLOOKUP("SrcZone_IsAny",'Scoring_Config'!$A:$A,'Scoring_Config'!$D:$D,"Yes")="Yes",_xlfn.XLOOKUP("SrcZone_IsAny",'Scoring_Config'!$A:$A,'Scoring_Config'!$C:$C,5),0),0)+IF(LEFT(AJ204,4)="True",IF(_xlfn.XLOOKUP("DstZone_IsAny",'Scoring_Config'!$A:$A,'Scoring_Config'!$D:$D,"Yes")="Yes",_xlfn.XLOOKUP("DstZone_IsAny",'Scoring_Config'!$A:$A,'Scoring_Config'!$C:$C,5),0),0)+IF(LEFT(AK204,4)="True",IF(_xlfn.XLOOKUP("Service_Any_OR_RangeGt1000",'Scoring_Config'!$A:$A,'Scoring_Config'!$D:$D,"Yes")="Yes",_xlfn.XLOOKUP("Service_Any_OR_RangeGt1000",'Scoring_Config'!$A:$A,'Scoring_Config'!$C:$C,25),0),0)+IF(LEFT(AL204,4)="True",IF(_xlfn.XLOOKUP("App_Any_OR_RangeGt1000",'Scoring_Config'!$A:$A,'Scoring_Config'!$D:$D,"Yes")="Yes",_xlfn.XLOOKUP("App_Any_OR_RangeGt1000",'Scoring_Config'!$A:$A,'Scoring_Config'!$C:$C,25),0),0)+IF(LEFT(AM204,4)="True",IF(_xlfn.XLOOKUP("Service_Insecure_Match",'Scoring_Config'!$A:$A,'Scoring_Config'!$D:$D,"Yes")="Yes",_xlfn.XLOOKUP("Service_Insecure_Match",'Scoring_Config'!$A:$A,'Scoring_Config'!$C:$C,20),0),0)+IF(LEFT(AN204,4)="True",IF(_xlfn.XLOOKUP("Risky_Inbound",'Scoring_Config'!$A:$A,'Scoring_Config'!$D:$D,"Yes")="Yes",_xlfn.XLOOKUP("Risky_Inbound",'Scoring_Config'!$A:$A,'Scoring_Config'!$C:$C,20),0),0)+IF(LEFT(AO204,4)="True",IF(_xlfn.XLOOKUP("Risky_Outbound",'Scoring_Config'!$A:$A,'Scoring_Config'!$D:$D,"Yes")="Yes",_xlfn.XLOOKUP("Risky_Outbound",'Scoring_Config'!$A:$A,'Scoring_Config'!$C:$C,10),0),0)+IF(LEFT(AW204,4)="True",IF(_xlfn.XLOOKUP("Migrate_Insecure",'Scoring_Config'!$A:$A,'Scoring_Config'!$D:$D,"Yes")="Yes",_xlfn.XLOOKUP("Migrate_Insecure",'Scoring_Config'!$A:$A,'Scoring_Config'!$C:$C,15),0),0)+IF(LEFT(AY204,4)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204,FIND(",",AP204)+1,100)),0)+IF(LEFT(AQ204,4)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204,FIND(",",AR204)+1,100)),0)+IF(_xlfn.XLOOKUP("Profile_Scoring",'Scoring_Config'!$A:$A,'Scoring_Config'!$D:$D,"Yes")="Yes",VALUE(MID(AS204,FIND(",",AS204)+1,100)),0)+IF(_xlfn.XLOOKUP("Options_Scoring",'Scoring_Config'!$A:$A,'Scoring_Config'!$D:$D,"Yes")="Yes",VALUE(MID(AT204,FIND(",",AT204)+1,100)),0)))</f>
        <v>0</v>
      </c>
    </row>
    <row r="205" spans="1:52">
      <c r="A205" s="3" t="s">
        <v>53</v>
      </c>
      <c r="B205" s="3" t="s">
        <v>201</v>
      </c>
      <c r="C205" s="3" t="s">
        <v>330</v>
      </c>
      <c r="D205" s="3"/>
      <c r="E205" s="3" t="s">
        <v>359</v>
      </c>
      <c r="F205" s="3" t="s">
        <v>360</v>
      </c>
      <c r="G205" s="3" t="s">
        <v>365</v>
      </c>
      <c r="H205" s="3" t="s">
        <v>365</v>
      </c>
      <c r="I205" s="3" t="s">
        <v>622</v>
      </c>
      <c r="J205" s="3" t="s">
        <v>364</v>
      </c>
      <c r="K205" s="3" t="s">
        <v>674</v>
      </c>
      <c r="L205" s="3" t="s">
        <v>756</v>
      </c>
      <c r="M205" s="3" t="s">
        <v>770</v>
      </c>
      <c r="N205" s="3" t="s">
        <v>770</v>
      </c>
      <c r="O205" s="4" t="s">
        <v>806</v>
      </c>
      <c r="P205" s="3" t="s">
        <v>867</v>
      </c>
      <c r="Q205" s="3" t="s">
        <v>905</v>
      </c>
      <c r="R205" s="3" t="s">
        <v>906</v>
      </c>
      <c r="S205" s="3" t="s">
        <v>907</v>
      </c>
      <c r="T205" s="3" t="s">
        <v>1048</v>
      </c>
      <c r="U205" s="3" t="s">
        <v>1145</v>
      </c>
      <c r="V205" s="3" t="s">
        <v>772</v>
      </c>
      <c r="W205" s="3" t="s">
        <v>1002</v>
      </c>
      <c r="X205" s="3" t="s">
        <v>1809</v>
      </c>
      <c r="Y205" s="3" t="s">
        <v>2278</v>
      </c>
      <c r="Z205" s="3"/>
      <c r="AA205" s="3"/>
      <c r="AB205" s="3"/>
      <c r="AC205" s="5" cm="1">
        <f t="array" ref="AC205">IF(TRUE,"True," &amp; IF(_xlfn.XLOOKUP("Src_IsAny",'Scoring_Config'!$A:$A,'Scoring_Config'!$D:$D,"Yes")="Yes",_xlfn.XLOOKUP("Src_IsAny",'Scoring_Config'!$A:$A,'Scoring_Config'!$C:$C,25),0),"False,0")</f>
        <v>0</v>
      </c>
      <c r="AD205" s="4" cm="1">
        <f t="array" ref="AD205">IF(FALSE,"True," &amp; IF(_xlfn.XLOOKUP("Src_CIDR_Le_16",'Scoring_Config'!$A:$A,'Scoring_Config'!$D:$D,"Yes")="Yes",_xlfn.XLOOKUP("Src_CIDR_Le_16",'Scoring_Config'!$A:$A,'Scoring_Config'!$C:$C,25),0),"False,0")</f>
        <v>0</v>
      </c>
      <c r="AE205" s="4" cm="1">
        <f t="array" ref="AE205">IF(FALSE,"True," &amp; IF(_xlfn.XLOOKUP("Src_CIDR_17_22",'Scoring_Config'!$A:$A,'Scoring_Config'!$D:$D,"Yes")="Yes",_xlfn.XLOOKUP("Src_CIDR_17_22",'Scoring_Config'!$A:$A,'Scoring_Config'!$C:$C,15),0),"False,0")</f>
        <v>0</v>
      </c>
      <c r="AF205" s="4" cm="1">
        <f t="array" ref="AF205">IF(FALSE,"True," &amp; IF(_xlfn.XLOOKUP("Dst_IsAny",'Scoring_Config'!$A:$A,'Scoring_Config'!$D:$D,"Yes")="Yes",_xlfn.XLOOKUP("Dst_IsAny",'Scoring_Config'!$A:$A,'Scoring_Config'!$C:$C,25),0),"False,0")</f>
        <v>0</v>
      </c>
      <c r="AG205" s="5" cm="1">
        <f t="array" ref="AG205">IF(TRUE,"True," &amp; IF(_xlfn.XLOOKUP("Dst_CIDR_Le_16",'Scoring_Config'!$A:$A,'Scoring_Config'!$D:$D,"Yes")="Yes",_xlfn.XLOOKUP("Dst_CIDR_Le_16",'Scoring_Config'!$A:$A,'Scoring_Config'!$C:$C,25),0),"False,0")</f>
        <v>0</v>
      </c>
      <c r="AH205" s="4" cm="1">
        <f t="array" ref="AH205">IF(FALSE,"True," &amp; IF(_xlfn.XLOOKUP("Dst_CIDR_17_22",'Scoring_Config'!$A:$A,'Scoring_Config'!$D:$D,"Yes")="Yes",_xlfn.XLOOKUP("Dst_CIDR_17_22",'Scoring_Config'!$A:$A,'Scoring_Config'!$C:$C,15),0),"False,0")</f>
        <v>0</v>
      </c>
      <c r="AI205" s="4" cm="1">
        <f t="array" ref="AI205">IF(FALSE,"True," &amp; IF(_xlfn.XLOOKUP("SrcZone_IsAny",'Scoring_Config'!$A:$A,'Scoring_Config'!$D:$D,"Yes")="Yes",_xlfn.XLOOKUP("SrcZone_IsAny",'Scoring_Config'!$A:$A,'Scoring_Config'!$C:$C,5),0),"False,0")</f>
        <v>0</v>
      </c>
      <c r="AJ205" s="4" cm="1">
        <f t="array" ref="AJ205">IF(FALSE,"True," &amp; IF(_xlfn.XLOOKUP("DstZone_IsAny",'Scoring_Config'!$A:$A,'Scoring_Config'!$D:$D,"Yes")="Yes",_xlfn.XLOOKUP("DstZone_IsAny",'Scoring_Config'!$A:$A,'Scoring_Config'!$C:$C,5),0),"False,0")</f>
        <v>0</v>
      </c>
      <c r="AK205" s="4" cm="1">
        <f t="array" ref="AK20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5" s="4" cm="1">
        <f t="array" ref="AL205">IF(FALSE,"True," &amp; IF(_xlfn.XLOOKUP("App_Any_OR_RangeGt1000",'Scoring_Config'!$A:$A,'Scoring_Config'!$D:$D,"Yes")="Yes",_xlfn.XLOOKUP("App_Any_OR_RangeGt1000",'Scoring_Config'!$A:$A,'Scoring_Config'!$C:$C,25),0),"False,0")</f>
        <v>0</v>
      </c>
      <c r="AM205" s="5" cm="1">
        <f t="array" ref="AM205">IF(TRUE,"True," &amp; IF(_xlfn.XLOOKUP("Service_Insecure_Match",'Scoring_Config'!$A:$A,'Scoring_Config'!$D:$D,"Yes")="Yes",_xlfn.XLOOKUP("Service_Insecure_Match",'Scoring_Config'!$A:$A,'Scoring_Config'!$C:$C,20),0),"False,0")</f>
        <v>0</v>
      </c>
      <c r="AN205" s="4" cm="1">
        <f t="array" ref="AN205">IF(FALSE,"True," &amp; IF(_xlfn.XLOOKUP("Risky_Inbound",'Scoring_Config'!$A:$A,'Scoring_Config'!$D:$D,"Yes")="Yes",_xlfn.XLOOKUP("Risky_Inbound",'Scoring_Config'!$A:$A,'Scoring_Config'!$C:$C,20),0),"False,0")</f>
        <v>0</v>
      </c>
      <c r="AO205" s="4" cm="1">
        <f t="array" ref="AO205">IF(FALSE,"True," &amp; IF(_xlfn.XLOOKUP("Risky_Outbound",'Scoring_Config'!$A:$A,'Scoring_Config'!$D:$D,"Yes")="Yes",_xlfn.XLOOKUP("Risky_Outbound",'Scoring_Config'!$A:$A,'Scoring_Config'!$C:$C,10),0),"False,0")</f>
        <v>0</v>
      </c>
      <c r="AP205" s="5" t="s">
        <v>2595</v>
      </c>
      <c r="AQ205" s="5" cm="1">
        <f t="array" ref="AQ20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5" s="5" t="s">
        <v>2598</v>
      </c>
      <c r="AS205" s="4" t="s">
        <v>2592</v>
      </c>
      <c r="AT205" s="5" t="s">
        <v>2595</v>
      </c>
      <c r="AU205" s="4" cm="1">
        <f t="array" ref="AU205">IF(FALSE,"True," &amp; IF(_xlfn.XLOOKUP("Action_IsDenyOrDrop",'Scoring_Config'!$A:$A,'Scoring_Config'!$D:$D,"Yes")="Yes",_xlfn.XLOOKUP("Action_IsDenyOrDrop",'Scoring_Config'!$A:$A,'Scoring_Config'!$C:$C,0),0),"False,0")</f>
        <v>0</v>
      </c>
      <c r="AV205" s="4"/>
      <c r="AW205" s="4" cm="1">
        <f t="array" ref="AW205">IF(FALSE,"True," &amp; IF(_xlfn.XLOOKUP("Migrate_Insecure",'Scoring_Config'!$A:$A,'Scoring_Config'!$D:$D,"Yes")="Yes",_xlfn.XLOOKUP("Migrate_Insecure",'Scoring_Config'!$A:$A,'Scoring_Config'!$C:$C,15),0),"False,0")</f>
        <v>0</v>
      </c>
      <c r="AX205" s="4"/>
      <c r="AY205" s="4" cm="1">
        <f t="array" ref="AY205">IF(FALSE,"True," &amp; IF(_xlfn.XLOOKUP("Migrate_Other_Ports",'Scoring_Config'!$A:$A,'Scoring_Config'!$D:$D,"Yes")="Yes",_xlfn.XLOOKUP("Migrate_Other_Ports",'Scoring_Config'!$A:$A,'Scoring_Config'!$C:$C,5),0),"False,0")</f>
        <v>0</v>
      </c>
      <c r="AZ205" s="4" cm="1">
        <f t="array" ref="AZ205">IF(LEFT(AU205,4)="True",0,(IF(LEFT(AC205,4)="True",IF(_xlfn.XLOOKUP("Src_IsAny",'Scoring_Config'!$A:$A,'Scoring_Config'!$D:$D,"Yes")="Yes",_xlfn.XLOOKUP("Src_IsAny",'Scoring_Config'!$A:$A,'Scoring_Config'!$C:$C,25),0),0)+IF(LEFT(AD205,4)="True",IF(_xlfn.XLOOKUP("Src_CIDR_Le_16",'Scoring_Config'!$A:$A,'Scoring_Config'!$D:$D,"Yes")="Yes",_xlfn.XLOOKUP("Src_CIDR_Le_16",'Scoring_Config'!$A:$A,'Scoring_Config'!$C:$C,25),0),0)+IF(LEFT(AE205,4)="True",IF(_xlfn.XLOOKUP("Src_CIDR_17_22",'Scoring_Config'!$A:$A,'Scoring_Config'!$D:$D,"Yes")="Yes",_xlfn.XLOOKUP("Src_CIDR_17_22",'Scoring_Config'!$A:$A,'Scoring_Config'!$C:$C,15),0),0)+IF(LEFT(AF205,4)="True",IF(_xlfn.XLOOKUP("Dst_IsAny",'Scoring_Config'!$A:$A,'Scoring_Config'!$D:$D,"Yes")="Yes",_xlfn.XLOOKUP("Dst_IsAny",'Scoring_Config'!$A:$A,'Scoring_Config'!$C:$C,25),0),0)+IF(LEFT(AG205,4)="True",IF(_xlfn.XLOOKUP("Dst_CIDR_Le_16",'Scoring_Config'!$A:$A,'Scoring_Config'!$D:$D,"Yes")="Yes",_xlfn.XLOOKUP("Dst_CIDR_Le_16",'Scoring_Config'!$A:$A,'Scoring_Config'!$C:$C,25),0),0)+IF(LEFT(AH205,4)="True",IF(_xlfn.XLOOKUP("Dst_CIDR_17_22",'Scoring_Config'!$A:$A,'Scoring_Config'!$D:$D,"Yes")="Yes",_xlfn.XLOOKUP("Dst_CIDR_17_22",'Scoring_Config'!$A:$A,'Scoring_Config'!$C:$C,15),0),0)+IF(LEFT(AI205,4)="True",IF(_xlfn.XLOOKUP("SrcZone_IsAny",'Scoring_Config'!$A:$A,'Scoring_Config'!$D:$D,"Yes")="Yes",_xlfn.XLOOKUP("SrcZone_IsAny",'Scoring_Config'!$A:$A,'Scoring_Config'!$C:$C,5),0),0)+IF(LEFT(AJ205,4)="True",IF(_xlfn.XLOOKUP("DstZone_IsAny",'Scoring_Config'!$A:$A,'Scoring_Config'!$D:$D,"Yes")="Yes",_xlfn.XLOOKUP("DstZone_IsAny",'Scoring_Config'!$A:$A,'Scoring_Config'!$C:$C,5),0),0)+IF(LEFT(AK205,4)="True",IF(_xlfn.XLOOKUP("Service_Any_OR_RangeGt1000",'Scoring_Config'!$A:$A,'Scoring_Config'!$D:$D,"Yes")="Yes",_xlfn.XLOOKUP("Service_Any_OR_RangeGt1000",'Scoring_Config'!$A:$A,'Scoring_Config'!$C:$C,25),0),0)+IF(LEFT(AL205,4)="True",IF(_xlfn.XLOOKUP("App_Any_OR_RangeGt1000",'Scoring_Config'!$A:$A,'Scoring_Config'!$D:$D,"Yes")="Yes",_xlfn.XLOOKUP("App_Any_OR_RangeGt1000",'Scoring_Config'!$A:$A,'Scoring_Config'!$C:$C,25),0),0)+IF(LEFT(AM205,4)="True",IF(_xlfn.XLOOKUP("Service_Insecure_Match",'Scoring_Config'!$A:$A,'Scoring_Config'!$D:$D,"Yes")="Yes",_xlfn.XLOOKUP("Service_Insecure_Match",'Scoring_Config'!$A:$A,'Scoring_Config'!$C:$C,20),0),0)+IF(LEFT(AN205,4)="True",IF(_xlfn.XLOOKUP("Risky_Inbound",'Scoring_Config'!$A:$A,'Scoring_Config'!$D:$D,"Yes")="Yes",_xlfn.XLOOKUP("Risky_Inbound",'Scoring_Config'!$A:$A,'Scoring_Config'!$C:$C,20),0),0)+IF(LEFT(AO205,4)="True",IF(_xlfn.XLOOKUP("Risky_Outbound",'Scoring_Config'!$A:$A,'Scoring_Config'!$D:$D,"Yes")="Yes",_xlfn.XLOOKUP("Risky_Outbound",'Scoring_Config'!$A:$A,'Scoring_Config'!$C:$C,10),0),0)+IF(LEFT(AW205,4)="True",IF(_xlfn.XLOOKUP("Migrate_Insecure",'Scoring_Config'!$A:$A,'Scoring_Config'!$D:$D,"Yes")="Yes",_xlfn.XLOOKUP("Migrate_Insecure",'Scoring_Config'!$A:$A,'Scoring_Config'!$C:$C,15),0),0)+IF(LEFT(AY205,4)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205,FIND(",",AP205)+1,100)),0)+IF(LEFT(AQ205,4)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205,FIND(",",AR205)+1,100)),0)+IF(_xlfn.XLOOKUP("Profile_Scoring",'Scoring_Config'!$A:$A,'Scoring_Config'!$D:$D,"Yes")="Yes",VALUE(MID(AS205,FIND(",",AS205)+1,100)),0)+IF(_xlfn.XLOOKUP("Options_Scoring",'Scoring_Config'!$A:$A,'Scoring_Config'!$D:$D,"Yes")="Yes",VALUE(MID(AT205,FIND(",",AT205)+1,100)),0)))</f>
        <v>0</v>
      </c>
    </row>
    <row r="206" spans="1:52">
      <c r="A206" s="3" t="s">
        <v>53</v>
      </c>
      <c r="B206" s="3" t="s">
        <v>68</v>
      </c>
      <c r="C206" s="3" t="s">
        <v>330</v>
      </c>
      <c r="D206" s="3"/>
      <c r="E206" s="3" t="s">
        <v>359</v>
      </c>
      <c r="F206" s="3" t="s">
        <v>361</v>
      </c>
      <c r="G206" s="3" t="s">
        <v>441</v>
      </c>
      <c r="H206" s="3" t="s">
        <v>577</v>
      </c>
      <c r="I206" s="3" t="s">
        <v>622</v>
      </c>
      <c r="J206" s="3" t="s">
        <v>362</v>
      </c>
      <c r="K206" s="3" t="s">
        <v>417</v>
      </c>
      <c r="L206" s="3" t="s">
        <v>569</v>
      </c>
      <c r="M206" s="3" t="s">
        <v>776</v>
      </c>
      <c r="N206" s="3" t="s">
        <v>791</v>
      </c>
      <c r="O206" s="4" t="s">
        <v>812</v>
      </c>
      <c r="P206" s="3" t="s">
        <v>873</v>
      </c>
      <c r="Q206" s="3" t="s">
        <v>905</v>
      </c>
      <c r="R206" s="3" t="s">
        <v>908</v>
      </c>
      <c r="S206" s="3" t="s">
        <v>914</v>
      </c>
      <c r="T206" s="3" t="s">
        <v>1049</v>
      </c>
      <c r="U206" s="3" t="s">
        <v>1251</v>
      </c>
      <c r="V206" s="3" t="s">
        <v>1388</v>
      </c>
      <c r="W206" s="3" t="s">
        <v>1032</v>
      </c>
      <c r="X206" s="3" t="s">
        <v>1810</v>
      </c>
      <c r="Y206" s="3" t="s">
        <v>2279</v>
      </c>
      <c r="Z206" s="3"/>
      <c r="AA206" s="3"/>
      <c r="AB206" s="3"/>
      <c r="AC206" s="4" cm="1">
        <f t="array" ref="AC206">IF(FALSE,"True," &amp; IF(_xlfn.XLOOKUP("Src_IsAny",'Scoring_Config'!$A:$A,'Scoring_Config'!$D:$D,"Yes")="Yes",_xlfn.XLOOKUP("Src_IsAny",'Scoring_Config'!$A:$A,'Scoring_Config'!$C:$C,25),0),"False,0")</f>
        <v>0</v>
      </c>
      <c r="AD206" s="4" cm="1">
        <f t="array" ref="AD206">IF(FALSE,"True," &amp; IF(_xlfn.XLOOKUP("Src_CIDR_Le_16",'Scoring_Config'!$A:$A,'Scoring_Config'!$D:$D,"Yes")="Yes",_xlfn.XLOOKUP("Src_CIDR_Le_16",'Scoring_Config'!$A:$A,'Scoring_Config'!$C:$C,25),0),"False,0")</f>
        <v>0</v>
      </c>
      <c r="AE206" s="4" cm="1">
        <f t="array" ref="AE206">IF(FALSE,"True," &amp; IF(_xlfn.XLOOKUP("Src_CIDR_17_22",'Scoring_Config'!$A:$A,'Scoring_Config'!$D:$D,"Yes")="Yes",_xlfn.XLOOKUP("Src_CIDR_17_22",'Scoring_Config'!$A:$A,'Scoring_Config'!$C:$C,15),0),"False,0")</f>
        <v>0</v>
      </c>
      <c r="AF206" s="4" cm="1">
        <f t="array" ref="AF206">IF(FALSE,"True," &amp; IF(_xlfn.XLOOKUP("Dst_IsAny",'Scoring_Config'!$A:$A,'Scoring_Config'!$D:$D,"Yes")="Yes",_xlfn.XLOOKUP("Dst_IsAny",'Scoring_Config'!$A:$A,'Scoring_Config'!$C:$C,25),0),"False,0")</f>
        <v>0</v>
      </c>
      <c r="AG206" s="5" cm="1">
        <f t="array" ref="AG206">IF(TRUE,"True," &amp; IF(_xlfn.XLOOKUP("Dst_CIDR_Le_16",'Scoring_Config'!$A:$A,'Scoring_Config'!$D:$D,"Yes")="Yes",_xlfn.XLOOKUP("Dst_CIDR_Le_16",'Scoring_Config'!$A:$A,'Scoring_Config'!$C:$C,25),0),"False,0")</f>
        <v>0</v>
      </c>
      <c r="AH206" s="4" cm="1">
        <f t="array" ref="AH206">IF(FALSE,"True," &amp; IF(_xlfn.XLOOKUP("Dst_CIDR_17_22",'Scoring_Config'!$A:$A,'Scoring_Config'!$D:$D,"Yes")="Yes",_xlfn.XLOOKUP("Dst_CIDR_17_22",'Scoring_Config'!$A:$A,'Scoring_Config'!$C:$C,15),0),"False,0")</f>
        <v>0</v>
      </c>
      <c r="AI206" s="4" cm="1">
        <f t="array" ref="AI206">IF(FALSE,"True," &amp; IF(_xlfn.XLOOKUP("SrcZone_IsAny",'Scoring_Config'!$A:$A,'Scoring_Config'!$D:$D,"Yes")="Yes",_xlfn.XLOOKUP("SrcZone_IsAny",'Scoring_Config'!$A:$A,'Scoring_Config'!$C:$C,5),0),"False,0")</f>
        <v>0</v>
      </c>
      <c r="AJ206" s="4" cm="1">
        <f t="array" ref="AJ206">IF(FALSE,"True," &amp; IF(_xlfn.XLOOKUP("DstZone_IsAny",'Scoring_Config'!$A:$A,'Scoring_Config'!$D:$D,"Yes")="Yes",_xlfn.XLOOKUP("DstZone_IsAny",'Scoring_Config'!$A:$A,'Scoring_Config'!$C:$C,5),0),"False,0")</f>
        <v>0</v>
      </c>
      <c r="AK206" s="4" cm="1">
        <f t="array" ref="AK20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6" s="5" cm="1">
        <f t="array" ref="AL206">IF(TRUE,"True," &amp; IF(_xlfn.XLOOKUP("App_Any_OR_RangeGt1000",'Scoring_Config'!$A:$A,'Scoring_Config'!$D:$D,"Yes")="Yes",_xlfn.XLOOKUP("App_Any_OR_RangeGt1000",'Scoring_Config'!$A:$A,'Scoring_Config'!$C:$C,25),0),"False,0")</f>
        <v>0</v>
      </c>
      <c r="AM206" s="4" cm="1">
        <f t="array" ref="AM206">IF(FALSE,"True," &amp; IF(_xlfn.XLOOKUP("Service_Insecure_Match",'Scoring_Config'!$A:$A,'Scoring_Config'!$D:$D,"Yes")="Yes",_xlfn.XLOOKUP("Service_Insecure_Match",'Scoring_Config'!$A:$A,'Scoring_Config'!$C:$C,20),0),"False,0")</f>
        <v>0</v>
      </c>
      <c r="AN206" s="4" cm="1">
        <f t="array" ref="AN206">IF(FALSE,"True," &amp; IF(_xlfn.XLOOKUP("Risky_Inbound",'Scoring_Config'!$A:$A,'Scoring_Config'!$D:$D,"Yes")="Yes",_xlfn.XLOOKUP("Risky_Inbound",'Scoring_Config'!$A:$A,'Scoring_Config'!$C:$C,20),0),"False,0")</f>
        <v>0</v>
      </c>
      <c r="AO206" s="4" cm="1">
        <f t="array" ref="AO206">IF(FALSE,"True," &amp; IF(_xlfn.XLOOKUP("Risky_Outbound",'Scoring_Config'!$A:$A,'Scoring_Config'!$D:$D,"Yes")="Yes",_xlfn.XLOOKUP("Risky_Outbound",'Scoring_Config'!$A:$A,'Scoring_Config'!$C:$C,10),0),"False,0")</f>
        <v>0</v>
      </c>
      <c r="AP206" s="5" t="s">
        <v>2595</v>
      </c>
      <c r="AQ206" s="4" cm="1">
        <f t="array" ref="AQ20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6" s="5" t="s">
        <v>2598</v>
      </c>
      <c r="AS206" s="4" t="s">
        <v>2592</v>
      </c>
      <c r="AT206" s="4" t="s">
        <v>2592</v>
      </c>
      <c r="AU206" s="4" cm="1">
        <f t="array" ref="AU206">IF(FALSE,"True," &amp; IF(_xlfn.XLOOKUP("Action_IsDenyOrDrop",'Scoring_Config'!$A:$A,'Scoring_Config'!$D:$D,"Yes")="Yes",_xlfn.XLOOKUP("Action_IsDenyOrDrop",'Scoring_Config'!$A:$A,'Scoring_Config'!$C:$C,0),0),"False,0")</f>
        <v>0</v>
      </c>
      <c r="AV206" s="4"/>
      <c r="AW206" s="4" cm="1">
        <f t="array" ref="AW206">IF(FALSE,"True," &amp; IF(_xlfn.XLOOKUP("Migrate_Insecure",'Scoring_Config'!$A:$A,'Scoring_Config'!$D:$D,"Yes")="Yes",_xlfn.XLOOKUP("Migrate_Insecure",'Scoring_Config'!$A:$A,'Scoring_Config'!$C:$C,15),0),"False,0")</f>
        <v>0</v>
      </c>
      <c r="AX206" s="4"/>
      <c r="AY206" s="4" cm="1">
        <f t="array" ref="AY206">IF(FALSE,"True," &amp; IF(_xlfn.XLOOKUP("Migrate_Other_Ports",'Scoring_Config'!$A:$A,'Scoring_Config'!$D:$D,"Yes")="Yes",_xlfn.XLOOKUP("Migrate_Other_Ports",'Scoring_Config'!$A:$A,'Scoring_Config'!$C:$C,5),0),"False,0")</f>
        <v>0</v>
      </c>
      <c r="AZ206" s="4" cm="1">
        <f t="array" ref="AZ206">IF(LEFT(AU206,4)="True",0,(IF(LEFT(AC206,4)="True",IF(_xlfn.XLOOKUP("Src_IsAny",'Scoring_Config'!$A:$A,'Scoring_Config'!$D:$D,"Yes")="Yes",_xlfn.XLOOKUP("Src_IsAny",'Scoring_Config'!$A:$A,'Scoring_Config'!$C:$C,25),0),0)+IF(LEFT(AD206,4)="True",IF(_xlfn.XLOOKUP("Src_CIDR_Le_16",'Scoring_Config'!$A:$A,'Scoring_Config'!$D:$D,"Yes")="Yes",_xlfn.XLOOKUP("Src_CIDR_Le_16",'Scoring_Config'!$A:$A,'Scoring_Config'!$C:$C,25),0),0)+IF(LEFT(AE206,4)="True",IF(_xlfn.XLOOKUP("Src_CIDR_17_22",'Scoring_Config'!$A:$A,'Scoring_Config'!$D:$D,"Yes")="Yes",_xlfn.XLOOKUP("Src_CIDR_17_22",'Scoring_Config'!$A:$A,'Scoring_Config'!$C:$C,15),0),0)+IF(LEFT(AF206,4)="True",IF(_xlfn.XLOOKUP("Dst_IsAny",'Scoring_Config'!$A:$A,'Scoring_Config'!$D:$D,"Yes")="Yes",_xlfn.XLOOKUP("Dst_IsAny",'Scoring_Config'!$A:$A,'Scoring_Config'!$C:$C,25),0),0)+IF(LEFT(AG206,4)="True",IF(_xlfn.XLOOKUP("Dst_CIDR_Le_16",'Scoring_Config'!$A:$A,'Scoring_Config'!$D:$D,"Yes")="Yes",_xlfn.XLOOKUP("Dst_CIDR_Le_16",'Scoring_Config'!$A:$A,'Scoring_Config'!$C:$C,25),0),0)+IF(LEFT(AH206,4)="True",IF(_xlfn.XLOOKUP("Dst_CIDR_17_22",'Scoring_Config'!$A:$A,'Scoring_Config'!$D:$D,"Yes")="Yes",_xlfn.XLOOKUP("Dst_CIDR_17_22",'Scoring_Config'!$A:$A,'Scoring_Config'!$C:$C,15),0),0)+IF(LEFT(AI206,4)="True",IF(_xlfn.XLOOKUP("SrcZone_IsAny",'Scoring_Config'!$A:$A,'Scoring_Config'!$D:$D,"Yes")="Yes",_xlfn.XLOOKUP("SrcZone_IsAny",'Scoring_Config'!$A:$A,'Scoring_Config'!$C:$C,5),0),0)+IF(LEFT(AJ206,4)="True",IF(_xlfn.XLOOKUP("DstZone_IsAny",'Scoring_Config'!$A:$A,'Scoring_Config'!$D:$D,"Yes")="Yes",_xlfn.XLOOKUP("DstZone_IsAny",'Scoring_Config'!$A:$A,'Scoring_Config'!$C:$C,5),0),0)+IF(LEFT(AK206,4)="True",IF(_xlfn.XLOOKUP("Service_Any_OR_RangeGt1000",'Scoring_Config'!$A:$A,'Scoring_Config'!$D:$D,"Yes")="Yes",_xlfn.XLOOKUP("Service_Any_OR_RangeGt1000",'Scoring_Config'!$A:$A,'Scoring_Config'!$C:$C,25),0),0)+IF(LEFT(AL206,4)="True",IF(_xlfn.XLOOKUP("App_Any_OR_RangeGt1000",'Scoring_Config'!$A:$A,'Scoring_Config'!$D:$D,"Yes")="Yes",_xlfn.XLOOKUP("App_Any_OR_RangeGt1000",'Scoring_Config'!$A:$A,'Scoring_Config'!$C:$C,25),0),0)+IF(LEFT(AM206,4)="True",IF(_xlfn.XLOOKUP("Service_Insecure_Match",'Scoring_Config'!$A:$A,'Scoring_Config'!$D:$D,"Yes")="Yes",_xlfn.XLOOKUP("Service_Insecure_Match",'Scoring_Config'!$A:$A,'Scoring_Config'!$C:$C,20),0),0)+IF(LEFT(AN206,4)="True",IF(_xlfn.XLOOKUP("Risky_Inbound",'Scoring_Config'!$A:$A,'Scoring_Config'!$D:$D,"Yes")="Yes",_xlfn.XLOOKUP("Risky_Inbound",'Scoring_Config'!$A:$A,'Scoring_Config'!$C:$C,20),0),0)+IF(LEFT(AO206,4)="True",IF(_xlfn.XLOOKUP("Risky_Outbound",'Scoring_Config'!$A:$A,'Scoring_Config'!$D:$D,"Yes")="Yes",_xlfn.XLOOKUP("Risky_Outbound",'Scoring_Config'!$A:$A,'Scoring_Config'!$C:$C,10),0),0)+IF(LEFT(AW206,4)="True",IF(_xlfn.XLOOKUP("Migrate_Insecure",'Scoring_Config'!$A:$A,'Scoring_Config'!$D:$D,"Yes")="Yes",_xlfn.XLOOKUP("Migrate_Insecure",'Scoring_Config'!$A:$A,'Scoring_Config'!$C:$C,15),0),0)+IF(LEFT(AY206,4)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206,FIND(",",AP206)+1,100)),0)+IF(LEFT(AQ206,4)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206,FIND(",",AR206)+1,100)),0)+IF(_xlfn.XLOOKUP("Profile_Scoring",'Scoring_Config'!$A:$A,'Scoring_Config'!$D:$D,"Yes")="Yes",VALUE(MID(AS206,FIND(",",AS206)+1,100)),0)+IF(_xlfn.XLOOKUP("Options_Scoring",'Scoring_Config'!$A:$A,'Scoring_Config'!$D:$D,"Yes")="Yes",VALUE(MID(AT206,FIND(",",AT206)+1,100)),0)))</f>
        <v>0</v>
      </c>
    </row>
    <row r="207" spans="1:52">
      <c r="A207" s="3" t="s">
        <v>53</v>
      </c>
      <c r="B207" s="3" t="s">
        <v>102</v>
      </c>
      <c r="C207" s="3" t="s">
        <v>330</v>
      </c>
      <c r="D207" s="3"/>
      <c r="E207" s="3" t="s">
        <v>359</v>
      </c>
      <c r="F207" s="3" t="s">
        <v>364</v>
      </c>
      <c r="G207" s="3" t="s">
        <v>365</v>
      </c>
      <c r="H207" s="3" t="s">
        <v>365</v>
      </c>
      <c r="I207" s="3" t="s">
        <v>625</v>
      </c>
      <c r="J207" s="3" t="s">
        <v>362</v>
      </c>
      <c r="K207" s="3" t="s">
        <v>408</v>
      </c>
      <c r="L207" s="3" t="s">
        <v>408</v>
      </c>
      <c r="M207" s="3" t="s">
        <v>365</v>
      </c>
      <c r="N207" s="3" t="s">
        <v>365</v>
      </c>
      <c r="O207" s="4" t="s">
        <v>812</v>
      </c>
      <c r="P207" s="3" t="s">
        <v>873</v>
      </c>
      <c r="Q207" s="3" t="s">
        <v>905</v>
      </c>
      <c r="R207" s="3" t="s">
        <v>908</v>
      </c>
      <c r="S207" s="3" t="s">
        <v>907</v>
      </c>
      <c r="T207" s="3" t="s">
        <v>1050</v>
      </c>
      <c r="U207" s="3" t="s">
        <v>1252</v>
      </c>
      <c r="V207" s="3" t="s">
        <v>1386</v>
      </c>
      <c r="W207" s="3" t="s">
        <v>1119</v>
      </c>
      <c r="X207" s="3" t="s">
        <v>1811</v>
      </c>
      <c r="Y207" s="3" t="s">
        <v>2280</v>
      </c>
      <c r="Z207" s="3"/>
      <c r="AA207" s="3"/>
      <c r="AB207" s="3"/>
      <c r="AC207" s="5" cm="1">
        <f t="array" ref="AC207">IF(TRUE,"True," &amp; IF(_xlfn.XLOOKUP("Src_IsAny",'Scoring_Config'!$A:$A,'Scoring_Config'!$D:$D,"Yes")="Yes",_xlfn.XLOOKUP("Src_IsAny",'Scoring_Config'!$A:$A,'Scoring_Config'!$C:$C,25),0),"False,0")</f>
        <v>0</v>
      </c>
      <c r="AD207" s="4" cm="1">
        <f t="array" ref="AD207">IF(FALSE,"True," &amp; IF(_xlfn.XLOOKUP("Src_CIDR_Le_16",'Scoring_Config'!$A:$A,'Scoring_Config'!$D:$D,"Yes")="Yes",_xlfn.XLOOKUP("Src_CIDR_Le_16",'Scoring_Config'!$A:$A,'Scoring_Config'!$C:$C,25),0),"False,0")</f>
        <v>0</v>
      </c>
      <c r="AE207" s="4" cm="1">
        <f t="array" ref="AE207">IF(FALSE,"True," &amp; IF(_xlfn.XLOOKUP("Src_CIDR_17_22",'Scoring_Config'!$A:$A,'Scoring_Config'!$D:$D,"Yes")="Yes",_xlfn.XLOOKUP("Src_CIDR_17_22",'Scoring_Config'!$A:$A,'Scoring_Config'!$C:$C,15),0),"False,0")</f>
        <v>0</v>
      </c>
      <c r="AF207" s="4" cm="1">
        <f t="array" ref="AF207">IF(FALSE,"True," &amp; IF(_xlfn.XLOOKUP("Dst_IsAny",'Scoring_Config'!$A:$A,'Scoring_Config'!$D:$D,"Yes")="Yes",_xlfn.XLOOKUP("Dst_IsAny",'Scoring_Config'!$A:$A,'Scoring_Config'!$C:$C,25),0),"False,0")</f>
        <v>0</v>
      </c>
      <c r="AG207" s="5" cm="1">
        <f t="array" ref="AG207">IF(TRUE,"True," &amp; IF(_xlfn.XLOOKUP("Dst_CIDR_Le_16",'Scoring_Config'!$A:$A,'Scoring_Config'!$D:$D,"Yes")="Yes",_xlfn.XLOOKUP("Dst_CIDR_Le_16",'Scoring_Config'!$A:$A,'Scoring_Config'!$C:$C,25),0),"False,0")</f>
        <v>0</v>
      </c>
      <c r="AH207" s="4" cm="1">
        <f t="array" ref="AH207">IF(FALSE,"True," &amp; IF(_xlfn.XLOOKUP("Dst_CIDR_17_22",'Scoring_Config'!$A:$A,'Scoring_Config'!$D:$D,"Yes")="Yes",_xlfn.XLOOKUP("Dst_CIDR_17_22",'Scoring_Config'!$A:$A,'Scoring_Config'!$C:$C,15),0),"False,0")</f>
        <v>0</v>
      </c>
      <c r="AI207" s="4" cm="1">
        <f t="array" ref="AI207">IF(FALSE,"True," &amp; IF(_xlfn.XLOOKUP("SrcZone_IsAny",'Scoring_Config'!$A:$A,'Scoring_Config'!$D:$D,"Yes")="Yes",_xlfn.XLOOKUP("SrcZone_IsAny",'Scoring_Config'!$A:$A,'Scoring_Config'!$C:$C,5),0),"False,0")</f>
        <v>0</v>
      </c>
      <c r="AJ207" s="4" cm="1">
        <f t="array" ref="AJ207">IF(FALSE,"True," &amp; IF(_xlfn.XLOOKUP("DstZone_IsAny",'Scoring_Config'!$A:$A,'Scoring_Config'!$D:$D,"Yes")="Yes",_xlfn.XLOOKUP("DstZone_IsAny",'Scoring_Config'!$A:$A,'Scoring_Config'!$C:$C,5),0),"False,0")</f>
        <v>0</v>
      </c>
      <c r="AK207" s="4" cm="1">
        <f t="array" ref="AK20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7" s="5" cm="1">
        <f t="array" ref="AL207">IF(TRUE,"True," &amp; IF(_xlfn.XLOOKUP("App_Any_OR_RangeGt1000",'Scoring_Config'!$A:$A,'Scoring_Config'!$D:$D,"Yes")="Yes",_xlfn.XLOOKUP("App_Any_OR_RangeGt1000",'Scoring_Config'!$A:$A,'Scoring_Config'!$C:$C,25),0),"False,0")</f>
        <v>0</v>
      </c>
      <c r="AM207" s="4" cm="1">
        <f t="array" ref="AM207">IF(FALSE,"True," &amp; IF(_xlfn.XLOOKUP("Service_Insecure_Match",'Scoring_Config'!$A:$A,'Scoring_Config'!$D:$D,"Yes")="Yes",_xlfn.XLOOKUP("Service_Insecure_Match",'Scoring_Config'!$A:$A,'Scoring_Config'!$C:$C,20),0),"False,0")</f>
        <v>0</v>
      </c>
      <c r="AN207" s="4" cm="1">
        <f t="array" ref="AN207">IF(FALSE,"True," &amp; IF(_xlfn.XLOOKUP("Risky_Inbound",'Scoring_Config'!$A:$A,'Scoring_Config'!$D:$D,"Yes")="Yes",_xlfn.XLOOKUP("Risky_Inbound",'Scoring_Config'!$A:$A,'Scoring_Config'!$C:$C,20),0),"False,0")</f>
        <v>0</v>
      </c>
      <c r="AO207" s="4" cm="1">
        <f t="array" ref="AO207">IF(FALSE,"True," &amp; IF(_xlfn.XLOOKUP("Risky_Outbound",'Scoring_Config'!$A:$A,'Scoring_Config'!$D:$D,"Yes")="Yes",_xlfn.XLOOKUP("Risky_Outbound",'Scoring_Config'!$A:$A,'Scoring_Config'!$C:$C,10),0),"False,0")</f>
        <v>0</v>
      </c>
      <c r="AP207" s="5" t="s">
        <v>2595</v>
      </c>
      <c r="AQ207" s="4" cm="1">
        <f t="array" ref="AQ20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7" s="5" t="s">
        <v>2598</v>
      </c>
      <c r="AS207" s="4" t="s">
        <v>2592</v>
      </c>
      <c r="AT207" s="5" t="s">
        <v>2595</v>
      </c>
      <c r="AU207" s="4" cm="1">
        <f t="array" ref="AU207">IF(FALSE,"True," &amp; IF(_xlfn.XLOOKUP("Action_IsDenyOrDrop",'Scoring_Config'!$A:$A,'Scoring_Config'!$D:$D,"Yes")="Yes",_xlfn.XLOOKUP("Action_IsDenyOrDrop",'Scoring_Config'!$A:$A,'Scoring_Config'!$C:$C,0),0),"False,0")</f>
        <v>0</v>
      </c>
      <c r="AV207" s="4"/>
      <c r="AW207" s="4" cm="1">
        <f t="array" ref="AW207">IF(FALSE,"True," &amp; IF(_xlfn.XLOOKUP("Migrate_Insecure",'Scoring_Config'!$A:$A,'Scoring_Config'!$D:$D,"Yes")="Yes",_xlfn.XLOOKUP("Migrate_Insecure",'Scoring_Config'!$A:$A,'Scoring_Config'!$C:$C,15),0),"False,0")</f>
        <v>0</v>
      </c>
      <c r="AX207" s="4"/>
      <c r="AY207" s="4" cm="1">
        <f t="array" ref="AY207">IF(FALSE,"True," &amp; IF(_xlfn.XLOOKUP("Migrate_Other_Ports",'Scoring_Config'!$A:$A,'Scoring_Config'!$D:$D,"Yes")="Yes",_xlfn.XLOOKUP("Migrate_Other_Ports",'Scoring_Config'!$A:$A,'Scoring_Config'!$C:$C,5),0),"False,0")</f>
        <v>0</v>
      </c>
      <c r="AZ207" s="4" cm="1">
        <f t="array" ref="AZ207">IF(LEFT(AU207,4)="True",0,(IF(LEFT(AC207,4)="True",IF(_xlfn.XLOOKUP("Src_IsAny",'Scoring_Config'!$A:$A,'Scoring_Config'!$D:$D,"Yes")="Yes",_xlfn.XLOOKUP("Src_IsAny",'Scoring_Config'!$A:$A,'Scoring_Config'!$C:$C,25),0),0)+IF(LEFT(AD207,4)="True",IF(_xlfn.XLOOKUP("Src_CIDR_Le_16",'Scoring_Config'!$A:$A,'Scoring_Config'!$D:$D,"Yes")="Yes",_xlfn.XLOOKUP("Src_CIDR_Le_16",'Scoring_Config'!$A:$A,'Scoring_Config'!$C:$C,25),0),0)+IF(LEFT(AE207,4)="True",IF(_xlfn.XLOOKUP("Src_CIDR_17_22",'Scoring_Config'!$A:$A,'Scoring_Config'!$D:$D,"Yes")="Yes",_xlfn.XLOOKUP("Src_CIDR_17_22",'Scoring_Config'!$A:$A,'Scoring_Config'!$C:$C,15),0),0)+IF(LEFT(AF207,4)="True",IF(_xlfn.XLOOKUP("Dst_IsAny",'Scoring_Config'!$A:$A,'Scoring_Config'!$D:$D,"Yes")="Yes",_xlfn.XLOOKUP("Dst_IsAny",'Scoring_Config'!$A:$A,'Scoring_Config'!$C:$C,25),0),0)+IF(LEFT(AG207,4)="True",IF(_xlfn.XLOOKUP("Dst_CIDR_Le_16",'Scoring_Config'!$A:$A,'Scoring_Config'!$D:$D,"Yes")="Yes",_xlfn.XLOOKUP("Dst_CIDR_Le_16",'Scoring_Config'!$A:$A,'Scoring_Config'!$C:$C,25),0),0)+IF(LEFT(AH207,4)="True",IF(_xlfn.XLOOKUP("Dst_CIDR_17_22",'Scoring_Config'!$A:$A,'Scoring_Config'!$D:$D,"Yes")="Yes",_xlfn.XLOOKUP("Dst_CIDR_17_22",'Scoring_Config'!$A:$A,'Scoring_Config'!$C:$C,15),0),0)+IF(LEFT(AI207,4)="True",IF(_xlfn.XLOOKUP("SrcZone_IsAny",'Scoring_Config'!$A:$A,'Scoring_Config'!$D:$D,"Yes")="Yes",_xlfn.XLOOKUP("SrcZone_IsAny",'Scoring_Config'!$A:$A,'Scoring_Config'!$C:$C,5),0),0)+IF(LEFT(AJ207,4)="True",IF(_xlfn.XLOOKUP("DstZone_IsAny",'Scoring_Config'!$A:$A,'Scoring_Config'!$D:$D,"Yes")="Yes",_xlfn.XLOOKUP("DstZone_IsAny",'Scoring_Config'!$A:$A,'Scoring_Config'!$C:$C,5),0),0)+IF(LEFT(AK207,4)="True",IF(_xlfn.XLOOKUP("Service_Any_OR_RangeGt1000",'Scoring_Config'!$A:$A,'Scoring_Config'!$D:$D,"Yes")="Yes",_xlfn.XLOOKUP("Service_Any_OR_RangeGt1000",'Scoring_Config'!$A:$A,'Scoring_Config'!$C:$C,25),0),0)+IF(LEFT(AL207,4)="True",IF(_xlfn.XLOOKUP("App_Any_OR_RangeGt1000",'Scoring_Config'!$A:$A,'Scoring_Config'!$D:$D,"Yes")="Yes",_xlfn.XLOOKUP("App_Any_OR_RangeGt1000",'Scoring_Config'!$A:$A,'Scoring_Config'!$C:$C,25),0),0)+IF(LEFT(AM207,4)="True",IF(_xlfn.XLOOKUP("Service_Insecure_Match",'Scoring_Config'!$A:$A,'Scoring_Config'!$D:$D,"Yes")="Yes",_xlfn.XLOOKUP("Service_Insecure_Match",'Scoring_Config'!$A:$A,'Scoring_Config'!$C:$C,20),0),0)+IF(LEFT(AN207,4)="True",IF(_xlfn.XLOOKUP("Risky_Inbound",'Scoring_Config'!$A:$A,'Scoring_Config'!$D:$D,"Yes")="Yes",_xlfn.XLOOKUP("Risky_Inbound",'Scoring_Config'!$A:$A,'Scoring_Config'!$C:$C,20),0),0)+IF(LEFT(AO207,4)="True",IF(_xlfn.XLOOKUP("Risky_Outbound",'Scoring_Config'!$A:$A,'Scoring_Config'!$D:$D,"Yes")="Yes",_xlfn.XLOOKUP("Risky_Outbound",'Scoring_Config'!$A:$A,'Scoring_Config'!$C:$C,10),0),0)+IF(LEFT(AW207,4)="True",IF(_xlfn.XLOOKUP("Migrate_Insecure",'Scoring_Config'!$A:$A,'Scoring_Config'!$D:$D,"Yes")="Yes",_xlfn.XLOOKUP("Migrate_Insecure",'Scoring_Config'!$A:$A,'Scoring_Config'!$C:$C,15),0),0)+IF(LEFT(AY207,4)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207,FIND(",",AP207)+1,100)),0)+IF(LEFT(AQ207,4)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207,FIND(",",AR207)+1,100)),0)+IF(_xlfn.XLOOKUP("Profile_Scoring",'Scoring_Config'!$A:$A,'Scoring_Config'!$D:$D,"Yes")="Yes",VALUE(MID(AS207,FIND(",",AS207)+1,100)),0)+IF(_xlfn.XLOOKUP("Options_Scoring",'Scoring_Config'!$A:$A,'Scoring_Config'!$D:$D,"Yes")="Yes",VALUE(MID(AT207,FIND(",",AT207)+1,100)),0)))</f>
        <v>0</v>
      </c>
    </row>
    <row r="208" spans="1:52">
      <c r="A208" s="3" t="s">
        <v>53</v>
      </c>
      <c r="B208" s="3" t="s">
        <v>96</v>
      </c>
      <c r="C208" s="3" t="s">
        <v>330</v>
      </c>
      <c r="D208" s="3"/>
      <c r="E208" s="3" t="s">
        <v>359</v>
      </c>
      <c r="F208" s="3" t="s">
        <v>361</v>
      </c>
      <c r="G208" s="3" t="s">
        <v>365</v>
      </c>
      <c r="H208" s="3" t="s">
        <v>365</v>
      </c>
      <c r="I208" s="3" t="s">
        <v>622</v>
      </c>
      <c r="J208" s="3" t="s">
        <v>360</v>
      </c>
      <c r="K208" s="3" t="s">
        <v>365</v>
      </c>
      <c r="L208" s="3" t="s">
        <v>365</v>
      </c>
      <c r="M208" s="3" t="s">
        <v>365</v>
      </c>
      <c r="N208" s="3" t="s">
        <v>365</v>
      </c>
      <c r="O208" s="4" t="s">
        <v>814</v>
      </c>
      <c r="P208" s="3" t="s">
        <v>875</v>
      </c>
      <c r="Q208" s="3" t="s">
        <v>905</v>
      </c>
      <c r="R208" s="3" t="s">
        <v>907</v>
      </c>
      <c r="S208" s="3" t="s">
        <v>915</v>
      </c>
      <c r="T208" s="3" t="s">
        <v>919</v>
      </c>
      <c r="U208" s="3"/>
      <c r="V208" s="3" t="s">
        <v>770</v>
      </c>
      <c r="W208" s="3" t="s">
        <v>1477</v>
      </c>
      <c r="X208" s="3" t="s">
        <v>1812</v>
      </c>
      <c r="Y208" s="3" t="s">
        <v>2281</v>
      </c>
      <c r="Z208" s="3"/>
      <c r="AA208" s="3"/>
      <c r="AB208" s="3"/>
      <c r="AC208" s="5" cm="1">
        <f t="array" ref="AC208">IF(TRUE,"True," &amp; IF(_xlfn.XLOOKUP("Src_IsAny",'Scoring_Config'!$A:$A,'Scoring_Config'!$D:$D,"Yes")="Yes",_xlfn.XLOOKUP("Src_IsAny",'Scoring_Config'!$A:$A,'Scoring_Config'!$C:$C,25),0),"False,0")</f>
        <v>0</v>
      </c>
      <c r="AD208" s="4" cm="1">
        <f t="array" ref="AD208">IF(FALSE,"True," &amp; IF(_xlfn.XLOOKUP("Src_CIDR_Le_16",'Scoring_Config'!$A:$A,'Scoring_Config'!$D:$D,"Yes")="Yes",_xlfn.XLOOKUP("Src_CIDR_Le_16",'Scoring_Config'!$A:$A,'Scoring_Config'!$C:$C,25),0),"False,0")</f>
        <v>0</v>
      </c>
      <c r="AE208" s="4" cm="1">
        <f t="array" ref="AE208">IF(FALSE,"True," &amp; IF(_xlfn.XLOOKUP("Src_CIDR_17_22",'Scoring_Config'!$A:$A,'Scoring_Config'!$D:$D,"Yes")="Yes",_xlfn.XLOOKUP("Src_CIDR_17_22",'Scoring_Config'!$A:$A,'Scoring_Config'!$C:$C,15),0),"False,0")</f>
        <v>0</v>
      </c>
      <c r="AF208" s="5" cm="1">
        <f t="array" ref="AF208">IF(TRUE,"True," &amp; IF(_xlfn.XLOOKUP("Dst_IsAny",'Scoring_Config'!$A:$A,'Scoring_Config'!$D:$D,"Yes")="Yes",_xlfn.XLOOKUP("Dst_IsAny",'Scoring_Config'!$A:$A,'Scoring_Config'!$C:$C,25),0),"False,0")</f>
        <v>0</v>
      </c>
      <c r="AG208" s="4" cm="1">
        <f t="array" ref="AG208">IF(FALSE,"True," &amp; IF(_xlfn.XLOOKUP("Dst_CIDR_Le_16",'Scoring_Config'!$A:$A,'Scoring_Config'!$D:$D,"Yes")="Yes",_xlfn.XLOOKUP("Dst_CIDR_Le_16",'Scoring_Config'!$A:$A,'Scoring_Config'!$C:$C,25),0),"False,0")</f>
        <v>0</v>
      </c>
      <c r="AH208" s="4" cm="1">
        <f t="array" ref="AH208">IF(FALSE,"True," &amp; IF(_xlfn.XLOOKUP("Dst_CIDR_17_22",'Scoring_Config'!$A:$A,'Scoring_Config'!$D:$D,"Yes")="Yes",_xlfn.XLOOKUP("Dst_CIDR_17_22",'Scoring_Config'!$A:$A,'Scoring_Config'!$C:$C,15),0),"False,0")</f>
        <v>0</v>
      </c>
      <c r="AI208" s="4" cm="1">
        <f t="array" ref="AI208">IF(FALSE,"True," &amp; IF(_xlfn.XLOOKUP("SrcZone_IsAny",'Scoring_Config'!$A:$A,'Scoring_Config'!$D:$D,"Yes")="Yes",_xlfn.XLOOKUP("SrcZone_IsAny",'Scoring_Config'!$A:$A,'Scoring_Config'!$C:$C,5),0),"False,0")</f>
        <v>0</v>
      </c>
      <c r="AJ208" s="4" cm="1">
        <f t="array" ref="AJ208">IF(FALSE,"True," &amp; IF(_xlfn.XLOOKUP("DstZone_IsAny",'Scoring_Config'!$A:$A,'Scoring_Config'!$D:$D,"Yes")="Yes",_xlfn.XLOOKUP("DstZone_IsAny",'Scoring_Config'!$A:$A,'Scoring_Config'!$C:$C,5),0),"False,0")</f>
        <v>0</v>
      </c>
      <c r="AK208" s="4" cm="1">
        <f t="array" ref="AK20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8" s="5" cm="1">
        <f t="array" ref="AL208">IF(TRUE,"True," &amp; IF(_xlfn.XLOOKUP("App_Any_OR_RangeGt1000",'Scoring_Config'!$A:$A,'Scoring_Config'!$D:$D,"Yes")="Yes",_xlfn.XLOOKUP("App_Any_OR_RangeGt1000",'Scoring_Config'!$A:$A,'Scoring_Config'!$C:$C,25),0),"False,0")</f>
        <v>0</v>
      </c>
      <c r="AM208" s="5" cm="1">
        <f t="array" ref="AM208">IF(TRUE,"True," &amp; IF(_xlfn.XLOOKUP("Service_Insecure_Match",'Scoring_Config'!$A:$A,'Scoring_Config'!$D:$D,"Yes")="Yes",_xlfn.XLOOKUP("Service_Insecure_Match",'Scoring_Config'!$A:$A,'Scoring_Config'!$C:$C,20),0),"False,0")</f>
        <v>0</v>
      </c>
      <c r="AN208" s="4" cm="1">
        <f t="array" ref="AN208">IF(FALSE,"True," &amp; IF(_xlfn.XLOOKUP("Risky_Inbound",'Scoring_Config'!$A:$A,'Scoring_Config'!$D:$D,"Yes")="Yes",_xlfn.XLOOKUP("Risky_Inbound",'Scoring_Config'!$A:$A,'Scoring_Config'!$C:$C,20),0),"False,0")</f>
        <v>0</v>
      </c>
      <c r="AO208" s="4" cm="1">
        <f t="array" ref="AO208">IF(FALSE,"True," &amp; IF(_xlfn.XLOOKUP("Risky_Outbound",'Scoring_Config'!$A:$A,'Scoring_Config'!$D:$D,"Yes")="Yes",_xlfn.XLOOKUP("Risky_Outbound",'Scoring_Config'!$A:$A,'Scoring_Config'!$C:$C,10),0),"False,0")</f>
        <v>0</v>
      </c>
      <c r="AP208" s="5" t="s">
        <v>2595</v>
      </c>
      <c r="AQ208" s="5" cm="1">
        <f t="array" ref="AQ20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8" s="5" t="s">
        <v>2598</v>
      </c>
      <c r="AS208" s="5" t="s">
        <v>2595</v>
      </c>
      <c r="AT208" s="4" t="s">
        <v>2592</v>
      </c>
      <c r="AU208" s="4" cm="1">
        <f t="array" ref="AU208">IF(FALSE,"True," &amp; IF(_xlfn.XLOOKUP("Action_IsDenyOrDrop",'Scoring_Config'!$A:$A,'Scoring_Config'!$D:$D,"Yes")="Yes",_xlfn.XLOOKUP("Action_IsDenyOrDrop",'Scoring_Config'!$A:$A,'Scoring_Config'!$C:$C,0),0),"False,0")</f>
        <v>0</v>
      </c>
      <c r="AV208" s="4"/>
      <c r="AW208" s="4" cm="1">
        <f t="array" ref="AW208">IF(FALSE,"True," &amp; IF(_xlfn.XLOOKUP("Migrate_Insecure",'Scoring_Config'!$A:$A,'Scoring_Config'!$D:$D,"Yes")="Yes",_xlfn.XLOOKUP("Migrate_Insecure",'Scoring_Config'!$A:$A,'Scoring_Config'!$C:$C,15),0),"False,0")</f>
        <v>0</v>
      </c>
      <c r="AX208" s="4"/>
      <c r="AY208" s="4" cm="1">
        <f t="array" ref="AY208">IF(FALSE,"True," &amp; IF(_xlfn.XLOOKUP("Migrate_Other_Ports",'Scoring_Config'!$A:$A,'Scoring_Config'!$D:$D,"Yes")="Yes",_xlfn.XLOOKUP("Migrate_Other_Ports",'Scoring_Config'!$A:$A,'Scoring_Config'!$C:$C,5),0),"False,0")</f>
        <v>0</v>
      </c>
      <c r="AZ208" s="4" cm="1">
        <f t="array" ref="AZ208">IF(LEFT(AU208,4)="True",0,(IF(LEFT(AC208,4)="True",IF(_xlfn.XLOOKUP("Src_IsAny",'Scoring_Config'!$A:$A,'Scoring_Config'!$D:$D,"Yes")="Yes",_xlfn.XLOOKUP("Src_IsAny",'Scoring_Config'!$A:$A,'Scoring_Config'!$C:$C,25),0),0)+IF(LEFT(AD208,4)="True",IF(_xlfn.XLOOKUP("Src_CIDR_Le_16",'Scoring_Config'!$A:$A,'Scoring_Config'!$D:$D,"Yes")="Yes",_xlfn.XLOOKUP("Src_CIDR_Le_16",'Scoring_Config'!$A:$A,'Scoring_Config'!$C:$C,25),0),0)+IF(LEFT(AE208,4)="True",IF(_xlfn.XLOOKUP("Src_CIDR_17_22",'Scoring_Config'!$A:$A,'Scoring_Config'!$D:$D,"Yes")="Yes",_xlfn.XLOOKUP("Src_CIDR_17_22",'Scoring_Config'!$A:$A,'Scoring_Config'!$C:$C,15),0),0)+IF(LEFT(AF208,4)="True",IF(_xlfn.XLOOKUP("Dst_IsAny",'Scoring_Config'!$A:$A,'Scoring_Config'!$D:$D,"Yes")="Yes",_xlfn.XLOOKUP("Dst_IsAny",'Scoring_Config'!$A:$A,'Scoring_Config'!$C:$C,25),0),0)+IF(LEFT(AG208,4)="True",IF(_xlfn.XLOOKUP("Dst_CIDR_Le_16",'Scoring_Config'!$A:$A,'Scoring_Config'!$D:$D,"Yes")="Yes",_xlfn.XLOOKUP("Dst_CIDR_Le_16",'Scoring_Config'!$A:$A,'Scoring_Config'!$C:$C,25),0),0)+IF(LEFT(AH208,4)="True",IF(_xlfn.XLOOKUP("Dst_CIDR_17_22",'Scoring_Config'!$A:$A,'Scoring_Config'!$D:$D,"Yes")="Yes",_xlfn.XLOOKUP("Dst_CIDR_17_22",'Scoring_Config'!$A:$A,'Scoring_Config'!$C:$C,15),0),0)+IF(LEFT(AI208,4)="True",IF(_xlfn.XLOOKUP("SrcZone_IsAny",'Scoring_Config'!$A:$A,'Scoring_Config'!$D:$D,"Yes")="Yes",_xlfn.XLOOKUP("SrcZone_IsAny",'Scoring_Config'!$A:$A,'Scoring_Config'!$C:$C,5),0),0)+IF(LEFT(AJ208,4)="True",IF(_xlfn.XLOOKUP("DstZone_IsAny",'Scoring_Config'!$A:$A,'Scoring_Config'!$D:$D,"Yes")="Yes",_xlfn.XLOOKUP("DstZone_IsAny",'Scoring_Config'!$A:$A,'Scoring_Config'!$C:$C,5),0),0)+IF(LEFT(AK208,4)="True",IF(_xlfn.XLOOKUP("Service_Any_OR_RangeGt1000",'Scoring_Config'!$A:$A,'Scoring_Config'!$D:$D,"Yes")="Yes",_xlfn.XLOOKUP("Service_Any_OR_RangeGt1000",'Scoring_Config'!$A:$A,'Scoring_Config'!$C:$C,25),0),0)+IF(LEFT(AL208,4)="True",IF(_xlfn.XLOOKUP("App_Any_OR_RangeGt1000",'Scoring_Config'!$A:$A,'Scoring_Config'!$D:$D,"Yes")="Yes",_xlfn.XLOOKUP("App_Any_OR_RangeGt1000",'Scoring_Config'!$A:$A,'Scoring_Config'!$C:$C,25),0),0)+IF(LEFT(AM208,4)="True",IF(_xlfn.XLOOKUP("Service_Insecure_Match",'Scoring_Config'!$A:$A,'Scoring_Config'!$D:$D,"Yes")="Yes",_xlfn.XLOOKUP("Service_Insecure_Match",'Scoring_Config'!$A:$A,'Scoring_Config'!$C:$C,20),0),0)+IF(LEFT(AN208,4)="True",IF(_xlfn.XLOOKUP("Risky_Inbound",'Scoring_Config'!$A:$A,'Scoring_Config'!$D:$D,"Yes")="Yes",_xlfn.XLOOKUP("Risky_Inbound",'Scoring_Config'!$A:$A,'Scoring_Config'!$C:$C,20),0),0)+IF(LEFT(AO208,4)="True",IF(_xlfn.XLOOKUP("Risky_Outbound",'Scoring_Config'!$A:$A,'Scoring_Config'!$D:$D,"Yes")="Yes",_xlfn.XLOOKUP("Risky_Outbound",'Scoring_Config'!$A:$A,'Scoring_Config'!$C:$C,10),0),0)+IF(LEFT(AW208,4)="True",IF(_xlfn.XLOOKUP("Migrate_Insecure",'Scoring_Config'!$A:$A,'Scoring_Config'!$D:$D,"Yes")="Yes",_xlfn.XLOOKUP("Migrate_Insecure",'Scoring_Config'!$A:$A,'Scoring_Config'!$C:$C,15),0),0)+IF(LEFT(AY208,4)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208,FIND(",",AP208)+1,100)),0)+IF(LEFT(AQ208,4)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208,FIND(",",AR208)+1,100)),0)+IF(_xlfn.XLOOKUP("Profile_Scoring",'Scoring_Config'!$A:$A,'Scoring_Config'!$D:$D,"Yes")="Yes",VALUE(MID(AS208,FIND(",",AS208)+1,100)),0)+IF(_xlfn.XLOOKUP("Options_Scoring",'Scoring_Config'!$A:$A,'Scoring_Config'!$D:$D,"Yes")="Yes",VALUE(MID(AT208,FIND(",",AT208)+1,100)),0)))</f>
        <v>0</v>
      </c>
    </row>
    <row r="209" spans="1:52">
      <c r="A209" s="3" t="s">
        <v>53</v>
      </c>
      <c r="B209" s="3" t="s">
        <v>202</v>
      </c>
      <c r="C209" s="3" t="s">
        <v>330</v>
      </c>
      <c r="D209" s="3"/>
      <c r="E209" s="3" t="s">
        <v>359</v>
      </c>
      <c r="F209" s="3" t="s">
        <v>363</v>
      </c>
      <c r="G209" s="3" t="s">
        <v>365</v>
      </c>
      <c r="H209" s="3" t="s">
        <v>365</v>
      </c>
      <c r="I209" s="3" t="s">
        <v>625</v>
      </c>
      <c r="J209" s="3" t="s">
        <v>360</v>
      </c>
      <c r="K209" s="3" t="s">
        <v>429</v>
      </c>
      <c r="L209" s="3" t="s">
        <v>422</v>
      </c>
      <c r="M209" s="3" t="s">
        <v>776</v>
      </c>
      <c r="N209" s="3" t="s">
        <v>791</v>
      </c>
      <c r="O209" s="4" t="s">
        <v>840</v>
      </c>
      <c r="P209" s="3" t="s">
        <v>840</v>
      </c>
      <c r="Q209" s="3" t="s">
        <v>905</v>
      </c>
      <c r="R209" s="3" t="s">
        <v>908</v>
      </c>
      <c r="S209" s="3" t="s">
        <v>916</v>
      </c>
      <c r="T209" s="3" t="s">
        <v>938</v>
      </c>
      <c r="U209" s="3" t="s">
        <v>1253</v>
      </c>
      <c r="V209" s="3" t="s">
        <v>1388</v>
      </c>
      <c r="W209" s="3" t="s">
        <v>1512</v>
      </c>
      <c r="X209" s="3" t="s">
        <v>1813</v>
      </c>
      <c r="Y209" s="3" t="s">
        <v>2282</v>
      </c>
      <c r="Z209" s="3"/>
      <c r="AA209" s="3"/>
      <c r="AB209" s="3"/>
      <c r="AC209" s="5" cm="1">
        <f t="array" ref="AC209">IF(TRUE,"True," &amp; IF(_xlfn.XLOOKUP("Src_IsAny",'Scoring_Config'!$A:$A,'Scoring_Config'!$D:$D,"Yes")="Yes",_xlfn.XLOOKUP("Src_IsAny",'Scoring_Config'!$A:$A,'Scoring_Config'!$C:$C,25),0),"False,0")</f>
        <v>0</v>
      </c>
      <c r="AD209" s="4" cm="1">
        <f t="array" ref="AD209">IF(FALSE,"True," &amp; IF(_xlfn.XLOOKUP("Src_CIDR_Le_16",'Scoring_Config'!$A:$A,'Scoring_Config'!$D:$D,"Yes")="Yes",_xlfn.XLOOKUP("Src_CIDR_Le_16",'Scoring_Config'!$A:$A,'Scoring_Config'!$C:$C,25),0),"False,0")</f>
        <v>0</v>
      </c>
      <c r="AE209" s="4" cm="1">
        <f t="array" ref="AE209">IF(FALSE,"True," &amp; IF(_xlfn.XLOOKUP("Src_CIDR_17_22",'Scoring_Config'!$A:$A,'Scoring_Config'!$D:$D,"Yes")="Yes",_xlfn.XLOOKUP("Src_CIDR_17_22",'Scoring_Config'!$A:$A,'Scoring_Config'!$C:$C,15),0),"False,0")</f>
        <v>0</v>
      </c>
      <c r="AF209" s="4" cm="1">
        <f t="array" ref="AF209">IF(FALSE,"True," &amp; IF(_xlfn.XLOOKUP("Dst_IsAny",'Scoring_Config'!$A:$A,'Scoring_Config'!$D:$D,"Yes")="Yes",_xlfn.XLOOKUP("Dst_IsAny",'Scoring_Config'!$A:$A,'Scoring_Config'!$C:$C,25),0),"False,0")</f>
        <v>0</v>
      </c>
      <c r="AG209" s="5" cm="1">
        <f t="array" ref="AG209">IF(TRUE,"True," &amp; IF(_xlfn.XLOOKUP("Dst_CIDR_Le_16",'Scoring_Config'!$A:$A,'Scoring_Config'!$D:$D,"Yes")="Yes",_xlfn.XLOOKUP("Dst_CIDR_Le_16",'Scoring_Config'!$A:$A,'Scoring_Config'!$C:$C,25),0),"False,0")</f>
        <v>0</v>
      </c>
      <c r="AH209" s="4" cm="1">
        <f t="array" ref="AH209">IF(FALSE,"True," &amp; IF(_xlfn.XLOOKUP("Dst_CIDR_17_22",'Scoring_Config'!$A:$A,'Scoring_Config'!$D:$D,"Yes")="Yes",_xlfn.XLOOKUP("Dst_CIDR_17_22",'Scoring_Config'!$A:$A,'Scoring_Config'!$C:$C,15),0),"False,0")</f>
        <v>0</v>
      </c>
      <c r="AI209" s="4" cm="1">
        <f t="array" ref="AI209">IF(FALSE,"True," &amp; IF(_xlfn.XLOOKUP("SrcZone_IsAny",'Scoring_Config'!$A:$A,'Scoring_Config'!$D:$D,"Yes")="Yes",_xlfn.XLOOKUP("SrcZone_IsAny",'Scoring_Config'!$A:$A,'Scoring_Config'!$C:$C,5),0),"False,0")</f>
        <v>0</v>
      </c>
      <c r="AJ209" s="4" cm="1">
        <f t="array" ref="AJ209">IF(FALSE,"True," &amp; IF(_xlfn.XLOOKUP("DstZone_IsAny",'Scoring_Config'!$A:$A,'Scoring_Config'!$D:$D,"Yes")="Yes",_xlfn.XLOOKUP("DstZone_IsAny",'Scoring_Config'!$A:$A,'Scoring_Config'!$C:$C,5),0),"False,0")</f>
        <v>0</v>
      </c>
      <c r="AK209" s="4" cm="1">
        <f t="array" ref="AK20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09" s="5" cm="1">
        <f t="array" ref="AL209">IF(TRUE,"True," &amp; IF(_xlfn.XLOOKUP("App_Any_OR_RangeGt1000",'Scoring_Config'!$A:$A,'Scoring_Config'!$D:$D,"Yes")="Yes",_xlfn.XLOOKUP("App_Any_OR_RangeGt1000",'Scoring_Config'!$A:$A,'Scoring_Config'!$C:$C,25),0),"False,0")</f>
        <v>0</v>
      </c>
      <c r="AM209" s="4" cm="1">
        <f t="array" ref="AM209">IF(FALSE,"True," &amp; IF(_xlfn.XLOOKUP("Service_Insecure_Match",'Scoring_Config'!$A:$A,'Scoring_Config'!$D:$D,"Yes")="Yes",_xlfn.XLOOKUP("Service_Insecure_Match",'Scoring_Config'!$A:$A,'Scoring_Config'!$C:$C,20),0),"False,0")</f>
        <v>0</v>
      </c>
      <c r="AN209" s="4" cm="1">
        <f t="array" ref="AN209">IF(FALSE,"True," &amp; IF(_xlfn.XLOOKUP("Risky_Inbound",'Scoring_Config'!$A:$A,'Scoring_Config'!$D:$D,"Yes")="Yes",_xlfn.XLOOKUP("Risky_Inbound",'Scoring_Config'!$A:$A,'Scoring_Config'!$C:$C,20),0),"False,0")</f>
        <v>0</v>
      </c>
      <c r="AO209" s="4" cm="1">
        <f t="array" ref="AO209">IF(FALSE,"True," &amp; IF(_xlfn.XLOOKUP("Risky_Outbound",'Scoring_Config'!$A:$A,'Scoring_Config'!$D:$D,"Yes")="Yes",_xlfn.XLOOKUP("Risky_Outbound",'Scoring_Config'!$A:$A,'Scoring_Config'!$C:$C,10),0),"False,0")</f>
        <v>0</v>
      </c>
      <c r="AP209" s="5" t="s">
        <v>2595</v>
      </c>
      <c r="AQ209" s="4" cm="1">
        <f t="array" ref="AQ20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09" s="5" t="s">
        <v>2598</v>
      </c>
      <c r="AS209" s="4" t="s">
        <v>2592</v>
      </c>
      <c r="AT209" s="4" t="s">
        <v>2592</v>
      </c>
      <c r="AU209" s="4" cm="1">
        <f t="array" ref="AU209">IF(FALSE,"True," &amp; IF(_xlfn.XLOOKUP("Action_IsDenyOrDrop",'Scoring_Config'!$A:$A,'Scoring_Config'!$D:$D,"Yes")="Yes",_xlfn.XLOOKUP("Action_IsDenyOrDrop",'Scoring_Config'!$A:$A,'Scoring_Config'!$C:$C,0),0),"False,0")</f>
        <v>0</v>
      </c>
      <c r="AV209" s="4"/>
      <c r="AW209" s="4" cm="1">
        <f t="array" ref="AW209">IF(FALSE,"True," &amp; IF(_xlfn.XLOOKUP("Migrate_Insecure",'Scoring_Config'!$A:$A,'Scoring_Config'!$D:$D,"Yes")="Yes",_xlfn.XLOOKUP("Migrate_Insecure",'Scoring_Config'!$A:$A,'Scoring_Config'!$C:$C,15),0),"False,0")</f>
        <v>0</v>
      </c>
      <c r="AX209" s="4"/>
      <c r="AY209" s="4" cm="1">
        <f t="array" ref="AY209">IF(FALSE,"True," &amp; IF(_xlfn.XLOOKUP("Migrate_Other_Ports",'Scoring_Config'!$A:$A,'Scoring_Config'!$D:$D,"Yes")="Yes",_xlfn.XLOOKUP("Migrate_Other_Ports",'Scoring_Config'!$A:$A,'Scoring_Config'!$C:$C,5),0),"False,0")</f>
        <v>0</v>
      </c>
      <c r="AZ209" s="4" cm="1">
        <f t="array" ref="AZ209">IF(LEFT(AU209,4)="True",0,(IF(LEFT(AC209,4)="True",IF(_xlfn.XLOOKUP("Src_IsAny",'Scoring_Config'!$A:$A,'Scoring_Config'!$D:$D,"Yes")="Yes",_xlfn.XLOOKUP("Src_IsAny",'Scoring_Config'!$A:$A,'Scoring_Config'!$C:$C,25),0),0)+IF(LEFT(AD209,4)="True",IF(_xlfn.XLOOKUP("Src_CIDR_Le_16",'Scoring_Config'!$A:$A,'Scoring_Config'!$D:$D,"Yes")="Yes",_xlfn.XLOOKUP("Src_CIDR_Le_16",'Scoring_Config'!$A:$A,'Scoring_Config'!$C:$C,25),0),0)+IF(LEFT(AE209,4)="True",IF(_xlfn.XLOOKUP("Src_CIDR_17_22",'Scoring_Config'!$A:$A,'Scoring_Config'!$D:$D,"Yes")="Yes",_xlfn.XLOOKUP("Src_CIDR_17_22",'Scoring_Config'!$A:$A,'Scoring_Config'!$C:$C,15),0),0)+IF(LEFT(AF209,4)="True",IF(_xlfn.XLOOKUP("Dst_IsAny",'Scoring_Config'!$A:$A,'Scoring_Config'!$D:$D,"Yes")="Yes",_xlfn.XLOOKUP("Dst_IsAny",'Scoring_Config'!$A:$A,'Scoring_Config'!$C:$C,25),0),0)+IF(LEFT(AG209,4)="True",IF(_xlfn.XLOOKUP("Dst_CIDR_Le_16",'Scoring_Config'!$A:$A,'Scoring_Config'!$D:$D,"Yes")="Yes",_xlfn.XLOOKUP("Dst_CIDR_Le_16",'Scoring_Config'!$A:$A,'Scoring_Config'!$C:$C,25),0),0)+IF(LEFT(AH209,4)="True",IF(_xlfn.XLOOKUP("Dst_CIDR_17_22",'Scoring_Config'!$A:$A,'Scoring_Config'!$D:$D,"Yes")="Yes",_xlfn.XLOOKUP("Dst_CIDR_17_22",'Scoring_Config'!$A:$A,'Scoring_Config'!$C:$C,15),0),0)+IF(LEFT(AI209,4)="True",IF(_xlfn.XLOOKUP("SrcZone_IsAny",'Scoring_Config'!$A:$A,'Scoring_Config'!$D:$D,"Yes")="Yes",_xlfn.XLOOKUP("SrcZone_IsAny",'Scoring_Config'!$A:$A,'Scoring_Config'!$C:$C,5),0),0)+IF(LEFT(AJ209,4)="True",IF(_xlfn.XLOOKUP("DstZone_IsAny",'Scoring_Config'!$A:$A,'Scoring_Config'!$D:$D,"Yes")="Yes",_xlfn.XLOOKUP("DstZone_IsAny",'Scoring_Config'!$A:$A,'Scoring_Config'!$C:$C,5),0),0)+IF(LEFT(AK209,4)="True",IF(_xlfn.XLOOKUP("Service_Any_OR_RangeGt1000",'Scoring_Config'!$A:$A,'Scoring_Config'!$D:$D,"Yes")="Yes",_xlfn.XLOOKUP("Service_Any_OR_RangeGt1000",'Scoring_Config'!$A:$A,'Scoring_Config'!$C:$C,25),0),0)+IF(LEFT(AL209,4)="True",IF(_xlfn.XLOOKUP("App_Any_OR_RangeGt1000",'Scoring_Config'!$A:$A,'Scoring_Config'!$D:$D,"Yes")="Yes",_xlfn.XLOOKUP("App_Any_OR_RangeGt1000",'Scoring_Config'!$A:$A,'Scoring_Config'!$C:$C,25),0),0)+IF(LEFT(AM209,4)="True",IF(_xlfn.XLOOKUP("Service_Insecure_Match",'Scoring_Config'!$A:$A,'Scoring_Config'!$D:$D,"Yes")="Yes",_xlfn.XLOOKUP("Service_Insecure_Match",'Scoring_Config'!$A:$A,'Scoring_Config'!$C:$C,20),0),0)+IF(LEFT(AN209,4)="True",IF(_xlfn.XLOOKUP("Risky_Inbound",'Scoring_Config'!$A:$A,'Scoring_Config'!$D:$D,"Yes")="Yes",_xlfn.XLOOKUP("Risky_Inbound",'Scoring_Config'!$A:$A,'Scoring_Config'!$C:$C,20),0),0)+IF(LEFT(AO209,4)="True",IF(_xlfn.XLOOKUP("Risky_Outbound",'Scoring_Config'!$A:$A,'Scoring_Config'!$D:$D,"Yes")="Yes",_xlfn.XLOOKUP("Risky_Outbound",'Scoring_Config'!$A:$A,'Scoring_Config'!$C:$C,10),0),0)+IF(LEFT(AW209,4)="True",IF(_xlfn.XLOOKUP("Migrate_Insecure",'Scoring_Config'!$A:$A,'Scoring_Config'!$D:$D,"Yes")="Yes",_xlfn.XLOOKUP("Migrate_Insecure",'Scoring_Config'!$A:$A,'Scoring_Config'!$C:$C,15),0),0)+IF(LEFT(AY209,4)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209,FIND(",",AP209)+1,100)),0)+IF(LEFT(AQ209,4)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209,FIND(",",AR209)+1,100)),0)+IF(_xlfn.XLOOKUP("Profile_Scoring",'Scoring_Config'!$A:$A,'Scoring_Config'!$D:$D,"Yes")="Yes",VALUE(MID(AS209,FIND(",",AS209)+1,100)),0)+IF(_xlfn.XLOOKUP("Options_Scoring",'Scoring_Config'!$A:$A,'Scoring_Config'!$D:$D,"Yes")="Yes",VALUE(MID(AT209,FIND(",",AT209)+1,100)),0)))</f>
        <v>0</v>
      </c>
    </row>
    <row r="210" spans="1:52">
      <c r="A210" s="3" t="s">
        <v>53</v>
      </c>
      <c r="B210" s="3" t="s">
        <v>90</v>
      </c>
      <c r="C210" s="3" t="s">
        <v>330</v>
      </c>
      <c r="D210" s="3"/>
      <c r="E210" s="3" t="s">
        <v>359</v>
      </c>
      <c r="F210" s="3" t="s">
        <v>361</v>
      </c>
      <c r="G210" s="3" t="s">
        <v>365</v>
      </c>
      <c r="H210" s="3" t="s">
        <v>365</v>
      </c>
      <c r="I210" s="3" t="s">
        <v>365</v>
      </c>
      <c r="J210" s="3" t="s">
        <v>364</v>
      </c>
      <c r="K210" s="3" t="s">
        <v>365</v>
      </c>
      <c r="L210" s="3" t="s">
        <v>365</v>
      </c>
      <c r="M210" s="3" t="s">
        <v>365</v>
      </c>
      <c r="N210" s="3" t="s">
        <v>365</v>
      </c>
      <c r="O210" s="4" t="s">
        <v>816</v>
      </c>
      <c r="P210" s="3" t="s">
        <v>877</v>
      </c>
      <c r="Q210" s="3" t="s">
        <v>905</v>
      </c>
      <c r="R210" s="3" t="s">
        <v>907</v>
      </c>
      <c r="S210" s="3" t="s">
        <v>913</v>
      </c>
      <c r="T210" s="3" t="s">
        <v>1051</v>
      </c>
      <c r="U210" s="3" t="s">
        <v>1157</v>
      </c>
      <c r="V210" s="3" t="s">
        <v>1388</v>
      </c>
      <c r="W210" s="3" t="s">
        <v>1513</v>
      </c>
      <c r="X210" s="3" t="s">
        <v>1814</v>
      </c>
      <c r="Y210" s="3" t="s">
        <v>2283</v>
      </c>
      <c r="Z210" s="3"/>
      <c r="AA210" s="3"/>
      <c r="AB210" s="3"/>
      <c r="AC210" s="5" cm="1">
        <f t="array" ref="AC210">IF(TRUE,"True," &amp; IF(_xlfn.XLOOKUP("Src_IsAny",'Scoring_Config'!$A:$A,'Scoring_Config'!$D:$D,"Yes")="Yes",_xlfn.XLOOKUP("Src_IsAny",'Scoring_Config'!$A:$A,'Scoring_Config'!$C:$C,25),0),"False,0")</f>
        <v>0</v>
      </c>
      <c r="AD210" s="4" cm="1">
        <f t="array" ref="AD210">IF(FALSE,"True," &amp; IF(_xlfn.XLOOKUP("Src_CIDR_Le_16",'Scoring_Config'!$A:$A,'Scoring_Config'!$D:$D,"Yes")="Yes",_xlfn.XLOOKUP("Src_CIDR_Le_16",'Scoring_Config'!$A:$A,'Scoring_Config'!$C:$C,25),0),"False,0")</f>
        <v>0</v>
      </c>
      <c r="AE210" s="4" cm="1">
        <f t="array" ref="AE210">IF(FALSE,"True," &amp; IF(_xlfn.XLOOKUP("Src_CIDR_17_22",'Scoring_Config'!$A:$A,'Scoring_Config'!$D:$D,"Yes")="Yes",_xlfn.XLOOKUP("Src_CIDR_17_22",'Scoring_Config'!$A:$A,'Scoring_Config'!$C:$C,15),0),"False,0")</f>
        <v>0</v>
      </c>
      <c r="AF210" s="5" cm="1">
        <f t="array" ref="AF210">IF(TRUE,"True," &amp; IF(_xlfn.XLOOKUP("Dst_IsAny",'Scoring_Config'!$A:$A,'Scoring_Config'!$D:$D,"Yes")="Yes",_xlfn.XLOOKUP("Dst_IsAny",'Scoring_Config'!$A:$A,'Scoring_Config'!$C:$C,25),0),"False,0")</f>
        <v>0</v>
      </c>
      <c r="AG210" s="4" cm="1">
        <f t="array" ref="AG210">IF(FALSE,"True," &amp; IF(_xlfn.XLOOKUP("Dst_CIDR_Le_16",'Scoring_Config'!$A:$A,'Scoring_Config'!$D:$D,"Yes")="Yes",_xlfn.XLOOKUP("Dst_CIDR_Le_16",'Scoring_Config'!$A:$A,'Scoring_Config'!$C:$C,25),0),"False,0")</f>
        <v>0</v>
      </c>
      <c r="AH210" s="4" cm="1">
        <f t="array" ref="AH210">IF(FALSE,"True," &amp; IF(_xlfn.XLOOKUP("Dst_CIDR_17_22",'Scoring_Config'!$A:$A,'Scoring_Config'!$D:$D,"Yes")="Yes",_xlfn.XLOOKUP("Dst_CIDR_17_22",'Scoring_Config'!$A:$A,'Scoring_Config'!$C:$C,15),0),"False,0")</f>
        <v>0</v>
      </c>
      <c r="AI210" s="4" cm="1">
        <f t="array" ref="AI210">IF(FALSE,"True," &amp; IF(_xlfn.XLOOKUP("SrcZone_IsAny",'Scoring_Config'!$A:$A,'Scoring_Config'!$D:$D,"Yes")="Yes",_xlfn.XLOOKUP("SrcZone_IsAny",'Scoring_Config'!$A:$A,'Scoring_Config'!$C:$C,5),0),"False,0")</f>
        <v>0</v>
      </c>
      <c r="AJ210" s="4" cm="1">
        <f t="array" ref="AJ210">IF(FALSE,"True," &amp; IF(_xlfn.XLOOKUP("DstZone_IsAny",'Scoring_Config'!$A:$A,'Scoring_Config'!$D:$D,"Yes")="Yes",_xlfn.XLOOKUP("DstZone_IsAny",'Scoring_Config'!$A:$A,'Scoring_Config'!$C:$C,5),0),"False,0")</f>
        <v>0</v>
      </c>
      <c r="AK210" s="4" cm="1">
        <f t="array" ref="AK21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0" s="5" cm="1">
        <f t="array" ref="AL210">IF(TRUE,"True," &amp; IF(_xlfn.XLOOKUP("App_Any_OR_RangeGt1000",'Scoring_Config'!$A:$A,'Scoring_Config'!$D:$D,"Yes")="Yes",_xlfn.XLOOKUP("App_Any_OR_RangeGt1000",'Scoring_Config'!$A:$A,'Scoring_Config'!$C:$C,25),0),"False,0")</f>
        <v>0</v>
      </c>
      <c r="AM210" s="5" cm="1">
        <f t="array" ref="AM210">IF(TRUE,"True," &amp; IF(_xlfn.XLOOKUP("Service_Insecure_Match",'Scoring_Config'!$A:$A,'Scoring_Config'!$D:$D,"Yes")="Yes",_xlfn.XLOOKUP("Service_Insecure_Match",'Scoring_Config'!$A:$A,'Scoring_Config'!$C:$C,20),0),"False,0")</f>
        <v>0</v>
      </c>
      <c r="AN210" s="4" cm="1">
        <f t="array" ref="AN210">IF(FALSE,"True," &amp; IF(_xlfn.XLOOKUP("Risky_Inbound",'Scoring_Config'!$A:$A,'Scoring_Config'!$D:$D,"Yes")="Yes",_xlfn.XLOOKUP("Risky_Inbound",'Scoring_Config'!$A:$A,'Scoring_Config'!$C:$C,20),0),"False,0")</f>
        <v>0</v>
      </c>
      <c r="AO210" s="4" cm="1">
        <f t="array" ref="AO210">IF(FALSE,"True," &amp; IF(_xlfn.XLOOKUP("Risky_Outbound",'Scoring_Config'!$A:$A,'Scoring_Config'!$D:$D,"Yes")="Yes",_xlfn.XLOOKUP("Risky_Outbound",'Scoring_Config'!$A:$A,'Scoring_Config'!$C:$C,10),0),"False,0")</f>
        <v>0</v>
      </c>
      <c r="AP210" s="5" t="s">
        <v>2595</v>
      </c>
      <c r="AQ210" s="5" cm="1">
        <f t="array" ref="AQ21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0" s="4" t="s">
        <v>2592</v>
      </c>
      <c r="AS210" s="5" t="s">
        <v>2595</v>
      </c>
      <c r="AT210" s="4" t="s">
        <v>2592</v>
      </c>
      <c r="AU210" s="4" cm="1">
        <f t="array" ref="AU210">IF(FALSE,"True," &amp; IF(_xlfn.XLOOKUP("Action_IsDenyOrDrop",'Scoring_Config'!$A:$A,'Scoring_Config'!$D:$D,"Yes")="Yes",_xlfn.XLOOKUP("Action_IsDenyOrDrop",'Scoring_Config'!$A:$A,'Scoring_Config'!$C:$C,0),0),"False,0")</f>
        <v>0</v>
      </c>
      <c r="AV210" s="4"/>
      <c r="AW210" s="4" cm="1">
        <f t="array" ref="AW210">IF(FALSE,"True," &amp; IF(_xlfn.XLOOKUP("Migrate_Insecure",'Scoring_Config'!$A:$A,'Scoring_Config'!$D:$D,"Yes")="Yes",_xlfn.XLOOKUP("Migrate_Insecure",'Scoring_Config'!$A:$A,'Scoring_Config'!$C:$C,15),0),"False,0")</f>
        <v>0</v>
      </c>
      <c r="AX210" s="4"/>
      <c r="AY210" s="4" cm="1">
        <f t="array" ref="AY210">IF(FALSE,"True," &amp; IF(_xlfn.XLOOKUP("Migrate_Other_Ports",'Scoring_Config'!$A:$A,'Scoring_Config'!$D:$D,"Yes")="Yes",_xlfn.XLOOKUP("Migrate_Other_Ports",'Scoring_Config'!$A:$A,'Scoring_Config'!$C:$C,5),0),"False,0")</f>
        <v>0</v>
      </c>
      <c r="AZ210" s="4" cm="1">
        <f t="array" ref="AZ210">IF(LEFT(AU210,4)="True",0,(IF(LEFT(AC210,4)="True",IF(_xlfn.XLOOKUP("Src_IsAny",'Scoring_Config'!$A:$A,'Scoring_Config'!$D:$D,"Yes")="Yes",_xlfn.XLOOKUP("Src_IsAny",'Scoring_Config'!$A:$A,'Scoring_Config'!$C:$C,25),0),0)+IF(LEFT(AD210,4)="True",IF(_xlfn.XLOOKUP("Src_CIDR_Le_16",'Scoring_Config'!$A:$A,'Scoring_Config'!$D:$D,"Yes")="Yes",_xlfn.XLOOKUP("Src_CIDR_Le_16",'Scoring_Config'!$A:$A,'Scoring_Config'!$C:$C,25),0),0)+IF(LEFT(AE210,4)="True",IF(_xlfn.XLOOKUP("Src_CIDR_17_22",'Scoring_Config'!$A:$A,'Scoring_Config'!$D:$D,"Yes")="Yes",_xlfn.XLOOKUP("Src_CIDR_17_22",'Scoring_Config'!$A:$A,'Scoring_Config'!$C:$C,15),0),0)+IF(LEFT(AF210,4)="True",IF(_xlfn.XLOOKUP("Dst_IsAny",'Scoring_Config'!$A:$A,'Scoring_Config'!$D:$D,"Yes")="Yes",_xlfn.XLOOKUP("Dst_IsAny",'Scoring_Config'!$A:$A,'Scoring_Config'!$C:$C,25),0),0)+IF(LEFT(AG210,4)="True",IF(_xlfn.XLOOKUP("Dst_CIDR_Le_16",'Scoring_Config'!$A:$A,'Scoring_Config'!$D:$D,"Yes")="Yes",_xlfn.XLOOKUP("Dst_CIDR_Le_16",'Scoring_Config'!$A:$A,'Scoring_Config'!$C:$C,25),0),0)+IF(LEFT(AH210,4)="True",IF(_xlfn.XLOOKUP("Dst_CIDR_17_22",'Scoring_Config'!$A:$A,'Scoring_Config'!$D:$D,"Yes")="Yes",_xlfn.XLOOKUP("Dst_CIDR_17_22",'Scoring_Config'!$A:$A,'Scoring_Config'!$C:$C,15),0),0)+IF(LEFT(AI210,4)="True",IF(_xlfn.XLOOKUP("SrcZone_IsAny",'Scoring_Config'!$A:$A,'Scoring_Config'!$D:$D,"Yes")="Yes",_xlfn.XLOOKUP("SrcZone_IsAny",'Scoring_Config'!$A:$A,'Scoring_Config'!$C:$C,5),0),0)+IF(LEFT(AJ210,4)="True",IF(_xlfn.XLOOKUP("DstZone_IsAny",'Scoring_Config'!$A:$A,'Scoring_Config'!$D:$D,"Yes")="Yes",_xlfn.XLOOKUP("DstZone_IsAny",'Scoring_Config'!$A:$A,'Scoring_Config'!$C:$C,5),0),0)+IF(LEFT(AK210,4)="True",IF(_xlfn.XLOOKUP("Service_Any_OR_RangeGt1000",'Scoring_Config'!$A:$A,'Scoring_Config'!$D:$D,"Yes")="Yes",_xlfn.XLOOKUP("Service_Any_OR_RangeGt1000",'Scoring_Config'!$A:$A,'Scoring_Config'!$C:$C,25),0),0)+IF(LEFT(AL210,4)="True",IF(_xlfn.XLOOKUP("App_Any_OR_RangeGt1000",'Scoring_Config'!$A:$A,'Scoring_Config'!$D:$D,"Yes")="Yes",_xlfn.XLOOKUP("App_Any_OR_RangeGt1000",'Scoring_Config'!$A:$A,'Scoring_Config'!$C:$C,25),0),0)+IF(LEFT(AM210,4)="True",IF(_xlfn.XLOOKUP("Service_Insecure_Match",'Scoring_Config'!$A:$A,'Scoring_Config'!$D:$D,"Yes")="Yes",_xlfn.XLOOKUP("Service_Insecure_Match",'Scoring_Config'!$A:$A,'Scoring_Config'!$C:$C,20),0),0)+IF(LEFT(AN210,4)="True",IF(_xlfn.XLOOKUP("Risky_Inbound",'Scoring_Config'!$A:$A,'Scoring_Config'!$D:$D,"Yes")="Yes",_xlfn.XLOOKUP("Risky_Inbound",'Scoring_Config'!$A:$A,'Scoring_Config'!$C:$C,20),0),0)+IF(LEFT(AO210,4)="True",IF(_xlfn.XLOOKUP("Risky_Outbound",'Scoring_Config'!$A:$A,'Scoring_Config'!$D:$D,"Yes")="Yes",_xlfn.XLOOKUP("Risky_Outbound",'Scoring_Config'!$A:$A,'Scoring_Config'!$C:$C,10),0),0)+IF(LEFT(AW210,4)="True",IF(_xlfn.XLOOKUP("Migrate_Insecure",'Scoring_Config'!$A:$A,'Scoring_Config'!$D:$D,"Yes")="Yes",_xlfn.XLOOKUP("Migrate_Insecure",'Scoring_Config'!$A:$A,'Scoring_Config'!$C:$C,15),0),0)+IF(LEFT(AY210,4)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210,FIND(",",AP210)+1,100)),0)+IF(LEFT(AQ210,4)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210,FIND(",",AR210)+1,100)),0)+IF(_xlfn.XLOOKUP("Profile_Scoring",'Scoring_Config'!$A:$A,'Scoring_Config'!$D:$D,"Yes")="Yes",VALUE(MID(AS210,FIND(",",AS210)+1,100)),0)+IF(_xlfn.XLOOKUP("Options_Scoring",'Scoring_Config'!$A:$A,'Scoring_Config'!$D:$D,"Yes")="Yes",VALUE(MID(AT210,FIND(",",AT210)+1,100)),0)))</f>
        <v>0</v>
      </c>
    </row>
    <row r="211" spans="1:52">
      <c r="A211" s="3" t="s">
        <v>53</v>
      </c>
      <c r="B211" s="3" t="s">
        <v>136</v>
      </c>
      <c r="C211" s="3" t="s">
        <v>330</v>
      </c>
      <c r="D211" s="3"/>
      <c r="E211" s="3" t="s">
        <v>359</v>
      </c>
      <c r="F211" s="3" t="s">
        <v>360</v>
      </c>
      <c r="G211" s="3" t="s">
        <v>442</v>
      </c>
      <c r="H211" s="3" t="s">
        <v>438</v>
      </c>
      <c r="I211" s="3" t="s">
        <v>624</v>
      </c>
      <c r="J211" s="3" t="s">
        <v>364</v>
      </c>
      <c r="K211" s="3" t="s">
        <v>365</v>
      </c>
      <c r="L211" s="3" t="s">
        <v>365</v>
      </c>
      <c r="M211" s="3" t="s">
        <v>773</v>
      </c>
      <c r="N211" s="3" t="s">
        <v>773</v>
      </c>
      <c r="O211" s="4" t="s">
        <v>811</v>
      </c>
      <c r="P211" s="3" t="s">
        <v>872</v>
      </c>
      <c r="Q211" s="3" t="s">
        <v>905</v>
      </c>
      <c r="R211" s="3" t="s">
        <v>911</v>
      </c>
      <c r="S211" s="3" t="s">
        <v>912</v>
      </c>
      <c r="T211" s="3" t="s">
        <v>1052</v>
      </c>
      <c r="U211" s="3" t="s">
        <v>1254</v>
      </c>
      <c r="V211" s="3" t="s">
        <v>1386</v>
      </c>
      <c r="W211" s="3" t="s">
        <v>1027</v>
      </c>
      <c r="X211" s="3" t="s">
        <v>1815</v>
      </c>
      <c r="Y211" s="3" t="s">
        <v>2284</v>
      </c>
      <c r="Z211" s="3"/>
      <c r="AA211" s="3"/>
      <c r="AB211" s="3"/>
      <c r="AC211" s="4" cm="1">
        <f t="array" ref="AC211">IF(FALSE,"True," &amp; IF(_xlfn.XLOOKUP("Src_IsAny",'Scoring_Config'!$A:$A,'Scoring_Config'!$D:$D,"Yes")="Yes",_xlfn.XLOOKUP("Src_IsAny",'Scoring_Config'!$A:$A,'Scoring_Config'!$C:$C,25),0),"False,0")</f>
        <v>0</v>
      </c>
      <c r="AD211" s="5" cm="1">
        <f t="array" ref="AD211">IF(TRUE,"True," &amp; IF(_xlfn.XLOOKUP("Src_CIDR_Le_16",'Scoring_Config'!$A:$A,'Scoring_Config'!$D:$D,"Yes")="Yes",_xlfn.XLOOKUP("Src_CIDR_Le_16",'Scoring_Config'!$A:$A,'Scoring_Config'!$C:$C,25),0),"False,0")</f>
        <v>0</v>
      </c>
      <c r="AE211" s="4" cm="1">
        <f t="array" ref="AE211">IF(FALSE,"True," &amp; IF(_xlfn.XLOOKUP("Src_CIDR_17_22",'Scoring_Config'!$A:$A,'Scoring_Config'!$D:$D,"Yes")="Yes",_xlfn.XLOOKUP("Src_CIDR_17_22",'Scoring_Config'!$A:$A,'Scoring_Config'!$C:$C,15),0),"False,0")</f>
        <v>0</v>
      </c>
      <c r="AF211" s="5" cm="1">
        <f t="array" ref="AF211">IF(TRUE,"True," &amp; IF(_xlfn.XLOOKUP("Dst_IsAny",'Scoring_Config'!$A:$A,'Scoring_Config'!$D:$D,"Yes")="Yes",_xlfn.XLOOKUP("Dst_IsAny",'Scoring_Config'!$A:$A,'Scoring_Config'!$C:$C,25),0),"False,0")</f>
        <v>0</v>
      </c>
      <c r="AG211" s="4" cm="1">
        <f t="array" ref="AG211">IF(FALSE,"True," &amp; IF(_xlfn.XLOOKUP("Dst_CIDR_Le_16",'Scoring_Config'!$A:$A,'Scoring_Config'!$D:$D,"Yes")="Yes",_xlfn.XLOOKUP("Dst_CIDR_Le_16",'Scoring_Config'!$A:$A,'Scoring_Config'!$C:$C,25),0),"False,0")</f>
        <v>0</v>
      </c>
      <c r="AH211" s="4" cm="1">
        <f t="array" ref="AH211">IF(FALSE,"True," &amp; IF(_xlfn.XLOOKUP("Dst_CIDR_17_22",'Scoring_Config'!$A:$A,'Scoring_Config'!$D:$D,"Yes")="Yes",_xlfn.XLOOKUP("Dst_CIDR_17_22",'Scoring_Config'!$A:$A,'Scoring_Config'!$C:$C,15),0),"False,0")</f>
        <v>0</v>
      </c>
      <c r="AI211" s="4" cm="1">
        <f t="array" ref="AI211">IF(FALSE,"True," &amp; IF(_xlfn.XLOOKUP("SrcZone_IsAny",'Scoring_Config'!$A:$A,'Scoring_Config'!$D:$D,"Yes")="Yes",_xlfn.XLOOKUP("SrcZone_IsAny",'Scoring_Config'!$A:$A,'Scoring_Config'!$C:$C,5),0),"False,0")</f>
        <v>0</v>
      </c>
      <c r="AJ211" s="4" cm="1">
        <f t="array" ref="AJ211">IF(FALSE,"True," &amp; IF(_xlfn.XLOOKUP("DstZone_IsAny",'Scoring_Config'!$A:$A,'Scoring_Config'!$D:$D,"Yes")="Yes",_xlfn.XLOOKUP("DstZone_IsAny",'Scoring_Config'!$A:$A,'Scoring_Config'!$C:$C,5),0),"False,0")</f>
        <v>0</v>
      </c>
      <c r="AK211" s="4" cm="1">
        <f t="array" ref="AK21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1" s="4" cm="1">
        <f t="array" ref="AL211">IF(FALSE,"True," &amp; IF(_xlfn.XLOOKUP("App_Any_OR_RangeGt1000",'Scoring_Config'!$A:$A,'Scoring_Config'!$D:$D,"Yes")="Yes",_xlfn.XLOOKUP("App_Any_OR_RangeGt1000",'Scoring_Config'!$A:$A,'Scoring_Config'!$C:$C,25),0),"False,0")</f>
        <v>0</v>
      </c>
      <c r="AM211" s="5" cm="1">
        <f t="array" ref="AM211">IF(TRUE,"True," &amp; IF(_xlfn.XLOOKUP("Service_Insecure_Match",'Scoring_Config'!$A:$A,'Scoring_Config'!$D:$D,"Yes")="Yes",_xlfn.XLOOKUP("Service_Insecure_Match",'Scoring_Config'!$A:$A,'Scoring_Config'!$C:$C,20),0),"False,0")</f>
        <v>0</v>
      </c>
      <c r="AN211" s="4" cm="1">
        <f t="array" ref="AN211">IF(FALSE,"True," &amp; IF(_xlfn.XLOOKUP("Risky_Inbound",'Scoring_Config'!$A:$A,'Scoring_Config'!$D:$D,"Yes")="Yes",_xlfn.XLOOKUP("Risky_Inbound",'Scoring_Config'!$A:$A,'Scoring_Config'!$C:$C,20),0),"False,0")</f>
        <v>0</v>
      </c>
      <c r="AO211" s="4" cm="1">
        <f t="array" ref="AO211">IF(FALSE,"True," &amp; IF(_xlfn.XLOOKUP("Risky_Outbound",'Scoring_Config'!$A:$A,'Scoring_Config'!$D:$D,"Yes")="Yes",_xlfn.XLOOKUP("Risky_Outbound",'Scoring_Config'!$A:$A,'Scoring_Config'!$C:$C,10),0),"False,0")</f>
        <v>0</v>
      </c>
      <c r="AP211" s="5" t="s">
        <v>2595</v>
      </c>
      <c r="AQ211" s="4" cm="1">
        <f t="array" ref="AQ21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1" s="5" t="s">
        <v>2598</v>
      </c>
      <c r="AS211" s="4" t="s">
        <v>2592</v>
      </c>
      <c r="AT211" s="4" t="s">
        <v>2592</v>
      </c>
      <c r="AU211" s="4" cm="1">
        <f t="array" ref="AU211">IF(FALSE,"True," &amp; IF(_xlfn.XLOOKUP("Action_IsDenyOrDrop",'Scoring_Config'!$A:$A,'Scoring_Config'!$D:$D,"Yes")="Yes",_xlfn.XLOOKUP("Action_IsDenyOrDrop",'Scoring_Config'!$A:$A,'Scoring_Config'!$C:$C,0),0),"False,0")</f>
        <v>0</v>
      </c>
      <c r="AV211" s="4"/>
      <c r="AW211" s="4" cm="1">
        <f t="array" ref="AW211">IF(FALSE,"True," &amp; IF(_xlfn.XLOOKUP("Migrate_Insecure",'Scoring_Config'!$A:$A,'Scoring_Config'!$D:$D,"Yes")="Yes",_xlfn.XLOOKUP("Migrate_Insecure",'Scoring_Config'!$A:$A,'Scoring_Config'!$C:$C,15),0),"False,0")</f>
        <v>0</v>
      </c>
      <c r="AX211" s="4"/>
      <c r="AY211" s="4" cm="1">
        <f t="array" ref="AY211">IF(FALSE,"True," &amp; IF(_xlfn.XLOOKUP("Migrate_Other_Ports",'Scoring_Config'!$A:$A,'Scoring_Config'!$D:$D,"Yes")="Yes",_xlfn.XLOOKUP("Migrate_Other_Ports",'Scoring_Config'!$A:$A,'Scoring_Config'!$C:$C,5),0),"False,0")</f>
        <v>0</v>
      </c>
      <c r="AZ211" s="4" cm="1">
        <f t="array" ref="AZ211">IF(LEFT(AU211,4)="True",0,(IF(LEFT(AC211,4)="True",IF(_xlfn.XLOOKUP("Src_IsAny",'Scoring_Config'!$A:$A,'Scoring_Config'!$D:$D,"Yes")="Yes",_xlfn.XLOOKUP("Src_IsAny",'Scoring_Config'!$A:$A,'Scoring_Config'!$C:$C,25),0),0)+IF(LEFT(AD211,4)="True",IF(_xlfn.XLOOKUP("Src_CIDR_Le_16",'Scoring_Config'!$A:$A,'Scoring_Config'!$D:$D,"Yes")="Yes",_xlfn.XLOOKUP("Src_CIDR_Le_16",'Scoring_Config'!$A:$A,'Scoring_Config'!$C:$C,25),0),0)+IF(LEFT(AE211,4)="True",IF(_xlfn.XLOOKUP("Src_CIDR_17_22",'Scoring_Config'!$A:$A,'Scoring_Config'!$D:$D,"Yes")="Yes",_xlfn.XLOOKUP("Src_CIDR_17_22",'Scoring_Config'!$A:$A,'Scoring_Config'!$C:$C,15),0),0)+IF(LEFT(AF211,4)="True",IF(_xlfn.XLOOKUP("Dst_IsAny",'Scoring_Config'!$A:$A,'Scoring_Config'!$D:$D,"Yes")="Yes",_xlfn.XLOOKUP("Dst_IsAny",'Scoring_Config'!$A:$A,'Scoring_Config'!$C:$C,25),0),0)+IF(LEFT(AG211,4)="True",IF(_xlfn.XLOOKUP("Dst_CIDR_Le_16",'Scoring_Config'!$A:$A,'Scoring_Config'!$D:$D,"Yes")="Yes",_xlfn.XLOOKUP("Dst_CIDR_Le_16",'Scoring_Config'!$A:$A,'Scoring_Config'!$C:$C,25),0),0)+IF(LEFT(AH211,4)="True",IF(_xlfn.XLOOKUP("Dst_CIDR_17_22",'Scoring_Config'!$A:$A,'Scoring_Config'!$D:$D,"Yes")="Yes",_xlfn.XLOOKUP("Dst_CIDR_17_22",'Scoring_Config'!$A:$A,'Scoring_Config'!$C:$C,15),0),0)+IF(LEFT(AI211,4)="True",IF(_xlfn.XLOOKUP("SrcZone_IsAny",'Scoring_Config'!$A:$A,'Scoring_Config'!$D:$D,"Yes")="Yes",_xlfn.XLOOKUP("SrcZone_IsAny",'Scoring_Config'!$A:$A,'Scoring_Config'!$C:$C,5),0),0)+IF(LEFT(AJ211,4)="True",IF(_xlfn.XLOOKUP("DstZone_IsAny",'Scoring_Config'!$A:$A,'Scoring_Config'!$D:$D,"Yes")="Yes",_xlfn.XLOOKUP("DstZone_IsAny",'Scoring_Config'!$A:$A,'Scoring_Config'!$C:$C,5),0),0)+IF(LEFT(AK211,4)="True",IF(_xlfn.XLOOKUP("Service_Any_OR_RangeGt1000",'Scoring_Config'!$A:$A,'Scoring_Config'!$D:$D,"Yes")="Yes",_xlfn.XLOOKUP("Service_Any_OR_RangeGt1000",'Scoring_Config'!$A:$A,'Scoring_Config'!$C:$C,25),0),0)+IF(LEFT(AL211,4)="True",IF(_xlfn.XLOOKUP("App_Any_OR_RangeGt1000",'Scoring_Config'!$A:$A,'Scoring_Config'!$D:$D,"Yes")="Yes",_xlfn.XLOOKUP("App_Any_OR_RangeGt1000",'Scoring_Config'!$A:$A,'Scoring_Config'!$C:$C,25),0),0)+IF(LEFT(AM211,4)="True",IF(_xlfn.XLOOKUP("Service_Insecure_Match",'Scoring_Config'!$A:$A,'Scoring_Config'!$D:$D,"Yes")="Yes",_xlfn.XLOOKUP("Service_Insecure_Match",'Scoring_Config'!$A:$A,'Scoring_Config'!$C:$C,20),0),0)+IF(LEFT(AN211,4)="True",IF(_xlfn.XLOOKUP("Risky_Inbound",'Scoring_Config'!$A:$A,'Scoring_Config'!$D:$D,"Yes")="Yes",_xlfn.XLOOKUP("Risky_Inbound",'Scoring_Config'!$A:$A,'Scoring_Config'!$C:$C,20),0),0)+IF(LEFT(AO211,4)="True",IF(_xlfn.XLOOKUP("Risky_Outbound",'Scoring_Config'!$A:$A,'Scoring_Config'!$D:$D,"Yes")="Yes",_xlfn.XLOOKUP("Risky_Outbound",'Scoring_Config'!$A:$A,'Scoring_Config'!$C:$C,10),0),0)+IF(LEFT(AW211,4)="True",IF(_xlfn.XLOOKUP("Migrate_Insecure",'Scoring_Config'!$A:$A,'Scoring_Config'!$D:$D,"Yes")="Yes",_xlfn.XLOOKUP("Migrate_Insecure",'Scoring_Config'!$A:$A,'Scoring_Config'!$C:$C,15),0),0)+IF(LEFT(AY211,4)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211,FIND(",",AP211)+1,100)),0)+IF(LEFT(AQ211,4)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211,FIND(",",AR211)+1,100)),0)+IF(_xlfn.XLOOKUP("Profile_Scoring",'Scoring_Config'!$A:$A,'Scoring_Config'!$D:$D,"Yes")="Yes",VALUE(MID(AS211,FIND(",",AS211)+1,100)),0)+IF(_xlfn.XLOOKUP("Options_Scoring",'Scoring_Config'!$A:$A,'Scoring_Config'!$D:$D,"Yes")="Yes",VALUE(MID(AT211,FIND(",",AT211)+1,100)),0)))</f>
        <v>0</v>
      </c>
    </row>
    <row r="212" spans="1:52">
      <c r="A212" s="3" t="s">
        <v>53</v>
      </c>
      <c r="B212" s="3" t="s">
        <v>203</v>
      </c>
      <c r="C212" s="3" t="s">
        <v>330</v>
      </c>
      <c r="D212" s="3"/>
      <c r="E212" s="3" t="s">
        <v>359</v>
      </c>
      <c r="F212" s="3" t="s">
        <v>361</v>
      </c>
      <c r="G212" s="3" t="s">
        <v>443</v>
      </c>
      <c r="H212" s="3" t="s">
        <v>443</v>
      </c>
      <c r="I212" s="3" t="s">
        <v>365</v>
      </c>
      <c r="J212" s="3" t="s">
        <v>362</v>
      </c>
      <c r="K212" s="3" t="s">
        <v>413</v>
      </c>
      <c r="L212" s="3" t="s">
        <v>567</v>
      </c>
      <c r="M212" s="3" t="s">
        <v>773</v>
      </c>
      <c r="N212" s="3" t="s">
        <v>773</v>
      </c>
      <c r="O212" s="4" t="s">
        <v>802</v>
      </c>
      <c r="P212" s="3" t="s">
        <v>863</v>
      </c>
      <c r="Q212" s="3" t="s">
        <v>905</v>
      </c>
      <c r="R212" s="3" t="s">
        <v>909</v>
      </c>
      <c r="S212" s="3" t="s">
        <v>907</v>
      </c>
      <c r="T212" s="3" t="s">
        <v>1053</v>
      </c>
      <c r="U212" s="3" t="s">
        <v>1145</v>
      </c>
      <c r="V212" s="3" t="s">
        <v>1387</v>
      </c>
      <c r="W212" s="3" t="s">
        <v>1048</v>
      </c>
      <c r="X212" s="3" t="s">
        <v>1816</v>
      </c>
      <c r="Y212" s="3" t="s">
        <v>2285</v>
      </c>
      <c r="Z212" s="3"/>
      <c r="AA212" s="3"/>
      <c r="AB212" s="3"/>
      <c r="AC212" s="4" cm="1">
        <f t="array" ref="AC212">IF(FALSE,"True," &amp; IF(_xlfn.XLOOKUP("Src_IsAny",'Scoring_Config'!$A:$A,'Scoring_Config'!$D:$D,"Yes")="Yes",_xlfn.XLOOKUP("Src_IsAny",'Scoring_Config'!$A:$A,'Scoring_Config'!$C:$C,25),0),"False,0")</f>
        <v>0</v>
      </c>
      <c r="AD212" s="4" cm="1">
        <f t="array" ref="AD212">IF(FALSE,"True," &amp; IF(_xlfn.XLOOKUP("Src_CIDR_Le_16",'Scoring_Config'!$A:$A,'Scoring_Config'!$D:$D,"Yes")="Yes",_xlfn.XLOOKUP("Src_CIDR_Le_16",'Scoring_Config'!$A:$A,'Scoring_Config'!$C:$C,25),0),"False,0")</f>
        <v>0</v>
      </c>
      <c r="AE212" s="4" cm="1">
        <f t="array" ref="AE212">IF(FALSE,"True," &amp; IF(_xlfn.XLOOKUP("Src_CIDR_17_22",'Scoring_Config'!$A:$A,'Scoring_Config'!$D:$D,"Yes")="Yes",_xlfn.XLOOKUP("Src_CIDR_17_22",'Scoring_Config'!$A:$A,'Scoring_Config'!$C:$C,15),0),"False,0")</f>
        <v>0</v>
      </c>
      <c r="AF212" s="4" cm="1">
        <f t="array" ref="AF212">IF(FALSE,"True," &amp; IF(_xlfn.XLOOKUP("Dst_IsAny",'Scoring_Config'!$A:$A,'Scoring_Config'!$D:$D,"Yes")="Yes",_xlfn.XLOOKUP("Dst_IsAny",'Scoring_Config'!$A:$A,'Scoring_Config'!$C:$C,25),0),"False,0")</f>
        <v>0</v>
      </c>
      <c r="AG212" s="4" cm="1">
        <f t="array" ref="AG212">IF(FALSE,"True," &amp; IF(_xlfn.XLOOKUP("Dst_CIDR_Le_16",'Scoring_Config'!$A:$A,'Scoring_Config'!$D:$D,"Yes")="Yes",_xlfn.XLOOKUP("Dst_CIDR_Le_16",'Scoring_Config'!$A:$A,'Scoring_Config'!$C:$C,25),0),"False,0")</f>
        <v>0</v>
      </c>
      <c r="AH212" s="4" cm="1">
        <f t="array" ref="AH212">IF(FALSE,"True," &amp; IF(_xlfn.XLOOKUP("Dst_CIDR_17_22",'Scoring_Config'!$A:$A,'Scoring_Config'!$D:$D,"Yes")="Yes",_xlfn.XLOOKUP("Dst_CIDR_17_22",'Scoring_Config'!$A:$A,'Scoring_Config'!$C:$C,15),0),"False,0")</f>
        <v>0</v>
      </c>
      <c r="AI212" s="4" cm="1">
        <f t="array" ref="AI212">IF(FALSE,"True," &amp; IF(_xlfn.XLOOKUP("SrcZone_IsAny",'Scoring_Config'!$A:$A,'Scoring_Config'!$D:$D,"Yes")="Yes",_xlfn.XLOOKUP("SrcZone_IsAny",'Scoring_Config'!$A:$A,'Scoring_Config'!$C:$C,5),0),"False,0")</f>
        <v>0</v>
      </c>
      <c r="AJ212" s="4" cm="1">
        <f t="array" ref="AJ212">IF(FALSE,"True," &amp; IF(_xlfn.XLOOKUP("DstZone_IsAny",'Scoring_Config'!$A:$A,'Scoring_Config'!$D:$D,"Yes")="Yes",_xlfn.XLOOKUP("DstZone_IsAny",'Scoring_Config'!$A:$A,'Scoring_Config'!$C:$C,5),0),"False,0")</f>
        <v>0</v>
      </c>
      <c r="AK212" s="4" cm="1">
        <f t="array" ref="AK21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2" s="4" cm="1">
        <f t="array" ref="AL212">IF(FALSE,"True," &amp; IF(_xlfn.XLOOKUP("App_Any_OR_RangeGt1000",'Scoring_Config'!$A:$A,'Scoring_Config'!$D:$D,"Yes")="Yes",_xlfn.XLOOKUP("App_Any_OR_RangeGt1000",'Scoring_Config'!$A:$A,'Scoring_Config'!$C:$C,25),0),"False,0")</f>
        <v>0</v>
      </c>
      <c r="AM212" s="5" cm="1">
        <f t="array" ref="AM212">IF(TRUE,"True," &amp; IF(_xlfn.XLOOKUP("Service_Insecure_Match",'Scoring_Config'!$A:$A,'Scoring_Config'!$D:$D,"Yes")="Yes",_xlfn.XLOOKUP("Service_Insecure_Match",'Scoring_Config'!$A:$A,'Scoring_Config'!$C:$C,20),0),"False,0")</f>
        <v>0</v>
      </c>
      <c r="AN212" s="5" cm="1">
        <f t="array" ref="AN212">IF(TRUE,"True," &amp; IF(_xlfn.XLOOKUP("Risky_Inbound",'Scoring_Config'!$A:$A,'Scoring_Config'!$D:$D,"Yes")="Yes",_xlfn.XLOOKUP("Risky_Inbound",'Scoring_Config'!$A:$A,'Scoring_Config'!$C:$C,20),0),"False,0")</f>
        <v>0</v>
      </c>
      <c r="AO212" s="4" cm="1">
        <f t="array" ref="AO212">IF(FALSE,"True," &amp; IF(_xlfn.XLOOKUP("Risky_Outbound",'Scoring_Config'!$A:$A,'Scoring_Config'!$D:$D,"Yes")="Yes",_xlfn.XLOOKUP("Risky_Outbound",'Scoring_Config'!$A:$A,'Scoring_Config'!$C:$C,10),0),"False,0")</f>
        <v>0</v>
      </c>
      <c r="AP212" s="5" t="s">
        <v>2595</v>
      </c>
      <c r="AQ212" s="5" cm="1">
        <f t="array" ref="AQ21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2" s="4" t="s">
        <v>2592</v>
      </c>
      <c r="AS212" s="4" t="s">
        <v>2592</v>
      </c>
      <c r="AT212" s="5" t="s">
        <v>2595</v>
      </c>
      <c r="AU212" s="4" cm="1">
        <f t="array" ref="AU212">IF(FALSE,"True," &amp; IF(_xlfn.XLOOKUP("Action_IsDenyOrDrop",'Scoring_Config'!$A:$A,'Scoring_Config'!$D:$D,"Yes")="Yes",_xlfn.XLOOKUP("Action_IsDenyOrDrop",'Scoring_Config'!$A:$A,'Scoring_Config'!$C:$C,0),0),"False,0")</f>
        <v>0</v>
      </c>
      <c r="AV212" s="4"/>
      <c r="AW212" s="4" cm="1">
        <f t="array" ref="AW212">IF(FALSE,"True," &amp; IF(_xlfn.XLOOKUP("Migrate_Insecure",'Scoring_Config'!$A:$A,'Scoring_Config'!$D:$D,"Yes")="Yes",_xlfn.XLOOKUP("Migrate_Insecure",'Scoring_Config'!$A:$A,'Scoring_Config'!$C:$C,15),0),"False,0")</f>
        <v>0</v>
      </c>
      <c r="AX212" s="4"/>
      <c r="AY212" s="4" cm="1">
        <f t="array" ref="AY212">IF(FALSE,"True," &amp; IF(_xlfn.XLOOKUP("Migrate_Other_Ports",'Scoring_Config'!$A:$A,'Scoring_Config'!$D:$D,"Yes")="Yes",_xlfn.XLOOKUP("Migrate_Other_Ports",'Scoring_Config'!$A:$A,'Scoring_Config'!$C:$C,5),0),"False,0")</f>
        <v>0</v>
      </c>
      <c r="AZ212" s="4" cm="1">
        <f t="array" ref="AZ212">IF(LEFT(AU212,4)="True",0,(IF(LEFT(AC212,4)="True",IF(_xlfn.XLOOKUP("Src_IsAny",'Scoring_Config'!$A:$A,'Scoring_Config'!$D:$D,"Yes")="Yes",_xlfn.XLOOKUP("Src_IsAny",'Scoring_Config'!$A:$A,'Scoring_Config'!$C:$C,25),0),0)+IF(LEFT(AD212,4)="True",IF(_xlfn.XLOOKUP("Src_CIDR_Le_16",'Scoring_Config'!$A:$A,'Scoring_Config'!$D:$D,"Yes")="Yes",_xlfn.XLOOKUP("Src_CIDR_Le_16",'Scoring_Config'!$A:$A,'Scoring_Config'!$C:$C,25),0),0)+IF(LEFT(AE212,4)="True",IF(_xlfn.XLOOKUP("Src_CIDR_17_22",'Scoring_Config'!$A:$A,'Scoring_Config'!$D:$D,"Yes")="Yes",_xlfn.XLOOKUP("Src_CIDR_17_22",'Scoring_Config'!$A:$A,'Scoring_Config'!$C:$C,15),0),0)+IF(LEFT(AF212,4)="True",IF(_xlfn.XLOOKUP("Dst_IsAny",'Scoring_Config'!$A:$A,'Scoring_Config'!$D:$D,"Yes")="Yes",_xlfn.XLOOKUP("Dst_IsAny",'Scoring_Config'!$A:$A,'Scoring_Config'!$C:$C,25),0),0)+IF(LEFT(AG212,4)="True",IF(_xlfn.XLOOKUP("Dst_CIDR_Le_16",'Scoring_Config'!$A:$A,'Scoring_Config'!$D:$D,"Yes")="Yes",_xlfn.XLOOKUP("Dst_CIDR_Le_16",'Scoring_Config'!$A:$A,'Scoring_Config'!$C:$C,25),0),0)+IF(LEFT(AH212,4)="True",IF(_xlfn.XLOOKUP("Dst_CIDR_17_22",'Scoring_Config'!$A:$A,'Scoring_Config'!$D:$D,"Yes")="Yes",_xlfn.XLOOKUP("Dst_CIDR_17_22",'Scoring_Config'!$A:$A,'Scoring_Config'!$C:$C,15),0),0)+IF(LEFT(AI212,4)="True",IF(_xlfn.XLOOKUP("SrcZone_IsAny",'Scoring_Config'!$A:$A,'Scoring_Config'!$D:$D,"Yes")="Yes",_xlfn.XLOOKUP("SrcZone_IsAny",'Scoring_Config'!$A:$A,'Scoring_Config'!$C:$C,5),0),0)+IF(LEFT(AJ212,4)="True",IF(_xlfn.XLOOKUP("DstZone_IsAny",'Scoring_Config'!$A:$A,'Scoring_Config'!$D:$D,"Yes")="Yes",_xlfn.XLOOKUP("DstZone_IsAny",'Scoring_Config'!$A:$A,'Scoring_Config'!$C:$C,5),0),0)+IF(LEFT(AK212,4)="True",IF(_xlfn.XLOOKUP("Service_Any_OR_RangeGt1000",'Scoring_Config'!$A:$A,'Scoring_Config'!$D:$D,"Yes")="Yes",_xlfn.XLOOKUP("Service_Any_OR_RangeGt1000",'Scoring_Config'!$A:$A,'Scoring_Config'!$C:$C,25),0),0)+IF(LEFT(AL212,4)="True",IF(_xlfn.XLOOKUP("App_Any_OR_RangeGt1000",'Scoring_Config'!$A:$A,'Scoring_Config'!$D:$D,"Yes")="Yes",_xlfn.XLOOKUP("App_Any_OR_RangeGt1000",'Scoring_Config'!$A:$A,'Scoring_Config'!$C:$C,25),0),0)+IF(LEFT(AM212,4)="True",IF(_xlfn.XLOOKUP("Service_Insecure_Match",'Scoring_Config'!$A:$A,'Scoring_Config'!$D:$D,"Yes")="Yes",_xlfn.XLOOKUP("Service_Insecure_Match",'Scoring_Config'!$A:$A,'Scoring_Config'!$C:$C,20),0),0)+IF(LEFT(AN212,4)="True",IF(_xlfn.XLOOKUP("Risky_Inbound",'Scoring_Config'!$A:$A,'Scoring_Config'!$D:$D,"Yes")="Yes",_xlfn.XLOOKUP("Risky_Inbound",'Scoring_Config'!$A:$A,'Scoring_Config'!$C:$C,20),0),0)+IF(LEFT(AO212,4)="True",IF(_xlfn.XLOOKUP("Risky_Outbound",'Scoring_Config'!$A:$A,'Scoring_Config'!$D:$D,"Yes")="Yes",_xlfn.XLOOKUP("Risky_Outbound",'Scoring_Config'!$A:$A,'Scoring_Config'!$C:$C,10),0),0)+IF(LEFT(AW212,4)="True",IF(_xlfn.XLOOKUP("Migrate_Insecure",'Scoring_Config'!$A:$A,'Scoring_Config'!$D:$D,"Yes")="Yes",_xlfn.XLOOKUP("Migrate_Insecure",'Scoring_Config'!$A:$A,'Scoring_Config'!$C:$C,15),0),0)+IF(LEFT(AY212,4)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212,FIND(",",AP212)+1,100)),0)+IF(LEFT(AQ212,4)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212,FIND(",",AR212)+1,100)),0)+IF(_xlfn.XLOOKUP("Profile_Scoring",'Scoring_Config'!$A:$A,'Scoring_Config'!$D:$D,"Yes")="Yes",VALUE(MID(AS212,FIND(",",AS212)+1,100)),0)+IF(_xlfn.XLOOKUP("Options_Scoring",'Scoring_Config'!$A:$A,'Scoring_Config'!$D:$D,"Yes")="Yes",VALUE(MID(AT212,FIND(",",AT212)+1,100)),0)))</f>
        <v>0</v>
      </c>
    </row>
    <row r="213" spans="1:52">
      <c r="A213" s="3" t="s">
        <v>53</v>
      </c>
      <c r="B213" s="3" t="s">
        <v>83</v>
      </c>
      <c r="C213" s="3" t="s">
        <v>330</v>
      </c>
      <c r="D213" s="3"/>
      <c r="E213" s="3" t="s">
        <v>359</v>
      </c>
      <c r="F213" s="3" t="s">
        <v>364</v>
      </c>
      <c r="G213" s="3" t="s">
        <v>444</v>
      </c>
      <c r="H213" s="3" t="s">
        <v>444</v>
      </c>
      <c r="I213" s="3" t="s">
        <v>623</v>
      </c>
      <c r="J213" s="3" t="s">
        <v>364</v>
      </c>
      <c r="K213" s="3" t="s">
        <v>365</v>
      </c>
      <c r="L213" s="3" t="s">
        <v>365</v>
      </c>
      <c r="M213" s="3" t="s">
        <v>774</v>
      </c>
      <c r="N213" s="3" t="s">
        <v>795</v>
      </c>
      <c r="O213" s="4" t="s">
        <v>839</v>
      </c>
      <c r="P213" s="3" t="s">
        <v>839</v>
      </c>
      <c r="Q213" s="3" t="s">
        <v>905</v>
      </c>
      <c r="R213" s="3" t="s">
        <v>911</v>
      </c>
      <c r="S213" s="3" t="s">
        <v>914</v>
      </c>
      <c r="T213" s="3" t="s">
        <v>919</v>
      </c>
      <c r="U213" s="3" t="s">
        <v>1145</v>
      </c>
      <c r="V213" s="3" t="s">
        <v>1389</v>
      </c>
      <c r="W213" s="3" t="s">
        <v>1514</v>
      </c>
      <c r="X213" s="3" t="s">
        <v>1817</v>
      </c>
      <c r="Y213" s="3" t="s">
        <v>2286</v>
      </c>
      <c r="Z213" s="3"/>
      <c r="AA213" s="3"/>
      <c r="AB213" s="3"/>
      <c r="AC213" s="4" cm="1">
        <f t="array" ref="AC213">IF(FALSE,"True," &amp; IF(_xlfn.XLOOKUP("Src_IsAny",'Scoring_Config'!$A:$A,'Scoring_Config'!$D:$D,"Yes")="Yes",_xlfn.XLOOKUP("Src_IsAny",'Scoring_Config'!$A:$A,'Scoring_Config'!$C:$C,25),0),"False,0")</f>
        <v>0</v>
      </c>
      <c r="AD213" s="4" cm="1">
        <f t="array" ref="AD213">IF(FALSE,"True," &amp; IF(_xlfn.XLOOKUP("Src_CIDR_Le_16",'Scoring_Config'!$A:$A,'Scoring_Config'!$D:$D,"Yes")="Yes",_xlfn.XLOOKUP("Src_CIDR_Le_16",'Scoring_Config'!$A:$A,'Scoring_Config'!$C:$C,25),0),"False,0")</f>
        <v>0</v>
      </c>
      <c r="AE213" s="4" cm="1">
        <f t="array" ref="AE213">IF(FALSE,"True," &amp; IF(_xlfn.XLOOKUP("Src_CIDR_17_22",'Scoring_Config'!$A:$A,'Scoring_Config'!$D:$D,"Yes")="Yes",_xlfn.XLOOKUP("Src_CIDR_17_22",'Scoring_Config'!$A:$A,'Scoring_Config'!$C:$C,15),0),"False,0")</f>
        <v>0</v>
      </c>
      <c r="AF213" s="5" cm="1">
        <f t="array" ref="AF213">IF(TRUE,"True," &amp; IF(_xlfn.XLOOKUP("Dst_IsAny",'Scoring_Config'!$A:$A,'Scoring_Config'!$D:$D,"Yes")="Yes",_xlfn.XLOOKUP("Dst_IsAny",'Scoring_Config'!$A:$A,'Scoring_Config'!$C:$C,25),0),"False,0")</f>
        <v>0</v>
      </c>
      <c r="AG213" s="4" cm="1">
        <f t="array" ref="AG213">IF(FALSE,"True," &amp; IF(_xlfn.XLOOKUP("Dst_CIDR_Le_16",'Scoring_Config'!$A:$A,'Scoring_Config'!$D:$D,"Yes")="Yes",_xlfn.XLOOKUP("Dst_CIDR_Le_16",'Scoring_Config'!$A:$A,'Scoring_Config'!$C:$C,25),0),"False,0")</f>
        <v>0</v>
      </c>
      <c r="AH213" s="4" cm="1">
        <f t="array" ref="AH213">IF(FALSE,"True," &amp; IF(_xlfn.XLOOKUP("Dst_CIDR_17_22",'Scoring_Config'!$A:$A,'Scoring_Config'!$D:$D,"Yes")="Yes",_xlfn.XLOOKUP("Dst_CIDR_17_22",'Scoring_Config'!$A:$A,'Scoring_Config'!$C:$C,15),0),"False,0")</f>
        <v>0</v>
      </c>
      <c r="AI213" s="4" cm="1">
        <f t="array" ref="AI213">IF(FALSE,"True," &amp; IF(_xlfn.XLOOKUP("SrcZone_IsAny",'Scoring_Config'!$A:$A,'Scoring_Config'!$D:$D,"Yes")="Yes",_xlfn.XLOOKUP("SrcZone_IsAny",'Scoring_Config'!$A:$A,'Scoring_Config'!$C:$C,5),0),"False,0")</f>
        <v>0</v>
      </c>
      <c r="AJ213" s="4" cm="1">
        <f t="array" ref="AJ213">IF(FALSE,"True," &amp; IF(_xlfn.XLOOKUP("DstZone_IsAny",'Scoring_Config'!$A:$A,'Scoring_Config'!$D:$D,"Yes")="Yes",_xlfn.XLOOKUP("DstZone_IsAny",'Scoring_Config'!$A:$A,'Scoring_Config'!$C:$C,5),0),"False,0")</f>
        <v>0</v>
      </c>
      <c r="AK213" s="4" cm="1">
        <f t="array" ref="AK21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3" s="4" cm="1">
        <f t="array" ref="AL213">IF(FALSE,"True," &amp; IF(_xlfn.XLOOKUP("App_Any_OR_RangeGt1000",'Scoring_Config'!$A:$A,'Scoring_Config'!$D:$D,"Yes")="Yes",_xlfn.XLOOKUP("App_Any_OR_RangeGt1000",'Scoring_Config'!$A:$A,'Scoring_Config'!$C:$C,25),0),"False,0")</f>
        <v>0</v>
      </c>
      <c r="AM213" s="4" cm="1">
        <f t="array" ref="AM213">IF(FALSE,"True," &amp; IF(_xlfn.XLOOKUP("Service_Insecure_Match",'Scoring_Config'!$A:$A,'Scoring_Config'!$D:$D,"Yes")="Yes",_xlfn.XLOOKUP("Service_Insecure_Match",'Scoring_Config'!$A:$A,'Scoring_Config'!$C:$C,20),0),"False,0")</f>
        <v>0</v>
      </c>
      <c r="AN213" s="4" cm="1">
        <f t="array" ref="AN213">IF(FALSE,"True," &amp; IF(_xlfn.XLOOKUP("Risky_Inbound",'Scoring_Config'!$A:$A,'Scoring_Config'!$D:$D,"Yes")="Yes",_xlfn.XLOOKUP("Risky_Inbound",'Scoring_Config'!$A:$A,'Scoring_Config'!$C:$C,20),0),"False,0")</f>
        <v>0</v>
      </c>
      <c r="AO213" s="4" cm="1">
        <f t="array" ref="AO213">IF(FALSE,"True," &amp; IF(_xlfn.XLOOKUP("Risky_Outbound",'Scoring_Config'!$A:$A,'Scoring_Config'!$D:$D,"Yes")="Yes",_xlfn.XLOOKUP("Risky_Outbound",'Scoring_Config'!$A:$A,'Scoring_Config'!$C:$C,10),0),"False,0")</f>
        <v>0</v>
      </c>
      <c r="AP213" s="5" t="s">
        <v>2595</v>
      </c>
      <c r="AQ213" s="5" cm="1">
        <f t="array" ref="AQ21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3" s="5" t="s">
        <v>2598</v>
      </c>
      <c r="AS213" s="4" t="s">
        <v>2592</v>
      </c>
      <c r="AT213" s="4" t="s">
        <v>2592</v>
      </c>
      <c r="AU213" s="4" cm="1">
        <f t="array" ref="AU213">IF(FALSE,"True," &amp; IF(_xlfn.XLOOKUP("Action_IsDenyOrDrop",'Scoring_Config'!$A:$A,'Scoring_Config'!$D:$D,"Yes")="Yes",_xlfn.XLOOKUP("Action_IsDenyOrDrop",'Scoring_Config'!$A:$A,'Scoring_Config'!$C:$C,0),0),"False,0")</f>
        <v>0</v>
      </c>
      <c r="AV213" s="4"/>
      <c r="AW213" s="4" cm="1">
        <f t="array" ref="AW213">IF(FALSE,"True," &amp; IF(_xlfn.XLOOKUP("Migrate_Insecure",'Scoring_Config'!$A:$A,'Scoring_Config'!$D:$D,"Yes")="Yes",_xlfn.XLOOKUP("Migrate_Insecure",'Scoring_Config'!$A:$A,'Scoring_Config'!$C:$C,15),0),"False,0")</f>
        <v>0</v>
      </c>
      <c r="AX213" s="4"/>
      <c r="AY213" s="4" cm="1">
        <f t="array" ref="AY213">IF(FALSE,"True," &amp; IF(_xlfn.XLOOKUP("Migrate_Other_Ports",'Scoring_Config'!$A:$A,'Scoring_Config'!$D:$D,"Yes")="Yes",_xlfn.XLOOKUP("Migrate_Other_Ports",'Scoring_Config'!$A:$A,'Scoring_Config'!$C:$C,5),0),"False,0")</f>
        <v>0</v>
      </c>
      <c r="AZ213" s="4" cm="1">
        <f t="array" ref="AZ213">IF(LEFT(AU213,4)="True",0,(IF(LEFT(AC213,4)="True",IF(_xlfn.XLOOKUP("Src_IsAny",'Scoring_Config'!$A:$A,'Scoring_Config'!$D:$D,"Yes")="Yes",_xlfn.XLOOKUP("Src_IsAny",'Scoring_Config'!$A:$A,'Scoring_Config'!$C:$C,25),0),0)+IF(LEFT(AD213,4)="True",IF(_xlfn.XLOOKUP("Src_CIDR_Le_16",'Scoring_Config'!$A:$A,'Scoring_Config'!$D:$D,"Yes")="Yes",_xlfn.XLOOKUP("Src_CIDR_Le_16",'Scoring_Config'!$A:$A,'Scoring_Config'!$C:$C,25),0),0)+IF(LEFT(AE213,4)="True",IF(_xlfn.XLOOKUP("Src_CIDR_17_22",'Scoring_Config'!$A:$A,'Scoring_Config'!$D:$D,"Yes")="Yes",_xlfn.XLOOKUP("Src_CIDR_17_22",'Scoring_Config'!$A:$A,'Scoring_Config'!$C:$C,15),0),0)+IF(LEFT(AF213,4)="True",IF(_xlfn.XLOOKUP("Dst_IsAny",'Scoring_Config'!$A:$A,'Scoring_Config'!$D:$D,"Yes")="Yes",_xlfn.XLOOKUP("Dst_IsAny",'Scoring_Config'!$A:$A,'Scoring_Config'!$C:$C,25),0),0)+IF(LEFT(AG213,4)="True",IF(_xlfn.XLOOKUP("Dst_CIDR_Le_16",'Scoring_Config'!$A:$A,'Scoring_Config'!$D:$D,"Yes")="Yes",_xlfn.XLOOKUP("Dst_CIDR_Le_16",'Scoring_Config'!$A:$A,'Scoring_Config'!$C:$C,25),0),0)+IF(LEFT(AH213,4)="True",IF(_xlfn.XLOOKUP("Dst_CIDR_17_22",'Scoring_Config'!$A:$A,'Scoring_Config'!$D:$D,"Yes")="Yes",_xlfn.XLOOKUP("Dst_CIDR_17_22",'Scoring_Config'!$A:$A,'Scoring_Config'!$C:$C,15),0),0)+IF(LEFT(AI213,4)="True",IF(_xlfn.XLOOKUP("SrcZone_IsAny",'Scoring_Config'!$A:$A,'Scoring_Config'!$D:$D,"Yes")="Yes",_xlfn.XLOOKUP("SrcZone_IsAny",'Scoring_Config'!$A:$A,'Scoring_Config'!$C:$C,5),0),0)+IF(LEFT(AJ213,4)="True",IF(_xlfn.XLOOKUP("DstZone_IsAny",'Scoring_Config'!$A:$A,'Scoring_Config'!$D:$D,"Yes")="Yes",_xlfn.XLOOKUP("DstZone_IsAny",'Scoring_Config'!$A:$A,'Scoring_Config'!$C:$C,5),0),0)+IF(LEFT(AK213,4)="True",IF(_xlfn.XLOOKUP("Service_Any_OR_RangeGt1000",'Scoring_Config'!$A:$A,'Scoring_Config'!$D:$D,"Yes")="Yes",_xlfn.XLOOKUP("Service_Any_OR_RangeGt1000",'Scoring_Config'!$A:$A,'Scoring_Config'!$C:$C,25),0),0)+IF(LEFT(AL213,4)="True",IF(_xlfn.XLOOKUP("App_Any_OR_RangeGt1000",'Scoring_Config'!$A:$A,'Scoring_Config'!$D:$D,"Yes")="Yes",_xlfn.XLOOKUP("App_Any_OR_RangeGt1000",'Scoring_Config'!$A:$A,'Scoring_Config'!$C:$C,25),0),0)+IF(LEFT(AM213,4)="True",IF(_xlfn.XLOOKUP("Service_Insecure_Match",'Scoring_Config'!$A:$A,'Scoring_Config'!$D:$D,"Yes")="Yes",_xlfn.XLOOKUP("Service_Insecure_Match",'Scoring_Config'!$A:$A,'Scoring_Config'!$C:$C,20),0),0)+IF(LEFT(AN213,4)="True",IF(_xlfn.XLOOKUP("Risky_Inbound",'Scoring_Config'!$A:$A,'Scoring_Config'!$D:$D,"Yes")="Yes",_xlfn.XLOOKUP("Risky_Inbound",'Scoring_Config'!$A:$A,'Scoring_Config'!$C:$C,20),0),0)+IF(LEFT(AO213,4)="True",IF(_xlfn.XLOOKUP("Risky_Outbound",'Scoring_Config'!$A:$A,'Scoring_Config'!$D:$D,"Yes")="Yes",_xlfn.XLOOKUP("Risky_Outbound",'Scoring_Config'!$A:$A,'Scoring_Config'!$C:$C,10),0),0)+IF(LEFT(AW213,4)="True",IF(_xlfn.XLOOKUP("Migrate_Insecure",'Scoring_Config'!$A:$A,'Scoring_Config'!$D:$D,"Yes")="Yes",_xlfn.XLOOKUP("Migrate_Insecure",'Scoring_Config'!$A:$A,'Scoring_Config'!$C:$C,15),0),0)+IF(LEFT(AY213,4)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213,FIND(",",AP213)+1,100)),0)+IF(LEFT(AQ213,4)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213,FIND(",",AR213)+1,100)),0)+IF(_xlfn.XLOOKUP("Profile_Scoring",'Scoring_Config'!$A:$A,'Scoring_Config'!$D:$D,"Yes")="Yes",VALUE(MID(AS213,FIND(",",AS213)+1,100)),0)+IF(_xlfn.XLOOKUP("Options_Scoring",'Scoring_Config'!$A:$A,'Scoring_Config'!$D:$D,"Yes")="Yes",VALUE(MID(AT213,FIND(",",AT213)+1,100)),0)))</f>
        <v>0</v>
      </c>
    </row>
    <row r="214" spans="1:52">
      <c r="A214" s="3" t="s">
        <v>53</v>
      </c>
      <c r="B214" s="3" t="s">
        <v>204</v>
      </c>
      <c r="C214" s="3" t="s">
        <v>330</v>
      </c>
      <c r="D214" s="3"/>
      <c r="E214" s="3" t="s">
        <v>359</v>
      </c>
      <c r="F214" s="3" t="s">
        <v>361</v>
      </c>
      <c r="G214" s="3" t="s">
        <v>365</v>
      </c>
      <c r="H214" s="3" t="s">
        <v>365</v>
      </c>
      <c r="I214" s="3" t="s">
        <v>625</v>
      </c>
      <c r="J214" s="3" t="s">
        <v>360</v>
      </c>
      <c r="K214" s="3" t="s">
        <v>365</v>
      </c>
      <c r="L214" s="3" t="s">
        <v>365</v>
      </c>
      <c r="M214" s="3" t="s">
        <v>365</v>
      </c>
      <c r="N214" s="3" t="s">
        <v>365</v>
      </c>
      <c r="O214" s="4" t="s">
        <v>817</v>
      </c>
      <c r="P214" s="3" t="s">
        <v>878</v>
      </c>
      <c r="Q214" s="3" t="s">
        <v>905</v>
      </c>
      <c r="R214" s="3" t="s">
        <v>907</v>
      </c>
      <c r="S214" s="3" t="s">
        <v>912</v>
      </c>
      <c r="T214" s="3" t="s">
        <v>919</v>
      </c>
      <c r="U214" s="3"/>
      <c r="V214" s="3" t="s">
        <v>1387</v>
      </c>
      <c r="W214" s="3" t="s">
        <v>1515</v>
      </c>
      <c r="X214" s="3" t="s">
        <v>1818</v>
      </c>
      <c r="Y214" s="3" t="s">
        <v>2287</v>
      </c>
      <c r="Z214" s="3"/>
      <c r="AA214" s="3"/>
      <c r="AB214" s="3"/>
      <c r="AC214" s="5" cm="1">
        <f t="array" ref="AC214">IF(TRUE,"True," &amp; IF(_xlfn.XLOOKUP("Src_IsAny",'Scoring_Config'!$A:$A,'Scoring_Config'!$D:$D,"Yes")="Yes",_xlfn.XLOOKUP("Src_IsAny",'Scoring_Config'!$A:$A,'Scoring_Config'!$C:$C,25),0),"False,0")</f>
        <v>0</v>
      </c>
      <c r="AD214" s="4" cm="1">
        <f t="array" ref="AD214">IF(FALSE,"True," &amp; IF(_xlfn.XLOOKUP("Src_CIDR_Le_16",'Scoring_Config'!$A:$A,'Scoring_Config'!$D:$D,"Yes")="Yes",_xlfn.XLOOKUP("Src_CIDR_Le_16",'Scoring_Config'!$A:$A,'Scoring_Config'!$C:$C,25),0),"False,0")</f>
        <v>0</v>
      </c>
      <c r="AE214" s="4" cm="1">
        <f t="array" ref="AE214">IF(FALSE,"True," &amp; IF(_xlfn.XLOOKUP("Src_CIDR_17_22",'Scoring_Config'!$A:$A,'Scoring_Config'!$D:$D,"Yes")="Yes",_xlfn.XLOOKUP("Src_CIDR_17_22",'Scoring_Config'!$A:$A,'Scoring_Config'!$C:$C,15),0),"False,0")</f>
        <v>0</v>
      </c>
      <c r="AF214" s="5" cm="1">
        <f t="array" ref="AF214">IF(TRUE,"True," &amp; IF(_xlfn.XLOOKUP("Dst_IsAny",'Scoring_Config'!$A:$A,'Scoring_Config'!$D:$D,"Yes")="Yes",_xlfn.XLOOKUP("Dst_IsAny",'Scoring_Config'!$A:$A,'Scoring_Config'!$C:$C,25),0),"False,0")</f>
        <v>0</v>
      </c>
      <c r="AG214" s="4" cm="1">
        <f t="array" ref="AG214">IF(FALSE,"True," &amp; IF(_xlfn.XLOOKUP("Dst_CIDR_Le_16",'Scoring_Config'!$A:$A,'Scoring_Config'!$D:$D,"Yes")="Yes",_xlfn.XLOOKUP("Dst_CIDR_Le_16",'Scoring_Config'!$A:$A,'Scoring_Config'!$C:$C,25),0),"False,0")</f>
        <v>0</v>
      </c>
      <c r="AH214" s="4" cm="1">
        <f t="array" ref="AH214">IF(FALSE,"True," &amp; IF(_xlfn.XLOOKUP("Dst_CIDR_17_22",'Scoring_Config'!$A:$A,'Scoring_Config'!$D:$D,"Yes")="Yes",_xlfn.XLOOKUP("Dst_CIDR_17_22",'Scoring_Config'!$A:$A,'Scoring_Config'!$C:$C,15),0),"False,0")</f>
        <v>0</v>
      </c>
      <c r="AI214" s="4" cm="1">
        <f t="array" ref="AI214">IF(FALSE,"True," &amp; IF(_xlfn.XLOOKUP("SrcZone_IsAny",'Scoring_Config'!$A:$A,'Scoring_Config'!$D:$D,"Yes")="Yes",_xlfn.XLOOKUP("SrcZone_IsAny",'Scoring_Config'!$A:$A,'Scoring_Config'!$C:$C,5),0),"False,0")</f>
        <v>0</v>
      </c>
      <c r="AJ214" s="4" cm="1">
        <f t="array" ref="AJ214">IF(FALSE,"True," &amp; IF(_xlfn.XLOOKUP("DstZone_IsAny",'Scoring_Config'!$A:$A,'Scoring_Config'!$D:$D,"Yes")="Yes",_xlfn.XLOOKUP("DstZone_IsAny",'Scoring_Config'!$A:$A,'Scoring_Config'!$C:$C,5),0),"False,0")</f>
        <v>0</v>
      </c>
      <c r="AK214" s="4" cm="1">
        <f t="array" ref="AK21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4" s="5" cm="1">
        <f t="array" ref="AL214">IF(TRUE,"True," &amp; IF(_xlfn.XLOOKUP("App_Any_OR_RangeGt1000",'Scoring_Config'!$A:$A,'Scoring_Config'!$D:$D,"Yes")="Yes",_xlfn.XLOOKUP("App_Any_OR_RangeGt1000",'Scoring_Config'!$A:$A,'Scoring_Config'!$C:$C,25),0),"False,0")</f>
        <v>0</v>
      </c>
      <c r="AM214" s="5" cm="1">
        <f t="array" ref="AM214">IF(TRUE,"True," &amp; IF(_xlfn.XLOOKUP("Service_Insecure_Match",'Scoring_Config'!$A:$A,'Scoring_Config'!$D:$D,"Yes")="Yes",_xlfn.XLOOKUP("Service_Insecure_Match",'Scoring_Config'!$A:$A,'Scoring_Config'!$C:$C,20),0),"False,0")</f>
        <v>0</v>
      </c>
      <c r="AN214" s="4" cm="1">
        <f t="array" ref="AN214">IF(FALSE,"True," &amp; IF(_xlfn.XLOOKUP("Risky_Inbound",'Scoring_Config'!$A:$A,'Scoring_Config'!$D:$D,"Yes")="Yes",_xlfn.XLOOKUP("Risky_Inbound",'Scoring_Config'!$A:$A,'Scoring_Config'!$C:$C,20),0),"False,0")</f>
        <v>0</v>
      </c>
      <c r="AO214" s="4" cm="1">
        <f t="array" ref="AO214">IF(FALSE,"True," &amp; IF(_xlfn.XLOOKUP("Risky_Outbound",'Scoring_Config'!$A:$A,'Scoring_Config'!$D:$D,"Yes")="Yes",_xlfn.XLOOKUP("Risky_Outbound",'Scoring_Config'!$A:$A,'Scoring_Config'!$C:$C,10),0),"False,0")</f>
        <v>0</v>
      </c>
      <c r="AP214" s="5" t="s">
        <v>2595</v>
      </c>
      <c r="AQ214" s="5" cm="1">
        <f t="array" ref="AQ21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4" s="5" t="s">
        <v>2598</v>
      </c>
      <c r="AS214" s="5" t="s">
        <v>2595</v>
      </c>
      <c r="AT214" s="4" t="s">
        <v>2592</v>
      </c>
      <c r="AU214" s="4" cm="1">
        <f t="array" ref="AU214">IF(FALSE,"True," &amp; IF(_xlfn.XLOOKUP("Action_IsDenyOrDrop",'Scoring_Config'!$A:$A,'Scoring_Config'!$D:$D,"Yes")="Yes",_xlfn.XLOOKUP("Action_IsDenyOrDrop",'Scoring_Config'!$A:$A,'Scoring_Config'!$C:$C,0),0),"False,0")</f>
        <v>0</v>
      </c>
      <c r="AV214" s="4"/>
      <c r="AW214" s="4" cm="1">
        <f t="array" ref="AW214">IF(FALSE,"True," &amp; IF(_xlfn.XLOOKUP("Migrate_Insecure",'Scoring_Config'!$A:$A,'Scoring_Config'!$D:$D,"Yes")="Yes",_xlfn.XLOOKUP("Migrate_Insecure",'Scoring_Config'!$A:$A,'Scoring_Config'!$C:$C,15),0),"False,0")</f>
        <v>0</v>
      </c>
      <c r="AX214" s="4"/>
      <c r="AY214" s="4" cm="1">
        <f t="array" ref="AY214">IF(FALSE,"True," &amp; IF(_xlfn.XLOOKUP("Migrate_Other_Ports",'Scoring_Config'!$A:$A,'Scoring_Config'!$D:$D,"Yes")="Yes",_xlfn.XLOOKUP("Migrate_Other_Ports",'Scoring_Config'!$A:$A,'Scoring_Config'!$C:$C,5),0),"False,0")</f>
        <v>0</v>
      </c>
      <c r="AZ214" s="4" cm="1">
        <f t="array" ref="AZ214">IF(LEFT(AU214,4)="True",0,(IF(LEFT(AC214,4)="True",IF(_xlfn.XLOOKUP("Src_IsAny",'Scoring_Config'!$A:$A,'Scoring_Config'!$D:$D,"Yes")="Yes",_xlfn.XLOOKUP("Src_IsAny",'Scoring_Config'!$A:$A,'Scoring_Config'!$C:$C,25),0),0)+IF(LEFT(AD214,4)="True",IF(_xlfn.XLOOKUP("Src_CIDR_Le_16",'Scoring_Config'!$A:$A,'Scoring_Config'!$D:$D,"Yes")="Yes",_xlfn.XLOOKUP("Src_CIDR_Le_16",'Scoring_Config'!$A:$A,'Scoring_Config'!$C:$C,25),0),0)+IF(LEFT(AE214,4)="True",IF(_xlfn.XLOOKUP("Src_CIDR_17_22",'Scoring_Config'!$A:$A,'Scoring_Config'!$D:$D,"Yes")="Yes",_xlfn.XLOOKUP("Src_CIDR_17_22",'Scoring_Config'!$A:$A,'Scoring_Config'!$C:$C,15),0),0)+IF(LEFT(AF214,4)="True",IF(_xlfn.XLOOKUP("Dst_IsAny",'Scoring_Config'!$A:$A,'Scoring_Config'!$D:$D,"Yes")="Yes",_xlfn.XLOOKUP("Dst_IsAny",'Scoring_Config'!$A:$A,'Scoring_Config'!$C:$C,25),0),0)+IF(LEFT(AG214,4)="True",IF(_xlfn.XLOOKUP("Dst_CIDR_Le_16",'Scoring_Config'!$A:$A,'Scoring_Config'!$D:$D,"Yes")="Yes",_xlfn.XLOOKUP("Dst_CIDR_Le_16",'Scoring_Config'!$A:$A,'Scoring_Config'!$C:$C,25),0),0)+IF(LEFT(AH214,4)="True",IF(_xlfn.XLOOKUP("Dst_CIDR_17_22",'Scoring_Config'!$A:$A,'Scoring_Config'!$D:$D,"Yes")="Yes",_xlfn.XLOOKUP("Dst_CIDR_17_22",'Scoring_Config'!$A:$A,'Scoring_Config'!$C:$C,15),0),0)+IF(LEFT(AI214,4)="True",IF(_xlfn.XLOOKUP("SrcZone_IsAny",'Scoring_Config'!$A:$A,'Scoring_Config'!$D:$D,"Yes")="Yes",_xlfn.XLOOKUP("SrcZone_IsAny",'Scoring_Config'!$A:$A,'Scoring_Config'!$C:$C,5),0),0)+IF(LEFT(AJ214,4)="True",IF(_xlfn.XLOOKUP("DstZone_IsAny",'Scoring_Config'!$A:$A,'Scoring_Config'!$D:$D,"Yes")="Yes",_xlfn.XLOOKUP("DstZone_IsAny",'Scoring_Config'!$A:$A,'Scoring_Config'!$C:$C,5),0),0)+IF(LEFT(AK214,4)="True",IF(_xlfn.XLOOKUP("Service_Any_OR_RangeGt1000",'Scoring_Config'!$A:$A,'Scoring_Config'!$D:$D,"Yes")="Yes",_xlfn.XLOOKUP("Service_Any_OR_RangeGt1000",'Scoring_Config'!$A:$A,'Scoring_Config'!$C:$C,25),0),0)+IF(LEFT(AL214,4)="True",IF(_xlfn.XLOOKUP("App_Any_OR_RangeGt1000",'Scoring_Config'!$A:$A,'Scoring_Config'!$D:$D,"Yes")="Yes",_xlfn.XLOOKUP("App_Any_OR_RangeGt1000",'Scoring_Config'!$A:$A,'Scoring_Config'!$C:$C,25),0),0)+IF(LEFT(AM214,4)="True",IF(_xlfn.XLOOKUP("Service_Insecure_Match",'Scoring_Config'!$A:$A,'Scoring_Config'!$D:$D,"Yes")="Yes",_xlfn.XLOOKUP("Service_Insecure_Match",'Scoring_Config'!$A:$A,'Scoring_Config'!$C:$C,20),0),0)+IF(LEFT(AN214,4)="True",IF(_xlfn.XLOOKUP("Risky_Inbound",'Scoring_Config'!$A:$A,'Scoring_Config'!$D:$D,"Yes")="Yes",_xlfn.XLOOKUP("Risky_Inbound",'Scoring_Config'!$A:$A,'Scoring_Config'!$C:$C,20),0),0)+IF(LEFT(AO214,4)="True",IF(_xlfn.XLOOKUP("Risky_Outbound",'Scoring_Config'!$A:$A,'Scoring_Config'!$D:$D,"Yes")="Yes",_xlfn.XLOOKUP("Risky_Outbound",'Scoring_Config'!$A:$A,'Scoring_Config'!$C:$C,10),0),0)+IF(LEFT(AW214,4)="True",IF(_xlfn.XLOOKUP("Migrate_Insecure",'Scoring_Config'!$A:$A,'Scoring_Config'!$D:$D,"Yes")="Yes",_xlfn.XLOOKUP("Migrate_Insecure",'Scoring_Config'!$A:$A,'Scoring_Config'!$C:$C,15),0),0)+IF(LEFT(AY214,4)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214,FIND(",",AP214)+1,100)),0)+IF(LEFT(AQ214,4)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214,FIND(",",AR214)+1,100)),0)+IF(_xlfn.XLOOKUP("Profile_Scoring",'Scoring_Config'!$A:$A,'Scoring_Config'!$D:$D,"Yes")="Yes",VALUE(MID(AS214,FIND(",",AS214)+1,100)),0)+IF(_xlfn.XLOOKUP("Options_Scoring",'Scoring_Config'!$A:$A,'Scoring_Config'!$D:$D,"Yes")="Yes",VALUE(MID(AT214,FIND(",",AT214)+1,100)),0)))</f>
        <v>0</v>
      </c>
    </row>
    <row r="215" spans="1:52">
      <c r="A215" s="3" t="s">
        <v>53</v>
      </c>
      <c r="B215" s="3" t="s">
        <v>205</v>
      </c>
      <c r="C215" s="3" t="s">
        <v>330</v>
      </c>
      <c r="D215" s="3"/>
      <c r="E215" s="3" t="s">
        <v>359</v>
      </c>
      <c r="F215" s="3" t="s">
        <v>361</v>
      </c>
      <c r="G215" s="3" t="s">
        <v>365</v>
      </c>
      <c r="H215" s="3" t="s">
        <v>365</v>
      </c>
      <c r="I215" s="3" t="s">
        <v>365</v>
      </c>
      <c r="J215" s="3" t="s">
        <v>360</v>
      </c>
      <c r="K215" s="3" t="s">
        <v>365</v>
      </c>
      <c r="L215" s="3" t="s">
        <v>365</v>
      </c>
      <c r="M215" s="3" t="s">
        <v>365</v>
      </c>
      <c r="N215" s="3" t="s">
        <v>365</v>
      </c>
      <c r="O215" s="4" t="s">
        <v>825</v>
      </c>
      <c r="P215" s="3" t="s">
        <v>886</v>
      </c>
      <c r="Q215" s="3" t="s">
        <v>905</v>
      </c>
      <c r="R215" s="3" t="s">
        <v>907</v>
      </c>
      <c r="S215" s="3" t="s">
        <v>907</v>
      </c>
      <c r="T215" s="3" t="s">
        <v>1026</v>
      </c>
      <c r="U215" s="3" t="s">
        <v>1255</v>
      </c>
      <c r="V215" s="3" t="s">
        <v>1388</v>
      </c>
      <c r="W215" s="3" t="s">
        <v>1516</v>
      </c>
      <c r="X215" s="3" t="s">
        <v>1819</v>
      </c>
      <c r="Y215" s="3" t="s">
        <v>2288</v>
      </c>
      <c r="Z215" s="3"/>
      <c r="AA215" s="3"/>
      <c r="AB215" s="3"/>
      <c r="AC215" s="5" cm="1">
        <f t="array" ref="AC215">IF(TRUE,"True," &amp; IF(_xlfn.XLOOKUP("Src_IsAny",'Scoring_Config'!$A:$A,'Scoring_Config'!$D:$D,"Yes")="Yes",_xlfn.XLOOKUP("Src_IsAny",'Scoring_Config'!$A:$A,'Scoring_Config'!$C:$C,25),0),"False,0")</f>
        <v>0</v>
      </c>
      <c r="AD215" s="4" cm="1">
        <f t="array" ref="AD215">IF(FALSE,"True," &amp; IF(_xlfn.XLOOKUP("Src_CIDR_Le_16",'Scoring_Config'!$A:$A,'Scoring_Config'!$D:$D,"Yes")="Yes",_xlfn.XLOOKUP("Src_CIDR_Le_16",'Scoring_Config'!$A:$A,'Scoring_Config'!$C:$C,25),0),"False,0")</f>
        <v>0</v>
      </c>
      <c r="AE215" s="4" cm="1">
        <f t="array" ref="AE215">IF(FALSE,"True," &amp; IF(_xlfn.XLOOKUP("Src_CIDR_17_22",'Scoring_Config'!$A:$A,'Scoring_Config'!$D:$D,"Yes")="Yes",_xlfn.XLOOKUP("Src_CIDR_17_22",'Scoring_Config'!$A:$A,'Scoring_Config'!$C:$C,15),0),"False,0")</f>
        <v>0</v>
      </c>
      <c r="AF215" s="5" cm="1">
        <f t="array" ref="AF215">IF(TRUE,"True," &amp; IF(_xlfn.XLOOKUP("Dst_IsAny",'Scoring_Config'!$A:$A,'Scoring_Config'!$D:$D,"Yes")="Yes",_xlfn.XLOOKUP("Dst_IsAny",'Scoring_Config'!$A:$A,'Scoring_Config'!$C:$C,25),0),"False,0")</f>
        <v>0</v>
      </c>
      <c r="AG215" s="4" cm="1">
        <f t="array" ref="AG215">IF(FALSE,"True," &amp; IF(_xlfn.XLOOKUP("Dst_CIDR_Le_16",'Scoring_Config'!$A:$A,'Scoring_Config'!$D:$D,"Yes")="Yes",_xlfn.XLOOKUP("Dst_CIDR_Le_16",'Scoring_Config'!$A:$A,'Scoring_Config'!$C:$C,25),0),"False,0")</f>
        <v>0</v>
      </c>
      <c r="AH215" s="4" cm="1">
        <f t="array" ref="AH215">IF(FALSE,"True," &amp; IF(_xlfn.XLOOKUP("Dst_CIDR_17_22",'Scoring_Config'!$A:$A,'Scoring_Config'!$D:$D,"Yes")="Yes",_xlfn.XLOOKUP("Dst_CIDR_17_22",'Scoring_Config'!$A:$A,'Scoring_Config'!$C:$C,15),0),"False,0")</f>
        <v>0</v>
      </c>
      <c r="AI215" s="4" cm="1">
        <f t="array" ref="AI215">IF(FALSE,"True," &amp; IF(_xlfn.XLOOKUP("SrcZone_IsAny",'Scoring_Config'!$A:$A,'Scoring_Config'!$D:$D,"Yes")="Yes",_xlfn.XLOOKUP("SrcZone_IsAny",'Scoring_Config'!$A:$A,'Scoring_Config'!$C:$C,5),0),"False,0")</f>
        <v>0</v>
      </c>
      <c r="AJ215" s="4" cm="1">
        <f t="array" ref="AJ215">IF(FALSE,"True," &amp; IF(_xlfn.XLOOKUP("DstZone_IsAny",'Scoring_Config'!$A:$A,'Scoring_Config'!$D:$D,"Yes")="Yes",_xlfn.XLOOKUP("DstZone_IsAny",'Scoring_Config'!$A:$A,'Scoring_Config'!$C:$C,5),0),"False,0")</f>
        <v>0</v>
      </c>
      <c r="AK215" s="4" cm="1">
        <f t="array" ref="AK21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5" s="5" cm="1">
        <f t="array" ref="AL215">IF(TRUE,"True," &amp; IF(_xlfn.XLOOKUP("App_Any_OR_RangeGt1000",'Scoring_Config'!$A:$A,'Scoring_Config'!$D:$D,"Yes")="Yes",_xlfn.XLOOKUP("App_Any_OR_RangeGt1000",'Scoring_Config'!$A:$A,'Scoring_Config'!$C:$C,25),0),"False,0")</f>
        <v>0</v>
      </c>
      <c r="AM215" s="5" cm="1">
        <f t="array" ref="AM215">IF(TRUE,"True," &amp; IF(_xlfn.XLOOKUP("Service_Insecure_Match",'Scoring_Config'!$A:$A,'Scoring_Config'!$D:$D,"Yes")="Yes",_xlfn.XLOOKUP("Service_Insecure_Match",'Scoring_Config'!$A:$A,'Scoring_Config'!$C:$C,20),0),"False,0")</f>
        <v>0</v>
      </c>
      <c r="AN215" s="4" cm="1">
        <f t="array" ref="AN215">IF(FALSE,"True," &amp; IF(_xlfn.XLOOKUP("Risky_Inbound",'Scoring_Config'!$A:$A,'Scoring_Config'!$D:$D,"Yes")="Yes",_xlfn.XLOOKUP("Risky_Inbound",'Scoring_Config'!$A:$A,'Scoring_Config'!$C:$C,20),0),"False,0")</f>
        <v>0</v>
      </c>
      <c r="AO215" s="4" cm="1">
        <f t="array" ref="AO215">IF(FALSE,"True," &amp; IF(_xlfn.XLOOKUP("Risky_Outbound",'Scoring_Config'!$A:$A,'Scoring_Config'!$D:$D,"Yes")="Yes",_xlfn.XLOOKUP("Risky_Outbound",'Scoring_Config'!$A:$A,'Scoring_Config'!$C:$C,10),0),"False,0")</f>
        <v>0</v>
      </c>
      <c r="AP215" s="5" t="s">
        <v>2595</v>
      </c>
      <c r="AQ215" s="4" cm="1">
        <f t="array" ref="AQ21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5" s="4" t="s">
        <v>2592</v>
      </c>
      <c r="AS215" s="5" t="s">
        <v>2595</v>
      </c>
      <c r="AT215" s="5" t="s">
        <v>2595</v>
      </c>
      <c r="AU215" s="4" cm="1">
        <f t="array" ref="AU215">IF(FALSE,"True," &amp; IF(_xlfn.XLOOKUP("Action_IsDenyOrDrop",'Scoring_Config'!$A:$A,'Scoring_Config'!$D:$D,"Yes")="Yes",_xlfn.XLOOKUP("Action_IsDenyOrDrop",'Scoring_Config'!$A:$A,'Scoring_Config'!$C:$C,0),0),"False,0")</f>
        <v>0</v>
      </c>
      <c r="AV215" s="4"/>
      <c r="AW215" s="4" cm="1">
        <f t="array" ref="AW215">IF(FALSE,"True," &amp; IF(_xlfn.XLOOKUP("Migrate_Insecure",'Scoring_Config'!$A:$A,'Scoring_Config'!$D:$D,"Yes")="Yes",_xlfn.XLOOKUP("Migrate_Insecure",'Scoring_Config'!$A:$A,'Scoring_Config'!$C:$C,15),0),"False,0")</f>
        <v>0</v>
      </c>
      <c r="AX215" s="4"/>
      <c r="AY215" s="4" cm="1">
        <f t="array" ref="AY215">IF(FALSE,"True," &amp; IF(_xlfn.XLOOKUP("Migrate_Other_Ports",'Scoring_Config'!$A:$A,'Scoring_Config'!$D:$D,"Yes")="Yes",_xlfn.XLOOKUP("Migrate_Other_Ports",'Scoring_Config'!$A:$A,'Scoring_Config'!$C:$C,5),0),"False,0")</f>
        <v>0</v>
      </c>
      <c r="AZ215" s="4" cm="1">
        <f t="array" ref="AZ215">IF(LEFT(AU215,4)="True",0,(IF(LEFT(AC215,4)="True",IF(_xlfn.XLOOKUP("Src_IsAny",'Scoring_Config'!$A:$A,'Scoring_Config'!$D:$D,"Yes")="Yes",_xlfn.XLOOKUP("Src_IsAny",'Scoring_Config'!$A:$A,'Scoring_Config'!$C:$C,25),0),0)+IF(LEFT(AD215,4)="True",IF(_xlfn.XLOOKUP("Src_CIDR_Le_16",'Scoring_Config'!$A:$A,'Scoring_Config'!$D:$D,"Yes")="Yes",_xlfn.XLOOKUP("Src_CIDR_Le_16",'Scoring_Config'!$A:$A,'Scoring_Config'!$C:$C,25),0),0)+IF(LEFT(AE215,4)="True",IF(_xlfn.XLOOKUP("Src_CIDR_17_22",'Scoring_Config'!$A:$A,'Scoring_Config'!$D:$D,"Yes")="Yes",_xlfn.XLOOKUP("Src_CIDR_17_22",'Scoring_Config'!$A:$A,'Scoring_Config'!$C:$C,15),0),0)+IF(LEFT(AF215,4)="True",IF(_xlfn.XLOOKUP("Dst_IsAny",'Scoring_Config'!$A:$A,'Scoring_Config'!$D:$D,"Yes")="Yes",_xlfn.XLOOKUP("Dst_IsAny",'Scoring_Config'!$A:$A,'Scoring_Config'!$C:$C,25),0),0)+IF(LEFT(AG215,4)="True",IF(_xlfn.XLOOKUP("Dst_CIDR_Le_16",'Scoring_Config'!$A:$A,'Scoring_Config'!$D:$D,"Yes")="Yes",_xlfn.XLOOKUP("Dst_CIDR_Le_16",'Scoring_Config'!$A:$A,'Scoring_Config'!$C:$C,25),0),0)+IF(LEFT(AH215,4)="True",IF(_xlfn.XLOOKUP("Dst_CIDR_17_22",'Scoring_Config'!$A:$A,'Scoring_Config'!$D:$D,"Yes")="Yes",_xlfn.XLOOKUP("Dst_CIDR_17_22",'Scoring_Config'!$A:$A,'Scoring_Config'!$C:$C,15),0),0)+IF(LEFT(AI215,4)="True",IF(_xlfn.XLOOKUP("SrcZone_IsAny",'Scoring_Config'!$A:$A,'Scoring_Config'!$D:$D,"Yes")="Yes",_xlfn.XLOOKUP("SrcZone_IsAny",'Scoring_Config'!$A:$A,'Scoring_Config'!$C:$C,5),0),0)+IF(LEFT(AJ215,4)="True",IF(_xlfn.XLOOKUP("DstZone_IsAny",'Scoring_Config'!$A:$A,'Scoring_Config'!$D:$D,"Yes")="Yes",_xlfn.XLOOKUP("DstZone_IsAny",'Scoring_Config'!$A:$A,'Scoring_Config'!$C:$C,5),0),0)+IF(LEFT(AK215,4)="True",IF(_xlfn.XLOOKUP("Service_Any_OR_RangeGt1000",'Scoring_Config'!$A:$A,'Scoring_Config'!$D:$D,"Yes")="Yes",_xlfn.XLOOKUP("Service_Any_OR_RangeGt1000",'Scoring_Config'!$A:$A,'Scoring_Config'!$C:$C,25),0),0)+IF(LEFT(AL215,4)="True",IF(_xlfn.XLOOKUP("App_Any_OR_RangeGt1000",'Scoring_Config'!$A:$A,'Scoring_Config'!$D:$D,"Yes")="Yes",_xlfn.XLOOKUP("App_Any_OR_RangeGt1000",'Scoring_Config'!$A:$A,'Scoring_Config'!$C:$C,25),0),0)+IF(LEFT(AM215,4)="True",IF(_xlfn.XLOOKUP("Service_Insecure_Match",'Scoring_Config'!$A:$A,'Scoring_Config'!$D:$D,"Yes")="Yes",_xlfn.XLOOKUP("Service_Insecure_Match",'Scoring_Config'!$A:$A,'Scoring_Config'!$C:$C,20),0),0)+IF(LEFT(AN215,4)="True",IF(_xlfn.XLOOKUP("Risky_Inbound",'Scoring_Config'!$A:$A,'Scoring_Config'!$D:$D,"Yes")="Yes",_xlfn.XLOOKUP("Risky_Inbound",'Scoring_Config'!$A:$A,'Scoring_Config'!$C:$C,20),0),0)+IF(LEFT(AO215,4)="True",IF(_xlfn.XLOOKUP("Risky_Outbound",'Scoring_Config'!$A:$A,'Scoring_Config'!$D:$D,"Yes")="Yes",_xlfn.XLOOKUP("Risky_Outbound",'Scoring_Config'!$A:$A,'Scoring_Config'!$C:$C,10),0),0)+IF(LEFT(AW215,4)="True",IF(_xlfn.XLOOKUP("Migrate_Insecure",'Scoring_Config'!$A:$A,'Scoring_Config'!$D:$D,"Yes")="Yes",_xlfn.XLOOKUP("Migrate_Insecure",'Scoring_Config'!$A:$A,'Scoring_Config'!$C:$C,15),0),0)+IF(LEFT(AY215,4)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215,FIND(",",AP215)+1,100)),0)+IF(LEFT(AQ215,4)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215,FIND(",",AR215)+1,100)),0)+IF(_xlfn.XLOOKUP("Profile_Scoring",'Scoring_Config'!$A:$A,'Scoring_Config'!$D:$D,"Yes")="Yes",VALUE(MID(AS215,FIND(",",AS215)+1,100)),0)+IF(_xlfn.XLOOKUP("Options_Scoring",'Scoring_Config'!$A:$A,'Scoring_Config'!$D:$D,"Yes")="Yes",VALUE(MID(AT215,FIND(",",AT215)+1,100)),0)))</f>
        <v>0</v>
      </c>
    </row>
    <row r="216" spans="1:52">
      <c r="A216" s="3" t="s">
        <v>53</v>
      </c>
      <c r="B216" s="3" t="s">
        <v>206</v>
      </c>
      <c r="C216" s="3" t="s">
        <v>330</v>
      </c>
      <c r="D216" s="3"/>
      <c r="E216" s="3" t="s">
        <v>359</v>
      </c>
      <c r="F216" s="3" t="s">
        <v>362</v>
      </c>
      <c r="G216" s="3" t="s">
        <v>445</v>
      </c>
      <c r="H216" s="3" t="s">
        <v>445</v>
      </c>
      <c r="I216" s="3" t="s">
        <v>365</v>
      </c>
      <c r="J216" s="3" t="s">
        <v>364</v>
      </c>
      <c r="K216" s="3" t="s">
        <v>676</v>
      </c>
      <c r="L216" s="3" t="s">
        <v>757</v>
      </c>
      <c r="M216" s="3" t="s">
        <v>769</v>
      </c>
      <c r="N216" s="3" t="s">
        <v>792</v>
      </c>
      <c r="O216" s="4" t="s">
        <v>829</v>
      </c>
      <c r="P216" s="3" t="s">
        <v>890</v>
      </c>
      <c r="Q216" s="3" t="s">
        <v>905</v>
      </c>
      <c r="R216" s="3" t="s">
        <v>906</v>
      </c>
      <c r="S216" s="3" t="s">
        <v>914</v>
      </c>
      <c r="T216" s="3" t="s">
        <v>919</v>
      </c>
      <c r="U216" s="3" t="s">
        <v>1157</v>
      </c>
      <c r="V216" s="3" t="s">
        <v>1387</v>
      </c>
      <c r="W216" s="3" t="s">
        <v>1477</v>
      </c>
      <c r="X216" s="3" t="s">
        <v>1820</v>
      </c>
      <c r="Y216" s="3" t="s">
        <v>2289</v>
      </c>
      <c r="Z216" s="3"/>
      <c r="AA216" s="3"/>
      <c r="AB216" s="3"/>
      <c r="AC216" s="4" cm="1">
        <f t="array" ref="AC216">IF(FALSE,"True," &amp; IF(_xlfn.XLOOKUP("Src_IsAny",'Scoring_Config'!$A:$A,'Scoring_Config'!$D:$D,"Yes")="Yes",_xlfn.XLOOKUP("Src_IsAny",'Scoring_Config'!$A:$A,'Scoring_Config'!$C:$C,25),0),"False,0")</f>
        <v>0</v>
      </c>
      <c r="AD216" s="4" cm="1">
        <f t="array" ref="AD216">IF(FALSE,"True," &amp; IF(_xlfn.XLOOKUP("Src_CIDR_Le_16",'Scoring_Config'!$A:$A,'Scoring_Config'!$D:$D,"Yes")="Yes",_xlfn.XLOOKUP("Src_CIDR_Le_16",'Scoring_Config'!$A:$A,'Scoring_Config'!$C:$C,25),0),"False,0")</f>
        <v>0</v>
      </c>
      <c r="AE216" s="4" cm="1">
        <f t="array" ref="AE216">IF(FALSE,"True," &amp; IF(_xlfn.XLOOKUP("Src_CIDR_17_22",'Scoring_Config'!$A:$A,'Scoring_Config'!$D:$D,"Yes")="Yes",_xlfn.XLOOKUP("Src_CIDR_17_22",'Scoring_Config'!$A:$A,'Scoring_Config'!$C:$C,15),0),"False,0")</f>
        <v>0</v>
      </c>
      <c r="AF216" s="4" cm="1">
        <f t="array" ref="AF216">IF(FALSE,"True," &amp; IF(_xlfn.XLOOKUP("Dst_IsAny",'Scoring_Config'!$A:$A,'Scoring_Config'!$D:$D,"Yes")="Yes",_xlfn.XLOOKUP("Dst_IsAny",'Scoring_Config'!$A:$A,'Scoring_Config'!$C:$C,25),0),"False,0")</f>
        <v>0</v>
      </c>
      <c r="AG216" s="4" cm="1">
        <f t="array" ref="AG216">IF(FALSE,"True," &amp; IF(_xlfn.XLOOKUP("Dst_CIDR_Le_16",'Scoring_Config'!$A:$A,'Scoring_Config'!$D:$D,"Yes")="Yes",_xlfn.XLOOKUP("Dst_CIDR_Le_16",'Scoring_Config'!$A:$A,'Scoring_Config'!$C:$C,25),0),"False,0")</f>
        <v>0</v>
      </c>
      <c r="AH216" s="4" cm="1">
        <f t="array" ref="AH216">IF(FALSE,"True," &amp; IF(_xlfn.XLOOKUP("Dst_CIDR_17_22",'Scoring_Config'!$A:$A,'Scoring_Config'!$D:$D,"Yes")="Yes",_xlfn.XLOOKUP("Dst_CIDR_17_22",'Scoring_Config'!$A:$A,'Scoring_Config'!$C:$C,15),0),"False,0")</f>
        <v>0</v>
      </c>
      <c r="AI216" s="4" cm="1">
        <f t="array" ref="AI216">IF(FALSE,"True," &amp; IF(_xlfn.XLOOKUP("SrcZone_IsAny",'Scoring_Config'!$A:$A,'Scoring_Config'!$D:$D,"Yes")="Yes",_xlfn.XLOOKUP("SrcZone_IsAny",'Scoring_Config'!$A:$A,'Scoring_Config'!$C:$C,5),0),"False,0")</f>
        <v>0</v>
      </c>
      <c r="AJ216" s="4" cm="1">
        <f t="array" ref="AJ216">IF(FALSE,"True," &amp; IF(_xlfn.XLOOKUP("DstZone_IsAny",'Scoring_Config'!$A:$A,'Scoring_Config'!$D:$D,"Yes")="Yes",_xlfn.XLOOKUP("DstZone_IsAny",'Scoring_Config'!$A:$A,'Scoring_Config'!$C:$C,5),0),"False,0")</f>
        <v>0</v>
      </c>
      <c r="AK216" s="4" cm="1">
        <f t="array" ref="AK21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6" s="4" cm="1">
        <f t="array" ref="AL216">IF(FALSE,"True," &amp; IF(_xlfn.XLOOKUP("App_Any_OR_RangeGt1000",'Scoring_Config'!$A:$A,'Scoring_Config'!$D:$D,"Yes")="Yes",_xlfn.XLOOKUP("App_Any_OR_RangeGt1000",'Scoring_Config'!$A:$A,'Scoring_Config'!$C:$C,25),0),"False,0")</f>
        <v>0</v>
      </c>
      <c r="AM216" s="5" cm="1">
        <f t="array" ref="AM216">IF(TRUE,"True," &amp; IF(_xlfn.XLOOKUP("Service_Insecure_Match",'Scoring_Config'!$A:$A,'Scoring_Config'!$D:$D,"Yes")="Yes",_xlfn.XLOOKUP("Service_Insecure_Match",'Scoring_Config'!$A:$A,'Scoring_Config'!$C:$C,20),0),"False,0")</f>
        <v>0</v>
      </c>
      <c r="AN216" s="4" cm="1">
        <f t="array" ref="AN216">IF(FALSE,"True," &amp; IF(_xlfn.XLOOKUP("Risky_Inbound",'Scoring_Config'!$A:$A,'Scoring_Config'!$D:$D,"Yes")="Yes",_xlfn.XLOOKUP("Risky_Inbound",'Scoring_Config'!$A:$A,'Scoring_Config'!$C:$C,20),0),"False,0")</f>
        <v>0</v>
      </c>
      <c r="AO216" s="4" cm="1">
        <f t="array" ref="AO216">IF(FALSE,"True," &amp; IF(_xlfn.XLOOKUP("Risky_Outbound",'Scoring_Config'!$A:$A,'Scoring_Config'!$D:$D,"Yes")="Yes",_xlfn.XLOOKUP("Risky_Outbound",'Scoring_Config'!$A:$A,'Scoring_Config'!$C:$C,10),0),"False,0")</f>
        <v>0</v>
      </c>
      <c r="AP216" s="5" t="s">
        <v>2595</v>
      </c>
      <c r="AQ216" s="5" cm="1">
        <f t="array" ref="AQ21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6" s="4" t="s">
        <v>2592</v>
      </c>
      <c r="AS216" s="4" t="s">
        <v>2592</v>
      </c>
      <c r="AT216" s="4" t="s">
        <v>2592</v>
      </c>
      <c r="AU216" s="4" cm="1">
        <f t="array" ref="AU216">IF(FALSE,"True," &amp; IF(_xlfn.XLOOKUP("Action_IsDenyOrDrop",'Scoring_Config'!$A:$A,'Scoring_Config'!$D:$D,"Yes")="Yes",_xlfn.XLOOKUP("Action_IsDenyOrDrop",'Scoring_Config'!$A:$A,'Scoring_Config'!$C:$C,0),0),"False,0")</f>
        <v>0</v>
      </c>
      <c r="AV216" s="4"/>
      <c r="AW216" s="4" cm="1">
        <f t="array" ref="AW216">IF(FALSE,"True," &amp; IF(_xlfn.XLOOKUP("Migrate_Insecure",'Scoring_Config'!$A:$A,'Scoring_Config'!$D:$D,"Yes")="Yes",_xlfn.XLOOKUP("Migrate_Insecure",'Scoring_Config'!$A:$A,'Scoring_Config'!$C:$C,15),0),"False,0")</f>
        <v>0</v>
      </c>
      <c r="AX216" s="4"/>
      <c r="AY216" s="4" cm="1">
        <f t="array" ref="AY216">IF(FALSE,"True," &amp; IF(_xlfn.XLOOKUP("Migrate_Other_Ports",'Scoring_Config'!$A:$A,'Scoring_Config'!$D:$D,"Yes")="Yes",_xlfn.XLOOKUP("Migrate_Other_Ports",'Scoring_Config'!$A:$A,'Scoring_Config'!$C:$C,5),0),"False,0")</f>
        <v>0</v>
      </c>
      <c r="AZ216" s="4" cm="1">
        <f t="array" ref="AZ216">IF(LEFT(AU216,4)="True",0,(IF(LEFT(AC216,4)="True",IF(_xlfn.XLOOKUP("Src_IsAny",'Scoring_Config'!$A:$A,'Scoring_Config'!$D:$D,"Yes")="Yes",_xlfn.XLOOKUP("Src_IsAny",'Scoring_Config'!$A:$A,'Scoring_Config'!$C:$C,25),0),0)+IF(LEFT(AD216,4)="True",IF(_xlfn.XLOOKUP("Src_CIDR_Le_16",'Scoring_Config'!$A:$A,'Scoring_Config'!$D:$D,"Yes")="Yes",_xlfn.XLOOKUP("Src_CIDR_Le_16",'Scoring_Config'!$A:$A,'Scoring_Config'!$C:$C,25),0),0)+IF(LEFT(AE216,4)="True",IF(_xlfn.XLOOKUP("Src_CIDR_17_22",'Scoring_Config'!$A:$A,'Scoring_Config'!$D:$D,"Yes")="Yes",_xlfn.XLOOKUP("Src_CIDR_17_22",'Scoring_Config'!$A:$A,'Scoring_Config'!$C:$C,15),0),0)+IF(LEFT(AF216,4)="True",IF(_xlfn.XLOOKUP("Dst_IsAny",'Scoring_Config'!$A:$A,'Scoring_Config'!$D:$D,"Yes")="Yes",_xlfn.XLOOKUP("Dst_IsAny",'Scoring_Config'!$A:$A,'Scoring_Config'!$C:$C,25),0),0)+IF(LEFT(AG216,4)="True",IF(_xlfn.XLOOKUP("Dst_CIDR_Le_16",'Scoring_Config'!$A:$A,'Scoring_Config'!$D:$D,"Yes")="Yes",_xlfn.XLOOKUP("Dst_CIDR_Le_16",'Scoring_Config'!$A:$A,'Scoring_Config'!$C:$C,25),0),0)+IF(LEFT(AH216,4)="True",IF(_xlfn.XLOOKUP("Dst_CIDR_17_22",'Scoring_Config'!$A:$A,'Scoring_Config'!$D:$D,"Yes")="Yes",_xlfn.XLOOKUP("Dst_CIDR_17_22",'Scoring_Config'!$A:$A,'Scoring_Config'!$C:$C,15),0),0)+IF(LEFT(AI216,4)="True",IF(_xlfn.XLOOKUP("SrcZone_IsAny",'Scoring_Config'!$A:$A,'Scoring_Config'!$D:$D,"Yes")="Yes",_xlfn.XLOOKUP("SrcZone_IsAny",'Scoring_Config'!$A:$A,'Scoring_Config'!$C:$C,5),0),0)+IF(LEFT(AJ216,4)="True",IF(_xlfn.XLOOKUP("DstZone_IsAny",'Scoring_Config'!$A:$A,'Scoring_Config'!$D:$D,"Yes")="Yes",_xlfn.XLOOKUP("DstZone_IsAny",'Scoring_Config'!$A:$A,'Scoring_Config'!$C:$C,5),0),0)+IF(LEFT(AK216,4)="True",IF(_xlfn.XLOOKUP("Service_Any_OR_RangeGt1000",'Scoring_Config'!$A:$A,'Scoring_Config'!$D:$D,"Yes")="Yes",_xlfn.XLOOKUP("Service_Any_OR_RangeGt1000",'Scoring_Config'!$A:$A,'Scoring_Config'!$C:$C,25),0),0)+IF(LEFT(AL216,4)="True",IF(_xlfn.XLOOKUP("App_Any_OR_RangeGt1000",'Scoring_Config'!$A:$A,'Scoring_Config'!$D:$D,"Yes")="Yes",_xlfn.XLOOKUP("App_Any_OR_RangeGt1000",'Scoring_Config'!$A:$A,'Scoring_Config'!$C:$C,25),0),0)+IF(LEFT(AM216,4)="True",IF(_xlfn.XLOOKUP("Service_Insecure_Match",'Scoring_Config'!$A:$A,'Scoring_Config'!$D:$D,"Yes")="Yes",_xlfn.XLOOKUP("Service_Insecure_Match",'Scoring_Config'!$A:$A,'Scoring_Config'!$C:$C,20),0),0)+IF(LEFT(AN216,4)="True",IF(_xlfn.XLOOKUP("Risky_Inbound",'Scoring_Config'!$A:$A,'Scoring_Config'!$D:$D,"Yes")="Yes",_xlfn.XLOOKUP("Risky_Inbound",'Scoring_Config'!$A:$A,'Scoring_Config'!$C:$C,20),0),0)+IF(LEFT(AO216,4)="True",IF(_xlfn.XLOOKUP("Risky_Outbound",'Scoring_Config'!$A:$A,'Scoring_Config'!$D:$D,"Yes")="Yes",_xlfn.XLOOKUP("Risky_Outbound",'Scoring_Config'!$A:$A,'Scoring_Config'!$C:$C,10),0),0)+IF(LEFT(AW216,4)="True",IF(_xlfn.XLOOKUP("Migrate_Insecure",'Scoring_Config'!$A:$A,'Scoring_Config'!$D:$D,"Yes")="Yes",_xlfn.XLOOKUP("Migrate_Insecure",'Scoring_Config'!$A:$A,'Scoring_Config'!$C:$C,15),0),0)+IF(LEFT(AY216,4)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216,FIND(",",AP216)+1,100)),0)+IF(LEFT(AQ216,4)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216,FIND(",",AR216)+1,100)),0)+IF(_xlfn.XLOOKUP("Profile_Scoring",'Scoring_Config'!$A:$A,'Scoring_Config'!$D:$D,"Yes")="Yes",VALUE(MID(AS216,FIND(",",AS216)+1,100)),0)+IF(_xlfn.XLOOKUP("Options_Scoring",'Scoring_Config'!$A:$A,'Scoring_Config'!$D:$D,"Yes")="Yes",VALUE(MID(AT216,FIND(",",AT216)+1,100)),0)))</f>
        <v>0</v>
      </c>
    </row>
    <row r="217" spans="1:52">
      <c r="A217" s="3" t="s">
        <v>53</v>
      </c>
      <c r="B217" s="3" t="s">
        <v>96</v>
      </c>
      <c r="C217" s="3" t="s">
        <v>330</v>
      </c>
      <c r="D217" s="3"/>
      <c r="E217" s="3" t="s">
        <v>359</v>
      </c>
      <c r="F217" s="3" t="s">
        <v>361</v>
      </c>
      <c r="G217" s="3" t="s">
        <v>410</v>
      </c>
      <c r="H217" s="3" t="s">
        <v>564</v>
      </c>
      <c r="I217" s="3" t="s">
        <v>623</v>
      </c>
      <c r="J217" s="3" t="s">
        <v>363</v>
      </c>
      <c r="K217" s="3" t="s">
        <v>365</v>
      </c>
      <c r="L217" s="3" t="s">
        <v>365</v>
      </c>
      <c r="M217" s="3" t="s">
        <v>365</v>
      </c>
      <c r="N217" s="3" t="s">
        <v>365</v>
      </c>
      <c r="O217" s="4" t="s">
        <v>816</v>
      </c>
      <c r="P217" s="3" t="s">
        <v>877</v>
      </c>
      <c r="Q217" s="3" t="s">
        <v>905</v>
      </c>
      <c r="R217" s="3" t="s">
        <v>906</v>
      </c>
      <c r="S217" s="3" t="s">
        <v>916</v>
      </c>
      <c r="T217" s="3" t="s">
        <v>1054</v>
      </c>
      <c r="U217" s="3" t="s">
        <v>1256</v>
      </c>
      <c r="V217" s="3" t="s">
        <v>772</v>
      </c>
      <c r="W217" s="3" t="s">
        <v>1517</v>
      </c>
      <c r="X217" s="3" t="s">
        <v>1821</v>
      </c>
      <c r="Y217" s="3" t="s">
        <v>2290</v>
      </c>
      <c r="Z217" s="3"/>
      <c r="AA217" s="3"/>
      <c r="AB217" s="3"/>
      <c r="AC217" s="4" cm="1">
        <f t="array" ref="AC217">IF(FALSE,"True," &amp; IF(_xlfn.XLOOKUP("Src_IsAny",'Scoring_Config'!$A:$A,'Scoring_Config'!$D:$D,"Yes")="Yes",_xlfn.XLOOKUP("Src_IsAny",'Scoring_Config'!$A:$A,'Scoring_Config'!$C:$C,25),0),"False,0")</f>
        <v>0</v>
      </c>
      <c r="AD217" s="5" cm="1">
        <f t="array" ref="AD217">IF(TRUE,"True," &amp; IF(_xlfn.XLOOKUP("Src_CIDR_Le_16",'Scoring_Config'!$A:$A,'Scoring_Config'!$D:$D,"Yes")="Yes",_xlfn.XLOOKUP("Src_CIDR_Le_16",'Scoring_Config'!$A:$A,'Scoring_Config'!$C:$C,25),0),"False,0")</f>
        <v>0</v>
      </c>
      <c r="AE217" s="4" cm="1">
        <f t="array" ref="AE217">IF(FALSE,"True," &amp; IF(_xlfn.XLOOKUP("Src_CIDR_17_22",'Scoring_Config'!$A:$A,'Scoring_Config'!$D:$D,"Yes")="Yes",_xlfn.XLOOKUP("Src_CIDR_17_22",'Scoring_Config'!$A:$A,'Scoring_Config'!$C:$C,15),0),"False,0")</f>
        <v>0</v>
      </c>
      <c r="AF217" s="5" cm="1">
        <f t="array" ref="AF217">IF(TRUE,"True," &amp; IF(_xlfn.XLOOKUP("Dst_IsAny",'Scoring_Config'!$A:$A,'Scoring_Config'!$D:$D,"Yes")="Yes",_xlfn.XLOOKUP("Dst_IsAny",'Scoring_Config'!$A:$A,'Scoring_Config'!$C:$C,25),0),"False,0")</f>
        <v>0</v>
      </c>
      <c r="AG217" s="4" cm="1">
        <f t="array" ref="AG217">IF(FALSE,"True," &amp; IF(_xlfn.XLOOKUP("Dst_CIDR_Le_16",'Scoring_Config'!$A:$A,'Scoring_Config'!$D:$D,"Yes")="Yes",_xlfn.XLOOKUP("Dst_CIDR_Le_16",'Scoring_Config'!$A:$A,'Scoring_Config'!$C:$C,25),0),"False,0")</f>
        <v>0</v>
      </c>
      <c r="AH217" s="4" cm="1">
        <f t="array" ref="AH217">IF(FALSE,"True," &amp; IF(_xlfn.XLOOKUP("Dst_CIDR_17_22",'Scoring_Config'!$A:$A,'Scoring_Config'!$D:$D,"Yes")="Yes",_xlfn.XLOOKUP("Dst_CIDR_17_22",'Scoring_Config'!$A:$A,'Scoring_Config'!$C:$C,15),0),"False,0")</f>
        <v>0</v>
      </c>
      <c r="AI217" s="4" cm="1">
        <f t="array" ref="AI217">IF(FALSE,"True," &amp; IF(_xlfn.XLOOKUP("SrcZone_IsAny",'Scoring_Config'!$A:$A,'Scoring_Config'!$D:$D,"Yes")="Yes",_xlfn.XLOOKUP("SrcZone_IsAny",'Scoring_Config'!$A:$A,'Scoring_Config'!$C:$C,5),0),"False,0")</f>
        <v>0</v>
      </c>
      <c r="AJ217" s="4" cm="1">
        <f t="array" ref="AJ217">IF(FALSE,"True," &amp; IF(_xlfn.XLOOKUP("DstZone_IsAny",'Scoring_Config'!$A:$A,'Scoring_Config'!$D:$D,"Yes")="Yes",_xlfn.XLOOKUP("DstZone_IsAny",'Scoring_Config'!$A:$A,'Scoring_Config'!$C:$C,5),0),"False,0")</f>
        <v>0</v>
      </c>
      <c r="AK217" s="4" cm="1">
        <f t="array" ref="AK21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7" s="5" cm="1">
        <f t="array" ref="AL217">IF(TRUE,"True," &amp; IF(_xlfn.XLOOKUP("App_Any_OR_RangeGt1000",'Scoring_Config'!$A:$A,'Scoring_Config'!$D:$D,"Yes")="Yes",_xlfn.XLOOKUP("App_Any_OR_RangeGt1000",'Scoring_Config'!$A:$A,'Scoring_Config'!$C:$C,25),0),"False,0")</f>
        <v>0</v>
      </c>
      <c r="AM217" s="5" cm="1">
        <f t="array" ref="AM217">IF(TRUE,"True," &amp; IF(_xlfn.XLOOKUP("Service_Insecure_Match",'Scoring_Config'!$A:$A,'Scoring_Config'!$D:$D,"Yes")="Yes",_xlfn.XLOOKUP("Service_Insecure_Match",'Scoring_Config'!$A:$A,'Scoring_Config'!$C:$C,20),0),"False,0")</f>
        <v>0</v>
      </c>
      <c r="AN217" s="5" cm="1">
        <f t="array" ref="AN217">IF(TRUE,"True," &amp; IF(_xlfn.XLOOKUP("Risky_Inbound",'Scoring_Config'!$A:$A,'Scoring_Config'!$D:$D,"Yes")="Yes",_xlfn.XLOOKUP("Risky_Inbound",'Scoring_Config'!$A:$A,'Scoring_Config'!$C:$C,20),0),"False,0")</f>
        <v>0</v>
      </c>
      <c r="AO217" s="4" cm="1">
        <f t="array" ref="AO217">IF(FALSE,"True," &amp; IF(_xlfn.XLOOKUP("Risky_Outbound",'Scoring_Config'!$A:$A,'Scoring_Config'!$D:$D,"Yes")="Yes",_xlfn.XLOOKUP("Risky_Outbound",'Scoring_Config'!$A:$A,'Scoring_Config'!$C:$C,10),0),"False,0")</f>
        <v>0</v>
      </c>
      <c r="AP217" s="5" t="s">
        <v>2595</v>
      </c>
      <c r="AQ217" s="4" cm="1">
        <f t="array" ref="AQ21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7" s="5" t="s">
        <v>2598</v>
      </c>
      <c r="AS217" s="4" t="s">
        <v>2592</v>
      </c>
      <c r="AT217" s="4" t="s">
        <v>2592</v>
      </c>
      <c r="AU217" s="4" cm="1">
        <f t="array" ref="AU217">IF(FALSE,"True," &amp; IF(_xlfn.XLOOKUP("Action_IsDenyOrDrop",'Scoring_Config'!$A:$A,'Scoring_Config'!$D:$D,"Yes")="Yes",_xlfn.XLOOKUP("Action_IsDenyOrDrop",'Scoring_Config'!$A:$A,'Scoring_Config'!$C:$C,0),0),"False,0")</f>
        <v>0</v>
      </c>
      <c r="AV217" s="4"/>
      <c r="AW217" s="4" cm="1">
        <f t="array" ref="AW217">IF(FALSE,"True," &amp; IF(_xlfn.XLOOKUP("Migrate_Insecure",'Scoring_Config'!$A:$A,'Scoring_Config'!$D:$D,"Yes")="Yes",_xlfn.XLOOKUP("Migrate_Insecure",'Scoring_Config'!$A:$A,'Scoring_Config'!$C:$C,15),0),"False,0")</f>
        <v>0</v>
      </c>
      <c r="AX217" s="4"/>
      <c r="AY217" s="4" cm="1">
        <f t="array" ref="AY217">IF(FALSE,"True," &amp; IF(_xlfn.XLOOKUP("Migrate_Other_Ports",'Scoring_Config'!$A:$A,'Scoring_Config'!$D:$D,"Yes")="Yes",_xlfn.XLOOKUP("Migrate_Other_Ports",'Scoring_Config'!$A:$A,'Scoring_Config'!$C:$C,5),0),"False,0")</f>
        <v>0</v>
      </c>
      <c r="AZ217" s="4" cm="1">
        <f t="array" ref="AZ217">IF(LEFT(AU217,4)="True",0,(IF(LEFT(AC217,4)="True",IF(_xlfn.XLOOKUP("Src_IsAny",'Scoring_Config'!$A:$A,'Scoring_Config'!$D:$D,"Yes")="Yes",_xlfn.XLOOKUP("Src_IsAny",'Scoring_Config'!$A:$A,'Scoring_Config'!$C:$C,25),0),0)+IF(LEFT(AD217,4)="True",IF(_xlfn.XLOOKUP("Src_CIDR_Le_16",'Scoring_Config'!$A:$A,'Scoring_Config'!$D:$D,"Yes")="Yes",_xlfn.XLOOKUP("Src_CIDR_Le_16",'Scoring_Config'!$A:$A,'Scoring_Config'!$C:$C,25),0),0)+IF(LEFT(AE217,4)="True",IF(_xlfn.XLOOKUP("Src_CIDR_17_22",'Scoring_Config'!$A:$A,'Scoring_Config'!$D:$D,"Yes")="Yes",_xlfn.XLOOKUP("Src_CIDR_17_22",'Scoring_Config'!$A:$A,'Scoring_Config'!$C:$C,15),0),0)+IF(LEFT(AF217,4)="True",IF(_xlfn.XLOOKUP("Dst_IsAny",'Scoring_Config'!$A:$A,'Scoring_Config'!$D:$D,"Yes")="Yes",_xlfn.XLOOKUP("Dst_IsAny",'Scoring_Config'!$A:$A,'Scoring_Config'!$C:$C,25),0),0)+IF(LEFT(AG217,4)="True",IF(_xlfn.XLOOKUP("Dst_CIDR_Le_16",'Scoring_Config'!$A:$A,'Scoring_Config'!$D:$D,"Yes")="Yes",_xlfn.XLOOKUP("Dst_CIDR_Le_16",'Scoring_Config'!$A:$A,'Scoring_Config'!$C:$C,25),0),0)+IF(LEFT(AH217,4)="True",IF(_xlfn.XLOOKUP("Dst_CIDR_17_22",'Scoring_Config'!$A:$A,'Scoring_Config'!$D:$D,"Yes")="Yes",_xlfn.XLOOKUP("Dst_CIDR_17_22",'Scoring_Config'!$A:$A,'Scoring_Config'!$C:$C,15),0),0)+IF(LEFT(AI217,4)="True",IF(_xlfn.XLOOKUP("SrcZone_IsAny",'Scoring_Config'!$A:$A,'Scoring_Config'!$D:$D,"Yes")="Yes",_xlfn.XLOOKUP("SrcZone_IsAny",'Scoring_Config'!$A:$A,'Scoring_Config'!$C:$C,5),0),0)+IF(LEFT(AJ217,4)="True",IF(_xlfn.XLOOKUP("DstZone_IsAny",'Scoring_Config'!$A:$A,'Scoring_Config'!$D:$D,"Yes")="Yes",_xlfn.XLOOKUP("DstZone_IsAny",'Scoring_Config'!$A:$A,'Scoring_Config'!$C:$C,5),0),0)+IF(LEFT(AK217,4)="True",IF(_xlfn.XLOOKUP("Service_Any_OR_RangeGt1000",'Scoring_Config'!$A:$A,'Scoring_Config'!$D:$D,"Yes")="Yes",_xlfn.XLOOKUP("Service_Any_OR_RangeGt1000",'Scoring_Config'!$A:$A,'Scoring_Config'!$C:$C,25),0),0)+IF(LEFT(AL217,4)="True",IF(_xlfn.XLOOKUP("App_Any_OR_RangeGt1000",'Scoring_Config'!$A:$A,'Scoring_Config'!$D:$D,"Yes")="Yes",_xlfn.XLOOKUP("App_Any_OR_RangeGt1000",'Scoring_Config'!$A:$A,'Scoring_Config'!$C:$C,25),0),0)+IF(LEFT(AM217,4)="True",IF(_xlfn.XLOOKUP("Service_Insecure_Match",'Scoring_Config'!$A:$A,'Scoring_Config'!$D:$D,"Yes")="Yes",_xlfn.XLOOKUP("Service_Insecure_Match",'Scoring_Config'!$A:$A,'Scoring_Config'!$C:$C,20),0),0)+IF(LEFT(AN217,4)="True",IF(_xlfn.XLOOKUP("Risky_Inbound",'Scoring_Config'!$A:$A,'Scoring_Config'!$D:$D,"Yes")="Yes",_xlfn.XLOOKUP("Risky_Inbound",'Scoring_Config'!$A:$A,'Scoring_Config'!$C:$C,20),0),0)+IF(LEFT(AO217,4)="True",IF(_xlfn.XLOOKUP("Risky_Outbound",'Scoring_Config'!$A:$A,'Scoring_Config'!$D:$D,"Yes")="Yes",_xlfn.XLOOKUP("Risky_Outbound",'Scoring_Config'!$A:$A,'Scoring_Config'!$C:$C,10),0),0)+IF(LEFT(AW217,4)="True",IF(_xlfn.XLOOKUP("Migrate_Insecure",'Scoring_Config'!$A:$A,'Scoring_Config'!$D:$D,"Yes")="Yes",_xlfn.XLOOKUP("Migrate_Insecure",'Scoring_Config'!$A:$A,'Scoring_Config'!$C:$C,15),0),0)+IF(LEFT(AY217,4)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217,FIND(",",AP217)+1,100)),0)+IF(LEFT(AQ217,4)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217,FIND(",",AR217)+1,100)),0)+IF(_xlfn.XLOOKUP("Profile_Scoring",'Scoring_Config'!$A:$A,'Scoring_Config'!$D:$D,"Yes")="Yes",VALUE(MID(AS217,FIND(",",AS217)+1,100)),0)+IF(_xlfn.XLOOKUP("Options_Scoring",'Scoring_Config'!$A:$A,'Scoring_Config'!$D:$D,"Yes")="Yes",VALUE(MID(AT217,FIND(",",AT217)+1,100)),0)))</f>
        <v>0</v>
      </c>
    </row>
    <row r="218" spans="1:52">
      <c r="A218" s="3" t="s">
        <v>53</v>
      </c>
      <c r="B218" s="3" t="s">
        <v>207</v>
      </c>
      <c r="C218" s="3" t="s">
        <v>330</v>
      </c>
      <c r="D218" s="3"/>
      <c r="E218" s="3" t="s">
        <v>359</v>
      </c>
      <c r="F218" s="3" t="s">
        <v>361</v>
      </c>
      <c r="G218" s="3" t="s">
        <v>446</v>
      </c>
      <c r="H218" s="3" t="s">
        <v>446</v>
      </c>
      <c r="I218" s="3" t="s">
        <v>365</v>
      </c>
      <c r="J218" s="3" t="s">
        <v>364</v>
      </c>
      <c r="K218" s="3" t="s">
        <v>441</v>
      </c>
      <c r="L218" s="3" t="s">
        <v>577</v>
      </c>
      <c r="M218" s="3" t="s">
        <v>775</v>
      </c>
      <c r="N218" s="3" t="s">
        <v>796</v>
      </c>
      <c r="O218" s="4" t="s">
        <v>839</v>
      </c>
      <c r="P218" s="3" t="s">
        <v>839</v>
      </c>
      <c r="Q218" s="3" t="s">
        <v>905</v>
      </c>
      <c r="R218" s="3" t="s">
        <v>910</v>
      </c>
      <c r="S218" s="3" t="s">
        <v>916</v>
      </c>
      <c r="T218" s="3" t="s">
        <v>1055</v>
      </c>
      <c r="U218" s="3" t="s">
        <v>1150</v>
      </c>
      <c r="V218" s="3" t="s">
        <v>1389</v>
      </c>
      <c r="W218" s="3" t="s">
        <v>1500</v>
      </c>
      <c r="X218" s="3" t="s">
        <v>1822</v>
      </c>
      <c r="Y218" s="3" t="s">
        <v>2291</v>
      </c>
      <c r="Z218" s="3"/>
      <c r="AA218" s="3"/>
      <c r="AB218" s="3"/>
      <c r="AC218" s="4" cm="1">
        <f t="array" ref="AC218">IF(FALSE,"True," &amp; IF(_xlfn.XLOOKUP("Src_IsAny",'Scoring_Config'!$A:$A,'Scoring_Config'!$D:$D,"Yes")="Yes",_xlfn.XLOOKUP("Src_IsAny",'Scoring_Config'!$A:$A,'Scoring_Config'!$C:$C,25),0),"False,0")</f>
        <v>0</v>
      </c>
      <c r="AD218" s="4" cm="1">
        <f t="array" ref="AD218">IF(FALSE,"True," &amp; IF(_xlfn.XLOOKUP("Src_CIDR_Le_16",'Scoring_Config'!$A:$A,'Scoring_Config'!$D:$D,"Yes")="Yes",_xlfn.XLOOKUP("Src_CIDR_Le_16",'Scoring_Config'!$A:$A,'Scoring_Config'!$C:$C,25),0),"False,0")</f>
        <v>0</v>
      </c>
      <c r="AE218" s="4" cm="1">
        <f t="array" ref="AE218">IF(FALSE,"True," &amp; IF(_xlfn.XLOOKUP("Src_CIDR_17_22",'Scoring_Config'!$A:$A,'Scoring_Config'!$D:$D,"Yes")="Yes",_xlfn.XLOOKUP("Src_CIDR_17_22",'Scoring_Config'!$A:$A,'Scoring_Config'!$C:$C,15),0),"False,0")</f>
        <v>0</v>
      </c>
      <c r="AF218" s="4" cm="1">
        <f t="array" ref="AF218">IF(FALSE,"True," &amp; IF(_xlfn.XLOOKUP("Dst_IsAny",'Scoring_Config'!$A:$A,'Scoring_Config'!$D:$D,"Yes")="Yes",_xlfn.XLOOKUP("Dst_IsAny",'Scoring_Config'!$A:$A,'Scoring_Config'!$C:$C,25),0),"False,0")</f>
        <v>0</v>
      </c>
      <c r="AG218" s="4" cm="1">
        <f t="array" ref="AG218">IF(FALSE,"True," &amp; IF(_xlfn.XLOOKUP("Dst_CIDR_Le_16",'Scoring_Config'!$A:$A,'Scoring_Config'!$D:$D,"Yes")="Yes",_xlfn.XLOOKUP("Dst_CIDR_Le_16",'Scoring_Config'!$A:$A,'Scoring_Config'!$C:$C,25),0),"False,0")</f>
        <v>0</v>
      </c>
      <c r="AH218" s="4" cm="1">
        <f t="array" ref="AH218">IF(FALSE,"True," &amp; IF(_xlfn.XLOOKUP("Dst_CIDR_17_22",'Scoring_Config'!$A:$A,'Scoring_Config'!$D:$D,"Yes")="Yes",_xlfn.XLOOKUP("Dst_CIDR_17_22",'Scoring_Config'!$A:$A,'Scoring_Config'!$C:$C,15),0),"False,0")</f>
        <v>0</v>
      </c>
      <c r="AI218" s="4" cm="1">
        <f t="array" ref="AI218">IF(FALSE,"True," &amp; IF(_xlfn.XLOOKUP("SrcZone_IsAny",'Scoring_Config'!$A:$A,'Scoring_Config'!$D:$D,"Yes")="Yes",_xlfn.XLOOKUP("SrcZone_IsAny",'Scoring_Config'!$A:$A,'Scoring_Config'!$C:$C,5),0),"False,0")</f>
        <v>0</v>
      </c>
      <c r="AJ218" s="4" cm="1">
        <f t="array" ref="AJ218">IF(FALSE,"True," &amp; IF(_xlfn.XLOOKUP("DstZone_IsAny",'Scoring_Config'!$A:$A,'Scoring_Config'!$D:$D,"Yes")="Yes",_xlfn.XLOOKUP("DstZone_IsAny",'Scoring_Config'!$A:$A,'Scoring_Config'!$C:$C,5),0),"False,0")</f>
        <v>0</v>
      </c>
      <c r="AK218" s="4" cm="1">
        <f t="array" ref="AK21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8" s="4" cm="1">
        <f t="array" ref="AL218">IF(FALSE,"True," &amp; IF(_xlfn.XLOOKUP("App_Any_OR_RangeGt1000",'Scoring_Config'!$A:$A,'Scoring_Config'!$D:$D,"Yes")="Yes",_xlfn.XLOOKUP("App_Any_OR_RangeGt1000",'Scoring_Config'!$A:$A,'Scoring_Config'!$C:$C,25),0),"False,0")</f>
        <v>0</v>
      </c>
      <c r="AM218" s="4" cm="1">
        <f t="array" ref="AM218">IF(FALSE,"True," &amp; IF(_xlfn.XLOOKUP("Service_Insecure_Match",'Scoring_Config'!$A:$A,'Scoring_Config'!$D:$D,"Yes")="Yes",_xlfn.XLOOKUP("Service_Insecure_Match",'Scoring_Config'!$A:$A,'Scoring_Config'!$C:$C,20),0),"False,0")</f>
        <v>0</v>
      </c>
      <c r="AN218" s="4" cm="1">
        <f t="array" ref="AN218">IF(FALSE,"True," &amp; IF(_xlfn.XLOOKUP("Risky_Inbound",'Scoring_Config'!$A:$A,'Scoring_Config'!$D:$D,"Yes")="Yes",_xlfn.XLOOKUP("Risky_Inbound",'Scoring_Config'!$A:$A,'Scoring_Config'!$C:$C,20),0),"False,0")</f>
        <v>0</v>
      </c>
      <c r="AO218" s="4" cm="1">
        <f t="array" ref="AO218">IF(FALSE,"True," &amp; IF(_xlfn.XLOOKUP("Risky_Outbound",'Scoring_Config'!$A:$A,'Scoring_Config'!$D:$D,"Yes")="Yes",_xlfn.XLOOKUP("Risky_Outbound",'Scoring_Config'!$A:$A,'Scoring_Config'!$C:$C,10),0),"False,0")</f>
        <v>0</v>
      </c>
      <c r="AP218" s="5" t="s">
        <v>2595</v>
      </c>
      <c r="AQ218" s="5" cm="1">
        <f t="array" ref="AQ21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8" s="4" t="s">
        <v>2592</v>
      </c>
      <c r="AS218" s="4" t="s">
        <v>2592</v>
      </c>
      <c r="AT218" s="4" t="s">
        <v>2592</v>
      </c>
      <c r="AU218" s="4" cm="1">
        <f t="array" ref="AU218">IF(FALSE,"True," &amp; IF(_xlfn.XLOOKUP("Action_IsDenyOrDrop",'Scoring_Config'!$A:$A,'Scoring_Config'!$D:$D,"Yes")="Yes",_xlfn.XLOOKUP("Action_IsDenyOrDrop",'Scoring_Config'!$A:$A,'Scoring_Config'!$C:$C,0),0),"False,0")</f>
        <v>0</v>
      </c>
      <c r="AV218" s="4"/>
      <c r="AW218" s="4" cm="1">
        <f t="array" ref="AW218">IF(FALSE,"True," &amp; IF(_xlfn.XLOOKUP("Migrate_Insecure",'Scoring_Config'!$A:$A,'Scoring_Config'!$D:$D,"Yes")="Yes",_xlfn.XLOOKUP("Migrate_Insecure",'Scoring_Config'!$A:$A,'Scoring_Config'!$C:$C,15),0),"False,0")</f>
        <v>0</v>
      </c>
      <c r="AX218" s="4"/>
      <c r="AY218" s="4" cm="1">
        <f t="array" ref="AY218">IF(FALSE,"True," &amp; IF(_xlfn.XLOOKUP("Migrate_Other_Ports",'Scoring_Config'!$A:$A,'Scoring_Config'!$D:$D,"Yes")="Yes",_xlfn.XLOOKUP("Migrate_Other_Ports",'Scoring_Config'!$A:$A,'Scoring_Config'!$C:$C,5),0),"False,0")</f>
        <v>0</v>
      </c>
      <c r="AZ218" s="4" cm="1">
        <f t="array" ref="AZ218">IF(LEFT(AU218,4)="True",0,(IF(LEFT(AC218,4)="True",IF(_xlfn.XLOOKUP("Src_IsAny",'Scoring_Config'!$A:$A,'Scoring_Config'!$D:$D,"Yes")="Yes",_xlfn.XLOOKUP("Src_IsAny",'Scoring_Config'!$A:$A,'Scoring_Config'!$C:$C,25),0),0)+IF(LEFT(AD218,4)="True",IF(_xlfn.XLOOKUP("Src_CIDR_Le_16",'Scoring_Config'!$A:$A,'Scoring_Config'!$D:$D,"Yes")="Yes",_xlfn.XLOOKUP("Src_CIDR_Le_16",'Scoring_Config'!$A:$A,'Scoring_Config'!$C:$C,25),0),0)+IF(LEFT(AE218,4)="True",IF(_xlfn.XLOOKUP("Src_CIDR_17_22",'Scoring_Config'!$A:$A,'Scoring_Config'!$D:$D,"Yes")="Yes",_xlfn.XLOOKUP("Src_CIDR_17_22",'Scoring_Config'!$A:$A,'Scoring_Config'!$C:$C,15),0),0)+IF(LEFT(AF218,4)="True",IF(_xlfn.XLOOKUP("Dst_IsAny",'Scoring_Config'!$A:$A,'Scoring_Config'!$D:$D,"Yes")="Yes",_xlfn.XLOOKUP("Dst_IsAny",'Scoring_Config'!$A:$A,'Scoring_Config'!$C:$C,25),0),0)+IF(LEFT(AG218,4)="True",IF(_xlfn.XLOOKUP("Dst_CIDR_Le_16",'Scoring_Config'!$A:$A,'Scoring_Config'!$D:$D,"Yes")="Yes",_xlfn.XLOOKUP("Dst_CIDR_Le_16",'Scoring_Config'!$A:$A,'Scoring_Config'!$C:$C,25),0),0)+IF(LEFT(AH218,4)="True",IF(_xlfn.XLOOKUP("Dst_CIDR_17_22",'Scoring_Config'!$A:$A,'Scoring_Config'!$D:$D,"Yes")="Yes",_xlfn.XLOOKUP("Dst_CIDR_17_22",'Scoring_Config'!$A:$A,'Scoring_Config'!$C:$C,15),0),0)+IF(LEFT(AI218,4)="True",IF(_xlfn.XLOOKUP("SrcZone_IsAny",'Scoring_Config'!$A:$A,'Scoring_Config'!$D:$D,"Yes")="Yes",_xlfn.XLOOKUP("SrcZone_IsAny",'Scoring_Config'!$A:$A,'Scoring_Config'!$C:$C,5),0),0)+IF(LEFT(AJ218,4)="True",IF(_xlfn.XLOOKUP("DstZone_IsAny",'Scoring_Config'!$A:$A,'Scoring_Config'!$D:$D,"Yes")="Yes",_xlfn.XLOOKUP("DstZone_IsAny",'Scoring_Config'!$A:$A,'Scoring_Config'!$C:$C,5),0),0)+IF(LEFT(AK218,4)="True",IF(_xlfn.XLOOKUP("Service_Any_OR_RangeGt1000",'Scoring_Config'!$A:$A,'Scoring_Config'!$D:$D,"Yes")="Yes",_xlfn.XLOOKUP("Service_Any_OR_RangeGt1000",'Scoring_Config'!$A:$A,'Scoring_Config'!$C:$C,25),0),0)+IF(LEFT(AL218,4)="True",IF(_xlfn.XLOOKUP("App_Any_OR_RangeGt1000",'Scoring_Config'!$A:$A,'Scoring_Config'!$D:$D,"Yes")="Yes",_xlfn.XLOOKUP("App_Any_OR_RangeGt1000",'Scoring_Config'!$A:$A,'Scoring_Config'!$C:$C,25),0),0)+IF(LEFT(AM218,4)="True",IF(_xlfn.XLOOKUP("Service_Insecure_Match",'Scoring_Config'!$A:$A,'Scoring_Config'!$D:$D,"Yes")="Yes",_xlfn.XLOOKUP("Service_Insecure_Match",'Scoring_Config'!$A:$A,'Scoring_Config'!$C:$C,20),0),0)+IF(LEFT(AN218,4)="True",IF(_xlfn.XLOOKUP("Risky_Inbound",'Scoring_Config'!$A:$A,'Scoring_Config'!$D:$D,"Yes")="Yes",_xlfn.XLOOKUP("Risky_Inbound",'Scoring_Config'!$A:$A,'Scoring_Config'!$C:$C,20),0),0)+IF(LEFT(AO218,4)="True",IF(_xlfn.XLOOKUP("Risky_Outbound",'Scoring_Config'!$A:$A,'Scoring_Config'!$D:$D,"Yes")="Yes",_xlfn.XLOOKUP("Risky_Outbound",'Scoring_Config'!$A:$A,'Scoring_Config'!$C:$C,10),0),0)+IF(LEFT(AW218,4)="True",IF(_xlfn.XLOOKUP("Migrate_Insecure",'Scoring_Config'!$A:$A,'Scoring_Config'!$D:$D,"Yes")="Yes",_xlfn.XLOOKUP("Migrate_Insecure",'Scoring_Config'!$A:$A,'Scoring_Config'!$C:$C,15),0),0)+IF(LEFT(AY218,4)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218,FIND(",",AP218)+1,100)),0)+IF(LEFT(AQ218,4)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218,FIND(",",AR218)+1,100)),0)+IF(_xlfn.XLOOKUP("Profile_Scoring",'Scoring_Config'!$A:$A,'Scoring_Config'!$D:$D,"Yes")="Yes",VALUE(MID(AS218,FIND(",",AS218)+1,100)),0)+IF(_xlfn.XLOOKUP("Options_Scoring",'Scoring_Config'!$A:$A,'Scoring_Config'!$D:$D,"Yes")="Yes",VALUE(MID(AT218,FIND(",",AT218)+1,100)),0)))</f>
        <v>0</v>
      </c>
    </row>
    <row r="219" spans="1:52">
      <c r="A219" s="3" t="s">
        <v>53</v>
      </c>
      <c r="B219" s="3" t="s">
        <v>86</v>
      </c>
      <c r="C219" s="3" t="s">
        <v>330</v>
      </c>
      <c r="D219" s="3"/>
      <c r="E219" s="3" t="s">
        <v>359</v>
      </c>
      <c r="F219" s="3" t="s">
        <v>360</v>
      </c>
      <c r="G219" s="3" t="s">
        <v>447</v>
      </c>
      <c r="H219" s="3" t="s">
        <v>578</v>
      </c>
      <c r="I219" s="3" t="s">
        <v>625</v>
      </c>
      <c r="J219" s="3" t="s">
        <v>360</v>
      </c>
      <c r="K219" s="3" t="s">
        <v>423</v>
      </c>
      <c r="L219" s="3" t="s">
        <v>570</v>
      </c>
      <c r="M219" s="3" t="s">
        <v>773</v>
      </c>
      <c r="N219" s="3" t="s">
        <v>773</v>
      </c>
      <c r="O219" s="4" t="s">
        <v>837</v>
      </c>
      <c r="P219" s="3" t="s">
        <v>837</v>
      </c>
      <c r="Q219" s="3" t="s">
        <v>905</v>
      </c>
      <c r="R219" s="3" t="s">
        <v>909</v>
      </c>
      <c r="S219" s="3" t="s">
        <v>916</v>
      </c>
      <c r="T219" s="3" t="s">
        <v>1056</v>
      </c>
      <c r="U219" s="3" t="s">
        <v>1150</v>
      </c>
      <c r="V219" s="3" t="s">
        <v>1386</v>
      </c>
      <c r="W219" s="3" t="s">
        <v>1484</v>
      </c>
      <c r="X219" s="3" t="s">
        <v>1823</v>
      </c>
      <c r="Y219" s="3" t="s">
        <v>2292</v>
      </c>
      <c r="Z219" s="3"/>
      <c r="AA219" s="3"/>
      <c r="AB219" s="3"/>
      <c r="AC219" s="4" cm="1">
        <f t="array" ref="AC219">IF(FALSE,"True," &amp; IF(_xlfn.XLOOKUP("Src_IsAny",'Scoring_Config'!$A:$A,'Scoring_Config'!$D:$D,"Yes")="Yes",_xlfn.XLOOKUP("Src_IsAny",'Scoring_Config'!$A:$A,'Scoring_Config'!$C:$C,25),0),"False,0")</f>
        <v>0</v>
      </c>
      <c r="AD219" s="4" cm="1">
        <f t="array" ref="AD219">IF(FALSE,"True," &amp; IF(_xlfn.XLOOKUP("Src_CIDR_Le_16",'Scoring_Config'!$A:$A,'Scoring_Config'!$D:$D,"Yes")="Yes",_xlfn.XLOOKUP("Src_CIDR_Le_16",'Scoring_Config'!$A:$A,'Scoring_Config'!$C:$C,25),0),"False,0")</f>
        <v>0</v>
      </c>
      <c r="AE219" s="4" cm="1">
        <f t="array" ref="AE219">IF(FALSE,"True," &amp; IF(_xlfn.XLOOKUP("Src_CIDR_17_22",'Scoring_Config'!$A:$A,'Scoring_Config'!$D:$D,"Yes")="Yes",_xlfn.XLOOKUP("Src_CIDR_17_22",'Scoring_Config'!$A:$A,'Scoring_Config'!$C:$C,15),0),"False,0")</f>
        <v>0</v>
      </c>
      <c r="AF219" s="4" cm="1">
        <f t="array" ref="AF219">IF(FALSE,"True," &amp; IF(_xlfn.XLOOKUP("Dst_IsAny",'Scoring_Config'!$A:$A,'Scoring_Config'!$D:$D,"Yes")="Yes",_xlfn.XLOOKUP("Dst_IsAny",'Scoring_Config'!$A:$A,'Scoring_Config'!$C:$C,25),0),"False,0")</f>
        <v>0</v>
      </c>
      <c r="AG219" s="5" cm="1">
        <f t="array" ref="AG219">IF(TRUE,"True," &amp; IF(_xlfn.XLOOKUP("Dst_CIDR_Le_16",'Scoring_Config'!$A:$A,'Scoring_Config'!$D:$D,"Yes")="Yes",_xlfn.XLOOKUP("Dst_CIDR_Le_16",'Scoring_Config'!$A:$A,'Scoring_Config'!$C:$C,25),0),"False,0")</f>
        <v>0</v>
      </c>
      <c r="AH219" s="4" cm="1">
        <f t="array" ref="AH219">IF(FALSE,"True," &amp; IF(_xlfn.XLOOKUP("Dst_CIDR_17_22",'Scoring_Config'!$A:$A,'Scoring_Config'!$D:$D,"Yes")="Yes",_xlfn.XLOOKUP("Dst_CIDR_17_22",'Scoring_Config'!$A:$A,'Scoring_Config'!$C:$C,15),0),"False,0")</f>
        <v>0</v>
      </c>
      <c r="AI219" s="4" cm="1">
        <f t="array" ref="AI219">IF(FALSE,"True," &amp; IF(_xlfn.XLOOKUP("SrcZone_IsAny",'Scoring_Config'!$A:$A,'Scoring_Config'!$D:$D,"Yes")="Yes",_xlfn.XLOOKUP("SrcZone_IsAny",'Scoring_Config'!$A:$A,'Scoring_Config'!$C:$C,5),0),"False,0")</f>
        <v>0</v>
      </c>
      <c r="AJ219" s="4" cm="1">
        <f t="array" ref="AJ219">IF(FALSE,"True," &amp; IF(_xlfn.XLOOKUP("DstZone_IsAny",'Scoring_Config'!$A:$A,'Scoring_Config'!$D:$D,"Yes")="Yes",_xlfn.XLOOKUP("DstZone_IsAny",'Scoring_Config'!$A:$A,'Scoring_Config'!$C:$C,5),0),"False,0")</f>
        <v>0</v>
      </c>
      <c r="AK219" s="4" cm="1">
        <f t="array" ref="AK21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19" s="4" cm="1">
        <f t="array" ref="AL219">IF(FALSE,"True," &amp; IF(_xlfn.XLOOKUP("App_Any_OR_RangeGt1000",'Scoring_Config'!$A:$A,'Scoring_Config'!$D:$D,"Yes")="Yes",_xlfn.XLOOKUP("App_Any_OR_RangeGt1000",'Scoring_Config'!$A:$A,'Scoring_Config'!$C:$C,25),0),"False,0")</f>
        <v>0</v>
      </c>
      <c r="AM219" s="4" cm="1">
        <f t="array" ref="AM219">IF(FALSE,"True," &amp; IF(_xlfn.XLOOKUP("Service_Insecure_Match",'Scoring_Config'!$A:$A,'Scoring_Config'!$D:$D,"Yes")="Yes",_xlfn.XLOOKUP("Service_Insecure_Match",'Scoring_Config'!$A:$A,'Scoring_Config'!$C:$C,20),0),"False,0")</f>
        <v>0</v>
      </c>
      <c r="AN219" s="4" cm="1">
        <f t="array" ref="AN219">IF(FALSE,"True," &amp; IF(_xlfn.XLOOKUP("Risky_Inbound",'Scoring_Config'!$A:$A,'Scoring_Config'!$D:$D,"Yes")="Yes",_xlfn.XLOOKUP("Risky_Inbound",'Scoring_Config'!$A:$A,'Scoring_Config'!$C:$C,20),0),"False,0")</f>
        <v>0</v>
      </c>
      <c r="AO219" s="4" cm="1">
        <f t="array" ref="AO219">IF(FALSE,"True," &amp; IF(_xlfn.XLOOKUP("Risky_Outbound",'Scoring_Config'!$A:$A,'Scoring_Config'!$D:$D,"Yes")="Yes",_xlfn.XLOOKUP("Risky_Outbound",'Scoring_Config'!$A:$A,'Scoring_Config'!$C:$C,10),0),"False,0")</f>
        <v>0</v>
      </c>
      <c r="AP219" s="5" t="s">
        <v>2595</v>
      </c>
      <c r="AQ219" s="5" cm="1">
        <f t="array" ref="AQ21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19" s="5" t="s">
        <v>2598</v>
      </c>
      <c r="AS219" s="4" t="s">
        <v>2592</v>
      </c>
      <c r="AT219" s="4" t="s">
        <v>2592</v>
      </c>
      <c r="AU219" s="4" cm="1">
        <f t="array" ref="AU219">IF(FALSE,"True," &amp; IF(_xlfn.XLOOKUP("Action_IsDenyOrDrop",'Scoring_Config'!$A:$A,'Scoring_Config'!$D:$D,"Yes")="Yes",_xlfn.XLOOKUP("Action_IsDenyOrDrop",'Scoring_Config'!$A:$A,'Scoring_Config'!$C:$C,0),0),"False,0")</f>
        <v>0</v>
      </c>
      <c r="AV219" s="4"/>
      <c r="AW219" s="4" cm="1">
        <f t="array" ref="AW219">IF(FALSE,"True," &amp; IF(_xlfn.XLOOKUP("Migrate_Insecure",'Scoring_Config'!$A:$A,'Scoring_Config'!$D:$D,"Yes")="Yes",_xlfn.XLOOKUP("Migrate_Insecure",'Scoring_Config'!$A:$A,'Scoring_Config'!$C:$C,15),0),"False,0")</f>
        <v>0</v>
      </c>
      <c r="AX219" s="4"/>
      <c r="AY219" s="4" cm="1">
        <f t="array" ref="AY219">IF(FALSE,"True," &amp; IF(_xlfn.XLOOKUP("Migrate_Other_Ports",'Scoring_Config'!$A:$A,'Scoring_Config'!$D:$D,"Yes")="Yes",_xlfn.XLOOKUP("Migrate_Other_Ports",'Scoring_Config'!$A:$A,'Scoring_Config'!$C:$C,5),0),"False,0")</f>
        <v>0</v>
      </c>
      <c r="AZ219" s="4" cm="1">
        <f t="array" ref="AZ219">IF(LEFT(AU219,4)="True",0,(IF(LEFT(AC219,4)="True",IF(_xlfn.XLOOKUP("Src_IsAny",'Scoring_Config'!$A:$A,'Scoring_Config'!$D:$D,"Yes")="Yes",_xlfn.XLOOKUP("Src_IsAny",'Scoring_Config'!$A:$A,'Scoring_Config'!$C:$C,25),0),0)+IF(LEFT(AD219,4)="True",IF(_xlfn.XLOOKUP("Src_CIDR_Le_16",'Scoring_Config'!$A:$A,'Scoring_Config'!$D:$D,"Yes")="Yes",_xlfn.XLOOKUP("Src_CIDR_Le_16",'Scoring_Config'!$A:$A,'Scoring_Config'!$C:$C,25),0),0)+IF(LEFT(AE219,4)="True",IF(_xlfn.XLOOKUP("Src_CIDR_17_22",'Scoring_Config'!$A:$A,'Scoring_Config'!$D:$D,"Yes")="Yes",_xlfn.XLOOKUP("Src_CIDR_17_22",'Scoring_Config'!$A:$A,'Scoring_Config'!$C:$C,15),0),0)+IF(LEFT(AF219,4)="True",IF(_xlfn.XLOOKUP("Dst_IsAny",'Scoring_Config'!$A:$A,'Scoring_Config'!$D:$D,"Yes")="Yes",_xlfn.XLOOKUP("Dst_IsAny",'Scoring_Config'!$A:$A,'Scoring_Config'!$C:$C,25),0),0)+IF(LEFT(AG219,4)="True",IF(_xlfn.XLOOKUP("Dst_CIDR_Le_16",'Scoring_Config'!$A:$A,'Scoring_Config'!$D:$D,"Yes")="Yes",_xlfn.XLOOKUP("Dst_CIDR_Le_16",'Scoring_Config'!$A:$A,'Scoring_Config'!$C:$C,25),0),0)+IF(LEFT(AH219,4)="True",IF(_xlfn.XLOOKUP("Dst_CIDR_17_22",'Scoring_Config'!$A:$A,'Scoring_Config'!$D:$D,"Yes")="Yes",_xlfn.XLOOKUP("Dst_CIDR_17_22",'Scoring_Config'!$A:$A,'Scoring_Config'!$C:$C,15),0),0)+IF(LEFT(AI219,4)="True",IF(_xlfn.XLOOKUP("SrcZone_IsAny",'Scoring_Config'!$A:$A,'Scoring_Config'!$D:$D,"Yes")="Yes",_xlfn.XLOOKUP("SrcZone_IsAny",'Scoring_Config'!$A:$A,'Scoring_Config'!$C:$C,5),0),0)+IF(LEFT(AJ219,4)="True",IF(_xlfn.XLOOKUP("DstZone_IsAny",'Scoring_Config'!$A:$A,'Scoring_Config'!$D:$D,"Yes")="Yes",_xlfn.XLOOKUP("DstZone_IsAny",'Scoring_Config'!$A:$A,'Scoring_Config'!$C:$C,5),0),0)+IF(LEFT(AK219,4)="True",IF(_xlfn.XLOOKUP("Service_Any_OR_RangeGt1000",'Scoring_Config'!$A:$A,'Scoring_Config'!$D:$D,"Yes")="Yes",_xlfn.XLOOKUP("Service_Any_OR_RangeGt1000",'Scoring_Config'!$A:$A,'Scoring_Config'!$C:$C,25),0),0)+IF(LEFT(AL219,4)="True",IF(_xlfn.XLOOKUP("App_Any_OR_RangeGt1000",'Scoring_Config'!$A:$A,'Scoring_Config'!$D:$D,"Yes")="Yes",_xlfn.XLOOKUP("App_Any_OR_RangeGt1000",'Scoring_Config'!$A:$A,'Scoring_Config'!$C:$C,25),0),0)+IF(LEFT(AM219,4)="True",IF(_xlfn.XLOOKUP("Service_Insecure_Match",'Scoring_Config'!$A:$A,'Scoring_Config'!$D:$D,"Yes")="Yes",_xlfn.XLOOKUP("Service_Insecure_Match",'Scoring_Config'!$A:$A,'Scoring_Config'!$C:$C,20),0),0)+IF(LEFT(AN219,4)="True",IF(_xlfn.XLOOKUP("Risky_Inbound",'Scoring_Config'!$A:$A,'Scoring_Config'!$D:$D,"Yes")="Yes",_xlfn.XLOOKUP("Risky_Inbound",'Scoring_Config'!$A:$A,'Scoring_Config'!$C:$C,20),0),0)+IF(LEFT(AO219,4)="True",IF(_xlfn.XLOOKUP("Risky_Outbound",'Scoring_Config'!$A:$A,'Scoring_Config'!$D:$D,"Yes")="Yes",_xlfn.XLOOKUP("Risky_Outbound",'Scoring_Config'!$A:$A,'Scoring_Config'!$C:$C,10),0),0)+IF(LEFT(AW219,4)="True",IF(_xlfn.XLOOKUP("Migrate_Insecure",'Scoring_Config'!$A:$A,'Scoring_Config'!$D:$D,"Yes")="Yes",_xlfn.XLOOKUP("Migrate_Insecure",'Scoring_Config'!$A:$A,'Scoring_Config'!$C:$C,15),0),0)+IF(LEFT(AY219,4)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219,FIND(",",AP219)+1,100)),0)+IF(LEFT(AQ219,4)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219,FIND(",",AR219)+1,100)),0)+IF(_xlfn.XLOOKUP("Profile_Scoring",'Scoring_Config'!$A:$A,'Scoring_Config'!$D:$D,"Yes")="Yes",VALUE(MID(AS219,FIND(",",AS219)+1,100)),0)+IF(_xlfn.XLOOKUP("Options_Scoring",'Scoring_Config'!$A:$A,'Scoring_Config'!$D:$D,"Yes")="Yes",VALUE(MID(AT219,FIND(",",AT219)+1,100)),0)))</f>
        <v>0</v>
      </c>
    </row>
    <row r="220" spans="1:52">
      <c r="A220" s="3" t="s">
        <v>53</v>
      </c>
      <c r="B220" s="3" t="s">
        <v>208</v>
      </c>
      <c r="C220" s="3" t="s">
        <v>330</v>
      </c>
      <c r="D220" s="3"/>
      <c r="E220" s="3" t="s">
        <v>359</v>
      </c>
      <c r="F220" s="3" t="s">
        <v>360</v>
      </c>
      <c r="G220" s="3" t="s">
        <v>365</v>
      </c>
      <c r="H220" s="3" t="s">
        <v>365</v>
      </c>
      <c r="I220" s="3" t="s">
        <v>625</v>
      </c>
      <c r="J220" s="3" t="s">
        <v>360</v>
      </c>
      <c r="K220" s="3" t="s">
        <v>674</v>
      </c>
      <c r="L220" s="3" t="s">
        <v>756</v>
      </c>
      <c r="M220" s="3" t="s">
        <v>772</v>
      </c>
      <c r="N220" s="3" t="s">
        <v>794</v>
      </c>
      <c r="O220" s="4" t="s">
        <v>815</v>
      </c>
      <c r="P220" s="3" t="s">
        <v>876</v>
      </c>
      <c r="Q220" s="3" t="s">
        <v>905</v>
      </c>
      <c r="R220" s="3" t="s">
        <v>911</v>
      </c>
      <c r="S220" s="3" t="s">
        <v>912</v>
      </c>
      <c r="T220" s="3" t="s">
        <v>1005</v>
      </c>
      <c r="U220" s="3" t="s">
        <v>1257</v>
      </c>
      <c r="V220" s="3" t="s">
        <v>1387</v>
      </c>
      <c r="W220" s="3" t="s">
        <v>1461</v>
      </c>
      <c r="X220" s="3" t="s">
        <v>1824</v>
      </c>
      <c r="Y220" s="3" t="s">
        <v>2293</v>
      </c>
      <c r="Z220" s="3"/>
      <c r="AA220" s="3"/>
      <c r="AB220" s="3"/>
      <c r="AC220" s="5" cm="1">
        <f t="array" ref="AC220">IF(TRUE,"True," &amp; IF(_xlfn.XLOOKUP("Src_IsAny",'Scoring_Config'!$A:$A,'Scoring_Config'!$D:$D,"Yes")="Yes",_xlfn.XLOOKUP("Src_IsAny",'Scoring_Config'!$A:$A,'Scoring_Config'!$C:$C,25),0),"False,0")</f>
        <v>0</v>
      </c>
      <c r="AD220" s="4" cm="1">
        <f t="array" ref="AD220">IF(FALSE,"True," &amp; IF(_xlfn.XLOOKUP("Src_CIDR_Le_16",'Scoring_Config'!$A:$A,'Scoring_Config'!$D:$D,"Yes")="Yes",_xlfn.XLOOKUP("Src_CIDR_Le_16",'Scoring_Config'!$A:$A,'Scoring_Config'!$C:$C,25),0),"False,0")</f>
        <v>0</v>
      </c>
      <c r="AE220" s="4" cm="1">
        <f t="array" ref="AE220">IF(FALSE,"True," &amp; IF(_xlfn.XLOOKUP("Src_CIDR_17_22",'Scoring_Config'!$A:$A,'Scoring_Config'!$D:$D,"Yes")="Yes",_xlfn.XLOOKUP("Src_CIDR_17_22",'Scoring_Config'!$A:$A,'Scoring_Config'!$C:$C,15),0),"False,0")</f>
        <v>0</v>
      </c>
      <c r="AF220" s="4" cm="1">
        <f t="array" ref="AF220">IF(FALSE,"True," &amp; IF(_xlfn.XLOOKUP("Dst_IsAny",'Scoring_Config'!$A:$A,'Scoring_Config'!$D:$D,"Yes")="Yes",_xlfn.XLOOKUP("Dst_IsAny",'Scoring_Config'!$A:$A,'Scoring_Config'!$C:$C,25),0),"False,0")</f>
        <v>0</v>
      </c>
      <c r="AG220" s="5" cm="1">
        <f t="array" ref="AG220">IF(TRUE,"True," &amp; IF(_xlfn.XLOOKUP("Dst_CIDR_Le_16",'Scoring_Config'!$A:$A,'Scoring_Config'!$D:$D,"Yes")="Yes",_xlfn.XLOOKUP("Dst_CIDR_Le_16",'Scoring_Config'!$A:$A,'Scoring_Config'!$C:$C,25),0),"False,0")</f>
        <v>0</v>
      </c>
      <c r="AH220" s="4" cm="1">
        <f t="array" ref="AH220">IF(FALSE,"True," &amp; IF(_xlfn.XLOOKUP("Dst_CIDR_17_22",'Scoring_Config'!$A:$A,'Scoring_Config'!$D:$D,"Yes")="Yes",_xlfn.XLOOKUP("Dst_CIDR_17_22",'Scoring_Config'!$A:$A,'Scoring_Config'!$C:$C,15),0),"False,0")</f>
        <v>0</v>
      </c>
      <c r="AI220" s="4" cm="1">
        <f t="array" ref="AI220">IF(FALSE,"True," &amp; IF(_xlfn.XLOOKUP("SrcZone_IsAny",'Scoring_Config'!$A:$A,'Scoring_Config'!$D:$D,"Yes")="Yes",_xlfn.XLOOKUP("SrcZone_IsAny",'Scoring_Config'!$A:$A,'Scoring_Config'!$C:$C,5),0),"False,0")</f>
        <v>0</v>
      </c>
      <c r="AJ220" s="4" cm="1">
        <f t="array" ref="AJ220">IF(FALSE,"True," &amp; IF(_xlfn.XLOOKUP("DstZone_IsAny",'Scoring_Config'!$A:$A,'Scoring_Config'!$D:$D,"Yes")="Yes",_xlfn.XLOOKUP("DstZone_IsAny",'Scoring_Config'!$A:$A,'Scoring_Config'!$C:$C,5),0),"False,0")</f>
        <v>0</v>
      </c>
      <c r="AK220" s="4" cm="1">
        <f t="array" ref="AK22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0" s="4" cm="1">
        <f t="array" ref="AL220">IF(FALSE,"True," &amp; IF(_xlfn.XLOOKUP("App_Any_OR_RangeGt1000",'Scoring_Config'!$A:$A,'Scoring_Config'!$D:$D,"Yes")="Yes",_xlfn.XLOOKUP("App_Any_OR_RangeGt1000",'Scoring_Config'!$A:$A,'Scoring_Config'!$C:$C,25),0),"False,0")</f>
        <v>0</v>
      </c>
      <c r="AM220" s="4" cm="1">
        <f t="array" ref="AM220">IF(FALSE,"True," &amp; IF(_xlfn.XLOOKUP("Service_Insecure_Match",'Scoring_Config'!$A:$A,'Scoring_Config'!$D:$D,"Yes")="Yes",_xlfn.XLOOKUP("Service_Insecure_Match",'Scoring_Config'!$A:$A,'Scoring_Config'!$C:$C,20),0),"False,0")</f>
        <v>0</v>
      </c>
      <c r="AN220" s="4" cm="1">
        <f t="array" ref="AN220">IF(FALSE,"True," &amp; IF(_xlfn.XLOOKUP("Risky_Inbound",'Scoring_Config'!$A:$A,'Scoring_Config'!$D:$D,"Yes")="Yes",_xlfn.XLOOKUP("Risky_Inbound",'Scoring_Config'!$A:$A,'Scoring_Config'!$C:$C,20),0),"False,0")</f>
        <v>0</v>
      </c>
      <c r="AO220" s="4" cm="1">
        <f t="array" ref="AO220">IF(FALSE,"True," &amp; IF(_xlfn.XLOOKUP("Risky_Outbound",'Scoring_Config'!$A:$A,'Scoring_Config'!$D:$D,"Yes")="Yes",_xlfn.XLOOKUP("Risky_Outbound",'Scoring_Config'!$A:$A,'Scoring_Config'!$C:$C,10),0),"False,0")</f>
        <v>0</v>
      </c>
      <c r="AP220" s="5" t="s">
        <v>2595</v>
      </c>
      <c r="AQ220" s="4" cm="1">
        <f t="array" ref="AQ22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0" s="5" t="s">
        <v>2598</v>
      </c>
      <c r="AS220" s="4" t="s">
        <v>2592</v>
      </c>
      <c r="AT220" s="4" t="s">
        <v>2592</v>
      </c>
      <c r="AU220" s="4" cm="1">
        <f t="array" ref="AU220">IF(FALSE,"True," &amp; IF(_xlfn.XLOOKUP("Action_IsDenyOrDrop",'Scoring_Config'!$A:$A,'Scoring_Config'!$D:$D,"Yes")="Yes",_xlfn.XLOOKUP("Action_IsDenyOrDrop",'Scoring_Config'!$A:$A,'Scoring_Config'!$C:$C,0),0),"False,0")</f>
        <v>0</v>
      </c>
      <c r="AV220" s="4"/>
      <c r="AW220" s="4" cm="1">
        <f t="array" ref="AW220">IF(FALSE,"True," &amp; IF(_xlfn.XLOOKUP("Migrate_Insecure",'Scoring_Config'!$A:$A,'Scoring_Config'!$D:$D,"Yes")="Yes",_xlfn.XLOOKUP("Migrate_Insecure",'Scoring_Config'!$A:$A,'Scoring_Config'!$C:$C,15),0),"False,0")</f>
        <v>0</v>
      </c>
      <c r="AX220" s="4"/>
      <c r="AY220" s="4" cm="1">
        <f t="array" ref="AY220">IF(FALSE,"True," &amp; IF(_xlfn.XLOOKUP("Migrate_Other_Ports",'Scoring_Config'!$A:$A,'Scoring_Config'!$D:$D,"Yes")="Yes",_xlfn.XLOOKUP("Migrate_Other_Ports",'Scoring_Config'!$A:$A,'Scoring_Config'!$C:$C,5),0),"False,0")</f>
        <v>0</v>
      </c>
      <c r="AZ220" s="4" cm="1">
        <f t="array" ref="AZ220">IF(LEFT(AU220,4)="True",0,(IF(LEFT(AC220,4)="True",IF(_xlfn.XLOOKUP("Src_IsAny",'Scoring_Config'!$A:$A,'Scoring_Config'!$D:$D,"Yes")="Yes",_xlfn.XLOOKUP("Src_IsAny",'Scoring_Config'!$A:$A,'Scoring_Config'!$C:$C,25),0),0)+IF(LEFT(AD220,4)="True",IF(_xlfn.XLOOKUP("Src_CIDR_Le_16",'Scoring_Config'!$A:$A,'Scoring_Config'!$D:$D,"Yes")="Yes",_xlfn.XLOOKUP("Src_CIDR_Le_16",'Scoring_Config'!$A:$A,'Scoring_Config'!$C:$C,25),0),0)+IF(LEFT(AE220,4)="True",IF(_xlfn.XLOOKUP("Src_CIDR_17_22",'Scoring_Config'!$A:$A,'Scoring_Config'!$D:$D,"Yes")="Yes",_xlfn.XLOOKUP("Src_CIDR_17_22",'Scoring_Config'!$A:$A,'Scoring_Config'!$C:$C,15),0),0)+IF(LEFT(AF220,4)="True",IF(_xlfn.XLOOKUP("Dst_IsAny",'Scoring_Config'!$A:$A,'Scoring_Config'!$D:$D,"Yes")="Yes",_xlfn.XLOOKUP("Dst_IsAny",'Scoring_Config'!$A:$A,'Scoring_Config'!$C:$C,25),0),0)+IF(LEFT(AG220,4)="True",IF(_xlfn.XLOOKUP("Dst_CIDR_Le_16",'Scoring_Config'!$A:$A,'Scoring_Config'!$D:$D,"Yes")="Yes",_xlfn.XLOOKUP("Dst_CIDR_Le_16",'Scoring_Config'!$A:$A,'Scoring_Config'!$C:$C,25),0),0)+IF(LEFT(AH220,4)="True",IF(_xlfn.XLOOKUP("Dst_CIDR_17_22",'Scoring_Config'!$A:$A,'Scoring_Config'!$D:$D,"Yes")="Yes",_xlfn.XLOOKUP("Dst_CIDR_17_22",'Scoring_Config'!$A:$A,'Scoring_Config'!$C:$C,15),0),0)+IF(LEFT(AI220,4)="True",IF(_xlfn.XLOOKUP("SrcZone_IsAny",'Scoring_Config'!$A:$A,'Scoring_Config'!$D:$D,"Yes")="Yes",_xlfn.XLOOKUP("SrcZone_IsAny",'Scoring_Config'!$A:$A,'Scoring_Config'!$C:$C,5),0),0)+IF(LEFT(AJ220,4)="True",IF(_xlfn.XLOOKUP("DstZone_IsAny",'Scoring_Config'!$A:$A,'Scoring_Config'!$D:$D,"Yes")="Yes",_xlfn.XLOOKUP("DstZone_IsAny",'Scoring_Config'!$A:$A,'Scoring_Config'!$C:$C,5),0),0)+IF(LEFT(AK220,4)="True",IF(_xlfn.XLOOKUP("Service_Any_OR_RangeGt1000",'Scoring_Config'!$A:$A,'Scoring_Config'!$D:$D,"Yes")="Yes",_xlfn.XLOOKUP("Service_Any_OR_RangeGt1000",'Scoring_Config'!$A:$A,'Scoring_Config'!$C:$C,25),0),0)+IF(LEFT(AL220,4)="True",IF(_xlfn.XLOOKUP("App_Any_OR_RangeGt1000",'Scoring_Config'!$A:$A,'Scoring_Config'!$D:$D,"Yes")="Yes",_xlfn.XLOOKUP("App_Any_OR_RangeGt1000",'Scoring_Config'!$A:$A,'Scoring_Config'!$C:$C,25),0),0)+IF(LEFT(AM220,4)="True",IF(_xlfn.XLOOKUP("Service_Insecure_Match",'Scoring_Config'!$A:$A,'Scoring_Config'!$D:$D,"Yes")="Yes",_xlfn.XLOOKUP("Service_Insecure_Match",'Scoring_Config'!$A:$A,'Scoring_Config'!$C:$C,20),0),0)+IF(LEFT(AN220,4)="True",IF(_xlfn.XLOOKUP("Risky_Inbound",'Scoring_Config'!$A:$A,'Scoring_Config'!$D:$D,"Yes")="Yes",_xlfn.XLOOKUP("Risky_Inbound",'Scoring_Config'!$A:$A,'Scoring_Config'!$C:$C,20),0),0)+IF(LEFT(AO220,4)="True",IF(_xlfn.XLOOKUP("Risky_Outbound",'Scoring_Config'!$A:$A,'Scoring_Config'!$D:$D,"Yes")="Yes",_xlfn.XLOOKUP("Risky_Outbound",'Scoring_Config'!$A:$A,'Scoring_Config'!$C:$C,10),0),0)+IF(LEFT(AW220,4)="True",IF(_xlfn.XLOOKUP("Migrate_Insecure",'Scoring_Config'!$A:$A,'Scoring_Config'!$D:$D,"Yes")="Yes",_xlfn.XLOOKUP("Migrate_Insecure",'Scoring_Config'!$A:$A,'Scoring_Config'!$C:$C,15),0),0)+IF(LEFT(AY220,4)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220,FIND(",",AP220)+1,100)),0)+IF(LEFT(AQ220,4)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220,FIND(",",AR220)+1,100)),0)+IF(_xlfn.XLOOKUP("Profile_Scoring",'Scoring_Config'!$A:$A,'Scoring_Config'!$D:$D,"Yes")="Yes",VALUE(MID(AS220,FIND(",",AS220)+1,100)),0)+IF(_xlfn.XLOOKUP("Options_Scoring",'Scoring_Config'!$A:$A,'Scoring_Config'!$D:$D,"Yes")="Yes",VALUE(MID(AT220,FIND(",",AT220)+1,100)),0)))</f>
        <v>0</v>
      </c>
    </row>
    <row r="221" spans="1:52">
      <c r="A221" s="3" t="s">
        <v>53</v>
      </c>
      <c r="B221" s="3" t="s">
        <v>209</v>
      </c>
      <c r="C221" s="3" t="s">
        <v>330</v>
      </c>
      <c r="D221" s="3"/>
      <c r="E221" s="3" t="s">
        <v>359</v>
      </c>
      <c r="F221" s="3" t="s">
        <v>360</v>
      </c>
      <c r="G221" s="3" t="s">
        <v>365</v>
      </c>
      <c r="H221" s="3" t="s">
        <v>365</v>
      </c>
      <c r="I221" s="3" t="s">
        <v>625</v>
      </c>
      <c r="J221" s="3" t="s">
        <v>364</v>
      </c>
      <c r="K221" s="3" t="s">
        <v>365</v>
      </c>
      <c r="L221" s="3" t="s">
        <v>365</v>
      </c>
      <c r="M221" s="3" t="s">
        <v>770</v>
      </c>
      <c r="N221" s="3" t="s">
        <v>770</v>
      </c>
      <c r="O221" s="4" t="s">
        <v>801</v>
      </c>
      <c r="P221" s="3" t="s">
        <v>862</v>
      </c>
      <c r="Q221" s="3" t="s">
        <v>905</v>
      </c>
      <c r="R221" s="3" t="s">
        <v>907</v>
      </c>
      <c r="S221" s="3" t="s">
        <v>913</v>
      </c>
      <c r="T221" s="3" t="s">
        <v>1057</v>
      </c>
      <c r="U221" s="3" t="s">
        <v>1258</v>
      </c>
      <c r="V221" s="3" t="s">
        <v>1388</v>
      </c>
      <c r="W221" s="3" t="s">
        <v>1447</v>
      </c>
      <c r="X221" s="3" t="s">
        <v>1825</v>
      </c>
      <c r="Y221" s="3" t="s">
        <v>2294</v>
      </c>
      <c r="Z221" s="3"/>
      <c r="AA221" s="3"/>
      <c r="AB221" s="3"/>
      <c r="AC221" s="5" cm="1">
        <f t="array" ref="AC221">IF(TRUE,"True," &amp; IF(_xlfn.XLOOKUP("Src_IsAny",'Scoring_Config'!$A:$A,'Scoring_Config'!$D:$D,"Yes")="Yes",_xlfn.XLOOKUP("Src_IsAny",'Scoring_Config'!$A:$A,'Scoring_Config'!$C:$C,25),0),"False,0")</f>
        <v>0</v>
      </c>
      <c r="AD221" s="4" cm="1">
        <f t="array" ref="AD221">IF(FALSE,"True," &amp; IF(_xlfn.XLOOKUP("Src_CIDR_Le_16",'Scoring_Config'!$A:$A,'Scoring_Config'!$D:$D,"Yes")="Yes",_xlfn.XLOOKUP("Src_CIDR_Le_16",'Scoring_Config'!$A:$A,'Scoring_Config'!$C:$C,25),0),"False,0")</f>
        <v>0</v>
      </c>
      <c r="AE221" s="4" cm="1">
        <f t="array" ref="AE221">IF(FALSE,"True," &amp; IF(_xlfn.XLOOKUP("Src_CIDR_17_22",'Scoring_Config'!$A:$A,'Scoring_Config'!$D:$D,"Yes")="Yes",_xlfn.XLOOKUP("Src_CIDR_17_22",'Scoring_Config'!$A:$A,'Scoring_Config'!$C:$C,15),0),"False,0")</f>
        <v>0</v>
      </c>
      <c r="AF221" s="5" cm="1">
        <f t="array" ref="AF221">IF(TRUE,"True," &amp; IF(_xlfn.XLOOKUP("Dst_IsAny",'Scoring_Config'!$A:$A,'Scoring_Config'!$D:$D,"Yes")="Yes",_xlfn.XLOOKUP("Dst_IsAny",'Scoring_Config'!$A:$A,'Scoring_Config'!$C:$C,25),0),"False,0")</f>
        <v>0</v>
      </c>
      <c r="AG221" s="4" cm="1">
        <f t="array" ref="AG221">IF(FALSE,"True," &amp; IF(_xlfn.XLOOKUP("Dst_CIDR_Le_16",'Scoring_Config'!$A:$A,'Scoring_Config'!$D:$D,"Yes")="Yes",_xlfn.XLOOKUP("Dst_CIDR_Le_16",'Scoring_Config'!$A:$A,'Scoring_Config'!$C:$C,25),0),"False,0")</f>
        <v>0</v>
      </c>
      <c r="AH221" s="4" cm="1">
        <f t="array" ref="AH221">IF(FALSE,"True," &amp; IF(_xlfn.XLOOKUP("Dst_CIDR_17_22",'Scoring_Config'!$A:$A,'Scoring_Config'!$D:$D,"Yes")="Yes",_xlfn.XLOOKUP("Dst_CIDR_17_22",'Scoring_Config'!$A:$A,'Scoring_Config'!$C:$C,15),0),"False,0")</f>
        <v>0</v>
      </c>
      <c r="AI221" s="4" cm="1">
        <f t="array" ref="AI221">IF(FALSE,"True," &amp; IF(_xlfn.XLOOKUP("SrcZone_IsAny",'Scoring_Config'!$A:$A,'Scoring_Config'!$D:$D,"Yes")="Yes",_xlfn.XLOOKUP("SrcZone_IsAny",'Scoring_Config'!$A:$A,'Scoring_Config'!$C:$C,5),0),"False,0")</f>
        <v>0</v>
      </c>
      <c r="AJ221" s="4" cm="1">
        <f t="array" ref="AJ221">IF(FALSE,"True," &amp; IF(_xlfn.XLOOKUP("DstZone_IsAny",'Scoring_Config'!$A:$A,'Scoring_Config'!$D:$D,"Yes")="Yes",_xlfn.XLOOKUP("DstZone_IsAny",'Scoring_Config'!$A:$A,'Scoring_Config'!$C:$C,5),0),"False,0")</f>
        <v>0</v>
      </c>
      <c r="AK221" s="4" cm="1">
        <f t="array" ref="AK22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1" s="4" cm="1">
        <f t="array" ref="AL221">IF(FALSE,"True," &amp; IF(_xlfn.XLOOKUP("App_Any_OR_RangeGt1000",'Scoring_Config'!$A:$A,'Scoring_Config'!$D:$D,"Yes")="Yes",_xlfn.XLOOKUP("App_Any_OR_RangeGt1000",'Scoring_Config'!$A:$A,'Scoring_Config'!$C:$C,25),0),"False,0")</f>
        <v>0</v>
      </c>
      <c r="AM221" s="5" cm="1">
        <f t="array" ref="AM221">IF(TRUE,"True," &amp; IF(_xlfn.XLOOKUP("Service_Insecure_Match",'Scoring_Config'!$A:$A,'Scoring_Config'!$D:$D,"Yes")="Yes",_xlfn.XLOOKUP("Service_Insecure_Match",'Scoring_Config'!$A:$A,'Scoring_Config'!$C:$C,20),0),"False,0")</f>
        <v>0</v>
      </c>
      <c r="AN221" s="4" cm="1">
        <f t="array" ref="AN221">IF(FALSE,"True," &amp; IF(_xlfn.XLOOKUP("Risky_Inbound",'Scoring_Config'!$A:$A,'Scoring_Config'!$D:$D,"Yes")="Yes",_xlfn.XLOOKUP("Risky_Inbound",'Scoring_Config'!$A:$A,'Scoring_Config'!$C:$C,20),0),"False,0")</f>
        <v>0</v>
      </c>
      <c r="AO221" s="4" cm="1">
        <f t="array" ref="AO221">IF(FALSE,"True," &amp; IF(_xlfn.XLOOKUP("Risky_Outbound",'Scoring_Config'!$A:$A,'Scoring_Config'!$D:$D,"Yes")="Yes",_xlfn.XLOOKUP("Risky_Outbound",'Scoring_Config'!$A:$A,'Scoring_Config'!$C:$C,10),0),"False,0")</f>
        <v>0</v>
      </c>
      <c r="AP221" s="5" t="s">
        <v>2595</v>
      </c>
      <c r="AQ221" s="4" cm="1">
        <f t="array" ref="AQ22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1" s="5" t="s">
        <v>2598</v>
      </c>
      <c r="AS221" s="5" t="s">
        <v>2595</v>
      </c>
      <c r="AT221" s="4" t="s">
        <v>2592</v>
      </c>
      <c r="AU221" s="4" cm="1">
        <f t="array" ref="AU221">IF(FALSE,"True," &amp; IF(_xlfn.XLOOKUP("Action_IsDenyOrDrop",'Scoring_Config'!$A:$A,'Scoring_Config'!$D:$D,"Yes")="Yes",_xlfn.XLOOKUP("Action_IsDenyOrDrop",'Scoring_Config'!$A:$A,'Scoring_Config'!$C:$C,0),0),"False,0")</f>
        <v>0</v>
      </c>
      <c r="AV221" s="4"/>
      <c r="AW221" s="4" cm="1">
        <f t="array" ref="AW221">IF(FALSE,"True," &amp; IF(_xlfn.XLOOKUP("Migrate_Insecure",'Scoring_Config'!$A:$A,'Scoring_Config'!$D:$D,"Yes")="Yes",_xlfn.XLOOKUP("Migrate_Insecure",'Scoring_Config'!$A:$A,'Scoring_Config'!$C:$C,15),0),"False,0")</f>
        <v>0</v>
      </c>
      <c r="AX221" s="4"/>
      <c r="AY221" s="4" cm="1">
        <f t="array" ref="AY221">IF(FALSE,"True," &amp; IF(_xlfn.XLOOKUP("Migrate_Other_Ports",'Scoring_Config'!$A:$A,'Scoring_Config'!$D:$D,"Yes")="Yes",_xlfn.XLOOKUP("Migrate_Other_Ports",'Scoring_Config'!$A:$A,'Scoring_Config'!$C:$C,5),0),"False,0")</f>
        <v>0</v>
      </c>
      <c r="AZ221" s="4" cm="1">
        <f t="array" ref="AZ221">IF(LEFT(AU221,4)="True",0,(IF(LEFT(AC221,4)="True",IF(_xlfn.XLOOKUP("Src_IsAny",'Scoring_Config'!$A:$A,'Scoring_Config'!$D:$D,"Yes")="Yes",_xlfn.XLOOKUP("Src_IsAny",'Scoring_Config'!$A:$A,'Scoring_Config'!$C:$C,25),0),0)+IF(LEFT(AD221,4)="True",IF(_xlfn.XLOOKUP("Src_CIDR_Le_16",'Scoring_Config'!$A:$A,'Scoring_Config'!$D:$D,"Yes")="Yes",_xlfn.XLOOKUP("Src_CIDR_Le_16",'Scoring_Config'!$A:$A,'Scoring_Config'!$C:$C,25),0),0)+IF(LEFT(AE221,4)="True",IF(_xlfn.XLOOKUP("Src_CIDR_17_22",'Scoring_Config'!$A:$A,'Scoring_Config'!$D:$D,"Yes")="Yes",_xlfn.XLOOKUP("Src_CIDR_17_22",'Scoring_Config'!$A:$A,'Scoring_Config'!$C:$C,15),0),0)+IF(LEFT(AF221,4)="True",IF(_xlfn.XLOOKUP("Dst_IsAny",'Scoring_Config'!$A:$A,'Scoring_Config'!$D:$D,"Yes")="Yes",_xlfn.XLOOKUP("Dst_IsAny",'Scoring_Config'!$A:$A,'Scoring_Config'!$C:$C,25),0),0)+IF(LEFT(AG221,4)="True",IF(_xlfn.XLOOKUP("Dst_CIDR_Le_16",'Scoring_Config'!$A:$A,'Scoring_Config'!$D:$D,"Yes")="Yes",_xlfn.XLOOKUP("Dst_CIDR_Le_16",'Scoring_Config'!$A:$A,'Scoring_Config'!$C:$C,25),0),0)+IF(LEFT(AH221,4)="True",IF(_xlfn.XLOOKUP("Dst_CIDR_17_22",'Scoring_Config'!$A:$A,'Scoring_Config'!$D:$D,"Yes")="Yes",_xlfn.XLOOKUP("Dst_CIDR_17_22",'Scoring_Config'!$A:$A,'Scoring_Config'!$C:$C,15),0),0)+IF(LEFT(AI221,4)="True",IF(_xlfn.XLOOKUP("SrcZone_IsAny",'Scoring_Config'!$A:$A,'Scoring_Config'!$D:$D,"Yes")="Yes",_xlfn.XLOOKUP("SrcZone_IsAny",'Scoring_Config'!$A:$A,'Scoring_Config'!$C:$C,5),0),0)+IF(LEFT(AJ221,4)="True",IF(_xlfn.XLOOKUP("DstZone_IsAny",'Scoring_Config'!$A:$A,'Scoring_Config'!$D:$D,"Yes")="Yes",_xlfn.XLOOKUP("DstZone_IsAny",'Scoring_Config'!$A:$A,'Scoring_Config'!$C:$C,5),0),0)+IF(LEFT(AK221,4)="True",IF(_xlfn.XLOOKUP("Service_Any_OR_RangeGt1000",'Scoring_Config'!$A:$A,'Scoring_Config'!$D:$D,"Yes")="Yes",_xlfn.XLOOKUP("Service_Any_OR_RangeGt1000",'Scoring_Config'!$A:$A,'Scoring_Config'!$C:$C,25),0),0)+IF(LEFT(AL221,4)="True",IF(_xlfn.XLOOKUP("App_Any_OR_RangeGt1000",'Scoring_Config'!$A:$A,'Scoring_Config'!$D:$D,"Yes")="Yes",_xlfn.XLOOKUP("App_Any_OR_RangeGt1000",'Scoring_Config'!$A:$A,'Scoring_Config'!$C:$C,25),0),0)+IF(LEFT(AM221,4)="True",IF(_xlfn.XLOOKUP("Service_Insecure_Match",'Scoring_Config'!$A:$A,'Scoring_Config'!$D:$D,"Yes")="Yes",_xlfn.XLOOKUP("Service_Insecure_Match",'Scoring_Config'!$A:$A,'Scoring_Config'!$C:$C,20),0),0)+IF(LEFT(AN221,4)="True",IF(_xlfn.XLOOKUP("Risky_Inbound",'Scoring_Config'!$A:$A,'Scoring_Config'!$D:$D,"Yes")="Yes",_xlfn.XLOOKUP("Risky_Inbound",'Scoring_Config'!$A:$A,'Scoring_Config'!$C:$C,20),0),0)+IF(LEFT(AO221,4)="True",IF(_xlfn.XLOOKUP("Risky_Outbound",'Scoring_Config'!$A:$A,'Scoring_Config'!$D:$D,"Yes")="Yes",_xlfn.XLOOKUP("Risky_Outbound",'Scoring_Config'!$A:$A,'Scoring_Config'!$C:$C,10),0),0)+IF(LEFT(AW221,4)="True",IF(_xlfn.XLOOKUP("Migrate_Insecure",'Scoring_Config'!$A:$A,'Scoring_Config'!$D:$D,"Yes")="Yes",_xlfn.XLOOKUP("Migrate_Insecure",'Scoring_Config'!$A:$A,'Scoring_Config'!$C:$C,15),0),0)+IF(LEFT(AY221,4)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221,FIND(",",AP221)+1,100)),0)+IF(LEFT(AQ221,4)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221,FIND(",",AR221)+1,100)),0)+IF(_xlfn.XLOOKUP("Profile_Scoring",'Scoring_Config'!$A:$A,'Scoring_Config'!$D:$D,"Yes")="Yes",VALUE(MID(AS221,FIND(",",AS221)+1,100)),0)+IF(_xlfn.XLOOKUP("Options_Scoring",'Scoring_Config'!$A:$A,'Scoring_Config'!$D:$D,"Yes")="Yes",VALUE(MID(AT221,FIND(",",AT221)+1,100)),0)))</f>
        <v>0</v>
      </c>
    </row>
    <row r="222" spans="1:52">
      <c r="A222" s="3" t="s">
        <v>53</v>
      </c>
      <c r="B222" s="3" t="s">
        <v>210</v>
      </c>
      <c r="C222" s="3" t="s">
        <v>330</v>
      </c>
      <c r="D222" s="3"/>
      <c r="E222" s="3" t="s">
        <v>359</v>
      </c>
      <c r="F222" s="3" t="s">
        <v>360</v>
      </c>
      <c r="G222" s="3" t="s">
        <v>435</v>
      </c>
      <c r="H222" s="3" t="s">
        <v>435</v>
      </c>
      <c r="I222" s="3" t="s">
        <v>365</v>
      </c>
      <c r="J222" s="3" t="s">
        <v>364</v>
      </c>
      <c r="K222" s="3" t="s">
        <v>677</v>
      </c>
      <c r="L222" s="3" t="s">
        <v>677</v>
      </c>
      <c r="M222" s="3" t="s">
        <v>365</v>
      </c>
      <c r="N222" s="3" t="s">
        <v>365</v>
      </c>
      <c r="O222" s="4" t="s">
        <v>836</v>
      </c>
      <c r="P222" s="3" t="s">
        <v>836</v>
      </c>
      <c r="Q222" s="3" t="s">
        <v>905</v>
      </c>
      <c r="R222" s="3" t="s">
        <v>909</v>
      </c>
      <c r="S222" s="3" t="s">
        <v>916</v>
      </c>
      <c r="T222" s="3" t="s">
        <v>1058</v>
      </c>
      <c r="U222" s="3" t="s">
        <v>1157</v>
      </c>
      <c r="V222" s="3" t="s">
        <v>1387</v>
      </c>
      <c r="W222" s="3" t="s">
        <v>1438</v>
      </c>
      <c r="X222" s="3" t="s">
        <v>1826</v>
      </c>
      <c r="Y222" s="3" t="s">
        <v>2295</v>
      </c>
      <c r="Z222" s="3"/>
      <c r="AA222" s="3"/>
      <c r="AB222" s="3"/>
      <c r="AC222" s="4" cm="1">
        <f t="array" ref="AC222">IF(FALSE,"True," &amp; IF(_xlfn.XLOOKUP("Src_IsAny",'Scoring_Config'!$A:$A,'Scoring_Config'!$D:$D,"Yes")="Yes",_xlfn.XLOOKUP("Src_IsAny",'Scoring_Config'!$A:$A,'Scoring_Config'!$C:$C,25),0),"False,0")</f>
        <v>0</v>
      </c>
      <c r="AD222" s="4" cm="1">
        <f t="array" ref="AD222">IF(FALSE,"True," &amp; IF(_xlfn.XLOOKUP("Src_CIDR_Le_16",'Scoring_Config'!$A:$A,'Scoring_Config'!$D:$D,"Yes")="Yes",_xlfn.XLOOKUP("Src_CIDR_Le_16",'Scoring_Config'!$A:$A,'Scoring_Config'!$C:$C,25),0),"False,0")</f>
        <v>0</v>
      </c>
      <c r="AE222" s="4" cm="1">
        <f t="array" ref="AE222">IF(FALSE,"True," &amp; IF(_xlfn.XLOOKUP("Src_CIDR_17_22",'Scoring_Config'!$A:$A,'Scoring_Config'!$D:$D,"Yes")="Yes",_xlfn.XLOOKUP("Src_CIDR_17_22",'Scoring_Config'!$A:$A,'Scoring_Config'!$C:$C,15),0),"False,0")</f>
        <v>0</v>
      </c>
      <c r="AF222" s="4" cm="1">
        <f t="array" ref="AF222">IF(FALSE,"True," &amp; IF(_xlfn.XLOOKUP("Dst_IsAny",'Scoring_Config'!$A:$A,'Scoring_Config'!$D:$D,"Yes")="Yes",_xlfn.XLOOKUP("Dst_IsAny",'Scoring_Config'!$A:$A,'Scoring_Config'!$C:$C,25),0),"False,0")</f>
        <v>0</v>
      </c>
      <c r="AG222" s="4" cm="1">
        <f t="array" ref="AG222">IF(FALSE,"True," &amp; IF(_xlfn.XLOOKUP("Dst_CIDR_Le_16",'Scoring_Config'!$A:$A,'Scoring_Config'!$D:$D,"Yes")="Yes",_xlfn.XLOOKUP("Dst_CIDR_Le_16",'Scoring_Config'!$A:$A,'Scoring_Config'!$C:$C,25),0),"False,0")</f>
        <v>0</v>
      </c>
      <c r="AH222" s="5" cm="1">
        <f t="array" ref="AH222">IF(TRUE,"True," &amp; IF(_xlfn.XLOOKUP("Dst_CIDR_17_22",'Scoring_Config'!$A:$A,'Scoring_Config'!$D:$D,"Yes")="Yes",_xlfn.XLOOKUP("Dst_CIDR_17_22",'Scoring_Config'!$A:$A,'Scoring_Config'!$C:$C,15),0),"False,0")</f>
        <v>0</v>
      </c>
      <c r="AI222" s="4" cm="1">
        <f t="array" ref="AI222">IF(FALSE,"True," &amp; IF(_xlfn.XLOOKUP("SrcZone_IsAny",'Scoring_Config'!$A:$A,'Scoring_Config'!$D:$D,"Yes")="Yes",_xlfn.XLOOKUP("SrcZone_IsAny",'Scoring_Config'!$A:$A,'Scoring_Config'!$C:$C,5),0),"False,0")</f>
        <v>0</v>
      </c>
      <c r="AJ222" s="4" cm="1">
        <f t="array" ref="AJ222">IF(FALSE,"True," &amp; IF(_xlfn.XLOOKUP("DstZone_IsAny",'Scoring_Config'!$A:$A,'Scoring_Config'!$D:$D,"Yes")="Yes",_xlfn.XLOOKUP("DstZone_IsAny",'Scoring_Config'!$A:$A,'Scoring_Config'!$C:$C,5),0),"False,0")</f>
        <v>0</v>
      </c>
      <c r="AK222" s="4" cm="1">
        <f t="array" ref="AK22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2" s="5" cm="1">
        <f t="array" ref="AL222">IF(TRUE,"True," &amp; IF(_xlfn.XLOOKUP("App_Any_OR_RangeGt1000",'Scoring_Config'!$A:$A,'Scoring_Config'!$D:$D,"Yes")="Yes",_xlfn.XLOOKUP("App_Any_OR_RangeGt1000",'Scoring_Config'!$A:$A,'Scoring_Config'!$C:$C,25),0),"False,0")</f>
        <v>0</v>
      </c>
      <c r="AM222" s="4" cm="1">
        <f t="array" ref="AM222">IF(FALSE,"True," &amp; IF(_xlfn.XLOOKUP("Service_Insecure_Match",'Scoring_Config'!$A:$A,'Scoring_Config'!$D:$D,"Yes")="Yes",_xlfn.XLOOKUP("Service_Insecure_Match",'Scoring_Config'!$A:$A,'Scoring_Config'!$C:$C,20),0),"False,0")</f>
        <v>0</v>
      </c>
      <c r="AN222" s="4" cm="1">
        <f t="array" ref="AN222">IF(FALSE,"True," &amp; IF(_xlfn.XLOOKUP("Risky_Inbound",'Scoring_Config'!$A:$A,'Scoring_Config'!$D:$D,"Yes")="Yes",_xlfn.XLOOKUP("Risky_Inbound",'Scoring_Config'!$A:$A,'Scoring_Config'!$C:$C,20),0),"False,0")</f>
        <v>0</v>
      </c>
      <c r="AO222" s="4" cm="1">
        <f t="array" ref="AO222">IF(FALSE,"True," &amp; IF(_xlfn.XLOOKUP("Risky_Outbound",'Scoring_Config'!$A:$A,'Scoring_Config'!$D:$D,"Yes")="Yes",_xlfn.XLOOKUP("Risky_Outbound",'Scoring_Config'!$A:$A,'Scoring_Config'!$C:$C,10),0),"False,0")</f>
        <v>0</v>
      </c>
      <c r="AP222" s="5" t="s">
        <v>2595</v>
      </c>
      <c r="AQ222" s="5" cm="1">
        <f t="array" ref="AQ22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2" s="4" t="s">
        <v>2592</v>
      </c>
      <c r="AS222" s="4" t="s">
        <v>2592</v>
      </c>
      <c r="AT222" s="4" t="s">
        <v>2592</v>
      </c>
      <c r="AU222" s="4" cm="1">
        <f t="array" ref="AU222">IF(FALSE,"True," &amp; IF(_xlfn.XLOOKUP("Action_IsDenyOrDrop",'Scoring_Config'!$A:$A,'Scoring_Config'!$D:$D,"Yes")="Yes",_xlfn.XLOOKUP("Action_IsDenyOrDrop",'Scoring_Config'!$A:$A,'Scoring_Config'!$C:$C,0),0),"False,0")</f>
        <v>0</v>
      </c>
      <c r="AV222" s="4"/>
      <c r="AW222" s="4" cm="1">
        <f t="array" ref="AW222">IF(FALSE,"True," &amp; IF(_xlfn.XLOOKUP("Migrate_Insecure",'Scoring_Config'!$A:$A,'Scoring_Config'!$D:$D,"Yes")="Yes",_xlfn.XLOOKUP("Migrate_Insecure",'Scoring_Config'!$A:$A,'Scoring_Config'!$C:$C,15),0),"False,0")</f>
        <v>0</v>
      </c>
      <c r="AX222" s="4"/>
      <c r="AY222" s="4" cm="1">
        <f t="array" ref="AY222">IF(FALSE,"True," &amp; IF(_xlfn.XLOOKUP("Migrate_Other_Ports",'Scoring_Config'!$A:$A,'Scoring_Config'!$D:$D,"Yes")="Yes",_xlfn.XLOOKUP("Migrate_Other_Ports",'Scoring_Config'!$A:$A,'Scoring_Config'!$C:$C,5),0),"False,0")</f>
        <v>0</v>
      </c>
      <c r="AZ222" s="4" cm="1">
        <f t="array" ref="AZ222">IF(LEFT(AU222,4)="True",0,(IF(LEFT(AC222,4)="True",IF(_xlfn.XLOOKUP("Src_IsAny",'Scoring_Config'!$A:$A,'Scoring_Config'!$D:$D,"Yes")="Yes",_xlfn.XLOOKUP("Src_IsAny",'Scoring_Config'!$A:$A,'Scoring_Config'!$C:$C,25),0),0)+IF(LEFT(AD222,4)="True",IF(_xlfn.XLOOKUP("Src_CIDR_Le_16",'Scoring_Config'!$A:$A,'Scoring_Config'!$D:$D,"Yes")="Yes",_xlfn.XLOOKUP("Src_CIDR_Le_16",'Scoring_Config'!$A:$A,'Scoring_Config'!$C:$C,25),0),0)+IF(LEFT(AE222,4)="True",IF(_xlfn.XLOOKUP("Src_CIDR_17_22",'Scoring_Config'!$A:$A,'Scoring_Config'!$D:$D,"Yes")="Yes",_xlfn.XLOOKUP("Src_CIDR_17_22",'Scoring_Config'!$A:$A,'Scoring_Config'!$C:$C,15),0),0)+IF(LEFT(AF222,4)="True",IF(_xlfn.XLOOKUP("Dst_IsAny",'Scoring_Config'!$A:$A,'Scoring_Config'!$D:$D,"Yes")="Yes",_xlfn.XLOOKUP("Dst_IsAny",'Scoring_Config'!$A:$A,'Scoring_Config'!$C:$C,25),0),0)+IF(LEFT(AG222,4)="True",IF(_xlfn.XLOOKUP("Dst_CIDR_Le_16",'Scoring_Config'!$A:$A,'Scoring_Config'!$D:$D,"Yes")="Yes",_xlfn.XLOOKUP("Dst_CIDR_Le_16",'Scoring_Config'!$A:$A,'Scoring_Config'!$C:$C,25),0),0)+IF(LEFT(AH222,4)="True",IF(_xlfn.XLOOKUP("Dst_CIDR_17_22",'Scoring_Config'!$A:$A,'Scoring_Config'!$D:$D,"Yes")="Yes",_xlfn.XLOOKUP("Dst_CIDR_17_22",'Scoring_Config'!$A:$A,'Scoring_Config'!$C:$C,15),0),0)+IF(LEFT(AI222,4)="True",IF(_xlfn.XLOOKUP("SrcZone_IsAny",'Scoring_Config'!$A:$A,'Scoring_Config'!$D:$D,"Yes")="Yes",_xlfn.XLOOKUP("SrcZone_IsAny",'Scoring_Config'!$A:$A,'Scoring_Config'!$C:$C,5),0),0)+IF(LEFT(AJ222,4)="True",IF(_xlfn.XLOOKUP("DstZone_IsAny",'Scoring_Config'!$A:$A,'Scoring_Config'!$D:$D,"Yes")="Yes",_xlfn.XLOOKUP("DstZone_IsAny",'Scoring_Config'!$A:$A,'Scoring_Config'!$C:$C,5),0),0)+IF(LEFT(AK222,4)="True",IF(_xlfn.XLOOKUP("Service_Any_OR_RangeGt1000",'Scoring_Config'!$A:$A,'Scoring_Config'!$D:$D,"Yes")="Yes",_xlfn.XLOOKUP("Service_Any_OR_RangeGt1000",'Scoring_Config'!$A:$A,'Scoring_Config'!$C:$C,25),0),0)+IF(LEFT(AL222,4)="True",IF(_xlfn.XLOOKUP("App_Any_OR_RangeGt1000",'Scoring_Config'!$A:$A,'Scoring_Config'!$D:$D,"Yes")="Yes",_xlfn.XLOOKUP("App_Any_OR_RangeGt1000",'Scoring_Config'!$A:$A,'Scoring_Config'!$C:$C,25),0),0)+IF(LEFT(AM222,4)="True",IF(_xlfn.XLOOKUP("Service_Insecure_Match",'Scoring_Config'!$A:$A,'Scoring_Config'!$D:$D,"Yes")="Yes",_xlfn.XLOOKUP("Service_Insecure_Match",'Scoring_Config'!$A:$A,'Scoring_Config'!$C:$C,20),0),0)+IF(LEFT(AN222,4)="True",IF(_xlfn.XLOOKUP("Risky_Inbound",'Scoring_Config'!$A:$A,'Scoring_Config'!$D:$D,"Yes")="Yes",_xlfn.XLOOKUP("Risky_Inbound",'Scoring_Config'!$A:$A,'Scoring_Config'!$C:$C,20),0),0)+IF(LEFT(AO222,4)="True",IF(_xlfn.XLOOKUP("Risky_Outbound",'Scoring_Config'!$A:$A,'Scoring_Config'!$D:$D,"Yes")="Yes",_xlfn.XLOOKUP("Risky_Outbound",'Scoring_Config'!$A:$A,'Scoring_Config'!$C:$C,10),0),0)+IF(LEFT(AW222,4)="True",IF(_xlfn.XLOOKUP("Migrate_Insecure",'Scoring_Config'!$A:$A,'Scoring_Config'!$D:$D,"Yes")="Yes",_xlfn.XLOOKUP("Migrate_Insecure",'Scoring_Config'!$A:$A,'Scoring_Config'!$C:$C,15),0),0)+IF(LEFT(AY222,4)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222,FIND(",",AP222)+1,100)),0)+IF(LEFT(AQ222,4)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222,FIND(",",AR222)+1,100)),0)+IF(_xlfn.XLOOKUP("Profile_Scoring",'Scoring_Config'!$A:$A,'Scoring_Config'!$D:$D,"Yes")="Yes",VALUE(MID(AS222,FIND(",",AS222)+1,100)),0)+IF(_xlfn.XLOOKUP("Options_Scoring",'Scoring_Config'!$A:$A,'Scoring_Config'!$D:$D,"Yes")="Yes",VALUE(MID(AT222,FIND(",",AT222)+1,100)),0)))</f>
        <v>0</v>
      </c>
    </row>
    <row r="223" spans="1:52">
      <c r="A223" s="3" t="s">
        <v>53</v>
      </c>
      <c r="B223" s="3" t="s">
        <v>211</v>
      </c>
      <c r="C223" s="3" t="s">
        <v>330</v>
      </c>
      <c r="D223" s="3"/>
      <c r="E223" s="3" t="s">
        <v>359</v>
      </c>
      <c r="F223" s="3" t="s">
        <v>361</v>
      </c>
      <c r="G223" s="3" t="s">
        <v>365</v>
      </c>
      <c r="H223" s="3" t="s">
        <v>365</v>
      </c>
      <c r="I223" s="3" t="s">
        <v>624</v>
      </c>
      <c r="J223" s="3" t="s">
        <v>364</v>
      </c>
      <c r="K223" s="3" t="s">
        <v>678</v>
      </c>
      <c r="L223" s="3" t="s">
        <v>678</v>
      </c>
      <c r="M223" s="3" t="s">
        <v>769</v>
      </c>
      <c r="N223" s="3" t="s">
        <v>792</v>
      </c>
      <c r="O223" s="4" t="s">
        <v>838</v>
      </c>
      <c r="P223" s="3" t="s">
        <v>838</v>
      </c>
      <c r="Q223" s="3" t="s">
        <v>905</v>
      </c>
      <c r="R223" s="3" t="s">
        <v>910</v>
      </c>
      <c r="S223" s="3" t="s">
        <v>916</v>
      </c>
      <c r="T223" s="3" t="s">
        <v>1059</v>
      </c>
      <c r="U223" s="3" t="s">
        <v>1150</v>
      </c>
      <c r="V223" s="3" t="s">
        <v>1389</v>
      </c>
      <c r="W223" s="3" t="s">
        <v>1402</v>
      </c>
      <c r="X223" s="3" t="s">
        <v>1827</v>
      </c>
      <c r="Y223" s="3" t="s">
        <v>2296</v>
      </c>
      <c r="Z223" s="3"/>
      <c r="AA223" s="3"/>
      <c r="AB223" s="3"/>
      <c r="AC223" s="5" cm="1">
        <f t="array" ref="AC223">IF(TRUE,"True," &amp; IF(_xlfn.XLOOKUP("Src_IsAny",'Scoring_Config'!$A:$A,'Scoring_Config'!$D:$D,"Yes")="Yes",_xlfn.XLOOKUP("Src_IsAny",'Scoring_Config'!$A:$A,'Scoring_Config'!$C:$C,25),0),"False,0")</f>
        <v>0</v>
      </c>
      <c r="AD223" s="4" cm="1">
        <f t="array" ref="AD223">IF(FALSE,"True," &amp; IF(_xlfn.XLOOKUP("Src_CIDR_Le_16",'Scoring_Config'!$A:$A,'Scoring_Config'!$D:$D,"Yes")="Yes",_xlfn.XLOOKUP("Src_CIDR_Le_16",'Scoring_Config'!$A:$A,'Scoring_Config'!$C:$C,25),0),"False,0")</f>
        <v>0</v>
      </c>
      <c r="AE223" s="4" cm="1">
        <f t="array" ref="AE223">IF(FALSE,"True," &amp; IF(_xlfn.XLOOKUP("Src_CIDR_17_22",'Scoring_Config'!$A:$A,'Scoring_Config'!$D:$D,"Yes")="Yes",_xlfn.XLOOKUP("Src_CIDR_17_22",'Scoring_Config'!$A:$A,'Scoring_Config'!$C:$C,15),0),"False,0")</f>
        <v>0</v>
      </c>
      <c r="AF223" s="4" cm="1">
        <f t="array" ref="AF223">IF(FALSE,"True," &amp; IF(_xlfn.XLOOKUP("Dst_IsAny",'Scoring_Config'!$A:$A,'Scoring_Config'!$D:$D,"Yes")="Yes",_xlfn.XLOOKUP("Dst_IsAny",'Scoring_Config'!$A:$A,'Scoring_Config'!$C:$C,25),0),"False,0")</f>
        <v>0</v>
      </c>
      <c r="AG223" s="4" cm="1">
        <f t="array" ref="AG223">IF(FALSE,"True," &amp; IF(_xlfn.XLOOKUP("Dst_CIDR_Le_16",'Scoring_Config'!$A:$A,'Scoring_Config'!$D:$D,"Yes")="Yes",_xlfn.XLOOKUP("Dst_CIDR_Le_16",'Scoring_Config'!$A:$A,'Scoring_Config'!$C:$C,25),0),"False,0")</f>
        <v>0</v>
      </c>
      <c r="AH223" s="5" cm="1">
        <f t="array" ref="AH223">IF(TRUE,"True," &amp; IF(_xlfn.XLOOKUP("Dst_CIDR_17_22",'Scoring_Config'!$A:$A,'Scoring_Config'!$D:$D,"Yes")="Yes",_xlfn.XLOOKUP("Dst_CIDR_17_22",'Scoring_Config'!$A:$A,'Scoring_Config'!$C:$C,15),0),"False,0")</f>
        <v>0</v>
      </c>
      <c r="AI223" s="4" cm="1">
        <f t="array" ref="AI223">IF(FALSE,"True," &amp; IF(_xlfn.XLOOKUP("SrcZone_IsAny",'Scoring_Config'!$A:$A,'Scoring_Config'!$D:$D,"Yes")="Yes",_xlfn.XLOOKUP("SrcZone_IsAny",'Scoring_Config'!$A:$A,'Scoring_Config'!$C:$C,5),0),"False,0")</f>
        <v>0</v>
      </c>
      <c r="AJ223" s="4" cm="1">
        <f t="array" ref="AJ223">IF(FALSE,"True," &amp; IF(_xlfn.XLOOKUP("DstZone_IsAny",'Scoring_Config'!$A:$A,'Scoring_Config'!$D:$D,"Yes")="Yes",_xlfn.XLOOKUP("DstZone_IsAny",'Scoring_Config'!$A:$A,'Scoring_Config'!$C:$C,5),0),"False,0")</f>
        <v>0</v>
      </c>
      <c r="AK223" s="4" cm="1">
        <f t="array" ref="AK22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3" s="4" cm="1">
        <f t="array" ref="AL223">IF(FALSE,"True," &amp; IF(_xlfn.XLOOKUP("App_Any_OR_RangeGt1000",'Scoring_Config'!$A:$A,'Scoring_Config'!$D:$D,"Yes")="Yes",_xlfn.XLOOKUP("App_Any_OR_RangeGt1000",'Scoring_Config'!$A:$A,'Scoring_Config'!$C:$C,25),0),"False,0")</f>
        <v>0</v>
      </c>
      <c r="AM223" s="4" cm="1">
        <f t="array" ref="AM223">IF(FALSE,"True," &amp; IF(_xlfn.XLOOKUP("Service_Insecure_Match",'Scoring_Config'!$A:$A,'Scoring_Config'!$D:$D,"Yes")="Yes",_xlfn.XLOOKUP("Service_Insecure_Match",'Scoring_Config'!$A:$A,'Scoring_Config'!$C:$C,20),0),"False,0")</f>
        <v>0</v>
      </c>
      <c r="AN223" s="4" cm="1">
        <f t="array" ref="AN223">IF(FALSE,"True," &amp; IF(_xlfn.XLOOKUP("Risky_Inbound",'Scoring_Config'!$A:$A,'Scoring_Config'!$D:$D,"Yes")="Yes",_xlfn.XLOOKUP("Risky_Inbound",'Scoring_Config'!$A:$A,'Scoring_Config'!$C:$C,20),0),"False,0")</f>
        <v>0</v>
      </c>
      <c r="AO223" s="4" cm="1">
        <f t="array" ref="AO223">IF(FALSE,"True," &amp; IF(_xlfn.XLOOKUP("Risky_Outbound",'Scoring_Config'!$A:$A,'Scoring_Config'!$D:$D,"Yes")="Yes",_xlfn.XLOOKUP("Risky_Outbound",'Scoring_Config'!$A:$A,'Scoring_Config'!$C:$C,10),0),"False,0")</f>
        <v>0</v>
      </c>
      <c r="AP223" s="5" t="s">
        <v>2595</v>
      </c>
      <c r="AQ223" s="5" cm="1">
        <f t="array" ref="AQ22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3" s="5" t="s">
        <v>2598</v>
      </c>
      <c r="AS223" s="4" t="s">
        <v>2592</v>
      </c>
      <c r="AT223" s="4" t="s">
        <v>2592</v>
      </c>
      <c r="AU223" s="4" cm="1">
        <f t="array" ref="AU223">IF(FALSE,"True," &amp; IF(_xlfn.XLOOKUP("Action_IsDenyOrDrop",'Scoring_Config'!$A:$A,'Scoring_Config'!$D:$D,"Yes")="Yes",_xlfn.XLOOKUP("Action_IsDenyOrDrop",'Scoring_Config'!$A:$A,'Scoring_Config'!$C:$C,0),0),"False,0")</f>
        <v>0</v>
      </c>
      <c r="AV223" s="4"/>
      <c r="AW223" s="4" cm="1">
        <f t="array" ref="AW223">IF(FALSE,"True," &amp; IF(_xlfn.XLOOKUP("Migrate_Insecure",'Scoring_Config'!$A:$A,'Scoring_Config'!$D:$D,"Yes")="Yes",_xlfn.XLOOKUP("Migrate_Insecure",'Scoring_Config'!$A:$A,'Scoring_Config'!$C:$C,15),0),"False,0")</f>
        <v>0</v>
      </c>
      <c r="AX223" s="4"/>
      <c r="AY223" s="4" cm="1">
        <f t="array" ref="AY223">IF(FALSE,"True," &amp; IF(_xlfn.XLOOKUP("Migrate_Other_Ports",'Scoring_Config'!$A:$A,'Scoring_Config'!$D:$D,"Yes")="Yes",_xlfn.XLOOKUP("Migrate_Other_Ports",'Scoring_Config'!$A:$A,'Scoring_Config'!$C:$C,5),0),"False,0")</f>
        <v>0</v>
      </c>
      <c r="AZ223" s="4" cm="1">
        <f t="array" ref="AZ223">IF(LEFT(AU223,4)="True",0,(IF(LEFT(AC223,4)="True",IF(_xlfn.XLOOKUP("Src_IsAny",'Scoring_Config'!$A:$A,'Scoring_Config'!$D:$D,"Yes")="Yes",_xlfn.XLOOKUP("Src_IsAny",'Scoring_Config'!$A:$A,'Scoring_Config'!$C:$C,25),0),0)+IF(LEFT(AD223,4)="True",IF(_xlfn.XLOOKUP("Src_CIDR_Le_16",'Scoring_Config'!$A:$A,'Scoring_Config'!$D:$D,"Yes")="Yes",_xlfn.XLOOKUP("Src_CIDR_Le_16",'Scoring_Config'!$A:$A,'Scoring_Config'!$C:$C,25),0),0)+IF(LEFT(AE223,4)="True",IF(_xlfn.XLOOKUP("Src_CIDR_17_22",'Scoring_Config'!$A:$A,'Scoring_Config'!$D:$D,"Yes")="Yes",_xlfn.XLOOKUP("Src_CIDR_17_22",'Scoring_Config'!$A:$A,'Scoring_Config'!$C:$C,15),0),0)+IF(LEFT(AF223,4)="True",IF(_xlfn.XLOOKUP("Dst_IsAny",'Scoring_Config'!$A:$A,'Scoring_Config'!$D:$D,"Yes")="Yes",_xlfn.XLOOKUP("Dst_IsAny",'Scoring_Config'!$A:$A,'Scoring_Config'!$C:$C,25),0),0)+IF(LEFT(AG223,4)="True",IF(_xlfn.XLOOKUP("Dst_CIDR_Le_16",'Scoring_Config'!$A:$A,'Scoring_Config'!$D:$D,"Yes")="Yes",_xlfn.XLOOKUP("Dst_CIDR_Le_16",'Scoring_Config'!$A:$A,'Scoring_Config'!$C:$C,25),0),0)+IF(LEFT(AH223,4)="True",IF(_xlfn.XLOOKUP("Dst_CIDR_17_22",'Scoring_Config'!$A:$A,'Scoring_Config'!$D:$D,"Yes")="Yes",_xlfn.XLOOKUP("Dst_CIDR_17_22",'Scoring_Config'!$A:$A,'Scoring_Config'!$C:$C,15),0),0)+IF(LEFT(AI223,4)="True",IF(_xlfn.XLOOKUP("SrcZone_IsAny",'Scoring_Config'!$A:$A,'Scoring_Config'!$D:$D,"Yes")="Yes",_xlfn.XLOOKUP("SrcZone_IsAny",'Scoring_Config'!$A:$A,'Scoring_Config'!$C:$C,5),0),0)+IF(LEFT(AJ223,4)="True",IF(_xlfn.XLOOKUP("DstZone_IsAny",'Scoring_Config'!$A:$A,'Scoring_Config'!$D:$D,"Yes")="Yes",_xlfn.XLOOKUP("DstZone_IsAny",'Scoring_Config'!$A:$A,'Scoring_Config'!$C:$C,5),0),0)+IF(LEFT(AK223,4)="True",IF(_xlfn.XLOOKUP("Service_Any_OR_RangeGt1000",'Scoring_Config'!$A:$A,'Scoring_Config'!$D:$D,"Yes")="Yes",_xlfn.XLOOKUP("Service_Any_OR_RangeGt1000",'Scoring_Config'!$A:$A,'Scoring_Config'!$C:$C,25),0),0)+IF(LEFT(AL223,4)="True",IF(_xlfn.XLOOKUP("App_Any_OR_RangeGt1000",'Scoring_Config'!$A:$A,'Scoring_Config'!$D:$D,"Yes")="Yes",_xlfn.XLOOKUP("App_Any_OR_RangeGt1000",'Scoring_Config'!$A:$A,'Scoring_Config'!$C:$C,25),0),0)+IF(LEFT(AM223,4)="True",IF(_xlfn.XLOOKUP("Service_Insecure_Match",'Scoring_Config'!$A:$A,'Scoring_Config'!$D:$D,"Yes")="Yes",_xlfn.XLOOKUP("Service_Insecure_Match",'Scoring_Config'!$A:$A,'Scoring_Config'!$C:$C,20),0),0)+IF(LEFT(AN223,4)="True",IF(_xlfn.XLOOKUP("Risky_Inbound",'Scoring_Config'!$A:$A,'Scoring_Config'!$D:$D,"Yes")="Yes",_xlfn.XLOOKUP("Risky_Inbound",'Scoring_Config'!$A:$A,'Scoring_Config'!$C:$C,20),0),0)+IF(LEFT(AO223,4)="True",IF(_xlfn.XLOOKUP("Risky_Outbound",'Scoring_Config'!$A:$A,'Scoring_Config'!$D:$D,"Yes")="Yes",_xlfn.XLOOKUP("Risky_Outbound",'Scoring_Config'!$A:$A,'Scoring_Config'!$C:$C,10),0),0)+IF(LEFT(AW223,4)="True",IF(_xlfn.XLOOKUP("Migrate_Insecure",'Scoring_Config'!$A:$A,'Scoring_Config'!$D:$D,"Yes")="Yes",_xlfn.XLOOKUP("Migrate_Insecure",'Scoring_Config'!$A:$A,'Scoring_Config'!$C:$C,15),0),0)+IF(LEFT(AY223,4)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223,FIND(",",AP223)+1,100)),0)+IF(LEFT(AQ223,4)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223,FIND(",",AR223)+1,100)),0)+IF(_xlfn.XLOOKUP("Profile_Scoring",'Scoring_Config'!$A:$A,'Scoring_Config'!$D:$D,"Yes")="Yes",VALUE(MID(AS223,FIND(",",AS223)+1,100)),0)+IF(_xlfn.XLOOKUP("Options_Scoring",'Scoring_Config'!$A:$A,'Scoring_Config'!$D:$D,"Yes")="Yes",VALUE(MID(AT223,FIND(",",AT223)+1,100)),0)))</f>
        <v>0</v>
      </c>
    </row>
    <row r="224" spans="1:52">
      <c r="A224" s="3" t="s">
        <v>53</v>
      </c>
      <c r="B224" s="3" t="s">
        <v>212</v>
      </c>
      <c r="C224" s="3" t="s">
        <v>330</v>
      </c>
      <c r="D224" s="3"/>
      <c r="E224" s="3" t="s">
        <v>359</v>
      </c>
      <c r="F224" s="3" t="s">
        <v>360</v>
      </c>
      <c r="G224" s="3" t="s">
        <v>365</v>
      </c>
      <c r="H224" s="3" t="s">
        <v>365</v>
      </c>
      <c r="I224" s="3" t="s">
        <v>624</v>
      </c>
      <c r="J224" s="3" t="s">
        <v>364</v>
      </c>
      <c r="K224" s="3" t="s">
        <v>679</v>
      </c>
      <c r="L224" s="3" t="s">
        <v>679</v>
      </c>
      <c r="M224" s="3" t="s">
        <v>775</v>
      </c>
      <c r="N224" s="3" t="s">
        <v>796</v>
      </c>
      <c r="O224" s="4" t="s">
        <v>822</v>
      </c>
      <c r="P224" s="3" t="s">
        <v>883</v>
      </c>
      <c r="Q224" s="3" t="s">
        <v>905</v>
      </c>
      <c r="R224" s="3" t="s">
        <v>911</v>
      </c>
      <c r="S224" s="3" t="s">
        <v>913</v>
      </c>
      <c r="T224" s="3" t="s">
        <v>919</v>
      </c>
      <c r="U224" s="3" t="s">
        <v>1150</v>
      </c>
      <c r="V224" s="3" t="s">
        <v>789</v>
      </c>
      <c r="W224" s="3" t="s">
        <v>1518</v>
      </c>
      <c r="X224" s="3" t="s">
        <v>1828</v>
      </c>
      <c r="Y224" s="3" t="s">
        <v>2297</v>
      </c>
      <c r="Z224" s="3"/>
      <c r="AA224" s="3"/>
      <c r="AB224" s="3"/>
      <c r="AC224" s="5" cm="1">
        <f t="array" ref="AC224">IF(TRUE,"True," &amp; IF(_xlfn.XLOOKUP("Src_IsAny",'Scoring_Config'!$A:$A,'Scoring_Config'!$D:$D,"Yes")="Yes",_xlfn.XLOOKUP("Src_IsAny",'Scoring_Config'!$A:$A,'Scoring_Config'!$C:$C,25),0),"False,0")</f>
        <v>0</v>
      </c>
      <c r="AD224" s="4" cm="1">
        <f t="array" ref="AD224">IF(FALSE,"True," &amp; IF(_xlfn.XLOOKUP("Src_CIDR_Le_16",'Scoring_Config'!$A:$A,'Scoring_Config'!$D:$D,"Yes")="Yes",_xlfn.XLOOKUP("Src_CIDR_Le_16",'Scoring_Config'!$A:$A,'Scoring_Config'!$C:$C,25),0),"False,0")</f>
        <v>0</v>
      </c>
      <c r="AE224" s="4" cm="1">
        <f t="array" ref="AE224">IF(FALSE,"True," &amp; IF(_xlfn.XLOOKUP("Src_CIDR_17_22",'Scoring_Config'!$A:$A,'Scoring_Config'!$D:$D,"Yes")="Yes",_xlfn.XLOOKUP("Src_CIDR_17_22",'Scoring_Config'!$A:$A,'Scoring_Config'!$C:$C,15),0),"False,0")</f>
        <v>0</v>
      </c>
      <c r="AF224" s="4" cm="1">
        <f t="array" ref="AF224">IF(FALSE,"True," &amp; IF(_xlfn.XLOOKUP("Dst_IsAny",'Scoring_Config'!$A:$A,'Scoring_Config'!$D:$D,"Yes")="Yes",_xlfn.XLOOKUP("Dst_IsAny",'Scoring_Config'!$A:$A,'Scoring_Config'!$C:$C,25),0),"False,0")</f>
        <v>0</v>
      </c>
      <c r="AG224" s="4" cm="1">
        <f t="array" ref="AG224">IF(FALSE,"True," &amp; IF(_xlfn.XLOOKUP("Dst_CIDR_Le_16",'Scoring_Config'!$A:$A,'Scoring_Config'!$D:$D,"Yes")="Yes",_xlfn.XLOOKUP("Dst_CIDR_Le_16",'Scoring_Config'!$A:$A,'Scoring_Config'!$C:$C,25),0),"False,0")</f>
        <v>0</v>
      </c>
      <c r="AH224" s="5" cm="1">
        <f t="array" ref="AH224">IF(TRUE,"True," &amp; IF(_xlfn.XLOOKUP("Dst_CIDR_17_22",'Scoring_Config'!$A:$A,'Scoring_Config'!$D:$D,"Yes")="Yes",_xlfn.XLOOKUP("Dst_CIDR_17_22",'Scoring_Config'!$A:$A,'Scoring_Config'!$C:$C,15),0),"False,0")</f>
        <v>0</v>
      </c>
      <c r="AI224" s="4" cm="1">
        <f t="array" ref="AI224">IF(FALSE,"True," &amp; IF(_xlfn.XLOOKUP("SrcZone_IsAny",'Scoring_Config'!$A:$A,'Scoring_Config'!$D:$D,"Yes")="Yes",_xlfn.XLOOKUP("SrcZone_IsAny",'Scoring_Config'!$A:$A,'Scoring_Config'!$C:$C,5),0),"False,0")</f>
        <v>0</v>
      </c>
      <c r="AJ224" s="4" cm="1">
        <f t="array" ref="AJ224">IF(FALSE,"True," &amp; IF(_xlfn.XLOOKUP("DstZone_IsAny",'Scoring_Config'!$A:$A,'Scoring_Config'!$D:$D,"Yes")="Yes",_xlfn.XLOOKUP("DstZone_IsAny",'Scoring_Config'!$A:$A,'Scoring_Config'!$C:$C,5),0),"False,0")</f>
        <v>0</v>
      </c>
      <c r="AK224" s="5" cm="1">
        <f t="array" ref="AK224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24" s="4" cm="1">
        <f t="array" ref="AL224">IF(FALSE,"True," &amp; IF(_xlfn.XLOOKUP("App_Any_OR_RangeGt1000",'Scoring_Config'!$A:$A,'Scoring_Config'!$D:$D,"Yes")="Yes",_xlfn.XLOOKUP("App_Any_OR_RangeGt1000",'Scoring_Config'!$A:$A,'Scoring_Config'!$C:$C,25),0),"False,0")</f>
        <v>0</v>
      </c>
      <c r="AM224" s="5" cm="1">
        <f t="array" ref="AM224">IF(TRUE,"True," &amp; IF(_xlfn.XLOOKUP("Service_Insecure_Match",'Scoring_Config'!$A:$A,'Scoring_Config'!$D:$D,"Yes")="Yes",_xlfn.XLOOKUP("Service_Insecure_Match",'Scoring_Config'!$A:$A,'Scoring_Config'!$C:$C,20),0),"False,0")</f>
        <v>0</v>
      </c>
      <c r="AN224" s="4" cm="1">
        <f t="array" ref="AN224">IF(FALSE,"True," &amp; IF(_xlfn.XLOOKUP("Risky_Inbound",'Scoring_Config'!$A:$A,'Scoring_Config'!$D:$D,"Yes")="Yes",_xlfn.XLOOKUP("Risky_Inbound",'Scoring_Config'!$A:$A,'Scoring_Config'!$C:$C,20),0),"False,0")</f>
        <v>0</v>
      </c>
      <c r="AO224" s="4" cm="1">
        <f t="array" ref="AO224">IF(FALSE,"True," &amp; IF(_xlfn.XLOOKUP("Risky_Outbound",'Scoring_Config'!$A:$A,'Scoring_Config'!$D:$D,"Yes")="Yes",_xlfn.XLOOKUP("Risky_Outbound",'Scoring_Config'!$A:$A,'Scoring_Config'!$C:$C,10),0),"False,0")</f>
        <v>0</v>
      </c>
      <c r="AP224" s="5" t="s">
        <v>2595</v>
      </c>
      <c r="AQ224" s="5" cm="1">
        <f t="array" ref="AQ22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4" s="5" t="s">
        <v>2598</v>
      </c>
      <c r="AS224" s="4" t="s">
        <v>2592</v>
      </c>
      <c r="AT224" s="4" t="s">
        <v>2592</v>
      </c>
      <c r="AU224" s="4" cm="1">
        <f t="array" ref="AU224">IF(FALSE,"True," &amp; IF(_xlfn.XLOOKUP("Action_IsDenyOrDrop",'Scoring_Config'!$A:$A,'Scoring_Config'!$D:$D,"Yes")="Yes",_xlfn.XLOOKUP("Action_IsDenyOrDrop",'Scoring_Config'!$A:$A,'Scoring_Config'!$C:$C,0),0),"False,0")</f>
        <v>0</v>
      </c>
      <c r="AV224" s="4"/>
      <c r="AW224" s="4" cm="1">
        <f t="array" ref="AW224">IF(FALSE,"True," &amp; IF(_xlfn.XLOOKUP("Migrate_Insecure",'Scoring_Config'!$A:$A,'Scoring_Config'!$D:$D,"Yes")="Yes",_xlfn.XLOOKUP("Migrate_Insecure",'Scoring_Config'!$A:$A,'Scoring_Config'!$C:$C,15),0),"False,0")</f>
        <v>0</v>
      </c>
      <c r="AX224" s="4" t="s">
        <v>2600</v>
      </c>
      <c r="AY224" s="5" cm="1">
        <f t="array" ref="AY224">IF(TRUE,"True," &amp; IF(_xlfn.XLOOKUP("Migrate_Other_Ports",'Scoring_Config'!$A:$A,'Scoring_Config'!$D:$D,"Yes")="Yes",_xlfn.XLOOKUP("Migrate_Other_Ports",'Scoring_Config'!$A:$A,'Scoring_Config'!$C:$C,5),0),"False,0")</f>
        <v>0</v>
      </c>
      <c r="AZ224" s="4" cm="1">
        <f t="array" ref="AZ224">IF(LEFT(AU224,4)="True",0,(IF(LEFT(AC224,4)="True",IF(_xlfn.XLOOKUP("Src_IsAny",'Scoring_Config'!$A:$A,'Scoring_Config'!$D:$D,"Yes")="Yes",_xlfn.XLOOKUP("Src_IsAny",'Scoring_Config'!$A:$A,'Scoring_Config'!$C:$C,25),0),0)+IF(LEFT(AD224,4)="True",IF(_xlfn.XLOOKUP("Src_CIDR_Le_16",'Scoring_Config'!$A:$A,'Scoring_Config'!$D:$D,"Yes")="Yes",_xlfn.XLOOKUP("Src_CIDR_Le_16",'Scoring_Config'!$A:$A,'Scoring_Config'!$C:$C,25),0),0)+IF(LEFT(AE224,4)="True",IF(_xlfn.XLOOKUP("Src_CIDR_17_22",'Scoring_Config'!$A:$A,'Scoring_Config'!$D:$D,"Yes")="Yes",_xlfn.XLOOKUP("Src_CIDR_17_22",'Scoring_Config'!$A:$A,'Scoring_Config'!$C:$C,15),0),0)+IF(LEFT(AF224,4)="True",IF(_xlfn.XLOOKUP("Dst_IsAny",'Scoring_Config'!$A:$A,'Scoring_Config'!$D:$D,"Yes")="Yes",_xlfn.XLOOKUP("Dst_IsAny",'Scoring_Config'!$A:$A,'Scoring_Config'!$C:$C,25),0),0)+IF(LEFT(AG224,4)="True",IF(_xlfn.XLOOKUP("Dst_CIDR_Le_16",'Scoring_Config'!$A:$A,'Scoring_Config'!$D:$D,"Yes")="Yes",_xlfn.XLOOKUP("Dst_CIDR_Le_16",'Scoring_Config'!$A:$A,'Scoring_Config'!$C:$C,25),0),0)+IF(LEFT(AH224,4)="True",IF(_xlfn.XLOOKUP("Dst_CIDR_17_22",'Scoring_Config'!$A:$A,'Scoring_Config'!$D:$D,"Yes")="Yes",_xlfn.XLOOKUP("Dst_CIDR_17_22",'Scoring_Config'!$A:$A,'Scoring_Config'!$C:$C,15),0),0)+IF(LEFT(AI224,4)="True",IF(_xlfn.XLOOKUP("SrcZone_IsAny",'Scoring_Config'!$A:$A,'Scoring_Config'!$D:$D,"Yes")="Yes",_xlfn.XLOOKUP("SrcZone_IsAny",'Scoring_Config'!$A:$A,'Scoring_Config'!$C:$C,5),0),0)+IF(LEFT(AJ224,4)="True",IF(_xlfn.XLOOKUP("DstZone_IsAny",'Scoring_Config'!$A:$A,'Scoring_Config'!$D:$D,"Yes")="Yes",_xlfn.XLOOKUP("DstZone_IsAny",'Scoring_Config'!$A:$A,'Scoring_Config'!$C:$C,5),0),0)+IF(LEFT(AK224,4)="True",IF(_xlfn.XLOOKUP("Service_Any_OR_RangeGt1000",'Scoring_Config'!$A:$A,'Scoring_Config'!$D:$D,"Yes")="Yes",_xlfn.XLOOKUP("Service_Any_OR_RangeGt1000",'Scoring_Config'!$A:$A,'Scoring_Config'!$C:$C,25),0),0)+IF(LEFT(AL224,4)="True",IF(_xlfn.XLOOKUP("App_Any_OR_RangeGt1000",'Scoring_Config'!$A:$A,'Scoring_Config'!$D:$D,"Yes")="Yes",_xlfn.XLOOKUP("App_Any_OR_RangeGt1000",'Scoring_Config'!$A:$A,'Scoring_Config'!$C:$C,25),0),0)+IF(LEFT(AM224,4)="True",IF(_xlfn.XLOOKUP("Service_Insecure_Match",'Scoring_Config'!$A:$A,'Scoring_Config'!$D:$D,"Yes")="Yes",_xlfn.XLOOKUP("Service_Insecure_Match",'Scoring_Config'!$A:$A,'Scoring_Config'!$C:$C,20),0),0)+IF(LEFT(AN224,4)="True",IF(_xlfn.XLOOKUP("Risky_Inbound",'Scoring_Config'!$A:$A,'Scoring_Config'!$D:$D,"Yes")="Yes",_xlfn.XLOOKUP("Risky_Inbound",'Scoring_Config'!$A:$A,'Scoring_Config'!$C:$C,20),0),0)+IF(LEFT(AO224,4)="True",IF(_xlfn.XLOOKUP("Risky_Outbound",'Scoring_Config'!$A:$A,'Scoring_Config'!$D:$D,"Yes")="Yes",_xlfn.XLOOKUP("Risky_Outbound",'Scoring_Config'!$A:$A,'Scoring_Config'!$C:$C,10),0),0)+IF(LEFT(AW224,4)="True",IF(_xlfn.XLOOKUP("Migrate_Insecure",'Scoring_Config'!$A:$A,'Scoring_Config'!$D:$D,"Yes")="Yes",_xlfn.XLOOKUP("Migrate_Insecure",'Scoring_Config'!$A:$A,'Scoring_Config'!$C:$C,15),0),0)+IF(LEFT(AY224,4)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224,FIND(",",AP224)+1,100)),0)+IF(LEFT(AQ224,4)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224,FIND(",",AR224)+1,100)),0)+IF(_xlfn.XLOOKUP("Profile_Scoring",'Scoring_Config'!$A:$A,'Scoring_Config'!$D:$D,"Yes")="Yes",VALUE(MID(AS224,FIND(",",AS224)+1,100)),0)+IF(_xlfn.XLOOKUP("Options_Scoring",'Scoring_Config'!$A:$A,'Scoring_Config'!$D:$D,"Yes")="Yes",VALUE(MID(AT224,FIND(",",AT224)+1,100)),0)))</f>
        <v>0</v>
      </c>
    </row>
    <row r="225" spans="1:52">
      <c r="A225" s="3" t="s">
        <v>53</v>
      </c>
      <c r="B225" s="3" t="s">
        <v>213</v>
      </c>
      <c r="C225" s="3" t="s">
        <v>330</v>
      </c>
      <c r="D225" s="3"/>
      <c r="E225" s="3" t="s">
        <v>359</v>
      </c>
      <c r="F225" s="3" t="s">
        <v>361</v>
      </c>
      <c r="G225" s="3" t="s">
        <v>448</v>
      </c>
      <c r="H225" s="3" t="s">
        <v>448</v>
      </c>
      <c r="I225" s="3" t="s">
        <v>624</v>
      </c>
      <c r="J225" s="3" t="s">
        <v>363</v>
      </c>
      <c r="K225" s="3" t="s">
        <v>680</v>
      </c>
      <c r="L225" s="3" t="s">
        <v>680</v>
      </c>
      <c r="M225" s="3" t="s">
        <v>771</v>
      </c>
      <c r="N225" s="3" t="s">
        <v>793</v>
      </c>
      <c r="O225" s="4" t="s">
        <v>828</v>
      </c>
      <c r="P225" s="3" t="s">
        <v>889</v>
      </c>
      <c r="Q225" s="3" t="s">
        <v>905</v>
      </c>
      <c r="R225" s="3" t="s">
        <v>909</v>
      </c>
      <c r="S225" s="3" t="s">
        <v>916</v>
      </c>
      <c r="T225" s="3" t="s">
        <v>1060</v>
      </c>
      <c r="U225" s="3" t="s">
        <v>1259</v>
      </c>
      <c r="V225" s="3" t="s">
        <v>770</v>
      </c>
      <c r="W225" s="3" t="s">
        <v>1519</v>
      </c>
      <c r="X225" s="3" t="s">
        <v>1829</v>
      </c>
      <c r="Y225" s="3" t="s">
        <v>2298</v>
      </c>
      <c r="Z225" s="3"/>
      <c r="AA225" s="3"/>
      <c r="AB225" s="3"/>
      <c r="AC225" s="4" cm="1">
        <f t="array" ref="AC225">IF(FALSE,"True," &amp; IF(_xlfn.XLOOKUP("Src_IsAny",'Scoring_Config'!$A:$A,'Scoring_Config'!$D:$D,"Yes")="Yes",_xlfn.XLOOKUP("Src_IsAny",'Scoring_Config'!$A:$A,'Scoring_Config'!$C:$C,25),0),"False,0")</f>
        <v>0</v>
      </c>
      <c r="AD225" s="4" cm="1">
        <f t="array" ref="AD225">IF(FALSE,"True," &amp; IF(_xlfn.XLOOKUP("Src_CIDR_Le_16",'Scoring_Config'!$A:$A,'Scoring_Config'!$D:$D,"Yes")="Yes",_xlfn.XLOOKUP("Src_CIDR_Le_16",'Scoring_Config'!$A:$A,'Scoring_Config'!$C:$C,25),0),"False,0")</f>
        <v>0</v>
      </c>
      <c r="AE225" s="4" cm="1">
        <f t="array" ref="AE225">IF(FALSE,"True," &amp; IF(_xlfn.XLOOKUP("Src_CIDR_17_22",'Scoring_Config'!$A:$A,'Scoring_Config'!$D:$D,"Yes")="Yes",_xlfn.XLOOKUP("Src_CIDR_17_22",'Scoring_Config'!$A:$A,'Scoring_Config'!$C:$C,15),0),"False,0")</f>
        <v>0</v>
      </c>
      <c r="AF225" s="4" cm="1">
        <f t="array" ref="AF225">IF(FALSE,"True," &amp; IF(_xlfn.XLOOKUP("Dst_IsAny",'Scoring_Config'!$A:$A,'Scoring_Config'!$D:$D,"Yes")="Yes",_xlfn.XLOOKUP("Dst_IsAny",'Scoring_Config'!$A:$A,'Scoring_Config'!$C:$C,25),0),"False,0")</f>
        <v>0</v>
      </c>
      <c r="AG225" s="4" cm="1">
        <f t="array" ref="AG225">IF(FALSE,"True," &amp; IF(_xlfn.XLOOKUP("Dst_CIDR_Le_16",'Scoring_Config'!$A:$A,'Scoring_Config'!$D:$D,"Yes")="Yes",_xlfn.XLOOKUP("Dst_CIDR_Le_16",'Scoring_Config'!$A:$A,'Scoring_Config'!$C:$C,25),0),"False,0")</f>
        <v>0</v>
      </c>
      <c r="AH225" s="5" cm="1">
        <f t="array" ref="AH225">IF(TRUE,"True," &amp; IF(_xlfn.XLOOKUP("Dst_CIDR_17_22",'Scoring_Config'!$A:$A,'Scoring_Config'!$D:$D,"Yes")="Yes",_xlfn.XLOOKUP("Dst_CIDR_17_22",'Scoring_Config'!$A:$A,'Scoring_Config'!$C:$C,15),0),"False,0")</f>
        <v>0</v>
      </c>
      <c r="AI225" s="4" cm="1">
        <f t="array" ref="AI225">IF(FALSE,"True," &amp; IF(_xlfn.XLOOKUP("SrcZone_IsAny",'Scoring_Config'!$A:$A,'Scoring_Config'!$D:$D,"Yes")="Yes",_xlfn.XLOOKUP("SrcZone_IsAny",'Scoring_Config'!$A:$A,'Scoring_Config'!$C:$C,5),0),"False,0")</f>
        <v>0</v>
      </c>
      <c r="AJ225" s="4" cm="1">
        <f t="array" ref="AJ225">IF(FALSE,"True," &amp; IF(_xlfn.XLOOKUP("DstZone_IsAny",'Scoring_Config'!$A:$A,'Scoring_Config'!$D:$D,"Yes")="Yes",_xlfn.XLOOKUP("DstZone_IsAny",'Scoring_Config'!$A:$A,'Scoring_Config'!$C:$C,5),0),"False,0")</f>
        <v>0</v>
      </c>
      <c r="AK225" s="4" cm="1">
        <f t="array" ref="AK22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5" s="4" cm="1">
        <f t="array" ref="AL225">IF(FALSE,"True," &amp; IF(_xlfn.XLOOKUP("App_Any_OR_RangeGt1000",'Scoring_Config'!$A:$A,'Scoring_Config'!$D:$D,"Yes")="Yes",_xlfn.XLOOKUP("App_Any_OR_RangeGt1000",'Scoring_Config'!$A:$A,'Scoring_Config'!$C:$C,25),0),"False,0")</f>
        <v>0</v>
      </c>
      <c r="AM225" s="5" cm="1">
        <f t="array" ref="AM225">IF(TRUE,"True," &amp; IF(_xlfn.XLOOKUP("Service_Insecure_Match",'Scoring_Config'!$A:$A,'Scoring_Config'!$D:$D,"Yes")="Yes",_xlfn.XLOOKUP("Service_Insecure_Match",'Scoring_Config'!$A:$A,'Scoring_Config'!$C:$C,20),0),"False,0")</f>
        <v>0</v>
      </c>
      <c r="AN225" s="5" cm="1">
        <f t="array" ref="AN225">IF(TRUE,"True," &amp; IF(_xlfn.XLOOKUP("Risky_Inbound",'Scoring_Config'!$A:$A,'Scoring_Config'!$D:$D,"Yes")="Yes",_xlfn.XLOOKUP("Risky_Inbound",'Scoring_Config'!$A:$A,'Scoring_Config'!$C:$C,20),0),"False,0")</f>
        <v>0</v>
      </c>
      <c r="AO225" s="4" cm="1">
        <f t="array" ref="AO225">IF(FALSE,"True," &amp; IF(_xlfn.XLOOKUP("Risky_Outbound",'Scoring_Config'!$A:$A,'Scoring_Config'!$D:$D,"Yes")="Yes",_xlfn.XLOOKUP("Risky_Outbound",'Scoring_Config'!$A:$A,'Scoring_Config'!$C:$C,10),0),"False,0")</f>
        <v>0</v>
      </c>
      <c r="AP225" s="5" t="s">
        <v>2595</v>
      </c>
      <c r="AQ225" s="4" cm="1">
        <f t="array" ref="AQ22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5" s="5" t="s">
        <v>2598</v>
      </c>
      <c r="AS225" s="4" t="s">
        <v>2592</v>
      </c>
      <c r="AT225" s="4" t="s">
        <v>2592</v>
      </c>
      <c r="AU225" s="4" cm="1">
        <f t="array" ref="AU225">IF(FALSE,"True," &amp; IF(_xlfn.XLOOKUP("Action_IsDenyOrDrop",'Scoring_Config'!$A:$A,'Scoring_Config'!$D:$D,"Yes")="Yes",_xlfn.XLOOKUP("Action_IsDenyOrDrop",'Scoring_Config'!$A:$A,'Scoring_Config'!$C:$C,0),0),"False,0")</f>
        <v>0</v>
      </c>
      <c r="AV225" s="4"/>
      <c r="AW225" s="4" cm="1">
        <f t="array" ref="AW225">IF(FALSE,"True," &amp; IF(_xlfn.XLOOKUP("Migrate_Insecure",'Scoring_Config'!$A:$A,'Scoring_Config'!$D:$D,"Yes")="Yes",_xlfn.XLOOKUP("Migrate_Insecure",'Scoring_Config'!$A:$A,'Scoring_Config'!$C:$C,15),0),"False,0")</f>
        <v>0</v>
      </c>
      <c r="AX225" s="4"/>
      <c r="AY225" s="4" cm="1">
        <f t="array" ref="AY225">IF(FALSE,"True," &amp; IF(_xlfn.XLOOKUP("Migrate_Other_Ports",'Scoring_Config'!$A:$A,'Scoring_Config'!$D:$D,"Yes")="Yes",_xlfn.XLOOKUP("Migrate_Other_Ports",'Scoring_Config'!$A:$A,'Scoring_Config'!$C:$C,5),0),"False,0")</f>
        <v>0</v>
      </c>
      <c r="AZ225" s="4" cm="1">
        <f t="array" ref="AZ225">IF(LEFT(AU225,4)="True",0,(IF(LEFT(AC225,4)="True",IF(_xlfn.XLOOKUP("Src_IsAny",'Scoring_Config'!$A:$A,'Scoring_Config'!$D:$D,"Yes")="Yes",_xlfn.XLOOKUP("Src_IsAny",'Scoring_Config'!$A:$A,'Scoring_Config'!$C:$C,25),0),0)+IF(LEFT(AD225,4)="True",IF(_xlfn.XLOOKUP("Src_CIDR_Le_16",'Scoring_Config'!$A:$A,'Scoring_Config'!$D:$D,"Yes")="Yes",_xlfn.XLOOKUP("Src_CIDR_Le_16",'Scoring_Config'!$A:$A,'Scoring_Config'!$C:$C,25),0),0)+IF(LEFT(AE225,4)="True",IF(_xlfn.XLOOKUP("Src_CIDR_17_22",'Scoring_Config'!$A:$A,'Scoring_Config'!$D:$D,"Yes")="Yes",_xlfn.XLOOKUP("Src_CIDR_17_22",'Scoring_Config'!$A:$A,'Scoring_Config'!$C:$C,15),0),0)+IF(LEFT(AF225,4)="True",IF(_xlfn.XLOOKUP("Dst_IsAny",'Scoring_Config'!$A:$A,'Scoring_Config'!$D:$D,"Yes")="Yes",_xlfn.XLOOKUP("Dst_IsAny",'Scoring_Config'!$A:$A,'Scoring_Config'!$C:$C,25),0),0)+IF(LEFT(AG225,4)="True",IF(_xlfn.XLOOKUP("Dst_CIDR_Le_16",'Scoring_Config'!$A:$A,'Scoring_Config'!$D:$D,"Yes")="Yes",_xlfn.XLOOKUP("Dst_CIDR_Le_16",'Scoring_Config'!$A:$A,'Scoring_Config'!$C:$C,25),0),0)+IF(LEFT(AH225,4)="True",IF(_xlfn.XLOOKUP("Dst_CIDR_17_22",'Scoring_Config'!$A:$A,'Scoring_Config'!$D:$D,"Yes")="Yes",_xlfn.XLOOKUP("Dst_CIDR_17_22",'Scoring_Config'!$A:$A,'Scoring_Config'!$C:$C,15),0),0)+IF(LEFT(AI225,4)="True",IF(_xlfn.XLOOKUP("SrcZone_IsAny",'Scoring_Config'!$A:$A,'Scoring_Config'!$D:$D,"Yes")="Yes",_xlfn.XLOOKUP("SrcZone_IsAny",'Scoring_Config'!$A:$A,'Scoring_Config'!$C:$C,5),0),0)+IF(LEFT(AJ225,4)="True",IF(_xlfn.XLOOKUP("DstZone_IsAny",'Scoring_Config'!$A:$A,'Scoring_Config'!$D:$D,"Yes")="Yes",_xlfn.XLOOKUP("DstZone_IsAny",'Scoring_Config'!$A:$A,'Scoring_Config'!$C:$C,5),0),0)+IF(LEFT(AK225,4)="True",IF(_xlfn.XLOOKUP("Service_Any_OR_RangeGt1000",'Scoring_Config'!$A:$A,'Scoring_Config'!$D:$D,"Yes")="Yes",_xlfn.XLOOKUP("Service_Any_OR_RangeGt1000",'Scoring_Config'!$A:$A,'Scoring_Config'!$C:$C,25),0),0)+IF(LEFT(AL225,4)="True",IF(_xlfn.XLOOKUP("App_Any_OR_RangeGt1000",'Scoring_Config'!$A:$A,'Scoring_Config'!$D:$D,"Yes")="Yes",_xlfn.XLOOKUP("App_Any_OR_RangeGt1000",'Scoring_Config'!$A:$A,'Scoring_Config'!$C:$C,25),0),0)+IF(LEFT(AM225,4)="True",IF(_xlfn.XLOOKUP("Service_Insecure_Match",'Scoring_Config'!$A:$A,'Scoring_Config'!$D:$D,"Yes")="Yes",_xlfn.XLOOKUP("Service_Insecure_Match",'Scoring_Config'!$A:$A,'Scoring_Config'!$C:$C,20),0),0)+IF(LEFT(AN225,4)="True",IF(_xlfn.XLOOKUP("Risky_Inbound",'Scoring_Config'!$A:$A,'Scoring_Config'!$D:$D,"Yes")="Yes",_xlfn.XLOOKUP("Risky_Inbound",'Scoring_Config'!$A:$A,'Scoring_Config'!$C:$C,20),0),0)+IF(LEFT(AO225,4)="True",IF(_xlfn.XLOOKUP("Risky_Outbound",'Scoring_Config'!$A:$A,'Scoring_Config'!$D:$D,"Yes")="Yes",_xlfn.XLOOKUP("Risky_Outbound",'Scoring_Config'!$A:$A,'Scoring_Config'!$C:$C,10),0),0)+IF(LEFT(AW225,4)="True",IF(_xlfn.XLOOKUP("Migrate_Insecure",'Scoring_Config'!$A:$A,'Scoring_Config'!$D:$D,"Yes")="Yes",_xlfn.XLOOKUP("Migrate_Insecure",'Scoring_Config'!$A:$A,'Scoring_Config'!$C:$C,15),0),0)+IF(LEFT(AY225,4)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225,FIND(",",AP225)+1,100)),0)+IF(LEFT(AQ225,4)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225,FIND(",",AR225)+1,100)),0)+IF(_xlfn.XLOOKUP("Profile_Scoring",'Scoring_Config'!$A:$A,'Scoring_Config'!$D:$D,"Yes")="Yes",VALUE(MID(AS225,FIND(",",AS225)+1,100)),0)+IF(_xlfn.XLOOKUP("Options_Scoring",'Scoring_Config'!$A:$A,'Scoring_Config'!$D:$D,"Yes")="Yes",VALUE(MID(AT225,FIND(",",AT225)+1,100)),0)))</f>
        <v>0</v>
      </c>
    </row>
    <row r="226" spans="1:52">
      <c r="A226" s="3" t="s">
        <v>53</v>
      </c>
      <c r="B226" s="3" t="s">
        <v>165</v>
      </c>
      <c r="C226" s="3" t="s">
        <v>330</v>
      </c>
      <c r="D226" s="3"/>
      <c r="E226" s="3" t="s">
        <v>359</v>
      </c>
      <c r="F226" s="3" t="s">
        <v>360</v>
      </c>
      <c r="G226" s="3" t="s">
        <v>449</v>
      </c>
      <c r="H226" s="3" t="s">
        <v>579</v>
      </c>
      <c r="I226" s="3" t="s">
        <v>625</v>
      </c>
      <c r="J226" s="3" t="s">
        <v>360</v>
      </c>
      <c r="K226" s="3" t="s">
        <v>681</v>
      </c>
      <c r="L226" s="3" t="s">
        <v>681</v>
      </c>
      <c r="M226" s="3" t="s">
        <v>773</v>
      </c>
      <c r="N226" s="3" t="s">
        <v>773</v>
      </c>
      <c r="O226" s="4" t="s">
        <v>822</v>
      </c>
      <c r="P226" s="3" t="s">
        <v>883</v>
      </c>
      <c r="Q226" s="3" t="s">
        <v>905</v>
      </c>
      <c r="R226" s="3" t="s">
        <v>908</v>
      </c>
      <c r="S226" s="3" t="s">
        <v>913</v>
      </c>
      <c r="T226" s="3" t="s">
        <v>970</v>
      </c>
      <c r="U226" s="3" t="s">
        <v>1260</v>
      </c>
      <c r="V226" s="3" t="s">
        <v>770</v>
      </c>
      <c r="W226" s="3" t="s">
        <v>1475</v>
      </c>
      <c r="X226" s="3" t="s">
        <v>1830</v>
      </c>
      <c r="Y226" s="3" t="s">
        <v>2299</v>
      </c>
      <c r="Z226" s="3"/>
      <c r="AA226" s="3"/>
      <c r="AB226" s="3"/>
      <c r="AC226" s="4" cm="1">
        <f t="array" ref="AC226">IF(FALSE,"True," &amp; IF(_xlfn.XLOOKUP("Src_IsAny",'Scoring_Config'!$A:$A,'Scoring_Config'!$D:$D,"Yes")="Yes",_xlfn.XLOOKUP("Src_IsAny",'Scoring_Config'!$A:$A,'Scoring_Config'!$C:$C,25),0),"False,0")</f>
        <v>0</v>
      </c>
      <c r="AD226" s="5" cm="1">
        <f t="array" ref="AD226">IF(TRUE,"True," &amp; IF(_xlfn.XLOOKUP("Src_CIDR_Le_16",'Scoring_Config'!$A:$A,'Scoring_Config'!$D:$D,"Yes")="Yes",_xlfn.XLOOKUP("Src_CIDR_Le_16",'Scoring_Config'!$A:$A,'Scoring_Config'!$C:$C,25),0),"False,0")</f>
        <v>0</v>
      </c>
      <c r="AE226" s="4" cm="1">
        <f t="array" ref="AE226">IF(FALSE,"True," &amp; IF(_xlfn.XLOOKUP("Src_CIDR_17_22",'Scoring_Config'!$A:$A,'Scoring_Config'!$D:$D,"Yes")="Yes",_xlfn.XLOOKUP("Src_CIDR_17_22",'Scoring_Config'!$A:$A,'Scoring_Config'!$C:$C,15),0),"False,0")</f>
        <v>0</v>
      </c>
      <c r="AF226" s="4" cm="1">
        <f t="array" ref="AF226">IF(FALSE,"True," &amp; IF(_xlfn.XLOOKUP("Dst_IsAny",'Scoring_Config'!$A:$A,'Scoring_Config'!$D:$D,"Yes")="Yes",_xlfn.XLOOKUP("Dst_IsAny",'Scoring_Config'!$A:$A,'Scoring_Config'!$C:$C,25),0),"False,0")</f>
        <v>0</v>
      </c>
      <c r="AG226" s="4" cm="1">
        <f t="array" ref="AG226">IF(FALSE,"True," &amp; IF(_xlfn.XLOOKUP("Dst_CIDR_Le_16",'Scoring_Config'!$A:$A,'Scoring_Config'!$D:$D,"Yes")="Yes",_xlfn.XLOOKUP("Dst_CIDR_Le_16",'Scoring_Config'!$A:$A,'Scoring_Config'!$C:$C,25),0),"False,0")</f>
        <v>0</v>
      </c>
      <c r="AH226" s="5" cm="1">
        <f t="array" ref="AH226">IF(TRUE,"True," &amp; IF(_xlfn.XLOOKUP("Dst_CIDR_17_22",'Scoring_Config'!$A:$A,'Scoring_Config'!$D:$D,"Yes")="Yes",_xlfn.XLOOKUP("Dst_CIDR_17_22",'Scoring_Config'!$A:$A,'Scoring_Config'!$C:$C,15),0),"False,0")</f>
        <v>0</v>
      </c>
      <c r="AI226" s="4" cm="1">
        <f t="array" ref="AI226">IF(FALSE,"True," &amp; IF(_xlfn.XLOOKUP("SrcZone_IsAny",'Scoring_Config'!$A:$A,'Scoring_Config'!$D:$D,"Yes")="Yes",_xlfn.XLOOKUP("SrcZone_IsAny",'Scoring_Config'!$A:$A,'Scoring_Config'!$C:$C,5),0),"False,0")</f>
        <v>0</v>
      </c>
      <c r="AJ226" s="4" cm="1">
        <f t="array" ref="AJ226">IF(FALSE,"True," &amp; IF(_xlfn.XLOOKUP("DstZone_IsAny",'Scoring_Config'!$A:$A,'Scoring_Config'!$D:$D,"Yes")="Yes",_xlfn.XLOOKUP("DstZone_IsAny",'Scoring_Config'!$A:$A,'Scoring_Config'!$C:$C,5),0),"False,0")</f>
        <v>0</v>
      </c>
      <c r="AK226" s="5" cm="1">
        <f t="array" ref="AK226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26" s="4" cm="1">
        <f t="array" ref="AL226">IF(FALSE,"True," &amp; IF(_xlfn.XLOOKUP("App_Any_OR_RangeGt1000",'Scoring_Config'!$A:$A,'Scoring_Config'!$D:$D,"Yes")="Yes",_xlfn.XLOOKUP("App_Any_OR_RangeGt1000",'Scoring_Config'!$A:$A,'Scoring_Config'!$C:$C,25),0),"False,0")</f>
        <v>0</v>
      </c>
      <c r="AM226" s="5" cm="1">
        <f t="array" ref="AM226">IF(TRUE,"True," &amp; IF(_xlfn.XLOOKUP("Service_Insecure_Match",'Scoring_Config'!$A:$A,'Scoring_Config'!$D:$D,"Yes")="Yes",_xlfn.XLOOKUP("Service_Insecure_Match",'Scoring_Config'!$A:$A,'Scoring_Config'!$C:$C,20),0),"False,0")</f>
        <v>0</v>
      </c>
      <c r="AN226" s="4" cm="1">
        <f t="array" ref="AN226">IF(FALSE,"True," &amp; IF(_xlfn.XLOOKUP("Risky_Inbound",'Scoring_Config'!$A:$A,'Scoring_Config'!$D:$D,"Yes")="Yes",_xlfn.XLOOKUP("Risky_Inbound",'Scoring_Config'!$A:$A,'Scoring_Config'!$C:$C,20),0),"False,0")</f>
        <v>0</v>
      </c>
      <c r="AO226" s="4" cm="1">
        <f t="array" ref="AO226">IF(FALSE,"True," &amp; IF(_xlfn.XLOOKUP("Risky_Outbound",'Scoring_Config'!$A:$A,'Scoring_Config'!$D:$D,"Yes")="Yes",_xlfn.XLOOKUP("Risky_Outbound",'Scoring_Config'!$A:$A,'Scoring_Config'!$C:$C,10),0),"False,0")</f>
        <v>0</v>
      </c>
      <c r="AP226" s="5" t="s">
        <v>2595</v>
      </c>
      <c r="AQ226" s="4" cm="1">
        <f t="array" ref="AQ22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6" s="5" t="s">
        <v>2598</v>
      </c>
      <c r="AS226" s="4" t="s">
        <v>2592</v>
      </c>
      <c r="AT226" s="4" t="s">
        <v>2592</v>
      </c>
      <c r="AU226" s="4" cm="1">
        <f t="array" ref="AU226">IF(FALSE,"True," &amp; IF(_xlfn.XLOOKUP("Action_IsDenyOrDrop",'Scoring_Config'!$A:$A,'Scoring_Config'!$D:$D,"Yes")="Yes",_xlfn.XLOOKUP("Action_IsDenyOrDrop",'Scoring_Config'!$A:$A,'Scoring_Config'!$C:$C,0),0),"False,0")</f>
        <v>0</v>
      </c>
      <c r="AV226" s="4"/>
      <c r="AW226" s="4" cm="1">
        <f t="array" ref="AW226">IF(FALSE,"True," &amp; IF(_xlfn.XLOOKUP("Migrate_Insecure",'Scoring_Config'!$A:$A,'Scoring_Config'!$D:$D,"Yes")="Yes",_xlfn.XLOOKUP("Migrate_Insecure",'Scoring_Config'!$A:$A,'Scoring_Config'!$C:$C,15),0),"False,0")</f>
        <v>0</v>
      </c>
      <c r="AX226" s="4"/>
      <c r="AY226" s="4" cm="1">
        <f t="array" ref="AY226">IF(FALSE,"True," &amp; IF(_xlfn.XLOOKUP("Migrate_Other_Ports",'Scoring_Config'!$A:$A,'Scoring_Config'!$D:$D,"Yes")="Yes",_xlfn.XLOOKUP("Migrate_Other_Ports",'Scoring_Config'!$A:$A,'Scoring_Config'!$C:$C,5),0),"False,0")</f>
        <v>0</v>
      </c>
      <c r="AZ226" s="4" cm="1">
        <f t="array" ref="AZ226">IF(LEFT(AU226,4)="True",0,(IF(LEFT(AC226,4)="True",IF(_xlfn.XLOOKUP("Src_IsAny",'Scoring_Config'!$A:$A,'Scoring_Config'!$D:$D,"Yes")="Yes",_xlfn.XLOOKUP("Src_IsAny",'Scoring_Config'!$A:$A,'Scoring_Config'!$C:$C,25),0),0)+IF(LEFT(AD226,4)="True",IF(_xlfn.XLOOKUP("Src_CIDR_Le_16",'Scoring_Config'!$A:$A,'Scoring_Config'!$D:$D,"Yes")="Yes",_xlfn.XLOOKUP("Src_CIDR_Le_16",'Scoring_Config'!$A:$A,'Scoring_Config'!$C:$C,25),0),0)+IF(LEFT(AE226,4)="True",IF(_xlfn.XLOOKUP("Src_CIDR_17_22",'Scoring_Config'!$A:$A,'Scoring_Config'!$D:$D,"Yes")="Yes",_xlfn.XLOOKUP("Src_CIDR_17_22",'Scoring_Config'!$A:$A,'Scoring_Config'!$C:$C,15),0),0)+IF(LEFT(AF226,4)="True",IF(_xlfn.XLOOKUP("Dst_IsAny",'Scoring_Config'!$A:$A,'Scoring_Config'!$D:$D,"Yes")="Yes",_xlfn.XLOOKUP("Dst_IsAny",'Scoring_Config'!$A:$A,'Scoring_Config'!$C:$C,25),0),0)+IF(LEFT(AG226,4)="True",IF(_xlfn.XLOOKUP("Dst_CIDR_Le_16",'Scoring_Config'!$A:$A,'Scoring_Config'!$D:$D,"Yes")="Yes",_xlfn.XLOOKUP("Dst_CIDR_Le_16",'Scoring_Config'!$A:$A,'Scoring_Config'!$C:$C,25),0),0)+IF(LEFT(AH226,4)="True",IF(_xlfn.XLOOKUP("Dst_CIDR_17_22",'Scoring_Config'!$A:$A,'Scoring_Config'!$D:$D,"Yes")="Yes",_xlfn.XLOOKUP("Dst_CIDR_17_22",'Scoring_Config'!$A:$A,'Scoring_Config'!$C:$C,15),0),0)+IF(LEFT(AI226,4)="True",IF(_xlfn.XLOOKUP("SrcZone_IsAny",'Scoring_Config'!$A:$A,'Scoring_Config'!$D:$D,"Yes")="Yes",_xlfn.XLOOKUP("SrcZone_IsAny",'Scoring_Config'!$A:$A,'Scoring_Config'!$C:$C,5),0),0)+IF(LEFT(AJ226,4)="True",IF(_xlfn.XLOOKUP("DstZone_IsAny",'Scoring_Config'!$A:$A,'Scoring_Config'!$D:$D,"Yes")="Yes",_xlfn.XLOOKUP("DstZone_IsAny",'Scoring_Config'!$A:$A,'Scoring_Config'!$C:$C,5),0),0)+IF(LEFT(AK226,4)="True",IF(_xlfn.XLOOKUP("Service_Any_OR_RangeGt1000",'Scoring_Config'!$A:$A,'Scoring_Config'!$D:$D,"Yes")="Yes",_xlfn.XLOOKUP("Service_Any_OR_RangeGt1000",'Scoring_Config'!$A:$A,'Scoring_Config'!$C:$C,25),0),0)+IF(LEFT(AL226,4)="True",IF(_xlfn.XLOOKUP("App_Any_OR_RangeGt1000",'Scoring_Config'!$A:$A,'Scoring_Config'!$D:$D,"Yes")="Yes",_xlfn.XLOOKUP("App_Any_OR_RangeGt1000",'Scoring_Config'!$A:$A,'Scoring_Config'!$C:$C,25),0),0)+IF(LEFT(AM226,4)="True",IF(_xlfn.XLOOKUP("Service_Insecure_Match",'Scoring_Config'!$A:$A,'Scoring_Config'!$D:$D,"Yes")="Yes",_xlfn.XLOOKUP("Service_Insecure_Match",'Scoring_Config'!$A:$A,'Scoring_Config'!$C:$C,20),0),0)+IF(LEFT(AN226,4)="True",IF(_xlfn.XLOOKUP("Risky_Inbound",'Scoring_Config'!$A:$A,'Scoring_Config'!$D:$D,"Yes")="Yes",_xlfn.XLOOKUP("Risky_Inbound",'Scoring_Config'!$A:$A,'Scoring_Config'!$C:$C,20),0),0)+IF(LEFT(AO226,4)="True",IF(_xlfn.XLOOKUP("Risky_Outbound",'Scoring_Config'!$A:$A,'Scoring_Config'!$D:$D,"Yes")="Yes",_xlfn.XLOOKUP("Risky_Outbound",'Scoring_Config'!$A:$A,'Scoring_Config'!$C:$C,10),0),0)+IF(LEFT(AW226,4)="True",IF(_xlfn.XLOOKUP("Migrate_Insecure",'Scoring_Config'!$A:$A,'Scoring_Config'!$D:$D,"Yes")="Yes",_xlfn.XLOOKUP("Migrate_Insecure",'Scoring_Config'!$A:$A,'Scoring_Config'!$C:$C,15),0),0)+IF(LEFT(AY226,4)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226,FIND(",",AP226)+1,100)),0)+IF(LEFT(AQ226,4)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226,FIND(",",AR226)+1,100)),0)+IF(_xlfn.XLOOKUP("Profile_Scoring",'Scoring_Config'!$A:$A,'Scoring_Config'!$D:$D,"Yes")="Yes",VALUE(MID(AS226,FIND(",",AS226)+1,100)),0)+IF(_xlfn.XLOOKUP("Options_Scoring",'Scoring_Config'!$A:$A,'Scoring_Config'!$D:$D,"Yes")="Yes",VALUE(MID(AT226,FIND(",",AT226)+1,100)),0)))</f>
        <v>0</v>
      </c>
    </row>
    <row r="227" spans="1:52">
      <c r="A227" s="3" t="s">
        <v>53</v>
      </c>
      <c r="B227" s="3" t="s">
        <v>214</v>
      </c>
      <c r="C227" s="3" t="s">
        <v>330</v>
      </c>
      <c r="D227" s="3"/>
      <c r="E227" s="3" t="s">
        <v>359</v>
      </c>
      <c r="F227" s="3" t="s">
        <v>361</v>
      </c>
      <c r="G227" s="3" t="s">
        <v>426</v>
      </c>
      <c r="H227" s="3" t="s">
        <v>572</v>
      </c>
      <c r="I227" s="3" t="s">
        <v>624</v>
      </c>
      <c r="J227" s="3" t="s">
        <v>362</v>
      </c>
      <c r="K227" s="3" t="s">
        <v>682</v>
      </c>
      <c r="L227" s="3" t="s">
        <v>682</v>
      </c>
      <c r="M227" s="3" t="s">
        <v>773</v>
      </c>
      <c r="N227" s="3" t="s">
        <v>773</v>
      </c>
      <c r="O227" s="4" t="s">
        <v>817</v>
      </c>
      <c r="P227" s="3" t="s">
        <v>878</v>
      </c>
      <c r="Q227" s="3" t="s">
        <v>905</v>
      </c>
      <c r="R227" s="3" t="s">
        <v>911</v>
      </c>
      <c r="S227" s="3" t="s">
        <v>907</v>
      </c>
      <c r="T227" s="3" t="s">
        <v>1061</v>
      </c>
      <c r="U227" s="3" t="s">
        <v>1150</v>
      </c>
      <c r="V227" s="3" t="s">
        <v>770</v>
      </c>
      <c r="W227" s="3" t="s">
        <v>1112</v>
      </c>
      <c r="X227" s="3" t="s">
        <v>1831</v>
      </c>
      <c r="Y227" s="3" t="s">
        <v>2300</v>
      </c>
      <c r="Z227" s="3"/>
      <c r="AA227" s="3"/>
      <c r="AB227" s="3"/>
      <c r="AC227" s="4" cm="1">
        <f t="array" ref="AC227">IF(FALSE,"True," &amp; IF(_xlfn.XLOOKUP("Src_IsAny",'Scoring_Config'!$A:$A,'Scoring_Config'!$D:$D,"Yes")="Yes",_xlfn.XLOOKUP("Src_IsAny",'Scoring_Config'!$A:$A,'Scoring_Config'!$C:$C,25),0),"False,0")</f>
        <v>0</v>
      </c>
      <c r="AD227" s="4" cm="1">
        <f t="array" ref="AD227">IF(FALSE,"True," &amp; IF(_xlfn.XLOOKUP("Src_CIDR_Le_16",'Scoring_Config'!$A:$A,'Scoring_Config'!$D:$D,"Yes")="Yes",_xlfn.XLOOKUP("Src_CIDR_Le_16",'Scoring_Config'!$A:$A,'Scoring_Config'!$C:$C,25),0),"False,0")</f>
        <v>0</v>
      </c>
      <c r="AE227" s="4" cm="1">
        <f t="array" ref="AE227">IF(FALSE,"True," &amp; IF(_xlfn.XLOOKUP("Src_CIDR_17_22",'Scoring_Config'!$A:$A,'Scoring_Config'!$D:$D,"Yes")="Yes",_xlfn.XLOOKUP("Src_CIDR_17_22",'Scoring_Config'!$A:$A,'Scoring_Config'!$C:$C,15),0),"False,0")</f>
        <v>0</v>
      </c>
      <c r="AF227" s="4" cm="1">
        <f t="array" ref="AF227">IF(FALSE,"True," &amp; IF(_xlfn.XLOOKUP("Dst_IsAny",'Scoring_Config'!$A:$A,'Scoring_Config'!$D:$D,"Yes")="Yes",_xlfn.XLOOKUP("Dst_IsAny",'Scoring_Config'!$A:$A,'Scoring_Config'!$C:$C,25),0),"False,0")</f>
        <v>0</v>
      </c>
      <c r="AG227" s="4" cm="1">
        <f t="array" ref="AG227">IF(FALSE,"True," &amp; IF(_xlfn.XLOOKUP("Dst_CIDR_Le_16",'Scoring_Config'!$A:$A,'Scoring_Config'!$D:$D,"Yes")="Yes",_xlfn.XLOOKUP("Dst_CIDR_Le_16",'Scoring_Config'!$A:$A,'Scoring_Config'!$C:$C,25),0),"False,0")</f>
        <v>0</v>
      </c>
      <c r="AH227" s="5" cm="1">
        <f t="array" ref="AH227">IF(TRUE,"True," &amp; IF(_xlfn.XLOOKUP("Dst_CIDR_17_22",'Scoring_Config'!$A:$A,'Scoring_Config'!$D:$D,"Yes")="Yes",_xlfn.XLOOKUP("Dst_CIDR_17_22",'Scoring_Config'!$A:$A,'Scoring_Config'!$C:$C,15),0),"False,0")</f>
        <v>0</v>
      </c>
      <c r="AI227" s="4" cm="1">
        <f t="array" ref="AI227">IF(FALSE,"True," &amp; IF(_xlfn.XLOOKUP("SrcZone_IsAny",'Scoring_Config'!$A:$A,'Scoring_Config'!$D:$D,"Yes")="Yes",_xlfn.XLOOKUP("SrcZone_IsAny",'Scoring_Config'!$A:$A,'Scoring_Config'!$C:$C,5),0),"False,0")</f>
        <v>0</v>
      </c>
      <c r="AJ227" s="4" cm="1">
        <f t="array" ref="AJ227">IF(FALSE,"True," &amp; IF(_xlfn.XLOOKUP("DstZone_IsAny",'Scoring_Config'!$A:$A,'Scoring_Config'!$D:$D,"Yes")="Yes",_xlfn.XLOOKUP("DstZone_IsAny",'Scoring_Config'!$A:$A,'Scoring_Config'!$C:$C,5),0),"False,0")</f>
        <v>0</v>
      </c>
      <c r="AK227" s="4" cm="1">
        <f t="array" ref="AK22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7" s="4" cm="1">
        <f t="array" ref="AL227">IF(FALSE,"True," &amp; IF(_xlfn.XLOOKUP("App_Any_OR_RangeGt1000",'Scoring_Config'!$A:$A,'Scoring_Config'!$D:$D,"Yes")="Yes",_xlfn.XLOOKUP("App_Any_OR_RangeGt1000",'Scoring_Config'!$A:$A,'Scoring_Config'!$C:$C,25),0),"False,0")</f>
        <v>0</v>
      </c>
      <c r="AM227" s="5" cm="1">
        <f t="array" ref="AM227">IF(TRUE,"True," &amp; IF(_xlfn.XLOOKUP("Service_Insecure_Match",'Scoring_Config'!$A:$A,'Scoring_Config'!$D:$D,"Yes")="Yes",_xlfn.XLOOKUP("Service_Insecure_Match",'Scoring_Config'!$A:$A,'Scoring_Config'!$C:$C,20),0),"False,0")</f>
        <v>0</v>
      </c>
      <c r="AN227" s="5" cm="1">
        <f t="array" ref="AN227">IF(TRUE,"True," &amp; IF(_xlfn.XLOOKUP("Risky_Inbound",'Scoring_Config'!$A:$A,'Scoring_Config'!$D:$D,"Yes")="Yes",_xlfn.XLOOKUP("Risky_Inbound",'Scoring_Config'!$A:$A,'Scoring_Config'!$C:$C,20),0),"False,0")</f>
        <v>0</v>
      </c>
      <c r="AO227" s="4" cm="1">
        <f t="array" ref="AO227">IF(FALSE,"True," &amp; IF(_xlfn.XLOOKUP("Risky_Outbound",'Scoring_Config'!$A:$A,'Scoring_Config'!$D:$D,"Yes")="Yes",_xlfn.XLOOKUP("Risky_Outbound",'Scoring_Config'!$A:$A,'Scoring_Config'!$C:$C,10),0),"False,0")</f>
        <v>0</v>
      </c>
      <c r="AP227" s="5" t="s">
        <v>2595</v>
      </c>
      <c r="AQ227" s="5" cm="1">
        <f t="array" ref="AQ22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7" s="5" t="s">
        <v>2598</v>
      </c>
      <c r="AS227" s="4" t="s">
        <v>2592</v>
      </c>
      <c r="AT227" s="5" t="s">
        <v>2595</v>
      </c>
      <c r="AU227" s="4" cm="1">
        <f t="array" ref="AU227">IF(FALSE,"True," &amp; IF(_xlfn.XLOOKUP("Action_IsDenyOrDrop",'Scoring_Config'!$A:$A,'Scoring_Config'!$D:$D,"Yes")="Yes",_xlfn.XLOOKUP("Action_IsDenyOrDrop",'Scoring_Config'!$A:$A,'Scoring_Config'!$C:$C,0),0),"False,0")</f>
        <v>0</v>
      </c>
      <c r="AV227" s="4"/>
      <c r="AW227" s="4" cm="1">
        <f t="array" ref="AW227">IF(FALSE,"True," &amp; IF(_xlfn.XLOOKUP("Migrate_Insecure",'Scoring_Config'!$A:$A,'Scoring_Config'!$D:$D,"Yes")="Yes",_xlfn.XLOOKUP("Migrate_Insecure",'Scoring_Config'!$A:$A,'Scoring_Config'!$C:$C,15),0),"False,0")</f>
        <v>0</v>
      </c>
      <c r="AX227" s="4"/>
      <c r="AY227" s="4" cm="1">
        <f t="array" ref="AY227">IF(FALSE,"True," &amp; IF(_xlfn.XLOOKUP("Migrate_Other_Ports",'Scoring_Config'!$A:$A,'Scoring_Config'!$D:$D,"Yes")="Yes",_xlfn.XLOOKUP("Migrate_Other_Ports",'Scoring_Config'!$A:$A,'Scoring_Config'!$C:$C,5),0),"False,0")</f>
        <v>0</v>
      </c>
      <c r="AZ227" s="4" cm="1">
        <f t="array" ref="AZ227">IF(LEFT(AU227,4)="True",0,(IF(LEFT(AC227,4)="True",IF(_xlfn.XLOOKUP("Src_IsAny",'Scoring_Config'!$A:$A,'Scoring_Config'!$D:$D,"Yes")="Yes",_xlfn.XLOOKUP("Src_IsAny",'Scoring_Config'!$A:$A,'Scoring_Config'!$C:$C,25),0),0)+IF(LEFT(AD227,4)="True",IF(_xlfn.XLOOKUP("Src_CIDR_Le_16",'Scoring_Config'!$A:$A,'Scoring_Config'!$D:$D,"Yes")="Yes",_xlfn.XLOOKUP("Src_CIDR_Le_16",'Scoring_Config'!$A:$A,'Scoring_Config'!$C:$C,25),0),0)+IF(LEFT(AE227,4)="True",IF(_xlfn.XLOOKUP("Src_CIDR_17_22",'Scoring_Config'!$A:$A,'Scoring_Config'!$D:$D,"Yes")="Yes",_xlfn.XLOOKUP("Src_CIDR_17_22",'Scoring_Config'!$A:$A,'Scoring_Config'!$C:$C,15),0),0)+IF(LEFT(AF227,4)="True",IF(_xlfn.XLOOKUP("Dst_IsAny",'Scoring_Config'!$A:$A,'Scoring_Config'!$D:$D,"Yes")="Yes",_xlfn.XLOOKUP("Dst_IsAny",'Scoring_Config'!$A:$A,'Scoring_Config'!$C:$C,25),0),0)+IF(LEFT(AG227,4)="True",IF(_xlfn.XLOOKUP("Dst_CIDR_Le_16",'Scoring_Config'!$A:$A,'Scoring_Config'!$D:$D,"Yes")="Yes",_xlfn.XLOOKUP("Dst_CIDR_Le_16",'Scoring_Config'!$A:$A,'Scoring_Config'!$C:$C,25),0),0)+IF(LEFT(AH227,4)="True",IF(_xlfn.XLOOKUP("Dst_CIDR_17_22",'Scoring_Config'!$A:$A,'Scoring_Config'!$D:$D,"Yes")="Yes",_xlfn.XLOOKUP("Dst_CIDR_17_22",'Scoring_Config'!$A:$A,'Scoring_Config'!$C:$C,15),0),0)+IF(LEFT(AI227,4)="True",IF(_xlfn.XLOOKUP("SrcZone_IsAny",'Scoring_Config'!$A:$A,'Scoring_Config'!$D:$D,"Yes")="Yes",_xlfn.XLOOKUP("SrcZone_IsAny",'Scoring_Config'!$A:$A,'Scoring_Config'!$C:$C,5),0),0)+IF(LEFT(AJ227,4)="True",IF(_xlfn.XLOOKUP("DstZone_IsAny",'Scoring_Config'!$A:$A,'Scoring_Config'!$D:$D,"Yes")="Yes",_xlfn.XLOOKUP("DstZone_IsAny",'Scoring_Config'!$A:$A,'Scoring_Config'!$C:$C,5),0),0)+IF(LEFT(AK227,4)="True",IF(_xlfn.XLOOKUP("Service_Any_OR_RangeGt1000",'Scoring_Config'!$A:$A,'Scoring_Config'!$D:$D,"Yes")="Yes",_xlfn.XLOOKUP("Service_Any_OR_RangeGt1000",'Scoring_Config'!$A:$A,'Scoring_Config'!$C:$C,25),0),0)+IF(LEFT(AL227,4)="True",IF(_xlfn.XLOOKUP("App_Any_OR_RangeGt1000",'Scoring_Config'!$A:$A,'Scoring_Config'!$D:$D,"Yes")="Yes",_xlfn.XLOOKUP("App_Any_OR_RangeGt1000",'Scoring_Config'!$A:$A,'Scoring_Config'!$C:$C,25),0),0)+IF(LEFT(AM227,4)="True",IF(_xlfn.XLOOKUP("Service_Insecure_Match",'Scoring_Config'!$A:$A,'Scoring_Config'!$D:$D,"Yes")="Yes",_xlfn.XLOOKUP("Service_Insecure_Match",'Scoring_Config'!$A:$A,'Scoring_Config'!$C:$C,20),0),0)+IF(LEFT(AN227,4)="True",IF(_xlfn.XLOOKUP("Risky_Inbound",'Scoring_Config'!$A:$A,'Scoring_Config'!$D:$D,"Yes")="Yes",_xlfn.XLOOKUP("Risky_Inbound",'Scoring_Config'!$A:$A,'Scoring_Config'!$C:$C,20),0),0)+IF(LEFT(AO227,4)="True",IF(_xlfn.XLOOKUP("Risky_Outbound",'Scoring_Config'!$A:$A,'Scoring_Config'!$D:$D,"Yes")="Yes",_xlfn.XLOOKUP("Risky_Outbound",'Scoring_Config'!$A:$A,'Scoring_Config'!$C:$C,10),0),0)+IF(LEFT(AW227,4)="True",IF(_xlfn.XLOOKUP("Migrate_Insecure",'Scoring_Config'!$A:$A,'Scoring_Config'!$D:$D,"Yes")="Yes",_xlfn.XLOOKUP("Migrate_Insecure",'Scoring_Config'!$A:$A,'Scoring_Config'!$C:$C,15),0),0)+IF(LEFT(AY227,4)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227,FIND(",",AP227)+1,100)),0)+IF(LEFT(AQ227,4)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227,FIND(",",AR227)+1,100)),0)+IF(_xlfn.XLOOKUP("Profile_Scoring",'Scoring_Config'!$A:$A,'Scoring_Config'!$D:$D,"Yes")="Yes",VALUE(MID(AS227,FIND(",",AS227)+1,100)),0)+IF(_xlfn.XLOOKUP("Options_Scoring",'Scoring_Config'!$A:$A,'Scoring_Config'!$D:$D,"Yes")="Yes",VALUE(MID(AT227,FIND(",",AT227)+1,100)),0)))</f>
        <v>0</v>
      </c>
    </row>
    <row r="228" spans="1:52">
      <c r="A228" s="3" t="s">
        <v>53</v>
      </c>
      <c r="B228" s="3" t="s">
        <v>81</v>
      </c>
      <c r="C228" s="3" t="s">
        <v>330</v>
      </c>
      <c r="D228" s="3"/>
      <c r="E228" s="3" t="s">
        <v>359</v>
      </c>
      <c r="F228" s="3" t="s">
        <v>362</v>
      </c>
      <c r="G228" s="3" t="s">
        <v>410</v>
      </c>
      <c r="H228" s="3" t="s">
        <v>564</v>
      </c>
      <c r="I228" s="3" t="s">
        <v>625</v>
      </c>
      <c r="J228" s="3" t="s">
        <v>362</v>
      </c>
      <c r="K228" s="3" t="s">
        <v>683</v>
      </c>
      <c r="L228" s="3" t="s">
        <v>683</v>
      </c>
      <c r="M228" s="3" t="s">
        <v>774</v>
      </c>
      <c r="N228" s="3" t="s">
        <v>795</v>
      </c>
      <c r="O228" s="4" t="s">
        <v>836</v>
      </c>
      <c r="P228" s="3" t="s">
        <v>836</v>
      </c>
      <c r="Q228" s="3" t="s">
        <v>905</v>
      </c>
      <c r="R228" s="3" t="s">
        <v>910</v>
      </c>
      <c r="S228" s="3" t="s">
        <v>914</v>
      </c>
      <c r="T228" s="3" t="s">
        <v>1062</v>
      </c>
      <c r="U228" s="3" t="s">
        <v>1145</v>
      </c>
      <c r="V228" s="3" t="s">
        <v>1388</v>
      </c>
      <c r="W228" s="3" t="s">
        <v>1520</v>
      </c>
      <c r="X228" s="3" t="s">
        <v>1832</v>
      </c>
      <c r="Y228" s="3" t="s">
        <v>2301</v>
      </c>
      <c r="Z228" s="3"/>
      <c r="AA228" s="3"/>
      <c r="AB228" s="3"/>
      <c r="AC228" s="4" cm="1">
        <f t="array" ref="AC228">IF(FALSE,"True," &amp; IF(_xlfn.XLOOKUP("Src_IsAny",'Scoring_Config'!$A:$A,'Scoring_Config'!$D:$D,"Yes")="Yes",_xlfn.XLOOKUP("Src_IsAny",'Scoring_Config'!$A:$A,'Scoring_Config'!$C:$C,25),0),"False,0")</f>
        <v>0</v>
      </c>
      <c r="AD228" s="5" cm="1">
        <f t="array" ref="AD228">IF(TRUE,"True," &amp; IF(_xlfn.XLOOKUP("Src_CIDR_Le_16",'Scoring_Config'!$A:$A,'Scoring_Config'!$D:$D,"Yes")="Yes",_xlfn.XLOOKUP("Src_CIDR_Le_16",'Scoring_Config'!$A:$A,'Scoring_Config'!$C:$C,25),0),"False,0")</f>
        <v>0</v>
      </c>
      <c r="AE228" s="4" cm="1">
        <f t="array" ref="AE228">IF(FALSE,"True," &amp; IF(_xlfn.XLOOKUP("Src_CIDR_17_22",'Scoring_Config'!$A:$A,'Scoring_Config'!$D:$D,"Yes")="Yes",_xlfn.XLOOKUP("Src_CIDR_17_22",'Scoring_Config'!$A:$A,'Scoring_Config'!$C:$C,15),0),"False,0")</f>
        <v>0</v>
      </c>
      <c r="AF228" s="4" cm="1">
        <f t="array" ref="AF228">IF(FALSE,"True," &amp; IF(_xlfn.XLOOKUP("Dst_IsAny",'Scoring_Config'!$A:$A,'Scoring_Config'!$D:$D,"Yes")="Yes",_xlfn.XLOOKUP("Dst_IsAny",'Scoring_Config'!$A:$A,'Scoring_Config'!$C:$C,25),0),"False,0")</f>
        <v>0</v>
      </c>
      <c r="AG228" s="4" cm="1">
        <f t="array" ref="AG228">IF(FALSE,"True," &amp; IF(_xlfn.XLOOKUP("Dst_CIDR_Le_16",'Scoring_Config'!$A:$A,'Scoring_Config'!$D:$D,"Yes")="Yes",_xlfn.XLOOKUP("Dst_CIDR_Le_16",'Scoring_Config'!$A:$A,'Scoring_Config'!$C:$C,25),0),"False,0")</f>
        <v>0</v>
      </c>
      <c r="AH228" s="5" cm="1">
        <f t="array" ref="AH228">IF(TRUE,"True," &amp; IF(_xlfn.XLOOKUP("Dst_CIDR_17_22",'Scoring_Config'!$A:$A,'Scoring_Config'!$D:$D,"Yes")="Yes",_xlfn.XLOOKUP("Dst_CIDR_17_22",'Scoring_Config'!$A:$A,'Scoring_Config'!$C:$C,15),0),"False,0")</f>
        <v>0</v>
      </c>
      <c r="AI228" s="4" cm="1">
        <f t="array" ref="AI228">IF(FALSE,"True," &amp; IF(_xlfn.XLOOKUP("SrcZone_IsAny",'Scoring_Config'!$A:$A,'Scoring_Config'!$D:$D,"Yes")="Yes",_xlfn.XLOOKUP("SrcZone_IsAny",'Scoring_Config'!$A:$A,'Scoring_Config'!$C:$C,5),0),"False,0")</f>
        <v>0</v>
      </c>
      <c r="AJ228" s="4" cm="1">
        <f t="array" ref="AJ228">IF(FALSE,"True," &amp; IF(_xlfn.XLOOKUP("DstZone_IsAny",'Scoring_Config'!$A:$A,'Scoring_Config'!$D:$D,"Yes")="Yes",_xlfn.XLOOKUP("DstZone_IsAny",'Scoring_Config'!$A:$A,'Scoring_Config'!$C:$C,5),0),"False,0")</f>
        <v>0</v>
      </c>
      <c r="AK228" s="4" cm="1">
        <f t="array" ref="AK22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8" s="4" cm="1">
        <f t="array" ref="AL228">IF(FALSE,"True," &amp; IF(_xlfn.XLOOKUP("App_Any_OR_RangeGt1000",'Scoring_Config'!$A:$A,'Scoring_Config'!$D:$D,"Yes")="Yes",_xlfn.XLOOKUP("App_Any_OR_RangeGt1000",'Scoring_Config'!$A:$A,'Scoring_Config'!$C:$C,25),0),"False,0")</f>
        <v>0</v>
      </c>
      <c r="AM228" s="4" cm="1">
        <f t="array" ref="AM228">IF(FALSE,"True," &amp; IF(_xlfn.XLOOKUP("Service_Insecure_Match",'Scoring_Config'!$A:$A,'Scoring_Config'!$D:$D,"Yes")="Yes",_xlfn.XLOOKUP("Service_Insecure_Match",'Scoring_Config'!$A:$A,'Scoring_Config'!$C:$C,20),0),"False,0")</f>
        <v>0</v>
      </c>
      <c r="AN228" s="4" cm="1">
        <f t="array" ref="AN228">IF(FALSE,"True," &amp; IF(_xlfn.XLOOKUP("Risky_Inbound",'Scoring_Config'!$A:$A,'Scoring_Config'!$D:$D,"Yes")="Yes",_xlfn.XLOOKUP("Risky_Inbound",'Scoring_Config'!$A:$A,'Scoring_Config'!$C:$C,20),0),"False,0")</f>
        <v>0</v>
      </c>
      <c r="AO228" s="4" cm="1">
        <f t="array" ref="AO228">IF(FALSE,"True," &amp; IF(_xlfn.XLOOKUP("Risky_Outbound",'Scoring_Config'!$A:$A,'Scoring_Config'!$D:$D,"Yes")="Yes",_xlfn.XLOOKUP("Risky_Outbound",'Scoring_Config'!$A:$A,'Scoring_Config'!$C:$C,10),0),"False,0")</f>
        <v>0</v>
      </c>
      <c r="AP228" s="5" t="s">
        <v>2595</v>
      </c>
      <c r="AQ228" s="5" cm="1">
        <f t="array" ref="AQ22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8" s="5" t="s">
        <v>2598</v>
      </c>
      <c r="AS228" s="4" t="s">
        <v>2592</v>
      </c>
      <c r="AT228" s="4" t="s">
        <v>2592</v>
      </c>
      <c r="AU228" s="4" cm="1">
        <f t="array" ref="AU228">IF(FALSE,"True," &amp; IF(_xlfn.XLOOKUP("Action_IsDenyOrDrop",'Scoring_Config'!$A:$A,'Scoring_Config'!$D:$D,"Yes")="Yes",_xlfn.XLOOKUP("Action_IsDenyOrDrop",'Scoring_Config'!$A:$A,'Scoring_Config'!$C:$C,0),0),"False,0")</f>
        <v>0</v>
      </c>
      <c r="AV228" s="4"/>
      <c r="AW228" s="4" cm="1">
        <f t="array" ref="AW228">IF(FALSE,"True," &amp; IF(_xlfn.XLOOKUP("Migrate_Insecure",'Scoring_Config'!$A:$A,'Scoring_Config'!$D:$D,"Yes")="Yes",_xlfn.XLOOKUP("Migrate_Insecure",'Scoring_Config'!$A:$A,'Scoring_Config'!$C:$C,15),0),"False,0")</f>
        <v>0</v>
      </c>
      <c r="AX228" s="4"/>
      <c r="AY228" s="4" cm="1">
        <f t="array" ref="AY228">IF(FALSE,"True," &amp; IF(_xlfn.XLOOKUP("Migrate_Other_Ports",'Scoring_Config'!$A:$A,'Scoring_Config'!$D:$D,"Yes")="Yes",_xlfn.XLOOKUP("Migrate_Other_Ports",'Scoring_Config'!$A:$A,'Scoring_Config'!$C:$C,5),0),"False,0")</f>
        <v>0</v>
      </c>
      <c r="AZ228" s="4" cm="1">
        <f t="array" ref="AZ228">IF(LEFT(AU228,4)="True",0,(IF(LEFT(AC228,4)="True",IF(_xlfn.XLOOKUP("Src_IsAny",'Scoring_Config'!$A:$A,'Scoring_Config'!$D:$D,"Yes")="Yes",_xlfn.XLOOKUP("Src_IsAny",'Scoring_Config'!$A:$A,'Scoring_Config'!$C:$C,25),0),0)+IF(LEFT(AD228,4)="True",IF(_xlfn.XLOOKUP("Src_CIDR_Le_16",'Scoring_Config'!$A:$A,'Scoring_Config'!$D:$D,"Yes")="Yes",_xlfn.XLOOKUP("Src_CIDR_Le_16",'Scoring_Config'!$A:$A,'Scoring_Config'!$C:$C,25),0),0)+IF(LEFT(AE228,4)="True",IF(_xlfn.XLOOKUP("Src_CIDR_17_22",'Scoring_Config'!$A:$A,'Scoring_Config'!$D:$D,"Yes")="Yes",_xlfn.XLOOKUP("Src_CIDR_17_22",'Scoring_Config'!$A:$A,'Scoring_Config'!$C:$C,15),0),0)+IF(LEFT(AF228,4)="True",IF(_xlfn.XLOOKUP("Dst_IsAny",'Scoring_Config'!$A:$A,'Scoring_Config'!$D:$D,"Yes")="Yes",_xlfn.XLOOKUP("Dst_IsAny",'Scoring_Config'!$A:$A,'Scoring_Config'!$C:$C,25),0),0)+IF(LEFT(AG228,4)="True",IF(_xlfn.XLOOKUP("Dst_CIDR_Le_16",'Scoring_Config'!$A:$A,'Scoring_Config'!$D:$D,"Yes")="Yes",_xlfn.XLOOKUP("Dst_CIDR_Le_16",'Scoring_Config'!$A:$A,'Scoring_Config'!$C:$C,25),0),0)+IF(LEFT(AH228,4)="True",IF(_xlfn.XLOOKUP("Dst_CIDR_17_22",'Scoring_Config'!$A:$A,'Scoring_Config'!$D:$D,"Yes")="Yes",_xlfn.XLOOKUP("Dst_CIDR_17_22",'Scoring_Config'!$A:$A,'Scoring_Config'!$C:$C,15),0),0)+IF(LEFT(AI228,4)="True",IF(_xlfn.XLOOKUP("SrcZone_IsAny",'Scoring_Config'!$A:$A,'Scoring_Config'!$D:$D,"Yes")="Yes",_xlfn.XLOOKUP("SrcZone_IsAny",'Scoring_Config'!$A:$A,'Scoring_Config'!$C:$C,5),0),0)+IF(LEFT(AJ228,4)="True",IF(_xlfn.XLOOKUP("DstZone_IsAny",'Scoring_Config'!$A:$A,'Scoring_Config'!$D:$D,"Yes")="Yes",_xlfn.XLOOKUP("DstZone_IsAny",'Scoring_Config'!$A:$A,'Scoring_Config'!$C:$C,5),0),0)+IF(LEFT(AK228,4)="True",IF(_xlfn.XLOOKUP("Service_Any_OR_RangeGt1000",'Scoring_Config'!$A:$A,'Scoring_Config'!$D:$D,"Yes")="Yes",_xlfn.XLOOKUP("Service_Any_OR_RangeGt1000",'Scoring_Config'!$A:$A,'Scoring_Config'!$C:$C,25),0),0)+IF(LEFT(AL228,4)="True",IF(_xlfn.XLOOKUP("App_Any_OR_RangeGt1000",'Scoring_Config'!$A:$A,'Scoring_Config'!$D:$D,"Yes")="Yes",_xlfn.XLOOKUP("App_Any_OR_RangeGt1000",'Scoring_Config'!$A:$A,'Scoring_Config'!$C:$C,25),0),0)+IF(LEFT(AM228,4)="True",IF(_xlfn.XLOOKUP("Service_Insecure_Match",'Scoring_Config'!$A:$A,'Scoring_Config'!$D:$D,"Yes")="Yes",_xlfn.XLOOKUP("Service_Insecure_Match",'Scoring_Config'!$A:$A,'Scoring_Config'!$C:$C,20),0),0)+IF(LEFT(AN228,4)="True",IF(_xlfn.XLOOKUP("Risky_Inbound",'Scoring_Config'!$A:$A,'Scoring_Config'!$D:$D,"Yes")="Yes",_xlfn.XLOOKUP("Risky_Inbound",'Scoring_Config'!$A:$A,'Scoring_Config'!$C:$C,20),0),0)+IF(LEFT(AO228,4)="True",IF(_xlfn.XLOOKUP("Risky_Outbound",'Scoring_Config'!$A:$A,'Scoring_Config'!$D:$D,"Yes")="Yes",_xlfn.XLOOKUP("Risky_Outbound",'Scoring_Config'!$A:$A,'Scoring_Config'!$C:$C,10),0),0)+IF(LEFT(AW228,4)="True",IF(_xlfn.XLOOKUP("Migrate_Insecure",'Scoring_Config'!$A:$A,'Scoring_Config'!$D:$D,"Yes")="Yes",_xlfn.XLOOKUP("Migrate_Insecure",'Scoring_Config'!$A:$A,'Scoring_Config'!$C:$C,15),0),0)+IF(LEFT(AY228,4)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228,FIND(",",AP228)+1,100)),0)+IF(LEFT(AQ228,4)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228,FIND(",",AR228)+1,100)),0)+IF(_xlfn.XLOOKUP("Profile_Scoring",'Scoring_Config'!$A:$A,'Scoring_Config'!$D:$D,"Yes")="Yes",VALUE(MID(AS228,FIND(",",AS228)+1,100)),0)+IF(_xlfn.XLOOKUP("Options_Scoring",'Scoring_Config'!$A:$A,'Scoring_Config'!$D:$D,"Yes")="Yes",VALUE(MID(AT228,FIND(",",AT228)+1,100)),0)))</f>
        <v>0</v>
      </c>
    </row>
    <row r="229" spans="1:52">
      <c r="A229" s="3" t="s">
        <v>53</v>
      </c>
      <c r="B229" s="3" t="s">
        <v>68</v>
      </c>
      <c r="C229" s="3" t="s">
        <v>330</v>
      </c>
      <c r="D229" s="3"/>
      <c r="E229" s="3" t="s">
        <v>359</v>
      </c>
      <c r="F229" s="3" t="s">
        <v>361</v>
      </c>
      <c r="G229" s="3" t="s">
        <v>424</v>
      </c>
      <c r="H229" s="3" t="s">
        <v>571</v>
      </c>
      <c r="I229" s="3" t="s">
        <v>365</v>
      </c>
      <c r="J229" s="3" t="s">
        <v>362</v>
      </c>
      <c r="K229" s="3" t="s">
        <v>684</v>
      </c>
      <c r="L229" s="3" t="s">
        <v>684</v>
      </c>
      <c r="M229" s="3" t="s">
        <v>774</v>
      </c>
      <c r="N229" s="3" t="s">
        <v>795</v>
      </c>
      <c r="O229" s="4" t="s">
        <v>806</v>
      </c>
      <c r="P229" s="3" t="s">
        <v>867</v>
      </c>
      <c r="Q229" s="3" t="s">
        <v>905</v>
      </c>
      <c r="R229" s="3" t="s">
        <v>908</v>
      </c>
      <c r="S229" s="3" t="s">
        <v>907</v>
      </c>
      <c r="T229" s="3" t="s">
        <v>1063</v>
      </c>
      <c r="U229" s="3" t="s">
        <v>1150</v>
      </c>
      <c r="V229" s="3" t="s">
        <v>1388</v>
      </c>
      <c r="W229" s="3" t="s">
        <v>1521</v>
      </c>
      <c r="X229" s="3" t="s">
        <v>1833</v>
      </c>
      <c r="Y229" s="3" t="s">
        <v>2302</v>
      </c>
      <c r="Z229" s="3"/>
      <c r="AA229" s="3"/>
      <c r="AB229" s="3"/>
      <c r="AC229" s="4" cm="1">
        <f t="array" ref="AC229">IF(FALSE,"True," &amp; IF(_xlfn.XLOOKUP("Src_IsAny",'Scoring_Config'!$A:$A,'Scoring_Config'!$D:$D,"Yes")="Yes",_xlfn.XLOOKUP("Src_IsAny",'Scoring_Config'!$A:$A,'Scoring_Config'!$C:$C,25),0),"False,0")</f>
        <v>0</v>
      </c>
      <c r="AD229" s="5" cm="1">
        <f t="array" ref="AD229">IF(TRUE,"True," &amp; IF(_xlfn.XLOOKUP("Src_CIDR_Le_16",'Scoring_Config'!$A:$A,'Scoring_Config'!$D:$D,"Yes")="Yes",_xlfn.XLOOKUP("Src_CIDR_Le_16",'Scoring_Config'!$A:$A,'Scoring_Config'!$C:$C,25),0),"False,0")</f>
        <v>0</v>
      </c>
      <c r="AE229" s="4" cm="1">
        <f t="array" ref="AE229">IF(FALSE,"True," &amp; IF(_xlfn.XLOOKUP("Src_CIDR_17_22",'Scoring_Config'!$A:$A,'Scoring_Config'!$D:$D,"Yes")="Yes",_xlfn.XLOOKUP("Src_CIDR_17_22",'Scoring_Config'!$A:$A,'Scoring_Config'!$C:$C,15),0),"False,0")</f>
        <v>0</v>
      </c>
      <c r="AF229" s="4" cm="1">
        <f t="array" ref="AF229">IF(FALSE,"True," &amp; IF(_xlfn.XLOOKUP("Dst_IsAny",'Scoring_Config'!$A:$A,'Scoring_Config'!$D:$D,"Yes")="Yes",_xlfn.XLOOKUP("Dst_IsAny",'Scoring_Config'!$A:$A,'Scoring_Config'!$C:$C,25),0),"False,0")</f>
        <v>0</v>
      </c>
      <c r="AG229" s="4" cm="1">
        <f t="array" ref="AG229">IF(FALSE,"True," &amp; IF(_xlfn.XLOOKUP("Dst_CIDR_Le_16",'Scoring_Config'!$A:$A,'Scoring_Config'!$D:$D,"Yes")="Yes",_xlfn.XLOOKUP("Dst_CIDR_Le_16",'Scoring_Config'!$A:$A,'Scoring_Config'!$C:$C,25),0),"False,0")</f>
        <v>0</v>
      </c>
      <c r="AH229" s="5" cm="1">
        <f t="array" ref="AH229">IF(TRUE,"True," &amp; IF(_xlfn.XLOOKUP("Dst_CIDR_17_22",'Scoring_Config'!$A:$A,'Scoring_Config'!$D:$D,"Yes")="Yes",_xlfn.XLOOKUP("Dst_CIDR_17_22",'Scoring_Config'!$A:$A,'Scoring_Config'!$C:$C,15),0),"False,0")</f>
        <v>0</v>
      </c>
      <c r="AI229" s="4" cm="1">
        <f t="array" ref="AI229">IF(FALSE,"True," &amp; IF(_xlfn.XLOOKUP("SrcZone_IsAny",'Scoring_Config'!$A:$A,'Scoring_Config'!$D:$D,"Yes")="Yes",_xlfn.XLOOKUP("SrcZone_IsAny",'Scoring_Config'!$A:$A,'Scoring_Config'!$C:$C,5),0),"False,0")</f>
        <v>0</v>
      </c>
      <c r="AJ229" s="4" cm="1">
        <f t="array" ref="AJ229">IF(FALSE,"True," &amp; IF(_xlfn.XLOOKUP("DstZone_IsAny",'Scoring_Config'!$A:$A,'Scoring_Config'!$D:$D,"Yes")="Yes",_xlfn.XLOOKUP("DstZone_IsAny",'Scoring_Config'!$A:$A,'Scoring_Config'!$C:$C,5),0),"False,0")</f>
        <v>0</v>
      </c>
      <c r="AK229" s="4" cm="1">
        <f t="array" ref="AK22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29" s="4" cm="1">
        <f t="array" ref="AL229">IF(FALSE,"True," &amp; IF(_xlfn.XLOOKUP("App_Any_OR_RangeGt1000",'Scoring_Config'!$A:$A,'Scoring_Config'!$D:$D,"Yes")="Yes",_xlfn.XLOOKUP("App_Any_OR_RangeGt1000",'Scoring_Config'!$A:$A,'Scoring_Config'!$C:$C,25),0),"False,0")</f>
        <v>0</v>
      </c>
      <c r="AM229" s="5" cm="1">
        <f t="array" ref="AM229">IF(TRUE,"True," &amp; IF(_xlfn.XLOOKUP("Service_Insecure_Match",'Scoring_Config'!$A:$A,'Scoring_Config'!$D:$D,"Yes")="Yes",_xlfn.XLOOKUP("Service_Insecure_Match",'Scoring_Config'!$A:$A,'Scoring_Config'!$C:$C,20),0),"False,0")</f>
        <v>0</v>
      </c>
      <c r="AN229" s="5" cm="1">
        <f t="array" ref="AN229">IF(TRUE,"True," &amp; IF(_xlfn.XLOOKUP("Risky_Inbound",'Scoring_Config'!$A:$A,'Scoring_Config'!$D:$D,"Yes")="Yes",_xlfn.XLOOKUP("Risky_Inbound",'Scoring_Config'!$A:$A,'Scoring_Config'!$C:$C,20),0),"False,0")</f>
        <v>0</v>
      </c>
      <c r="AO229" s="4" cm="1">
        <f t="array" ref="AO229">IF(FALSE,"True," &amp; IF(_xlfn.XLOOKUP("Risky_Outbound",'Scoring_Config'!$A:$A,'Scoring_Config'!$D:$D,"Yes")="Yes",_xlfn.XLOOKUP("Risky_Outbound",'Scoring_Config'!$A:$A,'Scoring_Config'!$C:$C,10),0),"False,0")</f>
        <v>0</v>
      </c>
      <c r="AP229" s="5" t="s">
        <v>2595</v>
      </c>
      <c r="AQ229" s="5" cm="1">
        <f t="array" ref="AQ22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29" s="4" t="s">
        <v>2592</v>
      </c>
      <c r="AS229" s="4" t="s">
        <v>2592</v>
      </c>
      <c r="AT229" s="5" t="s">
        <v>2595</v>
      </c>
      <c r="AU229" s="4" cm="1">
        <f t="array" ref="AU229">IF(FALSE,"True," &amp; IF(_xlfn.XLOOKUP("Action_IsDenyOrDrop",'Scoring_Config'!$A:$A,'Scoring_Config'!$D:$D,"Yes")="Yes",_xlfn.XLOOKUP("Action_IsDenyOrDrop",'Scoring_Config'!$A:$A,'Scoring_Config'!$C:$C,0),0),"False,0")</f>
        <v>0</v>
      </c>
      <c r="AV229" s="4"/>
      <c r="AW229" s="4" cm="1">
        <f t="array" ref="AW229">IF(FALSE,"True," &amp; IF(_xlfn.XLOOKUP("Migrate_Insecure",'Scoring_Config'!$A:$A,'Scoring_Config'!$D:$D,"Yes")="Yes",_xlfn.XLOOKUP("Migrate_Insecure",'Scoring_Config'!$A:$A,'Scoring_Config'!$C:$C,15),0),"False,0")</f>
        <v>0</v>
      </c>
      <c r="AX229" s="4"/>
      <c r="AY229" s="4" cm="1">
        <f t="array" ref="AY229">IF(FALSE,"True," &amp; IF(_xlfn.XLOOKUP("Migrate_Other_Ports",'Scoring_Config'!$A:$A,'Scoring_Config'!$D:$D,"Yes")="Yes",_xlfn.XLOOKUP("Migrate_Other_Ports",'Scoring_Config'!$A:$A,'Scoring_Config'!$C:$C,5),0),"False,0")</f>
        <v>0</v>
      </c>
      <c r="AZ229" s="4" cm="1">
        <f t="array" ref="AZ229">IF(LEFT(AU229,4)="True",0,(IF(LEFT(AC229,4)="True",IF(_xlfn.XLOOKUP("Src_IsAny",'Scoring_Config'!$A:$A,'Scoring_Config'!$D:$D,"Yes")="Yes",_xlfn.XLOOKUP("Src_IsAny",'Scoring_Config'!$A:$A,'Scoring_Config'!$C:$C,25),0),0)+IF(LEFT(AD229,4)="True",IF(_xlfn.XLOOKUP("Src_CIDR_Le_16",'Scoring_Config'!$A:$A,'Scoring_Config'!$D:$D,"Yes")="Yes",_xlfn.XLOOKUP("Src_CIDR_Le_16",'Scoring_Config'!$A:$A,'Scoring_Config'!$C:$C,25),0),0)+IF(LEFT(AE229,4)="True",IF(_xlfn.XLOOKUP("Src_CIDR_17_22",'Scoring_Config'!$A:$A,'Scoring_Config'!$D:$D,"Yes")="Yes",_xlfn.XLOOKUP("Src_CIDR_17_22",'Scoring_Config'!$A:$A,'Scoring_Config'!$C:$C,15),0),0)+IF(LEFT(AF229,4)="True",IF(_xlfn.XLOOKUP("Dst_IsAny",'Scoring_Config'!$A:$A,'Scoring_Config'!$D:$D,"Yes")="Yes",_xlfn.XLOOKUP("Dst_IsAny",'Scoring_Config'!$A:$A,'Scoring_Config'!$C:$C,25),0),0)+IF(LEFT(AG229,4)="True",IF(_xlfn.XLOOKUP("Dst_CIDR_Le_16",'Scoring_Config'!$A:$A,'Scoring_Config'!$D:$D,"Yes")="Yes",_xlfn.XLOOKUP("Dst_CIDR_Le_16",'Scoring_Config'!$A:$A,'Scoring_Config'!$C:$C,25),0),0)+IF(LEFT(AH229,4)="True",IF(_xlfn.XLOOKUP("Dst_CIDR_17_22",'Scoring_Config'!$A:$A,'Scoring_Config'!$D:$D,"Yes")="Yes",_xlfn.XLOOKUP("Dst_CIDR_17_22",'Scoring_Config'!$A:$A,'Scoring_Config'!$C:$C,15),0),0)+IF(LEFT(AI229,4)="True",IF(_xlfn.XLOOKUP("SrcZone_IsAny",'Scoring_Config'!$A:$A,'Scoring_Config'!$D:$D,"Yes")="Yes",_xlfn.XLOOKUP("SrcZone_IsAny",'Scoring_Config'!$A:$A,'Scoring_Config'!$C:$C,5),0),0)+IF(LEFT(AJ229,4)="True",IF(_xlfn.XLOOKUP("DstZone_IsAny",'Scoring_Config'!$A:$A,'Scoring_Config'!$D:$D,"Yes")="Yes",_xlfn.XLOOKUP("DstZone_IsAny",'Scoring_Config'!$A:$A,'Scoring_Config'!$C:$C,5),0),0)+IF(LEFT(AK229,4)="True",IF(_xlfn.XLOOKUP("Service_Any_OR_RangeGt1000",'Scoring_Config'!$A:$A,'Scoring_Config'!$D:$D,"Yes")="Yes",_xlfn.XLOOKUP("Service_Any_OR_RangeGt1000",'Scoring_Config'!$A:$A,'Scoring_Config'!$C:$C,25),0),0)+IF(LEFT(AL229,4)="True",IF(_xlfn.XLOOKUP("App_Any_OR_RangeGt1000",'Scoring_Config'!$A:$A,'Scoring_Config'!$D:$D,"Yes")="Yes",_xlfn.XLOOKUP("App_Any_OR_RangeGt1000",'Scoring_Config'!$A:$A,'Scoring_Config'!$C:$C,25),0),0)+IF(LEFT(AM229,4)="True",IF(_xlfn.XLOOKUP("Service_Insecure_Match",'Scoring_Config'!$A:$A,'Scoring_Config'!$D:$D,"Yes")="Yes",_xlfn.XLOOKUP("Service_Insecure_Match",'Scoring_Config'!$A:$A,'Scoring_Config'!$C:$C,20),0),0)+IF(LEFT(AN229,4)="True",IF(_xlfn.XLOOKUP("Risky_Inbound",'Scoring_Config'!$A:$A,'Scoring_Config'!$D:$D,"Yes")="Yes",_xlfn.XLOOKUP("Risky_Inbound",'Scoring_Config'!$A:$A,'Scoring_Config'!$C:$C,20),0),0)+IF(LEFT(AO229,4)="True",IF(_xlfn.XLOOKUP("Risky_Outbound",'Scoring_Config'!$A:$A,'Scoring_Config'!$D:$D,"Yes")="Yes",_xlfn.XLOOKUP("Risky_Outbound",'Scoring_Config'!$A:$A,'Scoring_Config'!$C:$C,10),0),0)+IF(LEFT(AW229,4)="True",IF(_xlfn.XLOOKUP("Migrate_Insecure",'Scoring_Config'!$A:$A,'Scoring_Config'!$D:$D,"Yes")="Yes",_xlfn.XLOOKUP("Migrate_Insecure",'Scoring_Config'!$A:$A,'Scoring_Config'!$C:$C,15),0),0)+IF(LEFT(AY229,4)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229,FIND(",",AP229)+1,100)),0)+IF(LEFT(AQ229,4)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229,FIND(",",AR229)+1,100)),0)+IF(_xlfn.XLOOKUP("Profile_Scoring",'Scoring_Config'!$A:$A,'Scoring_Config'!$D:$D,"Yes")="Yes",VALUE(MID(AS229,FIND(",",AS229)+1,100)),0)+IF(_xlfn.XLOOKUP("Options_Scoring",'Scoring_Config'!$A:$A,'Scoring_Config'!$D:$D,"Yes")="Yes",VALUE(MID(AT229,FIND(",",AT229)+1,100)),0)))</f>
        <v>0</v>
      </c>
    </row>
    <row r="230" spans="1:52">
      <c r="A230" s="3" t="s">
        <v>53</v>
      </c>
      <c r="B230" s="3" t="s">
        <v>215</v>
      </c>
      <c r="C230" s="3" t="s">
        <v>330</v>
      </c>
      <c r="D230" s="3"/>
      <c r="E230" s="3" t="s">
        <v>359</v>
      </c>
      <c r="F230" s="3" t="s">
        <v>364</v>
      </c>
      <c r="G230" s="3" t="s">
        <v>441</v>
      </c>
      <c r="H230" s="3" t="s">
        <v>577</v>
      </c>
      <c r="I230" s="3" t="s">
        <v>622</v>
      </c>
      <c r="J230" s="3" t="s">
        <v>360</v>
      </c>
      <c r="K230" s="3" t="s">
        <v>685</v>
      </c>
      <c r="L230" s="3" t="s">
        <v>685</v>
      </c>
      <c r="M230" s="3" t="s">
        <v>771</v>
      </c>
      <c r="N230" s="3" t="s">
        <v>793</v>
      </c>
      <c r="O230" s="4" t="s">
        <v>811</v>
      </c>
      <c r="P230" s="3" t="s">
        <v>872</v>
      </c>
      <c r="Q230" s="3" t="s">
        <v>904</v>
      </c>
      <c r="R230" s="3" t="s">
        <v>911</v>
      </c>
      <c r="S230" s="3" t="s">
        <v>916</v>
      </c>
      <c r="T230" s="3" t="s">
        <v>1064</v>
      </c>
      <c r="U230" s="3" t="s">
        <v>1157</v>
      </c>
      <c r="V230" s="3" t="s">
        <v>789</v>
      </c>
      <c r="W230" s="3" t="s">
        <v>1012</v>
      </c>
      <c r="X230" s="3" t="s">
        <v>1834</v>
      </c>
      <c r="Y230" s="3" t="s">
        <v>2303</v>
      </c>
      <c r="Z230" s="3"/>
      <c r="AA230" s="3"/>
      <c r="AB230" s="3"/>
      <c r="AC230" s="4" cm="1">
        <f t="array" ref="AC230">IF(FALSE,"True," &amp; IF(_xlfn.XLOOKUP("Src_IsAny",'Scoring_Config'!$A:$A,'Scoring_Config'!$D:$D,"Yes")="Yes",_xlfn.XLOOKUP("Src_IsAny",'Scoring_Config'!$A:$A,'Scoring_Config'!$C:$C,25),0),"False,0")</f>
        <v>0</v>
      </c>
      <c r="AD230" s="4" cm="1">
        <f t="array" ref="AD230">IF(FALSE,"True," &amp; IF(_xlfn.XLOOKUP("Src_CIDR_Le_16",'Scoring_Config'!$A:$A,'Scoring_Config'!$D:$D,"Yes")="Yes",_xlfn.XLOOKUP("Src_CIDR_Le_16",'Scoring_Config'!$A:$A,'Scoring_Config'!$C:$C,25),0),"False,0")</f>
        <v>0</v>
      </c>
      <c r="AE230" s="4" cm="1">
        <f t="array" ref="AE230">IF(FALSE,"True," &amp; IF(_xlfn.XLOOKUP("Src_CIDR_17_22",'Scoring_Config'!$A:$A,'Scoring_Config'!$D:$D,"Yes")="Yes",_xlfn.XLOOKUP("Src_CIDR_17_22",'Scoring_Config'!$A:$A,'Scoring_Config'!$C:$C,15),0),"False,0")</f>
        <v>0</v>
      </c>
      <c r="AF230" s="4" cm="1">
        <f t="array" ref="AF230">IF(FALSE,"True," &amp; IF(_xlfn.XLOOKUP("Dst_IsAny",'Scoring_Config'!$A:$A,'Scoring_Config'!$D:$D,"Yes")="Yes",_xlfn.XLOOKUP("Dst_IsAny",'Scoring_Config'!$A:$A,'Scoring_Config'!$C:$C,25),0),"False,0")</f>
        <v>0</v>
      </c>
      <c r="AG230" s="4" cm="1">
        <f t="array" ref="AG230">IF(FALSE,"True," &amp; IF(_xlfn.XLOOKUP("Dst_CIDR_Le_16",'Scoring_Config'!$A:$A,'Scoring_Config'!$D:$D,"Yes")="Yes",_xlfn.XLOOKUP("Dst_CIDR_Le_16",'Scoring_Config'!$A:$A,'Scoring_Config'!$C:$C,25),0),"False,0")</f>
        <v>0</v>
      </c>
      <c r="AH230" s="5" cm="1">
        <f t="array" ref="AH230">IF(TRUE,"True," &amp; IF(_xlfn.XLOOKUP("Dst_CIDR_17_22",'Scoring_Config'!$A:$A,'Scoring_Config'!$D:$D,"Yes")="Yes",_xlfn.XLOOKUP("Dst_CIDR_17_22",'Scoring_Config'!$A:$A,'Scoring_Config'!$C:$C,15),0),"False,0")</f>
        <v>0</v>
      </c>
      <c r="AI230" s="4" cm="1">
        <f t="array" ref="AI230">IF(FALSE,"True," &amp; IF(_xlfn.XLOOKUP("SrcZone_IsAny",'Scoring_Config'!$A:$A,'Scoring_Config'!$D:$D,"Yes")="Yes",_xlfn.XLOOKUP("SrcZone_IsAny",'Scoring_Config'!$A:$A,'Scoring_Config'!$C:$C,5),0),"False,0")</f>
        <v>0</v>
      </c>
      <c r="AJ230" s="4" cm="1">
        <f t="array" ref="AJ230">IF(FALSE,"True," &amp; IF(_xlfn.XLOOKUP("DstZone_IsAny",'Scoring_Config'!$A:$A,'Scoring_Config'!$D:$D,"Yes")="Yes",_xlfn.XLOOKUP("DstZone_IsAny",'Scoring_Config'!$A:$A,'Scoring_Config'!$C:$C,5),0),"False,0")</f>
        <v>0</v>
      </c>
      <c r="AK230" s="4" cm="1">
        <f t="array" ref="AK23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0" s="4" cm="1">
        <f t="array" ref="AL230">IF(FALSE,"True," &amp; IF(_xlfn.XLOOKUP("App_Any_OR_RangeGt1000",'Scoring_Config'!$A:$A,'Scoring_Config'!$D:$D,"Yes")="Yes",_xlfn.XLOOKUP("App_Any_OR_RangeGt1000",'Scoring_Config'!$A:$A,'Scoring_Config'!$C:$C,25),0),"False,0")</f>
        <v>0</v>
      </c>
      <c r="AM230" s="5" cm="1">
        <f t="array" ref="AM230">IF(TRUE,"True," &amp; IF(_xlfn.XLOOKUP("Service_Insecure_Match",'Scoring_Config'!$A:$A,'Scoring_Config'!$D:$D,"Yes")="Yes",_xlfn.XLOOKUP("Service_Insecure_Match",'Scoring_Config'!$A:$A,'Scoring_Config'!$C:$C,20),0),"False,0")</f>
        <v>0</v>
      </c>
      <c r="AN230" s="4" cm="1">
        <f t="array" ref="AN230">IF(FALSE,"True," &amp; IF(_xlfn.XLOOKUP("Risky_Inbound",'Scoring_Config'!$A:$A,'Scoring_Config'!$D:$D,"Yes")="Yes",_xlfn.XLOOKUP("Risky_Inbound",'Scoring_Config'!$A:$A,'Scoring_Config'!$C:$C,20),0),"False,0")</f>
        <v>0</v>
      </c>
      <c r="AO230" s="4" cm="1">
        <f t="array" ref="AO230">IF(FALSE,"True," &amp; IF(_xlfn.XLOOKUP("Risky_Outbound",'Scoring_Config'!$A:$A,'Scoring_Config'!$D:$D,"Yes")="Yes",_xlfn.XLOOKUP("Risky_Outbound",'Scoring_Config'!$A:$A,'Scoring_Config'!$C:$C,10),0),"False,0")</f>
        <v>0</v>
      </c>
      <c r="AP230" s="5" t="s">
        <v>2595</v>
      </c>
      <c r="AQ230" s="5" cm="1">
        <f t="array" ref="AQ23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0" s="5" t="s">
        <v>2598</v>
      </c>
      <c r="AS230" s="4" t="s">
        <v>2592</v>
      </c>
      <c r="AT230" s="4" t="s">
        <v>2592</v>
      </c>
      <c r="AU230" s="5" cm="1">
        <f t="array" ref="AU230">IF(TRUE,"True," &amp; IF(_xlfn.XLOOKUP("Action_IsDenyOrDrop",'Scoring_Config'!$A:$A,'Scoring_Config'!$D:$D,"Yes")="Yes",_xlfn.XLOOKUP("Action_IsDenyOrDrop",'Scoring_Config'!$A:$A,'Scoring_Config'!$C:$C,0),0),"False,0")</f>
        <v>0</v>
      </c>
      <c r="AV230" s="4"/>
      <c r="AW230" s="4" cm="1">
        <f t="array" ref="AW230">IF(FALSE,"True," &amp; IF(_xlfn.XLOOKUP("Migrate_Insecure",'Scoring_Config'!$A:$A,'Scoring_Config'!$D:$D,"Yes")="Yes",_xlfn.XLOOKUP("Migrate_Insecure",'Scoring_Config'!$A:$A,'Scoring_Config'!$C:$C,15),0),"False,0")</f>
        <v>0</v>
      </c>
      <c r="AX230" s="4"/>
      <c r="AY230" s="4" cm="1">
        <f t="array" ref="AY230">IF(FALSE,"True," &amp; IF(_xlfn.XLOOKUP("Migrate_Other_Ports",'Scoring_Config'!$A:$A,'Scoring_Config'!$D:$D,"Yes")="Yes",_xlfn.XLOOKUP("Migrate_Other_Ports",'Scoring_Config'!$A:$A,'Scoring_Config'!$C:$C,5),0),"False,0")</f>
        <v>0</v>
      </c>
      <c r="AZ230" s="4" cm="1">
        <f t="array" ref="AZ230">IF(LEFT(AU230,4)="True",0,(IF(LEFT(AC230,4)="True",IF(_xlfn.XLOOKUP("Src_IsAny",'Scoring_Config'!$A:$A,'Scoring_Config'!$D:$D,"Yes")="Yes",_xlfn.XLOOKUP("Src_IsAny",'Scoring_Config'!$A:$A,'Scoring_Config'!$C:$C,25),0),0)+IF(LEFT(AD230,4)="True",IF(_xlfn.XLOOKUP("Src_CIDR_Le_16",'Scoring_Config'!$A:$A,'Scoring_Config'!$D:$D,"Yes")="Yes",_xlfn.XLOOKUP("Src_CIDR_Le_16",'Scoring_Config'!$A:$A,'Scoring_Config'!$C:$C,25),0),0)+IF(LEFT(AE230,4)="True",IF(_xlfn.XLOOKUP("Src_CIDR_17_22",'Scoring_Config'!$A:$A,'Scoring_Config'!$D:$D,"Yes")="Yes",_xlfn.XLOOKUP("Src_CIDR_17_22",'Scoring_Config'!$A:$A,'Scoring_Config'!$C:$C,15),0),0)+IF(LEFT(AF230,4)="True",IF(_xlfn.XLOOKUP("Dst_IsAny",'Scoring_Config'!$A:$A,'Scoring_Config'!$D:$D,"Yes")="Yes",_xlfn.XLOOKUP("Dst_IsAny",'Scoring_Config'!$A:$A,'Scoring_Config'!$C:$C,25),0),0)+IF(LEFT(AG230,4)="True",IF(_xlfn.XLOOKUP("Dst_CIDR_Le_16",'Scoring_Config'!$A:$A,'Scoring_Config'!$D:$D,"Yes")="Yes",_xlfn.XLOOKUP("Dst_CIDR_Le_16",'Scoring_Config'!$A:$A,'Scoring_Config'!$C:$C,25),0),0)+IF(LEFT(AH230,4)="True",IF(_xlfn.XLOOKUP("Dst_CIDR_17_22",'Scoring_Config'!$A:$A,'Scoring_Config'!$D:$D,"Yes")="Yes",_xlfn.XLOOKUP("Dst_CIDR_17_22",'Scoring_Config'!$A:$A,'Scoring_Config'!$C:$C,15),0),0)+IF(LEFT(AI230,4)="True",IF(_xlfn.XLOOKUP("SrcZone_IsAny",'Scoring_Config'!$A:$A,'Scoring_Config'!$D:$D,"Yes")="Yes",_xlfn.XLOOKUP("SrcZone_IsAny",'Scoring_Config'!$A:$A,'Scoring_Config'!$C:$C,5),0),0)+IF(LEFT(AJ230,4)="True",IF(_xlfn.XLOOKUP("DstZone_IsAny",'Scoring_Config'!$A:$A,'Scoring_Config'!$D:$D,"Yes")="Yes",_xlfn.XLOOKUP("DstZone_IsAny",'Scoring_Config'!$A:$A,'Scoring_Config'!$C:$C,5),0),0)+IF(LEFT(AK230,4)="True",IF(_xlfn.XLOOKUP("Service_Any_OR_RangeGt1000",'Scoring_Config'!$A:$A,'Scoring_Config'!$D:$D,"Yes")="Yes",_xlfn.XLOOKUP("Service_Any_OR_RangeGt1000",'Scoring_Config'!$A:$A,'Scoring_Config'!$C:$C,25),0),0)+IF(LEFT(AL230,4)="True",IF(_xlfn.XLOOKUP("App_Any_OR_RangeGt1000",'Scoring_Config'!$A:$A,'Scoring_Config'!$D:$D,"Yes")="Yes",_xlfn.XLOOKUP("App_Any_OR_RangeGt1000",'Scoring_Config'!$A:$A,'Scoring_Config'!$C:$C,25),0),0)+IF(LEFT(AM230,4)="True",IF(_xlfn.XLOOKUP("Service_Insecure_Match",'Scoring_Config'!$A:$A,'Scoring_Config'!$D:$D,"Yes")="Yes",_xlfn.XLOOKUP("Service_Insecure_Match",'Scoring_Config'!$A:$A,'Scoring_Config'!$C:$C,20),0),0)+IF(LEFT(AN230,4)="True",IF(_xlfn.XLOOKUP("Risky_Inbound",'Scoring_Config'!$A:$A,'Scoring_Config'!$D:$D,"Yes")="Yes",_xlfn.XLOOKUP("Risky_Inbound",'Scoring_Config'!$A:$A,'Scoring_Config'!$C:$C,20),0),0)+IF(LEFT(AO230,4)="True",IF(_xlfn.XLOOKUP("Risky_Outbound",'Scoring_Config'!$A:$A,'Scoring_Config'!$D:$D,"Yes")="Yes",_xlfn.XLOOKUP("Risky_Outbound",'Scoring_Config'!$A:$A,'Scoring_Config'!$C:$C,10),0),0)+IF(LEFT(AW230,4)="True",IF(_xlfn.XLOOKUP("Migrate_Insecure",'Scoring_Config'!$A:$A,'Scoring_Config'!$D:$D,"Yes")="Yes",_xlfn.XLOOKUP("Migrate_Insecure",'Scoring_Config'!$A:$A,'Scoring_Config'!$C:$C,15),0),0)+IF(LEFT(AY230,4)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230,FIND(",",AP230)+1,100)),0)+IF(LEFT(AQ230,4)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230,FIND(",",AR230)+1,100)),0)+IF(_xlfn.XLOOKUP("Profile_Scoring",'Scoring_Config'!$A:$A,'Scoring_Config'!$D:$D,"Yes")="Yes",VALUE(MID(AS230,FIND(",",AS230)+1,100)),0)+IF(_xlfn.XLOOKUP("Options_Scoring",'Scoring_Config'!$A:$A,'Scoring_Config'!$D:$D,"Yes")="Yes",VALUE(MID(AT230,FIND(",",AT230)+1,100)),0)))</f>
        <v>0</v>
      </c>
    </row>
    <row r="231" spans="1:52">
      <c r="A231" s="3" t="s">
        <v>53</v>
      </c>
      <c r="B231" s="3" t="s">
        <v>124</v>
      </c>
      <c r="C231" s="3" t="s">
        <v>330</v>
      </c>
      <c r="D231" s="3"/>
      <c r="E231" s="3" t="s">
        <v>359</v>
      </c>
      <c r="F231" s="3" t="s">
        <v>361</v>
      </c>
      <c r="G231" s="3" t="s">
        <v>365</v>
      </c>
      <c r="H231" s="3" t="s">
        <v>365</v>
      </c>
      <c r="I231" s="3" t="s">
        <v>625</v>
      </c>
      <c r="J231" s="3" t="s">
        <v>364</v>
      </c>
      <c r="K231" s="3" t="s">
        <v>365</v>
      </c>
      <c r="L231" s="3" t="s">
        <v>365</v>
      </c>
      <c r="M231" s="3" t="s">
        <v>365</v>
      </c>
      <c r="N231" s="3" t="s">
        <v>365</v>
      </c>
      <c r="O231" s="4" t="s">
        <v>806</v>
      </c>
      <c r="P231" s="3" t="s">
        <v>867</v>
      </c>
      <c r="Q231" s="3" t="s">
        <v>905</v>
      </c>
      <c r="R231" s="3" t="s">
        <v>907</v>
      </c>
      <c r="S231" s="3" t="s">
        <v>907</v>
      </c>
      <c r="T231" s="3" t="s">
        <v>1065</v>
      </c>
      <c r="U231" s="3" t="s">
        <v>1145</v>
      </c>
      <c r="V231" s="3" t="s">
        <v>1388</v>
      </c>
      <c r="W231" s="3" t="s">
        <v>976</v>
      </c>
      <c r="X231" s="3" t="s">
        <v>1835</v>
      </c>
      <c r="Y231" s="3" t="s">
        <v>2304</v>
      </c>
      <c r="Z231" s="3"/>
      <c r="AA231" s="3"/>
      <c r="AB231" s="3"/>
      <c r="AC231" s="5" cm="1">
        <f t="array" ref="AC231">IF(TRUE,"True," &amp; IF(_xlfn.XLOOKUP("Src_IsAny",'Scoring_Config'!$A:$A,'Scoring_Config'!$D:$D,"Yes")="Yes",_xlfn.XLOOKUP("Src_IsAny",'Scoring_Config'!$A:$A,'Scoring_Config'!$C:$C,25),0),"False,0")</f>
        <v>0</v>
      </c>
      <c r="AD231" s="4" cm="1">
        <f t="array" ref="AD231">IF(FALSE,"True," &amp; IF(_xlfn.XLOOKUP("Src_CIDR_Le_16",'Scoring_Config'!$A:$A,'Scoring_Config'!$D:$D,"Yes")="Yes",_xlfn.XLOOKUP("Src_CIDR_Le_16",'Scoring_Config'!$A:$A,'Scoring_Config'!$C:$C,25),0),"False,0")</f>
        <v>0</v>
      </c>
      <c r="AE231" s="4" cm="1">
        <f t="array" ref="AE231">IF(FALSE,"True," &amp; IF(_xlfn.XLOOKUP("Src_CIDR_17_22",'Scoring_Config'!$A:$A,'Scoring_Config'!$D:$D,"Yes")="Yes",_xlfn.XLOOKUP("Src_CIDR_17_22",'Scoring_Config'!$A:$A,'Scoring_Config'!$C:$C,15),0),"False,0")</f>
        <v>0</v>
      </c>
      <c r="AF231" s="5" cm="1">
        <f t="array" ref="AF231">IF(TRUE,"True," &amp; IF(_xlfn.XLOOKUP("Dst_IsAny",'Scoring_Config'!$A:$A,'Scoring_Config'!$D:$D,"Yes")="Yes",_xlfn.XLOOKUP("Dst_IsAny",'Scoring_Config'!$A:$A,'Scoring_Config'!$C:$C,25),0),"False,0")</f>
        <v>0</v>
      </c>
      <c r="AG231" s="4" cm="1">
        <f t="array" ref="AG231">IF(FALSE,"True," &amp; IF(_xlfn.XLOOKUP("Dst_CIDR_Le_16",'Scoring_Config'!$A:$A,'Scoring_Config'!$D:$D,"Yes")="Yes",_xlfn.XLOOKUP("Dst_CIDR_Le_16",'Scoring_Config'!$A:$A,'Scoring_Config'!$C:$C,25),0),"False,0")</f>
        <v>0</v>
      </c>
      <c r="AH231" s="4" cm="1">
        <f t="array" ref="AH231">IF(FALSE,"True," &amp; IF(_xlfn.XLOOKUP("Dst_CIDR_17_22",'Scoring_Config'!$A:$A,'Scoring_Config'!$D:$D,"Yes")="Yes",_xlfn.XLOOKUP("Dst_CIDR_17_22",'Scoring_Config'!$A:$A,'Scoring_Config'!$C:$C,15),0),"False,0")</f>
        <v>0</v>
      </c>
      <c r="AI231" s="4" cm="1">
        <f t="array" ref="AI231">IF(FALSE,"True," &amp; IF(_xlfn.XLOOKUP("SrcZone_IsAny",'Scoring_Config'!$A:$A,'Scoring_Config'!$D:$D,"Yes")="Yes",_xlfn.XLOOKUP("SrcZone_IsAny",'Scoring_Config'!$A:$A,'Scoring_Config'!$C:$C,5),0),"False,0")</f>
        <v>0</v>
      </c>
      <c r="AJ231" s="4" cm="1">
        <f t="array" ref="AJ231">IF(FALSE,"True," &amp; IF(_xlfn.XLOOKUP("DstZone_IsAny",'Scoring_Config'!$A:$A,'Scoring_Config'!$D:$D,"Yes")="Yes",_xlfn.XLOOKUP("DstZone_IsAny",'Scoring_Config'!$A:$A,'Scoring_Config'!$C:$C,5),0),"False,0")</f>
        <v>0</v>
      </c>
      <c r="AK231" s="4" cm="1">
        <f t="array" ref="AK23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1" s="5" cm="1">
        <f t="array" ref="AL231">IF(TRUE,"True," &amp; IF(_xlfn.XLOOKUP("App_Any_OR_RangeGt1000",'Scoring_Config'!$A:$A,'Scoring_Config'!$D:$D,"Yes")="Yes",_xlfn.XLOOKUP("App_Any_OR_RangeGt1000",'Scoring_Config'!$A:$A,'Scoring_Config'!$C:$C,25),0),"False,0")</f>
        <v>0</v>
      </c>
      <c r="AM231" s="5" cm="1">
        <f t="array" ref="AM231">IF(TRUE,"True," &amp; IF(_xlfn.XLOOKUP("Service_Insecure_Match",'Scoring_Config'!$A:$A,'Scoring_Config'!$D:$D,"Yes")="Yes",_xlfn.XLOOKUP("Service_Insecure_Match",'Scoring_Config'!$A:$A,'Scoring_Config'!$C:$C,20),0),"False,0")</f>
        <v>0</v>
      </c>
      <c r="AN231" s="4" cm="1">
        <f t="array" ref="AN231">IF(FALSE,"True," &amp; IF(_xlfn.XLOOKUP("Risky_Inbound",'Scoring_Config'!$A:$A,'Scoring_Config'!$D:$D,"Yes")="Yes",_xlfn.XLOOKUP("Risky_Inbound",'Scoring_Config'!$A:$A,'Scoring_Config'!$C:$C,20),0),"False,0")</f>
        <v>0</v>
      </c>
      <c r="AO231" s="4" cm="1">
        <f t="array" ref="AO231">IF(FALSE,"True," &amp; IF(_xlfn.XLOOKUP("Risky_Outbound",'Scoring_Config'!$A:$A,'Scoring_Config'!$D:$D,"Yes")="Yes",_xlfn.XLOOKUP("Risky_Outbound",'Scoring_Config'!$A:$A,'Scoring_Config'!$C:$C,10),0),"False,0")</f>
        <v>0</v>
      </c>
      <c r="AP231" s="5" t="s">
        <v>2595</v>
      </c>
      <c r="AQ231" s="5" cm="1">
        <f t="array" ref="AQ23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1" s="5" t="s">
        <v>2598</v>
      </c>
      <c r="AS231" s="5" t="s">
        <v>2595</v>
      </c>
      <c r="AT231" s="5" t="s">
        <v>2595</v>
      </c>
      <c r="AU231" s="4" cm="1">
        <f t="array" ref="AU231">IF(FALSE,"True," &amp; IF(_xlfn.XLOOKUP("Action_IsDenyOrDrop",'Scoring_Config'!$A:$A,'Scoring_Config'!$D:$D,"Yes")="Yes",_xlfn.XLOOKUP("Action_IsDenyOrDrop",'Scoring_Config'!$A:$A,'Scoring_Config'!$C:$C,0),0),"False,0")</f>
        <v>0</v>
      </c>
      <c r="AV231" s="4"/>
      <c r="AW231" s="4" cm="1">
        <f t="array" ref="AW231">IF(FALSE,"True," &amp; IF(_xlfn.XLOOKUP("Migrate_Insecure",'Scoring_Config'!$A:$A,'Scoring_Config'!$D:$D,"Yes")="Yes",_xlfn.XLOOKUP("Migrate_Insecure",'Scoring_Config'!$A:$A,'Scoring_Config'!$C:$C,15),0),"False,0")</f>
        <v>0</v>
      </c>
      <c r="AX231" s="4"/>
      <c r="AY231" s="4" cm="1">
        <f t="array" ref="AY231">IF(FALSE,"True," &amp; IF(_xlfn.XLOOKUP("Migrate_Other_Ports",'Scoring_Config'!$A:$A,'Scoring_Config'!$D:$D,"Yes")="Yes",_xlfn.XLOOKUP("Migrate_Other_Ports",'Scoring_Config'!$A:$A,'Scoring_Config'!$C:$C,5),0),"False,0")</f>
        <v>0</v>
      </c>
      <c r="AZ231" s="4" cm="1">
        <f t="array" ref="AZ231">IF(LEFT(AU231,4)="True",0,(IF(LEFT(AC231,4)="True",IF(_xlfn.XLOOKUP("Src_IsAny",'Scoring_Config'!$A:$A,'Scoring_Config'!$D:$D,"Yes")="Yes",_xlfn.XLOOKUP("Src_IsAny",'Scoring_Config'!$A:$A,'Scoring_Config'!$C:$C,25),0),0)+IF(LEFT(AD231,4)="True",IF(_xlfn.XLOOKUP("Src_CIDR_Le_16",'Scoring_Config'!$A:$A,'Scoring_Config'!$D:$D,"Yes")="Yes",_xlfn.XLOOKUP("Src_CIDR_Le_16",'Scoring_Config'!$A:$A,'Scoring_Config'!$C:$C,25),0),0)+IF(LEFT(AE231,4)="True",IF(_xlfn.XLOOKUP("Src_CIDR_17_22",'Scoring_Config'!$A:$A,'Scoring_Config'!$D:$D,"Yes")="Yes",_xlfn.XLOOKUP("Src_CIDR_17_22",'Scoring_Config'!$A:$A,'Scoring_Config'!$C:$C,15),0),0)+IF(LEFT(AF231,4)="True",IF(_xlfn.XLOOKUP("Dst_IsAny",'Scoring_Config'!$A:$A,'Scoring_Config'!$D:$D,"Yes")="Yes",_xlfn.XLOOKUP("Dst_IsAny",'Scoring_Config'!$A:$A,'Scoring_Config'!$C:$C,25),0),0)+IF(LEFT(AG231,4)="True",IF(_xlfn.XLOOKUP("Dst_CIDR_Le_16",'Scoring_Config'!$A:$A,'Scoring_Config'!$D:$D,"Yes")="Yes",_xlfn.XLOOKUP("Dst_CIDR_Le_16",'Scoring_Config'!$A:$A,'Scoring_Config'!$C:$C,25),0),0)+IF(LEFT(AH231,4)="True",IF(_xlfn.XLOOKUP("Dst_CIDR_17_22",'Scoring_Config'!$A:$A,'Scoring_Config'!$D:$D,"Yes")="Yes",_xlfn.XLOOKUP("Dst_CIDR_17_22",'Scoring_Config'!$A:$A,'Scoring_Config'!$C:$C,15),0),0)+IF(LEFT(AI231,4)="True",IF(_xlfn.XLOOKUP("SrcZone_IsAny",'Scoring_Config'!$A:$A,'Scoring_Config'!$D:$D,"Yes")="Yes",_xlfn.XLOOKUP("SrcZone_IsAny",'Scoring_Config'!$A:$A,'Scoring_Config'!$C:$C,5),0),0)+IF(LEFT(AJ231,4)="True",IF(_xlfn.XLOOKUP("DstZone_IsAny",'Scoring_Config'!$A:$A,'Scoring_Config'!$D:$D,"Yes")="Yes",_xlfn.XLOOKUP("DstZone_IsAny",'Scoring_Config'!$A:$A,'Scoring_Config'!$C:$C,5),0),0)+IF(LEFT(AK231,4)="True",IF(_xlfn.XLOOKUP("Service_Any_OR_RangeGt1000",'Scoring_Config'!$A:$A,'Scoring_Config'!$D:$D,"Yes")="Yes",_xlfn.XLOOKUP("Service_Any_OR_RangeGt1000",'Scoring_Config'!$A:$A,'Scoring_Config'!$C:$C,25),0),0)+IF(LEFT(AL231,4)="True",IF(_xlfn.XLOOKUP("App_Any_OR_RangeGt1000",'Scoring_Config'!$A:$A,'Scoring_Config'!$D:$D,"Yes")="Yes",_xlfn.XLOOKUP("App_Any_OR_RangeGt1000",'Scoring_Config'!$A:$A,'Scoring_Config'!$C:$C,25),0),0)+IF(LEFT(AM231,4)="True",IF(_xlfn.XLOOKUP("Service_Insecure_Match",'Scoring_Config'!$A:$A,'Scoring_Config'!$D:$D,"Yes")="Yes",_xlfn.XLOOKUP("Service_Insecure_Match",'Scoring_Config'!$A:$A,'Scoring_Config'!$C:$C,20),0),0)+IF(LEFT(AN231,4)="True",IF(_xlfn.XLOOKUP("Risky_Inbound",'Scoring_Config'!$A:$A,'Scoring_Config'!$D:$D,"Yes")="Yes",_xlfn.XLOOKUP("Risky_Inbound",'Scoring_Config'!$A:$A,'Scoring_Config'!$C:$C,20),0),0)+IF(LEFT(AO231,4)="True",IF(_xlfn.XLOOKUP("Risky_Outbound",'Scoring_Config'!$A:$A,'Scoring_Config'!$D:$D,"Yes")="Yes",_xlfn.XLOOKUP("Risky_Outbound",'Scoring_Config'!$A:$A,'Scoring_Config'!$C:$C,10),0),0)+IF(LEFT(AW231,4)="True",IF(_xlfn.XLOOKUP("Migrate_Insecure",'Scoring_Config'!$A:$A,'Scoring_Config'!$D:$D,"Yes")="Yes",_xlfn.XLOOKUP("Migrate_Insecure",'Scoring_Config'!$A:$A,'Scoring_Config'!$C:$C,15),0),0)+IF(LEFT(AY231,4)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231,FIND(",",AP231)+1,100)),0)+IF(LEFT(AQ231,4)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231,FIND(",",AR231)+1,100)),0)+IF(_xlfn.XLOOKUP("Profile_Scoring",'Scoring_Config'!$A:$A,'Scoring_Config'!$D:$D,"Yes")="Yes",VALUE(MID(AS231,FIND(",",AS231)+1,100)),0)+IF(_xlfn.XLOOKUP("Options_Scoring",'Scoring_Config'!$A:$A,'Scoring_Config'!$D:$D,"Yes")="Yes",VALUE(MID(AT231,FIND(",",AT231)+1,100)),0)))</f>
        <v>0</v>
      </c>
    </row>
    <row r="232" spans="1:52">
      <c r="A232" s="3" t="s">
        <v>53</v>
      </c>
      <c r="B232" s="3" t="s">
        <v>191</v>
      </c>
      <c r="C232" s="3" t="s">
        <v>330</v>
      </c>
      <c r="D232" s="3"/>
      <c r="E232" s="3" t="s">
        <v>359</v>
      </c>
      <c r="F232" s="3" t="s">
        <v>361</v>
      </c>
      <c r="G232" s="3" t="s">
        <v>365</v>
      </c>
      <c r="H232" s="3" t="s">
        <v>365</v>
      </c>
      <c r="I232" s="3" t="s">
        <v>622</v>
      </c>
      <c r="J232" s="3" t="s">
        <v>360</v>
      </c>
      <c r="K232" s="3" t="s">
        <v>365</v>
      </c>
      <c r="L232" s="3" t="s">
        <v>365</v>
      </c>
      <c r="M232" s="3" t="s">
        <v>365</v>
      </c>
      <c r="N232" s="3" t="s">
        <v>365</v>
      </c>
      <c r="O232" s="4" t="s">
        <v>829</v>
      </c>
      <c r="P232" s="3" t="s">
        <v>890</v>
      </c>
      <c r="Q232" s="3" t="s">
        <v>905</v>
      </c>
      <c r="R232" s="3" t="s">
        <v>907</v>
      </c>
      <c r="S232" s="3" t="s">
        <v>907</v>
      </c>
      <c r="T232" s="3" t="s">
        <v>1066</v>
      </c>
      <c r="U232" s="3" t="s">
        <v>1261</v>
      </c>
      <c r="V232" s="3" t="s">
        <v>789</v>
      </c>
      <c r="W232" s="3" t="s">
        <v>1119</v>
      </c>
      <c r="X232" s="3" t="s">
        <v>1836</v>
      </c>
      <c r="Y232" s="3" t="s">
        <v>2305</v>
      </c>
      <c r="Z232" s="3"/>
      <c r="AA232" s="3"/>
      <c r="AB232" s="3"/>
      <c r="AC232" s="5" cm="1">
        <f t="array" ref="AC232">IF(TRUE,"True," &amp; IF(_xlfn.XLOOKUP("Src_IsAny",'Scoring_Config'!$A:$A,'Scoring_Config'!$D:$D,"Yes")="Yes",_xlfn.XLOOKUP("Src_IsAny",'Scoring_Config'!$A:$A,'Scoring_Config'!$C:$C,25),0),"False,0")</f>
        <v>0</v>
      </c>
      <c r="AD232" s="4" cm="1">
        <f t="array" ref="AD232">IF(FALSE,"True," &amp; IF(_xlfn.XLOOKUP("Src_CIDR_Le_16",'Scoring_Config'!$A:$A,'Scoring_Config'!$D:$D,"Yes")="Yes",_xlfn.XLOOKUP("Src_CIDR_Le_16",'Scoring_Config'!$A:$A,'Scoring_Config'!$C:$C,25),0),"False,0")</f>
        <v>0</v>
      </c>
      <c r="AE232" s="4" cm="1">
        <f t="array" ref="AE232">IF(FALSE,"True," &amp; IF(_xlfn.XLOOKUP("Src_CIDR_17_22",'Scoring_Config'!$A:$A,'Scoring_Config'!$D:$D,"Yes")="Yes",_xlfn.XLOOKUP("Src_CIDR_17_22",'Scoring_Config'!$A:$A,'Scoring_Config'!$C:$C,15),0),"False,0")</f>
        <v>0</v>
      </c>
      <c r="AF232" s="5" cm="1">
        <f t="array" ref="AF232">IF(TRUE,"True," &amp; IF(_xlfn.XLOOKUP("Dst_IsAny",'Scoring_Config'!$A:$A,'Scoring_Config'!$D:$D,"Yes")="Yes",_xlfn.XLOOKUP("Dst_IsAny",'Scoring_Config'!$A:$A,'Scoring_Config'!$C:$C,25),0),"False,0")</f>
        <v>0</v>
      </c>
      <c r="AG232" s="4" cm="1">
        <f t="array" ref="AG232">IF(FALSE,"True," &amp; IF(_xlfn.XLOOKUP("Dst_CIDR_Le_16",'Scoring_Config'!$A:$A,'Scoring_Config'!$D:$D,"Yes")="Yes",_xlfn.XLOOKUP("Dst_CIDR_Le_16",'Scoring_Config'!$A:$A,'Scoring_Config'!$C:$C,25),0),"False,0")</f>
        <v>0</v>
      </c>
      <c r="AH232" s="4" cm="1">
        <f t="array" ref="AH232">IF(FALSE,"True," &amp; IF(_xlfn.XLOOKUP("Dst_CIDR_17_22",'Scoring_Config'!$A:$A,'Scoring_Config'!$D:$D,"Yes")="Yes",_xlfn.XLOOKUP("Dst_CIDR_17_22",'Scoring_Config'!$A:$A,'Scoring_Config'!$C:$C,15),0),"False,0")</f>
        <v>0</v>
      </c>
      <c r="AI232" s="4" cm="1">
        <f t="array" ref="AI232">IF(FALSE,"True," &amp; IF(_xlfn.XLOOKUP("SrcZone_IsAny",'Scoring_Config'!$A:$A,'Scoring_Config'!$D:$D,"Yes")="Yes",_xlfn.XLOOKUP("SrcZone_IsAny",'Scoring_Config'!$A:$A,'Scoring_Config'!$C:$C,5),0),"False,0")</f>
        <v>0</v>
      </c>
      <c r="AJ232" s="4" cm="1">
        <f t="array" ref="AJ232">IF(FALSE,"True," &amp; IF(_xlfn.XLOOKUP("DstZone_IsAny",'Scoring_Config'!$A:$A,'Scoring_Config'!$D:$D,"Yes")="Yes",_xlfn.XLOOKUP("DstZone_IsAny",'Scoring_Config'!$A:$A,'Scoring_Config'!$C:$C,5),0),"False,0")</f>
        <v>0</v>
      </c>
      <c r="AK232" s="4" cm="1">
        <f t="array" ref="AK23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2" s="5" cm="1">
        <f t="array" ref="AL232">IF(TRUE,"True," &amp; IF(_xlfn.XLOOKUP("App_Any_OR_RangeGt1000",'Scoring_Config'!$A:$A,'Scoring_Config'!$D:$D,"Yes")="Yes",_xlfn.XLOOKUP("App_Any_OR_RangeGt1000",'Scoring_Config'!$A:$A,'Scoring_Config'!$C:$C,25),0),"False,0")</f>
        <v>0</v>
      </c>
      <c r="AM232" s="5" cm="1">
        <f t="array" ref="AM232">IF(TRUE,"True," &amp; IF(_xlfn.XLOOKUP("Service_Insecure_Match",'Scoring_Config'!$A:$A,'Scoring_Config'!$D:$D,"Yes")="Yes",_xlfn.XLOOKUP("Service_Insecure_Match",'Scoring_Config'!$A:$A,'Scoring_Config'!$C:$C,20),0),"False,0")</f>
        <v>0</v>
      </c>
      <c r="AN232" s="4" cm="1">
        <f t="array" ref="AN232">IF(FALSE,"True," &amp; IF(_xlfn.XLOOKUP("Risky_Inbound",'Scoring_Config'!$A:$A,'Scoring_Config'!$D:$D,"Yes")="Yes",_xlfn.XLOOKUP("Risky_Inbound",'Scoring_Config'!$A:$A,'Scoring_Config'!$C:$C,20),0),"False,0")</f>
        <v>0</v>
      </c>
      <c r="AO232" s="4" cm="1">
        <f t="array" ref="AO232">IF(FALSE,"True," &amp; IF(_xlfn.XLOOKUP("Risky_Outbound",'Scoring_Config'!$A:$A,'Scoring_Config'!$D:$D,"Yes")="Yes",_xlfn.XLOOKUP("Risky_Outbound",'Scoring_Config'!$A:$A,'Scoring_Config'!$C:$C,10),0),"False,0")</f>
        <v>0</v>
      </c>
      <c r="AP232" s="5" t="s">
        <v>2595</v>
      </c>
      <c r="AQ232" s="4" cm="1">
        <f t="array" ref="AQ23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2" s="5" t="s">
        <v>2598</v>
      </c>
      <c r="AS232" s="5" t="s">
        <v>2595</v>
      </c>
      <c r="AT232" s="5" t="s">
        <v>2595</v>
      </c>
      <c r="AU232" s="4" cm="1">
        <f t="array" ref="AU232">IF(FALSE,"True," &amp; IF(_xlfn.XLOOKUP("Action_IsDenyOrDrop",'Scoring_Config'!$A:$A,'Scoring_Config'!$D:$D,"Yes")="Yes",_xlfn.XLOOKUP("Action_IsDenyOrDrop",'Scoring_Config'!$A:$A,'Scoring_Config'!$C:$C,0),0),"False,0")</f>
        <v>0</v>
      </c>
      <c r="AV232" s="4"/>
      <c r="AW232" s="4" cm="1">
        <f t="array" ref="AW232">IF(FALSE,"True," &amp; IF(_xlfn.XLOOKUP("Migrate_Insecure",'Scoring_Config'!$A:$A,'Scoring_Config'!$D:$D,"Yes")="Yes",_xlfn.XLOOKUP("Migrate_Insecure",'Scoring_Config'!$A:$A,'Scoring_Config'!$C:$C,15),0),"False,0")</f>
        <v>0</v>
      </c>
      <c r="AX232" s="4"/>
      <c r="AY232" s="4" cm="1">
        <f t="array" ref="AY232">IF(FALSE,"True," &amp; IF(_xlfn.XLOOKUP("Migrate_Other_Ports",'Scoring_Config'!$A:$A,'Scoring_Config'!$D:$D,"Yes")="Yes",_xlfn.XLOOKUP("Migrate_Other_Ports",'Scoring_Config'!$A:$A,'Scoring_Config'!$C:$C,5),0),"False,0")</f>
        <v>0</v>
      </c>
      <c r="AZ232" s="4" cm="1">
        <f t="array" ref="AZ232">IF(LEFT(AU232,4)="True",0,(IF(LEFT(AC232,4)="True",IF(_xlfn.XLOOKUP("Src_IsAny",'Scoring_Config'!$A:$A,'Scoring_Config'!$D:$D,"Yes")="Yes",_xlfn.XLOOKUP("Src_IsAny",'Scoring_Config'!$A:$A,'Scoring_Config'!$C:$C,25),0),0)+IF(LEFT(AD232,4)="True",IF(_xlfn.XLOOKUP("Src_CIDR_Le_16",'Scoring_Config'!$A:$A,'Scoring_Config'!$D:$D,"Yes")="Yes",_xlfn.XLOOKUP("Src_CIDR_Le_16",'Scoring_Config'!$A:$A,'Scoring_Config'!$C:$C,25),0),0)+IF(LEFT(AE232,4)="True",IF(_xlfn.XLOOKUP("Src_CIDR_17_22",'Scoring_Config'!$A:$A,'Scoring_Config'!$D:$D,"Yes")="Yes",_xlfn.XLOOKUP("Src_CIDR_17_22",'Scoring_Config'!$A:$A,'Scoring_Config'!$C:$C,15),0),0)+IF(LEFT(AF232,4)="True",IF(_xlfn.XLOOKUP("Dst_IsAny",'Scoring_Config'!$A:$A,'Scoring_Config'!$D:$D,"Yes")="Yes",_xlfn.XLOOKUP("Dst_IsAny",'Scoring_Config'!$A:$A,'Scoring_Config'!$C:$C,25),0),0)+IF(LEFT(AG232,4)="True",IF(_xlfn.XLOOKUP("Dst_CIDR_Le_16",'Scoring_Config'!$A:$A,'Scoring_Config'!$D:$D,"Yes")="Yes",_xlfn.XLOOKUP("Dst_CIDR_Le_16",'Scoring_Config'!$A:$A,'Scoring_Config'!$C:$C,25),0),0)+IF(LEFT(AH232,4)="True",IF(_xlfn.XLOOKUP("Dst_CIDR_17_22",'Scoring_Config'!$A:$A,'Scoring_Config'!$D:$D,"Yes")="Yes",_xlfn.XLOOKUP("Dst_CIDR_17_22",'Scoring_Config'!$A:$A,'Scoring_Config'!$C:$C,15),0),0)+IF(LEFT(AI232,4)="True",IF(_xlfn.XLOOKUP("SrcZone_IsAny",'Scoring_Config'!$A:$A,'Scoring_Config'!$D:$D,"Yes")="Yes",_xlfn.XLOOKUP("SrcZone_IsAny",'Scoring_Config'!$A:$A,'Scoring_Config'!$C:$C,5),0),0)+IF(LEFT(AJ232,4)="True",IF(_xlfn.XLOOKUP("DstZone_IsAny",'Scoring_Config'!$A:$A,'Scoring_Config'!$D:$D,"Yes")="Yes",_xlfn.XLOOKUP("DstZone_IsAny",'Scoring_Config'!$A:$A,'Scoring_Config'!$C:$C,5),0),0)+IF(LEFT(AK232,4)="True",IF(_xlfn.XLOOKUP("Service_Any_OR_RangeGt1000",'Scoring_Config'!$A:$A,'Scoring_Config'!$D:$D,"Yes")="Yes",_xlfn.XLOOKUP("Service_Any_OR_RangeGt1000",'Scoring_Config'!$A:$A,'Scoring_Config'!$C:$C,25),0),0)+IF(LEFT(AL232,4)="True",IF(_xlfn.XLOOKUP("App_Any_OR_RangeGt1000",'Scoring_Config'!$A:$A,'Scoring_Config'!$D:$D,"Yes")="Yes",_xlfn.XLOOKUP("App_Any_OR_RangeGt1000",'Scoring_Config'!$A:$A,'Scoring_Config'!$C:$C,25),0),0)+IF(LEFT(AM232,4)="True",IF(_xlfn.XLOOKUP("Service_Insecure_Match",'Scoring_Config'!$A:$A,'Scoring_Config'!$D:$D,"Yes")="Yes",_xlfn.XLOOKUP("Service_Insecure_Match",'Scoring_Config'!$A:$A,'Scoring_Config'!$C:$C,20),0),0)+IF(LEFT(AN232,4)="True",IF(_xlfn.XLOOKUP("Risky_Inbound",'Scoring_Config'!$A:$A,'Scoring_Config'!$D:$D,"Yes")="Yes",_xlfn.XLOOKUP("Risky_Inbound",'Scoring_Config'!$A:$A,'Scoring_Config'!$C:$C,20),0),0)+IF(LEFT(AO232,4)="True",IF(_xlfn.XLOOKUP("Risky_Outbound",'Scoring_Config'!$A:$A,'Scoring_Config'!$D:$D,"Yes")="Yes",_xlfn.XLOOKUP("Risky_Outbound",'Scoring_Config'!$A:$A,'Scoring_Config'!$C:$C,10),0),0)+IF(LEFT(AW232,4)="True",IF(_xlfn.XLOOKUP("Migrate_Insecure",'Scoring_Config'!$A:$A,'Scoring_Config'!$D:$D,"Yes")="Yes",_xlfn.XLOOKUP("Migrate_Insecure",'Scoring_Config'!$A:$A,'Scoring_Config'!$C:$C,15),0),0)+IF(LEFT(AY232,4)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232,FIND(",",AP232)+1,100)),0)+IF(LEFT(AQ232,4)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232,FIND(",",AR232)+1,100)),0)+IF(_xlfn.XLOOKUP("Profile_Scoring",'Scoring_Config'!$A:$A,'Scoring_Config'!$D:$D,"Yes")="Yes",VALUE(MID(AS232,FIND(",",AS232)+1,100)),0)+IF(_xlfn.XLOOKUP("Options_Scoring",'Scoring_Config'!$A:$A,'Scoring_Config'!$D:$D,"Yes")="Yes",VALUE(MID(AT232,FIND(",",AT232)+1,100)),0)))</f>
        <v>0</v>
      </c>
    </row>
    <row r="233" spans="1:52">
      <c r="A233" s="3" t="s">
        <v>53</v>
      </c>
      <c r="B233" s="3" t="s">
        <v>216</v>
      </c>
      <c r="C233" s="3" t="s">
        <v>330</v>
      </c>
      <c r="D233" s="3"/>
      <c r="E233" s="3" t="s">
        <v>359</v>
      </c>
      <c r="F233" s="3" t="s">
        <v>363</v>
      </c>
      <c r="G233" s="3" t="s">
        <v>365</v>
      </c>
      <c r="H233" s="3" t="s">
        <v>365</v>
      </c>
      <c r="I233" s="3" t="s">
        <v>622</v>
      </c>
      <c r="J233" s="3" t="s">
        <v>363</v>
      </c>
      <c r="K233" s="3" t="s">
        <v>686</v>
      </c>
      <c r="L233" s="3" t="s">
        <v>686</v>
      </c>
      <c r="M233" s="3" t="s">
        <v>776</v>
      </c>
      <c r="N233" s="3" t="s">
        <v>791</v>
      </c>
      <c r="O233" s="4" t="s">
        <v>833</v>
      </c>
      <c r="P233" s="3" t="s">
        <v>894</v>
      </c>
      <c r="Q233" s="3" t="s">
        <v>905</v>
      </c>
      <c r="R233" s="3" t="s">
        <v>910</v>
      </c>
      <c r="S233" s="3" t="s">
        <v>916</v>
      </c>
      <c r="T233" s="3" t="s">
        <v>919</v>
      </c>
      <c r="U233" s="3" t="s">
        <v>1157</v>
      </c>
      <c r="V233" s="3" t="s">
        <v>789</v>
      </c>
      <c r="W233" s="3" t="s">
        <v>1522</v>
      </c>
      <c r="X233" s="3" t="s">
        <v>1837</v>
      </c>
      <c r="Y233" s="3" t="s">
        <v>2306</v>
      </c>
      <c r="Z233" s="3"/>
      <c r="AA233" s="3"/>
      <c r="AB233" s="3"/>
      <c r="AC233" s="5" cm="1">
        <f t="array" ref="AC233">IF(TRUE,"True," &amp; IF(_xlfn.XLOOKUP("Src_IsAny",'Scoring_Config'!$A:$A,'Scoring_Config'!$D:$D,"Yes")="Yes",_xlfn.XLOOKUP("Src_IsAny",'Scoring_Config'!$A:$A,'Scoring_Config'!$C:$C,25),0),"False,0")</f>
        <v>0</v>
      </c>
      <c r="AD233" s="4" cm="1">
        <f t="array" ref="AD233">IF(FALSE,"True," &amp; IF(_xlfn.XLOOKUP("Src_CIDR_Le_16",'Scoring_Config'!$A:$A,'Scoring_Config'!$D:$D,"Yes")="Yes",_xlfn.XLOOKUP("Src_CIDR_Le_16",'Scoring_Config'!$A:$A,'Scoring_Config'!$C:$C,25),0),"False,0")</f>
        <v>0</v>
      </c>
      <c r="AE233" s="4" cm="1">
        <f t="array" ref="AE233">IF(FALSE,"True," &amp; IF(_xlfn.XLOOKUP("Src_CIDR_17_22",'Scoring_Config'!$A:$A,'Scoring_Config'!$D:$D,"Yes")="Yes",_xlfn.XLOOKUP("Src_CIDR_17_22",'Scoring_Config'!$A:$A,'Scoring_Config'!$C:$C,15),0),"False,0")</f>
        <v>0</v>
      </c>
      <c r="AF233" s="4" cm="1">
        <f t="array" ref="AF233">IF(FALSE,"True," &amp; IF(_xlfn.XLOOKUP("Dst_IsAny",'Scoring_Config'!$A:$A,'Scoring_Config'!$D:$D,"Yes")="Yes",_xlfn.XLOOKUP("Dst_IsAny",'Scoring_Config'!$A:$A,'Scoring_Config'!$C:$C,25),0),"False,0")</f>
        <v>0</v>
      </c>
      <c r="AG233" s="4" cm="1">
        <f t="array" ref="AG233">IF(FALSE,"True," &amp; IF(_xlfn.XLOOKUP("Dst_CIDR_Le_16",'Scoring_Config'!$A:$A,'Scoring_Config'!$D:$D,"Yes")="Yes",_xlfn.XLOOKUP("Dst_CIDR_Le_16",'Scoring_Config'!$A:$A,'Scoring_Config'!$C:$C,25),0),"False,0")</f>
        <v>0</v>
      </c>
      <c r="AH233" s="5" cm="1">
        <f t="array" ref="AH233">IF(TRUE,"True," &amp; IF(_xlfn.XLOOKUP("Dst_CIDR_17_22",'Scoring_Config'!$A:$A,'Scoring_Config'!$D:$D,"Yes")="Yes",_xlfn.XLOOKUP("Dst_CIDR_17_22",'Scoring_Config'!$A:$A,'Scoring_Config'!$C:$C,15),0),"False,0")</f>
        <v>0</v>
      </c>
      <c r="AI233" s="4" cm="1">
        <f t="array" ref="AI233">IF(FALSE,"True," &amp; IF(_xlfn.XLOOKUP("SrcZone_IsAny",'Scoring_Config'!$A:$A,'Scoring_Config'!$D:$D,"Yes")="Yes",_xlfn.XLOOKUP("SrcZone_IsAny",'Scoring_Config'!$A:$A,'Scoring_Config'!$C:$C,5),0),"False,0")</f>
        <v>0</v>
      </c>
      <c r="AJ233" s="4" cm="1">
        <f t="array" ref="AJ233">IF(FALSE,"True," &amp; IF(_xlfn.XLOOKUP("DstZone_IsAny",'Scoring_Config'!$A:$A,'Scoring_Config'!$D:$D,"Yes")="Yes",_xlfn.XLOOKUP("DstZone_IsAny",'Scoring_Config'!$A:$A,'Scoring_Config'!$C:$C,5),0),"False,0")</f>
        <v>0</v>
      </c>
      <c r="AK233" s="5" cm="1">
        <f t="array" ref="AK23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33" s="5" cm="1">
        <f t="array" ref="AL233">IF(TRUE,"True," &amp; IF(_xlfn.XLOOKUP("App_Any_OR_RangeGt1000",'Scoring_Config'!$A:$A,'Scoring_Config'!$D:$D,"Yes")="Yes",_xlfn.XLOOKUP("App_Any_OR_RangeGt1000",'Scoring_Config'!$A:$A,'Scoring_Config'!$C:$C,25),0),"False,0")</f>
        <v>0</v>
      </c>
      <c r="AM233" s="5" cm="1">
        <f t="array" ref="AM233">IF(TRUE,"True," &amp; IF(_xlfn.XLOOKUP("Service_Insecure_Match",'Scoring_Config'!$A:$A,'Scoring_Config'!$D:$D,"Yes")="Yes",_xlfn.XLOOKUP("Service_Insecure_Match",'Scoring_Config'!$A:$A,'Scoring_Config'!$C:$C,20),0),"False,0")</f>
        <v>0</v>
      </c>
      <c r="AN233" s="4" cm="1">
        <f t="array" ref="AN233">IF(FALSE,"True," &amp; IF(_xlfn.XLOOKUP("Risky_Inbound",'Scoring_Config'!$A:$A,'Scoring_Config'!$D:$D,"Yes")="Yes",_xlfn.XLOOKUP("Risky_Inbound",'Scoring_Config'!$A:$A,'Scoring_Config'!$C:$C,20),0),"False,0")</f>
        <v>0</v>
      </c>
      <c r="AO233" s="4" cm="1">
        <f t="array" ref="AO233">IF(FALSE,"True," &amp; IF(_xlfn.XLOOKUP("Risky_Outbound",'Scoring_Config'!$A:$A,'Scoring_Config'!$D:$D,"Yes")="Yes",_xlfn.XLOOKUP("Risky_Outbound",'Scoring_Config'!$A:$A,'Scoring_Config'!$C:$C,10),0),"False,0")</f>
        <v>0</v>
      </c>
      <c r="AP233" s="5" t="s">
        <v>2595</v>
      </c>
      <c r="AQ233" s="5" cm="1">
        <f t="array" ref="AQ23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3" s="5" t="s">
        <v>2598</v>
      </c>
      <c r="AS233" s="4" t="s">
        <v>2592</v>
      </c>
      <c r="AT233" s="4" t="s">
        <v>2592</v>
      </c>
      <c r="AU233" s="4" cm="1">
        <f t="array" ref="AU233">IF(FALSE,"True," &amp; IF(_xlfn.XLOOKUP("Action_IsDenyOrDrop",'Scoring_Config'!$A:$A,'Scoring_Config'!$D:$D,"Yes")="Yes",_xlfn.XLOOKUP("Action_IsDenyOrDrop",'Scoring_Config'!$A:$A,'Scoring_Config'!$C:$C,0),0),"False,0")</f>
        <v>0</v>
      </c>
      <c r="AV233" s="4"/>
      <c r="AW233" s="4" cm="1">
        <f t="array" ref="AW233">IF(FALSE,"True," &amp; IF(_xlfn.XLOOKUP("Migrate_Insecure",'Scoring_Config'!$A:$A,'Scoring_Config'!$D:$D,"Yes")="Yes",_xlfn.XLOOKUP("Migrate_Insecure",'Scoring_Config'!$A:$A,'Scoring_Config'!$C:$C,15),0),"False,0")</f>
        <v>0</v>
      </c>
      <c r="AX233" s="4"/>
      <c r="AY233" s="4" cm="1">
        <f t="array" ref="AY233">IF(FALSE,"True," &amp; IF(_xlfn.XLOOKUP("Migrate_Other_Ports",'Scoring_Config'!$A:$A,'Scoring_Config'!$D:$D,"Yes")="Yes",_xlfn.XLOOKUP("Migrate_Other_Ports",'Scoring_Config'!$A:$A,'Scoring_Config'!$C:$C,5),0),"False,0")</f>
        <v>0</v>
      </c>
      <c r="AZ233" s="4" cm="1">
        <f t="array" ref="AZ233">IF(LEFT(AU233,4)="True",0,(IF(LEFT(AC233,4)="True",IF(_xlfn.XLOOKUP("Src_IsAny",'Scoring_Config'!$A:$A,'Scoring_Config'!$D:$D,"Yes")="Yes",_xlfn.XLOOKUP("Src_IsAny",'Scoring_Config'!$A:$A,'Scoring_Config'!$C:$C,25),0),0)+IF(LEFT(AD233,4)="True",IF(_xlfn.XLOOKUP("Src_CIDR_Le_16",'Scoring_Config'!$A:$A,'Scoring_Config'!$D:$D,"Yes")="Yes",_xlfn.XLOOKUP("Src_CIDR_Le_16",'Scoring_Config'!$A:$A,'Scoring_Config'!$C:$C,25),0),0)+IF(LEFT(AE233,4)="True",IF(_xlfn.XLOOKUP("Src_CIDR_17_22",'Scoring_Config'!$A:$A,'Scoring_Config'!$D:$D,"Yes")="Yes",_xlfn.XLOOKUP("Src_CIDR_17_22",'Scoring_Config'!$A:$A,'Scoring_Config'!$C:$C,15),0),0)+IF(LEFT(AF233,4)="True",IF(_xlfn.XLOOKUP("Dst_IsAny",'Scoring_Config'!$A:$A,'Scoring_Config'!$D:$D,"Yes")="Yes",_xlfn.XLOOKUP("Dst_IsAny",'Scoring_Config'!$A:$A,'Scoring_Config'!$C:$C,25),0),0)+IF(LEFT(AG233,4)="True",IF(_xlfn.XLOOKUP("Dst_CIDR_Le_16",'Scoring_Config'!$A:$A,'Scoring_Config'!$D:$D,"Yes")="Yes",_xlfn.XLOOKUP("Dst_CIDR_Le_16",'Scoring_Config'!$A:$A,'Scoring_Config'!$C:$C,25),0),0)+IF(LEFT(AH233,4)="True",IF(_xlfn.XLOOKUP("Dst_CIDR_17_22",'Scoring_Config'!$A:$A,'Scoring_Config'!$D:$D,"Yes")="Yes",_xlfn.XLOOKUP("Dst_CIDR_17_22",'Scoring_Config'!$A:$A,'Scoring_Config'!$C:$C,15),0),0)+IF(LEFT(AI233,4)="True",IF(_xlfn.XLOOKUP("SrcZone_IsAny",'Scoring_Config'!$A:$A,'Scoring_Config'!$D:$D,"Yes")="Yes",_xlfn.XLOOKUP("SrcZone_IsAny",'Scoring_Config'!$A:$A,'Scoring_Config'!$C:$C,5),0),0)+IF(LEFT(AJ233,4)="True",IF(_xlfn.XLOOKUP("DstZone_IsAny",'Scoring_Config'!$A:$A,'Scoring_Config'!$D:$D,"Yes")="Yes",_xlfn.XLOOKUP("DstZone_IsAny",'Scoring_Config'!$A:$A,'Scoring_Config'!$C:$C,5),0),0)+IF(LEFT(AK233,4)="True",IF(_xlfn.XLOOKUP("Service_Any_OR_RangeGt1000",'Scoring_Config'!$A:$A,'Scoring_Config'!$D:$D,"Yes")="Yes",_xlfn.XLOOKUP("Service_Any_OR_RangeGt1000",'Scoring_Config'!$A:$A,'Scoring_Config'!$C:$C,25),0),0)+IF(LEFT(AL233,4)="True",IF(_xlfn.XLOOKUP("App_Any_OR_RangeGt1000",'Scoring_Config'!$A:$A,'Scoring_Config'!$D:$D,"Yes")="Yes",_xlfn.XLOOKUP("App_Any_OR_RangeGt1000",'Scoring_Config'!$A:$A,'Scoring_Config'!$C:$C,25),0),0)+IF(LEFT(AM233,4)="True",IF(_xlfn.XLOOKUP("Service_Insecure_Match",'Scoring_Config'!$A:$A,'Scoring_Config'!$D:$D,"Yes")="Yes",_xlfn.XLOOKUP("Service_Insecure_Match",'Scoring_Config'!$A:$A,'Scoring_Config'!$C:$C,20),0),0)+IF(LEFT(AN233,4)="True",IF(_xlfn.XLOOKUP("Risky_Inbound",'Scoring_Config'!$A:$A,'Scoring_Config'!$D:$D,"Yes")="Yes",_xlfn.XLOOKUP("Risky_Inbound",'Scoring_Config'!$A:$A,'Scoring_Config'!$C:$C,20),0),0)+IF(LEFT(AO233,4)="True",IF(_xlfn.XLOOKUP("Risky_Outbound",'Scoring_Config'!$A:$A,'Scoring_Config'!$D:$D,"Yes")="Yes",_xlfn.XLOOKUP("Risky_Outbound",'Scoring_Config'!$A:$A,'Scoring_Config'!$C:$C,10),0),0)+IF(LEFT(AW233,4)="True",IF(_xlfn.XLOOKUP("Migrate_Insecure",'Scoring_Config'!$A:$A,'Scoring_Config'!$D:$D,"Yes")="Yes",_xlfn.XLOOKUP("Migrate_Insecure",'Scoring_Config'!$A:$A,'Scoring_Config'!$C:$C,15),0),0)+IF(LEFT(AY233,4)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233,FIND(",",AP233)+1,100)),0)+IF(LEFT(AQ233,4)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233,FIND(",",AR233)+1,100)),0)+IF(_xlfn.XLOOKUP("Profile_Scoring",'Scoring_Config'!$A:$A,'Scoring_Config'!$D:$D,"Yes")="Yes",VALUE(MID(AS233,FIND(",",AS233)+1,100)),0)+IF(_xlfn.XLOOKUP("Options_Scoring",'Scoring_Config'!$A:$A,'Scoring_Config'!$D:$D,"Yes")="Yes",VALUE(MID(AT233,FIND(",",AT233)+1,100)),0)))</f>
        <v>0</v>
      </c>
    </row>
    <row r="234" spans="1:52">
      <c r="A234" s="3" t="s">
        <v>53</v>
      </c>
      <c r="B234" s="3" t="s">
        <v>89</v>
      </c>
      <c r="C234" s="3" t="s">
        <v>330</v>
      </c>
      <c r="D234" s="3"/>
      <c r="E234" s="3" t="s">
        <v>359</v>
      </c>
      <c r="F234" s="3" t="s">
        <v>363</v>
      </c>
      <c r="G234" s="3" t="s">
        <v>450</v>
      </c>
      <c r="H234" s="3" t="s">
        <v>580</v>
      </c>
      <c r="I234" s="3" t="s">
        <v>365</v>
      </c>
      <c r="J234" s="3" t="s">
        <v>363</v>
      </c>
      <c r="K234" s="3" t="s">
        <v>687</v>
      </c>
      <c r="L234" s="3" t="s">
        <v>687</v>
      </c>
      <c r="M234" s="3" t="s">
        <v>774</v>
      </c>
      <c r="N234" s="3" t="s">
        <v>795</v>
      </c>
      <c r="O234" s="4" t="s">
        <v>816</v>
      </c>
      <c r="P234" s="3" t="s">
        <v>877</v>
      </c>
      <c r="Q234" s="3" t="s">
        <v>905</v>
      </c>
      <c r="R234" s="3" t="s">
        <v>907</v>
      </c>
      <c r="S234" s="3" t="s">
        <v>913</v>
      </c>
      <c r="T234" s="3" t="s">
        <v>919</v>
      </c>
      <c r="U234" s="3" t="s">
        <v>1262</v>
      </c>
      <c r="V234" s="3" t="s">
        <v>770</v>
      </c>
      <c r="W234" s="3" t="s">
        <v>1046</v>
      </c>
      <c r="X234" s="3" t="s">
        <v>1838</v>
      </c>
      <c r="Y234" s="3" t="s">
        <v>2307</v>
      </c>
      <c r="Z234" s="3"/>
      <c r="AA234" s="3"/>
      <c r="AB234" s="3"/>
      <c r="AC234" s="4" cm="1">
        <f t="array" ref="AC234">IF(FALSE,"True," &amp; IF(_xlfn.XLOOKUP("Src_IsAny",'Scoring_Config'!$A:$A,'Scoring_Config'!$D:$D,"Yes")="Yes",_xlfn.XLOOKUP("Src_IsAny",'Scoring_Config'!$A:$A,'Scoring_Config'!$C:$C,25),0),"False,0")</f>
        <v>0</v>
      </c>
      <c r="AD234" s="5" cm="1">
        <f t="array" ref="AD234">IF(TRUE,"True," &amp; IF(_xlfn.XLOOKUP("Src_CIDR_Le_16",'Scoring_Config'!$A:$A,'Scoring_Config'!$D:$D,"Yes")="Yes",_xlfn.XLOOKUP("Src_CIDR_Le_16",'Scoring_Config'!$A:$A,'Scoring_Config'!$C:$C,25),0),"False,0")</f>
        <v>0</v>
      </c>
      <c r="AE234" s="4" cm="1">
        <f t="array" ref="AE234">IF(FALSE,"True," &amp; IF(_xlfn.XLOOKUP("Src_CIDR_17_22",'Scoring_Config'!$A:$A,'Scoring_Config'!$D:$D,"Yes")="Yes",_xlfn.XLOOKUP("Src_CIDR_17_22",'Scoring_Config'!$A:$A,'Scoring_Config'!$C:$C,15),0),"False,0")</f>
        <v>0</v>
      </c>
      <c r="AF234" s="4" cm="1">
        <f t="array" ref="AF234">IF(FALSE,"True," &amp; IF(_xlfn.XLOOKUP("Dst_IsAny",'Scoring_Config'!$A:$A,'Scoring_Config'!$D:$D,"Yes")="Yes",_xlfn.XLOOKUP("Dst_IsAny",'Scoring_Config'!$A:$A,'Scoring_Config'!$C:$C,25),0),"False,0")</f>
        <v>0</v>
      </c>
      <c r="AG234" s="4" cm="1">
        <f t="array" ref="AG234">IF(FALSE,"True," &amp; IF(_xlfn.XLOOKUP("Dst_CIDR_Le_16",'Scoring_Config'!$A:$A,'Scoring_Config'!$D:$D,"Yes")="Yes",_xlfn.XLOOKUP("Dst_CIDR_Le_16",'Scoring_Config'!$A:$A,'Scoring_Config'!$C:$C,25),0),"False,0")</f>
        <v>0</v>
      </c>
      <c r="AH234" s="5" cm="1">
        <f t="array" ref="AH234">IF(TRUE,"True," &amp; IF(_xlfn.XLOOKUP("Dst_CIDR_17_22",'Scoring_Config'!$A:$A,'Scoring_Config'!$D:$D,"Yes")="Yes",_xlfn.XLOOKUP("Dst_CIDR_17_22",'Scoring_Config'!$A:$A,'Scoring_Config'!$C:$C,15),0),"False,0")</f>
        <v>0</v>
      </c>
      <c r="AI234" s="4" cm="1">
        <f t="array" ref="AI234">IF(FALSE,"True," &amp; IF(_xlfn.XLOOKUP("SrcZone_IsAny",'Scoring_Config'!$A:$A,'Scoring_Config'!$D:$D,"Yes")="Yes",_xlfn.XLOOKUP("SrcZone_IsAny",'Scoring_Config'!$A:$A,'Scoring_Config'!$C:$C,5),0),"False,0")</f>
        <v>0</v>
      </c>
      <c r="AJ234" s="4" cm="1">
        <f t="array" ref="AJ234">IF(FALSE,"True," &amp; IF(_xlfn.XLOOKUP("DstZone_IsAny",'Scoring_Config'!$A:$A,'Scoring_Config'!$D:$D,"Yes")="Yes",_xlfn.XLOOKUP("DstZone_IsAny",'Scoring_Config'!$A:$A,'Scoring_Config'!$C:$C,5),0),"False,0")</f>
        <v>0</v>
      </c>
      <c r="AK234" s="4" cm="1">
        <f t="array" ref="AK23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4" s="4" cm="1">
        <f t="array" ref="AL234">IF(FALSE,"True," &amp; IF(_xlfn.XLOOKUP("App_Any_OR_RangeGt1000",'Scoring_Config'!$A:$A,'Scoring_Config'!$D:$D,"Yes")="Yes",_xlfn.XLOOKUP("App_Any_OR_RangeGt1000",'Scoring_Config'!$A:$A,'Scoring_Config'!$C:$C,25),0),"False,0")</f>
        <v>0</v>
      </c>
      <c r="AM234" s="5" cm="1">
        <f t="array" ref="AM234">IF(TRUE,"True," &amp; IF(_xlfn.XLOOKUP("Service_Insecure_Match",'Scoring_Config'!$A:$A,'Scoring_Config'!$D:$D,"Yes")="Yes",_xlfn.XLOOKUP("Service_Insecure_Match",'Scoring_Config'!$A:$A,'Scoring_Config'!$C:$C,20),0),"False,0")</f>
        <v>0</v>
      </c>
      <c r="AN234" s="4" cm="1">
        <f t="array" ref="AN234">IF(FALSE,"True," &amp; IF(_xlfn.XLOOKUP("Risky_Inbound",'Scoring_Config'!$A:$A,'Scoring_Config'!$D:$D,"Yes")="Yes",_xlfn.XLOOKUP("Risky_Inbound",'Scoring_Config'!$A:$A,'Scoring_Config'!$C:$C,20),0),"False,0")</f>
        <v>0</v>
      </c>
      <c r="AO234" s="4" cm="1">
        <f t="array" ref="AO234">IF(FALSE,"True," &amp; IF(_xlfn.XLOOKUP("Risky_Outbound",'Scoring_Config'!$A:$A,'Scoring_Config'!$D:$D,"Yes")="Yes",_xlfn.XLOOKUP("Risky_Outbound",'Scoring_Config'!$A:$A,'Scoring_Config'!$C:$C,10),0),"False,0")</f>
        <v>0</v>
      </c>
      <c r="AP234" s="5" t="s">
        <v>2595</v>
      </c>
      <c r="AQ234" s="4" cm="1">
        <f t="array" ref="AQ23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4" s="4" t="s">
        <v>2592</v>
      </c>
      <c r="AS234" s="5" t="s">
        <v>2595</v>
      </c>
      <c r="AT234" s="4" t="s">
        <v>2592</v>
      </c>
      <c r="AU234" s="4" cm="1">
        <f t="array" ref="AU234">IF(FALSE,"True," &amp; IF(_xlfn.XLOOKUP("Action_IsDenyOrDrop",'Scoring_Config'!$A:$A,'Scoring_Config'!$D:$D,"Yes")="Yes",_xlfn.XLOOKUP("Action_IsDenyOrDrop",'Scoring_Config'!$A:$A,'Scoring_Config'!$C:$C,0),0),"False,0")</f>
        <v>0</v>
      </c>
      <c r="AV234" s="4"/>
      <c r="AW234" s="4" cm="1">
        <f t="array" ref="AW234">IF(FALSE,"True," &amp; IF(_xlfn.XLOOKUP("Migrate_Insecure",'Scoring_Config'!$A:$A,'Scoring_Config'!$D:$D,"Yes")="Yes",_xlfn.XLOOKUP("Migrate_Insecure",'Scoring_Config'!$A:$A,'Scoring_Config'!$C:$C,15),0),"False,0")</f>
        <v>0</v>
      </c>
      <c r="AX234" s="4"/>
      <c r="AY234" s="4" cm="1">
        <f t="array" ref="AY234">IF(FALSE,"True," &amp; IF(_xlfn.XLOOKUP("Migrate_Other_Ports",'Scoring_Config'!$A:$A,'Scoring_Config'!$D:$D,"Yes")="Yes",_xlfn.XLOOKUP("Migrate_Other_Ports",'Scoring_Config'!$A:$A,'Scoring_Config'!$C:$C,5),0),"False,0")</f>
        <v>0</v>
      </c>
      <c r="AZ234" s="4" cm="1">
        <f t="array" ref="AZ234">IF(LEFT(AU234,4)="True",0,(IF(LEFT(AC234,4)="True",IF(_xlfn.XLOOKUP("Src_IsAny",'Scoring_Config'!$A:$A,'Scoring_Config'!$D:$D,"Yes")="Yes",_xlfn.XLOOKUP("Src_IsAny",'Scoring_Config'!$A:$A,'Scoring_Config'!$C:$C,25),0),0)+IF(LEFT(AD234,4)="True",IF(_xlfn.XLOOKUP("Src_CIDR_Le_16",'Scoring_Config'!$A:$A,'Scoring_Config'!$D:$D,"Yes")="Yes",_xlfn.XLOOKUP("Src_CIDR_Le_16",'Scoring_Config'!$A:$A,'Scoring_Config'!$C:$C,25),0),0)+IF(LEFT(AE234,4)="True",IF(_xlfn.XLOOKUP("Src_CIDR_17_22",'Scoring_Config'!$A:$A,'Scoring_Config'!$D:$D,"Yes")="Yes",_xlfn.XLOOKUP("Src_CIDR_17_22",'Scoring_Config'!$A:$A,'Scoring_Config'!$C:$C,15),0),0)+IF(LEFT(AF234,4)="True",IF(_xlfn.XLOOKUP("Dst_IsAny",'Scoring_Config'!$A:$A,'Scoring_Config'!$D:$D,"Yes")="Yes",_xlfn.XLOOKUP("Dst_IsAny",'Scoring_Config'!$A:$A,'Scoring_Config'!$C:$C,25),0),0)+IF(LEFT(AG234,4)="True",IF(_xlfn.XLOOKUP("Dst_CIDR_Le_16",'Scoring_Config'!$A:$A,'Scoring_Config'!$D:$D,"Yes")="Yes",_xlfn.XLOOKUP("Dst_CIDR_Le_16",'Scoring_Config'!$A:$A,'Scoring_Config'!$C:$C,25),0),0)+IF(LEFT(AH234,4)="True",IF(_xlfn.XLOOKUP("Dst_CIDR_17_22",'Scoring_Config'!$A:$A,'Scoring_Config'!$D:$D,"Yes")="Yes",_xlfn.XLOOKUP("Dst_CIDR_17_22",'Scoring_Config'!$A:$A,'Scoring_Config'!$C:$C,15),0),0)+IF(LEFT(AI234,4)="True",IF(_xlfn.XLOOKUP("SrcZone_IsAny",'Scoring_Config'!$A:$A,'Scoring_Config'!$D:$D,"Yes")="Yes",_xlfn.XLOOKUP("SrcZone_IsAny",'Scoring_Config'!$A:$A,'Scoring_Config'!$C:$C,5),0),0)+IF(LEFT(AJ234,4)="True",IF(_xlfn.XLOOKUP("DstZone_IsAny",'Scoring_Config'!$A:$A,'Scoring_Config'!$D:$D,"Yes")="Yes",_xlfn.XLOOKUP("DstZone_IsAny",'Scoring_Config'!$A:$A,'Scoring_Config'!$C:$C,5),0),0)+IF(LEFT(AK234,4)="True",IF(_xlfn.XLOOKUP("Service_Any_OR_RangeGt1000",'Scoring_Config'!$A:$A,'Scoring_Config'!$D:$D,"Yes")="Yes",_xlfn.XLOOKUP("Service_Any_OR_RangeGt1000",'Scoring_Config'!$A:$A,'Scoring_Config'!$C:$C,25),0),0)+IF(LEFT(AL234,4)="True",IF(_xlfn.XLOOKUP("App_Any_OR_RangeGt1000",'Scoring_Config'!$A:$A,'Scoring_Config'!$D:$D,"Yes")="Yes",_xlfn.XLOOKUP("App_Any_OR_RangeGt1000",'Scoring_Config'!$A:$A,'Scoring_Config'!$C:$C,25),0),0)+IF(LEFT(AM234,4)="True",IF(_xlfn.XLOOKUP("Service_Insecure_Match",'Scoring_Config'!$A:$A,'Scoring_Config'!$D:$D,"Yes")="Yes",_xlfn.XLOOKUP("Service_Insecure_Match",'Scoring_Config'!$A:$A,'Scoring_Config'!$C:$C,20),0),0)+IF(LEFT(AN234,4)="True",IF(_xlfn.XLOOKUP("Risky_Inbound",'Scoring_Config'!$A:$A,'Scoring_Config'!$D:$D,"Yes")="Yes",_xlfn.XLOOKUP("Risky_Inbound",'Scoring_Config'!$A:$A,'Scoring_Config'!$C:$C,20),0),0)+IF(LEFT(AO234,4)="True",IF(_xlfn.XLOOKUP("Risky_Outbound",'Scoring_Config'!$A:$A,'Scoring_Config'!$D:$D,"Yes")="Yes",_xlfn.XLOOKUP("Risky_Outbound",'Scoring_Config'!$A:$A,'Scoring_Config'!$C:$C,10),0),0)+IF(LEFT(AW234,4)="True",IF(_xlfn.XLOOKUP("Migrate_Insecure",'Scoring_Config'!$A:$A,'Scoring_Config'!$D:$D,"Yes")="Yes",_xlfn.XLOOKUP("Migrate_Insecure",'Scoring_Config'!$A:$A,'Scoring_Config'!$C:$C,15),0),0)+IF(LEFT(AY234,4)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234,FIND(",",AP234)+1,100)),0)+IF(LEFT(AQ234,4)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234,FIND(",",AR234)+1,100)),0)+IF(_xlfn.XLOOKUP("Profile_Scoring",'Scoring_Config'!$A:$A,'Scoring_Config'!$D:$D,"Yes")="Yes",VALUE(MID(AS234,FIND(",",AS234)+1,100)),0)+IF(_xlfn.XLOOKUP("Options_Scoring",'Scoring_Config'!$A:$A,'Scoring_Config'!$D:$D,"Yes")="Yes",VALUE(MID(AT234,FIND(",",AT234)+1,100)),0)))</f>
        <v>0</v>
      </c>
    </row>
    <row r="235" spans="1:52">
      <c r="A235" s="3" t="s">
        <v>53</v>
      </c>
      <c r="B235" s="3" t="s">
        <v>217</v>
      </c>
      <c r="C235" s="3" t="s">
        <v>330</v>
      </c>
      <c r="D235" s="3"/>
      <c r="E235" s="3" t="s">
        <v>359</v>
      </c>
      <c r="F235" s="3" t="s">
        <v>364</v>
      </c>
      <c r="G235" s="3" t="s">
        <v>451</v>
      </c>
      <c r="H235" s="3" t="s">
        <v>408</v>
      </c>
      <c r="I235" s="3" t="s">
        <v>365</v>
      </c>
      <c r="J235" s="3" t="s">
        <v>365</v>
      </c>
      <c r="K235" s="3" t="s">
        <v>688</v>
      </c>
      <c r="L235" s="3" t="s">
        <v>688</v>
      </c>
      <c r="M235" s="3" t="s">
        <v>772</v>
      </c>
      <c r="N235" s="3" t="s">
        <v>794</v>
      </c>
      <c r="O235" s="4" t="s">
        <v>801</v>
      </c>
      <c r="P235" s="3" t="s">
        <v>862</v>
      </c>
      <c r="Q235" s="3" t="s">
        <v>904</v>
      </c>
      <c r="R235" s="3" t="s">
        <v>907</v>
      </c>
      <c r="S235" s="3" t="s">
        <v>914</v>
      </c>
      <c r="T235" s="3" t="s">
        <v>919</v>
      </c>
      <c r="U235" s="3" t="s">
        <v>1263</v>
      </c>
      <c r="V235" s="3" t="s">
        <v>770</v>
      </c>
      <c r="W235" s="3" t="s">
        <v>1523</v>
      </c>
      <c r="X235" s="3" t="s">
        <v>1839</v>
      </c>
      <c r="Y235" s="3" t="s">
        <v>2308</v>
      </c>
      <c r="Z235" s="3"/>
      <c r="AA235" s="3"/>
      <c r="AB235" s="3"/>
      <c r="AC235" s="4" cm="1">
        <f t="array" ref="AC235">IF(FALSE,"True," &amp; IF(_xlfn.XLOOKUP("Src_IsAny",'Scoring_Config'!$A:$A,'Scoring_Config'!$D:$D,"Yes")="Yes",_xlfn.XLOOKUP("Src_IsAny",'Scoring_Config'!$A:$A,'Scoring_Config'!$C:$C,25),0),"False,0")</f>
        <v>0</v>
      </c>
      <c r="AD235" s="5" cm="1">
        <f t="array" ref="AD235">IF(TRUE,"True," &amp; IF(_xlfn.XLOOKUP("Src_CIDR_Le_16",'Scoring_Config'!$A:$A,'Scoring_Config'!$D:$D,"Yes")="Yes",_xlfn.XLOOKUP("Src_CIDR_Le_16",'Scoring_Config'!$A:$A,'Scoring_Config'!$C:$C,25),0),"False,0")</f>
        <v>0</v>
      </c>
      <c r="AE235" s="4" cm="1">
        <f t="array" ref="AE235">IF(FALSE,"True," &amp; IF(_xlfn.XLOOKUP("Src_CIDR_17_22",'Scoring_Config'!$A:$A,'Scoring_Config'!$D:$D,"Yes")="Yes",_xlfn.XLOOKUP("Src_CIDR_17_22",'Scoring_Config'!$A:$A,'Scoring_Config'!$C:$C,15),0),"False,0")</f>
        <v>0</v>
      </c>
      <c r="AF235" s="4" cm="1">
        <f t="array" ref="AF235">IF(FALSE,"True," &amp; IF(_xlfn.XLOOKUP("Dst_IsAny",'Scoring_Config'!$A:$A,'Scoring_Config'!$D:$D,"Yes")="Yes",_xlfn.XLOOKUP("Dst_IsAny",'Scoring_Config'!$A:$A,'Scoring_Config'!$C:$C,25),0),"False,0")</f>
        <v>0</v>
      </c>
      <c r="AG235" s="4" cm="1">
        <f t="array" ref="AG235">IF(FALSE,"True," &amp; IF(_xlfn.XLOOKUP("Dst_CIDR_Le_16",'Scoring_Config'!$A:$A,'Scoring_Config'!$D:$D,"Yes")="Yes",_xlfn.XLOOKUP("Dst_CIDR_Le_16",'Scoring_Config'!$A:$A,'Scoring_Config'!$C:$C,25),0),"False,0")</f>
        <v>0</v>
      </c>
      <c r="AH235" s="5" cm="1">
        <f t="array" ref="AH235">IF(TRUE,"True," &amp; IF(_xlfn.XLOOKUP("Dst_CIDR_17_22",'Scoring_Config'!$A:$A,'Scoring_Config'!$D:$D,"Yes")="Yes",_xlfn.XLOOKUP("Dst_CIDR_17_22",'Scoring_Config'!$A:$A,'Scoring_Config'!$C:$C,15),0),"False,0")</f>
        <v>0</v>
      </c>
      <c r="AI235" s="4" cm="1">
        <f t="array" ref="AI235">IF(FALSE,"True," &amp; IF(_xlfn.XLOOKUP("SrcZone_IsAny",'Scoring_Config'!$A:$A,'Scoring_Config'!$D:$D,"Yes")="Yes",_xlfn.XLOOKUP("SrcZone_IsAny",'Scoring_Config'!$A:$A,'Scoring_Config'!$C:$C,5),0),"False,0")</f>
        <v>0</v>
      </c>
      <c r="AJ235" s="5" cm="1">
        <f t="array" ref="AJ235">IF(TRUE,"True," &amp; IF(_xlfn.XLOOKUP("DstZone_IsAny",'Scoring_Config'!$A:$A,'Scoring_Config'!$D:$D,"Yes")="Yes",_xlfn.XLOOKUP("DstZone_IsAny",'Scoring_Config'!$A:$A,'Scoring_Config'!$C:$C,5),0),"False,0")</f>
        <v>0</v>
      </c>
      <c r="AK235" s="4" cm="1">
        <f t="array" ref="AK23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5" s="4" cm="1">
        <f t="array" ref="AL235">IF(FALSE,"True," &amp; IF(_xlfn.XLOOKUP("App_Any_OR_RangeGt1000",'Scoring_Config'!$A:$A,'Scoring_Config'!$D:$D,"Yes")="Yes",_xlfn.XLOOKUP("App_Any_OR_RangeGt1000",'Scoring_Config'!$A:$A,'Scoring_Config'!$C:$C,25),0),"False,0")</f>
        <v>0</v>
      </c>
      <c r="AM235" s="5" cm="1">
        <f t="array" ref="AM235">IF(TRUE,"True," &amp; IF(_xlfn.XLOOKUP("Service_Insecure_Match",'Scoring_Config'!$A:$A,'Scoring_Config'!$D:$D,"Yes")="Yes",_xlfn.XLOOKUP("Service_Insecure_Match",'Scoring_Config'!$A:$A,'Scoring_Config'!$C:$C,20),0),"False,0")</f>
        <v>0</v>
      </c>
      <c r="AN235" s="4" cm="1">
        <f t="array" ref="AN235">IF(FALSE,"True," &amp; IF(_xlfn.XLOOKUP("Risky_Inbound",'Scoring_Config'!$A:$A,'Scoring_Config'!$D:$D,"Yes")="Yes",_xlfn.XLOOKUP("Risky_Inbound",'Scoring_Config'!$A:$A,'Scoring_Config'!$C:$C,20),0),"False,0")</f>
        <v>0</v>
      </c>
      <c r="AO235" s="5" cm="1">
        <f t="array" ref="AO235">IF(TRUE,"True," &amp; IF(_xlfn.XLOOKUP("Risky_Outbound",'Scoring_Config'!$A:$A,'Scoring_Config'!$D:$D,"Yes")="Yes",_xlfn.XLOOKUP("Risky_Outbound",'Scoring_Config'!$A:$A,'Scoring_Config'!$C:$C,10),0),"False,0")</f>
        <v>0</v>
      </c>
      <c r="AP235" s="5" t="s">
        <v>2595</v>
      </c>
      <c r="AQ235" s="4" cm="1">
        <f t="array" ref="AQ23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5" s="4" t="s">
        <v>2592</v>
      </c>
      <c r="AS235" s="5" t="s">
        <v>2595</v>
      </c>
      <c r="AT235" s="4" t="s">
        <v>2592</v>
      </c>
      <c r="AU235" s="5" cm="1">
        <f t="array" ref="AU235">IF(TRUE,"True," &amp; IF(_xlfn.XLOOKUP("Action_IsDenyOrDrop",'Scoring_Config'!$A:$A,'Scoring_Config'!$D:$D,"Yes")="Yes",_xlfn.XLOOKUP("Action_IsDenyOrDrop",'Scoring_Config'!$A:$A,'Scoring_Config'!$C:$C,0),0),"False,0")</f>
        <v>0</v>
      </c>
      <c r="AV235" s="4"/>
      <c r="AW235" s="4" cm="1">
        <f t="array" ref="AW235">IF(FALSE,"True," &amp; IF(_xlfn.XLOOKUP("Migrate_Insecure",'Scoring_Config'!$A:$A,'Scoring_Config'!$D:$D,"Yes")="Yes",_xlfn.XLOOKUP("Migrate_Insecure",'Scoring_Config'!$A:$A,'Scoring_Config'!$C:$C,15),0),"False,0")</f>
        <v>0</v>
      </c>
      <c r="AX235" s="4"/>
      <c r="AY235" s="4" cm="1">
        <f t="array" ref="AY235">IF(FALSE,"True," &amp; IF(_xlfn.XLOOKUP("Migrate_Other_Ports",'Scoring_Config'!$A:$A,'Scoring_Config'!$D:$D,"Yes")="Yes",_xlfn.XLOOKUP("Migrate_Other_Ports",'Scoring_Config'!$A:$A,'Scoring_Config'!$C:$C,5),0),"False,0")</f>
        <v>0</v>
      </c>
      <c r="AZ235" s="4" cm="1">
        <f t="array" ref="AZ235">IF(LEFT(AU235,4)="True",0,(IF(LEFT(AC235,4)="True",IF(_xlfn.XLOOKUP("Src_IsAny",'Scoring_Config'!$A:$A,'Scoring_Config'!$D:$D,"Yes")="Yes",_xlfn.XLOOKUP("Src_IsAny",'Scoring_Config'!$A:$A,'Scoring_Config'!$C:$C,25),0),0)+IF(LEFT(AD235,4)="True",IF(_xlfn.XLOOKUP("Src_CIDR_Le_16",'Scoring_Config'!$A:$A,'Scoring_Config'!$D:$D,"Yes")="Yes",_xlfn.XLOOKUP("Src_CIDR_Le_16",'Scoring_Config'!$A:$A,'Scoring_Config'!$C:$C,25),0),0)+IF(LEFT(AE235,4)="True",IF(_xlfn.XLOOKUP("Src_CIDR_17_22",'Scoring_Config'!$A:$A,'Scoring_Config'!$D:$D,"Yes")="Yes",_xlfn.XLOOKUP("Src_CIDR_17_22",'Scoring_Config'!$A:$A,'Scoring_Config'!$C:$C,15),0),0)+IF(LEFT(AF235,4)="True",IF(_xlfn.XLOOKUP("Dst_IsAny",'Scoring_Config'!$A:$A,'Scoring_Config'!$D:$D,"Yes")="Yes",_xlfn.XLOOKUP("Dst_IsAny",'Scoring_Config'!$A:$A,'Scoring_Config'!$C:$C,25),0),0)+IF(LEFT(AG235,4)="True",IF(_xlfn.XLOOKUP("Dst_CIDR_Le_16",'Scoring_Config'!$A:$A,'Scoring_Config'!$D:$D,"Yes")="Yes",_xlfn.XLOOKUP("Dst_CIDR_Le_16",'Scoring_Config'!$A:$A,'Scoring_Config'!$C:$C,25),0),0)+IF(LEFT(AH235,4)="True",IF(_xlfn.XLOOKUP("Dst_CIDR_17_22",'Scoring_Config'!$A:$A,'Scoring_Config'!$D:$D,"Yes")="Yes",_xlfn.XLOOKUP("Dst_CIDR_17_22",'Scoring_Config'!$A:$A,'Scoring_Config'!$C:$C,15),0),0)+IF(LEFT(AI235,4)="True",IF(_xlfn.XLOOKUP("SrcZone_IsAny",'Scoring_Config'!$A:$A,'Scoring_Config'!$D:$D,"Yes")="Yes",_xlfn.XLOOKUP("SrcZone_IsAny",'Scoring_Config'!$A:$A,'Scoring_Config'!$C:$C,5),0),0)+IF(LEFT(AJ235,4)="True",IF(_xlfn.XLOOKUP("DstZone_IsAny",'Scoring_Config'!$A:$A,'Scoring_Config'!$D:$D,"Yes")="Yes",_xlfn.XLOOKUP("DstZone_IsAny",'Scoring_Config'!$A:$A,'Scoring_Config'!$C:$C,5),0),0)+IF(LEFT(AK235,4)="True",IF(_xlfn.XLOOKUP("Service_Any_OR_RangeGt1000",'Scoring_Config'!$A:$A,'Scoring_Config'!$D:$D,"Yes")="Yes",_xlfn.XLOOKUP("Service_Any_OR_RangeGt1000",'Scoring_Config'!$A:$A,'Scoring_Config'!$C:$C,25),0),0)+IF(LEFT(AL235,4)="True",IF(_xlfn.XLOOKUP("App_Any_OR_RangeGt1000",'Scoring_Config'!$A:$A,'Scoring_Config'!$D:$D,"Yes")="Yes",_xlfn.XLOOKUP("App_Any_OR_RangeGt1000",'Scoring_Config'!$A:$A,'Scoring_Config'!$C:$C,25),0),0)+IF(LEFT(AM235,4)="True",IF(_xlfn.XLOOKUP("Service_Insecure_Match",'Scoring_Config'!$A:$A,'Scoring_Config'!$D:$D,"Yes")="Yes",_xlfn.XLOOKUP("Service_Insecure_Match",'Scoring_Config'!$A:$A,'Scoring_Config'!$C:$C,20),0),0)+IF(LEFT(AN235,4)="True",IF(_xlfn.XLOOKUP("Risky_Inbound",'Scoring_Config'!$A:$A,'Scoring_Config'!$D:$D,"Yes")="Yes",_xlfn.XLOOKUP("Risky_Inbound",'Scoring_Config'!$A:$A,'Scoring_Config'!$C:$C,20),0),0)+IF(LEFT(AO235,4)="True",IF(_xlfn.XLOOKUP("Risky_Outbound",'Scoring_Config'!$A:$A,'Scoring_Config'!$D:$D,"Yes")="Yes",_xlfn.XLOOKUP("Risky_Outbound",'Scoring_Config'!$A:$A,'Scoring_Config'!$C:$C,10),0),0)+IF(LEFT(AW235,4)="True",IF(_xlfn.XLOOKUP("Migrate_Insecure",'Scoring_Config'!$A:$A,'Scoring_Config'!$D:$D,"Yes")="Yes",_xlfn.XLOOKUP("Migrate_Insecure",'Scoring_Config'!$A:$A,'Scoring_Config'!$C:$C,15),0),0)+IF(LEFT(AY235,4)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235,FIND(",",AP235)+1,100)),0)+IF(LEFT(AQ235,4)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235,FIND(",",AR235)+1,100)),0)+IF(_xlfn.XLOOKUP("Profile_Scoring",'Scoring_Config'!$A:$A,'Scoring_Config'!$D:$D,"Yes")="Yes",VALUE(MID(AS235,FIND(",",AS235)+1,100)),0)+IF(_xlfn.XLOOKUP("Options_Scoring",'Scoring_Config'!$A:$A,'Scoring_Config'!$D:$D,"Yes")="Yes",VALUE(MID(AT235,FIND(",",AT235)+1,100)),0)))</f>
        <v>0</v>
      </c>
    </row>
    <row r="236" spans="1:52">
      <c r="A236" s="3" t="s">
        <v>53</v>
      </c>
      <c r="B236" s="3" t="s">
        <v>188</v>
      </c>
      <c r="C236" s="3" t="s">
        <v>330</v>
      </c>
      <c r="D236" s="3"/>
      <c r="E236" s="3" t="s">
        <v>359</v>
      </c>
      <c r="F236" s="3" t="s">
        <v>360</v>
      </c>
      <c r="G236" s="3" t="s">
        <v>365</v>
      </c>
      <c r="H236" s="3" t="s">
        <v>365</v>
      </c>
      <c r="I236" s="3" t="s">
        <v>624</v>
      </c>
      <c r="J236" s="3" t="s">
        <v>364</v>
      </c>
      <c r="K236" s="3" t="s">
        <v>689</v>
      </c>
      <c r="L236" s="3" t="s">
        <v>689</v>
      </c>
      <c r="M236" s="3" t="s">
        <v>771</v>
      </c>
      <c r="N236" s="3" t="s">
        <v>793</v>
      </c>
      <c r="O236" s="4" t="s">
        <v>827</v>
      </c>
      <c r="P236" s="3" t="s">
        <v>888</v>
      </c>
      <c r="Q236" s="3" t="s">
        <v>905</v>
      </c>
      <c r="R236" s="3" t="s">
        <v>911</v>
      </c>
      <c r="S236" s="3" t="s">
        <v>907</v>
      </c>
      <c r="T236" s="3" t="s">
        <v>919</v>
      </c>
      <c r="U236" s="3" t="s">
        <v>1147</v>
      </c>
      <c r="V236" s="3" t="s">
        <v>772</v>
      </c>
      <c r="W236" s="3" t="s">
        <v>1524</v>
      </c>
      <c r="X236" s="3" t="s">
        <v>1840</v>
      </c>
      <c r="Y236" s="3" t="s">
        <v>2309</v>
      </c>
      <c r="Z236" s="3"/>
      <c r="AA236" s="3"/>
      <c r="AB236" s="3"/>
      <c r="AC236" s="5" cm="1">
        <f t="array" ref="AC236">IF(TRUE,"True," &amp; IF(_xlfn.XLOOKUP("Src_IsAny",'Scoring_Config'!$A:$A,'Scoring_Config'!$D:$D,"Yes")="Yes",_xlfn.XLOOKUP("Src_IsAny",'Scoring_Config'!$A:$A,'Scoring_Config'!$C:$C,25),0),"False,0")</f>
        <v>0</v>
      </c>
      <c r="AD236" s="4" cm="1">
        <f t="array" ref="AD236">IF(FALSE,"True," &amp; IF(_xlfn.XLOOKUP("Src_CIDR_Le_16",'Scoring_Config'!$A:$A,'Scoring_Config'!$D:$D,"Yes")="Yes",_xlfn.XLOOKUP("Src_CIDR_Le_16",'Scoring_Config'!$A:$A,'Scoring_Config'!$C:$C,25),0),"False,0")</f>
        <v>0</v>
      </c>
      <c r="AE236" s="4" cm="1">
        <f t="array" ref="AE236">IF(FALSE,"True," &amp; IF(_xlfn.XLOOKUP("Src_CIDR_17_22",'Scoring_Config'!$A:$A,'Scoring_Config'!$D:$D,"Yes")="Yes",_xlfn.XLOOKUP("Src_CIDR_17_22",'Scoring_Config'!$A:$A,'Scoring_Config'!$C:$C,15),0),"False,0")</f>
        <v>0</v>
      </c>
      <c r="AF236" s="4" cm="1">
        <f t="array" ref="AF236">IF(FALSE,"True," &amp; IF(_xlfn.XLOOKUP("Dst_IsAny",'Scoring_Config'!$A:$A,'Scoring_Config'!$D:$D,"Yes")="Yes",_xlfn.XLOOKUP("Dst_IsAny",'Scoring_Config'!$A:$A,'Scoring_Config'!$C:$C,25),0),"False,0")</f>
        <v>0</v>
      </c>
      <c r="AG236" s="4" cm="1">
        <f t="array" ref="AG236">IF(FALSE,"True," &amp; IF(_xlfn.XLOOKUP("Dst_CIDR_Le_16",'Scoring_Config'!$A:$A,'Scoring_Config'!$D:$D,"Yes")="Yes",_xlfn.XLOOKUP("Dst_CIDR_Le_16",'Scoring_Config'!$A:$A,'Scoring_Config'!$C:$C,25),0),"False,0")</f>
        <v>0</v>
      </c>
      <c r="AH236" s="5" cm="1">
        <f t="array" ref="AH236">IF(TRUE,"True," &amp; IF(_xlfn.XLOOKUP("Dst_CIDR_17_22",'Scoring_Config'!$A:$A,'Scoring_Config'!$D:$D,"Yes")="Yes",_xlfn.XLOOKUP("Dst_CIDR_17_22",'Scoring_Config'!$A:$A,'Scoring_Config'!$C:$C,15),0),"False,0")</f>
        <v>0</v>
      </c>
      <c r="AI236" s="4" cm="1">
        <f t="array" ref="AI236">IF(FALSE,"True," &amp; IF(_xlfn.XLOOKUP("SrcZone_IsAny",'Scoring_Config'!$A:$A,'Scoring_Config'!$D:$D,"Yes")="Yes",_xlfn.XLOOKUP("SrcZone_IsAny",'Scoring_Config'!$A:$A,'Scoring_Config'!$C:$C,5),0),"False,0")</f>
        <v>0</v>
      </c>
      <c r="AJ236" s="4" cm="1">
        <f t="array" ref="AJ236">IF(FALSE,"True," &amp; IF(_xlfn.XLOOKUP("DstZone_IsAny",'Scoring_Config'!$A:$A,'Scoring_Config'!$D:$D,"Yes")="Yes",_xlfn.XLOOKUP("DstZone_IsAny",'Scoring_Config'!$A:$A,'Scoring_Config'!$C:$C,5),0),"False,0")</f>
        <v>0</v>
      </c>
      <c r="AK236" s="4" cm="1">
        <f t="array" ref="AK23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6" s="4" cm="1">
        <f t="array" ref="AL236">IF(FALSE,"True," &amp; IF(_xlfn.XLOOKUP("App_Any_OR_RangeGt1000",'Scoring_Config'!$A:$A,'Scoring_Config'!$D:$D,"Yes")="Yes",_xlfn.XLOOKUP("App_Any_OR_RangeGt1000",'Scoring_Config'!$A:$A,'Scoring_Config'!$C:$C,25),0),"False,0")</f>
        <v>0</v>
      </c>
      <c r="AM236" s="5" cm="1">
        <f t="array" ref="AM236">IF(TRUE,"True," &amp; IF(_xlfn.XLOOKUP("Service_Insecure_Match",'Scoring_Config'!$A:$A,'Scoring_Config'!$D:$D,"Yes")="Yes",_xlfn.XLOOKUP("Service_Insecure_Match",'Scoring_Config'!$A:$A,'Scoring_Config'!$C:$C,20),0),"False,0")</f>
        <v>0</v>
      </c>
      <c r="AN236" s="4" cm="1">
        <f t="array" ref="AN236">IF(FALSE,"True," &amp; IF(_xlfn.XLOOKUP("Risky_Inbound",'Scoring_Config'!$A:$A,'Scoring_Config'!$D:$D,"Yes")="Yes",_xlfn.XLOOKUP("Risky_Inbound",'Scoring_Config'!$A:$A,'Scoring_Config'!$C:$C,20),0),"False,0")</f>
        <v>0</v>
      </c>
      <c r="AO236" s="4" cm="1">
        <f t="array" ref="AO236">IF(FALSE,"True," &amp; IF(_xlfn.XLOOKUP("Risky_Outbound",'Scoring_Config'!$A:$A,'Scoring_Config'!$D:$D,"Yes")="Yes",_xlfn.XLOOKUP("Risky_Outbound",'Scoring_Config'!$A:$A,'Scoring_Config'!$C:$C,10),0),"False,0")</f>
        <v>0</v>
      </c>
      <c r="AP236" s="5" t="s">
        <v>2595</v>
      </c>
      <c r="AQ236" s="5" cm="1">
        <f t="array" ref="AQ23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6" s="5" t="s">
        <v>2598</v>
      </c>
      <c r="AS236" s="4" t="s">
        <v>2592</v>
      </c>
      <c r="AT236" s="5" t="s">
        <v>2595</v>
      </c>
      <c r="AU236" s="4" cm="1">
        <f t="array" ref="AU236">IF(FALSE,"True," &amp; IF(_xlfn.XLOOKUP("Action_IsDenyOrDrop",'Scoring_Config'!$A:$A,'Scoring_Config'!$D:$D,"Yes")="Yes",_xlfn.XLOOKUP("Action_IsDenyOrDrop",'Scoring_Config'!$A:$A,'Scoring_Config'!$C:$C,0),0),"False,0")</f>
        <v>0</v>
      </c>
      <c r="AV236" s="4" t="s">
        <v>771</v>
      </c>
      <c r="AW236" s="5" cm="1">
        <f t="array" ref="AW236">IF(TRUE,"True," &amp; IF(_xlfn.XLOOKUP("Migrate_Insecure",'Scoring_Config'!$A:$A,'Scoring_Config'!$D:$D,"Yes")="Yes",_xlfn.XLOOKUP("Migrate_Insecure",'Scoring_Config'!$A:$A,'Scoring_Config'!$C:$C,15),0),"False,0")</f>
        <v>0</v>
      </c>
      <c r="AX236" s="4"/>
      <c r="AY236" s="4" cm="1">
        <f t="array" ref="AY236">IF(FALSE,"True," &amp; IF(_xlfn.XLOOKUP("Migrate_Other_Ports",'Scoring_Config'!$A:$A,'Scoring_Config'!$D:$D,"Yes")="Yes",_xlfn.XLOOKUP("Migrate_Other_Ports",'Scoring_Config'!$A:$A,'Scoring_Config'!$C:$C,5),0),"False,0")</f>
        <v>0</v>
      </c>
      <c r="AZ236" s="4" cm="1">
        <f t="array" ref="AZ236">IF(LEFT(AU236,4)="True",0,(IF(LEFT(AC236,4)="True",IF(_xlfn.XLOOKUP("Src_IsAny",'Scoring_Config'!$A:$A,'Scoring_Config'!$D:$D,"Yes")="Yes",_xlfn.XLOOKUP("Src_IsAny",'Scoring_Config'!$A:$A,'Scoring_Config'!$C:$C,25),0),0)+IF(LEFT(AD236,4)="True",IF(_xlfn.XLOOKUP("Src_CIDR_Le_16",'Scoring_Config'!$A:$A,'Scoring_Config'!$D:$D,"Yes")="Yes",_xlfn.XLOOKUP("Src_CIDR_Le_16",'Scoring_Config'!$A:$A,'Scoring_Config'!$C:$C,25),0),0)+IF(LEFT(AE236,4)="True",IF(_xlfn.XLOOKUP("Src_CIDR_17_22",'Scoring_Config'!$A:$A,'Scoring_Config'!$D:$D,"Yes")="Yes",_xlfn.XLOOKUP("Src_CIDR_17_22",'Scoring_Config'!$A:$A,'Scoring_Config'!$C:$C,15),0),0)+IF(LEFT(AF236,4)="True",IF(_xlfn.XLOOKUP("Dst_IsAny",'Scoring_Config'!$A:$A,'Scoring_Config'!$D:$D,"Yes")="Yes",_xlfn.XLOOKUP("Dst_IsAny",'Scoring_Config'!$A:$A,'Scoring_Config'!$C:$C,25),0),0)+IF(LEFT(AG236,4)="True",IF(_xlfn.XLOOKUP("Dst_CIDR_Le_16",'Scoring_Config'!$A:$A,'Scoring_Config'!$D:$D,"Yes")="Yes",_xlfn.XLOOKUP("Dst_CIDR_Le_16",'Scoring_Config'!$A:$A,'Scoring_Config'!$C:$C,25),0),0)+IF(LEFT(AH236,4)="True",IF(_xlfn.XLOOKUP("Dst_CIDR_17_22",'Scoring_Config'!$A:$A,'Scoring_Config'!$D:$D,"Yes")="Yes",_xlfn.XLOOKUP("Dst_CIDR_17_22",'Scoring_Config'!$A:$A,'Scoring_Config'!$C:$C,15),0),0)+IF(LEFT(AI236,4)="True",IF(_xlfn.XLOOKUP("SrcZone_IsAny",'Scoring_Config'!$A:$A,'Scoring_Config'!$D:$D,"Yes")="Yes",_xlfn.XLOOKUP("SrcZone_IsAny",'Scoring_Config'!$A:$A,'Scoring_Config'!$C:$C,5),0),0)+IF(LEFT(AJ236,4)="True",IF(_xlfn.XLOOKUP("DstZone_IsAny",'Scoring_Config'!$A:$A,'Scoring_Config'!$D:$D,"Yes")="Yes",_xlfn.XLOOKUP("DstZone_IsAny",'Scoring_Config'!$A:$A,'Scoring_Config'!$C:$C,5),0),0)+IF(LEFT(AK236,4)="True",IF(_xlfn.XLOOKUP("Service_Any_OR_RangeGt1000",'Scoring_Config'!$A:$A,'Scoring_Config'!$D:$D,"Yes")="Yes",_xlfn.XLOOKUP("Service_Any_OR_RangeGt1000",'Scoring_Config'!$A:$A,'Scoring_Config'!$C:$C,25),0),0)+IF(LEFT(AL236,4)="True",IF(_xlfn.XLOOKUP("App_Any_OR_RangeGt1000",'Scoring_Config'!$A:$A,'Scoring_Config'!$D:$D,"Yes")="Yes",_xlfn.XLOOKUP("App_Any_OR_RangeGt1000",'Scoring_Config'!$A:$A,'Scoring_Config'!$C:$C,25),0),0)+IF(LEFT(AM236,4)="True",IF(_xlfn.XLOOKUP("Service_Insecure_Match",'Scoring_Config'!$A:$A,'Scoring_Config'!$D:$D,"Yes")="Yes",_xlfn.XLOOKUP("Service_Insecure_Match",'Scoring_Config'!$A:$A,'Scoring_Config'!$C:$C,20),0),0)+IF(LEFT(AN236,4)="True",IF(_xlfn.XLOOKUP("Risky_Inbound",'Scoring_Config'!$A:$A,'Scoring_Config'!$D:$D,"Yes")="Yes",_xlfn.XLOOKUP("Risky_Inbound",'Scoring_Config'!$A:$A,'Scoring_Config'!$C:$C,20),0),0)+IF(LEFT(AO236,4)="True",IF(_xlfn.XLOOKUP("Risky_Outbound",'Scoring_Config'!$A:$A,'Scoring_Config'!$D:$D,"Yes")="Yes",_xlfn.XLOOKUP("Risky_Outbound",'Scoring_Config'!$A:$A,'Scoring_Config'!$C:$C,10),0),0)+IF(LEFT(AW236,4)="True",IF(_xlfn.XLOOKUP("Migrate_Insecure",'Scoring_Config'!$A:$A,'Scoring_Config'!$D:$D,"Yes")="Yes",_xlfn.XLOOKUP("Migrate_Insecure",'Scoring_Config'!$A:$A,'Scoring_Config'!$C:$C,15),0),0)+IF(LEFT(AY236,4)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236,FIND(",",AP236)+1,100)),0)+IF(LEFT(AQ236,4)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236,FIND(",",AR236)+1,100)),0)+IF(_xlfn.XLOOKUP("Profile_Scoring",'Scoring_Config'!$A:$A,'Scoring_Config'!$D:$D,"Yes")="Yes",VALUE(MID(AS236,FIND(",",AS236)+1,100)),0)+IF(_xlfn.XLOOKUP("Options_Scoring",'Scoring_Config'!$A:$A,'Scoring_Config'!$D:$D,"Yes")="Yes",VALUE(MID(AT236,FIND(",",AT236)+1,100)),0)))</f>
        <v>0</v>
      </c>
    </row>
    <row r="237" spans="1:52">
      <c r="A237" s="3" t="s">
        <v>53</v>
      </c>
      <c r="B237" s="3" t="s">
        <v>59</v>
      </c>
      <c r="C237" s="3" t="s">
        <v>330</v>
      </c>
      <c r="D237" s="3"/>
      <c r="E237" s="3" t="s">
        <v>359</v>
      </c>
      <c r="F237" s="3" t="s">
        <v>364</v>
      </c>
      <c r="G237" s="3" t="s">
        <v>426</v>
      </c>
      <c r="H237" s="3" t="s">
        <v>572</v>
      </c>
      <c r="I237" s="3" t="s">
        <v>625</v>
      </c>
      <c r="J237" s="3" t="s">
        <v>361</v>
      </c>
      <c r="K237" s="3" t="s">
        <v>690</v>
      </c>
      <c r="L237" s="3" t="s">
        <v>690</v>
      </c>
      <c r="M237" s="3" t="s">
        <v>770</v>
      </c>
      <c r="N237" s="3" t="s">
        <v>770</v>
      </c>
      <c r="O237" s="4" t="s">
        <v>817</v>
      </c>
      <c r="P237" s="3" t="s">
        <v>878</v>
      </c>
      <c r="Q237" s="3" t="s">
        <v>905</v>
      </c>
      <c r="R237" s="3" t="s">
        <v>907</v>
      </c>
      <c r="S237" s="3" t="s">
        <v>913</v>
      </c>
      <c r="T237" s="3" t="s">
        <v>1067</v>
      </c>
      <c r="U237" s="3" t="s">
        <v>1264</v>
      </c>
      <c r="V237" s="3" t="s">
        <v>1388</v>
      </c>
      <c r="W237" s="3" t="s">
        <v>1466</v>
      </c>
      <c r="X237" s="3" t="s">
        <v>1841</v>
      </c>
      <c r="Y237" s="3" t="s">
        <v>2310</v>
      </c>
      <c r="Z237" s="3"/>
      <c r="AA237" s="3"/>
      <c r="AB237" s="3"/>
      <c r="AC237" s="4" cm="1">
        <f t="array" ref="AC237">IF(FALSE,"True," &amp; IF(_xlfn.XLOOKUP("Src_IsAny",'Scoring_Config'!$A:$A,'Scoring_Config'!$D:$D,"Yes")="Yes",_xlfn.XLOOKUP("Src_IsAny",'Scoring_Config'!$A:$A,'Scoring_Config'!$C:$C,25),0),"False,0")</f>
        <v>0</v>
      </c>
      <c r="AD237" s="4" cm="1">
        <f t="array" ref="AD237">IF(FALSE,"True," &amp; IF(_xlfn.XLOOKUP("Src_CIDR_Le_16",'Scoring_Config'!$A:$A,'Scoring_Config'!$D:$D,"Yes")="Yes",_xlfn.XLOOKUP("Src_CIDR_Le_16",'Scoring_Config'!$A:$A,'Scoring_Config'!$C:$C,25),0),"False,0")</f>
        <v>0</v>
      </c>
      <c r="AE237" s="4" cm="1">
        <f t="array" ref="AE237">IF(FALSE,"True," &amp; IF(_xlfn.XLOOKUP("Src_CIDR_17_22",'Scoring_Config'!$A:$A,'Scoring_Config'!$D:$D,"Yes")="Yes",_xlfn.XLOOKUP("Src_CIDR_17_22",'Scoring_Config'!$A:$A,'Scoring_Config'!$C:$C,15),0),"False,0")</f>
        <v>0</v>
      </c>
      <c r="AF237" s="4" cm="1">
        <f t="array" ref="AF237">IF(FALSE,"True," &amp; IF(_xlfn.XLOOKUP("Dst_IsAny",'Scoring_Config'!$A:$A,'Scoring_Config'!$D:$D,"Yes")="Yes",_xlfn.XLOOKUP("Dst_IsAny",'Scoring_Config'!$A:$A,'Scoring_Config'!$C:$C,25),0),"False,0")</f>
        <v>0</v>
      </c>
      <c r="AG237" s="4" cm="1">
        <f t="array" ref="AG237">IF(FALSE,"True," &amp; IF(_xlfn.XLOOKUP("Dst_CIDR_Le_16",'Scoring_Config'!$A:$A,'Scoring_Config'!$D:$D,"Yes")="Yes",_xlfn.XLOOKUP("Dst_CIDR_Le_16",'Scoring_Config'!$A:$A,'Scoring_Config'!$C:$C,25),0),"False,0")</f>
        <v>0</v>
      </c>
      <c r="AH237" s="4" cm="1">
        <f t="array" ref="AH237">IF(FALSE,"True," &amp; IF(_xlfn.XLOOKUP("Dst_CIDR_17_22",'Scoring_Config'!$A:$A,'Scoring_Config'!$D:$D,"Yes")="Yes",_xlfn.XLOOKUP("Dst_CIDR_17_22",'Scoring_Config'!$A:$A,'Scoring_Config'!$C:$C,15),0),"False,0")</f>
        <v>0</v>
      </c>
      <c r="AI237" s="4" cm="1">
        <f t="array" ref="AI237">IF(FALSE,"True," &amp; IF(_xlfn.XLOOKUP("SrcZone_IsAny",'Scoring_Config'!$A:$A,'Scoring_Config'!$D:$D,"Yes")="Yes",_xlfn.XLOOKUP("SrcZone_IsAny",'Scoring_Config'!$A:$A,'Scoring_Config'!$C:$C,5),0),"False,0")</f>
        <v>0</v>
      </c>
      <c r="AJ237" s="4" cm="1">
        <f t="array" ref="AJ237">IF(FALSE,"True," &amp; IF(_xlfn.XLOOKUP("DstZone_IsAny",'Scoring_Config'!$A:$A,'Scoring_Config'!$D:$D,"Yes")="Yes",_xlfn.XLOOKUP("DstZone_IsAny",'Scoring_Config'!$A:$A,'Scoring_Config'!$C:$C,5),0),"False,0")</f>
        <v>0</v>
      </c>
      <c r="AK237" s="4" cm="1">
        <f t="array" ref="AK23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7" s="4" cm="1">
        <f t="array" ref="AL237">IF(FALSE,"True," &amp; IF(_xlfn.XLOOKUP("App_Any_OR_RangeGt1000",'Scoring_Config'!$A:$A,'Scoring_Config'!$D:$D,"Yes")="Yes",_xlfn.XLOOKUP("App_Any_OR_RangeGt1000",'Scoring_Config'!$A:$A,'Scoring_Config'!$C:$C,25),0),"False,0")</f>
        <v>0</v>
      </c>
      <c r="AM237" s="5" cm="1">
        <f t="array" ref="AM237">IF(TRUE,"True," &amp; IF(_xlfn.XLOOKUP("Service_Insecure_Match",'Scoring_Config'!$A:$A,'Scoring_Config'!$D:$D,"Yes")="Yes",_xlfn.XLOOKUP("Service_Insecure_Match",'Scoring_Config'!$A:$A,'Scoring_Config'!$C:$C,20),0),"False,0")</f>
        <v>0</v>
      </c>
      <c r="AN237" s="4" cm="1">
        <f t="array" ref="AN237">IF(FALSE,"True," &amp; IF(_xlfn.XLOOKUP("Risky_Inbound",'Scoring_Config'!$A:$A,'Scoring_Config'!$D:$D,"Yes")="Yes",_xlfn.XLOOKUP("Risky_Inbound",'Scoring_Config'!$A:$A,'Scoring_Config'!$C:$C,20),0),"False,0")</f>
        <v>0</v>
      </c>
      <c r="AO237" s="5" cm="1">
        <f t="array" ref="AO237">IF(TRUE,"True," &amp; IF(_xlfn.XLOOKUP("Risky_Outbound",'Scoring_Config'!$A:$A,'Scoring_Config'!$D:$D,"Yes")="Yes",_xlfn.XLOOKUP("Risky_Outbound",'Scoring_Config'!$A:$A,'Scoring_Config'!$C:$C,10),0),"False,0")</f>
        <v>0</v>
      </c>
      <c r="AP237" s="5" t="s">
        <v>2595</v>
      </c>
      <c r="AQ237" s="4" cm="1">
        <f t="array" ref="AQ23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7" s="5" t="s">
        <v>2598</v>
      </c>
      <c r="AS237" s="5" t="s">
        <v>2595</v>
      </c>
      <c r="AT237" s="4" t="s">
        <v>2592</v>
      </c>
      <c r="AU237" s="4" cm="1">
        <f t="array" ref="AU237">IF(FALSE,"True," &amp; IF(_xlfn.XLOOKUP("Action_IsDenyOrDrop",'Scoring_Config'!$A:$A,'Scoring_Config'!$D:$D,"Yes")="Yes",_xlfn.XLOOKUP("Action_IsDenyOrDrop",'Scoring_Config'!$A:$A,'Scoring_Config'!$C:$C,0),0),"False,0")</f>
        <v>0</v>
      </c>
      <c r="AV237" s="4"/>
      <c r="AW237" s="4" cm="1">
        <f t="array" ref="AW237">IF(FALSE,"True," &amp; IF(_xlfn.XLOOKUP("Migrate_Insecure",'Scoring_Config'!$A:$A,'Scoring_Config'!$D:$D,"Yes")="Yes",_xlfn.XLOOKUP("Migrate_Insecure",'Scoring_Config'!$A:$A,'Scoring_Config'!$C:$C,15),0),"False,0")</f>
        <v>0</v>
      </c>
      <c r="AX237" s="4"/>
      <c r="AY237" s="4" cm="1">
        <f t="array" ref="AY237">IF(FALSE,"True," &amp; IF(_xlfn.XLOOKUP("Migrate_Other_Ports",'Scoring_Config'!$A:$A,'Scoring_Config'!$D:$D,"Yes")="Yes",_xlfn.XLOOKUP("Migrate_Other_Ports",'Scoring_Config'!$A:$A,'Scoring_Config'!$C:$C,5),0),"False,0")</f>
        <v>0</v>
      </c>
      <c r="AZ237" s="4" cm="1">
        <f t="array" ref="AZ237">IF(LEFT(AU237,4)="True",0,(IF(LEFT(AC237,4)="True",IF(_xlfn.XLOOKUP("Src_IsAny",'Scoring_Config'!$A:$A,'Scoring_Config'!$D:$D,"Yes")="Yes",_xlfn.XLOOKUP("Src_IsAny",'Scoring_Config'!$A:$A,'Scoring_Config'!$C:$C,25),0),0)+IF(LEFT(AD237,4)="True",IF(_xlfn.XLOOKUP("Src_CIDR_Le_16",'Scoring_Config'!$A:$A,'Scoring_Config'!$D:$D,"Yes")="Yes",_xlfn.XLOOKUP("Src_CIDR_Le_16",'Scoring_Config'!$A:$A,'Scoring_Config'!$C:$C,25),0),0)+IF(LEFT(AE237,4)="True",IF(_xlfn.XLOOKUP("Src_CIDR_17_22",'Scoring_Config'!$A:$A,'Scoring_Config'!$D:$D,"Yes")="Yes",_xlfn.XLOOKUP("Src_CIDR_17_22",'Scoring_Config'!$A:$A,'Scoring_Config'!$C:$C,15),0),0)+IF(LEFT(AF237,4)="True",IF(_xlfn.XLOOKUP("Dst_IsAny",'Scoring_Config'!$A:$A,'Scoring_Config'!$D:$D,"Yes")="Yes",_xlfn.XLOOKUP("Dst_IsAny",'Scoring_Config'!$A:$A,'Scoring_Config'!$C:$C,25),0),0)+IF(LEFT(AG237,4)="True",IF(_xlfn.XLOOKUP("Dst_CIDR_Le_16",'Scoring_Config'!$A:$A,'Scoring_Config'!$D:$D,"Yes")="Yes",_xlfn.XLOOKUP("Dst_CIDR_Le_16",'Scoring_Config'!$A:$A,'Scoring_Config'!$C:$C,25),0),0)+IF(LEFT(AH237,4)="True",IF(_xlfn.XLOOKUP("Dst_CIDR_17_22",'Scoring_Config'!$A:$A,'Scoring_Config'!$D:$D,"Yes")="Yes",_xlfn.XLOOKUP("Dst_CIDR_17_22",'Scoring_Config'!$A:$A,'Scoring_Config'!$C:$C,15),0),0)+IF(LEFT(AI237,4)="True",IF(_xlfn.XLOOKUP("SrcZone_IsAny",'Scoring_Config'!$A:$A,'Scoring_Config'!$D:$D,"Yes")="Yes",_xlfn.XLOOKUP("SrcZone_IsAny",'Scoring_Config'!$A:$A,'Scoring_Config'!$C:$C,5),0),0)+IF(LEFT(AJ237,4)="True",IF(_xlfn.XLOOKUP("DstZone_IsAny",'Scoring_Config'!$A:$A,'Scoring_Config'!$D:$D,"Yes")="Yes",_xlfn.XLOOKUP("DstZone_IsAny",'Scoring_Config'!$A:$A,'Scoring_Config'!$C:$C,5),0),0)+IF(LEFT(AK237,4)="True",IF(_xlfn.XLOOKUP("Service_Any_OR_RangeGt1000",'Scoring_Config'!$A:$A,'Scoring_Config'!$D:$D,"Yes")="Yes",_xlfn.XLOOKUP("Service_Any_OR_RangeGt1000",'Scoring_Config'!$A:$A,'Scoring_Config'!$C:$C,25),0),0)+IF(LEFT(AL237,4)="True",IF(_xlfn.XLOOKUP("App_Any_OR_RangeGt1000",'Scoring_Config'!$A:$A,'Scoring_Config'!$D:$D,"Yes")="Yes",_xlfn.XLOOKUP("App_Any_OR_RangeGt1000",'Scoring_Config'!$A:$A,'Scoring_Config'!$C:$C,25),0),0)+IF(LEFT(AM237,4)="True",IF(_xlfn.XLOOKUP("Service_Insecure_Match",'Scoring_Config'!$A:$A,'Scoring_Config'!$D:$D,"Yes")="Yes",_xlfn.XLOOKUP("Service_Insecure_Match",'Scoring_Config'!$A:$A,'Scoring_Config'!$C:$C,20),0),0)+IF(LEFT(AN237,4)="True",IF(_xlfn.XLOOKUP("Risky_Inbound",'Scoring_Config'!$A:$A,'Scoring_Config'!$D:$D,"Yes")="Yes",_xlfn.XLOOKUP("Risky_Inbound",'Scoring_Config'!$A:$A,'Scoring_Config'!$C:$C,20),0),0)+IF(LEFT(AO237,4)="True",IF(_xlfn.XLOOKUP("Risky_Outbound",'Scoring_Config'!$A:$A,'Scoring_Config'!$D:$D,"Yes")="Yes",_xlfn.XLOOKUP("Risky_Outbound",'Scoring_Config'!$A:$A,'Scoring_Config'!$C:$C,10),0),0)+IF(LEFT(AW237,4)="True",IF(_xlfn.XLOOKUP("Migrate_Insecure",'Scoring_Config'!$A:$A,'Scoring_Config'!$D:$D,"Yes")="Yes",_xlfn.XLOOKUP("Migrate_Insecure",'Scoring_Config'!$A:$A,'Scoring_Config'!$C:$C,15),0),0)+IF(LEFT(AY237,4)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237,FIND(",",AP237)+1,100)),0)+IF(LEFT(AQ237,4)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237,FIND(",",AR237)+1,100)),0)+IF(_xlfn.XLOOKUP("Profile_Scoring",'Scoring_Config'!$A:$A,'Scoring_Config'!$D:$D,"Yes")="Yes",VALUE(MID(AS237,FIND(",",AS237)+1,100)),0)+IF(_xlfn.XLOOKUP("Options_Scoring",'Scoring_Config'!$A:$A,'Scoring_Config'!$D:$D,"Yes")="Yes",VALUE(MID(AT237,FIND(",",AT237)+1,100)),0)))</f>
        <v>0</v>
      </c>
    </row>
    <row r="238" spans="1:52">
      <c r="A238" s="3" t="s">
        <v>53</v>
      </c>
      <c r="B238" s="3" t="s">
        <v>65</v>
      </c>
      <c r="C238" s="3" t="s">
        <v>330</v>
      </c>
      <c r="D238" s="3"/>
      <c r="E238" s="3" t="s">
        <v>359</v>
      </c>
      <c r="F238" s="3" t="s">
        <v>360</v>
      </c>
      <c r="G238" s="3" t="s">
        <v>410</v>
      </c>
      <c r="H238" s="3" t="s">
        <v>564</v>
      </c>
      <c r="I238" s="3" t="s">
        <v>622</v>
      </c>
      <c r="J238" s="3" t="s">
        <v>363</v>
      </c>
      <c r="K238" s="3" t="s">
        <v>691</v>
      </c>
      <c r="L238" s="3" t="s">
        <v>691</v>
      </c>
      <c r="M238" s="3" t="s">
        <v>772</v>
      </c>
      <c r="N238" s="3" t="s">
        <v>794</v>
      </c>
      <c r="O238" s="4" t="s">
        <v>841</v>
      </c>
      <c r="P238" s="3" t="s">
        <v>841</v>
      </c>
      <c r="Q238" s="3" t="s">
        <v>905</v>
      </c>
      <c r="R238" s="3" t="s">
        <v>908</v>
      </c>
      <c r="S238" s="3" t="s">
        <v>914</v>
      </c>
      <c r="T238" s="3" t="s">
        <v>919</v>
      </c>
      <c r="U238" s="3" t="s">
        <v>1265</v>
      </c>
      <c r="V238" s="3" t="s">
        <v>1386</v>
      </c>
      <c r="W238" s="3" t="s">
        <v>1525</v>
      </c>
      <c r="X238" s="3" t="s">
        <v>1842</v>
      </c>
      <c r="Y238" s="3" t="s">
        <v>2311</v>
      </c>
      <c r="Z238" s="3"/>
      <c r="AA238" s="3"/>
      <c r="AB238" s="3"/>
      <c r="AC238" s="4" cm="1">
        <f t="array" ref="AC238">IF(FALSE,"True," &amp; IF(_xlfn.XLOOKUP("Src_IsAny",'Scoring_Config'!$A:$A,'Scoring_Config'!$D:$D,"Yes")="Yes",_xlfn.XLOOKUP("Src_IsAny",'Scoring_Config'!$A:$A,'Scoring_Config'!$C:$C,25),0),"False,0")</f>
        <v>0</v>
      </c>
      <c r="AD238" s="5" cm="1">
        <f t="array" ref="AD238">IF(TRUE,"True," &amp; IF(_xlfn.XLOOKUP("Src_CIDR_Le_16",'Scoring_Config'!$A:$A,'Scoring_Config'!$D:$D,"Yes")="Yes",_xlfn.XLOOKUP("Src_CIDR_Le_16",'Scoring_Config'!$A:$A,'Scoring_Config'!$C:$C,25),0),"False,0")</f>
        <v>0</v>
      </c>
      <c r="AE238" s="4" cm="1">
        <f t="array" ref="AE238">IF(FALSE,"True," &amp; IF(_xlfn.XLOOKUP("Src_CIDR_17_22",'Scoring_Config'!$A:$A,'Scoring_Config'!$D:$D,"Yes")="Yes",_xlfn.XLOOKUP("Src_CIDR_17_22",'Scoring_Config'!$A:$A,'Scoring_Config'!$C:$C,15),0),"False,0")</f>
        <v>0</v>
      </c>
      <c r="AF238" s="4" cm="1">
        <f t="array" ref="AF238">IF(FALSE,"True," &amp; IF(_xlfn.XLOOKUP("Dst_IsAny",'Scoring_Config'!$A:$A,'Scoring_Config'!$D:$D,"Yes")="Yes",_xlfn.XLOOKUP("Dst_IsAny",'Scoring_Config'!$A:$A,'Scoring_Config'!$C:$C,25),0),"False,0")</f>
        <v>0</v>
      </c>
      <c r="AG238" s="4" cm="1">
        <f t="array" ref="AG238">IF(FALSE,"True," &amp; IF(_xlfn.XLOOKUP("Dst_CIDR_Le_16",'Scoring_Config'!$A:$A,'Scoring_Config'!$D:$D,"Yes")="Yes",_xlfn.XLOOKUP("Dst_CIDR_Le_16",'Scoring_Config'!$A:$A,'Scoring_Config'!$C:$C,25),0),"False,0")</f>
        <v>0</v>
      </c>
      <c r="AH238" s="5" cm="1">
        <f t="array" ref="AH238">IF(TRUE,"True," &amp; IF(_xlfn.XLOOKUP("Dst_CIDR_17_22",'Scoring_Config'!$A:$A,'Scoring_Config'!$D:$D,"Yes")="Yes",_xlfn.XLOOKUP("Dst_CIDR_17_22",'Scoring_Config'!$A:$A,'Scoring_Config'!$C:$C,15),0),"False,0")</f>
        <v>0</v>
      </c>
      <c r="AI238" s="4" cm="1">
        <f t="array" ref="AI238">IF(FALSE,"True," &amp; IF(_xlfn.XLOOKUP("SrcZone_IsAny",'Scoring_Config'!$A:$A,'Scoring_Config'!$D:$D,"Yes")="Yes",_xlfn.XLOOKUP("SrcZone_IsAny",'Scoring_Config'!$A:$A,'Scoring_Config'!$C:$C,5),0),"False,0")</f>
        <v>0</v>
      </c>
      <c r="AJ238" s="4" cm="1">
        <f t="array" ref="AJ238">IF(FALSE,"True," &amp; IF(_xlfn.XLOOKUP("DstZone_IsAny",'Scoring_Config'!$A:$A,'Scoring_Config'!$D:$D,"Yes")="Yes",_xlfn.XLOOKUP("DstZone_IsAny",'Scoring_Config'!$A:$A,'Scoring_Config'!$C:$C,5),0),"False,0")</f>
        <v>0</v>
      </c>
      <c r="AK238" s="4" cm="1">
        <f t="array" ref="AK23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8" s="4" cm="1">
        <f t="array" ref="AL238">IF(FALSE,"True," &amp; IF(_xlfn.XLOOKUP("App_Any_OR_RangeGt1000",'Scoring_Config'!$A:$A,'Scoring_Config'!$D:$D,"Yes")="Yes",_xlfn.XLOOKUP("App_Any_OR_RangeGt1000",'Scoring_Config'!$A:$A,'Scoring_Config'!$C:$C,25),0),"False,0")</f>
        <v>0</v>
      </c>
      <c r="AM238" s="4" cm="1">
        <f t="array" ref="AM238">IF(FALSE,"True," &amp; IF(_xlfn.XLOOKUP("Service_Insecure_Match",'Scoring_Config'!$A:$A,'Scoring_Config'!$D:$D,"Yes")="Yes",_xlfn.XLOOKUP("Service_Insecure_Match",'Scoring_Config'!$A:$A,'Scoring_Config'!$C:$C,20),0),"False,0")</f>
        <v>0</v>
      </c>
      <c r="AN238" s="4" cm="1">
        <f t="array" ref="AN238">IF(FALSE,"True," &amp; IF(_xlfn.XLOOKUP("Risky_Inbound",'Scoring_Config'!$A:$A,'Scoring_Config'!$D:$D,"Yes")="Yes",_xlfn.XLOOKUP("Risky_Inbound",'Scoring_Config'!$A:$A,'Scoring_Config'!$C:$C,20),0),"False,0")</f>
        <v>0</v>
      </c>
      <c r="AO238" s="4" cm="1">
        <f t="array" ref="AO238">IF(FALSE,"True," &amp; IF(_xlfn.XLOOKUP("Risky_Outbound",'Scoring_Config'!$A:$A,'Scoring_Config'!$D:$D,"Yes")="Yes",_xlfn.XLOOKUP("Risky_Outbound",'Scoring_Config'!$A:$A,'Scoring_Config'!$C:$C,10),0),"False,0")</f>
        <v>0</v>
      </c>
      <c r="AP238" s="5" t="s">
        <v>2595</v>
      </c>
      <c r="AQ238" s="4" cm="1">
        <f t="array" ref="AQ23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8" s="5" t="s">
        <v>2598</v>
      </c>
      <c r="AS238" s="4" t="s">
        <v>2592</v>
      </c>
      <c r="AT238" s="4" t="s">
        <v>2592</v>
      </c>
      <c r="AU238" s="4" cm="1">
        <f t="array" ref="AU238">IF(FALSE,"True," &amp; IF(_xlfn.XLOOKUP("Action_IsDenyOrDrop",'Scoring_Config'!$A:$A,'Scoring_Config'!$D:$D,"Yes")="Yes",_xlfn.XLOOKUP("Action_IsDenyOrDrop",'Scoring_Config'!$A:$A,'Scoring_Config'!$C:$C,0),0),"False,0")</f>
        <v>0</v>
      </c>
      <c r="AV238" s="4"/>
      <c r="AW238" s="4" cm="1">
        <f t="array" ref="AW238">IF(FALSE,"True," &amp; IF(_xlfn.XLOOKUP("Migrate_Insecure",'Scoring_Config'!$A:$A,'Scoring_Config'!$D:$D,"Yes")="Yes",_xlfn.XLOOKUP("Migrate_Insecure",'Scoring_Config'!$A:$A,'Scoring_Config'!$C:$C,15),0),"False,0")</f>
        <v>0</v>
      </c>
      <c r="AX238" s="4"/>
      <c r="AY238" s="4" cm="1">
        <f t="array" ref="AY238">IF(FALSE,"True," &amp; IF(_xlfn.XLOOKUP("Migrate_Other_Ports",'Scoring_Config'!$A:$A,'Scoring_Config'!$D:$D,"Yes")="Yes",_xlfn.XLOOKUP("Migrate_Other_Ports",'Scoring_Config'!$A:$A,'Scoring_Config'!$C:$C,5),0),"False,0")</f>
        <v>0</v>
      </c>
      <c r="AZ238" s="4" cm="1">
        <f t="array" ref="AZ238">IF(LEFT(AU238,4)="True",0,(IF(LEFT(AC238,4)="True",IF(_xlfn.XLOOKUP("Src_IsAny",'Scoring_Config'!$A:$A,'Scoring_Config'!$D:$D,"Yes")="Yes",_xlfn.XLOOKUP("Src_IsAny",'Scoring_Config'!$A:$A,'Scoring_Config'!$C:$C,25),0),0)+IF(LEFT(AD238,4)="True",IF(_xlfn.XLOOKUP("Src_CIDR_Le_16",'Scoring_Config'!$A:$A,'Scoring_Config'!$D:$D,"Yes")="Yes",_xlfn.XLOOKUP("Src_CIDR_Le_16",'Scoring_Config'!$A:$A,'Scoring_Config'!$C:$C,25),0),0)+IF(LEFT(AE238,4)="True",IF(_xlfn.XLOOKUP("Src_CIDR_17_22",'Scoring_Config'!$A:$A,'Scoring_Config'!$D:$D,"Yes")="Yes",_xlfn.XLOOKUP("Src_CIDR_17_22",'Scoring_Config'!$A:$A,'Scoring_Config'!$C:$C,15),0),0)+IF(LEFT(AF238,4)="True",IF(_xlfn.XLOOKUP("Dst_IsAny",'Scoring_Config'!$A:$A,'Scoring_Config'!$D:$D,"Yes")="Yes",_xlfn.XLOOKUP("Dst_IsAny",'Scoring_Config'!$A:$A,'Scoring_Config'!$C:$C,25),0),0)+IF(LEFT(AG238,4)="True",IF(_xlfn.XLOOKUP("Dst_CIDR_Le_16",'Scoring_Config'!$A:$A,'Scoring_Config'!$D:$D,"Yes")="Yes",_xlfn.XLOOKUP("Dst_CIDR_Le_16",'Scoring_Config'!$A:$A,'Scoring_Config'!$C:$C,25),0),0)+IF(LEFT(AH238,4)="True",IF(_xlfn.XLOOKUP("Dst_CIDR_17_22",'Scoring_Config'!$A:$A,'Scoring_Config'!$D:$D,"Yes")="Yes",_xlfn.XLOOKUP("Dst_CIDR_17_22",'Scoring_Config'!$A:$A,'Scoring_Config'!$C:$C,15),0),0)+IF(LEFT(AI238,4)="True",IF(_xlfn.XLOOKUP("SrcZone_IsAny",'Scoring_Config'!$A:$A,'Scoring_Config'!$D:$D,"Yes")="Yes",_xlfn.XLOOKUP("SrcZone_IsAny",'Scoring_Config'!$A:$A,'Scoring_Config'!$C:$C,5),0),0)+IF(LEFT(AJ238,4)="True",IF(_xlfn.XLOOKUP("DstZone_IsAny",'Scoring_Config'!$A:$A,'Scoring_Config'!$D:$D,"Yes")="Yes",_xlfn.XLOOKUP("DstZone_IsAny",'Scoring_Config'!$A:$A,'Scoring_Config'!$C:$C,5),0),0)+IF(LEFT(AK238,4)="True",IF(_xlfn.XLOOKUP("Service_Any_OR_RangeGt1000",'Scoring_Config'!$A:$A,'Scoring_Config'!$D:$D,"Yes")="Yes",_xlfn.XLOOKUP("Service_Any_OR_RangeGt1000",'Scoring_Config'!$A:$A,'Scoring_Config'!$C:$C,25),0),0)+IF(LEFT(AL238,4)="True",IF(_xlfn.XLOOKUP("App_Any_OR_RangeGt1000",'Scoring_Config'!$A:$A,'Scoring_Config'!$D:$D,"Yes")="Yes",_xlfn.XLOOKUP("App_Any_OR_RangeGt1000",'Scoring_Config'!$A:$A,'Scoring_Config'!$C:$C,25),0),0)+IF(LEFT(AM238,4)="True",IF(_xlfn.XLOOKUP("Service_Insecure_Match",'Scoring_Config'!$A:$A,'Scoring_Config'!$D:$D,"Yes")="Yes",_xlfn.XLOOKUP("Service_Insecure_Match",'Scoring_Config'!$A:$A,'Scoring_Config'!$C:$C,20),0),0)+IF(LEFT(AN238,4)="True",IF(_xlfn.XLOOKUP("Risky_Inbound",'Scoring_Config'!$A:$A,'Scoring_Config'!$D:$D,"Yes")="Yes",_xlfn.XLOOKUP("Risky_Inbound",'Scoring_Config'!$A:$A,'Scoring_Config'!$C:$C,20),0),0)+IF(LEFT(AO238,4)="True",IF(_xlfn.XLOOKUP("Risky_Outbound",'Scoring_Config'!$A:$A,'Scoring_Config'!$D:$D,"Yes")="Yes",_xlfn.XLOOKUP("Risky_Outbound",'Scoring_Config'!$A:$A,'Scoring_Config'!$C:$C,10),0),0)+IF(LEFT(AW238,4)="True",IF(_xlfn.XLOOKUP("Migrate_Insecure",'Scoring_Config'!$A:$A,'Scoring_Config'!$D:$D,"Yes")="Yes",_xlfn.XLOOKUP("Migrate_Insecure",'Scoring_Config'!$A:$A,'Scoring_Config'!$C:$C,15),0),0)+IF(LEFT(AY238,4)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238,FIND(",",AP238)+1,100)),0)+IF(LEFT(AQ238,4)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238,FIND(",",AR238)+1,100)),0)+IF(_xlfn.XLOOKUP("Profile_Scoring",'Scoring_Config'!$A:$A,'Scoring_Config'!$D:$D,"Yes")="Yes",VALUE(MID(AS238,FIND(",",AS238)+1,100)),0)+IF(_xlfn.XLOOKUP("Options_Scoring",'Scoring_Config'!$A:$A,'Scoring_Config'!$D:$D,"Yes")="Yes",VALUE(MID(AT238,FIND(",",AT238)+1,100)),0)))</f>
        <v>0</v>
      </c>
    </row>
    <row r="239" spans="1:52">
      <c r="A239" s="3" t="s">
        <v>53</v>
      </c>
      <c r="B239" s="3" t="s">
        <v>218</v>
      </c>
      <c r="C239" s="3" t="s">
        <v>330</v>
      </c>
      <c r="D239" s="3"/>
      <c r="E239" s="3" t="s">
        <v>359</v>
      </c>
      <c r="F239" s="3" t="s">
        <v>363</v>
      </c>
      <c r="G239" s="3" t="s">
        <v>452</v>
      </c>
      <c r="H239" s="3" t="s">
        <v>581</v>
      </c>
      <c r="I239" s="3" t="s">
        <v>623</v>
      </c>
      <c r="J239" s="3" t="s">
        <v>363</v>
      </c>
      <c r="K239" s="3" t="s">
        <v>692</v>
      </c>
      <c r="L239" s="3" t="s">
        <v>692</v>
      </c>
      <c r="M239" s="3" t="s">
        <v>365</v>
      </c>
      <c r="N239" s="3" t="s">
        <v>365</v>
      </c>
      <c r="O239" s="4" t="s">
        <v>807</v>
      </c>
      <c r="P239" s="3" t="s">
        <v>868</v>
      </c>
      <c r="Q239" s="3" t="s">
        <v>905</v>
      </c>
      <c r="R239" s="3" t="s">
        <v>909</v>
      </c>
      <c r="S239" s="3" t="s">
        <v>916</v>
      </c>
      <c r="T239" s="3" t="s">
        <v>1068</v>
      </c>
      <c r="U239" s="3" t="s">
        <v>1266</v>
      </c>
      <c r="V239" s="3" t="s">
        <v>1388</v>
      </c>
      <c r="W239" s="3" t="s">
        <v>1526</v>
      </c>
      <c r="X239" s="3" t="s">
        <v>1843</v>
      </c>
      <c r="Y239" s="3" t="s">
        <v>2312</v>
      </c>
      <c r="Z239" s="3"/>
      <c r="AA239" s="3"/>
      <c r="AB239" s="3"/>
      <c r="AC239" s="5" cm="1">
        <f t="array" ref="AC239">IF(TRUE,"True," &amp; IF(_xlfn.XLOOKUP("Src_IsAny",'Scoring_Config'!$A:$A,'Scoring_Config'!$D:$D,"Yes")="Yes",_xlfn.XLOOKUP("Src_IsAny",'Scoring_Config'!$A:$A,'Scoring_Config'!$C:$C,25),0),"False,0")</f>
        <v>0</v>
      </c>
      <c r="AD239" s="5" cm="1">
        <f t="array" ref="AD239">IF(TRUE,"True," &amp; IF(_xlfn.XLOOKUP("Src_CIDR_Le_16",'Scoring_Config'!$A:$A,'Scoring_Config'!$D:$D,"Yes")="Yes",_xlfn.XLOOKUP("Src_CIDR_Le_16",'Scoring_Config'!$A:$A,'Scoring_Config'!$C:$C,25),0),"False,0")</f>
        <v>0</v>
      </c>
      <c r="AE239" s="4" cm="1">
        <f t="array" ref="AE239">IF(FALSE,"True," &amp; IF(_xlfn.XLOOKUP("Src_CIDR_17_22",'Scoring_Config'!$A:$A,'Scoring_Config'!$D:$D,"Yes")="Yes",_xlfn.XLOOKUP("Src_CIDR_17_22",'Scoring_Config'!$A:$A,'Scoring_Config'!$C:$C,15),0),"False,0")</f>
        <v>0</v>
      </c>
      <c r="AF239" s="4" cm="1">
        <f t="array" ref="AF239">IF(FALSE,"True," &amp; IF(_xlfn.XLOOKUP("Dst_IsAny",'Scoring_Config'!$A:$A,'Scoring_Config'!$D:$D,"Yes")="Yes",_xlfn.XLOOKUP("Dst_IsAny",'Scoring_Config'!$A:$A,'Scoring_Config'!$C:$C,25),0),"False,0")</f>
        <v>0</v>
      </c>
      <c r="AG239" s="4" cm="1">
        <f t="array" ref="AG239">IF(FALSE,"True," &amp; IF(_xlfn.XLOOKUP("Dst_CIDR_Le_16",'Scoring_Config'!$A:$A,'Scoring_Config'!$D:$D,"Yes")="Yes",_xlfn.XLOOKUP("Dst_CIDR_Le_16",'Scoring_Config'!$A:$A,'Scoring_Config'!$C:$C,25),0),"False,0")</f>
        <v>0</v>
      </c>
      <c r="AH239" s="5" cm="1">
        <f t="array" ref="AH239">IF(TRUE,"True," &amp; IF(_xlfn.XLOOKUP("Dst_CIDR_17_22",'Scoring_Config'!$A:$A,'Scoring_Config'!$D:$D,"Yes")="Yes",_xlfn.XLOOKUP("Dst_CIDR_17_22",'Scoring_Config'!$A:$A,'Scoring_Config'!$C:$C,15),0),"False,0")</f>
        <v>0</v>
      </c>
      <c r="AI239" s="4" cm="1">
        <f t="array" ref="AI239">IF(FALSE,"True," &amp; IF(_xlfn.XLOOKUP("SrcZone_IsAny",'Scoring_Config'!$A:$A,'Scoring_Config'!$D:$D,"Yes")="Yes",_xlfn.XLOOKUP("SrcZone_IsAny",'Scoring_Config'!$A:$A,'Scoring_Config'!$C:$C,5),0),"False,0")</f>
        <v>0</v>
      </c>
      <c r="AJ239" s="4" cm="1">
        <f t="array" ref="AJ239">IF(FALSE,"True," &amp; IF(_xlfn.XLOOKUP("DstZone_IsAny",'Scoring_Config'!$A:$A,'Scoring_Config'!$D:$D,"Yes")="Yes",_xlfn.XLOOKUP("DstZone_IsAny",'Scoring_Config'!$A:$A,'Scoring_Config'!$C:$C,5),0),"False,0")</f>
        <v>0</v>
      </c>
      <c r="AK239" s="4" cm="1">
        <f t="array" ref="AK23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39" s="5" cm="1">
        <f t="array" ref="AL239">IF(TRUE,"True," &amp; IF(_xlfn.XLOOKUP("App_Any_OR_RangeGt1000",'Scoring_Config'!$A:$A,'Scoring_Config'!$D:$D,"Yes")="Yes",_xlfn.XLOOKUP("App_Any_OR_RangeGt1000",'Scoring_Config'!$A:$A,'Scoring_Config'!$C:$C,25),0),"False,0")</f>
        <v>0</v>
      </c>
      <c r="AM239" s="5" cm="1">
        <f t="array" ref="AM239">IF(TRUE,"True," &amp; IF(_xlfn.XLOOKUP("Service_Insecure_Match",'Scoring_Config'!$A:$A,'Scoring_Config'!$D:$D,"Yes")="Yes",_xlfn.XLOOKUP("Service_Insecure_Match",'Scoring_Config'!$A:$A,'Scoring_Config'!$C:$C,20),0),"False,0")</f>
        <v>0</v>
      </c>
      <c r="AN239" s="4" cm="1">
        <f t="array" ref="AN239">IF(FALSE,"True," &amp; IF(_xlfn.XLOOKUP("Risky_Inbound",'Scoring_Config'!$A:$A,'Scoring_Config'!$D:$D,"Yes")="Yes",_xlfn.XLOOKUP("Risky_Inbound",'Scoring_Config'!$A:$A,'Scoring_Config'!$C:$C,20),0),"False,0")</f>
        <v>0</v>
      </c>
      <c r="AO239" s="4" cm="1">
        <f t="array" ref="AO239">IF(FALSE,"True," &amp; IF(_xlfn.XLOOKUP("Risky_Outbound",'Scoring_Config'!$A:$A,'Scoring_Config'!$D:$D,"Yes")="Yes",_xlfn.XLOOKUP("Risky_Outbound",'Scoring_Config'!$A:$A,'Scoring_Config'!$C:$C,10),0),"False,0")</f>
        <v>0</v>
      </c>
      <c r="AP239" s="5" t="s">
        <v>2595</v>
      </c>
      <c r="AQ239" s="4" cm="1">
        <f t="array" ref="AQ23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39" s="5" t="s">
        <v>2598</v>
      </c>
      <c r="AS239" s="4" t="s">
        <v>2592</v>
      </c>
      <c r="AT239" s="4" t="s">
        <v>2592</v>
      </c>
      <c r="AU239" s="4" cm="1">
        <f t="array" ref="AU239">IF(FALSE,"True," &amp; IF(_xlfn.XLOOKUP("Action_IsDenyOrDrop",'Scoring_Config'!$A:$A,'Scoring_Config'!$D:$D,"Yes")="Yes",_xlfn.XLOOKUP("Action_IsDenyOrDrop",'Scoring_Config'!$A:$A,'Scoring_Config'!$C:$C,0),0),"False,0")</f>
        <v>0</v>
      </c>
      <c r="AV239" s="4"/>
      <c r="AW239" s="4" cm="1">
        <f t="array" ref="AW239">IF(FALSE,"True," &amp; IF(_xlfn.XLOOKUP("Migrate_Insecure",'Scoring_Config'!$A:$A,'Scoring_Config'!$D:$D,"Yes")="Yes",_xlfn.XLOOKUP("Migrate_Insecure",'Scoring_Config'!$A:$A,'Scoring_Config'!$C:$C,15),0),"False,0")</f>
        <v>0</v>
      </c>
      <c r="AX239" s="4"/>
      <c r="AY239" s="4" cm="1">
        <f t="array" ref="AY239">IF(FALSE,"True," &amp; IF(_xlfn.XLOOKUP("Migrate_Other_Ports",'Scoring_Config'!$A:$A,'Scoring_Config'!$D:$D,"Yes")="Yes",_xlfn.XLOOKUP("Migrate_Other_Ports",'Scoring_Config'!$A:$A,'Scoring_Config'!$C:$C,5),0),"False,0")</f>
        <v>0</v>
      </c>
      <c r="AZ239" s="4" cm="1">
        <f t="array" ref="AZ239">IF(LEFT(AU239,4)="True",0,(IF(LEFT(AC239,4)="True",IF(_xlfn.XLOOKUP("Src_IsAny",'Scoring_Config'!$A:$A,'Scoring_Config'!$D:$D,"Yes")="Yes",_xlfn.XLOOKUP("Src_IsAny",'Scoring_Config'!$A:$A,'Scoring_Config'!$C:$C,25),0),0)+IF(LEFT(AD239,4)="True",IF(_xlfn.XLOOKUP("Src_CIDR_Le_16",'Scoring_Config'!$A:$A,'Scoring_Config'!$D:$D,"Yes")="Yes",_xlfn.XLOOKUP("Src_CIDR_Le_16",'Scoring_Config'!$A:$A,'Scoring_Config'!$C:$C,25),0),0)+IF(LEFT(AE239,4)="True",IF(_xlfn.XLOOKUP("Src_CIDR_17_22",'Scoring_Config'!$A:$A,'Scoring_Config'!$D:$D,"Yes")="Yes",_xlfn.XLOOKUP("Src_CIDR_17_22",'Scoring_Config'!$A:$A,'Scoring_Config'!$C:$C,15),0),0)+IF(LEFT(AF239,4)="True",IF(_xlfn.XLOOKUP("Dst_IsAny",'Scoring_Config'!$A:$A,'Scoring_Config'!$D:$D,"Yes")="Yes",_xlfn.XLOOKUP("Dst_IsAny",'Scoring_Config'!$A:$A,'Scoring_Config'!$C:$C,25),0),0)+IF(LEFT(AG239,4)="True",IF(_xlfn.XLOOKUP("Dst_CIDR_Le_16",'Scoring_Config'!$A:$A,'Scoring_Config'!$D:$D,"Yes")="Yes",_xlfn.XLOOKUP("Dst_CIDR_Le_16",'Scoring_Config'!$A:$A,'Scoring_Config'!$C:$C,25),0),0)+IF(LEFT(AH239,4)="True",IF(_xlfn.XLOOKUP("Dst_CIDR_17_22",'Scoring_Config'!$A:$A,'Scoring_Config'!$D:$D,"Yes")="Yes",_xlfn.XLOOKUP("Dst_CIDR_17_22",'Scoring_Config'!$A:$A,'Scoring_Config'!$C:$C,15),0),0)+IF(LEFT(AI239,4)="True",IF(_xlfn.XLOOKUP("SrcZone_IsAny",'Scoring_Config'!$A:$A,'Scoring_Config'!$D:$D,"Yes")="Yes",_xlfn.XLOOKUP("SrcZone_IsAny",'Scoring_Config'!$A:$A,'Scoring_Config'!$C:$C,5),0),0)+IF(LEFT(AJ239,4)="True",IF(_xlfn.XLOOKUP("DstZone_IsAny",'Scoring_Config'!$A:$A,'Scoring_Config'!$D:$D,"Yes")="Yes",_xlfn.XLOOKUP("DstZone_IsAny",'Scoring_Config'!$A:$A,'Scoring_Config'!$C:$C,5),0),0)+IF(LEFT(AK239,4)="True",IF(_xlfn.XLOOKUP("Service_Any_OR_RangeGt1000",'Scoring_Config'!$A:$A,'Scoring_Config'!$D:$D,"Yes")="Yes",_xlfn.XLOOKUP("Service_Any_OR_RangeGt1000",'Scoring_Config'!$A:$A,'Scoring_Config'!$C:$C,25),0),0)+IF(LEFT(AL239,4)="True",IF(_xlfn.XLOOKUP("App_Any_OR_RangeGt1000",'Scoring_Config'!$A:$A,'Scoring_Config'!$D:$D,"Yes")="Yes",_xlfn.XLOOKUP("App_Any_OR_RangeGt1000",'Scoring_Config'!$A:$A,'Scoring_Config'!$C:$C,25),0),0)+IF(LEFT(AM239,4)="True",IF(_xlfn.XLOOKUP("Service_Insecure_Match",'Scoring_Config'!$A:$A,'Scoring_Config'!$D:$D,"Yes")="Yes",_xlfn.XLOOKUP("Service_Insecure_Match",'Scoring_Config'!$A:$A,'Scoring_Config'!$C:$C,20),0),0)+IF(LEFT(AN239,4)="True",IF(_xlfn.XLOOKUP("Risky_Inbound",'Scoring_Config'!$A:$A,'Scoring_Config'!$D:$D,"Yes")="Yes",_xlfn.XLOOKUP("Risky_Inbound",'Scoring_Config'!$A:$A,'Scoring_Config'!$C:$C,20),0),0)+IF(LEFT(AO239,4)="True",IF(_xlfn.XLOOKUP("Risky_Outbound",'Scoring_Config'!$A:$A,'Scoring_Config'!$D:$D,"Yes")="Yes",_xlfn.XLOOKUP("Risky_Outbound",'Scoring_Config'!$A:$A,'Scoring_Config'!$C:$C,10),0),0)+IF(LEFT(AW239,4)="True",IF(_xlfn.XLOOKUP("Migrate_Insecure",'Scoring_Config'!$A:$A,'Scoring_Config'!$D:$D,"Yes")="Yes",_xlfn.XLOOKUP("Migrate_Insecure",'Scoring_Config'!$A:$A,'Scoring_Config'!$C:$C,15),0),0)+IF(LEFT(AY239,4)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239,FIND(",",AP239)+1,100)),0)+IF(LEFT(AQ239,4)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239,FIND(",",AR239)+1,100)),0)+IF(_xlfn.XLOOKUP("Profile_Scoring",'Scoring_Config'!$A:$A,'Scoring_Config'!$D:$D,"Yes")="Yes",VALUE(MID(AS239,FIND(",",AS239)+1,100)),0)+IF(_xlfn.XLOOKUP("Options_Scoring",'Scoring_Config'!$A:$A,'Scoring_Config'!$D:$D,"Yes")="Yes",VALUE(MID(AT239,FIND(",",AT239)+1,100)),0)))</f>
        <v>0</v>
      </c>
    </row>
    <row r="240" spans="1:52">
      <c r="A240" s="3" t="s">
        <v>53</v>
      </c>
      <c r="B240" s="3" t="s">
        <v>83</v>
      </c>
      <c r="C240" s="3" t="s">
        <v>330</v>
      </c>
      <c r="D240" s="3"/>
      <c r="E240" s="3" t="s">
        <v>359</v>
      </c>
      <c r="F240" s="3" t="s">
        <v>364</v>
      </c>
      <c r="G240" s="3" t="s">
        <v>434</v>
      </c>
      <c r="H240" s="3" t="s">
        <v>434</v>
      </c>
      <c r="I240" s="3" t="s">
        <v>622</v>
      </c>
      <c r="J240" s="3" t="s">
        <v>364</v>
      </c>
      <c r="K240" s="3" t="s">
        <v>693</v>
      </c>
      <c r="L240" s="3" t="s">
        <v>693</v>
      </c>
      <c r="M240" s="3" t="s">
        <v>769</v>
      </c>
      <c r="N240" s="3" t="s">
        <v>792</v>
      </c>
      <c r="O240" s="4" t="s">
        <v>812</v>
      </c>
      <c r="P240" s="3" t="s">
        <v>873</v>
      </c>
      <c r="Q240" s="3" t="s">
        <v>905</v>
      </c>
      <c r="R240" s="3" t="s">
        <v>906</v>
      </c>
      <c r="S240" s="3" t="s">
        <v>916</v>
      </c>
      <c r="T240" s="3" t="s">
        <v>1069</v>
      </c>
      <c r="U240" s="3" t="s">
        <v>1150</v>
      </c>
      <c r="V240" s="3" t="s">
        <v>1386</v>
      </c>
      <c r="W240" s="3" t="s">
        <v>1468</v>
      </c>
      <c r="X240" s="3" t="s">
        <v>1844</v>
      </c>
      <c r="Y240" s="3" t="s">
        <v>2313</v>
      </c>
      <c r="Z240" s="3"/>
      <c r="AA240" s="3"/>
      <c r="AB240" s="3"/>
      <c r="AC240" s="4" cm="1">
        <f t="array" ref="AC240">IF(FALSE,"True," &amp; IF(_xlfn.XLOOKUP("Src_IsAny",'Scoring_Config'!$A:$A,'Scoring_Config'!$D:$D,"Yes")="Yes",_xlfn.XLOOKUP("Src_IsAny",'Scoring_Config'!$A:$A,'Scoring_Config'!$C:$C,25),0),"False,0")</f>
        <v>0</v>
      </c>
      <c r="AD240" s="4" cm="1">
        <f t="array" ref="AD240">IF(FALSE,"True," &amp; IF(_xlfn.XLOOKUP("Src_CIDR_Le_16",'Scoring_Config'!$A:$A,'Scoring_Config'!$D:$D,"Yes")="Yes",_xlfn.XLOOKUP("Src_CIDR_Le_16",'Scoring_Config'!$A:$A,'Scoring_Config'!$C:$C,25),0),"False,0")</f>
        <v>0</v>
      </c>
      <c r="AE240" s="4" cm="1">
        <f t="array" ref="AE240">IF(FALSE,"True," &amp; IF(_xlfn.XLOOKUP("Src_CIDR_17_22",'Scoring_Config'!$A:$A,'Scoring_Config'!$D:$D,"Yes")="Yes",_xlfn.XLOOKUP("Src_CIDR_17_22",'Scoring_Config'!$A:$A,'Scoring_Config'!$C:$C,15),0),"False,0")</f>
        <v>0</v>
      </c>
      <c r="AF240" s="4" cm="1">
        <f t="array" ref="AF240">IF(FALSE,"True," &amp; IF(_xlfn.XLOOKUP("Dst_IsAny",'Scoring_Config'!$A:$A,'Scoring_Config'!$D:$D,"Yes")="Yes",_xlfn.XLOOKUP("Dst_IsAny",'Scoring_Config'!$A:$A,'Scoring_Config'!$C:$C,25),0),"False,0")</f>
        <v>0</v>
      </c>
      <c r="AG240" s="4" cm="1">
        <f t="array" ref="AG240">IF(FALSE,"True," &amp; IF(_xlfn.XLOOKUP("Dst_CIDR_Le_16",'Scoring_Config'!$A:$A,'Scoring_Config'!$D:$D,"Yes")="Yes",_xlfn.XLOOKUP("Dst_CIDR_Le_16",'Scoring_Config'!$A:$A,'Scoring_Config'!$C:$C,25),0),"False,0")</f>
        <v>0</v>
      </c>
      <c r="AH240" s="5" cm="1">
        <f t="array" ref="AH240">IF(TRUE,"True," &amp; IF(_xlfn.XLOOKUP("Dst_CIDR_17_22",'Scoring_Config'!$A:$A,'Scoring_Config'!$D:$D,"Yes")="Yes",_xlfn.XLOOKUP("Dst_CIDR_17_22",'Scoring_Config'!$A:$A,'Scoring_Config'!$C:$C,15),0),"False,0")</f>
        <v>0</v>
      </c>
      <c r="AI240" s="4" cm="1">
        <f t="array" ref="AI240">IF(FALSE,"True," &amp; IF(_xlfn.XLOOKUP("SrcZone_IsAny",'Scoring_Config'!$A:$A,'Scoring_Config'!$D:$D,"Yes")="Yes",_xlfn.XLOOKUP("SrcZone_IsAny",'Scoring_Config'!$A:$A,'Scoring_Config'!$C:$C,5),0),"False,0")</f>
        <v>0</v>
      </c>
      <c r="AJ240" s="4" cm="1">
        <f t="array" ref="AJ240">IF(FALSE,"True," &amp; IF(_xlfn.XLOOKUP("DstZone_IsAny",'Scoring_Config'!$A:$A,'Scoring_Config'!$D:$D,"Yes")="Yes",_xlfn.XLOOKUP("DstZone_IsAny",'Scoring_Config'!$A:$A,'Scoring_Config'!$C:$C,5),0),"False,0")</f>
        <v>0</v>
      </c>
      <c r="AK240" s="4" cm="1">
        <f t="array" ref="AK24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0" s="4" cm="1">
        <f t="array" ref="AL240">IF(FALSE,"True," &amp; IF(_xlfn.XLOOKUP("App_Any_OR_RangeGt1000",'Scoring_Config'!$A:$A,'Scoring_Config'!$D:$D,"Yes")="Yes",_xlfn.XLOOKUP("App_Any_OR_RangeGt1000",'Scoring_Config'!$A:$A,'Scoring_Config'!$C:$C,25),0),"False,0")</f>
        <v>0</v>
      </c>
      <c r="AM240" s="4" cm="1">
        <f t="array" ref="AM240">IF(FALSE,"True," &amp; IF(_xlfn.XLOOKUP("Service_Insecure_Match",'Scoring_Config'!$A:$A,'Scoring_Config'!$D:$D,"Yes")="Yes",_xlfn.XLOOKUP("Service_Insecure_Match",'Scoring_Config'!$A:$A,'Scoring_Config'!$C:$C,20),0),"False,0")</f>
        <v>0</v>
      </c>
      <c r="AN240" s="4" cm="1">
        <f t="array" ref="AN240">IF(FALSE,"True," &amp; IF(_xlfn.XLOOKUP("Risky_Inbound",'Scoring_Config'!$A:$A,'Scoring_Config'!$D:$D,"Yes")="Yes",_xlfn.XLOOKUP("Risky_Inbound",'Scoring_Config'!$A:$A,'Scoring_Config'!$C:$C,20),0),"False,0")</f>
        <v>0</v>
      </c>
      <c r="AO240" s="4" cm="1">
        <f t="array" ref="AO240">IF(FALSE,"True," &amp; IF(_xlfn.XLOOKUP("Risky_Outbound",'Scoring_Config'!$A:$A,'Scoring_Config'!$D:$D,"Yes")="Yes",_xlfn.XLOOKUP("Risky_Outbound",'Scoring_Config'!$A:$A,'Scoring_Config'!$C:$C,10),0),"False,0")</f>
        <v>0</v>
      </c>
      <c r="AP240" s="5" t="s">
        <v>2595</v>
      </c>
      <c r="AQ240" s="5" cm="1">
        <f t="array" ref="AQ24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0" s="5" t="s">
        <v>2598</v>
      </c>
      <c r="AS240" s="4" t="s">
        <v>2592</v>
      </c>
      <c r="AT240" s="4" t="s">
        <v>2592</v>
      </c>
      <c r="AU240" s="4" cm="1">
        <f t="array" ref="AU240">IF(FALSE,"True," &amp; IF(_xlfn.XLOOKUP("Action_IsDenyOrDrop",'Scoring_Config'!$A:$A,'Scoring_Config'!$D:$D,"Yes")="Yes",_xlfn.XLOOKUP("Action_IsDenyOrDrop",'Scoring_Config'!$A:$A,'Scoring_Config'!$C:$C,0),0),"False,0")</f>
        <v>0</v>
      </c>
      <c r="AV240" s="4"/>
      <c r="AW240" s="4" cm="1">
        <f t="array" ref="AW240">IF(FALSE,"True," &amp; IF(_xlfn.XLOOKUP("Migrate_Insecure",'Scoring_Config'!$A:$A,'Scoring_Config'!$D:$D,"Yes")="Yes",_xlfn.XLOOKUP("Migrate_Insecure",'Scoring_Config'!$A:$A,'Scoring_Config'!$C:$C,15),0),"False,0")</f>
        <v>0</v>
      </c>
      <c r="AX240" s="4"/>
      <c r="AY240" s="4" cm="1">
        <f t="array" ref="AY240">IF(FALSE,"True," &amp; IF(_xlfn.XLOOKUP("Migrate_Other_Ports",'Scoring_Config'!$A:$A,'Scoring_Config'!$D:$D,"Yes")="Yes",_xlfn.XLOOKUP("Migrate_Other_Ports",'Scoring_Config'!$A:$A,'Scoring_Config'!$C:$C,5),0),"False,0")</f>
        <v>0</v>
      </c>
      <c r="AZ240" s="4" cm="1">
        <f t="array" ref="AZ240">IF(LEFT(AU240,4)="True",0,(IF(LEFT(AC240,4)="True",IF(_xlfn.XLOOKUP("Src_IsAny",'Scoring_Config'!$A:$A,'Scoring_Config'!$D:$D,"Yes")="Yes",_xlfn.XLOOKUP("Src_IsAny",'Scoring_Config'!$A:$A,'Scoring_Config'!$C:$C,25),0),0)+IF(LEFT(AD240,4)="True",IF(_xlfn.XLOOKUP("Src_CIDR_Le_16",'Scoring_Config'!$A:$A,'Scoring_Config'!$D:$D,"Yes")="Yes",_xlfn.XLOOKUP("Src_CIDR_Le_16",'Scoring_Config'!$A:$A,'Scoring_Config'!$C:$C,25),0),0)+IF(LEFT(AE240,4)="True",IF(_xlfn.XLOOKUP("Src_CIDR_17_22",'Scoring_Config'!$A:$A,'Scoring_Config'!$D:$D,"Yes")="Yes",_xlfn.XLOOKUP("Src_CIDR_17_22",'Scoring_Config'!$A:$A,'Scoring_Config'!$C:$C,15),0),0)+IF(LEFT(AF240,4)="True",IF(_xlfn.XLOOKUP("Dst_IsAny",'Scoring_Config'!$A:$A,'Scoring_Config'!$D:$D,"Yes")="Yes",_xlfn.XLOOKUP("Dst_IsAny",'Scoring_Config'!$A:$A,'Scoring_Config'!$C:$C,25),0),0)+IF(LEFT(AG240,4)="True",IF(_xlfn.XLOOKUP("Dst_CIDR_Le_16",'Scoring_Config'!$A:$A,'Scoring_Config'!$D:$D,"Yes")="Yes",_xlfn.XLOOKUP("Dst_CIDR_Le_16",'Scoring_Config'!$A:$A,'Scoring_Config'!$C:$C,25),0),0)+IF(LEFT(AH240,4)="True",IF(_xlfn.XLOOKUP("Dst_CIDR_17_22",'Scoring_Config'!$A:$A,'Scoring_Config'!$D:$D,"Yes")="Yes",_xlfn.XLOOKUP("Dst_CIDR_17_22",'Scoring_Config'!$A:$A,'Scoring_Config'!$C:$C,15),0),0)+IF(LEFT(AI240,4)="True",IF(_xlfn.XLOOKUP("SrcZone_IsAny",'Scoring_Config'!$A:$A,'Scoring_Config'!$D:$D,"Yes")="Yes",_xlfn.XLOOKUP("SrcZone_IsAny",'Scoring_Config'!$A:$A,'Scoring_Config'!$C:$C,5),0),0)+IF(LEFT(AJ240,4)="True",IF(_xlfn.XLOOKUP("DstZone_IsAny",'Scoring_Config'!$A:$A,'Scoring_Config'!$D:$D,"Yes")="Yes",_xlfn.XLOOKUP("DstZone_IsAny",'Scoring_Config'!$A:$A,'Scoring_Config'!$C:$C,5),0),0)+IF(LEFT(AK240,4)="True",IF(_xlfn.XLOOKUP("Service_Any_OR_RangeGt1000",'Scoring_Config'!$A:$A,'Scoring_Config'!$D:$D,"Yes")="Yes",_xlfn.XLOOKUP("Service_Any_OR_RangeGt1000",'Scoring_Config'!$A:$A,'Scoring_Config'!$C:$C,25),0),0)+IF(LEFT(AL240,4)="True",IF(_xlfn.XLOOKUP("App_Any_OR_RangeGt1000",'Scoring_Config'!$A:$A,'Scoring_Config'!$D:$D,"Yes")="Yes",_xlfn.XLOOKUP("App_Any_OR_RangeGt1000",'Scoring_Config'!$A:$A,'Scoring_Config'!$C:$C,25),0),0)+IF(LEFT(AM240,4)="True",IF(_xlfn.XLOOKUP("Service_Insecure_Match",'Scoring_Config'!$A:$A,'Scoring_Config'!$D:$D,"Yes")="Yes",_xlfn.XLOOKUP("Service_Insecure_Match",'Scoring_Config'!$A:$A,'Scoring_Config'!$C:$C,20),0),0)+IF(LEFT(AN240,4)="True",IF(_xlfn.XLOOKUP("Risky_Inbound",'Scoring_Config'!$A:$A,'Scoring_Config'!$D:$D,"Yes")="Yes",_xlfn.XLOOKUP("Risky_Inbound",'Scoring_Config'!$A:$A,'Scoring_Config'!$C:$C,20),0),0)+IF(LEFT(AO240,4)="True",IF(_xlfn.XLOOKUP("Risky_Outbound",'Scoring_Config'!$A:$A,'Scoring_Config'!$D:$D,"Yes")="Yes",_xlfn.XLOOKUP("Risky_Outbound",'Scoring_Config'!$A:$A,'Scoring_Config'!$C:$C,10),0),0)+IF(LEFT(AW240,4)="True",IF(_xlfn.XLOOKUP("Migrate_Insecure",'Scoring_Config'!$A:$A,'Scoring_Config'!$D:$D,"Yes")="Yes",_xlfn.XLOOKUP("Migrate_Insecure",'Scoring_Config'!$A:$A,'Scoring_Config'!$C:$C,15),0),0)+IF(LEFT(AY240,4)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240,FIND(",",AP240)+1,100)),0)+IF(LEFT(AQ240,4)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240,FIND(",",AR240)+1,100)),0)+IF(_xlfn.XLOOKUP("Profile_Scoring",'Scoring_Config'!$A:$A,'Scoring_Config'!$D:$D,"Yes")="Yes",VALUE(MID(AS240,FIND(",",AS240)+1,100)),0)+IF(_xlfn.XLOOKUP("Options_Scoring",'Scoring_Config'!$A:$A,'Scoring_Config'!$D:$D,"Yes")="Yes",VALUE(MID(AT240,FIND(",",AT240)+1,100)),0)))</f>
        <v>0</v>
      </c>
    </row>
    <row r="241" spans="1:52">
      <c r="A241" s="3" t="s">
        <v>53</v>
      </c>
      <c r="B241" s="3" t="s">
        <v>191</v>
      </c>
      <c r="C241" s="3" t="s">
        <v>330</v>
      </c>
      <c r="D241" s="3"/>
      <c r="E241" s="3" t="s">
        <v>359</v>
      </c>
      <c r="F241" s="3" t="s">
        <v>361</v>
      </c>
      <c r="G241" s="3" t="s">
        <v>410</v>
      </c>
      <c r="H241" s="3" t="s">
        <v>564</v>
      </c>
      <c r="I241" s="3" t="s">
        <v>625</v>
      </c>
      <c r="J241" s="3" t="s">
        <v>362</v>
      </c>
      <c r="K241" s="3" t="s">
        <v>694</v>
      </c>
      <c r="L241" s="3" t="s">
        <v>694</v>
      </c>
      <c r="M241" s="3" t="s">
        <v>773</v>
      </c>
      <c r="N241" s="3" t="s">
        <v>773</v>
      </c>
      <c r="O241" s="4" t="s">
        <v>830</v>
      </c>
      <c r="P241" s="3" t="s">
        <v>891</v>
      </c>
      <c r="Q241" s="3" t="s">
        <v>905</v>
      </c>
      <c r="R241" s="3" t="s">
        <v>911</v>
      </c>
      <c r="S241" s="3" t="s">
        <v>916</v>
      </c>
      <c r="T241" s="3" t="s">
        <v>1070</v>
      </c>
      <c r="U241" s="3" t="s">
        <v>1267</v>
      </c>
      <c r="V241" s="3" t="s">
        <v>770</v>
      </c>
      <c r="W241" s="3" t="s">
        <v>1527</v>
      </c>
      <c r="X241" s="3" t="s">
        <v>1845</v>
      </c>
      <c r="Y241" s="3" t="s">
        <v>2314</v>
      </c>
      <c r="Z241" s="3"/>
      <c r="AA241" s="3"/>
      <c r="AB241" s="3"/>
      <c r="AC241" s="4" cm="1">
        <f t="array" ref="AC241">IF(FALSE,"True," &amp; IF(_xlfn.XLOOKUP("Src_IsAny",'Scoring_Config'!$A:$A,'Scoring_Config'!$D:$D,"Yes")="Yes",_xlfn.XLOOKUP("Src_IsAny",'Scoring_Config'!$A:$A,'Scoring_Config'!$C:$C,25),0),"False,0")</f>
        <v>0</v>
      </c>
      <c r="AD241" s="5" cm="1">
        <f t="array" ref="AD241">IF(TRUE,"True," &amp; IF(_xlfn.XLOOKUP("Src_CIDR_Le_16",'Scoring_Config'!$A:$A,'Scoring_Config'!$D:$D,"Yes")="Yes",_xlfn.XLOOKUP("Src_CIDR_Le_16",'Scoring_Config'!$A:$A,'Scoring_Config'!$C:$C,25),0),"False,0")</f>
        <v>0</v>
      </c>
      <c r="AE241" s="4" cm="1">
        <f t="array" ref="AE241">IF(FALSE,"True," &amp; IF(_xlfn.XLOOKUP("Src_CIDR_17_22",'Scoring_Config'!$A:$A,'Scoring_Config'!$D:$D,"Yes")="Yes",_xlfn.XLOOKUP("Src_CIDR_17_22",'Scoring_Config'!$A:$A,'Scoring_Config'!$C:$C,15),0),"False,0")</f>
        <v>0</v>
      </c>
      <c r="AF241" s="4" cm="1">
        <f t="array" ref="AF241">IF(FALSE,"True," &amp; IF(_xlfn.XLOOKUP("Dst_IsAny",'Scoring_Config'!$A:$A,'Scoring_Config'!$D:$D,"Yes")="Yes",_xlfn.XLOOKUP("Dst_IsAny",'Scoring_Config'!$A:$A,'Scoring_Config'!$C:$C,25),0),"False,0")</f>
        <v>0</v>
      </c>
      <c r="AG241" s="4" cm="1">
        <f t="array" ref="AG241">IF(FALSE,"True," &amp; IF(_xlfn.XLOOKUP("Dst_CIDR_Le_16",'Scoring_Config'!$A:$A,'Scoring_Config'!$D:$D,"Yes")="Yes",_xlfn.XLOOKUP("Dst_CIDR_Le_16",'Scoring_Config'!$A:$A,'Scoring_Config'!$C:$C,25),0),"False,0")</f>
        <v>0</v>
      </c>
      <c r="AH241" s="5" cm="1">
        <f t="array" ref="AH241">IF(TRUE,"True," &amp; IF(_xlfn.XLOOKUP("Dst_CIDR_17_22",'Scoring_Config'!$A:$A,'Scoring_Config'!$D:$D,"Yes")="Yes",_xlfn.XLOOKUP("Dst_CIDR_17_22",'Scoring_Config'!$A:$A,'Scoring_Config'!$C:$C,15),0),"False,0")</f>
        <v>0</v>
      </c>
      <c r="AI241" s="4" cm="1">
        <f t="array" ref="AI241">IF(FALSE,"True," &amp; IF(_xlfn.XLOOKUP("SrcZone_IsAny",'Scoring_Config'!$A:$A,'Scoring_Config'!$D:$D,"Yes")="Yes",_xlfn.XLOOKUP("SrcZone_IsAny",'Scoring_Config'!$A:$A,'Scoring_Config'!$C:$C,5),0),"False,0")</f>
        <v>0</v>
      </c>
      <c r="AJ241" s="4" cm="1">
        <f t="array" ref="AJ241">IF(FALSE,"True," &amp; IF(_xlfn.XLOOKUP("DstZone_IsAny",'Scoring_Config'!$A:$A,'Scoring_Config'!$D:$D,"Yes")="Yes",_xlfn.XLOOKUP("DstZone_IsAny",'Scoring_Config'!$A:$A,'Scoring_Config'!$C:$C,5),0),"False,0")</f>
        <v>0</v>
      </c>
      <c r="AK241" s="4" cm="1">
        <f t="array" ref="AK24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1" s="4" cm="1">
        <f t="array" ref="AL241">IF(FALSE,"True," &amp; IF(_xlfn.XLOOKUP("App_Any_OR_RangeGt1000",'Scoring_Config'!$A:$A,'Scoring_Config'!$D:$D,"Yes")="Yes",_xlfn.XLOOKUP("App_Any_OR_RangeGt1000",'Scoring_Config'!$A:$A,'Scoring_Config'!$C:$C,25),0),"False,0")</f>
        <v>0</v>
      </c>
      <c r="AM241" s="5" cm="1">
        <f t="array" ref="AM241">IF(TRUE,"True," &amp; IF(_xlfn.XLOOKUP("Service_Insecure_Match",'Scoring_Config'!$A:$A,'Scoring_Config'!$D:$D,"Yes")="Yes",_xlfn.XLOOKUP("Service_Insecure_Match",'Scoring_Config'!$A:$A,'Scoring_Config'!$C:$C,20),0),"False,0")</f>
        <v>0</v>
      </c>
      <c r="AN241" s="5" cm="1">
        <f t="array" ref="AN241">IF(TRUE,"True," &amp; IF(_xlfn.XLOOKUP("Risky_Inbound",'Scoring_Config'!$A:$A,'Scoring_Config'!$D:$D,"Yes")="Yes",_xlfn.XLOOKUP("Risky_Inbound",'Scoring_Config'!$A:$A,'Scoring_Config'!$C:$C,20),0),"False,0")</f>
        <v>0</v>
      </c>
      <c r="AO241" s="4" cm="1">
        <f t="array" ref="AO241">IF(FALSE,"True," &amp; IF(_xlfn.XLOOKUP("Risky_Outbound",'Scoring_Config'!$A:$A,'Scoring_Config'!$D:$D,"Yes")="Yes",_xlfn.XLOOKUP("Risky_Outbound",'Scoring_Config'!$A:$A,'Scoring_Config'!$C:$C,10),0),"False,0")</f>
        <v>0</v>
      </c>
      <c r="AP241" s="5" t="s">
        <v>2595</v>
      </c>
      <c r="AQ241" s="4" cm="1">
        <f t="array" ref="AQ24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1" s="5" t="s">
        <v>2598</v>
      </c>
      <c r="AS241" s="4" t="s">
        <v>2592</v>
      </c>
      <c r="AT241" s="4" t="s">
        <v>2592</v>
      </c>
      <c r="AU241" s="4" cm="1">
        <f t="array" ref="AU241">IF(FALSE,"True," &amp; IF(_xlfn.XLOOKUP("Action_IsDenyOrDrop",'Scoring_Config'!$A:$A,'Scoring_Config'!$D:$D,"Yes")="Yes",_xlfn.XLOOKUP("Action_IsDenyOrDrop",'Scoring_Config'!$A:$A,'Scoring_Config'!$C:$C,0),0),"False,0")</f>
        <v>0</v>
      </c>
      <c r="AV241" s="4"/>
      <c r="AW241" s="4" cm="1">
        <f t="array" ref="AW241">IF(FALSE,"True," &amp; IF(_xlfn.XLOOKUP("Migrate_Insecure",'Scoring_Config'!$A:$A,'Scoring_Config'!$D:$D,"Yes")="Yes",_xlfn.XLOOKUP("Migrate_Insecure",'Scoring_Config'!$A:$A,'Scoring_Config'!$C:$C,15),0),"False,0")</f>
        <v>0</v>
      </c>
      <c r="AX241" s="4"/>
      <c r="AY241" s="4" cm="1">
        <f t="array" ref="AY241">IF(FALSE,"True," &amp; IF(_xlfn.XLOOKUP("Migrate_Other_Ports",'Scoring_Config'!$A:$A,'Scoring_Config'!$D:$D,"Yes")="Yes",_xlfn.XLOOKUP("Migrate_Other_Ports",'Scoring_Config'!$A:$A,'Scoring_Config'!$C:$C,5),0),"False,0")</f>
        <v>0</v>
      </c>
      <c r="AZ241" s="4" cm="1">
        <f t="array" ref="AZ241">IF(LEFT(AU241,4)="True",0,(IF(LEFT(AC241,4)="True",IF(_xlfn.XLOOKUP("Src_IsAny",'Scoring_Config'!$A:$A,'Scoring_Config'!$D:$D,"Yes")="Yes",_xlfn.XLOOKUP("Src_IsAny",'Scoring_Config'!$A:$A,'Scoring_Config'!$C:$C,25),0),0)+IF(LEFT(AD241,4)="True",IF(_xlfn.XLOOKUP("Src_CIDR_Le_16",'Scoring_Config'!$A:$A,'Scoring_Config'!$D:$D,"Yes")="Yes",_xlfn.XLOOKUP("Src_CIDR_Le_16",'Scoring_Config'!$A:$A,'Scoring_Config'!$C:$C,25),0),0)+IF(LEFT(AE241,4)="True",IF(_xlfn.XLOOKUP("Src_CIDR_17_22",'Scoring_Config'!$A:$A,'Scoring_Config'!$D:$D,"Yes")="Yes",_xlfn.XLOOKUP("Src_CIDR_17_22",'Scoring_Config'!$A:$A,'Scoring_Config'!$C:$C,15),0),0)+IF(LEFT(AF241,4)="True",IF(_xlfn.XLOOKUP("Dst_IsAny",'Scoring_Config'!$A:$A,'Scoring_Config'!$D:$D,"Yes")="Yes",_xlfn.XLOOKUP("Dst_IsAny",'Scoring_Config'!$A:$A,'Scoring_Config'!$C:$C,25),0),0)+IF(LEFT(AG241,4)="True",IF(_xlfn.XLOOKUP("Dst_CIDR_Le_16",'Scoring_Config'!$A:$A,'Scoring_Config'!$D:$D,"Yes")="Yes",_xlfn.XLOOKUP("Dst_CIDR_Le_16",'Scoring_Config'!$A:$A,'Scoring_Config'!$C:$C,25),0),0)+IF(LEFT(AH241,4)="True",IF(_xlfn.XLOOKUP("Dst_CIDR_17_22",'Scoring_Config'!$A:$A,'Scoring_Config'!$D:$D,"Yes")="Yes",_xlfn.XLOOKUP("Dst_CIDR_17_22",'Scoring_Config'!$A:$A,'Scoring_Config'!$C:$C,15),0),0)+IF(LEFT(AI241,4)="True",IF(_xlfn.XLOOKUP("SrcZone_IsAny",'Scoring_Config'!$A:$A,'Scoring_Config'!$D:$D,"Yes")="Yes",_xlfn.XLOOKUP("SrcZone_IsAny",'Scoring_Config'!$A:$A,'Scoring_Config'!$C:$C,5),0),0)+IF(LEFT(AJ241,4)="True",IF(_xlfn.XLOOKUP("DstZone_IsAny",'Scoring_Config'!$A:$A,'Scoring_Config'!$D:$D,"Yes")="Yes",_xlfn.XLOOKUP("DstZone_IsAny",'Scoring_Config'!$A:$A,'Scoring_Config'!$C:$C,5),0),0)+IF(LEFT(AK241,4)="True",IF(_xlfn.XLOOKUP("Service_Any_OR_RangeGt1000",'Scoring_Config'!$A:$A,'Scoring_Config'!$D:$D,"Yes")="Yes",_xlfn.XLOOKUP("Service_Any_OR_RangeGt1000",'Scoring_Config'!$A:$A,'Scoring_Config'!$C:$C,25),0),0)+IF(LEFT(AL241,4)="True",IF(_xlfn.XLOOKUP("App_Any_OR_RangeGt1000",'Scoring_Config'!$A:$A,'Scoring_Config'!$D:$D,"Yes")="Yes",_xlfn.XLOOKUP("App_Any_OR_RangeGt1000",'Scoring_Config'!$A:$A,'Scoring_Config'!$C:$C,25),0),0)+IF(LEFT(AM241,4)="True",IF(_xlfn.XLOOKUP("Service_Insecure_Match",'Scoring_Config'!$A:$A,'Scoring_Config'!$D:$D,"Yes")="Yes",_xlfn.XLOOKUP("Service_Insecure_Match",'Scoring_Config'!$A:$A,'Scoring_Config'!$C:$C,20),0),0)+IF(LEFT(AN241,4)="True",IF(_xlfn.XLOOKUP("Risky_Inbound",'Scoring_Config'!$A:$A,'Scoring_Config'!$D:$D,"Yes")="Yes",_xlfn.XLOOKUP("Risky_Inbound",'Scoring_Config'!$A:$A,'Scoring_Config'!$C:$C,20),0),0)+IF(LEFT(AO241,4)="True",IF(_xlfn.XLOOKUP("Risky_Outbound",'Scoring_Config'!$A:$A,'Scoring_Config'!$D:$D,"Yes")="Yes",_xlfn.XLOOKUP("Risky_Outbound",'Scoring_Config'!$A:$A,'Scoring_Config'!$C:$C,10),0),0)+IF(LEFT(AW241,4)="True",IF(_xlfn.XLOOKUP("Migrate_Insecure",'Scoring_Config'!$A:$A,'Scoring_Config'!$D:$D,"Yes")="Yes",_xlfn.XLOOKUP("Migrate_Insecure",'Scoring_Config'!$A:$A,'Scoring_Config'!$C:$C,15),0),0)+IF(LEFT(AY241,4)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241,FIND(",",AP241)+1,100)),0)+IF(LEFT(AQ241,4)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241,FIND(",",AR241)+1,100)),0)+IF(_xlfn.XLOOKUP("Profile_Scoring",'Scoring_Config'!$A:$A,'Scoring_Config'!$D:$D,"Yes")="Yes",VALUE(MID(AS241,FIND(",",AS241)+1,100)),0)+IF(_xlfn.XLOOKUP("Options_Scoring",'Scoring_Config'!$A:$A,'Scoring_Config'!$D:$D,"Yes")="Yes",VALUE(MID(AT241,FIND(",",AT241)+1,100)),0)))</f>
        <v>0</v>
      </c>
    </row>
    <row r="242" spans="1:52">
      <c r="A242" s="3" t="s">
        <v>54</v>
      </c>
      <c r="B242" s="3" t="s">
        <v>219</v>
      </c>
      <c r="C242" s="3" t="s">
        <v>331</v>
      </c>
      <c r="D242" s="3"/>
      <c r="E242" s="3" t="s">
        <v>359</v>
      </c>
      <c r="F242" s="3" t="s">
        <v>361</v>
      </c>
      <c r="G242" s="3" t="s">
        <v>365</v>
      </c>
      <c r="H242" s="3" t="s">
        <v>365</v>
      </c>
      <c r="I242" s="3" t="s">
        <v>625</v>
      </c>
      <c r="J242" s="3" t="s">
        <v>360</v>
      </c>
      <c r="K242" s="3" t="s">
        <v>365</v>
      </c>
      <c r="L242" s="3" t="s">
        <v>365</v>
      </c>
      <c r="M242" s="3" t="s">
        <v>365</v>
      </c>
      <c r="N242" s="3" t="s">
        <v>365</v>
      </c>
      <c r="O242" s="4" t="s">
        <v>801</v>
      </c>
      <c r="P242" s="3" t="s">
        <v>862</v>
      </c>
      <c r="Q242" s="3" t="s">
        <v>905</v>
      </c>
      <c r="R242" s="3" t="s">
        <v>907</v>
      </c>
      <c r="S242" s="3" t="s">
        <v>907</v>
      </c>
      <c r="T242" s="3"/>
      <c r="U242" s="3" t="s">
        <v>1157</v>
      </c>
      <c r="V242" s="3" t="s">
        <v>789</v>
      </c>
      <c r="W242" s="3" t="s">
        <v>1396</v>
      </c>
      <c r="X242" s="3" t="s">
        <v>1846</v>
      </c>
      <c r="Y242" s="3" t="s">
        <v>2315</v>
      </c>
      <c r="Z242" s="3"/>
      <c r="AA242" s="3" t="s">
        <v>2544</v>
      </c>
      <c r="AB242" s="3"/>
      <c r="AC242" s="5" cm="1">
        <f t="array" ref="AC242">IF(TRUE,"True," &amp; IF(_xlfn.XLOOKUP("Src_IsAny",'Scoring_Config'!$A:$A,'Scoring_Config'!$D:$D,"Yes")="Yes",_xlfn.XLOOKUP("Src_IsAny",'Scoring_Config'!$A:$A,'Scoring_Config'!$C:$C,25),0),"False,0")</f>
        <v>0</v>
      </c>
      <c r="AD242" s="4" cm="1">
        <f t="array" ref="AD242">IF(FALSE,"True," &amp; IF(_xlfn.XLOOKUP("Src_CIDR_Le_16",'Scoring_Config'!$A:$A,'Scoring_Config'!$D:$D,"Yes")="Yes",_xlfn.XLOOKUP("Src_CIDR_Le_16",'Scoring_Config'!$A:$A,'Scoring_Config'!$C:$C,25),0),"False,0")</f>
        <v>0</v>
      </c>
      <c r="AE242" s="4" cm="1">
        <f t="array" ref="AE242">IF(FALSE,"True," &amp; IF(_xlfn.XLOOKUP("Src_CIDR_17_22",'Scoring_Config'!$A:$A,'Scoring_Config'!$D:$D,"Yes")="Yes",_xlfn.XLOOKUP("Src_CIDR_17_22",'Scoring_Config'!$A:$A,'Scoring_Config'!$C:$C,15),0),"False,0")</f>
        <v>0</v>
      </c>
      <c r="AF242" s="5" cm="1">
        <f t="array" ref="AF242">IF(TRUE,"True," &amp; IF(_xlfn.XLOOKUP("Dst_IsAny",'Scoring_Config'!$A:$A,'Scoring_Config'!$D:$D,"Yes")="Yes",_xlfn.XLOOKUP("Dst_IsAny",'Scoring_Config'!$A:$A,'Scoring_Config'!$C:$C,25),0),"False,0")</f>
        <v>0</v>
      </c>
      <c r="AG242" s="4" cm="1">
        <f t="array" ref="AG242">IF(FALSE,"True," &amp; IF(_xlfn.XLOOKUP("Dst_CIDR_Le_16",'Scoring_Config'!$A:$A,'Scoring_Config'!$D:$D,"Yes")="Yes",_xlfn.XLOOKUP("Dst_CIDR_Le_16",'Scoring_Config'!$A:$A,'Scoring_Config'!$C:$C,25),0),"False,0")</f>
        <v>0</v>
      </c>
      <c r="AH242" s="4" cm="1">
        <f t="array" ref="AH242">IF(FALSE,"True," &amp; IF(_xlfn.XLOOKUP("Dst_CIDR_17_22",'Scoring_Config'!$A:$A,'Scoring_Config'!$D:$D,"Yes")="Yes",_xlfn.XLOOKUP("Dst_CIDR_17_22",'Scoring_Config'!$A:$A,'Scoring_Config'!$C:$C,15),0),"False,0")</f>
        <v>0</v>
      </c>
      <c r="AI242" s="4" cm="1">
        <f t="array" ref="AI242">IF(FALSE,"True," &amp; IF(_xlfn.XLOOKUP("SrcZone_IsAny",'Scoring_Config'!$A:$A,'Scoring_Config'!$D:$D,"Yes")="Yes",_xlfn.XLOOKUP("SrcZone_IsAny",'Scoring_Config'!$A:$A,'Scoring_Config'!$C:$C,5),0),"False,0")</f>
        <v>0</v>
      </c>
      <c r="AJ242" s="4" cm="1">
        <f t="array" ref="AJ242">IF(FALSE,"True," &amp; IF(_xlfn.XLOOKUP("DstZone_IsAny",'Scoring_Config'!$A:$A,'Scoring_Config'!$D:$D,"Yes")="Yes",_xlfn.XLOOKUP("DstZone_IsAny",'Scoring_Config'!$A:$A,'Scoring_Config'!$C:$C,5),0),"False,0")</f>
        <v>0</v>
      </c>
      <c r="AK242" s="4" cm="1">
        <f t="array" ref="AK24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2" s="5" cm="1">
        <f t="array" ref="AL242">IF(TRUE,"True," &amp; IF(_xlfn.XLOOKUP("App_Any_OR_RangeGt1000",'Scoring_Config'!$A:$A,'Scoring_Config'!$D:$D,"Yes")="Yes",_xlfn.XLOOKUP("App_Any_OR_RangeGt1000",'Scoring_Config'!$A:$A,'Scoring_Config'!$C:$C,25),0),"False,0")</f>
        <v>0</v>
      </c>
      <c r="AM242" s="5" cm="1">
        <f t="array" ref="AM242">IF(TRUE,"True," &amp; IF(_xlfn.XLOOKUP("Service_Insecure_Match",'Scoring_Config'!$A:$A,'Scoring_Config'!$D:$D,"Yes")="Yes",_xlfn.XLOOKUP("Service_Insecure_Match",'Scoring_Config'!$A:$A,'Scoring_Config'!$C:$C,20),0),"False,0")</f>
        <v>0</v>
      </c>
      <c r="AN242" s="4" cm="1">
        <f t="array" ref="AN242">IF(FALSE,"True," &amp; IF(_xlfn.XLOOKUP("Risky_Inbound",'Scoring_Config'!$A:$A,'Scoring_Config'!$D:$D,"Yes")="Yes",_xlfn.XLOOKUP("Risky_Inbound",'Scoring_Config'!$A:$A,'Scoring_Config'!$C:$C,20),0),"False,0")</f>
        <v>0</v>
      </c>
      <c r="AO242" s="4" cm="1">
        <f t="array" ref="AO242">IF(FALSE,"True," &amp; IF(_xlfn.XLOOKUP("Risky_Outbound",'Scoring_Config'!$A:$A,'Scoring_Config'!$D:$D,"Yes")="Yes",_xlfn.XLOOKUP("Risky_Outbound",'Scoring_Config'!$A:$A,'Scoring_Config'!$C:$C,10),0),"False,0")</f>
        <v>0</v>
      </c>
      <c r="AP242" s="5" t="s">
        <v>2595</v>
      </c>
      <c r="AQ242" s="5" cm="1">
        <f t="array" ref="AQ24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2" s="5" t="s">
        <v>2598</v>
      </c>
      <c r="AS242" s="5" t="s">
        <v>2595</v>
      </c>
      <c r="AT242" s="5" t="s">
        <v>2595</v>
      </c>
      <c r="AU242" s="4" cm="1">
        <f t="array" ref="AU242">IF(FALSE,"True," &amp; IF(_xlfn.XLOOKUP("Action_IsDenyOrDrop",'Scoring_Config'!$A:$A,'Scoring_Config'!$D:$D,"Yes")="Yes",_xlfn.XLOOKUP("Action_IsDenyOrDrop",'Scoring_Config'!$A:$A,'Scoring_Config'!$C:$C,0),0),"False,0")</f>
        <v>0</v>
      </c>
      <c r="AV242" s="4"/>
      <c r="AW242" s="4" cm="1">
        <f t="array" ref="AW242">IF(FALSE,"True," &amp; IF(_xlfn.XLOOKUP("Migrate_Insecure",'Scoring_Config'!$A:$A,'Scoring_Config'!$D:$D,"Yes")="Yes",_xlfn.XLOOKUP("Migrate_Insecure",'Scoring_Config'!$A:$A,'Scoring_Config'!$C:$C,15),0),"False,0")</f>
        <v>0</v>
      </c>
      <c r="AX242" s="4"/>
      <c r="AY242" s="4" cm="1">
        <f t="array" ref="AY242">IF(FALSE,"True," &amp; IF(_xlfn.XLOOKUP("Migrate_Other_Ports",'Scoring_Config'!$A:$A,'Scoring_Config'!$D:$D,"Yes")="Yes",_xlfn.XLOOKUP("Migrate_Other_Ports",'Scoring_Config'!$A:$A,'Scoring_Config'!$C:$C,5),0),"False,0")</f>
        <v>0</v>
      </c>
      <c r="AZ242" s="4" cm="1">
        <f t="array" ref="AZ242">IF(LEFT(AU242,4)="True",0,(IF(LEFT(AC242,4)="True",IF(_xlfn.XLOOKUP("Src_IsAny",'Scoring_Config'!$A:$A,'Scoring_Config'!$D:$D,"Yes")="Yes",_xlfn.XLOOKUP("Src_IsAny",'Scoring_Config'!$A:$A,'Scoring_Config'!$C:$C,25),0),0)+IF(LEFT(AD242,4)="True",IF(_xlfn.XLOOKUP("Src_CIDR_Le_16",'Scoring_Config'!$A:$A,'Scoring_Config'!$D:$D,"Yes")="Yes",_xlfn.XLOOKUP("Src_CIDR_Le_16",'Scoring_Config'!$A:$A,'Scoring_Config'!$C:$C,25),0),0)+IF(LEFT(AE242,4)="True",IF(_xlfn.XLOOKUP("Src_CIDR_17_22",'Scoring_Config'!$A:$A,'Scoring_Config'!$D:$D,"Yes")="Yes",_xlfn.XLOOKUP("Src_CIDR_17_22",'Scoring_Config'!$A:$A,'Scoring_Config'!$C:$C,15),0),0)+IF(LEFT(AF242,4)="True",IF(_xlfn.XLOOKUP("Dst_IsAny",'Scoring_Config'!$A:$A,'Scoring_Config'!$D:$D,"Yes")="Yes",_xlfn.XLOOKUP("Dst_IsAny",'Scoring_Config'!$A:$A,'Scoring_Config'!$C:$C,25),0),0)+IF(LEFT(AG242,4)="True",IF(_xlfn.XLOOKUP("Dst_CIDR_Le_16",'Scoring_Config'!$A:$A,'Scoring_Config'!$D:$D,"Yes")="Yes",_xlfn.XLOOKUP("Dst_CIDR_Le_16",'Scoring_Config'!$A:$A,'Scoring_Config'!$C:$C,25),0),0)+IF(LEFT(AH242,4)="True",IF(_xlfn.XLOOKUP("Dst_CIDR_17_22",'Scoring_Config'!$A:$A,'Scoring_Config'!$D:$D,"Yes")="Yes",_xlfn.XLOOKUP("Dst_CIDR_17_22",'Scoring_Config'!$A:$A,'Scoring_Config'!$C:$C,15),0),0)+IF(LEFT(AI242,4)="True",IF(_xlfn.XLOOKUP("SrcZone_IsAny",'Scoring_Config'!$A:$A,'Scoring_Config'!$D:$D,"Yes")="Yes",_xlfn.XLOOKUP("SrcZone_IsAny",'Scoring_Config'!$A:$A,'Scoring_Config'!$C:$C,5),0),0)+IF(LEFT(AJ242,4)="True",IF(_xlfn.XLOOKUP("DstZone_IsAny",'Scoring_Config'!$A:$A,'Scoring_Config'!$D:$D,"Yes")="Yes",_xlfn.XLOOKUP("DstZone_IsAny",'Scoring_Config'!$A:$A,'Scoring_Config'!$C:$C,5),0),0)+IF(LEFT(AK242,4)="True",IF(_xlfn.XLOOKUP("Service_Any_OR_RangeGt1000",'Scoring_Config'!$A:$A,'Scoring_Config'!$D:$D,"Yes")="Yes",_xlfn.XLOOKUP("Service_Any_OR_RangeGt1000",'Scoring_Config'!$A:$A,'Scoring_Config'!$C:$C,25),0),0)+IF(LEFT(AL242,4)="True",IF(_xlfn.XLOOKUP("App_Any_OR_RangeGt1000",'Scoring_Config'!$A:$A,'Scoring_Config'!$D:$D,"Yes")="Yes",_xlfn.XLOOKUP("App_Any_OR_RangeGt1000",'Scoring_Config'!$A:$A,'Scoring_Config'!$C:$C,25),0),0)+IF(LEFT(AM242,4)="True",IF(_xlfn.XLOOKUP("Service_Insecure_Match",'Scoring_Config'!$A:$A,'Scoring_Config'!$D:$D,"Yes")="Yes",_xlfn.XLOOKUP("Service_Insecure_Match",'Scoring_Config'!$A:$A,'Scoring_Config'!$C:$C,20),0),0)+IF(LEFT(AN242,4)="True",IF(_xlfn.XLOOKUP("Risky_Inbound",'Scoring_Config'!$A:$A,'Scoring_Config'!$D:$D,"Yes")="Yes",_xlfn.XLOOKUP("Risky_Inbound",'Scoring_Config'!$A:$A,'Scoring_Config'!$C:$C,20),0),0)+IF(LEFT(AO242,4)="True",IF(_xlfn.XLOOKUP("Risky_Outbound",'Scoring_Config'!$A:$A,'Scoring_Config'!$D:$D,"Yes")="Yes",_xlfn.XLOOKUP("Risky_Outbound",'Scoring_Config'!$A:$A,'Scoring_Config'!$C:$C,10),0),0)+IF(LEFT(AW242,4)="True",IF(_xlfn.XLOOKUP("Migrate_Insecure",'Scoring_Config'!$A:$A,'Scoring_Config'!$D:$D,"Yes")="Yes",_xlfn.XLOOKUP("Migrate_Insecure",'Scoring_Config'!$A:$A,'Scoring_Config'!$C:$C,15),0),0)+IF(LEFT(AY242,4)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242,FIND(",",AP242)+1,100)),0)+IF(LEFT(AQ242,4)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242,FIND(",",AR242)+1,100)),0)+IF(_xlfn.XLOOKUP("Profile_Scoring",'Scoring_Config'!$A:$A,'Scoring_Config'!$D:$D,"Yes")="Yes",VALUE(MID(AS242,FIND(",",AS242)+1,100)),0)+IF(_xlfn.XLOOKUP("Options_Scoring",'Scoring_Config'!$A:$A,'Scoring_Config'!$D:$D,"Yes")="Yes",VALUE(MID(AT242,FIND(",",AT242)+1,100)),0)))</f>
        <v>0</v>
      </c>
    </row>
    <row r="243" spans="1:52">
      <c r="A243" s="3" t="s">
        <v>54</v>
      </c>
      <c r="B243" s="3" t="s">
        <v>220</v>
      </c>
      <c r="C243" s="3" t="s">
        <v>331</v>
      </c>
      <c r="D243" s="3" t="s">
        <v>333</v>
      </c>
      <c r="E243" s="3" t="s">
        <v>359</v>
      </c>
      <c r="F243" s="3" t="s">
        <v>364</v>
      </c>
      <c r="G243" s="3" t="s">
        <v>453</v>
      </c>
      <c r="H243" s="3" t="s">
        <v>582</v>
      </c>
      <c r="I243" s="3" t="s">
        <v>625</v>
      </c>
      <c r="J243" s="3" t="s">
        <v>362</v>
      </c>
      <c r="K243" s="3" t="s">
        <v>695</v>
      </c>
      <c r="L243" s="3" t="s">
        <v>695</v>
      </c>
      <c r="M243" s="3" t="s">
        <v>772</v>
      </c>
      <c r="N243" s="3" t="s">
        <v>794</v>
      </c>
      <c r="O243" s="4" t="s">
        <v>824</v>
      </c>
      <c r="P243" s="3" t="s">
        <v>885</v>
      </c>
      <c r="Q243" s="3" t="s">
        <v>905</v>
      </c>
      <c r="R243" s="3" t="s">
        <v>911</v>
      </c>
      <c r="S243" s="3" t="s">
        <v>914</v>
      </c>
      <c r="T243" s="3"/>
      <c r="U243" s="3" t="s">
        <v>1268</v>
      </c>
      <c r="V243" s="3" t="s">
        <v>770</v>
      </c>
      <c r="W243" s="3" t="s">
        <v>1424</v>
      </c>
      <c r="X243" s="3" t="s">
        <v>1847</v>
      </c>
      <c r="Y243" s="3" t="s">
        <v>2316</v>
      </c>
      <c r="Z243" s="3"/>
      <c r="AA243" s="3" t="s">
        <v>1451</v>
      </c>
      <c r="AB243" s="3"/>
      <c r="AC243" s="4" cm="1">
        <f t="array" ref="AC243">IF(FALSE,"True," &amp; IF(_xlfn.XLOOKUP("Src_IsAny",'Scoring_Config'!$A:$A,'Scoring_Config'!$D:$D,"Yes")="Yes",_xlfn.XLOOKUP("Src_IsAny",'Scoring_Config'!$A:$A,'Scoring_Config'!$C:$C,25),0),"False,0")</f>
        <v>0</v>
      </c>
      <c r="AD243" s="4" cm="1">
        <f t="array" ref="AD243">IF(FALSE,"True," &amp; IF(_xlfn.XLOOKUP("Src_CIDR_Le_16",'Scoring_Config'!$A:$A,'Scoring_Config'!$D:$D,"Yes")="Yes",_xlfn.XLOOKUP("Src_CIDR_Le_16",'Scoring_Config'!$A:$A,'Scoring_Config'!$C:$C,25),0),"False,0")</f>
        <v>0</v>
      </c>
      <c r="AE243" s="4" cm="1">
        <f t="array" ref="AE243">IF(FALSE,"True," &amp; IF(_xlfn.XLOOKUP("Src_CIDR_17_22",'Scoring_Config'!$A:$A,'Scoring_Config'!$D:$D,"Yes")="Yes",_xlfn.XLOOKUP("Src_CIDR_17_22",'Scoring_Config'!$A:$A,'Scoring_Config'!$C:$C,15),0),"False,0")</f>
        <v>0</v>
      </c>
      <c r="AF243" s="4" cm="1">
        <f t="array" ref="AF243">IF(FALSE,"True," &amp; IF(_xlfn.XLOOKUP("Dst_IsAny",'Scoring_Config'!$A:$A,'Scoring_Config'!$D:$D,"Yes")="Yes",_xlfn.XLOOKUP("Dst_IsAny",'Scoring_Config'!$A:$A,'Scoring_Config'!$C:$C,25),0),"False,0")</f>
        <v>0</v>
      </c>
      <c r="AG243" s="4" cm="1">
        <f t="array" ref="AG243">IF(FALSE,"True," &amp; IF(_xlfn.XLOOKUP("Dst_CIDR_Le_16",'Scoring_Config'!$A:$A,'Scoring_Config'!$D:$D,"Yes")="Yes",_xlfn.XLOOKUP("Dst_CIDR_Le_16",'Scoring_Config'!$A:$A,'Scoring_Config'!$C:$C,25),0),"False,0")</f>
        <v>0</v>
      </c>
      <c r="AH243" s="4" cm="1">
        <f t="array" ref="AH243">IF(FALSE,"True," &amp; IF(_xlfn.XLOOKUP("Dst_CIDR_17_22",'Scoring_Config'!$A:$A,'Scoring_Config'!$D:$D,"Yes")="Yes",_xlfn.XLOOKUP("Dst_CIDR_17_22",'Scoring_Config'!$A:$A,'Scoring_Config'!$C:$C,15),0),"False,0")</f>
        <v>0</v>
      </c>
      <c r="AI243" s="4" cm="1">
        <f t="array" ref="AI243">IF(FALSE,"True," &amp; IF(_xlfn.XLOOKUP("SrcZone_IsAny",'Scoring_Config'!$A:$A,'Scoring_Config'!$D:$D,"Yes")="Yes",_xlfn.XLOOKUP("SrcZone_IsAny",'Scoring_Config'!$A:$A,'Scoring_Config'!$C:$C,5),0),"False,0")</f>
        <v>0</v>
      </c>
      <c r="AJ243" s="4" cm="1">
        <f t="array" ref="AJ243">IF(FALSE,"True," &amp; IF(_xlfn.XLOOKUP("DstZone_IsAny",'Scoring_Config'!$A:$A,'Scoring_Config'!$D:$D,"Yes")="Yes",_xlfn.XLOOKUP("DstZone_IsAny",'Scoring_Config'!$A:$A,'Scoring_Config'!$C:$C,5),0),"False,0")</f>
        <v>0</v>
      </c>
      <c r="AK243" s="4" cm="1">
        <f t="array" ref="AK24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3" s="4" cm="1">
        <f t="array" ref="AL243">IF(FALSE,"True," &amp; IF(_xlfn.XLOOKUP("App_Any_OR_RangeGt1000",'Scoring_Config'!$A:$A,'Scoring_Config'!$D:$D,"Yes")="Yes",_xlfn.XLOOKUP("App_Any_OR_RangeGt1000",'Scoring_Config'!$A:$A,'Scoring_Config'!$C:$C,25),0),"False,0")</f>
        <v>0</v>
      </c>
      <c r="AM243" s="5" cm="1">
        <f t="array" ref="AM243">IF(TRUE,"True," &amp; IF(_xlfn.XLOOKUP("Service_Insecure_Match",'Scoring_Config'!$A:$A,'Scoring_Config'!$D:$D,"Yes")="Yes",_xlfn.XLOOKUP("Service_Insecure_Match",'Scoring_Config'!$A:$A,'Scoring_Config'!$C:$C,20),0),"False,0")</f>
        <v>0</v>
      </c>
      <c r="AN243" s="4" cm="1">
        <f t="array" ref="AN243">IF(FALSE,"True," &amp; IF(_xlfn.XLOOKUP("Risky_Inbound",'Scoring_Config'!$A:$A,'Scoring_Config'!$D:$D,"Yes")="Yes",_xlfn.XLOOKUP("Risky_Inbound",'Scoring_Config'!$A:$A,'Scoring_Config'!$C:$C,20),0),"False,0")</f>
        <v>0</v>
      </c>
      <c r="AO243" s="4" cm="1">
        <f t="array" ref="AO243">IF(FALSE,"True," &amp; IF(_xlfn.XLOOKUP("Risky_Outbound",'Scoring_Config'!$A:$A,'Scoring_Config'!$D:$D,"Yes")="Yes",_xlfn.XLOOKUP("Risky_Outbound",'Scoring_Config'!$A:$A,'Scoring_Config'!$C:$C,10),0),"False,0")</f>
        <v>0</v>
      </c>
      <c r="AP243" s="5" t="s">
        <v>2595</v>
      </c>
      <c r="AQ243" s="5" cm="1">
        <f t="array" ref="AQ24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3" s="5" t="s">
        <v>2598</v>
      </c>
      <c r="AS243" s="4" t="s">
        <v>2592</v>
      </c>
      <c r="AT243" s="4" t="s">
        <v>2592</v>
      </c>
      <c r="AU243" s="4" cm="1">
        <f t="array" ref="AU243">IF(FALSE,"True," &amp; IF(_xlfn.XLOOKUP("Action_IsDenyOrDrop",'Scoring_Config'!$A:$A,'Scoring_Config'!$D:$D,"Yes")="Yes",_xlfn.XLOOKUP("Action_IsDenyOrDrop",'Scoring_Config'!$A:$A,'Scoring_Config'!$C:$C,0),0),"False,0")</f>
        <v>0</v>
      </c>
      <c r="AV243" s="4"/>
      <c r="AW243" s="4" cm="1">
        <f t="array" ref="AW243">IF(FALSE,"True," &amp; IF(_xlfn.XLOOKUP("Migrate_Insecure",'Scoring_Config'!$A:$A,'Scoring_Config'!$D:$D,"Yes")="Yes",_xlfn.XLOOKUP("Migrate_Insecure",'Scoring_Config'!$A:$A,'Scoring_Config'!$C:$C,15),0),"False,0")</f>
        <v>0</v>
      </c>
      <c r="AX243" s="4"/>
      <c r="AY243" s="4" cm="1">
        <f t="array" ref="AY243">IF(FALSE,"True," &amp; IF(_xlfn.XLOOKUP("Migrate_Other_Ports",'Scoring_Config'!$A:$A,'Scoring_Config'!$D:$D,"Yes")="Yes",_xlfn.XLOOKUP("Migrate_Other_Ports",'Scoring_Config'!$A:$A,'Scoring_Config'!$C:$C,5),0),"False,0")</f>
        <v>0</v>
      </c>
      <c r="AZ243" s="4" cm="1">
        <f t="array" ref="AZ243">IF(LEFT(AU243,4)="True",0,(IF(LEFT(AC243,4)="True",IF(_xlfn.XLOOKUP("Src_IsAny",'Scoring_Config'!$A:$A,'Scoring_Config'!$D:$D,"Yes")="Yes",_xlfn.XLOOKUP("Src_IsAny",'Scoring_Config'!$A:$A,'Scoring_Config'!$C:$C,25),0),0)+IF(LEFT(AD243,4)="True",IF(_xlfn.XLOOKUP("Src_CIDR_Le_16",'Scoring_Config'!$A:$A,'Scoring_Config'!$D:$D,"Yes")="Yes",_xlfn.XLOOKUP("Src_CIDR_Le_16",'Scoring_Config'!$A:$A,'Scoring_Config'!$C:$C,25),0),0)+IF(LEFT(AE243,4)="True",IF(_xlfn.XLOOKUP("Src_CIDR_17_22",'Scoring_Config'!$A:$A,'Scoring_Config'!$D:$D,"Yes")="Yes",_xlfn.XLOOKUP("Src_CIDR_17_22",'Scoring_Config'!$A:$A,'Scoring_Config'!$C:$C,15),0),0)+IF(LEFT(AF243,4)="True",IF(_xlfn.XLOOKUP("Dst_IsAny",'Scoring_Config'!$A:$A,'Scoring_Config'!$D:$D,"Yes")="Yes",_xlfn.XLOOKUP("Dst_IsAny",'Scoring_Config'!$A:$A,'Scoring_Config'!$C:$C,25),0),0)+IF(LEFT(AG243,4)="True",IF(_xlfn.XLOOKUP("Dst_CIDR_Le_16",'Scoring_Config'!$A:$A,'Scoring_Config'!$D:$D,"Yes")="Yes",_xlfn.XLOOKUP("Dst_CIDR_Le_16",'Scoring_Config'!$A:$A,'Scoring_Config'!$C:$C,25),0),0)+IF(LEFT(AH243,4)="True",IF(_xlfn.XLOOKUP("Dst_CIDR_17_22",'Scoring_Config'!$A:$A,'Scoring_Config'!$D:$D,"Yes")="Yes",_xlfn.XLOOKUP("Dst_CIDR_17_22",'Scoring_Config'!$A:$A,'Scoring_Config'!$C:$C,15),0),0)+IF(LEFT(AI243,4)="True",IF(_xlfn.XLOOKUP("SrcZone_IsAny",'Scoring_Config'!$A:$A,'Scoring_Config'!$D:$D,"Yes")="Yes",_xlfn.XLOOKUP("SrcZone_IsAny",'Scoring_Config'!$A:$A,'Scoring_Config'!$C:$C,5),0),0)+IF(LEFT(AJ243,4)="True",IF(_xlfn.XLOOKUP("DstZone_IsAny",'Scoring_Config'!$A:$A,'Scoring_Config'!$D:$D,"Yes")="Yes",_xlfn.XLOOKUP("DstZone_IsAny",'Scoring_Config'!$A:$A,'Scoring_Config'!$C:$C,5),0),0)+IF(LEFT(AK243,4)="True",IF(_xlfn.XLOOKUP("Service_Any_OR_RangeGt1000",'Scoring_Config'!$A:$A,'Scoring_Config'!$D:$D,"Yes")="Yes",_xlfn.XLOOKUP("Service_Any_OR_RangeGt1000",'Scoring_Config'!$A:$A,'Scoring_Config'!$C:$C,25),0),0)+IF(LEFT(AL243,4)="True",IF(_xlfn.XLOOKUP("App_Any_OR_RangeGt1000",'Scoring_Config'!$A:$A,'Scoring_Config'!$D:$D,"Yes")="Yes",_xlfn.XLOOKUP("App_Any_OR_RangeGt1000",'Scoring_Config'!$A:$A,'Scoring_Config'!$C:$C,25),0),0)+IF(LEFT(AM243,4)="True",IF(_xlfn.XLOOKUP("Service_Insecure_Match",'Scoring_Config'!$A:$A,'Scoring_Config'!$D:$D,"Yes")="Yes",_xlfn.XLOOKUP("Service_Insecure_Match",'Scoring_Config'!$A:$A,'Scoring_Config'!$C:$C,20),0),0)+IF(LEFT(AN243,4)="True",IF(_xlfn.XLOOKUP("Risky_Inbound",'Scoring_Config'!$A:$A,'Scoring_Config'!$D:$D,"Yes")="Yes",_xlfn.XLOOKUP("Risky_Inbound",'Scoring_Config'!$A:$A,'Scoring_Config'!$C:$C,20),0),0)+IF(LEFT(AO243,4)="True",IF(_xlfn.XLOOKUP("Risky_Outbound",'Scoring_Config'!$A:$A,'Scoring_Config'!$D:$D,"Yes")="Yes",_xlfn.XLOOKUP("Risky_Outbound",'Scoring_Config'!$A:$A,'Scoring_Config'!$C:$C,10),0),0)+IF(LEFT(AW243,4)="True",IF(_xlfn.XLOOKUP("Migrate_Insecure",'Scoring_Config'!$A:$A,'Scoring_Config'!$D:$D,"Yes")="Yes",_xlfn.XLOOKUP("Migrate_Insecure",'Scoring_Config'!$A:$A,'Scoring_Config'!$C:$C,15),0),0)+IF(LEFT(AY243,4)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243,FIND(",",AP243)+1,100)),0)+IF(LEFT(AQ243,4)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243,FIND(",",AR243)+1,100)),0)+IF(_xlfn.XLOOKUP("Profile_Scoring",'Scoring_Config'!$A:$A,'Scoring_Config'!$D:$D,"Yes")="Yes",VALUE(MID(AS243,FIND(",",AS243)+1,100)),0)+IF(_xlfn.XLOOKUP("Options_Scoring",'Scoring_Config'!$A:$A,'Scoring_Config'!$D:$D,"Yes")="Yes",VALUE(MID(AT243,FIND(",",AT243)+1,100)),0)))</f>
        <v>0</v>
      </c>
    </row>
    <row r="244" spans="1:52">
      <c r="A244" s="3" t="s">
        <v>54</v>
      </c>
      <c r="B244" s="3" t="s">
        <v>107</v>
      </c>
      <c r="C244" s="3" t="s">
        <v>331</v>
      </c>
      <c r="D244" s="3"/>
      <c r="E244" s="3" t="s">
        <v>359</v>
      </c>
      <c r="F244" s="3" t="s">
        <v>361</v>
      </c>
      <c r="G244" s="3" t="s">
        <v>418</v>
      </c>
      <c r="H244" s="3" t="s">
        <v>418</v>
      </c>
      <c r="I244" s="3" t="s">
        <v>624</v>
      </c>
      <c r="J244" s="3" t="s">
        <v>360</v>
      </c>
      <c r="K244" s="3" t="s">
        <v>488</v>
      </c>
      <c r="L244" s="3" t="s">
        <v>596</v>
      </c>
      <c r="M244" s="3" t="s">
        <v>365</v>
      </c>
      <c r="N244" s="3" t="s">
        <v>365</v>
      </c>
      <c r="O244" s="4" t="s">
        <v>815</v>
      </c>
      <c r="P244" s="3" t="s">
        <v>876</v>
      </c>
      <c r="Q244" s="3" t="s">
        <v>905</v>
      </c>
      <c r="R244" s="3" t="s">
        <v>906</v>
      </c>
      <c r="S244" s="3" t="s">
        <v>914</v>
      </c>
      <c r="T244" s="3"/>
      <c r="U244" s="3" t="s">
        <v>1269</v>
      </c>
      <c r="V244" s="3" t="s">
        <v>770</v>
      </c>
      <c r="W244" s="3" t="s">
        <v>1140</v>
      </c>
      <c r="X244" s="3" t="s">
        <v>1848</v>
      </c>
      <c r="Y244" s="3" t="s">
        <v>2317</v>
      </c>
      <c r="Z244" s="3"/>
      <c r="AA244" s="3" t="s">
        <v>2545</v>
      </c>
      <c r="AB244" s="3"/>
      <c r="AC244" s="4" cm="1">
        <f t="array" ref="AC244">IF(FALSE,"True," &amp; IF(_xlfn.XLOOKUP("Src_IsAny",'Scoring_Config'!$A:$A,'Scoring_Config'!$D:$D,"Yes")="Yes",_xlfn.XLOOKUP("Src_IsAny",'Scoring_Config'!$A:$A,'Scoring_Config'!$C:$C,25),0),"False,0")</f>
        <v>0</v>
      </c>
      <c r="AD244" s="5" cm="1">
        <f t="array" ref="AD244">IF(TRUE,"True," &amp; IF(_xlfn.XLOOKUP("Src_CIDR_Le_16",'Scoring_Config'!$A:$A,'Scoring_Config'!$D:$D,"Yes")="Yes",_xlfn.XLOOKUP("Src_CIDR_Le_16",'Scoring_Config'!$A:$A,'Scoring_Config'!$C:$C,25),0),"False,0")</f>
        <v>0</v>
      </c>
      <c r="AE244" s="4" cm="1">
        <f t="array" ref="AE244">IF(FALSE,"True," &amp; IF(_xlfn.XLOOKUP("Src_CIDR_17_22",'Scoring_Config'!$A:$A,'Scoring_Config'!$D:$D,"Yes")="Yes",_xlfn.XLOOKUP("Src_CIDR_17_22",'Scoring_Config'!$A:$A,'Scoring_Config'!$C:$C,15),0),"False,0")</f>
        <v>0</v>
      </c>
      <c r="AF244" s="4" cm="1">
        <f t="array" ref="AF244">IF(FALSE,"True," &amp; IF(_xlfn.XLOOKUP("Dst_IsAny",'Scoring_Config'!$A:$A,'Scoring_Config'!$D:$D,"Yes")="Yes",_xlfn.XLOOKUP("Dst_IsAny",'Scoring_Config'!$A:$A,'Scoring_Config'!$C:$C,25),0),"False,0")</f>
        <v>0</v>
      </c>
      <c r="AG244" s="5" cm="1">
        <f t="array" ref="AG244">IF(TRUE,"True," &amp; IF(_xlfn.XLOOKUP("Dst_CIDR_Le_16",'Scoring_Config'!$A:$A,'Scoring_Config'!$D:$D,"Yes")="Yes",_xlfn.XLOOKUP("Dst_CIDR_Le_16",'Scoring_Config'!$A:$A,'Scoring_Config'!$C:$C,25),0),"False,0")</f>
        <v>0</v>
      </c>
      <c r="AH244" s="4" cm="1">
        <f t="array" ref="AH244">IF(FALSE,"True," &amp; IF(_xlfn.XLOOKUP("Dst_CIDR_17_22",'Scoring_Config'!$A:$A,'Scoring_Config'!$D:$D,"Yes")="Yes",_xlfn.XLOOKUP("Dst_CIDR_17_22",'Scoring_Config'!$A:$A,'Scoring_Config'!$C:$C,15),0),"False,0")</f>
        <v>0</v>
      </c>
      <c r="AI244" s="4" cm="1">
        <f t="array" ref="AI244">IF(FALSE,"True," &amp; IF(_xlfn.XLOOKUP("SrcZone_IsAny",'Scoring_Config'!$A:$A,'Scoring_Config'!$D:$D,"Yes")="Yes",_xlfn.XLOOKUP("SrcZone_IsAny",'Scoring_Config'!$A:$A,'Scoring_Config'!$C:$C,5),0),"False,0")</f>
        <v>0</v>
      </c>
      <c r="AJ244" s="4" cm="1">
        <f t="array" ref="AJ244">IF(FALSE,"True," &amp; IF(_xlfn.XLOOKUP("DstZone_IsAny",'Scoring_Config'!$A:$A,'Scoring_Config'!$D:$D,"Yes")="Yes",_xlfn.XLOOKUP("DstZone_IsAny",'Scoring_Config'!$A:$A,'Scoring_Config'!$C:$C,5),0),"False,0")</f>
        <v>0</v>
      </c>
      <c r="AK244" s="4" cm="1">
        <f t="array" ref="AK24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4" s="5" cm="1">
        <f t="array" ref="AL244">IF(TRUE,"True," &amp; IF(_xlfn.XLOOKUP("App_Any_OR_RangeGt1000",'Scoring_Config'!$A:$A,'Scoring_Config'!$D:$D,"Yes")="Yes",_xlfn.XLOOKUP("App_Any_OR_RangeGt1000",'Scoring_Config'!$A:$A,'Scoring_Config'!$C:$C,25),0),"False,0")</f>
        <v>0</v>
      </c>
      <c r="AM244" s="4" cm="1">
        <f t="array" ref="AM244">IF(FALSE,"True," &amp; IF(_xlfn.XLOOKUP("Service_Insecure_Match",'Scoring_Config'!$A:$A,'Scoring_Config'!$D:$D,"Yes")="Yes",_xlfn.XLOOKUP("Service_Insecure_Match",'Scoring_Config'!$A:$A,'Scoring_Config'!$C:$C,20),0),"False,0")</f>
        <v>0</v>
      </c>
      <c r="AN244" s="4" cm="1">
        <f t="array" ref="AN244">IF(FALSE,"True," &amp; IF(_xlfn.XLOOKUP("Risky_Inbound",'Scoring_Config'!$A:$A,'Scoring_Config'!$D:$D,"Yes")="Yes",_xlfn.XLOOKUP("Risky_Inbound",'Scoring_Config'!$A:$A,'Scoring_Config'!$C:$C,20),0),"False,0")</f>
        <v>0</v>
      </c>
      <c r="AO244" s="4" cm="1">
        <f t="array" ref="AO244">IF(FALSE,"True," &amp; IF(_xlfn.XLOOKUP("Risky_Outbound",'Scoring_Config'!$A:$A,'Scoring_Config'!$D:$D,"Yes")="Yes",_xlfn.XLOOKUP("Risky_Outbound",'Scoring_Config'!$A:$A,'Scoring_Config'!$C:$C,10),0),"False,0")</f>
        <v>0</v>
      </c>
      <c r="AP244" s="5" t="s">
        <v>2595</v>
      </c>
      <c r="AQ244" s="4" cm="1">
        <f t="array" ref="AQ24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4" s="5" t="s">
        <v>2598</v>
      </c>
      <c r="AS244" s="4" t="s">
        <v>2592</v>
      </c>
      <c r="AT244" s="4" t="s">
        <v>2592</v>
      </c>
      <c r="AU244" s="4" cm="1">
        <f t="array" ref="AU244">IF(FALSE,"True," &amp; IF(_xlfn.XLOOKUP("Action_IsDenyOrDrop",'Scoring_Config'!$A:$A,'Scoring_Config'!$D:$D,"Yes")="Yes",_xlfn.XLOOKUP("Action_IsDenyOrDrop",'Scoring_Config'!$A:$A,'Scoring_Config'!$C:$C,0),0),"False,0")</f>
        <v>0</v>
      </c>
      <c r="AV244" s="4"/>
      <c r="AW244" s="4" cm="1">
        <f t="array" ref="AW244">IF(FALSE,"True," &amp; IF(_xlfn.XLOOKUP("Migrate_Insecure",'Scoring_Config'!$A:$A,'Scoring_Config'!$D:$D,"Yes")="Yes",_xlfn.XLOOKUP("Migrate_Insecure",'Scoring_Config'!$A:$A,'Scoring_Config'!$C:$C,15),0),"False,0")</f>
        <v>0</v>
      </c>
      <c r="AX244" s="4"/>
      <c r="AY244" s="4" cm="1">
        <f t="array" ref="AY244">IF(FALSE,"True," &amp; IF(_xlfn.XLOOKUP("Migrate_Other_Ports",'Scoring_Config'!$A:$A,'Scoring_Config'!$D:$D,"Yes")="Yes",_xlfn.XLOOKUP("Migrate_Other_Ports",'Scoring_Config'!$A:$A,'Scoring_Config'!$C:$C,5),0),"False,0")</f>
        <v>0</v>
      </c>
      <c r="AZ244" s="4" cm="1">
        <f t="array" ref="AZ244">IF(LEFT(AU244,4)="True",0,(IF(LEFT(AC244,4)="True",IF(_xlfn.XLOOKUP("Src_IsAny",'Scoring_Config'!$A:$A,'Scoring_Config'!$D:$D,"Yes")="Yes",_xlfn.XLOOKUP("Src_IsAny",'Scoring_Config'!$A:$A,'Scoring_Config'!$C:$C,25),0),0)+IF(LEFT(AD244,4)="True",IF(_xlfn.XLOOKUP("Src_CIDR_Le_16",'Scoring_Config'!$A:$A,'Scoring_Config'!$D:$D,"Yes")="Yes",_xlfn.XLOOKUP("Src_CIDR_Le_16",'Scoring_Config'!$A:$A,'Scoring_Config'!$C:$C,25),0),0)+IF(LEFT(AE244,4)="True",IF(_xlfn.XLOOKUP("Src_CIDR_17_22",'Scoring_Config'!$A:$A,'Scoring_Config'!$D:$D,"Yes")="Yes",_xlfn.XLOOKUP("Src_CIDR_17_22",'Scoring_Config'!$A:$A,'Scoring_Config'!$C:$C,15),0),0)+IF(LEFT(AF244,4)="True",IF(_xlfn.XLOOKUP("Dst_IsAny",'Scoring_Config'!$A:$A,'Scoring_Config'!$D:$D,"Yes")="Yes",_xlfn.XLOOKUP("Dst_IsAny",'Scoring_Config'!$A:$A,'Scoring_Config'!$C:$C,25),0),0)+IF(LEFT(AG244,4)="True",IF(_xlfn.XLOOKUP("Dst_CIDR_Le_16",'Scoring_Config'!$A:$A,'Scoring_Config'!$D:$D,"Yes")="Yes",_xlfn.XLOOKUP("Dst_CIDR_Le_16",'Scoring_Config'!$A:$A,'Scoring_Config'!$C:$C,25),0),0)+IF(LEFT(AH244,4)="True",IF(_xlfn.XLOOKUP("Dst_CIDR_17_22",'Scoring_Config'!$A:$A,'Scoring_Config'!$D:$D,"Yes")="Yes",_xlfn.XLOOKUP("Dst_CIDR_17_22",'Scoring_Config'!$A:$A,'Scoring_Config'!$C:$C,15),0),0)+IF(LEFT(AI244,4)="True",IF(_xlfn.XLOOKUP("SrcZone_IsAny",'Scoring_Config'!$A:$A,'Scoring_Config'!$D:$D,"Yes")="Yes",_xlfn.XLOOKUP("SrcZone_IsAny",'Scoring_Config'!$A:$A,'Scoring_Config'!$C:$C,5),0),0)+IF(LEFT(AJ244,4)="True",IF(_xlfn.XLOOKUP("DstZone_IsAny",'Scoring_Config'!$A:$A,'Scoring_Config'!$D:$D,"Yes")="Yes",_xlfn.XLOOKUP("DstZone_IsAny",'Scoring_Config'!$A:$A,'Scoring_Config'!$C:$C,5),0),0)+IF(LEFT(AK244,4)="True",IF(_xlfn.XLOOKUP("Service_Any_OR_RangeGt1000",'Scoring_Config'!$A:$A,'Scoring_Config'!$D:$D,"Yes")="Yes",_xlfn.XLOOKUP("Service_Any_OR_RangeGt1000",'Scoring_Config'!$A:$A,'Scoring_Config'!$C:$C,25),0),0)+IF(LEFT(AL244,4)="True",IF(_xlfn.XLOOKUP("App_Any_OR_RangeGt1000",'Scoring_Config'!$A:$A,'Scoring_Config'!$D:$D,"Yes")="Yes",_xlfn.XLOOKUP("App_Any_OR_RangeGt1000",'Scoring_Config'!$A:$A,'Scoring_Config'!$C:$C,25),0),0)+IF(LEFT(AM244,4)="True",IF(_xlfn.XLOOKUP("Service_Insecure_Match",'Scoring_Config'!$A:$A,'Scoring_Config'!$D:$D,"Yes")="Yes",_xlfn.XLOOKUP("Service_Insecure_Match",'Scoring_Config'!$A:$A,'Scoring_Config'!$C:$C,20),0),0)+IF(LEFT(AN244,4)="True",IF(_xlfn.XLOOKUP("Risky_Inbound",'Scoring_Config'!$A:$A,'Scoring_Config'!$D:$D,"Yes")="Yes",_xlfn.XLOOKUP("Risky_Inbound",'Scoring_Config'!$A:$A,'Scoring_Config'!$C:$C,20),0),0)+IF(LEFT(AO244,4)="True",IF(_xlfn.XLOOKUP("Risky_Outbound",'Scoring_Config'!$A:$A,'Scoring_Config'!$D:$D,"Yes")="Yes",_xlfn.XLOOKUP("Risky_Outbound",'Scoring_Config'!$A:$A,'Scoring_Config'!$C:$C,10),0),0)+IF(LEFT(AW244,4)="True",IF(_xlfn.XLOOKUP("Migrate_Insecure",'Scoring_Config'!$A:$A,'Scoring_Config'!$D:$D,"Yes")="Yes",_xlfn.XLOOKUP("Migrate_Insecure",'Scoring_Config'!$A:$A,'Scoring_Config'!$C:$C,15),0),0)+IF(LEFT(AY244,4)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244,FIND(",",AP244)+1,100)),0)+IF(LEFT(AQ244,4)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244,FIND(",",AR244)+1,100)),0)+IF(_xlfn.XLOOKUP("Profile_Scoring",'Scoring_Config'!$A:$A,'Scoring_Config'!$D:$D,"Yes")="Yes",VALUE(MID(AS244,FIND(",",AS244)+1,100)),0)+IF(_xlfn.XLOOKUP("Options_Scoring",'Scoring_Config'!$A:$A,'Scoring_Config'!$D:$D,"Yes")="Yes",VALUE(MID(AT244,FIND(",",AT244)+1,100)),0)))</f>
        <v>0</v>
      </c>
    </row>
    <row r="245" spans="1:52">
      <c r="A245" s="3" t="s">
        <v>54</v>
      </c>
      <c r="B245" s="3" t="s">
        <v>221</v>
      </c>
      <c r="C245" s="3" t="s">
        <v>331</v>
      </c>
      <c r="D245" s="3"/>
      <c r="E245" s="3" t="s">
        <v>359</v>
      </c>
      <c r="F245" s="3" t="s">
        <v>361</v>
      </c>
      <c r="G245" s="3" t="s">
        <v>454</v>
      </c>
      <c r="H245" s="3" t="s">
        <v>583</v>
      </c>
      <c r="I245" s="3" t="s">
        <v>625</v>
      </c>
      <c r="J245" s="3" t="s">
        <v>364</v>
      </c>
      <c r="K245" s="3" t="s">
        <v>584</v>
      </c>
      <c r="L245" s="3" t="s">
        <v>584</v>
      </c>
      <c r="M245" s="3" t="s">
        <v>777</v>
      </c>
      <c r="N245" s="3" t="s">
        <v>777</v>
      </c>
      <c r="O245" s="4" t="s">
        <v>810</v>
      </c>
      <c r="P245" s="3" t="s">
        <v>871</v>
      </c>
      <c r="Q245" s="3" t="s">
        <v>904</v>
      </c>
      <c r="R245" s="3" t="s">
        <v>908</v>
      </c>
      <c r="S245" s="3" t="s">
        <v>914</v>
      </c>
      <c r="T245" s="3"/>
      <c r="U245" s="3" t="s">
        <v>1270</v>
      </c>
      <c r="V245" s="3" t="s">
        <v>770</v>
      </c>
      <c r="W245" s="3" t="s">
        <v>1528</v>
      </c>
      <c r="X245" s="3" t="s">
        <v>1849</v>
      </c>
      <c r="Y245" s="3" t="s">
        <v>2318</v>
      </c>
      <c r="Z245" s="3"/>
      <c r="AA245" s="3" t="s">
        <v>1464</v>
      </c>
      <c r="AB245" s="3"/>
      <c r="AC245" s="4" cm="1">
        <f t="array" ref="AC245">IF(FALSE,"True," &amp; IF(_xlfn.XLOOKUP("Src_IsAny",'Scoring_Config'!$A:$A,'Scoring_Config'!$D:$D,"Yes")="Yes",_xlfn.XLOOKUP("Src_IsAny",'Scoring_Config'!$A:$A,'Scoring_Config'!$C:$C,25),0),"False,0")</f>
        <v>0</v>
      </c>
      <c r="AD245" s="4" cm="1">
        <f t="array" ref="AD245">IF(FALSE,"True," &amp; IF(_xlfn.XLOOKUP("Src_CIDR_Le_16",'Scoring_Config'!$A:$A,'Scoring_Config'!$D:$D,"Yes")="Yes",_xlfn.XLOOKUP("Src_CIDR_Le_16",'Scoring_Config'!$A:$A,'Scoring_Config'!$C:$C,25),0),"False,0")</f>
        <v>0</v>
      </c>
      <c r="AE245" s="4" cm="1">
        <f t="array" ref="AE245">IF(FALSE,"True," &amp; IF(_xlfn.XLOOKUP("Src_CIDR_17_22",'Scoring_Config'!$A:$A,'Scoring_Config'!$D:$D,"Yes")="Yes",_xlfn.XLOOKUP("Src_CIDR_17_22",'Scoring_Config'!$A:$A,'Scoring_Config'!$C:$C,15),0),"False,0")</f>
        <v>0</v>
      </c>
      <c r="AF245" s="4" cm="1">
        <f t="array" ref="AF245">IF(FALSE,"True," &amp; IF(_xlfn.XLOOKUP("Dst_IsAny",'Scoring_Config'!$A:$A,'Scoring_Config'!$D:$D,"Yes")="Yes",_xlfn.XLOOKUP("Dst_IsAny",'Scoring_Config'!$A:$A,'Scoring_Config'!$C:$C,25),0),"False,0")</f>
        <v>0</v>
      </c>
      <c r="AG245" s="4" cm="1">
        <f t="array" ref="AG245">IF(FALSE,"True," &amp; IF(_xlfn.XLOOKUP("Dst_CIDR_Le_16",'Scoring_Config'!$A:$A,'Scoring_Config'!$D:$D,"Yes")="Yes",_xlfn.XLOOKUP("Dst_CIDR_Le_16",'Scoring_Config'!$A:$A,'Scoring_Config'!$C:$C,25),0),"False,0")</f>
        <v>0</v>
      </c>
      <c r="AH245" s="4" cm="1">
        <f t="array" ref="AH245">IF(FALSE,"True," &amp; IF(_xlfn.XLOOKUP("Dst_CIDR_17_22",'Scoring_Config'!$A:$A,'Scoring_Config'!$D:$D,"Yes")="Yes",_xlfn.XLOOKUP("Dst_CIDR_17_22",'Scoring_Config'!$A:$A,'Scoring_Config'!$C:$C,15),0),"False,0")</f>
        <v>0</v>
      </c>
      <c r="AI245" s="4" cm="1">
        <f t="array" ref="AI245">IF(FALSE,"True," &amp; IF(_xlfn.XLOOKUP("SrcZone_IsAny",'Scoring_Config'!$A:$A,'Scoring_Config'!$D:$D,"Yes")="Yes",_xlfn.XLOOKUP("SrcZone_IsAny",'Scoring_Config'!$A:$A,'Scoring_Config'!$C:$C,5),0),"False,0")</f>
        <v>0</v>
      </c>
      <c r="AJ245" s="4" cm="1">
        <f t="array" ref="AJ245">IF(FALSE,"True," &amp; IF(_xlfn.XLOOKUP("DstZone_IsAny",'Scoring_Config'!$A:$A,'Scoring_Config'!$D:$D,"Yes")="Yes",_xlfn.XLOOKUP("DstZone_IsAny",'Scoring_Config'!$A:$A,'Scoring_Config'!$C:$C,5),0),"False,0")</f>
        <v>0</v>
      </c>
      <c r="AK245" s="4" cm="1">
        <f t="array" ref="AK24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5" s="4" cm="1">
        <f t="array" ref="AL245">IF(FALSE,"True," &amp; IF(_xlfn.XLOOKUP("App_Any_OR_RangeGt1000",'Scoring_Config'!$A:$A,'Scoring_Config'!$D:$D,"Yes")="Yes",_xlfn.XLOOKUP("App_Any_OR_RangeGt1000",'Scoring_Config'!$A:$A,'Scoring_Config'!$C:$C,25),0),"False,0")</f>
        <v>0</v>
      </c>
      <c r="AM245" s="5" cm="1">
        <f t="array" ref="AM245">IF(TRUE,"True," &amp; IF(_xlfn.XLOOKUP("Service_Insecure_Match",'Scoring_Config'!$A:$A,'Scoring_Config'!$D:$D,"Yes")="Yes",_xlfn.XLOOKUP("Service_Insecure_Match",'Scoring_Config'!$A:$A,'Scoring_Config'!$C:$C,20),0),"False,0")</f>
        <v>0</v>
      </c>
      <c r="AN245" s="4" cm="1">
        <f t="array" ref="AN245">IF(FALSE,"True," &amp; IF(_xlfn.XLOOKUP("Risky_Inbound",'Scoring_Config'!$A:$A,'Scoring_Config'!$D:$D,"Yes")="Yes",_xlfn.XLOOKUP("Risky_Inbound",'Scoring_Config'!$A:$A,'Scoring_Config'!$C:$C,20),0),"False,0")</f>
        <v>0</v>
      </c>
      <c r="AO245" s="4" cm="1">
        <f t="array" ref="AO245">IF(FALSE,"True," &amp; IF(_xlfn.XLOOKUP("Risky_Outbound",'Scoring_Config'!$A:$A,'Scoring_Config'!$D:$D,"Yes")="Yes",_xlfn.XLOOKUP("Risky_Outbound",'Scoring_Config'!$A:$A,'Scoring_Config'!$C:$C,10),0),"False,0")</f>
        <v>0</v>
      </c>
      <c r="AP245" s="5" t="s">
        <v>2595</v>
      </c>
      <c r="AQ245" s="4" cm="1">
        <f t="array" ref="AQ24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5" s="5" t="s">
        <v>2598</v>
      </c>
      <c r="AS245" s="4" t="s">
        <v>2592</v>
      </c>
      <c r="AT245" s="4" t="s">
        <v>2592</v>
      </c>
      <c r="AU245" s="5" cm="1">
        <f t="array" ref="AU245">IF(TRUE,"True," &amp; IF(_xlfn.XLOOKUP("Action_IsDenyOrDrop",'Scoring_Config'!$A:$A,'Scoring_Config'!$D:$D,"Yes")="Yes",_xlfn.XLOOKUP("Action_IsDenyOrDrop",'Scoring_Config'!$A:$A,'Scoring_Config'!$C:$C,0),0),"False,0")</f>
        <v>0</v>
      </c>
      <c r="AV245" s="4"/>
      <c r="AW245" s="4" cm="1">
        <f t="array" ref="AW245">IF(FALSE,"True," &amp; IF(_xlfn.XLOOKUP("Migrate_Insecure",'Scoring_Config'!$A:$A,'Scoring_Config'!$D:$D,"Yes")="Yes",_xlfn.XLOOKUP("Migrate_Insecure",'Scoring_Config'!$A:$A,'Scoring_Config'!$C:$C,15),0),"False,0")</f>
        <v>0</v>
      </c>
      <c r="AX245" s="4"/>
      <c r="AY245" s="4" cm="1">
        <f t="array" ref="AY245">IF(FALSE,"True," &amp; IF(_xlfn.XLOOKUP("Migrate_Other_Ports",'Scoring_Config'!$A:$A,'Scoring_Config'!$D:$D,"Yes")="Yes",_xlfn.XLOOKUP("Migrate_Other_Ports",'Scoring_Config'!$A:$A,'Scoring_Config'!$C:$C,5),0),"False,0")</f>
        <v>0</v>
      </c>
      <c r="AZ245" s="4" cm="1">
        <f t="array" ref="AZ245">IF(LEFT(AU245,4)="True",0,(IF(LEFT(AC245,4)="True",IF(_xlfn.XLOOKUP("Src_IsAny",'Scoring_Config'!$A:$A,'Scoring_Config'!$D:$D,"Yes")="Yes",_xlfn.XLOOKUP("Src_IsAny",'Scoring_Config'!$A:$A,'Scoring_Config'!$C:$C,25),0),0)+IF(LEFT(AD245,4)="True",IF(_xlfn.XLOOKUP("Src_CIDR_Le_16",'Scoring_Config'!$A:$A,'Scoring_Config'!$D:$D,"Yes")="Yes",_xlfn.XLOOKUP("Src_CIDR_Le_16",'Scoring_Config'!$A:$A,'Scoring_Config'!$C:$C,25),0),0)+IF(LEFT(AE245,4)="True",IF(_xlfn.XLOOKUP("Src_CIDR_17_22",'Scoring_Config'!$A:$A,'Scoring_Config'!$D:$D,"Yes")="Yes",_xlfn.XLOOKUP("Src_CIDR_17_22",'Scoring_Config'!$A:$A,'Scoring_Config'!$C:$C,15),0),0)+IF(LEFT(AF245,4)="True",IF(_xlfn.XLOOKUP("Dst_IsAny",'Scoring_Config'!$A:$A,'Scoring_Config'!$D:$D,"Yes")="Yes",_xlfn.XLOOKUP("Dst_IsAny",'Scoring_Config'!$A:$A,'Scoring_Config'!$C:$C,25),0),0)+IF(LEFT(AG245,4)="True",IF(_xlfn.XLOOKUP("Dst_CIDR_Le_16",'Scoring_Config'!$A:$A,'Scoring_Config'!$D:$D,"Yes")="Yes",_xlfn.XLOOKUP("Dst_CIDR_Le_16",'Scoring_Config'!$A:$A,'Scoring_Config'!$C:$C,25),0),0)+IF(LEFT(AH245,4)="True",IF(_xlfn.XLOOKUP("Dst_CIDR_17_22",'Scoring_Config'!$A:$A,'Scoring_Config'!$D:$D,"Yes")="Yes",_xlfn.XLOOKUP("Dst_CIDR_17_22",'Scoring_Config'!$A:$A,'Scoring_Config'!$C:$C,15),0),0)+IF(LEFT(AI245,4)="True",IF(_xlfn.XLOOKUP("SrcZone_IsAny",'Scoring_Config'!$A:$A,'Scoring_Config'!$D:$D,"Yes")="Yes",_xlfn.XLOOKUP("SrcZone_IsAny",'Scoring_Config'!$A:$A,'Scoring_Config'!$C:$C,5),0),0)+IF(LEFT(AJ245,4)="True",IF(_xlfn.XLOOKUP("DstZone_IsAny",'Scoring_Config'!$A:$A,'Scoring_Config'!$D:$D,"Yes")="Yes",_xlfn.XLOOKUP("DstZone_IsAny",'Scoring_Config'!$A:$A,'Scoring_Config'!$C:$C,5),0),0)+IF(LEFT(AK245,4)="True",IF(_xlfn.XLOOKUP("Service_Any_OR_RangeGt1000",'Scoring_Config'!$A:$A,'Scoring_Config'!$D:$D,"Yes")="Yes",_xlfn.XLOOKUP("Service_Any_OR_RangeGt1000",'Scoring_Config'!$A:$A,'Scoring_Config'!$C:$C,25),0),0)+IF(LEFT(AL245,4)="True",IF(_xlfn.XLOOKUP("App_Any_OR_RangeGt1000",'Scoring_Config'!$A:$A,'Scoring_Config'!$D:$D,"Yes")="Yes",_xlfn.XLOOKUP("App_Any_OR_RangeGt1000",'Scoring_Config'!$A:$A,'Scoring_Config'!$C:$C,25),0),0)+IF(LEFT(AM245,4)="True",IF(_xlfn.XLOOKUP("Service_Insecure_Match",'Scoring_Config'!$A:$A,'Scoring_Config'!$D:$D,"Yes")="Yes",_xlfn.XLOOKUP("Service_Insecure_Match",'Scoring_Config'!$A:$A,'Scoring_Config'!$C:$C,20),0),0)+IF(LEFT(AN245,4)="True",IF(_xlfn.XLOOKUP("Risky_Inbound",'Scoring_Config'!$A:$A,'Scoring_Config'!$D:$D,"Yes")="Yes",_xlfn.XLOOKUP("Risky_Inbound",'Scoring_Config'!$A:$A,'Scoring_Config'!$C:$C,20),0),0)+IF(LEFT(AO245,4)="True",IF(_xlfn.XLOOKUP("Risky_Outbound",'Scoring_Config'!$A:$A,'Scoring_Config'!$D:$D,"Yes")="Yes",_xlfn.XLOOKUP("Risky_Outbound",'Scoring_Config'!$A:$A,'Scoring_Config'!$C:$C,10),0),0)+IF(LEFT(AW245,4)="True",IF(_xlfn.XLOOKUP("Migrate_Insecure",'Scoring_Config'!$A:$A,'Scoring_Config'!$D:$D,"Yes")="Yes",_xlfn.XLOOKUP("Migrate_Insecure",'Scoring_Config'!$A:$A,'Scoring_Config'!$C:$C,15),0),0)+IF(LEFT(AY245,4)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245,FIND(",",AP245)+1,100)),0)+IF(LEFT(AQ245,4)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245,FIND(",",AR245)+1,100)),0)+IF(_xlfn.XLOOKUP("Profile_Scoring",'Scoring_Config'!$A:$A,'Scoring_Config'!$D:$D,"Yes")="Yes",VALUE(MID(AS245,FIND(",",AS245)+1,100)),0)+IF(_xlfn.XLOOKUP("Options_Scoring",'Scoring_Config'!$A:$A,'Scoring_Config'!$D:$D,"Yes")="Yes",VALUE(MID(AT245,FIND(",",AT245)+1,100)),0)))</f>
        <v>0</v>
      </c>
    </row>
    <row r="246" spans="1:52">
      <c r="A246" s="3" t="s">
        <v>54</v>
      </c>
      <c r="B246" s="3" t="s">
        <v>222</v>
      </c>
      <c r="C246" s="3" t="s">
        <v>331</v>
      </c>
      <c r="D246" s="3" t="s">
        <v>334</v>
      </c>
      <c r="E246" s="3" t="s">
        <v>359</v>
      </c>
      <c r="F246" s="3" t="s">
        <v>361</v>
      </c>
      <c r="G246" s="3" t="s">
        <v>365</v>
      </c>
      <c r="H246" s="3" t="s">
        <v>365</v>
      </c>
      <c r="I246" s="3" t="s">
        <v>624</v>
      </c>
      <c r="J246" s="3" t="s">
        <v>360</v>
      </c>
      <c r="K246" s="3" t="s">
        <v>365</v>
      </c>
      <c r="L246" s="3" t="s">
        <v>365</v>
      </c>
      <c r="M246" s="3" t="s">
        <v>365</v>
      </c>
      <c r="N246" s="3" t="s">
        <v>365</v>
      </c>
      <c r="O246" s="4" t="s">
        <v>821</v>
      </c>
      <c r="P246" s="3" t="s">
        <v>882</v>
      </c>
      <c r="Q246" s="3" t="s">
        <v>905</v>
      </c>
      <c r="R246" s="3" t="s">
        <v>907</v>
      </c>
      <c r="S246" s="3" t="s">
        <v>913</v>
      </c>
      <c r="T246" s="3"/>
      <c r="U246" s="3"/>
      <c r="V246" s="3" t="s">
        <v>789</v>
      </c>
      <c r="W246" s="3" t="s">
        <v>937</v>
      </c>
      <c r="X246" s="3" t="s">
        <v>1850</v>
      </c>
      <c r="Y246" s="3" t="s">
        <v>2319</v>
      </c>
      <c r="Z246" s="3"/>
      <c r="AA246" s="3" t="s">
        <v>2546</v>
      </c>
      <c r="AB246" s="3"/>
      <c r="AC246" s="5" cm="1">
        <f t="array" ref="AC246">IF(TRUE,"True," &amp; IF(_xlfn.XLOOKUP("Src_IsAny",'Scoring_Config'!$A:$A,'Scoring_Config'!$D:$D,"Yes")="Yes",_xlfn.XLOOKUP("Src_IsAny",'Scoring_Config'!$A:$A,'Scoring_Config'!$C:$C,25),0),"False,0")</f>
        <v>0</v>
      </c>
      <c r="AD246" s="4" cm="1">
        <f t="array" ref="AD246">IF(FALSE,"True," &amp; IF(_xlfn.XLOOKUP("Src_CIDR_Le_16",'Scoring_Config'!$A:$A,'Scoring_Config'!$D:$D,"Yes")="Yes",_xlfn.XLOOKUP("Src_CIDR_Le_16",'Scoring_Config'!$A:$A,'Scoring_Config'!$C:$C,25),0),"False,0")</f>
        <v>0</v>
      </c>
      <c r="AE246" s="4" cm="1">
        <f t="array" ref="AE246">IF(FALSE,"True," &amp; IF(_xlfn.XLOOKUP("Src_CIDR_17_22",'Scoring_Config'!$A:$A,'Scoring_Config'!$D:$D,"Yes")="Yes",_xlfn.XLOOKUP("Src_CIDR_17_22",'Scoring_Config'!$A:$A,'Scoring_Config'!$C:$C,15),0),"False,0")</f>
        <v>0</v>
      </c>
      <c r="AF246" s="5" cm="1">
        <f t="array" ref="AF246">IF(TRUE,"True," &amp; IF(_xlfn.XLOOKUP("Dst_IsAny",'Scoring_Config'!$A:$A,'Scoring_Config'!$D:$D,"Yes")="Yes",_xlfn.XLOOKUP("Dst_IsAny",'Scoring_Config'!$A:$A,'Scoring_Config'!$C:$C,25),0),"False,0")</f>
        <v>0</v>
      </c>
      <c r="AG246" s="4" cm="1">
        <f t="array" ref="AG246">IF(FALSE,"True," &amp; IF(_xlfn.XLOOKUP("Dst_CIDR_Le_16",'Scoring_Config'!$A:$A,'Scoring_Config'!$D:$D,"Yes")="Yes",_xlfn.XLOOKUP("Dst_CIDR_Le_16",'Scoring_Config'!$A:$A,'Scoring_Config'!$C:$C,25),0),"False,0")</f>
        <v>0</v>
      </c>
      <c r="AH246" s="4" cm="1">
        <f t="array" ref="AH246">IF(FALSE,"True," &amp; IF(_xlfn.XLOOKUP("Dst_CIDR_17_22",'Scoring_Config'!$A:$A,'Scoring_Config'!$D:$D,"Yes")="Yes",_xlfn.XLOOKUP("Dst_CIDR_17_22",'Scoring_Config'!$A:$A,'Scoring_Config'!$C:$C,15),0),"False,0")</f>
        <v>0</v>
      </c>
      <c r="AI246" s="4" cm="1">
        <f t="array" ref="AI246">IF(FALSE,"True," &amp; IF(_xlfn.XLOOKUP("SrcZone_IsAny",'Scoring_Config'!$A:$A,'Scoring_Config'!$D:$D,"Yes")="Yes",_xlfn.XLOOKUP("SrcZone_IsAny",'Scoring_Config'!$A:$A,'Scoring_Config'!$C:$C,5),0),"False,0")</f>
        <v>0</v>
      </c>
      <c r="AJ246" s="4" cm="1">
        <f t="array" ref="AJ246">IF(FALSE,"True," &amp; IF(_xlfn.XLOOKUP("DstZone_IsAny",'Scoring_Config'!$A:$A,'Scoring_Config'!$D:$D,"Yes")="Yes",_xlfn.XLOOKUP("DstZone_IsAny",'Scoring_Config'!$A:$A,'Scoring_Config'!$C:$C,5),0),"False,0")</f>
        <v>0</v>
      </c>
      <c r="AK246" s="4" cm="1">
        <f t="array" ref="AK24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6" s="5" cm="1">
        <f t="array" ref="AL246">IF(TRUE,"True," &amp; IF(_xlfn.XLOOKUP("App_Any_OR_RangeGt1000",'Scoring_Config'!$A:$A,'Scoring_Config'!$D:$D,"Yes")="Yes",_xlfn.XLOOKUP("App_Any_OR_RangeGt1000",'Scoring_Config'!$A:$A,'Scoring_Config'!$C:$C,25),0),"False,0")</f>
        <v>0</v>
      </c>
      <c r="AM246" s="5" cm="1">
        <f t="array" ref="AM246">IF(TRUE,"True," &amp; IF(_xlfn.XLOOKUP("Service_Insecure_Match",'Scoring_Config'!$A:$A,'Scoring_Config'!$D:$D,"Yes")="Yes",_xlfn.XLOOKUP("Service_Insecure_Match",'Scoring_Config'!$A:$A,'Scoring_Config'!$C:$C,20),0),"False,0")</f>
        <v>0</v>
      </c>
      <c r="AN246" s="4" cm="1">
        <f t="array" ref="AN246">IF(FALSE,"True," &amp; IF(_xlfn.XLOOKUP("Risky_Inbound",'Scoring_Config'!$A:$A,'Scoring_Config'!$D:$D,"Yes")="Yes",_xlfn.XLOOKUP("Risky_Inbound",'Scoring_Config'!$A:$A,'Scoring_Config'!$C:$C,20),0),"False,0")</f>
        <v>0</v>
      </c>
      <c r="AO246" s="4" cm="1">
        <f t="array" ref="AO246">IF(FALSE,"True," &amp; IF(_xlfn.XLOOKUP("Risky_Outbound",'Scoring_Config'!$A:$A,'Scoring_Config'!$D:$D,"Yes")="Yes",_xlfn.XLOOKUP("Risky_Outbound",'Scoring_Config'!$A:$A,'Scoring_Config'!$C:$C,10),0),"False,0")</f>
        <v>0</v>
      </c>
      <c r="AP246" s="5" t="s">
        <v>2595</v>
      </c>
      <c r="AQ246" s="5" cm="1">
        <f t="array" ref="AQ24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6" s="5" t="s">
        <v>2598</v>
      </c>
      <c r="AS246" s="5" t="s">
        <v>2595</v>
      </c>
      <c r="AT246" s="4" t="s">
        <v>2592</v>
      </c>
      <c r="AU246" s="4" cm="1">
        <f t="array" ref="AU246">IF(FALSE,"True," &amp; IF(_xlfn.XLOOKUP("Action_IsDenyOrDrop",'Scoring_Config'!$A:$A,'Scoring_Config'!$D:$D,"Yes")="Yes",_xlfn.XLOOKUP("Action_IsDenyOrDrop",'Scoring_Config'!$A:$A,'Scoring_Config'!$C:$C,0),0),"False,0")</f>
        <v>0</v>
      </c>
      <c r="AV246" s="4"/>
      <c r="AW246" s="4" cm="1">
        <f t="array" ref="AW246">IF(FALSE,"True," &amp; IF(_xlfn.XLOOKUP("Migrate_Insecure",'Scoring_Config'!$A:$A,'Scoring_Config'!$D:$D,"Yes")="Yes",_xlfn.XLOOKUP("Migrate_Insecure",'Scoring_Config'!$A:$A,'Scoring_Config'!$C:$C,15),0),"False,0")</f>
        <v>0</v>
      </c>
      <c r="AX246" s="4"/>
      <c r="AY246" s="4" cm="1">
        <f t="array" ref="AY246">IF(FALSE,"True," &amp; IF(_xlfn.XLOOKUP("Migrate_Other_Ports",'Scoring_Config'!$A:$A,'Scoring_Config'!$D:$D,"Yes")="Yes",_xlfn.XLOOKUP("Migrate_Other_Ports",'Scoring_Config'!$A:$A,'Scoring_Config'!$C:$C,5),0),"False,0")</f>
        <v>0</v>
      </c>
      <c r="AZ246" s="4" cm="1">
        <f t="array" ref="AZ246">IF(LEFT(AU246,4)="True",0,(IF(LEFT(AC246,4)="True",IF(_xlfn.XLOOKUP("Src_IsAny",'Scoring_Config'!$A:$A,'Scoring_Config'!$D:$D,"Yes")="Yes",_xlfn.XLOOKUP("Src_IsAny",'Scoring_Config'!$A:$A,'Scoring_Config'!$C:$C,25),0),0)+IF(LEFT(AD246,4)="True",IF(_xlfn.XLOOKUP("Src_CIDR_Le_16",'Scoring_Config'!$A:$A,'Scoring_Config'!$D:$D,"Yes")="Yes",_xlfn.XLOOKUP("Src_CIDR_Le_16",'Scoring_Config'!$A:$A,'Scoring_Config'!$C:$C,25),0),0)+IF(LEFT(AE246,4)="True",IF(_xlfn.XLOOKUP("Src_CIDR_17_22",'Scoring_Config'!$A:$A,'Scoring_Config'!$D:$D,"Yes")="Yes",_xlfn.XLOOKUP("Src_CIDR_17_22",'Scoring_Config'!$A:$A,'Scoring_Config'!$C:$C,15),0),0)+IF(LEFT(AF246,4)="True",IF(_xlfn.XLOOKUP("Dst_IsAny",'Scoring_Config'!$A:$A,'Scoring_Config'!$D:$D,"Yes")="Yes",_xlfn.XLOOKUP("Dst_IsAny",'Scoring_Config'!$A:$A,'Scoring_Config'!$C:$C,25),0),0)+IF(LEFT(AG246,4)="True",IF(_xlfn.XLOOKUP("Dst_CIDR_Le_16",'Scoring_Config'!$A:$A,'Scoring_Config'!$D:$D,"Yes")="Yes",_xlfn.XLOOKUP("Dst_CIDR_Le_16",'Scoring_Config'!$A:$A,'Scoring_Config'!$C:$C,25),0),0)+IF(LEFT(AH246,4)="True",IF(_xlfn.XLOOKUP("Dst_CIDR_17_22",'Scoring_Config'!$A:$A,'Scoring_Config'!$D:$D,"Yes")="Yes",_xlfn.XLOOKUP("Dst_CIDR_17_22",'Scoring_Config'!$A:$A,'Scoring_Config'!$C:$C,15),0),0)+IF(LEFT(AI246,4)="True",IF(_xlfn.XLOOKUP("SrcZone_IsAny",'Scoring_Config'!$A:$A,'Scoring_Config'!$D:$D,"Yes")="Yes",_xlfn.XLOOKUP("SrcZone_IsAny",'Scoring_Config'!$A:$A,'Scoring_Config'!$C:$C,5),0),0)+IF(LEFT(AJ246,4)="True",IF(_xlfn.XLOOKUP("DstZone_IsAny",'Scoring_Config'!$A:$A,'Scoring_Config'!$D:$D,"Yes")="Yes",_xlfn.XLOOKUP("DstZone_IsAny",'Scoring_Config'!$A:$A,'Scoring_Config'!$C:$C,5),0),0)+IF(LEFT(AK246,4)="True",IF(_xlfn.XLOOKUP("Service_Any_OR_RangeGt1000",'Scoring_Config'!$A:$A,'Scoring_Config'!$D:$D,"Yes")="Yes",_xlfn.XLOOKUP("Service_Any_OR_RangeGt1000",'Scoring_Config'!$A:$A,'Scoring_Config'!$C:$C,25),0),0)+IF(LEFT(AL246,4)="True",IF(_xlfn.XLOOKUP("App_Any_OR_RangeGt1000",'Scoring_Config'!$A:$A,'Scoring_Config'!$D:$D,"Yes")="Yes",_xlfn.XLOOKUP("App_Any_OR_RangeGt1000",'Scoring_Config'!$A:$A,'Scoring_Config'!$C:$C,25),0),0)+IF(LEFT(AM246,4)="True",IF(_xlfn.XLOOKUP("Service_Insecure_Match",'Scoring_Config'!$A:$A,'Scoring_Config'!$D:$D,"Yes")="Yes",_xlfn.XLOOKUP("Service_Insecure_Match",'Scoring_Config'!$A:$A,'Scoring_Config'!$C:$C,20),0),0)+IF(LEFT(AN246,4)="True",IF(_xlfn.XLOOKUP("Risky_Inbound",'Scoring_Config'!$A:$A,'Scoring_Config'!$D:$D,"Yes")="Yes",_xlfn.XLOOKUP("Risky_Inbound",'Scoring_Config'!$A:$A,'Scoring_Config'!$C:$C,20),0),0)+IF(LEFT(AO246,4)="True",IF(_xlfn.XLOOKUP("Risky_Outbound",'Scoring_Config'!$A:$A,'Scoring_Config'!$D:$D,"Yes")="Yes",_xlfn.XLOOKUP("Risky_Outbound",'Scoring_Config'!$A:$A,'Scoring_Config'!$C:$C,10),0),0)+IF(LEFT(AW246,4)="True",IF(_xlfn.XLOOKUP("Migrate_Insecure",'Scoring_Config'!$A:$A,'Scoring_Config'!$D:$D,"Yes")="Yes",_xlfn.XLOOKUP("Migrate_Insecure",'Scoring_Config'!$A:$A,'Scoring_Config'!$C:$C,15),0),0)+IF(LEFT(AY246,4)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246,FIND(",",AP246)+1,100)),0)+IF(LEFT(AQ246,4)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246,FIND(",",AR246)+1,100)),0)+IF(_xlfn.XLOOKUP("Profile_Scoring",'Scoring_Config'!$A:$A,'Scoring_Config'!$D:$D,"Yes")="Yes",VALUE(MID(AS246,FIND(",",AS246)+1,100)),0)+IF(_xlfn.XLOOKUP("Options_Scoring",'Scoring_Config'!$A:$A,'Scoring_Config'!$D:$D,"Yes")="Yes",VALUE(MID(AT246,FIND(",",AT246)+1,100)),0)))</f>
        <v>0</v>
      </c>
    </row>
    <row r="247" spans="1:52">
      <c r="A247" s="3" t="s">
        <v>54</v>
      </c>
      <c r="B247" s="3" t="s">
        <v>223</v>
      </c>
      <c r="C247" s="3" t="s">
        <v>331</v>
      </c>
      <c r="D247" s="3" t="s">
        <v>335</v>
      </c>
      <c r="E247" s="3" t="s">
        <v>359</v>
      </c>
      <c r="F247" s="3" t="s">
        <v>361</v>
      </c>
      <c r="G247" s="3" t="s">
        <v>365</v>
      </c>
      <c r="H247" s="3" t="s">
        <v>365</v>
      </c>
      <c r="I247" s="3" t="s">
        <v>365</v>
      </c>
      <c r="J247" s="3" t="s">
        <v>364</v>
      </c>
      <c r="K247" s="3" t="s">
        <v>365</v>
      </c>
      <c r="L247" s="3" t="s">
        <v>365</v>
      </c>
      <c r="M247" s="3" t="s">
        <v>365</v>
      </c>
      <c r="N247" s="3" t="s">
        <v>365</v>
      </c>
      <c r="O247" s="4" t="s">
        <v>842</v>
      </c>
      <c r="P247" s="3" t="s">
        <v>878</v>
      </c>
      <c r="Q247" s="3" t="s">
        <v>905</v>
      </c>
      <c r="R247" s="3" t="s">
        <v>907</v>
      </c>
      <c r="S247" s="3" t="s">
        <v>907</v>
      </c>
      <c r="T247" s="3"/>
      <c r="U247" s="3"/>
      <c r="V247" s="3" t="s">
        <v>772</v>
      </c>
      <c r="W247" s="3" t="s">
        <v>1437</v>
      </c>
      <c r="X247" s="3" t="s">
        <v>1851</v>
      </c>
      <c r="Y247" s="3" t="s">
        <v>2320</v>
      </c>
      <c r="Z247" s="3"/>
      <c r="AA247" s="3" t="s">
        <v>2547</v>
      </c>
      <c r="AB247" s="3"/>
      <c r="AC247" s="5" cm="1">
        <f t="array" ref="AC247">IF(TRUE,"True," &amp; IF(_xlfn.XLOOKUP("Src_IsAny",'Scoring_Config'!$A:$A,'Scoring_Config'!$D:$D,"Yes")="Yes",_xlfn.XLOOKUP("Src_IsAny",'Scoring_Config'!$A:$A,'Scoring_Config'!$C:$C,25),0),"False,0")</f>
        <v>0</v>
      </c>
      <c r="AD247" s="4" cm="1">
        <f t="array" ref="AD247">IF(FALSE,"True," &amp; IF(_xlfn.XLOOKUP("Src_CIDR_Le_16",'Scoring_Config'!$A:$A,'Scoring_Config'!$D:$D,"Yes")="Yes",_xlfn.XLOOKUP("Src_CIDR_Le_16",'Scoring_Config'!$A:$A,'Scoring_Config'!$C:$C,25),0),"False,0")</f>
        <v>0</v>
      </c>
      <c r="AE247" s="4" cm="1">
        <f t="array" ref="AE247">IF(FALSE,"True," &amp; IF(_xlfn.XLOOKUP("Src_CIDR_17_22",'Scoring_Config'!$A:$A,'Scoring_Config'!$D:$D,"Yes")="Yes",_xlfn.XLOOKUP("Src_CIDR_17_22",'Scoring_Config'!$A:$A,'Scoring_Config'!$C:$C,15),0),"False,0")</f>
        <v>0</v>
      </c>
      <c r="AF247" s="5" cm="1">
        <f t="array" ref="AF247">IF(TRUE,"True," &amp; IF(_xlfn.XLOOKUP("Dst_IsAny",'Scoring_Config'!$A:$A,'Scoring_Config'!$D:$D,"Yes")="Yes",_xlfn.XLOOKUP("Dst_IsAny",'Scoring_Config'!$A:$A,'Scoring_Config'!$C:$C,25),0),"False,0")</f>
        <v>0</v>
      </c>
      <c r="AG247" s="4" cm="1">
        <f t="array" ref="AG247">IF(FALSE,"True," &amp; IF(_xlfn.XLOOKUP("Dst_CIDR_Le_16",'Scoring_Config'!$A:$A,'Scoring_Config'!$D:$D,"Yes")="Yes",_xlfn.XLOOKUP("Dst_CIDR_Le_16",'Scoring_Config'!$A:$A,'Scoring_Config'!$C:$C,25),0),"False,0")</f>
        <v>0</v>
      </c>
      <c r="AH247" s="4" cm="1">
        <f t="array" ref="AH247">IF(FALSE,"True," &amp; IF(_xlfn.XLOOKUP("Dst_CIDR_17_22",'Scoring_Config'!$A:$A,'Scoring_Config'!$D:$D,"Yes")="Yes",_xlfn.XLOOKUP("Dst_CIDR_17_22",'Scoring_Config'!$A:$A,'Scoring_Config'!$C:$C,15),0),"False,0")</f>
        <v>0</v>
      </c>
      <c r="AI247" s="4" cm="1">
        <f t="array" ref="AI247">IF(FALSE,"True," &amp; IF(_xlfn.XLOOKUP("SrcZone_IsAny",'Scoring_Config'!$A:$A,'Scoring_Config'!$D:$D,"Yes")="Yes",_xlfn.XLOOKUP("SrcZone_IsAny",'Scoring_Config'!$A:$A,'Scoring_Config'!$C:$C,5),0),"False,0")</f>
        <v>0</v>
      </c>
      <c r="AJ247" s="4" cm="1">
        <f t="array" ref="AJ247">IF(FALSE,"True," &amp; IF(_xlfn.XLOOKUP("DstZone_IsAny",'Scoring_Config'!$A:$A,'Scoring_Config'!$D:$D,"Yes")="Yes",_xlfn.XLOOKUP("DstZone_IsAny",'Scoring_Config'!$A:$A,'Scoring_Config'!$C:$C,5),0),"False,0")</f>
        <v>0</v>
      </c>
      <c r="AK247" s="4" cm="1">
        <f t="array" ref="AK24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7" s="5" cm="1">
        <f t="array" ref="AL247">IF(TRUE,"True," &amp; IF(_xlfn.XLOOKUP("App_Any_OR_RangeGt1000",'Scoring_Config'!$A:$A,'Scoring_Config'!$D:$D,"Yes")="Yes",_xlfn.XLOOKUP("App_Any_OR_RangeGt1000",'Scoring_Config'!$A:$A,'Scoring_Config'!$C:$C,25),0),"False,0")</f>
        <v>0</v>
      </c>
      <c r="AM247" s="5" cm="1">
        <f t="array" ref="AM247">IF(TRUE,"True," &amp; IF(_xlfn.XLOOKUP("Service_Insecure_Match",'Scoring_Config'!$A:$A,'Scoring_Config'!$D:$D,"Yes")="Yes",_xlfn.XLOOKUP("Service_Insecure_Match",'Scoring_Config'!$A:$A,'Scoring_Config'!$C:$C,20),0),"False,0")</f>
        <v>0</v>
      </c>
      <c r="AN247" s="4" cm="1">
        <f t="array" ref="AN247">IF(FALSE,"True," &amp; IF(_xlfn.XLOOKUP("Risky_Inbound",'Scoring_Config'!$A:$A,'Scoring_Config'!$D:$D,"Yes")="Yes",_xlfn.XLOOKUP("Risky_Inbound",'Scoring_Config'!$A:$A,'Scoring_Config'!$C:$C,20),0),"False,0")</f>
        <v>0</v>
      </c>
      <c r="AO247" s="4" cm="1">
        <f t="array" ref="AO247">IF(FALSE,"True," &amp; IF(_xlfn.XLOOKUP("Risky_Outbound",'Scoring_Config'!$A:$A,'Scoring_Config'!$D:$D,"Yes")="Yes",_xlfn.XLOOKUP("Risky_Outbound",'Scoring_Config'!$A:$A,'Scoring_Config'!$C:$C,10),0),"False,0")</f>
        <v>0</v>
      </c>
      <c r="AP247" s="5" t="s">
        <v>2595</v>
      </c>
      <c r="AQ247" s="5" cm="1">
        <f t="array" ref="AQ24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7" s="4" t="s">
        <v>2592</v>
      </c>
      <c r="AS247" s="5" t="s">
        <v>2595</v>
      </c>
      <c r="AT247" s="5" t="s">
        <v>2595</v>
      </c>
      <c r="AU247" s="4" cm="1">
        <f t="array" ref="AU247">IF(FALSE,"True," &amp; IF(_xlfn.XLOOKUP("Action_IsDenyOrDrop",'Scoring_Config'!$A:$A,'Scoring_Config'!$D:$D,"Yes")="Yes",_xlfn.XLOOKUP("Action_IsDenyOrDrop",'Scoring_Config'!$A:$A,'Scoring_Config'!$C:$C,0),0),"False,0")</f>
        <v>0</v>
      </c>
      <c r="AV247" s="4"/>
      <c r="AW247" s="4" cm="1">
        <f t="array" ref="AW247">IF(FALSE,"True," &amp; IF(_xlfn.XLOOKUP("Migrate_Insecure",'Scoring_Config'!$A:$A,'Scoring_Config'!$D:$D,"Yes")="Yes",_xlfn.XLOOKUP("Migrate_Insecure",'Scoring_Config'!$A:$A,'Scoring_Config'!$C:$C,15),0),"False,0")</f>
        <v>0</v>
      </c>
      <c r="AX247" s="4"/>
      <c r="AY247" s="4" cm="1">
        <f t="array" ref="AY247">IF(FALSE,"True," &amp; IF(_xlfn.XLOOKUP("Migrate_Other_Ports",'Scoring_Config'!$A:$A,'Scoring_Config'!$D:$D,"Yes")="Yes",_xlfn.XLOOKUP("Migrate_Other_Ports",'Scoring_Config'!$A:$A,'Scoring_Config'!$C:$C,5),0),"False,0")</f>
        <v>0</v>
      </c>
      <c r="AZ247" s="4" cm="1">
        <f t="array" ref="AZ247">IF(LEFT(AU247,4)="True",0,(IF(LEFT(AC247,4)="True",IF(_xlfn.XLOOKUP("Src_IsAny",'Scoring_Config'!$A:$A,'Scoring_Config'!$D:$D,"Yes")="Yes",_xlfn.XLOOKUP("Src_IsAny",'Scoring_Config'!$A:$A,'Scoring_Config'!$C:$C,25),0),0)+IF(LEFT(AD247,4)="True",IF(_xlfn.XLOOKUP("Src_CIDR_Le_16",'Scoring_Config'!$A:$A,'Scoring_Config'!$D:$D,"Yes")="Yes",_xlfn.XLOOKUP("Src_CIDR_Le_16",'Scoring_Config'!$A:$A,'Scoring_Config'!$C:$C,25),0),0)+IF(LEFT(AE247,4)="True",IF(_xlfn.XLOOKUP("Src_CIDR_17_22",'Scoring_Config'!$A:$A,'Scoring_Config'!$D:$D,"Yes")="Yes",_xlfn.XLOOKUP("Src_CIDR_17_22",'Scoring_Config'!$A:$A,'Scoring_Config'!$C:$C,15),0),0)+IF(LEFT(AF247,4)="True",IF(_xlfn.XLOOKUP("Dst_IsAny",'Scoring_Config'!$A:$A,'Scoring_Config'!$D:$D,"Yes")="Yes",_xlfn.XLOOKUP("Dst_IsAny",'Scoring_Config'!$A:$A,'Scoring_Config'!$C:$C,25),0),0)+IF(LEFT(AG247,4)="True",IF(_xlfn.XLOOKUP("Dst_CIDR_Le_16",'Scoring_Config'!$A:$A,'Scoring_Config'!$D:$D,"Yes")="Yes",_xlfn.XLOOKUP("Dst_CIDR_Le_16",'Scoring_Config'!$A:$A,'Scoring_Config'!$C:$C,25),0),0)+IF(LEFT(AH247,4)="True",IF(_xlfn.XLOOKUP("Dst_CIDR_17_22",'Scoring_Config'!$A:$A,'Scoring_Config'!$D:$D,"Yes")="Yes",_xlfn.XLOOKUP("Dst_CIDR_17_22",'Scoring_Config'!$A:$A,'Scoring_Config'!$C:$C,15),0),0)+IF(LEFT(AI247,4)="True",IF(_xlfn.XLOOKUP("SrcZone_IsAny",'Scoring_Config'!$A:$A,'Scoring_Config'!$D:$D,"Yes")="Yes",_xlfn.XLOOKUP("SrcZone_IsAny",'Scoring_Config'!$A:$A,'Scoring_Config'!$C:$C,5),0),0)+IF(LEFT(AJ247,4)="True",IF(_xlfn.XLOOKUP("DstZone_IsAny",'Scoring_Config'!$A:$A,'Scoring_Config'!$D:$D,"Yes")="Yes",_xlfn.XLOOKUP("DstZone_IsAny",'Scoring_Config'!$A:$A,'Scoring_Config'!$C:$C,5),0),0)+IF(LEFT(AK247,4)="True",IF(_xlfn.XLOOKUP("Service_Any_OR_RangeGt1000",'Scoring_Config'!$A:$A,'Scoring_Config'!$D:$D,"Yes")="Yes",_xlfn.XLOOKUP("Service_Any_OR_RangeGt1000",'Scoring_Config'!$A:$A,'Scoring_Config'!$C:$C,25),0),0)+IF(LEFT(AL247,4)="True",IF(_xlfn.XLOOKUP("App_Any_OR_RangeGt1000",'Scoring_Config'!$A:$A,'Scoring_Config'!$D:$D,"Yes")="Yes",_xlfn.XLOOKUP("App_Any_OR_RangeGt1000",'Scoring_Config'!$A:$A,'Scoring_Config'!$C:$C,25),0),0)+IF(LEFT(AM247,4)="True",IF(_xlfn.XLOOKUP("Service_Insecure_Match",'Scoring_Config'!$A:$A,'Scoring_Config'!$D:$D,"Yes")="Yes",_xlfn.XLOOKUP("Service_Insecure_Match",'Scoring_Config'!$A:$A,'Scoring_Config'!$C:$C,20),0),0)+IF(LEFT(AN247,4)="True",IF(_xlfn.XLOOKUP("Risky_Inbound",'Scoring_Config'!$A:$A,'Scoring_Config'!$D:$D,"Yes")="Yes",_xlfn.XLOOKUP("Risky_Inbound",'Scoring_Config'!$A:$A,'Scoring_Config'!$C:$C,20),0),0)+IF(LEFT(AO247,4)="True",IF(_xlfn.XLOOKUP("Risky_Outbound",'Scoring_Config'!$A:$A,'Scoring_Config'!$D:$D,"Yes")="Yes",_xlfn.XLOOKUP("Risky_Outbound",'Scoring_Config'!$A:$A,'Scoring_Config'!$C:$C,10),0),0)+IF(LEFT(AW247,4)="True",IF(_xlfn.XLOOKUP("Migrate_Insecure",'Scoring_Config'!$A:$A,'Scoring_Config'!$D:$D,"Yes")="Yes",_xlfn.XLOOKUP("Migrate_Insecure",'Scoring_Config'!$A:$A,'Scoring_Config'!$C:$C,15),0),0)+IF(LEFT(AY247,4)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247,FIND(",",AP247)+1,100)),0)+IF(LEFT(AQ247,4)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247,FIND(",",AR247)+1,100)),0)+IF(_xlfn.XLOOKUP("Profile_Scoring",'Scoring_Config'!$A:$A,'Scoring_Config'!$D:$D,"Yes")="Yes",VALUE(MID(AS247,FIND(",",AS247)+1,100)),0)+IF(_xlfn.XLOOKUP("Options_Scoring",'Scoring_Config'!$A:$A,'Scoring_Config'!$D:$D,"Yes")="Yes",VALUE(MID(AT247,FIND(",",AT247)+1,100)),0)))</f>
        <v>0</v>
      </c>
    </row>
    <row r="248" spans="1:52">
      <c r="A248" s="3" t="s">
        <v>54</v>
      </c>
      <c r="B248" s="3" t="s">
        <v>224</v>
      </c>
      <c r="C248" s="3" t="s">
        <v>331</v>
      </c>
      <c r="D248" s="3"/>
      <c r="E248" s="3" t="s">
        <v>359</v>
      </c>
      <c r="F248" s="3" t="s">
        <v>363</v>
      </c>
      <c r="G248" s="3" t="s">
        <v>455</v>
      </c>
      <c r="H248" s="3" t="s">
        <v>584</v>
      </c>
      <c r="I248" s="3" t="s">
        <v>624</v>
      </c>
      <c r="J248" s="3" t="s">
        <v>363</v>
      </c>
      <c r="K248" s="3" t="s">
        <v>582</v>
      </c>
      <c r="L248" s="3" t="s">
        <v>582</v>
      </c>
      <c r="M248" s="3" t="s">
        <v>778</v>
      </c>
      <c r="N248" s="3" t="s">
        <v>791</v>
      </c>
      <c r="O248" s="4" t="s">
        <v>843</v>
      </c>
      <c r="P248" s="3" t="s">
        <v>896</v>
      </c>
      <c r="Q248" s="3" t="s">
        <v>904</v>
      </c>
      <c r="R248" s="3" t="s">
        <v>907</v>
      </c>
      <c r="S248" s="3" t="s">
        <v>914</v>
      </c>
      <c r="T248" s="3"/>
      <c r="U248" s="3" t="s">
        <v>1271</v>
      </c>
      <c r="V248" s="3" t="s">
        <v>772</v>
      </c>
      <c r="W248" s="3" t="s">
        <v>1516</v>
      </c>
      <c r="X248" s="3" t="s">
        <v>1852</v>
      </c>
      <c r="Y248" s="3" t="s">
        <v>2321</v>
      </c>
      <c r="Z248" s="3"/>
      <c r="AA248" s="3" t="s">
        <v>919</v>
      </c>
      <c r="AB248" s="3"/>
      <c r="AC248" s="4" cm="1">
        <f t="array" ref="AC248">IF(FALSE,"True," &amp; IF(_xlfn.XLOOKUP("Src_IsAny",'Scoring_Config'!$A:$A,'Scoring_Config'!$D:$D,"Yes")="Yes",_xlfn.XLOOKUP("Src_IsAny",'Scoring_Config'!$A:$A,'Scoring_Config'!$C:$C,25),0),"False,0")</f>
        <v>0</v>
      </c>
      <c r="AD248" s="4" cm="1">
        <f t="array" ref="AD248">IF(FALSE,"True," &amp; IF(_xlfn.XLOOKUP("Src_CIDR_Le_16",'Scoring_Config'!$A:$A,'Scoring_Config'!$D:$D,"Yes")="Yes",_xlfn.XLOOKUP("Src_CIDR_Le_16",'Scoring_Config'!$A:$A,'Scoring_Config'!$C:$C,25),0),"False,0")</f>
        <v>0</v>
      </c>
      <c r="AE248" s="4" cm="1">
        <f t="array" ref="AE248">IF(FALSE,"True," &amp; IF(_xlfn.XLOOKUP("Src_CIDR_17_22",'Scoring_Config'!$A:$A,'Scoring_Config'!$D:$D,"Yes")="Yes",_xlfn.XLOOKUP("Src_CIDR_17_22",'Scoring_Config'!$A:$A,'Scoring_Config'!$C:$C,15),0),"False,0")</f>
        <v>0</v>
      </c>
      <c r="AF248" s="4" cm="1">
        <f t="array" ref="AF248">IF(FALSE,"True," &amp; IF(_xlfn.XLOOKUP("Dst_IsAny",'Scoring_Config'!$A:$A,'Scoring_Config'!$D:$D,"Yes")="Yes",_xlfn.XLOOKUP("Dst_IsAny",'Scoring_Config'!$A:$A,'Scoring_Config'!$C:$C,25),0),"False,0")</f>
        <v>0</v>
      </c>
      <c r="AG248" s="4" cm="1">
        <f t="array" ref="AG248">IF(FALSE,"True," &amp; IF(_xlfn.XLOOKUP("Dst_CIDR_Le_16",'Scoring_Config'!$A:$A,'Scoring_Config'!$D:$D,"Yes")="Yes",_xlfn.XLOOKUP("Dst_CIDR_Le_16",'Scoring_Config'!$A:$A,'Scoring_Config'!$C:$C,25),0),"False,0")</f>
        <v>0</v>
      </c>
      <c r="AH248" s="4" cm="1">
        <f t="array" ref="AH248">IF(FALSE,"True," &amp; IF(_xlfn.XLOOKUP("Dst_CIDR_17_22",'Scoring_Config'!$A:$A,'Scoring_Config'!$D:$D,"Yes")="Yes",_xlfn.XLOOKUP("Dst_CIDR_17_22",'Scoring_Config'!$A:$A,'Scoring_Config'!$C:$C,15),0),"False,0")</f>
        <v>0</v>
      </c>
      <c r="AI248" s="4" cm="1">
        <f t="array" ref="AI248">IF(FALSE,"True," &amp; IF(_xlfn.XLOOKUP("SrcZone_IsAny",'Scoring_Config'!$A:$A,'Scoring_Config'!$D:$D,"Yes")="Yes",_xlfn.XLOOKUP("SrcZone_IsAny",'Scoring_Config'!$A:$A,'Scoring_Config'!$C:$C,5),0),"False,0")</f>
        <v>0</v>
      </c>
      <c r="AJ248" s="4" cm="1">
        <f t="array" ref="AJ248">IF(FALSE,"True," &amp; IF(_xlfn.XLOOKUP("DstZone_IsAny",'Scoring_Config'!$A:$A,'Scoring_Config'!$D:$D,"Yes")="Yes",_xlfn.XLOOKUP("DstZone_IsAny",'Scoring_Config'!$A:$A,'Scoring_Config'!$C:$C,5),0),"False,0")</f>
        <v>0</v>
      </c>
      <c r="AK248" s="4" cm="1">
        <f t="array" ref="AK24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48" s="5" cm="1">
        <f t="array" ref="AL248">IF(TRUE,"True," &amp; IF(_xlfn.XLOOKUP("App_Any_OR_RangeGt1000",'Scoring_Config'!$A:$A,'Scoring_Config'!$D:$D,"Yes")="Yes",_xlfn.XLOOKUP("App_Any_OR_RangeGt1000",'Scoring_Config'!$A:$A,'Scoring_Config'!$C:$C,25),0),"False,0")</f>
        <v>0</v>
      </c>
      <c r="AM248" s="4" cm="1">
        <f t="array" ref="AM248">IF(FALSE,"True," &amp; IF(_xlfn.XLOOKUP("Service_Insecure_Match",'Scoring_Config'!$A:$A,'Scoring_Config'!$D:$D,"Yes")="Yes",_xlfn.XLOOKUP("Service_Insecure_Match",'Scoring_Config'!$A:$A,'Scoring_Config'!$C:$C,20),0),"False,0")</f>
        <v>0</v>
      </c>
      <c r="AN248" s="4" cm="1">
        <f t="array" ref="AN248">IF(FALSE,"True," &amp; IF(_xlfn.XLOOKUP("Risky_Inbound",'Scoring_Config'!$A:$A,'Scoring_Config'!$D:$D,"Yes")="Yes",_xlfn.XLOOKUP("Risky_Inbound",'Scoring_Config'!$A:$A,'Scoring_Config'!$C:$C,20),0),"False,0")</f>
        <v>0</v>
      </c>
      <c r="AO248" s="4" cm="1">
        <f t="array" ref="AO248">IF(FALSE,"True," &amp; IF(_xlfn.XLOOKUP("Risky_Outbound",'Scoring_Config'!$A:$A,'Scoring_Config'!$D:$D,"Yes")="Yes",_xlfn.XLOOKUP("Risky_Outbound",'Scoring_Config'!$A:$A,'Scoring_Config'!$C:$C,10),0),"False,0")</f>
        <v>0</v>
      </c>
      <c r="AP248" s="5" t="s">
        <v>2595</v>
      </c>
      <c r="AQ248" s="4" cm="1">
        <f t="array" ref="AQ24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8" s="5" t="s">
        <v>2598</v>
      </c>
      <c r="AS248" s="5" t="s">
        <v>2595</v>
      </c>
      <c r="AT248" s="4" t="s">
        <v>2592</v>
      </c>
      <c r="AU248" s="5" cm="1">
        <f t="array" ref="AU248">IF(TRUE,"True," &amp; IF(_xlfn.XLOOKUP("Action_IsDenyOrDrop",'Scoring_Config'!$A:$A,'Scoring_Config'!$D:$D,"Yes")="Yes",_xlfn.XLOOKUP("Action_IsDenyOrDrop",'Scoring_Config'!$A:$A,'Scoring_Config'!$C:$C,0),0),"False,0")</f>
        <v>0</v>
      </c>
      <c r="AV248" s="4"/>
      <c r="AW248" s="4" cm="1">
        <f t="array" ref="AW248">IF(FALSE,"True," &amp; IF(_xlfn.XLOOKUP("Migrate_Insecure",'Scoring_Config'!$A:$A,'Scoring_Config'!$D:$D,"Yes")="Yes",_xlfn.XLOOKUP("Migrate_Insecure",'Scoring_Config'!$A:$A,'Scoring_Config'!$C:$C,15),0),"False,0")</f>
        <v>0</v>
      </c>
      <c r="AX248" s="4"/>
      <c r="AY248" s="4" cm="1">
        <f t="array" ref="AY248">IF(FALSE,"True," &amp; IF(_xlfn.XLOOKUP("Migrate_Other_Ports",'Scoring_Config'!$A:$A,'Scoring_Config'!$D:$D,"Yes")="Yes",_xlfn.XLOOKUP("Migrate_Other_Ports",'Scoring_Config'!$A:$A,'Scoring_Config'!$C:$C,5),0),"False,0")</f>
        <v>0</v>
      </c>
      <c r="AZ248" s="4" cm="1">
        <f t="array" ref="AZ248">IF(LEFT(AU248,4)="True",0,(IF(LEFT(AC248,4)="True",IF(_xlfn.XLOOKUP("Src_IsAny",'Scoring_Config'!$A:$A,'Scoring_Config'!$D:$D,"Yes")="Yes",_xlfn.XLOOKUP("Src_IsAny",'Scoring_Config'!$A:$A,'Scoring_Config'!$C:$C,25),0),0)+IF(LEFT(AD248,4)="True",IF(_xlfn.XLOOKUP("Src_CIDR_Le_16",'Scoring_Config'!$A:$A,'Scoring_Config'!$D:$D,"Yes")="Yes",_xlfn.XLOOKUP("Src_CIDR_Le_16",'Scoring_Config'!$A:$A,'Scoring_Config'!$C:$C,25),0),0)+IF(LEFT(AE248,4)="True",IF(_xlfn.XLOOKUP("Src_CIDR_17_22",'Scoring_Config'!$A:$A,'Scoring_Config'!$D:$D,"Yes")="Yes",_xlfn.XLOOKUP("Src_CIDR_17_22",'Scoring_Config'!$A:$A,'Scoring_Config'!$C:$C,15),0),0)+IF(LEFT(AF248,4)="True",IF(_xlfn.XLOOKUP("Dst_IsAny",'Scoring_Config'!$A:$A,'Scoring_Config'!$D:$D,"Yes")="Yes",_xlfn.XLOOKUP("Dst_IsAny",'Scoring_Config'!$A:$A,'Scoring_Config'!$C:$C,25),0),0)+IF(LEFT(AG248,4)="True",IF(_xlfn.XLOOKUP("Dst_CIDR_Le_16",'Scoring_Config'!$A:$A,'Scoring_Config'!$D:$D,"Yes")="Yes",_xlfn.XLOOKUP("Dst_CIDR_Le_16",'Scoring_Config'!$A:$A,'Scoring_Config'!$C:$C,25),0),0)+IF(LEFT(AH248,4)="True",IF(_xlfn.XLOOKUP("Dst_CIDR_17_22",'Scoring_Config'!$A:$A,'Scoring_Config'!$D:$D,"Yes")="Yes",_xlfn.XLOOKUP("Dst_CIDR_17_22",'Scoring_Config'!$A:$A,'Scoring_Config'!$C:$C,15),0),0)+IF(LEFT(AI248,4)="True",IF(_xlfn.XLOOKUP("SrcZone_IsAny",'Scoring_Config'!$A:$A,'Scoring_Config'!$D:$D,"Yes")="Yes",_xlfn.XLOOKUP("SrcZone_IsAny",'Scoring_Config'!$A:$A,'Scoring_Config'!$C:$C,5),0),0)+IF(LEFT(AJ248,4)="True",IF(_xlfn.XLOOKUP("DstZone_IsAny",'Scoring_Config'!$A:$A,'Scoring_Config'!$D:$D,"Yes")="Yes",_xlfn.XLOOKUP("DstZone_IsAny",'Scoring_Config'!$A:$A,'Scoring_Config'!$C:$C,5),0),0)+IF(LEFT(AK248,4)="True",IF(_xlfn.XLOOKUP("Service_Any_OR_RangeGt1000",'Scoring_Config'!$A:$A,'Scoring_Config'!$D:$D,"Yes")="Yes",_xlfn.XLOOKUP("Service_Any_OR_RangeGt1000",'Scoring_Config'!$A:$A,'Scoring_Config'!$C:$C,25),0),0)+IF(LEFT(AL248,4)="True",IF(_xlfn.XLOOKUP("App_Any_OR_RangeGt1000",'Scoring_Config'!$A:$A,'Scoring_Config'!$D:$D,"Yes")="Yes",_xlfn.XLOOKUP("App_Any_OR_RangeGt1000",'Scoring_Config'!$A:$A,'Scoring_Config'!$C:$C,25),0),0)+IF(LEFT(AM248,4)="True",IF(_xlfn.XLOOKUP("Service_Insecure_Match",'Scoring_Config'!$A:$A,'Scoring_Config'!$D:$D,"Yes")="Yes",_xlfn.XLOOKUP("Service_Insecure_Match",'Scoring_Config'!$A:$A,'Scoring_Config'!$C:$C,20),0),0)+IF(LEFT(AN248,4)="True",IF(_xlfn.XLOOKUP("Risky_Inbound",'Scoring_Config'!$A:$A,'Scoring_Config'!$D:$D,"Yes")="Yes",_xlfn.XLOOKUP("Risky_Inbound",'Scoring_Config'!$A:$A,'Scoring_Config'!$C:$C,20),0),0)+IF(LEFT(AO248,4)="True",IF(_xlfn.XLOOKUP("Risky_Outbound",'Scoring_Config'!$A:$A,'Scoring_Config'!$D:$D,"Yes")="Yes",_xlfn.XLOOKUP("Risky_Outbound",'Scoring_Config'!$A:$A,'Scoring_Config'!$C:$C,10),0),0)+IF(LEFT(AW248,4)="True",IF(_xlfn.XLOOKUP("Migrate_Insecure",'Scoring_Config'!$A:$A,'Scoring_Config'!$D:$D,"Yes")="Yes",_xlfn.XLOOKUP("Migrate_Insecure",'Scoring_Config'!$A:$A,'Scoring_Config'!$C:$C,15),0),0)+IF(LEFT(AY248,4)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248,FIND(",",AP248)+1,100)),0)+IF(LEFT(AQ248,4)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248,FIND(",",AR248)+1,100)),0)+IF(_xlfn.XLOOKUP("Profile_Scoring",'Scoring_Config'!$A:$A,'Scoring_Config'!$D:$D,"Yes")="Yes",VALUE(MID(AS248,FIND(",",AS248)+1,100)),0)+IF(_xlfn.XLOOKUP("Options_Scoring",'Scoring_Config'!$A:$A,'Scoring_Config'!$D:$D,"Yes")="Yes",VALUE(MID(AT248,FIND(",",AT248)+1,100)),0)))</f>
        <v>0</v>
      </c>
    </row>
    <row r="249" spans="1:52">
      <c r="A249" s="3" t="s">
        <v>54</v>
      </c>
      <c r="B249" s="3" t="s">
        <v>225</v>
      </c>
      <c r="C249" s="3" t="s">
        <v>331</v>
      </c>
      <c r="D249" s="3" t="s">
        <v>336</v>
      </c>
      <c r="E249" s="3" t="s">
        <v>359</v>
      </c>
      <c r="F249" s="3" t="s">
        <v>361</v>
      </c>
      <c r="G249" s="3" t="s">
        <v>456</v>
      </c>
      <c r="H249" s="3" t="s">
        <v>456</v>
      </c>
      <c r="I249" s="3" t="s">
        <v>624</v>
      </c>
      <c r="J249" s="3" t="s">
        <v>364</v>
      </c>
      <c r="K249" s="3" t="s">
        <v>365</v>
      </c>
      <c r="L249" s="3" t="s">
        <v>365</v>
      </c>
      <c r="M249" s="3" t="s">
        <v>779</v>
      </c>
      <c r="N249" s="3" t="s">
        <v>797</v>
      </c>
      <c r="O249" s="4" t="s">
        <v>844</v>
      </c>
      <c r="P249" s="3" t="s">
        <v>897</v>
      </c>
      <c r="Q249" s="3" t="s">
        <v>905</v>
      </c>
      <c r="R249" s="3" t="s">
        <v>908</v>
      </c>
      <c r="S249" s="3" t="s">
        <v>914</v>
      </c>
      <c r="T249" s="3"/>
      <c r="U249" s="3" t="s">
        <v>1268</v>
      </c>
      <c r="V249" s="3" t="s">
        <v>770</v>
      </c>
      <c r="W249" s="3" t="s">
        <v>1529</v>
      </c>
      <c r="X249" s="3" t="s">
        <v>1853</v>
      </c>
      <c r="Y249" s="3" t="s">
        <v>2322</v>
      </c>
      <c r="Z249" s="3"/>
      <c r="AA249" s="3" t="s">
        <v>1100</v>
      </c>
      <c r="AB249" s="3"/>
      <c r="AC249" s="4" cm="1">
        <f t="array" ref="AC249">IF(FALSE,"True," &amp; IF(_xlfn.XLOOKUP("Src_IsAny",'Scoring_Config'!$A:$A,'Scoring_Config'!$D:$D,"Yes")="Yes",_xlfn.XLOOKUP("Src_IsAny",'Scoring_Config'!$A:$A,'Scoring_Config'!$C:$C,25),0),"False,0")</f>
        <v>0</v>
      </c>
      <c r="AD249" s="4" cm="1">
        <f t="array" ref="AD249">IF(FALSE,"True," &amp; IF(_xlfn.XLOOKUP("Src_CIDR_Le_16",'Scoring_Config'!$A:$A,'Scoring_Config'!$D:$D,"Yes")="Yes",_xlfn.XLOOKUP("Src_CIDR_Le_16",'Scoring_Config'!$A:$A,'Scoring_Config'!$C:$C,25),0),"False,0")</f>
        <v>0</v>
      </c>
      <c r="AE249" s="4" cm="1">
        <f t="array" ref="AE249">IF(FALSE,"True," &amp; IF(_xlfn.XLOOKUP("Src_CIDR_17_22",'Scoring_Config'!$A:$A,'Scoring_Config'!$D:$D,"Yes")="Yes",_xlfn.XLOOKUP("Src_CIDR_17_22",'Scoring_Config'!$A:$A,'Scoring_Config'!$C:$C,15),0),"False,0")</f>
        <v>0</v>
      </c>
      <c r="AF249" s="5" cm="1">
        <f t="array" ref="AF249">IF(TRUE,"True," &amp; IF(_xlfn.XLOOKUP("Dst_IsAny",'Scoring_Config'!$A:$A,'Scoring_Config'!$D:$D,"Yes")="Yes",_xlfn.XLOOKUP("Dst_IsAny",'Scoring_Config'!$A:$A,'Scoring_Config'!$C:$C,25),0),"False,0")</f>
        <v>0</v>
      </c>
      <c r="AG249" s="4" cm="1">
        <f t="array" ref="AG249">IF(FALSE,"True," &amp; IF(_xlfn.XLOOKUP("Dst_CIDR_Le_16",'Scoring_Config'!$A:$A,'Scoring_Config'!$D:$D,"Yes")="Yes",_xlfn.XLOOKUP("Dst_CIDR_Le_16",'Scoring_Config'!$A:$A,'Scoring_Config'!$C:$C,25),0),"False,0")</f>
        <v>0</v>
      </c>
      <c r="AH249" s="4" cm="1">
        <f t="array" ref="AH249">IF(FALSE,"True," &amp; IF(_xlfn.XLOOKUP("Dst_CIDR_17_22",'Scoring_Config'!$A:$A,'Scoring_Config'!$D:$D,"Yes")="Yes",_xlfn.XLOOKUP("Dst_CIDR_17_22",'Scoring_Config'!$A:$A,'Scoring_Config'!$C:$C,15),0),"False,0")</f>
        <v>0</v>
      </c>
      <c r="AI249" s="4" cm="1">
        <f t="array" ref="AI249">IF(FALSE,"True," &amp; IF(_xlfn.XLOOKUP("SrcZone_IsAny",'Scoring_Config'!$A:$A,'Scoring_Config'!$D:$D,"Yes")="Yes",_xlfn.XLOOKUP("SrcZone_IsAny",'Scoring_Config'!$A:$A,'Scoring_Config'!$C:$C,5),0),"False,0")</f>
        <v>0</v>
      </c>
      <c r="AJ249" s="4" cm="1">
        <f t="array" ref="AJ249">IF(FALSE,"True," &amp; IF(_xlfn.XLOOKUP("DstZone_IsAny",'Scoring_Config'!$A:$A,'Scoring_Config'!$D:$D,"Yes")="Yes",_xlfn.XLOOKUP("DstZone_IsAny",'Scoring_Config'!$A:$A,'Scoring_Config'!$C:$C,5),0),"False,0")</f>
        <v>0</v>
      </c>
      <c r="AK249" s="5" cm="1">
        <f t="array" ref="AK249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49" s="4" cm="1">
        <f t="array" ref="AL249">IF(FALSE,"True," &amp; IF(_xlfn.XLOOKUP("App_Any_OR_RangeGt1000",'Scoring_Config'!$A:$A,'Scoring_Config'!$D:$D,"Yes")="Yes",_xlfn.XLOOKUP("App_Any_OR_RangeGt1000",'Scoring_Config'!$A:$A,'Scoring_Config'!$C:$C,25),0),"False,0")</f>
        <v>0</v>
      </c>
      <c r="AM249" s="5" cm="1">
        <f t="array" ref="AM249">IF(TRUE,"True," &amp; IF(_xlfn.XLOOKUP("Service_Insecure_Match",'Scoring_Config'!$A:$A,'Scoring_Config'!$D:$D,"Yes")="Yes",_xlfn.XLOOKUP("Service_Insecure_Match",'Scoring_Config'!$A:$A,'Scoring_Config'!$C:$C,20),0),"False,0")</f>
        <v>0</v>
      </c>
      <c r="AN249" s="4" cm="1">
        <f t="array" ref="AN249">IF(FALSE,"True," &amp; IF(_xlfn.XLOOKUP("Risky_Inbound",'Scoring_Config'!$A:$A,'Scoring_Config'!$D:$D,"Yes")="Yes",_xlfn.XLOOKUP("Risky_Inbound",'Scoring_Config'!$A:$A,'Scoring_Config'!$C:$C,20),0),"False,0")</f>
        <v>0</v>
      </c>
      <c r="AO249" s="4" cm="1">
        <f t="array" ref="AO249">IF(FALSE,"True," &amp; IF(_xlfn.XLOOKUP("Risky_Outbound",'Scoring_Config'!$A:$A,'Scoring_Config'!$D:$D,"Yes")="Yes",_xlfn.XLOOKUP("Risky_Outbound",'Scoring_Config'!$A:$A,'Scoring_Config'!$C:$C,10),0),"False,0")</f>
        <v>0</v>
      </c>
      <c r="AP249" s="5" t="s">
        <v>2595</v>
      </c>
      <c r="AQ249" s="5" cm="1">
        <f t="array" ref="AQ24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49" s="5" t="s">
        <v>2598</v>
      </c>
      <c r="AS249" s="4" t="s">
        <v>2592</v>
      </c>
      <c r="AT249" s="4" t="s">
        <v>2592</v>
      </c>
      <c r="AU249" s="4" cm="1">
        <f t="array" ref="AU249">IF(FALSE,"True," &amp; IF(_xlfn.XLOOKUP("Action_IsDenyOrDrop",'Scoring_Config'!$A:$A,'Scoring_Config'!$D:$D,"Yes")="Yes",_xlfn.XLOOKUP("Action_IsDenyOrDrop",'Scoring_Config'!$A:$A,'Scoring_Config'!$C:$C,0),0),"False,0")</f>
        <v>0</v>
      </c>
      <c r="AV249" s="4"/>
      <c r="AW249" s="4" cm="1">
        <f t="array" ref="AW249">IF(FALSE,"True," &amp; IF(_xlfn.XLOOKUP("Migrate_Insecure",'Scoring_Config'!$A:$A,'Scoring_Config'!$D:$D,"Yes")="Yes",_xlfn.XLOOKUP("Migrate_Insecure",'Scoring_Config'!$A:$A,'Scoring_Config'!$C:$C,15),0),"False,0")</f>
        <v>0</v>
      </c>
      <c r="AX249" s="4"/>
      <c r="AY249" s="4" cm="1">
        <f t="array" ref="AY249">IF(FALSE,"True," &amp; IF(_xlfn.XLOOKUP("Migrate_Other_Ports",'Scoring_Config'!$A:$A,'Scoring_Config'!$D:$D,"Yes")="Yes",_xlfn.XLOOKUP("Migrate_Other_Ports",'Scoring_Config'!$A:$A,'Scoring_Config'!$C:$C,5),0),"False,0")</f>
        <v>0</v>
      </c>
      <c r="AZ249" s="4" cm="1">
        <f t="array" ref="AZ249">IF(LEFT(AU249,4)="True",0,(IF(LEFT(AC249,4)="True",IF(_xlfn.XLOOKUP("Src_IsAny",'Scoring_Config'!$A:$A,'Scoring_Config'!$D:$D,"Yes")="Yes",_xlfn.XLOOKUP("Src_IsAny",'Scoring_Config'!$A:$A,'Scoring_Config'!$C:$C,25),0),0)+IF(LEFT(AD249,4)="True",IF(_xlfn.XLOOKUP("Src_CIDR_Le_16",'Scoring_Config'!$A:$A,'Scoring_Config'!$D:$D,"Yes")="Yes",_xlfn.XLOOKUP("Src_CIDR_Le_16",'Scoring_Config'!$A:$A,'Scoring_Config'!$C:$C,25),0),0)+IF(LEFT(AE249,4)="True",IF(_xlfn.XLOOKUP("Src_CIDR_17_22",'Scoring_Config'!$A:$A,'Scoring_Config'!$D:$D,"Yes")="Yes",_xlfn.XLOOKUP("Src_CIDR_17_22",'Scoring_Config'!$A:$A,'Scoring_Config'!$C:$C,15),0),0)+IF(LEFT(AF249,4)="True",IF(_xlfn.XLOOKUP("Dst_IsAny",'Scoring_Config'!$A:$A,'Scoring_Config'!$D:$D,"Yes")="Yes",_xlfn.XLOOKUP("Dst_IsAny",'Scoring_Config'!$A:$A,'Scoring_Config'!$C:$C,25),0),0)+IF(LEFT(AG249,4)="True",IF(_xlfn.XLOOKUP("Dst_CIDR_Le_16",'Scoring_Config'!$A:$A,'Scoring_Config'!$D:$D,"Yes")="Yes",_xlfn.XLOOKUP("Dst_CIDR_Le_16",'Scoring_Config'!$A:$A,'Scoring_Config'!$C:$C,25),0),0)+IF(LEFT(AH249,4)="True",IF(_xlfn.XLOOKUP("Dst_CIDR_17_22",'Scoring_Config'!$A:$A,'Scoring_Config'!$D:$D,"Yes")="Yes",_xlfn.XLOOKUP("Dst_CIDR_17_22",'Scoring_Config'!$A:$A,'Scoring_Config'!$C:$C,15),0),0)+IF(LEFT(AI249,4)="True",IF(_xlfn.XLOOKUP("SrcZone_IsAny",'Scoring_Config'!$A:$A,'Scoring_Config'!$D:$D,"Yes")="Yes",_xlfn.XLOOKUP("SrcZone_IsAny",'Scoring_Config'!$A:$A,'Scoring_Config'!$C:$C,5),0),0)+IF(LEFT(AJ249,4)="True",IF(_xlfn.XLOOKUP("DstZone_IsAny",'Scoring_Config'!$A:$A,'Scoring_Config'!$D:$D,"Yes")="Yes",_xlfn.XLOOKUP("DstZone_IsAny",'Scoring_Config'!$A:$A,'Scoring_Config'!$C:$C,5),0),0)+IF(LEFT(AK249,4)="True",IF(_xlfn.XLOOKUP("Service_Any_OR_RangeGt1000",'Scoring_Config'!$A:$A,'Scoring_Config'!$D:$D,"Yes")="Yes",_xlfn.XLOOKUP("Service_Any_OR_RangeGt1000",'Scoring_Config'!$A:$A,'Scoring_Config'!$C:$C,25),0),0)+IF(LEFT(AL249,4)="True",IF(_xlfn.XLOOKUP("App_Any_OR_RangeGt1000",'Scoring_Config'!$A:$A,'Scoring_Config'!$D:$D,"Yes")="Yes",_xlfn.XLOOKUP("App_Any_OR_RangeGt1000",'Scoring_Config'!$A:$A,'Scoring_Config'!$C:$C,25),0),0)+IF(LEFT(AM249,4)="True",IF(_xlfn.XLOOKUP("Service_Insecure_Match",'Scoring_Config'!$A:$A,'Scoring_Config'!$D:$D,"Yes")="Yes",_xlfn.XLOOKUP("Service_Insecure_Match",'Scoring_Config'!$A:$A,'Scoring_Config'!$C:$C,20),0),0)+IF(LEFT(AN249,4)="True",IF(_xlfn.XLOOKUP("Risky_Inbound",'Scoring_Config'!$A:$A,'Scoring_Config'!$D:$D,"Yes")="Yes",_xlfn.XLOOKUP("Risky_Inbound",'Scoring_Config'!$A:$A,'Scoring_Config'!$C:$C,20),0),0)+IF(LEFT(AO249,4)="True",IF(_xlfn.XLOOKUP("Risky_Outbound",'Scoring_Config'!$A:$A,'Scoring_Config'!$D:$D,"Yes")="Yes",_xlfn.XLOOKUP("Risky_Outbound",'Scoring_Config'!$A:$A,'Scoring_Config'!$C:$C,10),0),0)+IF(LEFT(AW249,4)="True",IF(_xlfn.XLOOKUP("Migrate_Insecure",'Scoring_Config'!$A:$A,'Scoring_Config'!$D:$D,"Yes")="Yes",_xlfn.XLOOKUP("Migrate_Insecure",'Scoring_Config'!$A:$A,'Scoring_Config'!$C:$C,15),0),0)+IF(LEFT(AY249,4)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249,FIND(",",AP249)+1,100)),0)+IF(LEFT(AQ249,4)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249,FIND(",",AR249)+1,100)),0)+IF(_xlfn.XLOOKUP("Profile_Scoring",'Scoring_Config'!$A:$A,'Scoring_Config'!$D:$D,"Yes")="Yes",VALUE(MID(AS249,FIND(",",AS249)+1,100)),0)+IF(_xlfn.XLOOKUP("Options_Scoring",'Scoring_Config'!$A:$A,'Scoring_Config'!$D:$D,"Yes")="Yes",VALUE(MID(AT249,FIND(",",AT249)+1,100)),0)))</f>
        <v>0</v>
      </c>
    </row>
    <row r="250" spans="1:52">
      <c r="A250" s="3" t="s">
        <v>54</v>
      </c>
      <c r="B250" s="3" t="s">
        <v>226</v>
      </c>
      <c r="C250" s="3" t="s">
        <v>331</v>
      </c>
      <c r="D250" s="3" t="s">
        <v>337</v>
      </c>
      <c r="E250" s="3" t="s">
        <v>359</v>
      </c>
      <c r="F250" s="3" t="s">
        <v>361</v>
      </c>
      <c r="G250" s="3" t="s">
        <v>365</v>
      </c>
      <c r="H250" s="3" t="s">
        <v>365</v>
      </c>
      <c r="I250" s="3" t="s">
        <v>624</v>
      </c>
      <c r="J250" s="3" t="s">
        <v>364</v>
      </c>
      <c r="K250" s="3" t="s">
        <v>365</v>
      </c>
      <c r="L250" s="3" t="s">
        <v>365</v>
      </c>
      <c r="M250" s="3" t="s">
        <v>365</v>
      </c>
      <c r="N250" s="3" t="s">
        <v>365</v>
      </c>
      <c r="O250" s="4" t="s">
        <v>842</v>
      </c>
      <c r="P250" s="3" t="s">
        <v>878</v>
      </c>
      <c r="Q250" s="3" t="s">
        <v>905</v>
      </c>
      <c r="R250" s="3" t="s">
        <v>907</v>
      </c>
      <c r="S250" s="3" t="s">
        <v>913</v>
      </c>
      <c r="T250" s="3"/>
      <c r="U250" s="3"/>
      <c r="V250" s="3" t="s">
        <v>1389</v>
      </c>
      <c r="W250" s="3" t="s">
        <v>1421</v>
      </c>
      <c r="X250" s="3" t="s">
        <v>1854</v>
      </c>
      <c r="Y250" s="3" t="s">
        <v>2323</v>
      </c>
      <c r="Z250" s="3"/>
      <c r="AA250" s="3" t="s">
        <v>919</v>
      </c>
      <c r="AB250" s="3"/>
      <c r="AC250" s="5" cm="1">
        <f t="array" ref="AC250">IF(TRUE,"True," &amp; IF(_xlfn.XLOOKUP("Src_IsAny",'Scoring_Config'!$A:$A,'Scoring_Config'!$D:$D,"Yes")="Yes",_xlfn.XLOOKUP("Src_IsAny",'Scoring_Config'!$A:$A,'Scoring_Config'!$C:$C,25),0),"False,0")</f>
        <v>0</v>
      </c>
      <c r="AD250" s="4" cm="1">
        <f t="array" ref="AD250">IF(FALSE,"True," &amp; IF(_xlfn.XLOOKUP("Src_CIDR_Le_16",'Scoring_Config'!$A:$A,'Scoring_Config'!$D:$D,"Yes")="Yes",_xlfn.XLOOKUP("Src_CIDR_Le_16",'Scoring_Config'!$A:$A,'Scoring_Config'!$C:$C,25),0),"False,0")</f>
        <v>0</v>
      </c>
      <c r="AE250" s="4" cm="1">
        <f t="array" ref="AE250">IF(FALSE,"True," &amp; IF(_xlfn.XLOOKUP("Src_CIDR_17_22",'Scoring_Config'!$A:$A,'Scoring_Config'!$D:$D,"Yes")="Yes",_xlfn.XLOOKUP("Src_CIDR_17_22",'Scoring_Config'!$A:$A,'Scoring_Config'!$C:$C,15),0),"False,0")</f>
        <v>0</v>
      </c>
      <c r="AF250" s="5" cm="1">
        <f t="array" ref="AF250">IF(TRUE,"True," &amp; IF(_xlfn.XLOOKUP("Dst_IsAny",'Scoring_Config'!$A:$A,'Scoring_Config'!$D:$D,"Yes")="Yes",_xlfn.XLOOKUP("Dst_IsAny",'Scoring_Config'!$A:$A,'Scoring_Config'!$C:$C,25),0),"False,0")</f>
        <v>0</v>
      </c>
      <c r="AG250" s="4" cm="1">
        <f t="array" ref="AG250">IF(FALSE,"True," &amp; IF(_xlfn.XLOOKUP("Dst_CIDR_Le_16",'Scoring_Config'!$A:$A,'Scoring_Config'!$D:$D,"Yes")="Yes",_xlfn.XLOOKUP("Dst_CIDR_Le_16",'Scoring_Config'!$A:$A,'Scoring_Config'!$C:$C,25),0),"False,0")</f>
        <v>0</v>
      </c>
      <c r="AH250" s="4" cm="1">
        <f t="array" ref="AH250">IF(FALSE,"True," &amp; IF(_xlfn.XLOOKUP("Dst_CIDR_17_22",'Scoring_Config'!$A:$A,'Scoring_Config'!$D:$D,"Yes")="Yes",_xlfn.XLOOKUP("Dst_CIDR_17_22",'Scoring_Config'!$A:$A,'Scoring_Config'!$C:$C,15),0),"False,0")</f>
        <v>0</v>
      </c>
      <c r="AI250" s="4" cm="1">
        <f t="array" ref="AI250">IF(FALSE,"True," &amp; IF(_xlfn.XLOOKUP("SrcZone_IsAny",'Scoring_Config'!$A:$A,'Scoring_Config'!$D:$D,"Yes")="Yes",_xlfn.XLOOKUP("SrcZone_IsAny",'Scoring_Config'!$A:$A,'Scoring_Config'!$C:$C,5),0),"False,0")</f>
        <v>0</v>
      </c>
      <c r="AJ250" s="4" cm="1">
        <f t="array" ref="AJ250">IF(FALSE,"True," &amp; IF(_xlfn.XLOOKUP("DstZone_IsAny",'Scoring_Config'!$A:$A,'Scoring_Config'!$D:$D,"Yes")="Yes",_xlfn.XLOOKUP("DstZone_IsAny",'Scoring_Config'!$A:$A,'Scoring_Config'!$C:$C,5),0),"False,0")</f>
        <v>0</v>
      </c>
      <c r="AK250" s="4" cm="1">
        <f t="array" ref="AK25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0" s="5" cm="1">
        <f t="array" ref="AL250">IF(TRUE,"True," &amp; IF(_xlfn.XLOOKUP("App_Any_OR_RangeGt1000",'Scoring_Config'!$A:$A,'Scoring_Config'!$D:$D,"Yes")="Yes",_xlfn.XLOOKUP("App_Any_OR_RangeGt1000",'Scoring_Config'!$A:$A,'Scoring_Config'!$C:$C,25),0),"False,0")</f>
        <v>0</v>
      </c>
      <c r="AM250" s="5" cm="1">
        <f t="array" ref="AM250">IF(TRUE,"True," &amp; IF(_xlfn.XLOOKUP("Service_Insecure_Match",'Scoring_Config'!$A:$A,'Scoring_Config'!$D:$D,"Yes")="Yes",_xlfn.XLOOKUP("Service_Insecure_Match",'Scoring_Config'!$A:$A,'Scoring_Config'!$C:$C,20),0),"False,0")</f>
        <v>0</v>
      </c>
      <c r="AN250" s="4" cm="1">
        <f t="array" ref="AN250">IF(FALSE,"True," &amp; IF(_xlfn.XLOOKUP("Risky_Inbound",'Scoring_Config'!$A:$A,'Scoring_Config'!$D:$D,"Yes")="Yes",_xlfn.XLOOKUP("Risky_Inbound",'Scoring_Config'!$A:$A,'Scoring_Config'!$C:$C,20),0),"False,0")</f>
        <v>0</v>
      </c>
      <c r="AO250" s="4" cm="1">
        <f t="array" ref="AO250">IF(FALSE,"True," &amp; IF(_xlfn.XLOOKUP("Risky_Outbound",'Scoring_Config'!$A:$A,'Scoring_Config'!$D:$D,"Yes")="Yes",_xlfn.XLOOKUP("Risky_Outbound",'Scoring_Config'!$A:$A,'Scoring_Config'!$C:$C,10),0),"False,0")</f>
        <v>0</v>
      </c>
      <c r="AP250" s="5" t="s">
        <v>2595</v>
      </c>
      <c r="AQ250" s="5" cm="1">
        <f t="array" ref="AQ25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0" s="5" t="s">
        <v>2598</v>
      </c>
      <c r="AS250" s="5" t="s">
        <v>2595</v>
      </c>
      <c r="AT250" s="4" t="s">
        <v>2592</v>
      </c>
      <c r="AU250" s="4" cm="1">
        <f t="array" ref="AU250">IF(FALSE,"True," &amp; IF(_xlfn.XLOOKUP("Action_IsDenyOrDrop",'Scoring_Config'!$A:$A,'Scoring_Config'!$D:$D,"Yes")="Yes",_xlfn.XLOOKUP("Action_IsDenyOrDrop",'Scoring_Config'!$A:$A,'Scoring_Config'!$C:$C,0),0),"False,0")</f>
        <v>0</v>
      </c>
      <c r="AV250" s="4"/>
      <c r="AW250" s="4" cm="1">
        <f t="array" ref="AW250">IF(FALSE,"True," &amp; IF(_xlfn.XLOOKUP("Migrate_Insecure",'Scoring_Config'!$A:$A,'Scoring_Config'!$D:$D,"Yes")="Yes",_xlfn.XLOOKUP("Migrate_Insecure",'Scoring_Config'!$A:$A,'Scoring_Config'!$C:$C,15),0),"False,0")</f>
        <v>0</v>
      </c>
      <c r="AX250" s="4"/>
      <c r="AY250" s="4" cm="1">
        <f t="array" ref="AY250">IF(FALSE,"True," &amp; IF(_xlfn.XLOOKUP("Migrate_Other_Ports",'Scoring_Config'!$A:$A,'Scoring_Config'!$D:$D,"Yes")="Yes",_xlfn.XLOOKUP("Migrate_Other_Ports",'Scoring_Config'!$A:$A,'Scoring_Config'!$C:$C,5),0),"False,0")</f>
        <v>0</v>
      </c>
      <c r="AZ250" s="4" cm="1">
        <f t="array" ref="AZ250">IF(LEFT(AU250,4)="True",0,(IF(LEFT(AC250,4)="True",IF(_xlfn.XLOOKUP("Src_IsAny",'Scoring_Config'!$A:$A,'Scoring_Config'!$D:$D,"Yes")="Yes",_xlfn.XLOOKUP("Src_IsAny",'Scoring_Config'!$A:$A,'Scoring_Config'!$C:$C,25),0),0)+IF(LEFT(AD250,4)="True",IF(_xlfn.XLOOKUP("Src_CIDR_Le_16",'Scoring_Config'!$A:$A,'Scoring_Config'!$D:$D,"Yes")="Yes",_xlfn.XLOOKUP("Src_CIDR_Le_16",'Scoring_Config'!$A:$A,'Scoring_Config'!$C:$C,25),0),0)+IF(LEFT(AE250,4)="True",IF(_xlfn.XLOOKUP("Src_CIDR_17_22",'Scoring_Config'!$A:$A,'Scoring_Config'!$D:$D,"Yes")="Yes",_xlfn.XLOOKUP("Src_CIDR_17_22",'Scoring_Config'!$A:$A,'Scoring_Config'!$C:$C,15),0),0)+IF(LEFT(AF250,4)="True",IF(_xlfn.XLOOKUP("Dst_IsAny",'Scoring_Config'!$A:$A,'Scoring_Config'!$D:$D,"Yes")="Yes",_xlfn.XLOOKUP("Dst_IsAny",'Scoring_Config'!$A:$A,'Scoring_Config'!$C:$C,25),0),0)+IF(LEFT(AG250,4)="True",IF(_xlfn.XLOOKUP("Dst_CIDR_Le_16",'Scoring_Config'!$A:$A,'Scoring_Config'!$D:$D,"Yes")="Yes",_xlfn.XLOOKUP("Dst_CIDR_Le_16",'Scoring_Config'!$A:$A,'Scoring_Config'!$C:$C,25),0),0)+IF(LEFT(AH250,4)="True",IF(_xlfn.XLOOKUP("Dst_CIDR_17_22",'Scoring_Config'!$A:$A,'Scoring_Config'!$D:$D,"Yes")="Yes",_xlfn.XLOOKUP("Dst_CIDR_17_22",'Scoring_Config'!$A:$A,'Scoring_Config'!$C:$C,15),0),0)+IF(LEFT(AI250,4)="True",IF(_xlfn.XLOOKUP("SrcZone_IsAny",'Scoring_Config'!$A:$A,'Scoring_Config'!$D:$D,"Yes")="Yes",_xlfn.XLOOKUP("SrcZone_IsAny",'Scoring_Config'!$A:$A,'Scoring_Config'!$C:$C,5),0),0)+IF(LEFT(AJ250,4)="True",IF(_xlfn.XLOOKUP("DstZone_IsAny",'Scoring_Config'!$A:$A,'Scoring_Config'!$D:$D,"Yes")="Yes",_xlfn.XLOOKUP("DstZone_IsAny",'Scoring_Config'!$A:$A,'Scoring_Config'!$C:$C,5),0),0)+IF(LEFT(AK250,4)="True",IF(_xlfn.XLOOKUP("Service_Any_OR_RangeGt1000",'Scoring_Config'!$A:$A,'Scoring_Config'!$D:$D,"Yes")="Yes",_xlfn.XLOOKUP("Service_Any_OR_RangeGt1000",'Scoring_Config'!$A:$A,'Scoring_Config'!$C:$C,25),0),0)+IF(LEFT(AL250,4)="True",IF(_xlfn.XLOOKUP("App_Any_OR_RangeGt1000",'Scoring_Config'!$A:$A,'Scoring_Config'!$D:$D,"Yes")="Yes",_xlfn.XLOOKUP("App_Any_OR_RangeGt1000",'Scoring_Config'!$A:$A,'Scoring_Config'!$C:$C,25),0),0)+IF(LEFT(AM250,4)="True",IF(_xlfn.XLOOKUP("Service_Insecure_Match",'Scoring_Config'!$A:$A,'Scoring_Config'!$D:$D,"Yes")="Yes",_xlfn.XLOOKUP("Service_Insecure_Match",'Scoring_Config'!$A:$A,'Scoring_Config'!$C:$C,20),0),0)+IF(LEFT(AN250,4)="True",IF(_xlfn.XLOOKUP("Risky_Inbound",'Scoring_Config'!$A:$A,'Scoring_Config'!$D:$D,"Yes")="Yes",_xlfn.XLOOKUP("Risky_Inbound",'Scoring_Config'!$A:$A,'Scoring_Config'!$C:$C,20),0),0)+IF(LEFT(AO250,4)="True",IF(_xlfn.XLOOKUP("Risky_Outbound",'Scoring_Config'!$A:$A,'Scoring_Config'!$D:$D,"Yes")="Yes",_xlfn.XLOOKUP("Risky_Outbound",'Scoring_Config'!$A:$A,'Scoring_Config'!$C:$C,10),0),0)+IF(LEFT(AW250,4)="True",IF(_xlfn.XLOOKUP("Migrate_Insecure",'Scoring_Config'!$A:$A,'Scoring_Config'!$D:$D,"Yes")="Yes",_xlfn.XLOOKUP("Migrate_Insecure",'Scoring_Config'!$A:$A,'Scoring_Config'!$C:$C,15),0),0)+IF(LEFT(AY250,4)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250,FIND(",",AP250)+1,100)),0)+IF(LEFT(AQ250,4)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250,FIND(",",AR250)+1,100)),0)+IF(_xlfn.XLOOKUP("Profile_Scoring",'Scoring_Config'!$A:$A,'Scoring_Config'!$D:$D,"Yes")="Yes",VALUE(MID(AS250,FIND(",",AS250)+1,100)),0)+IF(_xlfn.XLOOKUP("Options_Scoring",'Scoring_Config'!$A:$A,'Scoring_Config'!$D:$D,"Yes")="Yes",VALUE(MID(AT250,FIND(",",AT250)+1,100)),0)))</f>
        <v>0</v>
      </c>
    </row>
    <row r="251" spans="1:52">
      <c r="A251" s="3" t="s">
        <v>54</v>
      </c>
      <c r="B251" s="3" t="s">
        <v>227</v>
      </c>
      <c r="C251" s="3" t="s">
        <v>331</v>
      </c>
      <c r="D251" s="3"/>
      <c r="E251" s="3" t="s">
        <v>359</v>
      </c>
      <c r="F251" s="3" t="s">
        <v>364</v>
      </c>
      <c r="G251" s="3" t="s">
        <v>457</v>
      </c>
      <c r="H251" s="3" t="s">
        <v>585</v>
      </c>
      <c r="I251" s="3" t="s">
        <v>625</v>
      </c>
      <c r="J251" s="3" t="s">
        <v>362</v>
      </c>
      <c r="K251" s="3" t="s">
        <v>365</v>
      </c>
      <c r="L251" s="3" t="s">
        <v>365</v>
      </c>
      <c r="M251" s="3" t="s">
        <v>770</v>
      </c>
      <c r="N251" s="3" t="s">
        <v>770</v>
      </c>
      <c r="O251" s="4" t="s">
        <v>822</v>
      </c>
      <c r="P251" s="3" t="s">
        <v>883</v>
      </c>
      <c r="Q251" s="3" t="s">
        <v>905</v>
      </c>
      <c r="R251" s="3" t="s">
        <v>911</v>
      </c>
      <c r="S251" s="3" t="s">
        <v>914</v>
      </c>
      <c r="T251" s="3"/>
      <c r="U251" s="3" t="s">
        <v>1272</v>
      </c>
      <c r="V251" s="3" t="s">
        <v>1389</v>
      </c>
      <c r="W251" s="3" t="s">
        <v>1530</v>
      </c>
      <c r="X251" s="3" t="s">
        <v>1855</v>
      </c>
      <c r="Y251" s="3" t="s">
        <v>2324</v>
      </c>
      <c r="Z251" s="3"/>
      <c r="AA251" s="3" t="s">
        <v>1600</v>
      </c>
      <c r="AB251" s="3"/>
      <c r="AC251" s="4" cm="1">
        <f t="array" ref="AC251">IF(FALSE,"True," &amp; IF(_xlfn.XLOOKUP("Src_IsAny",'Scoring_Config'!$A:$A,'Scoring_Config'!$D:$D,"Yes")="Yes",_xlfn.XLOOKUP("Src_IsAny",'Scoring_Config'!$A:$A,'Scoring_Config'!$C:$C,25),0),"False,0")</f>
        <v>0</v>
      </c>
      <c r="AD251" s="4" cm="1">
        <f t="array" ref="AD251">IF(FALSE,"True," &amp; IF(_xlfn.XLOOKUP("Src_CIDR_Le_16",'Scoring_Config'!$A:$A,'Scoring_Config'!$D:$D,"Yes")="Yes",_xlfn.XLOOKUP("Src_CIDR_Le_16",'Scoring_Config'!$A:$A,'Scoring_Config'!$C:$C,25),0),"False,0")</f>
        <v>0</v>
      </c>
      <c r="AE251" s="4" cm="1">
        <f t="array" ref="AE251">IF(FALSE,"True," &amp; IF(_xlfn.XLOOKUP("Src_CIDR_17_22",'Scoring_Config'!$A:$A,'Scoring_Config'!$D:$D,"Yes")="Yes",_xlfn.XLOOKUP("Src_CIDR_17_22",'Scoring_Config'!$A:$A,'Scoring_Config'!$C:$C,15),0),"False,0")</f>
        <v>0</v>
      </c>
      <c r="AF251" s="5" cm="1">
        <f t="array" ref="AF251">IF(TRUE,"True," &amp; IF(_xlfn.XLOOKUP("Dst_IsAny",'Scoring_Config'!$A:$A,'Scoring_Config'!$D:$D,"Yes")="Yes",_xlfn.XLOOKUP("Dst_IsAny",'Scoring_Config'!$A:$A,'Scoring_Config'!$C:$C,25),0),"False,0")</f>
        <v>0</v>
      </c>
      <c r="AG251" s="4" cm="1">
        <f t="array" ref="AG251">IF(FALSE,"True," &amp; IF(_xlfn.XLOOKUP("Dst_CIDR_Le_16",'Scoring_Config'!$A:$A,'Scoring_Config'!$D:$D,"Yes")="Yes",_xlfn.XLOOKUP("Dst_CIDR_Le_16",'Scoring_Config'!$A:$A,'Scoring_Config'!$C:$C,25),0),"False,0")</f>
        <v>0</v>
      </c>
      <c r="AH251" s="4" cm="1">
        <f t="array" ref="AH251">IF(FALSE,"True," &amp; IF(_xlfn.XLOOKUP("Dst_CIDR_17_22",'Scoring_Config'!$A:$A,'Scoring_Config'!$D:$D,"Yes")="Yes",_xlfn.XLOOKUP("Dst_CIDR_17_22",'Scoring_Config'!$A:$A,'Scoring_Config'!$C:$C,15),0),"False,0")</f>
        <v>0</v>
      </c>
      <c r="AI251" s="4" cm="1">
        <f t="array" ref="AI251">IF(FALSE,"True," &amp; IF(_xlfn.XLOOKUP("SrcZone_IsAny",'Scoring_Config'!$A:$A,'Scoring_Config'!$D:$D,"Yes")="Yes",_xlfn.XLOOKUP("SrcZone_IsAny",'Scoring_Config'!$A:$A,'Scoring_Config'!$C:$C,5),0),"False,0")</f>
        <v>0</v>
      </c>
      <c r="AJ251" s="4" cm="1">
        <f t="array" ref="AJ251">IF(FALSE,"True," &amp; IF(_xlfn.XLOOKUP("DstZone_IsAny",'Scoring_Config'!$A:$A,'Scoring_Config'!$D:$D,"Yes")="Yes",_xlfn.XLOOKUP("DstZone_IsAny",'Scoring_Config'!$A:$A,'Scoring_Config'!$C:$C,5),0),"False,0")</f>
        <v>0</v>
      </c>
      <c r="AK251" s="5" cm="1">
        <f t="array" ref="AK251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51" s="4" cm="1">
        <f t="array" ref="AL251">IF(FALSE,"True," &amp; IF(_xlfn.XLOOKUP("App_Any_OR_RangeGt1000",'Scoring_Config'!$A:$A,'Scoring_Config'!$D:$D,"Yes")="Yes",_xlfn.XLOOKUP("App_Any_OR_RangeGt1000",'Scoring_Config'!$A:$A,'Scoring_Config'!$C:$C,25),0),"False,0")</f>
        <v>0</v>
      </c>
      <c r="AM251" s="5" cm="1">
        <f t="array" ref="AM251">IF(TRUE,"True," &amp; IF(_xlfn.XLOOKUP("Service_Insecure_Match",'Scoring_Config'!$A:$A,'Scoring_Config'!$D:$D,"Yes")="Yes",_xlfn.XLOOKUP("Service_Insecure_Match",'Scoring_Config'!$A:$A,'Scoring_Config'!$C:$C,20),0),"False,0")</f>
        <v>0</v>
      </c>
      <c r="AN251" s="4" cm="1">
        <f t="array" ref="AN251">IF(FALSE,"True," &amp; IF(_xlfn.XLOOKUP("Risky_Inbound",'Scoring_Config'!$A:$A,'Scoring_Config'!$D:$D,"Yes")="Yes",_xlfn.XLOOKUP("Risky_Inbound",'Scoring_Config'!$A:$A,'Scoring_Config'!$C:$C,20),0),"False,0")</f>
        <v>0</v>
      </c>
      <c r="AO251" s="4" cm="1">
        <f t="array" ref="AO251">IF(FALSE,"True," &amp; IF(_xlfn.XLOOKUP("Risky_Outbound",'Scoring_Config'!$A:$A,'Scoring_Config'!$D:$D,"Yes")="Yes",_xlfn.XLOOKUP("Risky_Outbound",'Scoring_Config'!$A:$A,'Scoring_Config'!$C:$C,10),0),"False,0")</f>
        <v>0</v>
      </c>
      <c r="AP251" s="5" t="s">
        <v>2595</v>
      </c>
      <c r="AQ251" s="4" cm="1">
        <f t="array" ref="AQ25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1" s="5" t="s">
        <v>2598</v>
      </c>
      <c r="AS251" s="4" t="s">
        <v>2592</v>
      </c>
      <c r="AT251" s="4" t="s">
        <v>2592</v>
      </c>
      <c r="AU251" s="4" cm="1">
        <f t="array" ref="AU251">IF(FALSE,"True," &amp; IF(_xlfn.XLOOKUP("Action_IsDenyOrDrop",'Scoring_Config'!$A:$A,'Scoring_Config'!$D:$D,"Yes")="Yes",_xlfn.XLOOKUP("Action_IsDenyOrDrop",'Scoring_Config'!$A:$A,'Scoring_Config'!$C:$C,0),0),"False,0")</f>
        <v>0</v>
      </c>
      <c r="AV251" s="4"/>
      <c r="AW251" s="4" cm="1">
        <f t="array" ref="AW251">IF(FALSE,"True," &amp; IF(_xlfn.XLOOKUP("Migrate_Insecure",'Scoring_Config'!$A:$A,'Scoring_Config'!$D:$D,"Yes")="Yes",_xlfn.XLOOKUP("Migrate_Insecure",'Scoring_Config'!$A:$A,'Scoring_Config'!$C:$C,15),0),"False,0")</f>
        <v>0</v>
      </c>
      <c r="AX251" s="4"/>
      <c r="AY251" s="4" cm="1">
        <f t="array" ref="AY251">IF(FALSE,"True," &amp; IF(_xlfn.XLOOKUP("Migrate_Other_Ports",'Scoring_Config'!$A:$A,'Scoring_Config'!$D:$D,"Yes")="Yes",_xlfn.XLOOKUP("Migrate_Other_Ports",'Scoring_Config'!$A:$A,'Scoring_Config'!$C:$C,5),0),"False,0")</f>
        <v>0</v>
      </c>
      <c r="AZ251" s="4" cm="1">
        <f t="array" ref="AZ251">IF(LEFT(AU251,4)="True",0,(IF(LEFT(AC251,4)="True",IF(_xlfn.XLOOKUP("Src_IsAny",'Scoring_Config'!$A:$A,'Scoring_Config'!$D:$D,"Yes")="Yes",_xlfn.XLOOKUP("Src_IsAny",'Scoring_Config'!$A:$A,'Scoring_Config'!$C:$C,25),0),0)+IF(LEFT(AD251,4)="True",IF(_xlfn.XLOOKUP("Src_CIDR_Le_16",'Scoring_Config'!$A:$A,'Scoring_Config'!$D:$D,"Yes")="Yes",_xlfn.XLOOKUP("Src_CIDR_Le_16",'Scoring_Config'!$A:$A,'Scoring_Config'!$C:$C,25),0),0)+IF(LEFT(AE251,4)="True",IF(_xlfn.XLOOKUP("Src_CIDR_17_22",'Scoring_Config'!$A:$A,'Scoring_Config'!$D:$D,"Yes")="Yes",_xlfn.XLOOKUP("Src_CIDR_17_22",'Scoring_Config'!$A:$A,'Scoring_Config'!$C:$C,15),0),0)+IF(LEFT(AF251,4)="True",IF(_xlfn.XLOOKUP("Dst_IsAny",'Scoring_Config'!$A:$A,'Scoring_Config'!$D:$D,"Yes")="Yes",_xlfn.XLOOKUP("Dst_IsAny",'Scoring_Config'!$A:$A,'Scoring_Config'!$C:$C,25),0),0)+IF(LEFT(AG251,4)="True",IF(_xlfn.XLOOKUP("Dst_CIDR_Le_16",'Scoring_Config'!$A:$A,'Scoring_Config'!$D:$D,"Yes")="Yes",_xlfn.XLOOKUP("Dst_CIDR_Le_16",'Scoring_Config'!$A:$A,'Scoring_Config'!$C:$C,25),0),0)+IF(LEFT(AH251,4)="True",IF(_xlfn.XLOOKUP("Dst_CIDR_17_22",'Scoring_Config'!$A:$A,'Scoring_Config'!$D:$D,"Yes")="Yes",_xlfn.XLOOKUP("Dst_CIDR_17_22",'Scoring_Config'!$A:$A,'Scoring_Config'!$C:$C,15),0),0)+IF(LEFT(AI251,4)="True",IF(_xlfn.XLOOKUP("SrcZone_IsAny",'Scoring_Config'!$A:$A,'Scoring_Config'!$D:$D,"Yes")="Yes",_xlfn.XLOOKUP("SrcZone_IsAny",'Scoring_Config'!$A:$A,'Scoring_Config'!$C:$C,5),0),0)+IF(LEFT(AJ251,4)="True",IF(_xlfn.XLOOKUP("DstZone_IsAny",'Scoring_Config'!$A:$A,'Scoring_Config'!$D:$D,"Yes")="Yes",_xlfn.XLOOKUP("DstZone_IsAny",'Scoring_Config'!$A:$A,'Scoring_Config'!$C:$C,5),0),0)+IF(LEFT(AK251,4)="True",IF(_xlfn.XLOOKUP("Service_Any_OR_RangeGt1000",'Scoring_Config'!$A:$A,'Scoring_Config'!$D:$D,"Yes")="Yes",_xlfn.XLOOKUP("Service_Any_OR_RangeGt1000",'Scoring_Config'!$A:$A,'Scoring_Config'!$C:$C,25),0),0)+IF(LEFT(AL251,4)="True",IF(_xlfn.XLOOKUP("App_Any_OR_RangeGt1000",'Scoring_Config'!$A:$A,'Scoring_Config'!$D:$D,"Yes")="Yes",_xlfn.XLOOKUP("App_Any_OR_RangeGt1000",'Scoring_Config'!$A:$A,'Scoring_Config'!$C:$C,25),0),0)+IF(LEFT(AM251,4)="True",IF(_xlfn.XLOOKUP("Service_Insecure_Match",'Scoring_Config'!$A:$A,'Scoring_Config'!$D:$D,"Yes")="Yes",_xlfn.XLOOKUP("Service_Insecure_Match",'Scoring_Config'!$A:$A,'Scoring_Config'!$C:$C,20),0),0)+IF(LEFT(AN251,4)="True",IF(_xlfn.XLOOKUP("Risky_Inbound",'Scoring_Config'!$A:$A,'Scoring_Config'!$D:$D,"Yes")="Yes",_xlfn.XLOOKUP("Risky_Inbound",'Scoring_Config'!$A:$A,'Scoring_Config'!$C:$C,20),0),0)+IF(LEFT(AO251,4)="True",IF(_xlfn.XLOOKUP("Risky_Outbound",'Scoring_Config'!$A:$A,'Scoring_Config'!$D:$D,"Yes")="Yes",_xlfn.XLOOKUP("Risky_Outbound",'Scoring_Config'!$A:$A,'Scoring_Config'!$C:$C,10),0),0)+IF(LEFT(AW251,4)="True",IF(_xlfn.XLOOKUP("Migrate_Insecure",'Scoring_Config'!$A:$A,'Scoring_Config'!$D:$D,"Yes")="Yes",_xlfn.XLOOKUP("Migrate_Insecure",'Scoring_Config'!$A:$A,'Scoring_Config'!$C:$C,15),0),0)+IF(LEFT(AY251,4)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251,FIND(",",AP251)+1,100)),0)+IF(LEFT(AQ251,4)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251,FIND(",",AR251)+1,100)),0)+IF(_xlfn.XLOOKUP("Profile_Scoring",'Scoring_Config'!$A:$A,'Scoring_Config'!$D:$D,"Yes")="Yes",VALUE(MID(AS251,FIND(",",AS251)+1,100)),0)+IF(_xlfn.XLOOKUP("Options_Scoring",'Scoring_Config'!$A:$A,'Scoring_Config'!$D:$D,"Yes")="Yes",VALUE(MID(AT251,FIND(",",AT251)+1,100)),0)))</f>
        <v>0</v>
      </c>
    </row>
    <row r="252" spans="1:52">
      <c r="A252" s="3" t="s">
        <v>54</v>
      </c>
      <c r="B252" s="3" t="s">
        <v>228</v>
      </c>
      <c r="C252" s="3" t="s">
        <v>331</v>
      </c>
      <c r="D252" s="3" t="s">
        <v>338</v>
      </c>
      <c r="E252" s="3" t="s">
        <v>359</v>
      </c>
      <c r="F252" s="3" t="s">
        <v>361</v>
      </c>
      <c r="G252" s="3" t="s">
        <v>458</v>
      </c>
      <c r="H252" s="3" t="s">
        <v>458</v>
      </c>
      <c r="I252" s="3" t="s">
        <v>622</v>
      </c>
      <c r="J252" s="3" t="s">
        <v>364</v>
      </c>
      <c r="K252" s="3" t="s">
        <v>365</v>
      </c>
      <c r="L252" s="3" t="s">
        <v>365</v>
      </c>
      <c r="M252" s="3" t="s">
        <v>365</v>
      </c>
      <c r="N252" s="3" t="s">
        <v>365</v>
      </c>
      <c r="O252" s="4" t="s">
        <v>829</v>
      </c>
      <c r="P252" s="3" t="s">
        <v>890</v>
      </c>
      <c r="Q252" s="3" t="s">
        <v>905</v>
      </c>
      <c r="R252" s="3" t="s">
        <v>909</v>
      </c>
      <c r="S252" s="3" t="s">
        <v>914</v>
      </c>
      <c r="T252" s="3"/>
      <c r="U252" s="3" t="s">
        <v>1273</v>
      </c>
      <c r="V252" s="3" t="s">
        <v>789</v>
      </c>
      <c r="W252" s="3" t="s">
        <v>1531</v>
      </c>
      <c r="X252" s="3" t="s">
        <v>1856</v>
      </c>
      <c r="Y252" s="3" t="s">
        <v>2325</v>
      </c>
      <c r="Z252" s="3"/>
      <c r="AA252" s="3" t="s">
        <v>919</v>
      </c>
      <c r="AB252" s="3"/>
      <c r="AC252" s="4" cm="1">
        <f t="array" ref="AC252">IF(FALSE,"True," &amp; IF(_xlfn.XLOOKUP("Src_IsAny",'Scoring_Config'!$A:$A,'Scoring_Config'!$D:$D,"Yes")="Yes",_xlfn.XLOOKUP("Src_IsAny",'Scoring_Config'!$A:$A,'Scoring_Config'!$C:$C,25),0),"False,0")</f>
        <v>0</v>
      </c>
      <c r="AD252" s="4" cm="1">
        <f t="array" ref="AD252">IF(FALSE,"True," &amp; IF(_xlfn.XLOOKUP("Src_CIDR_Le_16",'Scoring_Config'!$A:$A,'Scoring_Config'!$D:$D,"Yes")="Yes",_xlfn.XLOOKUP("Src_CIDR_Le_16",'Scoring_Config'!$A:$A,'Scoring_Config'!$C:$C,25),0),"False,0")</f>
        <v>0</v>
      </c>
      <c r="AE252" s="4" cm="1">
        <f t="array" ref="AE252">IF(FALSE,"True," &amp; IF(_xlfn.XLOOKUP("Src_CIDR_17_22",'Scoring_Config'!$A:$A,'Scoring_Config'!$D:$D,"Yes")="Yes",_xlfn.XLOOKUP("Src_CIDR_17_22",'Scoring_Config'!$A:$A,'Scoring_Config'!$C:$C,15),0),"False,0")</f>
        <v>0</v>
      </c>
      <c r="AF252" s="5" cm="1">
        <f t="array" ref="AF252">IF(TRUE,"True," &amp; IF(_xlfn.XLOOKUP("Dst_IsAny",'Scoring_Config'!$A:$A,'Scoring_Config'!$D:$D,"Yes")="Yes",_xlfn.XLOOKUP("Dst_IsAny",'Scoring_Config'!$A:$A,'Scoring_Config'!$C:$C,25),0),"False,0")</f>
        <v>0</v>
      </c>
      <c r="AG252" s="4" cm="1">
        <f t="array" ref="AG252">IF(FALSE,"True," &amp; IF(_xlfn.XLOOKUP("Dst_CIDR_Le_16",'Scoring_Config'!$A:$A,'Scoring_Config'!$D:$D,"Yes")="Yes",_xlfn.XLOOKUP("Dst_CIDR_Le_16",'Scoring_Config'!$A:$A,'Scoring_Config'!$C:$C,25),0),"False,0")</f>
        <v>0</v>
      </c>
      <c r="AH252" s="4" cm="1">
        <f t="array" ref="AH252">IF(FALSE,"True," &amp; IF(_xlfn.XLOOKUP("Dst_CIDR_17_22",'Scoring_Config'!$A:$A,'Scoring_Config'!$D:$D,"Yes")="Yes",_xlfn.XLOOKUP("Dst_CIDR_17_22",'Scoring_Config'!$A:$A,'Scoring_Config'!$C:$C,15),0),"False,0")</f>
        <v>0</v>
      </c>
      <c r="AI252" s="4" cm="1">
        <f t="array" ref="AI252">IF(FALSE,"True," &amp; IF(_xlfn.XLOOKUP("SrcZone_IsAny",'Scoring_Config'!$A:$A,'Scoring_Config'!$D:$D,"Yes")="Yes",_xlfn.XLOOKUP("SrcZone_IsAny",'Scoring_Config'!$A:$A,'Scoring_Config'!$C:$C,5),0),"False,0")</f>
        <v>0</v>
      </c>
      <c r="AJ252" s="4" cm="1">
        <f t="array" ref="AJ252">IF(FALSE,"True," &amp; IF(_xlfn.XLOOKUP("DstZone_IsAny",'Scoring_Config'!$A:$A,'Scoring_Config'!$D:$D,"Yes")="Yes",_xlfn.XLOOKUP("DstZone_IsAny",'Scoring_Config'!$A:$A,'Scoring_Config'!$C:$C,5),0),"False,0")</f>
        <v>0</v>
      </c>
      <c r="AK252" s="4" cm="1">
        <f t="array" ref="AK25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2" s="5" cm="1">
        <f t="array" ref="AL252">IF(TRUE,"True," &amp; IF(_xlfn.XLOOKUP("App_Any_OR_RangeGt1000",'Scoring_Config'!$A:$A,'Scoring_Config'!$D:$D,"Yes")="Yes",_xlfn.XLOOKUP("App_Any_OR_RangeGt1000",'Scoring_Config'!$A:$A,'Scoring_Config'!$C:$C,25),0),"False,0")</f>
        <v>0</v>
      </c>
      <c r="AM252" s="5" cm="1">
        <f t="array" ref="AM252">IF(TRUE,"True," &amp; IF(_xlfn.XLOOKUP("Service_Insecure_Match",'Scoring_Config'!$A:$A,'Scoring_Config'!$D:$D,"Yes")="Yes",_xlfn.XLOOKUP("Service_Insecure_Match",'Scoring_Config'!$A:$A,'Scoring_Config'!$C:$C,20),0),"False,0")</f>
        <v>0</v>
      </c>
      <c r="AN252" s="4" cm="1">
        <f t="array" ref="AN252">IF(FALSE,"True," &amp; IF(_xlfn.XLOOKUP("Risky_Inbound",'Scoring_Config'!$A:$A,'Scoring_Config'!$D:$D,"Yes")="Yes",_xlfn.XLOOKUP("Risky_Inbound",'Scoring_Config'!$A:$A,'Scoring_Config'!$C:$C,20),0),"False,0")</f>
        <v>0</v>
      </c>
      <c r="AO252" s="4" cm="1">
        <f t="array" ref="AO252">IF(FALSE,"True," &amp; IF(_xlfn.XLOOKUP("Risky_Outbound",'Scoring_Config'!$A:$A,'Scoring_Config'!$D:$D,"Yes")="Yes",_xlfn.XLOOKUP("Risky_Outbound",'Scoring_Config'!$A:$A,'Scoring_Config'!$C:$C,10),0),"False,0")</f>
        <v>0</v>
      </c>
      <c r="AP252" s="5" t="s">
        <v>2595</v>
      </c>
      <c r="AQ252" s="4" cm="1">
        <f t="array" ref="AQ25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2" s="5" t="s">
        <v>2598</v>
      </c>
      <c r="AS252" s="4" t="s">
        <v>2592</v>
      </c>
      <c r="AT252" s="4" t="s">
        <v>2592</v>
      </c>
      <c r="AU252" s="4" cm="1">
        <f t="array" ref="AU252">IF(FALSE,"True," &amp; IF(_xlfn.XLOOKUP("Action_IsDenyOrDrop",'Scoring_Config'!$A:$A,'Scoring_Config'!$D:$D,"Yes")="Yes",_xlfn.XLOOKUP("Action_IsDenyOrDrop",'Scoring_Config'!$A:$A,'Scoring_Config'!$C:$C,0),0),"False,0")</f>
        <v>0</v>
      </c>
      <c r="AV252" s="4"/>
      <c r="AW252" s="4" cm="1">
        <f t="array" ref="AW252">IF(FALSE,"True," &amp; IF(_xlfn.XLOOKUP("Migrate_Insecure",'Scoring_Config'!$A:$A,'Scoring_Config'!$D:$D,"Yes")="Yes",_xlfn.XLOOKUP("Migrate_Insecure",'Scoring_Config'!$A:$A,'Scoring_Config'!$C:$C,15),0),"False,0")</f>
        <v>0</v>
      </c>
      <c r="AX252" s="4"/>
      <c r="AY252" s="4" cm="1">
        <f t="array" ref="AY252">IF(FALSE,"True," &amp; IF(_xlfn.XLOOKUP("Migrate_Other_Ports",'Scoring_Config'!$A:$A,'Scoring_Config'!$D:$D,"Yes")="Yes",_xlfn.XLOOKUP("Migrate_Other_Ports",'Scoring_Config'!$A:$A,'Scoring_Config'!$C:$C,5),0),"False,0")</f>
        <v>0</v>
      </c>
      <c r="AZ252" s="4" cm="1">
        <f t="array" ref="AZ252">IF(LEFT(AU252,4)="True",0,(IF(LEFT(AC252,4)="True",IF(_xlfn.XLOOKUP("Src_IsAny",'Scoring_Config'!$A:$A,'Scoring_Config'!$D:$D,"Yes")="Yes",_xlfn.XLOOKUP("Src_IsAny",'Scoring_Config'!$A:$A,'Scoring_Config'!$C:$C,25),0),0)+IF(LEFT(AD252,4)="True",IF(_xlfn.XLOOKUP("Src_CIDR_Le_16",'Scoring_Config'!$A:$A,'Scoring_Config'!$D:$D,"Yes")="Yes",_xlfn.XLOOKUP("Src_CIDR_Le_16",'Scoring_Config'!$A:$A,'Scoring_Config'!$C:$C,25),0),0)+IF(LEFT(AE252,4)="True",IF(_xlfn.XLOOKUP("Src_CIDR_17_22",'Scoring_Config'!$A:$A,'Scoring_Config'!$D:$D,"Yes")="Yes",_xlfn.XLOOKUP("Src_CIDR_17_22",'Scoring_Config'!$A:$A,'Scoring_Config'!$C:$C,15),0),0)+IF(LEFT(AF252,4)="True",IF(_xlfn.XLOOKUP("Dst_IsAny",'Scoring_Config'!$A:$A,'Scoring_Config'!$D:$D,"Yes")="Yes",_xlfn.XLOOKUP("Dst_IsAny",'Scoring_Config'!$A:$A,'Scoring_Config'!$C:$C,25),0),0)+IF(LEFT(AG252,4)="True",IF(_xlfn.XLOOKUP("Dst_CIDR_Le_16",'Scoring_Config'!$A:$A,'Scoring_Config'!$D:$D,"Yes")="Yes",_xlfn.XLOOKUP("Dst_CIDR_Le_16",'Scoring_Config'!$A:$A,'Scoring_Config'!$C:$C,25),0),0)+IF(LEFT(AH252,4)="True",IF(_xlfn.XLOOKUP("Dst_CIDR_17_22",'Scoring_Config'!$A:$A,'Scoring_Config'!$D:$D,"Yes")="Yes",_xlfn.XLOOKUP("Dst_CIDR_17_22",'Scoring_Config'!$A:$A,'Scoring_Config'!$C:$C,15),0),0)+IF(LEFT(AI252,4)="True",IF(_xlfn.XLOOKUP("SrcZone_IsAny",'Scoring_Config'!$A:$A,'Scoring_Config'!$D:$D,"Yes")="Yes",_xlfn.XLOOKUP("SrcZone_IsAny",'Scoring_Config'!$A:$A,'Scoring_Config'!$C:$C,5),0),0)+IF(LEFT(AJ252,4)="True",IF(_xlfn.XLOOKUP("DstZone_IsAny",'Scoring_Config'!$A:$A,'Scoring_Config'!$D:$D,"Yes")="Yes",_xlfn.XLOOKUP("DstZone_IsAny",'Scoring_Config'!$A:$A,'Scoring_Config'!$C:$C,5),0),0)+IF(LEFT(AK252,4)="True",IF(_xlfn.XLOOKUP("Service_Any_OR_RangeGt1000",'Scoring_Config'!$A:$A,'Scoring_Config'!$D:$D,"Yes")="Yes",_xlfn.XLOOKUP("Service_Any_OR_RangeGt1000",'Scoring_Config'!$A:$A,'Scoring_Config'!$C:$C,25),0),0)+IF(LEFT(AL252,4)="True",IF(_xlfn.XLOOKUP("App_Any_OR_RangeGt1000",'Scoring_Config'!$A:$A,'Scoring_Config'!$D:$D,"Yes")="Yes",_xlfn.XLOOKUP("App_Any_OR_RangeGt1000",'Scoring_Config'!$A:$A,'Scoring_Config'!$C:$C,25),0),0)+IF(LEFT(AM252,4)="True",IF(_xlfn.XLOOKUP("Service_Insecure_Match",'Scoring_Config'!$A:$A,'Scoring_Config'!$D:$D,"Yes")="Yes",_xlfn.XLOOKUP("Service_Insecure_Match",'Scoring_Config'!$A:$A,'Scoring_Config'!$C:$C,20),0),0)+IF(LEFT(AN252,4)="True",IF(_xlfn.XLOOKUP("Risky_Inbound",'Scoring_Config'!$A:$A,'Scoring_Config'!$D:$D,"Yes")="Yes",_xlfn.XLOOKUP("Risky_Inbound",'Scoring_Config'!$A:$A,'Scoring_Config'!$C:$C,20),0),0)+IF(LEFT(AO252,4)="True",IF(_xlfn.XLOOKUP("Risky_Outbound",'Scoring_Config'!$A:$A,'Scoring_Config'!$D:$D,"Yes")="Yes",_xlfn.XLOOKUP("Risky_Outbound",'Scoring_Config'!$A:$A,'Scoring_Config'!$C:$C,10),0),0)+IF(LEFT(AW252,4)="True",IF(_xlfn.XLOOKUP("Migrate_Insecure",'Scoring_Config'!$A:$A,'Scoring_Config'!$D:$D,"Yes")="Yes",_xlfn.XLOOKUP("Migrate_Insecure",'Scoring_Config'!$A:$A,'Scoring_Config'!$C:$C,15),0),0)+IF(LEFT(AY252,4)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252,FIND(",",AP252)+1,100)),0)+IF(LEFT(AQ252,4)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252,FIND(",",AR252)+1,100)),0)+IF(_xlfn.XLOOKUP("Profile_Scoring",'Scoring_Config'!$A:$A,'Scoring_Config'!$D:$D,"Yes")="Yes",VALUE(MID(AS252,FIND(",",AS252)+1,100)),0)+IF(_xlfn.XLOOKUP("Options_Scoring",'Scoring_Config'!$A:$A,'Scoring_Config'!$D:$D,"Yes")="Yes",VALUE(MID(AT252,FIND(",",AT252)+1,100)),0)))</f>
        <v>0</v>
      </c>
    </row>
    <row r="253" spans="1:52">
      <c r="A253" s="3" t="s">
        <v>54</v>
      </c>
      <c r="B253" s="3" t="s">
        <v>229</v>
      </c>
      <c r="C253" s="3" t="s">
        <v>331</v>
      </c>
      <c r="D253" s="3"/>
      <c r="E253" s="3" t="s">
        <v>359</v>
      </c>
      <c r="F253" s="3" t="s">
        <v>361</v>
      </c>
      <c r="G253" s="3" t="s">
        <v>459</v>
      </c>
      <c r="H253" s="3" t="s">
        <v>459</v>
      </c>
      <c r="I253" s="3" t="s">
        <v>623</v>
      </c>
      <c r="J253" s="3" t="s">
        <v>364</v>
      </c>
      <c r="K253" s="3" t="s">
        <v>365</v>
      </c>
      <c r="L253" s="3" t="s">
        <v>365</v>
      </c>
      <c r="M253" s="3" t="s">
        <v>780</v>
      </c>
      <c r="N253" s="3" t="s">
        <v>780</v>
      </c>
      <c r="O253" s="4" t="s">
        <v>845</v>
      </c>
      <c r="P253" s="3" t="s">
        <v>898</v>
      </c>
      <c r="Q253" s="3" t="s">
        <v>905</v>
      </c>
      <c r="R253" s="3" t="s">
        <v>909</v>
      </c>
      <c r="S253" s="3" t="s">
        <v>914</v>
      </c>
      <c r="T253" s="3"/>
      <c r="U253" s="3" t="s">
        <v>1150</v>
      </c>
      <c r="V253" s="3" t="s">
        <v>772</v>
      </c>
      <c r="W253" s="3" t="s">
        <v>1480</v>
      </c>
      <c r="X253" s="3" t="s">
        <v>1857</v>
      </c>
      <c r="Y253" s="3" t="s">
        <v>2326</v>
      </c>
      <c r="Z253" s="3"/>
      <c r="AA253" s="3" t="s">
        <v>919</v>
      </c>
      <c r="AB253" s="3"/>
      <c r="AC253" s="4" cm="1">
        <f t="array" ref="AC253">IF(FALSE,"True," &amp; IF(_xlfn.XLOOKUP("Src_IsAny",'Scoring_Config'!$A:$A,'Scoring_Config'!$D:$D,"Yes")="Yes",_xlfn.XLOOKUP("Src_IsAny",'Scoring_Config'!$A:$A,'Scoring_Config'!$C:$C,25),0),"False,0")</f>
        <v>0</v>
      </c>
      <c r="AD253" s="4" cm="1">
        <f t="array" ref="AD253">IF(FALSE,"True," &amp; IF(_xlfn.XLOOKUP("Src_CIDR_Le_16",'Scoring_Config'!$A:$A,'Scoring_Config'!$D:$D,"Yes")="Yes",_xlfn.XLOOKUP("Src_CIDR_Le_16",'Scoring_Config'!$A:$A,'Scoring_Config'!$C:$C,25),0),"False,0")</f>
        <v>0</v>
      </c>
      <c r="AE253" s="4" cm="1">
        <f t="array" ref="AE253">IF(FALSE,"True," &amp; IF(_xlfn.XLOOKUP("Src_CIDR_17_22",'Scoring_Config'!$A:$A,'Scoring_Config'!$D:$D,"Yes")="Yes",_xlfn.XLOOKUP("Src_CIDR_17_22",'Scoring_Config'!$A:$A,'Scoring_Config'!$C:$C,15),0),"False,0")</f>
        <v>0</v>
      </c>
      <c r="AF253" s="5" cm="1">
        <f t="array" ref="AF253">IF(TRUE,"True," &amp; IF(_xlfn.XLOOKUP("Dst_IsAny",'Scoring_Config'!$A:$A,'Scoring_Config'!$D:$D,"Yes")="Yes",_xlfn.XLOOKUP("Dst_IsAny",'Scoring_Config'!$A:$A,'Scoring_Config'!$C:$C,25),0),"False,0")</f>
        <v>0</v>
      </c>
      <c r="AG253" s="4" cm="1">
        <f t="array" ref="AG253">IF(FALSE,"True," &amp; IF(_xlfn.XLOOKUP("Dst_CIDR_Le_16",'Scoring_Config'!$A:$A,'Scoring_Config'!$D:$D,"Yes")="Yes",_xlfn.XLOOKUP("Dst_CIDR_Le_16",'Scoring_Config'!$A:$A,'Scoring_Config'!$C:$C,25),0),"False,0")</f>
        <v>0</v>
      </c>
      <c r="AH253" s="4" cm="1">
        <f t="array" ref="AH253">IF(FALSE,"True," &amp; IF(_xlfn.XLOOKUP("Dst_CIDR_17_22",'Scoring_Config'!$A:$A,'Scoring_Config'!$D:$D,"Yes")="Yes",_xlfn.XLOOKUP("Dst_CIDR_17_22",'Scoring_Config'!$A:$A,'Scoring_Config'!$C:$C,15),0),"False,0")</f>
        <v>0</v>
      </c>
      <c r="AI253" s="4" cm="1">
        <f t="array" ref="AI253">IF(FALSE,"True," &amp; IF(_xlfn.XLOOKUP("SrcZone_IsAny",'Scoring_Config'!$A:$A,'Scoring_Config'!$D:$D,"Yes")="Yes",_xlfn.XLOOKUP("SrcZone_IsAny",'Scoring_Config'!$A:$A,'Scoring_Config'!$C:$C,5),0),"False,0")</f>
        <v>0</v>
      </c>
      <c r="AJ253" s="4" cm="1">
        <f t="array" ref="AJ253">IF(FALSE,"True," &amp; IF(_xlfn.XLOOKUP("DstZone_IsAny",'Scoring_Config'!$A:$A,'Scoring_Config'!$D:$D,"Yes")="Yes",_xlfn.XLOOKUP("DstZone_IsAny",'Scoring_Config'!$A:$A,'Scoring_Config'!$C:$C,5),0),"False,0")</f>
        <v>0</v>
      </c>
      <c r="AK253" s="4" cm="1">
        <f t="array" ref="AK25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3" s="4" cm="1">
        <f t="array" ref="AL253">IF(FALSE,"True," &amp; IF(_xlfn.XLOOKUP("App_Any_OR_RangeGt1000",'Scoring_Config'!$A:$A,'Scoring_Config'!$D:$D,"Yes")="Yes",_xlfn.XLOOKUP("App_Any_OR_RangeGt1000",'Scoring_Config'!$A:$A,'Scoring_Config'!$C:$C,25),0),"False,0")</f>
        <v>0</v>
      </c>
      <c r="AM253" s="4" cm="1">
        <f t="array" ref="AM253">IF(FALSE,"True," &amp; IF(_xlfn.XLOOKUP("Service_Insecure_Match",'Scoring_Config'!$A:$A,'Scoring_Config'!$D:$D,"Yes")="Yes",_xlfn.XLOOKUP("Service_Insecure_Match",'Scoring_Config'!$A:$A,'Scoring_Config'!$C:$C,20),0),"False,0")</f>
        <v>0</v>
      </c>
      <c r="AN253" s="4" cm="1">
        <f t="array" ref="AN253">IF(FALSE,"True," &amp; IF(_xlfn.XLOOKUP("Risky_Inbound",'Scoring_Config'!$A:$A,'Scoring_Config'!$D:$D,"Yes")="Yes",_xlfn.XLOOKUP("Risky_Inbound",'Scoring_Config'!$A:$A,'Scoring_Config'!$C:$C,20),0),"False,0")</f>
        <v>0</v>
      </c>
      <c r="AO253" s="4" cm="1">
        <f t="array" ref="AO253">IF(FALSE,"True," &amp; IF(_xlfn.XLOOKUP("Risky_Outbound",'Scoring_Config'!$A:$A,'Scoring_Config'!$D:$D,"Yes")="Yes",_xlfn.XLOOKUP("Risky_Outbound",'Scoring_Config'!$A:$A,'Scoring_Config'!$C:$C,10),0),"False,0")</f>
        <v>0</v>
      </c>
      <c r="AP253" s="5" t="s">
        <v>2595</v>
      </c>
      <c r="AQ253" s="5" cm="1">
        <f t="array" ref="AQ25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3" s="5" t="s">
        <v>2598</v>
      </c>
      <c r="AS253" s="4" t="s">
        <v>2592</v>
      </c>
      <c r="AT253" s="4" t="s">
        <v>2592</v>
      </c>
      <c r="AU253" s="4" cm="1">
        <f t="array" ref="AU253">IF(FALSE,"True," &amp; IF(_xlfn.XLOOKUP("Action_IsDenyOrDrop",'Scoring_Config'!$A:$A,'Scoring_Config'!$D:$D,"Yes")="Yes",_xlfn.XLOOKUP("Action_IsDenyOrDrop",'Scoring_Config'!$A:$A,'Scoring_Config'!$C:$C,0),0),"False,0")</f>
        <v>0</v>
      </c>
      <c r="AV253" s="4"/>
      <c r="AW253" s="4" cm="1">
        <f t="array" ref="AW253">IF(FALSE,"True," &amp; IF(_xlfn.XLOOKUP("Migrate_Insecure",'Scoring_Config'!$A:$A,'Scoring_Config'!$D:$D,"Yes")="Yes",_xlfn.XLOOKUP("Migrate_Insecure",'Scoring_Config'!$A:$A,'Scoring_Config'!$C:$C,15),0),"False,0")</f>
        <v>0</v>
      </c>
      <c r="AX253" s="4"/>
      <c r="AY253" s="4" cm="1">
        <f t="array" ref="AY253">IF(FALSE,"True," &amp; IF(_xlfn.XLOOKUP("Migrate_Other_Ports",'Scoring_Config'!$A:$A,'Scoring_Config'!$D:$D,"Yes")="Yes",_xlfn.XLOOKUP("Migrate_Other_Ports",'Scoring_Config'!$A:$A,'Scoring_Config'!$C:$C,5),0),"False,0")</f>
        <v>0</v>
      </c>
      <c r="AZ253" s="4" cm="1">
        <f t="array" ref="AZ253">IF(LEFT(AU253,4)="True",0,(IF(LEFT(AC253,4)="True",IF(_xlfn.XLOOKUP("Src_IsAny",'Scoring_Config'!$A:$A,'Scoring_Config'!$D:$D,"Yes")="Yes",_xlfn.XLOOKUP("Src_IsAny",'Scoring_Config'!$A:$A,'Scoring_Config'!$C:$C,25),0),0)+IF(LEFT(AD253,4)="True",IF(_xlfn.XLOOKUP("Src_CIDR_Le_16",'Scoring_Config'!$A:$A,'Scoring_Config'!$D:$D,"Yes")="Yes",_xlfn.XLOOKUP("Src_CIDR_Le_16",'Scoring_Config'!$A:$A,'Scoring_Config'!$C:$C,25),0),0)+IF(LEFT(AE253,4)="True",IF(_xlfn.XLOOKUP("Src_CIDR_17_22",'Scoring_Config'!$A:$A,'Scoring_Config'!$D:$D,"Yes")="Yes",_xlfn.XLOOKUP("Src_CIDR_17_22",'Scoring_Config'!$A:$A,'Scoring_Config'!$C:$C,15),0),0)+IF(LEFT(AF253,4)="True",IF(_xlfn.XLOOKUP("Dst_IsAny",'Scoring_Config'!$A:$A,'Scoring_Config'!$D:$D,"Yes")="Yes",_xlfn.XLOOKUP("Dst_IsAny",'Scoring_Config'!$A:$A,'Scoring_Config'!$C:$C,25),0),0)+IF(LEFT(AG253,4)="True",IF(_xlfn.XLOOKUP("Dst_CIDR_Le_16",'Scoring_Config'!$A:$A,'Scoring_Config'!$D:$D,"Yes")="Yes",_xlfn.XLOOKUP("Dst_CIDR_Le_16",'Scoring_Config'!$A:$A,'Scoring_Config'!$C:$C,25),0),0)+IF(LEFT(AH253,4)="True",IF(_xlfn.XLOOKUP("Dst_CIDR_17_22",'Scoring_Config'!$A:$A,'Scoring_Config'!$D:$D,"Yes")="Yes",_xlfn.XLOOKUP("Dst_CIDR_17_22",'Scoring_Config'!$A:$A,'Scoring_Config'!$C:$C,15),0),0)+IF(LEFT(AI253,4)="True",IF(_xlfn.XLOOKUP("SrcZone_IsAny",'Scoring_Config'!$A:$A,'Scoring_Config'!$D:$D,"Yes")="Yes",_xlfn.XLOOKUP("SrcZone_IsAny",'Scoring_Config'!$A:$A,'Scoring_Config'!$C:$C,5),0),0)+IF(LEFT(AJ253,4)="True",IF(_xlfn.XLOOKUP("DstZone_IsAny",'Scoring_Config'!$A:$A,'Scoring_Config'!$D:$D,"Yes")="Yes",_xlfn.XLOOKUP("DstZone_IsAny",'Scoring_Config'!$A:$A,'Scoring_Config'!$C:$C,5),0),0)+IF(LEFT(AK253,4)="True",IF(_xlfn.XLOOKUP("Service_Any_OR_RangeGt1000",'Scoring_Config'!$A:$A,'Scoring_Config'!$D:$D,"Yes")="Yes",_xlfn.XLOOKUP("Service_Any_OR_RangeGt1000",'Scoring_Config'!$A:$A,'Scoring_Config'!$C:$C,25),0),0)+IF(LEFT(AL253,4)="True",IF(_xlfn.XLOOKUP("App_Any_OR_RangeGt1000",'Scoring_Config'!$A:$A,'Scoring_Config'!$D:$D,"Yes")="Yes",_xlfn.XLOOKUP("App_Any_OR_RangeGt1000",'Scoring_Config'!$A:$A,'Scoring_Config'!$C:$C,25),0),0)+IF(LEFT(AM253,4)="True",IF(_xlfn.XLOOKUP("Service_Insecure_Match",'Scoring_Config'!$A:$A,'Scoring_Config'!$D:$D,"Yes")="Yes",_xlfn.XLOOKUP("Service_Insecure_Match",'Scoring_Config'!$A:$A,'Scoring_Config'!$C:$C,20),0),0)+IF(LEFT(AN253,4)="True",IF(_xlfn.XLOOKUP("Risky_Inbound",'Scoring_Config'!$A:$A,'Scoring_Config'!$D:$D,"Yes")="Yes",_xlfn.XLOOKUP("Risky_Inbound",'Scoring_Config'!$A:$A,'Scoring_Config'!$C:$C,20),0),0)+IF(LEFT(AO253,4)="True",IF(_xlfn.XLOOKUP("Risky_Outbound",'Scoring_Config'!$A:$A,'Scoring_Config'!$D:$D,"Yes")="Yes",_xlfn.XLOOKUP("Risky_Outbound",'Scoring_Config'!$A:$A,'Scoring_Config'!$C:$C,10),0),0)+IF(LEFT(AW253,4)="True",IF(_xlfn.XLOOKUP("Migrate_Insecure",'Scoring_Config'!$A:$A,'Scoring_Config'!$D:$D,"Yes")="Yes",_xlfn.XLOOKUP("Migrate_Insecure",'Scoring_Config'!$A:$A,'Scoring_Config'!$C:$C,15),0),0)+IF(LEFT(AY253,4)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253,FIND(",",AP253)+1,100)),0)+IF(LEFT(AQ253,4)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253,FIND(",",AR253)+1,100)),0)+IF(_xlfn.XLOOKUP("Profile_Scoring",'Scoring_Config'!$A:$A,'Scoring_Config'!$D:$D,"Yes")="Yes",VALUE(MID(AS253,FIND(",",AS253)+1,100)),0)+IF(_xlfn.XLOOKUP("Options_Scoring",'Scoring_Config'!$A:$A,'Scoring_Config'!$D:$D,"Yes")="Yes",VALUE(MID(AT253,FIND(",",AT253)+1,100)),0)))</f>
        <v>0</v>
      </c>
    </row>
    <row r="254" spans="1:52">
      <c r="A254" s="3" t="s">
        <v>54</v>
      </c>
      <c r="B254" s="3" t="s">
        <v>230</v>
      </c>
      <c r="C254" s="3" t="s">
        <v>331</v>
      </c>
      <c r="D254" s="3" t="s">
        <v>336</v>
      </c>
      <c r="E254" s="3" t="s">
        <v>359</v>
      </c>
      <c r="F254" s="3" t="s">
        <v>363</v>
      </c>
      <c r="G254" s="3" t="s">
        <v>365</v>
      </c>
      <c r="H254" s="3" t="s">
        <v>365</v>
      </c>
      <c r="I254" s="3" t="s">
        <v>624</v>
      </c>
      <c r="J254" s="3" t="s">
        <v>362</v>
      </c>
      <c r="K254" s="3" t="s">
        <v>365</v>
      </c>
      <c r="L254" s="3" t="s">
        <v>365</v>
      </c>
      <c r="M254" s="3" t="s">
        <v>365</v>
      </c>
      <c r="N254" s="3" t="s">
        <v>365</v>
      </c>
      <c r="O254" s="4" t="s">
        <v>830</v>
      </c>
      <c r="P254" s="3" t="s">
        <v>891</v>
      </c>
      <c r="Q254" s="3" t="s">
        <v>904</v>
      </c>
      <c r="R254" s="3" t="s">
        <v>908</v>
      </c>
      <c r="S254" s="3" t="s">
        <v>907</v>
      </c>
      <c r="T254" s="3"/>
      <c r="U254" s="3" t="s">
        <v>1274</v>
      </c>
      <c r="V254" s="3" t="s">
        <v>1387</v>
      </c>
      <c r="W254" s="3" t="s">
        <v>1400</v>
      </c>
      <c r="X254" s="3" t="s">
        <v>1858</v>
      </c>
      <c r="Y254" s="3" t="s">
        <v>2327</v>
      </c>
      <c r="Z254" s="3"/>
      <c r="AA254" s="3" t="s">
        <v>1110</v>
      </c>
      <c r="AB254" s="3"/>
      <c r="AC254" s="5" cm="1">
        <f t="array" ref="AC254">IF(TRUE,"True," &amp; IF(_xlfn.XLOOKUP("Src_IsAny",'Scoring_Config'!$A:$A,'Scoring_Config'!$D:$D,"Yes")="Yes",_xlfn.XLOOKUP("Src_IsAny",'Scoring_Config'!$A:$A,'Scoring_Config'!$C:$C,25),0),"False,0")</f>
        <v>0</v>
      </c>
      <c r="AD254" s="4" cm="1">
        <f t="array" ref="AD254">IF(FALSE,"True," &amp; IF(_xlfn.XLOOKUP("Src_CIDR_Le_16",'Scoring_Config'!$A:$A,'Scoring_Config'!$D:$D,"Yes")="Yes",_xlfn.XLOOKUP("Src_CIDR_Le_16",'Scoring_Config'!$A:$A,'Scoring_Config'!$C:$C,25),0),"False,0")</f>
        <v>0</v>
      </c>
      <c r="AE254" s="4" cm="1">
        <f t="array" ref="AE254">IF(FALSE,"True," &amp; IF(_xlfn.XLOOKUP("Src_CIDR_17_22",'Scoring_Config'!$A:$A,'Scoring_Config'!$D:$D,"Yes")="Yes",_xlfn.XLOOKUP("Src_CIDR_17_22",'Scoring_Config'!$A:$A,'Scoring_Config'!$C:$C,15),0),"False,0")</f>
        <v>0</v>
      </c>
      <c r="AF254" s="5" cm="1">
        <f t="array" ref="AF254">IF(TRUE,"True," &amp; IF(_xlfn.XLOOKUP("Dst_IsAny",'Scoring_Config'!$A:$A,'Scoring_Config'!$D:$D,"Yes")="Yes",_xlfn.XLOOKUP("Dst_IsAny",'Scoring_Config'!$A:$A,'Scoring_Config'!$C:$C,25),0),"False,0")</f>
        <v>0</v>
      </c>
      <c r="AG254" s="4" cm="1">
        <f t="array" ref="AG254">IF(FALSE,"True," &amp; IF(_xlfn.XLOOKUP("Dst_CIDR_Le_16",'Scoring_Config'!$A:$A,'Scoring_Config'!$D:$D,"Yes")="Yes",_xlfn.XLOOKUP("Dst_CIDR_Le_16",'Scoring_Config'!$A:$A,'Scoring_Config'!$C:$C,25),0),"False,0")</f>
        <v>0</v>
      </c>
      <c r="AH254" s="4" cm="1">
        <f t="array" ref="AH254">IF(FALSE,"True," &amp; IF(_xlfn.XLOOKUP("Dst_CIDR_17_22",'Scoring_Config'!$A:$A,'Scoring_Config'!$D:$D,"Yes")="Yes",_xlfn.XLOOKUP("Dst_CIDR_17_22",'Scoring_Config'!$A:$A,'Scoring_Config'!$C:$C,15),0),"False,0")</f>
        <v>0</v>
      </c>
      <c r="AI254" s="4" cm="1">
        <f t="array" ref="AI254">IF(FALSE,"True," &amp; IF(_xlfn.XLOOKUP("SrcZone_IsAny",'Scoring_Config'!$A:$A,'Scoring_Config'!$D:$D,"Yes")="Yes",_xlfn.XLOOKUP("SrcZone_IsAny",'Scoring_Config'!$A:$A,'Scoring_Config'!$C:$C,5),0),"False,0")</f>
        <v>0</v>
      </c>
      <c r="AJ254" s="4" cm="1">
        <f t="array" ref="AJ254">IF(FALSE,"True," &amp; IF(_xlfn.XLOOKUP("DstZone_IsAny",'Scoring_Config'!$A:$A,'Scoring_Config'!$D:$D,"Yes")="Yes",_xlfn.XLOOKUP("DstZone_IsAny",'Scoring_Config'!$A:$A,'Scoring_Config'!$C:$C,5),0),"False,0")</f>
        <v>0</v>
      </c>
      <c r="AK254" s="4" cm="1">
        <f t="array" ref="AK25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4" s="5" cm="1">
        <f t="array" ref="AL254">IF(TRUE,"True," &amp; IF(_xlfn.XLOOKUP("App_Any_OR_RangeGt1000",'Scoring_Config'!$A:$A,'Scoring_Config'!$D:$D,"Yes")="Yes",_xlfn.XLOOKUP("App_Any_OR_RangeGt1000",'Scoring_Config'!$A:$A,'Scoring_Config'!$C:$C,25),0),"False,0")</f>
        <v>0</v>
      </c>
      <c r="AM254" s="5" cm="1">
        <f t="array" ref="AM254">IF(TRUE,"True," &amp; IF(_xlfn.XLOOKUP("Service_Insecure_Match",'Scoring_Config'!$A:$A,'Scoring_Config'!$D:$D,"Yes")="Yes",_xlfn.XLOOKUP("Service_Insecure_Match",'Scoring_Config'!$A:$A,'Scoring_Config'!$C:$C,20),0),"False,0")</f>
        <v>0</v>
      </c>
      <c r="AN254" s="4" cm="1">
        <f t="array" ref="AN254">IF(FALSE,"True," &amp; IF(_xlfn.XLOOKUP("Risky_Inbound",'Scoring_Config'!$A:$A,'Scoring_Config'!$D:$D,"Yes")="Yes",_xlfn.XLOOKUP("Risky_Inbound",'Scoring_Config'!$A:$A,'Scoring_Config'!$C:$C,20),0),"False,0")</f>
        <v>0</v>
      </c>
      <c r="AO254" s="4" cm="1">
        <f t="array" ref="AO254">IF(FALSE,"True," &amp; IF(_xlfn.XLOOKUP("Risky_Outbound",'Scoring_Config'!$A:$A,'Scoring_Config'!$D:$D,"Yes")="Yes",_xlfn.XLOOKUP("Risky_Outbound",'Scoring_Config'!$A:$A,'Scoring_Config'!$C:$C,10),0),"False,0")</f>
        <v>0</v>
      </c>
      <c r="AP254" s="5" t="s">
        <v>2595</v>
      </c>
      <c r="AQ254" s="4" cm="1">
        <f t="array" ref="AQ25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4" s="5" t="s">
        <v>2598</v>
      </c>
      <c r="AS254" s="4" t="s">
        <v>2592</v>
      </c>
      <c r="AT254" s="5" t="s">
        <v>2595</v>
      </c>
      <c r="AU254" s="5" cm="1">
        <f t="array" ref="AU254">IF(TRUE,"True," &amp; IF(_xlfn.XLOOKUP("Action_IsDenyOrDrop",'Scoring_Config'!$A:$A,'Scoring_Config'!$D:$D,"Yes")="Yes",_xlfn.XLOOKUP("Action_IsDenyOrDrop",'Scoring_Config'!$A:$A,'Scoring_Config'!$C:$C,0),0),"False,0")</f>
        <v>0</v>
      </c>
      <c r="AV254" s="4"/>
      <c r="AW254" s="4" cm="1">
        <f t="array" ref="AW254">IF(FALSE,"True," &amp; IF(_xlfn.XLOOKUP("Migrate_Insecure",'Scoring_Config'!$A:$A,'Scoring_Config'!$D:$D,"Yes")="Yes",_xlfn.XLOOKUP("Migrate_Insecure",'Scoring_Config'!$A:$A,'Scoring_Config'!$C:$C,15),0),"False,0")</f>
        <v>0</v>
      </c>
      <c r="AX254" s="4"/>
      <c r="AY254" s="4" cm="1">
        <f t="array" ref="AY254">IF(FALSE,"True," &amp; IF(_xlfn.XLOOKUP("Migrate_Other_Ports",'Scoring_Config'!$A:$A,'Scoring_Config'!$D:$D,"Yes")="Yes",_xlfn.XLOOKUP("Migrate_Other_Ports",'Scoring_Config'!$A:$A,'Scoring_Config'!$C:$C,5),0),"False,0")</f>
        <v>0</v>
      </c>
      <c r="AZ254" s="4" cm="1">
        <f t="array" ref="AZ254">IF(LEFT(AU254,4)="True",0,(IF(LEFT(AC254,4)="True",IF(_xlfn.XLOOKUP("Src_IsAny",'Scoring_Config'!$A:$A,'Scoring_Config'!$D:$D,"Yes")="Yes",_xlfn.XLOOKUP("Src_IsAny",'Scoring_Config'!$A:$A,'Scoring_Config'!$C:$C,25),0),0)+IF(LEFT(AD254,4)="True",IF(_xlfn.XLOOKUP("Src_CIDR_Le_16",'Scoring_Config'!$A:$A,'Scoring_Config'!$D:$D,"Yes")="Yes",_xlfn.XLOOKUP("Src_CIDR_Le_16",'Scoring_Config'!$A:$A,'Scoring_Config'!$C:$C,25),0),0)+IF(LEFT(AE254,4)="True",IF(_xlfn.XLOOKUP("Src_CIDR_17_22",'Scoring_Config'!$A:$A,'Scoring_Config'!$D:$D,"Yes")="Yes",_xlfn.XLOOKUP("Src_CIDR_17_22",'Scoring_Config'!$A:$A,'Scoring_Config'!$C:$C,15),0),0)+IF(LEFT(AF254,4)="True",IF(_xlfn.XLOOKUP("Dst_IsAny",'Scoring_Config'!$A:$A,'Scoring_Config'!$D:$D,"Yes")="Yes",_xlfn.XLOOKUP("Dst_IsAny",'Scoring_Config'!$A:$A,'Scoring_Config'!$C:$C,25),0),0)+IF(LEFT(AG254,4)="True",IF(_xlfn.XLOOKUP("Dst_CIDR_Le_16",'Scoring_Config'!$A:$A,'Scoring_Config'!$D:$D,"Yes")="Yes",_xlfn.XLOOKUP("Dst_CIDR_Le_16",'Scoring_Config'!$A:$A,'Scoring_Config'!$C:$C,25),0),0)+IF(LEFT(AH254,4)="True",IF(_xlfn.XLOOKUP("Dst_CIDR_17_22",'Scoring_Config'!$A:$A,'Scoring_Config'!$D:$D,"Yes")="Yes",_xlfn.XLOOKUP("Dst_CIDR_17_22",'Scoring_Config'!$A:$A,'Scoring_Config'!$C:$C,15),0),0)+IF(LEFT(AI254,4)="True",IF(_xlfn.XLOOKUP("SrcZone_IsAny",'Scoring_Config'!$A:$A,'Scoring_Config'!$D:$D,"Yes")="Yes",_xlfn.XLOOKUP("SrcZone_IsAny",'Scoring_Config'!$A:$A,'Scoring_Config'!$C:$C,5),0),0)+IF(LEFT(AJ254,4)="True",IF(_xlfn.XLOOKUP("DstZone_IsAny",'Scoring_Config'!$A:$A,'Scoring_Config'!$D:$D,"Yes")="Yes",_xlfn.XLOOKUP("DstZone_IsAny",'Scoring_Config'!$A:$A,'Scoring_Config'!$C:$C,5),0),0)+IF(LEFT(AK254,4)="True",IF(_xlfn.XLOOKUP("Service_Any_OR_RangeGt1000",'Scoring_Config'!$A:$A,'Scoring_Config'!$D:$D,"Yes")="Yes",_xlfn.XLOOKUP("Service_Any_OR_RangeGt1000",'Scoring_Config'!$A:$A,'Scoring_Config'!$C:$C,25),0),0)+IF(LEFT(AL254,4)="True",IF(_xlfn.XLOOKUP("App_Any_OR_RangeGt1000",'Scoring_Config'!$A:$A,'Scoring_Config'!$D:$D,"Yes")="Yes",_xlfn.XLOOKUP("App_Any_OR_RangeGt1000",'Scoring_Config'!$A:$A,'Scoring_Config'!$C:$C,25),0),0)+IF(LEFT(AM254,4)="True",IF(_xlfn.XLOOKUP("Service_Insecure_Match",'Scoring_Config'!$A:$A,'Scoring_Config'!$D:$D,"Yes")="Yes",_xlfn.XLOOKUP("Service_Insecure_Match",'Scoring_Config'!$A:$A,'Scoring_Config'!$C:$C,20),0),0)+IF(LEFT(AN254,4)="True",IF(_xlfn.XLOOKUP("Risky_Inbound",'Scoring_Config'!$A:$A,'Scoring_Config'!$D:$D,"Yes")="Yes",_xlfn.XLOOKUP("Risky_Inbound",'Scoring_Config'!$A:$A,'Scoring_Config'!$C:$C,20),0),0)+IF(LEFT(AO254,4)="True",IF(_xlfn.XLOOKUP("Risky_Outbound",'Scoring_Config'!$A:$A,'Scoring_Config'!$D:$D,"Yes")="Yes",_xlfn.XLOOKUP("Risky_Outbound",'Scoring_Config'!$A:$A,'Scoring_Config'!$C:$C,10),0),0)+IF(LEFT(AW254,4)="True",IF(_xlfn.XLOOKUP("Migrate_Insecure",'Scoring_Config'!$A:$A,'Scoring_Config'!$D:$D,"Yes")="Yes",_xlfn.XLOOKUP("Migrate_Insecure",'Scoring_Config'!$A:$A,'Scoring_Config'!$C:$C,15),0),0)+IF(LEFT(AY254,4)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254,FIND(",",AP254)+1,100)),0)+IF(LEFT(AQ254,4)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254,FIND(",",AR254)+1,100)),0)+IF(_xlfn.XLOOKUP("Profile_Scoring",'Scoring_Config'!$A:$A,'Scoring_Config'!$D:$D,"Yes")="Yes",VALUE(MID(AS254,FIND(",",AS254)+1,100)),0)+IF(_xlfn.XLOOKUP("Options_Scoring",'Scoring_Config'!$A:$A,'Scoring_Config'!$D:$D,"Yes")="Yes",VALUE(MID(AT254,FIND(",",AT254)+1,100)),0)))</f>
        <v>0</v>
      </c>
    </row>
    <row r="255" spans="1:52">
      <c r="A255" s="3" t="s">
        <v>54</v>
      </c>
      <c r="B255" s="3" t="s">
        <v>68</v>
      </c>
      <c r="C255" s="3" t="s">
        <v>331</v>
      </c>
      <c r="D255" s="3"/>
      <c r="E255" s="3" t="s">
        <v>359</v>
      </c>
      <c r="F255" s="3" t="s">
        <v>361</v>
      </c>
      <c r="G255" s="3" t="s">
        <v>365</v>
      </c>
      <c r="H255" s="3" t="s">
        <v>365</v>
      </c>
      <c r="I255" s="3" t="s">
        <v>624</v>
      </c>
      <c r="J255" s="3" t="s">
        <v>362</v>
      </c>
      <c r="K255" s="3" t="s">
        <v>696</v>
      </c>
      <c r="L255" s="3" t="s">
        <v>758</v>
      </c>
      <c r="M255" s="3" t="s">
        <v>781</v>
      </c>
      <c r="N255" s="3" t="s">
        <v>798</v>
      </c>
      <c r="O255" s="4" t="s">
        <v>816</v>
      </c>
      <c r="P255" s="3" t="s">
        <v>877</v>
      </c>
      <c r="Q255" s="3" t="s">
        <v>905</v>
      </c>
      <c r="R255" s="3" t="s">
        <v>907</v>
      </c>
      <c r="S255" s="3" t="s">
        <v>914</v>
      </c>
      <c r="T255" s="3"/>
      <c r="U255" s="3" t="s">
        <v>1275</v>
      </c>
      <c r="V255" s="3" t="s">
        <v>789</v>
      </c>
      <c r="W255" s="3" t="s">
        <v>1532</v>
      </c>
      <c r="X255" s="3" t="s">
        <v>1859</v>
      </c>
      <c r="Y255" s="3" t="s">
        <v>2328</v>
      </c>
      <c r="Z255" s="3"/>
      <c r="AA255" s="3" t="s">
        <v>1580</v>
      </c>
      <c r="AB255" s="3"/>
      <c r="AC255" s="5" cm="1">
        <f t="array" ref="AC255">IF(TRUE,"True," &amp; IF(_xlfn.XLOOKUP("Src_IsAny",'Scoring_Config'!$A:$A,'Scoring_Config'!$D:$D,"Yes")="Yes",_xlfn.XLOOKUP("Src_IsAny",'Scoring_Config'!$A:$A,'Scoring_Config'!$C:$C,25),0),"False,0")</f>
        <v>0</v>
      </c>
      <c r="AD255" s="4" cm="1">
        <f t="array" ref="AD255">IF(FALSE,"True," &amp; IF(_xlfn.XLOOKUP("Src_CIDR_Le_16",'Scoring_Config'!$A:$A,'Scoring_Config'!$D:$D,"Yes")="Yes",_xlfn.XLOOKUP("Src_CIDR_Le_16",'Scoring_Config'!$A:$A,'Scoring_Config'!$C:$C,25),0),"False,0")</f>
        <v>0</v>
      </c>
      <c r="AE255" s="4" cm="1">
        <f t="array" ref="AE255">IF(FALSE,"True," &amp; IF(_xlfn.XLOOKUP("Src_CIDR_17_22",'Scoring_Config'!$A:$A,'Scoring_Config'!$D:$D,"Yes")="Yes",_xlfn.XLOOKUP("Src_CIDR_17_22",'Scoring_Config'!$A:$A,'Scoring_Config'!$C:$C,15),0),"False,0")</f>
        <v>0</v>
      </c>
      <c r="AF255" s="4" cm="1">
        <f t="array" ref="AF255">IF(FALSE,"True," &amp; IF(_xlfn.XLOOKUP("Dst_IsAny",'Scoring_Config'!$A:$A,'Scoring_Config'!$D:$D,"Yes")="Yes",_xlfn.XLOOKUP("Dst_IsAny",'Scoring_Config'!$A:$A,'Scoring_Config'!$C:$C,25),0),"False,0")</f>
        <v>0</v>
      </c>
      <c r="AG255" s="4" cm="1">
        <f t="array" ref="AG255">IF(FALSE,"True," &amp; IF(_xlfn.XLOOKUP("Dst_CIDR_Le_16",'Scoring_Config'!$A:$A,'Scoring_Config'!$D:$D,"Yes")="Yes",_xlfn.XLOOKUP("Dst_CIDR_Le_16",'Scoring_Config'!$A:$A,'Scoring_Config'!$C:$C,25),0),"False,0")</f>
        <v>0</v>
      </c>
      <c r="AH255" s="4" cm="1">
        <f t="array" ref="AH255">IF(FALSE,"True," &amp; IF(_xlfn.XLOOKUP("Dst_CIDR_17_22",'Scoring_Config'!$A:$A,'Scoring_Config'!$D:$D,"Yes")="Yes",_xlfn.XLOOKUP("Dst_CIDR_17_22",'Scoring_Config'!$A:$A,'Scoring_Config'!$C:$C,15),0),"False,0")</f>
        <v>0</v>
      </c>
      <c r="AI255" s="4" cm="1">
        <f t="array" ref="AI255">IF(FALSE,"True," &amp; IF(_xlfn.XLOOKUP("SrcZone_IsAny",'Scoring_Config'!$A:$A,'Scoring_Config'!$D:$D,"Yes")="Yes",_xlfn.XLOOKUP("SrcZone_IsAny",'Scoring_Config'!$A:$A,'Scoring_Config'!$C:$C,5),0),"False,0")</f>
        <v>0</v>
      </c>
      <c r="AJ255" s="4" cm="1">
        <f t="array" ref="AJ255">IF(FALSE,"True," &amp; IF(_xlfn.XLOOKUP("DstZone_IsAny",'Scoring_Config'!$A:$A,'Scoring_Config'!$D:$D,"Yes")="Yes",_xlfn.XLOOKUP("DstZone_IsAny",'Scoring_Config'!$A:$A,'Scoring_Config'!$C:$C,5),0),"False,0")</f>
        <v>0</v>
      </c>
      <c r="AK255" s="4" cm="1">
        <f t="array" ref="AK25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5" s="4" cm="1">
        <f t="array" ref="AL255">IF(FALSE,"True," &amp; IF(_xlfn.XLOOKUP("App_Any_OR_RangeGt1000",'Scoring_Config'!$A:$A,'Scoring_Config'!$D:$D,"Yes")="Yes",_xlfn.XLOOKUP("App_Any_OR_RangeGt1000",'Scoring_Config'!$A:$A,'Scoring_Config'!$C:$C,25),0),"False,0")</f>
        <v>0</v>
      </c>
      <c r="AM255" s="5" cm="1">
        <f t="array" ref="AM255">IF(TRUE,"True," &amp; IF(_xlfn.XLOOKUP("Service_Insecure_Match",'Scoring_Config'!$A:$A,'Scoring_Config'!$D:$D,"Yes")="Yes",_xlfn.XLOOKUP("Service_Insecure_Match",'Scoring_Config'!$A:$A,'Scoring_Config'!$C:$C,20),0),"False,0")</f>
        <v>0</v>
      </c>
      <c r="AN255" s="4" cm="1">
        <f t="array" ref="AN255">IF(FALSE,"True," &amp; IF(_xlfn.XLOOKUP("Risky_Inbound",'Scoring_Config'!$A:$A,'Scoring_Config'!$D:$D,"Yes")="Yes",_xlfn.XLOOKUP("Risky_Inbound",'Scoring_Config'!$A:$A,'Scoring_Config'!$C:$C,20),0),"False,0")</f>
        <v>0</v>
      </c>
      <c r="AO255" s="4" cm="1">
        <f t="array" ref="AO255">IF(FALSE,"True," &amp; IF(_xlfn.XLOOKUP("Risky_Outbound",'Scoring_Config'!$A:$A,'Scoring_Config'!$D:$D,"Yes")="Yes",_xlfn.XLOOKUP("Risky_Outbound",'Scoring_Config'!$A:$A,'Scoring_Config'!$C:$C,10),0),"False,0")</f>
        <v>0</v>
      </c>
      <c r="AP255" s="5" t="s">
        <v>2595</v>
      </c>
      <c r="AQ255" s="4" cm="1">
        <f t="array" ref="AQ25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5" s="5" t="s">
        <v>2598</v>
      </c>
      <c r="AS255" s="5" t="s">
        <v>2595</v>
      </c>
      <c r="AT255" s="4" t="s">
        <v>2592</v>
      </c>
      <c r="AU255" s="4" cm="1">
        <f t="array" ref="AU255">IF(FALSE,"True," &amp; IF(_xlfn.XLOOKUP("Action_IsDenyOrDrop",'Scoring_Config'!$A:$A,'Scoring_Config'!$D:$D,"Yes")="Yes",_xlfn.XLOOKUP("Action_IsDenyOrDrop",'Scoring_Config'!$A:$A,'Scoring_Config'!$C:$C,0),0),"False,0")</f>
        <v>0</v>
      </c>
      <c r="AV255" s="4"/>
      <c r="AW255" s="4" cm="1">
        <f t="array" ref="AW255">IF(FALSE,"True," &amp; IF(_xlfn.XLOOKUP("Migrate_Insecure",'Scoring_Config'!$A:$A,'Scoring_Config'!$D:$D,"Yes")="Yes",_xlfn.XLOOKUP("Migrate_Insecure",'Scoring_Config'!$A:$A,'Scoring_Config'!$C:$C,15),0),"False,0")</f>
        <v>0</v>
      </c>
      <c r="AX255" s="4"/>
      <c r="AY255" s="4" cm="1">
        <f t="array" ref="AY255">IF(FALSE,"True," &amp; IF(_xlfn.XLOOKUP("Migrate_Other_Ports",'Scoring_Config'!$A:$A,'Scoring_Config'!$D:$D,"Yes")="Yes",_xlfn.XLOOKUP("Migrate_Other_Ports",'Scoring_Config'!$A:$A,'Scoring_Config'!$C:$C,5),0),"False,0")</f>
        <v>0</v>
      </c>
      <c r="AZ255" s="4" cm="1">
        <f t="array" ref="AZ255">IF(LEFT(AU255,4)="True",0,(IF(LEFT(AC255,4)="True",IF(_xlfn.XLOOKUP("Src_IsAny",'Scoring_Config'!$A:$A,'Scoring_Config'!$D:$D,"Yes")="Yes",_xlfn.XLOOKUP("Src_IsAny",'Scoring_Config'!$A:$A,'Scoring_Config'!$C:$C,25),0),0)+IF(LEFT(AD255,4)="True",IF(_xlfn.XLOOKUP("Src_CIDR_Le_16",'Scoring_Config'!$A:$A,'Scoring_Config'!$D:$D,"Yes")="Yes",_xlfn.XLOOKUP("Src_CIDR_Le_16",'Scoring_Config'!$A:$A,'Scoring_Config'!$C:$C,25),0),0)+IF(LEFT(AE255,4)="True",IF(_xlfn.XLOOKUP("Src_CIDR_17_22",'Scoring_Config'!$A:$A,'Scoring_Config'!$D:$D,"Yes")="Yes",_xlfn.XLOOKUP("Src_CIDR_17_22",'Scoring_Config'!$A:$A,'Scoring_Config'!$C:$C,15),0),0)+IF(LEFT(AF255,4)="True",IF(_xlfn.XLOOKUP("Dst_IsAny",'Scoring_Config'!$A:$A,'Scoring_Config'!$D:$D,"Yes")="Yes",_xlfn.XLOOKUP("Dst_IsAny",'Scoring_Config'!$A:$A,'Scoring_Config'!$C:$C,25),0),0)+IF(LEFT(AG255,4)="True",IF(_xlfn.XLOOKUP("Dst_CIDR_Le_16",'Scoring_Config'!$A:$A,'Scoring_Config'!$D:$D,"Yes")="Yes",_xlfn.XLOOKUP("Dst_CIDR_Le_16",'Scoring_Config'!$A:$A,'Scoring_Config'!$C:$C,25),0),0)+IF(LEFT(AH255,4)="True",IF(_xlfn.XLOOKUP("Dst_CIDR_17_22",'Scoring_Config'!$A:$A,'Scoring_Config'!$D:$D,"Yes")="Yes",_xlfn.XLOOKUP("Dst_CIDR_17_22",'Scoring_Config'!$A:$A,'Scoring_Config'!$C:$C,15),0),0)+IF(LEFT(AI255,4)="True",IF(_xlfn.XLOOKUP("SrcZone_IsAny",'Scoring_Config'!$A:$A,'Scoring_Config'!$D:$D,"Yes")="Yes",_xlfn.XLOOKUP("SrcZone_IsAny",'Scoring_Config'!$A:$A,'Scoring_Config'!$C:$C,5),0),0)+IF(LEFT(AJ255,4)="True",IF(_xlfn.XLOOKUP("DstZone_IsAny",'Scoring_Config'!$A:$A,'Scoring_Config'!$D:$D,"Yes")="Yes",_xlfn.XLOOKUP("DstZone_IsAny",'Scoring_Config'!$A:$A,'Scoring_Config'!$C:$C,5),0),0)+IF(LEFT(AK255,4)="True",IF(_xlfn.XLOOKUP("Service_Any_OR_RangeGt1000",'Scoring_Config'!$A:$A,'Scoring_Config'!$D:$D,"Yes")="Yes",_xlfn.XLOOKUP("Service_Any_OR_RangeGt1000",'Scoring_Config'!$A:$A,'Scoring_Config'!$C:$C,25),0),0)+IF(LEFT(AL255,4)="True",IF(_xlfn.XLOOKUP("App_Any_OR_RangeGt1000",'Scoring_Config'!$A:$A,'Scoring_Config'!$D:$D,"Yes")="Yes",_xlfn.XLOOKUP("App_Any_OR_RangeGt1000",'Scoring_Config'!$A:$A,'Scoring_Config'!$C:$C,25),0),0)+IF(LEFT(AM255,4)="True",IF(_xlfn.XLOOKUP("Service_Insecure_Match",'Scoring_Config'!$A:$A,'Scoring_Config'!$D:$D,"Yes")="Yes",_xlfn.XLOOKUP("Service_Insecure_Match",'Scoring_Config'!$A:$A,'Scoring_Config'!$C:$C,20),0),0)+IF(LEFT(AN255,4)="True",IF(_xlfn.XLOOKUP("Risky_Inbound",'Scoring_Config'!$A:$A,'Scoring_Config'!$D:$D,"Yes")="Yes",_xlfn.XLOOKUP("Risky_Inbound",'Scoring_Config'!$A:$A,'Scoring_Config'!$C:$C,20),0),0)+IF(LEFT(AO255,4)="True",IF(_xlfn.XLOOKUP("Risky_Outbound",'Scoring_Config'!$A:$A,'Scoring_Config'!$D:$D,"Yes")="Yes",_xlfn.XLOOKUP("Risky_Outbound",'Scoring_Config'!$A:$A,'Scoring_Config'!$C:$C,10),0),0)+IF(LEFT(AW255,4)="True",IF(_xlfn.XLOOKUP("Migrate_Insecure",'Scoring_Config'!$A:$A,'Scoring_Config'!$D:$D,"Yes")="Yes",_xlfn.XLOOKUP("Migrate_Insecure",'Scoring_Config'!$A:$A,'Scoring_Config'!$C:$C,15),0),0)+IF(LEFT(AY255,4)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255,FIND(",",AP255)+1,100)),0)+IF(LEFT(AQ255,4)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255,FIND(",",AR255)+1,100)),0)+IF(_xlfn.XLOOKUP("Profile_Scoring",'Scoring_Config'!$A:$A,'Scoring_Config'!$D:$D,"Yes")="Yes",VALUE(MID(AS255,FIND(",",AS255)+1,100)),0)+IF(_xlfn.XLOOKUP("Options_Scoring",'Scoring_Config'!$A:$A,'Scoring_Config'!$D:$D,"Yes")="Yes",VALUE(MID(AT255,FIND(",",AT255)+1,100)),0)))</f>
        <v>0</v>
      </c>
    </row>
    <row r="256" spans="1:52">
      <c r="A256" s="3" t="s">
        <v>54</v>
      </c>
      <c r="B256" s="3" t="s">
        <v>231</v>
      </c>
      <c r="C256" s="3" t="s">
        <v>331</v>
      </c>
      <c r="D256" s="3" t="s">
        <v>339</v>
      </c>
      <c r="E256" s="3" t="s">
        <v>359</v>
      </c>
      <c r="F256" s="3" t="s">
        <v>364</v>
      </c>
      <c r="G256" s="3" t="s">
        <v>365</v>
      </c>
      <c r="H256" s="3" t="s">
        <v>365</v>
      </c>
      <c r="I256" s="3" t="s">
        <v>622</v>
      </c>
      <c r="J256" s="3" t="s">
        <v>363</v>
      </c>
      <c r="K256" s="3" t="s">
        <v>490</v>
      </c>
      <c r="L256" s="3" t="s">
        <v>598</v>
      </c>
      <c r="M256" s="3" t="s">
        <v>365</v>
      </c>
      <c r="N256" s="3" t="s">
        <v>365</v>
      </c>
      <c r="O256" s="4" t="s">
        <v>845</v>
      </c>
      <c r="P256" s="3" t="s">
        <v>898</v>
      </c>
      <c r="Q256" s="3" t="s">
        <v>905</v>
      </c>
      <c r="R256" s="3" t="s">
        <v>910</v>
      </c>
      <c r="S256" s="3" t="s">
        <v>916</v>
      </c>
      <c r="T256" s="3"/>
      <c r="U256" s="3" t="s">
        <v>1276</v>
      </c>
      <c r="V256" s="3" t="s">
        <v>770</v>
      </c>
      <c r="W256" s="3" t="s">
        <v>1485</v>
      </c>
      <c r="X256" s="3" t="s">
        <v>1860</v>
      </c>
      <c r="Y256" s="3" t="s">
        <v>2329</v>
      </c>
      <c r="Z256" s="3"/>
      <c r="AA256" s="3" t="s">
        <v>2548</v>
      </c>
      <c r="AB256" s="3"/>
      <c r="AC256" s="5" cm="1">
        <f t="array" ref="AC256">IF(TRUE,"True," &amp; IF(_xlfn.XLOOKUP("Src_IsAny",'Scoring_Config'!$A:$A,'Scoring_Config'!$D:$D,"Yes")="Yes",_xlfn.XLOOKUP("Src_IsAny",'Scoring_Config'!$A:$A,'Scoring_Config'!$C:$C,25),0),"False,0")</f>
        <v>0</v>
      </c>
      <c r="AD256" s="4" cm="1">
        <f t="array" ref="AD256">IF(FALSE,"True," &amp; IF(_xlfn.XLOOKUP("Src_CIDR_Le_16",'Scoring_Config'!$A:$A,'Scoring_Config'!$D:$D,"Yes")="Yes",_xlfn.XLOOKUP("Src_CIDR_Le_16",'Scoring_Config'!$A:$A,'Scoring_Config'!$C:$C,25),0),"False,0")</f>
        <v>0</v>
      </c>
      <c r="AE256" s="4" cm="1">
        <f t="array" ref="AE256">IF(FALSE,"True," &amp; IF(_xlfn.XLOOKUP("Src_CIDR_17_22",'Scoring_Config'!$A:$A,'Scoring_Config'!$D:$D,"Yes")="Yes",_xlfn.XLOOKUP("Src_CIDR_17_22",'Scoring_Config'!$A:$A,'Scoring_Config'!$C:$C,15),0),"False,0")</f>
        <v>0</v>
      </c>
      <c r="AF256" s="4" cm="1">
        <f t="array" ref="AF256">IF(FALSE,"True," &amp; IF(_xlfn.XLOOKUP("Dst_IsAny",'Scoring_Config'!$A:$A,'Scoring_Config'!$D:$D,"Yes")="Yes",_xlfn.XLOOKUP("Dst_IsAny",'Scoring_Config'!$A:$A,'Scoring_Config'!$C:$C,25),0),"False,0")</f>
        <v>0</v>
      </c>
      <c r="AG256" s="4" cm="1">
        <f t="array" ref="AG256">IF(FALSE,"True," &amp; IF(_xlfn.XLOOKUP("Dst_CIDR_Le_16",'Scoring_Config'!$A:$A,'Scoring_Config'!$D:$D,"Yes")="Yes",_xlfn.XLOOKUP("Dst_CIDR_Le_16",'Scoring_Config'!$A:$A,'Scoring_Config'!$C:$C,25),0),"False,0")</f>
        <v>0</v>
      </c>
      <c r="AH256" s="4" cm="1">
        <f t="array" ref="AH256">IF(FALSE,"True," &amp; IF(_xlfn.XLOOKUP("Dst_CIDR_17_22",'Scoring_Config'!$A:$A,'Scoring_Config'!$D:$D,"Yes")="Yes",_xlfn.XLOOKUP("Dst_CIDR_17_22",'Scoring_Config'!$A:$A,'Scoring_Config'!$C:$C,15),0),"False,0")</f>
        <v>0</v>
      </c>
      <c r="AI256" s="4" cm="1">
        <f t="array" ref="AI256">IF(FALSE,"True," &amp; IF(_xlfn.XLOOKUP("SrcZone_IsAny",'Scoring_Config'!$A:$A,'Scoring_Config'!$D:$D,"Yes")="Yes",_xlfn.XLOOKUP("SrcZone_IsAny",'Scoring_Config'!$A:$A,'Scoring_Config'!$C:$C,5),0),"False,0")</f>
        <v>0</v>
      </c>
      <c r="AJ256" s="4" cm="1">
        <f t="array" ref="AJ256">IF(FALSE,"True," &amp; IF(_xlfn.XLOOKUP("DstZone_IsAny",'Scoring_Config'!$A:$A,'Scoring_Config'!$D:$D,"Yes")="Yes",_xlfn.XLOOKUP("DstZone_IsAny",'Scoring_Config'!$A:$A,'Scoring_Config'!$C:$C,5),0),"False,0")</f>
        <v>0</v>
      </c>
      <c r="AK256" s="4" cm="1">
        <f t="array" ref="AK25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6" s="5" cm="1">
        <f t="array" ref="AL256">IF(TRUE,"True," &amp; IF(_xlfn.XLOOKUP("App_Any_OR_RangeGt1000",'Scoring_Config'!$A:$A,'Scoring_Config'!$D:$D,"Yes")="Yes",_xlfn.XLOOKUP("App_Any_OR_RangeGt1000",'Scoring_Config'!$A:$A,'Scoring_Config'!$C:$C,25),0),"False,0")</f>
        <v>0</v>
      </c>
      <c r="AM256" s="4" cm="1">
        <f t="array" ref="AM256">IF(FALSE,"True," &amp; IF(_xlfn.XLOOKUP("Service_Insecure_Match",'Scoring_Config'!$A:$A,'Scoring_Config'!$D:$D,"Yes")="Yes",_xlfn.XLOOKUP("Service_Insecure_Match",'Scoring_Config'!$A:$A,'Scoring_Config'!$C:$C,20),0),"False,0")</f>
        <v>0</v>
      </c>
      <c r="AN256" s="4" cm="1">
        <f t="array" ref="AN256">IF(FALSE,"True," &amp; IF(_xlfn.XLOOKUP("Risky_Inbound",'Scoring_Config'!$A:$A,'Scoring_Config'!$D:$D,"Yes")="Yes",_xlfn.XLOOKUP("Risky_Inbound",'Scoring_Config'!$A:$A,'Scoring_Config'!$C:$C,20),0),"False,0")</f>
        <v>0</v>
      </c>
      <c r="AO256" s="4" cm="1">
        <f t="array" ref="AO256">IF(FALSE,"True," &amp; IF(_xlfn.XLOOKUP("Risky_Outbound",'Scoring_Config'!$A:$A,'Scoring_Config'!$D:$D,"Yes")="Yes",_xlfn.XLOOKUP("Risky_Outbound",'Scoring_Config'!$A:$A,'Scoring_Config'!$C:$C,10),0),"False,0")</f>
        <v>0</v>
      </c>
      <c r="AP256" s="5" t="s">
        <v>2595</v>
      </c>
      <c r="AQ256" s="4" cm="1">
        <f t="array" ref="AQ25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6" s="5" t="s">
        <v>2598</v>
      </c>
      <c r="AS256" s="4" t="s">
        <v>2592</v>
      </c>
      <c r="AT256" s="4" t="s">
        <v>2592</v>
      </c>
      <c r="AU256" s="4" cm="1">
        <f t="array" ref="AU256">IF(FALSE,"True," &amp; IF(_xlfn.XLOOKUP("Action_IsDenyOrDrop",'Scoring_Config'!$A:$A,'Scoring_Config'!$D:$D,"Yes")="Yes",_xlfn.XLOOKUP("Action_IsDenyOrDrop",'Scoring_Config'!$A:$A,'Scoring_Config'!$C:$C,0),0),"False,0")</f>
        <v>0</v>
      </c>
      <c r="AV256" s="4"/>
      <c r="AW256" s="4" cm="1">
        <f t="array" ref="AW256">IF(FALSE,"True," &amp; IF(_xlfn.XLOOKUP("Migrate_Insecure",'Scoring_Config'!$A:$A,'Scoring_Config'!$D:$D,"Yes")="Yes",_xlfn.XLOOKUP("Migrate_Insecure",'Scoring_Config'!$A:$A,'Scoring_Config'!$C:$C,15),0),"False,0")</f>
        <v>0</v>
      </c>
      <c r="AX256" s="4"/>
      <c r="AY256" s="4" cm="1">
        <f t="array" ref="AY256">IF(FALSE,"True," &amp; IF(_xlfn.XLOOKUP("Migrate_Other_Ports",'Scoring_Config'!$A:$A,'Scoring_Config'!$D:$D,"Yes")="Yes",_xlfn.XLOOKUP("Migrate_Other_Ports",'Scoring_Config'!$A:$A,'Scoring_Config'!$C:$C,5),0),"False,0")</f>
        <v>0</v>
      </c>
      <c r="AZ256" s="4" cm="1">
        <f t="array" ref="AZ256">IF(LEFT(AU256,4)="True",0,(IF(LEFT(AC256,4)="True",IF(_xlfn.XLOOKUP("Src_IsAny",'Scoring_Config'!$A:$A,'Scoring_Config'!$D:$D,"Yes")="Yes",_xlfn.XLOOKUP("Src_IsAny",'Scoring_Config'!$A:$A,'Scoring_Config'!$C:$C,25),0),0)+IF(LEFT(AD256,4)="True",IF(_xlfn.XLOOKUP("Src_CIDR_Le_16",'Scoring_Config'!$A:$A,'Scoring_Config'!$D:$D,"Yes")="Yes",_xlfn.XLOOKUP("Src_CIDR_Le_16",'Scoring_Config'!$A:$A,'Scoring_Config'!$C:$C,25),0),0)+IF(LEFT(AE256,4)="True",IF(_xlfn.XLOOKUP("Src_CIDR_17_22",'Scoring_Config'!$A:$A,'Scoring_Config'!$D:$D,"Yes")="Yes",_xlfn.XLOOKUP("Src_CIDR_17_22",'Scoring_Config'!$A:$A,'Scoring_Config'!$C:$C,15),0),0)+IF(LEFT(AF256,4)="True",IF(_xlfn.XLOOKUP("Dst_IsAny",'Scoring_Config'!$A:$A,'Scoring_Config'!$D:$D,"Yes")="Yes",_xlfn.XLOOKUP("Dst_IsAny",'Scoring_Config'!$A:$A,'Scoring_Config'!$C:$C,25),0),0)+IF(LEFT(AG256,4)="True",IF(_xlfn.XLOOKUP("Dst_CIDR_Le_16",'Scoring_Config'!$A:$A,'Scoring_Config'!$D:$D,"Yes")="Yes",_xlfn.XLOOKUP("Dst_CIDR_Le_16",'Scoring_Config'!$A:$A,'Scoring_Config'!$C:$C,25),0),0)+IF(LEFT(AH256,4)="True",IF(_xlfn.XLOOKUP("Dst_CIDR_17_22",'Scoring_Config'!$A:$A,'Scoring_Config'!$D:$D,"Yes")="Yes",_xlfn.XLOOKUP("Dst_CIDR_17_22",'Scoring_Config'!$A:$A,'Scoring_Config'!$C:$C,15),0),0)+IF(LEFT(AI256,4)="True",IF(_xlfn.XLOOKUP("SrcZone_IsAny",'Scoring_Config'!$A:$A,'Scoring_Config'!$D:$D,"Yes")="Yes",_xlfn.XLOOKUP("SrcZone_IsAny",'Scoring_Config'!$A:$A,'Scoring_Config'!$C:$C,5),0),0)+IF(LEFT(AJ256,4)="True",IF(_xlfn.XLOOKUP("DstZone_IsAny",'Scoring_Config'!$A:$A,'Scoring_Config'!$D:$D,"Yes")="Yes",_xlfn.XLOOKUP("DstZone_IsAny",'Scoring_Config'!$A:$A,'Scoring_Config'!$C:$C,5),0),0)+IF(LEFT(AK256,4)="True",IF(_xlfn.XLOOKUP("Service_Any_OR_RangeGt1000",'Scoring_Config'!$A:$A,'Scoring_Config'!$D:$D,"Yes")="Yes",_xlfn.XLOOKUP("Service_Any_OR_RangeGt1000",'Scoring_Config'!$A:$A,'Scoring_Config'!$C:$C,25),0),0)+IF(LEFT(AL256,4)="True",IF(_xlfn.XLOOKUP("App_Any_OR_RangeGt1000",'Scoring_Config'!$A:$A,'Scoring_Config'!$D:$D,"Yes")="Yes",_xlfn.XLOOKUP("App_Any_OR_RangeGt1000",'Scoring_Config'!$A:$A,'Scoring_Config'!$C:$C,25),0),0)+IF(LEFT(AM256,4)="True",IF(_xlfn.XLOOKUP("Service_Insecure_Match",'Scoring_Config'!$A:$A,'Scoring_Config'!$D:$D,"Yes")="Yes",_xlfn.XLOOKUP("Service_Insecure_Match",'Scoring_Config'!$A:$A,'Scoring_Config'!$C:$C,20),0),0)+IF(LEFT(AN256,4)="True",IF(_xlfn.XLOOKUP("Risky_Inbound",'Scoring_Config'!$A:$A,'Scoring_Config'!$D:$D,"Yes")="Yes",_xlfn.XLOOKUP("Risky_Inbound",'Scoring_Config'!$A:$A,'Scoring_Config'!$C:$C,20),0),0)+IF(LEFT(AO256,4)="True",IF(_xlfn.XLOOKUP("Risky_Outbound",'Scoring_Config'!$A:$A,'Scoring_Config'!$D:$D,"Yes")="Yes",_xlfn.XLOOKUP("Risky_Outbound",'Scoring_Config'!$A:$A,'Scoring_Config'!$C:$C,10),0),0)+IF(LEFT(AW256,4)="True",IF(_xlfn.XLOOKUP("Migrate_Insecure",'Scoring_Config'!$A:$A,'Scoring_Config'!$D:$D,"Yes")="Yes",_xlfn.XLOOKUP("Migrate_Insecure",'Scoring_Config'!$A:$A,'Scoring_Config'!$C:$C,15),0),0)+IF(LEFT(AY256,4)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256,FIND(",",AP256)+1,100)),0)+IF(LEFT(AQ256,4)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256,FIND(",",AR256)+1,100)),0)+IF(_xlfn.XLOOKUP("Profile_Scoring",'Scoring_Config'!$A:$A,'Scoring_Config'!$D:$D,"Yes")="Yes",VALUE(MID(AS256,FIND(",",AS256)+1,100)),0)+IF(_xlfn.XLOOKUP("Options_Scoring",'Scoring_Config'!$A:$A,'Scoring_Config'!$D:$D,"Yes")="Yes",VALUE(MID(AT256,FIND(",",AT256)+1,100)),0)))</f>
        <v>0</v>
      </c>
    </row>
    <row r="257" spans="1:52">
      <c r="A257" s="3" t="s">
        <v>54</v>
      </c>
      <c r="B257" s="3" t="s">
        <v>232</v>
      </c>
      <c r="C257" s="3" t="s">
        <v>331</v>
      </c>
      <c r="D257" s="3" t="s">
        <v>340</v>
      </c>
      <c r="E257" s="3" t="s">
        <v>359</v>
      </c>
      <c r="F257" s="3" t="s">
        <v>360</v>
      </c>
      <c r="G257" s="3" t="s">
        <v>460</v>
      </c>
      <c r="H257" s="3" t="s">
        <v>492</v>
      </c>
      <c r="I257" s="3" t="s">
        <v>625</v>
      </c>
      <c r="J257" s="3" t="s">
        <v>360</v>
      </c>
      <c r="K257" s="3" t="s">
        <v>465</v>
      </c>
      <c r="L257" s="3" t="s">
        <v>588</v>
      </c>
      <c r="M257" s="3" t="s">
        <v>782</v>
      </c>
      <c r="N257" s="3" t="s">
        <v>782</v>
      </c>
      <c r="O257" s="4" t="s">
        <v>846</v>
      </c>
      <c r="P257" s="3" t="s">
        <v>899</v>
      </c>
      <c r="Q257" s="3" t="s">
        <v>905</v>
      </c>
      <c r="R257" s="3" t="s">
        <v>910</v>
      </c>
      <c r="S257" s="3" t="s">
        <v>907</v>
      </c>
      <c r="T257" s="3"/>
      <c r="U257" s="3" t="s">
        <v>1150</v>
      </c>
      <c r="V257" s="3" t="s">
        <v>770</v>
      </c>
      <c r="W257" s="3" t="s">
        <v>1533</v>
      </c>
      <c r="X257" s="3" t="s">
        <v>1861</v>
      </c>
      <c r="Y257" s="3" t="s">
        <v>2330</v>
      </c>
      <c r="Z257" s="3"/>
      <c r="AA257" s="3" t="s">
        <v>1512</v>
      </c>
      <c r="AB257" s="3"/>
      <c r="AC257" s="4" cm="1">
        <f t="array" ref="AC257">IF(FALSE,"True," &amp; IF(_xlfn.XLOOKUP("Src_IsAny",'Scoring_Config'!$A:$A,'Scoring_Config'!$D:$D,"Yes")="Yes",_xlfn.XLOOKUP("Src_IsAny",'Scoring_Config'!$A:$A,'Scoring_Config'!$C:$C,25),0),"False,0")</f>
        <v>0</v>
      </c>
      <c r="AD257" s="4" cm="1">
        <f t="array" ref="AD257">IF(FALSE,"True," &amp; IF(_xlfn.XLOOKUP("Src_CIDR_Le_16",'Scoring_Config'!$A:$A,'Scoring_Config'!$D:$D,"Yes")="Yes",_xlfn.XLOOKUP("Src_CIDR_Le_16",'Scoring_Config'!$A:$A,'Scoring_Config'!$C:$C,25),0),"False,0")</f>
        <v>0</v>
      </c>
      <c r="AE257" s="4" cm="1">
        <f t="array" ref="AE257">IF(FALSE,"True," &amp; IF(_xlfn.XLOOKUP("Src_CIDR_17_22",'Scoring_Config'!$A:$A,'Scoring_Config'!$D:$D,"Yes")="Yes",_xlfn.XLOOKUP("Src_CIDR_17_22",'Scoring_Config'!$A:$A,'Scoring_Config'!$C:$C,15),0),"False,0")</f>
        <v>0</v>
      </c>
      <c r="AF257" s="4" cm="1">
        <f t="array" ref="AF257">IF(FALSE,"True," &amp; IF(_xlfn.XLOOKUP("Dst_IsAny",'Scoring_Config'!$A:$A,'Scoring_Config'!$D:$D,"Yes")="Yes",_xlfn.XLOOKUP("Dst_IsAny",'Scoring_Config'!$A:$A,'Scoring_Config'!$C:$C,25),0),"False,0")</f>
        <v>0</v>
      </c>
      <c r="AG257" s="4" cm="1">
        <f t="array" ref="AG257">IF(FALSE,"True," &amp; IF(_xlfn.XLOOKUP("Dst_CIDR_Le_16",'Scoring_Config'!$A:$A,'Scoring_Config'!$D:$D,"Yes")="Yes",_xlfn.XLOOKUP("Dst_CIDR_Le_16",'Scoring_Config'!$A:$A,'Scoring_Config'!$C:$C,25),0),"False,0")</f>
        <v>0</v>
      </c>
      <c r="AH257" s="4" cm="1">
        <f t="array" ref="AH257">IF(FALSE,"True," &amp; IF(_xlfn.XLOOKUP("Dst_CIDR_17_22",'Scoring_Config'!$A:$A,'Scoring_Config'!$D:$D,"Yes")="Yes",_xlfn.XLOOKUP("Dst_CIDR_17_22",'Scoring_Config'!$A:$A,'Scoring_Config'!$C:$C,15),0),"False,0")</f>
        <v>0</v>
      </c>
      <c r="AI257" s="4" cm="1">
        <f t="array" ref="AI257">IF(FALSE,"True," &amp; IF(_xlfn.XLOOKUP("SrcZone_IsAny",'Scoring_Config'!$A:$A,'Scoring_Config'!$D:$D,"Yes")="Yes",_xlfn.XLOOKUP("SrcZone_IsAny",'Scoring_Config'!$A:$A,'Scoring_Config'!$C:$C,5),0),"False,0")</f>
        <v>0</v>
      </c>
      <c r="AJ257" s="4" cm="1">
        <f t="array" ref="AJ257">IF(FALSE,"True," &amp; IF(_xlfn.XLOOKUP("DstZone_IsAny",'Scoring_Config'!$A:$A,'Scoring_Config'!$D:$D,"Yes")="Yes",_xlfn.XLOOKUP("DstZone_IsAny",'Scoring_Config'!$A:$A,'Scoring_Config'!$C:$C,5),0),"False,0")</f>
        <v>0</v>
      </c>
      <c r="AK257" s="4" cm="1">
        <f t="array" ref="AK25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7" s="4" cm="1">
        <f t="array" ref="AL257">IF(FALSE,"True," &amp; IF(_xlfn.XLOOKUP("App_Any_OR_RangeGt1000",'Scoring_Config'!$A:$A,'Scoring_Config'!$D:$D,"Yes")="Yes",_xlfn.XLOOKUP("App_Any_OR_RangeGt1000",'Scoring_Config'!$A:$A,'Scoring_Config'!$C:$C,25),0),"False,0")</f>
        <v>0</v>
      </c>
      <c r="AM257" s="5" cm="1">
        <f t="array" ref="AM257">IF(TRUE,"True," &amp; IF(_xlfn.XLOOKUP("Service_Insecure_Match",'Scoring_Config'!$A:$A,'Scoring_Config'!$D:$D,"Yes")="Yes",_xlfn.XLOOKUP("Service_Insecure_Match",'Scoring_Config'!$A:$A,'Scoring_Config'!$C:$C,20),0),"False,0")</f>
        <v>0</v>
      </c>
      <c r="AN257" s="4" cm="1">
        <f t="array" ref="AN257">IF(FALSE,"True," &amp; IF(_xlfn.XLOOKUP("Risky_Inbound",'Scoring_Config'!$A:$A,'Scoring_Config'!$D:$D,"Yes")="Yes",_xlfn.XLOOKUP("Risky_Inbound",'Scoring_Config'!$A:$A,'Scoring_Config'!$C:$C,20),0),"False,0")</f>
        <v>0</v>
      </c>
      <c r="AO257" s="4" cm="1">
        <f t="array" ref="AO257">IF(FALSE,"True," &amp; IF(_xlfn.XLOOKUP("Risky_Outbound",'Scoring_Config'!$A:$A,'Scoring_Config'!$D:$D,"Yes")="Yes",_xlfn.XLOOKUP("Risky_Outbound",'Scoring_Config'!$A:$A,'Scoring_Config'!$C:$C,10),0),"False,0")</f>
        <v>0</v>
      </c>
      <c r="AP257" s="5" t="s">
        <v>2595</v>
      </c>
      <c r="AQ257" s="5" cm="1">
        <f t="array" ref="AQ25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7" s="5" t="s">
        <v>2598</v>
      </c>
      <c r="AS257" s="4" t="s">
        <v>2592</v>
      </c>
      <c r="AT257" s="5" t="s">
        <v>2595</v>
      </c>
      <c r="AU257" s="4" cm="1">
        <f t="array" ref="AU257">IF(FALSE,"True," &amp; IF(_xlfn.XLOOKUP("Action_IsDenyOrDrop",'Scoring_Config'!$A:$A,'Scoring_Config'!$D:$D,"Yes")="Yes",_xlfn.XLOOKUP("Action_IsDenyOrDrop",'Scoring_Config'!$A:$A,'Scoring_Config'!$C:$C,0),0),"False,0")</f>
        <v>0</v>
      </c>
      <c r="AV257" s="4"/>
      <c r="AW257" s="4" cm="1">
        <f t="array" ref="AW257">IF(FALSE,"True," &amp; IF(_xlfn.XLOOKUP("Migrate_Insecure",'Scoring_Config'!$A:$A,'Scoring_Config'!$D:$D,"Yes")="Yes",_xlfn.XLOOKUP("Migrate_Insecure",'Scoring_Config'!$A:$A,'Scoring_Config'!$C:$C,15),0),"False,0")</f>
        <v>0</v>
      </c>
      <c r="AX257" s="4"/>
      <c r="AY257" s="4" cm="1">
        <f t="array" ref="AY257">IF(FALSE,"True," &amp; IF(_xlfn.XLOOKUP("Migrate_Other_Ports",'Scoring_Config'!$A:$A,'Scoring_Config'!$D:$D,"Yes")="Yes",_xlfn.XLOOKUP("Migrate_Other_Ports",'Scoring_Config'!$A:$A,'Scoring_Config'!$C:$C,5),0),"False,0")</f>
        <v>0</v>
      </c>
      <c r="AZ257" s="4" cm="1">
        <f t="array" ref="AZ257">IF(LEFT(AU257,4)="True",0,(IF(LEFT(AC257,4)="True",IF(_xlfn.XLOOKUP("Src_IsAny",'Scoring_Config'!$A:$A,'Scoring_Config'!$D:$D,"Yes")="Yes",_xlfn.XLOOKUP("Src_IsAny",'Scoring_Config'!$A:$A,'Scoring_Config'!$C:$C,25),0),0)+IF(LEFT(AD257,4)="True",IF(_xlfn.XLOOKUP("Src_CIDR_Le_16",'Scoring_Config'!$A:$A,'Scoring_Config'!$D:$D,"Yes")="Yes",_xlfn.XLOOKUP("Src_CIDR_Le_16",'Scoring_Config'!$A:$A,'Scoring_Config'!$C:$C,25),0),0)+IF(LEFT(AE257,4)="True",IF(_xlfn.XLOOKUP("Src_CIDR_17_22",'Scoring_Config'!$A:$A,'Scoring_Config'!$D:$D,"Yes")="Yes",_xlfn.XLOOKUP("Src_CIDR_17_22",'Scoring_Config'!$A:$A,'Scoring_Config'!$C:$C,15),0),0)+IF(LEFT(AF257,4)="True",IF(_xlfn.XLOOKUP("Dst_IsAny",'Scoring_Config'!$A:$A,'Scoring_Config'!$D:$D,"Yes")="Yes",_xlfn.XLOOKUP("Dst_IsAny",'Scoring_Config'!$A:$A,'Scoring_Config'!$C:$C,25),0),0)+IF(LEFT(AG257,4)="True",IF(_xlfn.XLOOKUP("Dst_CIDR_Le_16",'Scoring_Config'!$A:$A,'Scoring_Config'!$D:$D,"Yes")="Yes",_xlfn.XLOOKUP("Dst_CIDR_Le_16",'Scoring_Config'!$A:$A,'Scoring_Config'!$C:$C,25),0),0)+IF(LEFT(AH257,4)="True",IF(_xlfn.XLOOKUP("Dst_CIDR_17_22",'Scoring_Config'!$A:$A,'Scoring_Config'!$D:$D,"Yes")="Yes",_xlfn.XLOOKUP("Dst_CIDR_17_22",'Scoring_Config'!$A:$A,'Scoring_Config'!$C:$C,15),0),0)+IF(LEFT(AI257,4)="True",IF(_xlfn.XLOOKUP("SrcZone_IsAny",'Scoring_Config'!$A:$A,'Scoring_Config'!$D:$D,"Yes")="Yes",_xlfn.XLOOKUP("SrcZone_IsAny",'Scoring_Config'!$A:$A,'Scoring_Config'!$C:$C,5),0),0)+IF(LEFT(AJ257,4)="True",IF(_xlfn.XLOOKUP("DstZone_IsAny",'Scoring_Config'!$A:$A,'Scoring_Config'!$D:$D,"Yes")="Yes",_xlfn.XLOOKUP("DstZone_IsAny",'Scoring_Config'!$A:$A,'Scoring_Config'!$C:$C,5),0),0)+IF(LEFT(AK257,4)="True",IF(_xlfn.XLOOKUP("Service_Any_OR_RangeGt1000",'Scoring_Config'!$A:$A,'Scoring_Config'!$D:$D,"Yes")="Yes",_xlfn.XLOOKUP("Service_Any_OR_RangeGt1000",'Scoring_Config'!$A:$A,'Scoring_Config'!$C:$C,25),0),0)+IF(LEFT(AL257,4)="True",IF(_xlfn.XLOOKUP("App_Any_OR_RangeGt1000",'Scoring_Config'!$A:$A,'Scoring_Config'!$D:$D,"Yes")="Yes",_xlfn.XLOOKUP("App_Any_OR_RangeGt1000",'Scoring_Config'!$A:$A,'Scoring_Config'!$C:$C,25),0),0)+IF(LEFT(AM257,4)="True",IF(_xlfn.XLOOKUP("Service_Insecure_Match",'Scoring_Config'!$A:$A,'Scoring_Config'!$D:$D,"Yes")="Yes",_xlfn.XLOOKUP("Service_Insecure_Match",'Scoring_Config'!$A:$A,'Scoring_Config'!$C:$C,20),0),0)+IF(LEFT(AN257,4)="True",IF(_xlfn.XLOOKUP("Risky_Inbound",'Scoring_Config'!$A:$A,'Scoring_Config'!$D:$D,"Yes")="Yes",_xlfn.XLOOKUP("Risky_Inbound",'Scoring_Config'!$A:$A,'Scoring_Config'!$C:$C,20),0),0)+IF(LEFT(AO257,4)="True",IF(_xlfn.XLOOKUP("Risky_Outbound",'Scoring_Config'!$A:$A,'Scoring_Config'!$D:$D,"Yes")="Yes",_xlfn.XLOOKUP("Risky_Outbound",'Scoring_Config'!$A:$A,'Scoring_Config'!$C:$C,10),0),0)+IF(LEFT(AW257,4)="True",IF(_xlfn.XLOOKUP("Migrate_Insecure",'Scoring_Config'!$A:$A,'Scoring_Config'!$D:$D,"Yes")="Yes",_xlfn.XLOOKUP("Migrate_Insecure",'Scoring_Config'!$A:$A,'Scoring_Config'!$C:$C,15),0),0)+IF(LEFT(AY257,4)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257,FIND(",",AP257)+1,100)),0)+IF(LEFT(AQ257,4)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257,FIND(",",AR257)+1,100)),0)+IF(_xlfn.XLOOKUP("Profile_Scoring",'Scoring_Config'!$A:$A,'Scoring_Config'!$D:$D,"Yes")="Yes",VALUE(MID(AS257,FIND(",",AS257)+1,100)),0)+IF(_xlfn.XLOOKUP("Options_Scoring",'Scoring_Config'!$A:$A,'Scoring_Config'!$D:$D,"Yes")="Yes",VALUE(MID(AT257,FIND(",",AT257)+1,100)),0)))</f>
        <v>0</v>
      </c>
    </row>
    <row r="258" spans="1:52">
      <c r="A258" s="3" t="s">
        <v>54</v>
      </c>
      <c r="B258" s="3" t="s">
        <v>233</v>
      </c>
      <c r="C258" s="3" t="s">
        <v>331</v>
      </c>
      <c r="D258" s="3" t="s">
        <v>336</v>
      </c>
      <c r="E258" s="3" t="s">
        <v>359</v>
      </c>
      <c r="F258" s="3" t="s">
        <v>362</v>
      </c>
      <c r="G258" s="3" t="s">
        <v>365</v>
      </c>
      <c r="H258" s="3" t="s">
        <v>365</v>
      </c>
      <c r="I258" s="3" t="s">
        <v>622</v>
      </c>
      <c r="J258" s="3" t="s">
        <v>364</v>
      </c>
      <c r="K258" s="3" t="s">
        <v>471</v>
      </c>
      <c r="L258" s="3" t="s">
        <v>592</v>
      </c>
      <c r="M258" s="3" t="s">
        <v>769</v>
      </c>
      <c r="N258" s="3" t="s">
        <v>792</v>
      </c>
      <c r="O258" s="4" t="s">
        <v>847</v>
      </c>
      <c r="P258" s="3" t="s">
        <v>900</v>
      </c>
      <c r="Q258" s="3" t="s">
        <v>905</v>
      </c>
      <c r="R258" s="3" t="s">
        <v>907</v>
      </c>
      <c r="S258" s="3" t="s">
        <v>914</v>
      </c>
      <c r="T258" s="3"/>
      <c r="U258" s="3" t="s">
        <v>1277</v>
      </c>
      <c r="V258" s="3" t="s">
        <v>772</v>
      </c>
      <c r="W258" s="3" t="s">
        <v>1112</v>
      </c>
      <c r="X258" s="3" t="s">
        <v>1862</v>
      </c>
      <c r="Y258" s="3" t="s">
        <v>2331</v>
      </c>
      <c r="Z258" s="3"/>
      <c r="AA258" s="3" t="s">
        <v>2549</v>
      </c>
      <c r="AB258" s="3"/>
      <c r="AC258" s="5" cm="1">
        <f t="array" ref="AC258">IF(TRUE,"True," &amp; IF(_xlfn.XLOOKUP("Src_IsAny",'Scoring_Config'!$A:$A,'Scoring_Config'!$D:$D,"Yes")="Yes",_xlfn.XLOOKUP("Src_IsAny",'Scoring_Config'!$A:$A,'Scoring_Config'!$C:$C,25),0),"False,0")</f>
        <v>0</v>
      </c>
      <c r="AD258" s="4" cm="1">
        <f t="array" ref="AD258">IF(FALSE,"True," &amp; IF(_xlfn.XLOOKUP("Src_CIDR_Le_16",'Scoring_Config'!$A:$A,'Scoring_Config'!$D:$D,"Yes")="Yes",_xlfn.XLOOKUP("Src_CIDR_Le_16",'Scoring_Config'!$A:$A,'Scoring_Config'!$C:$C,25),0),"False,0")</f>
        <v>0</v>
      </c>
      <c r="AE258" s="4" cm="1">
        <f t="array" ref="AE258">IF(FALSE,"True," &amp; IF(_xlfn.XLOOKUP("Src_CIDR_17_22",'Scoring_Config'!$A:$A,'Scoring_Config'!$D:$D,"Yes")="Yes",_xlfn.XLOOKUP("Src_CIDR_17_22",'Scoring_Config'!$A:$A,'Scoring_Config'!$C:$C,15),0),"False,0")</f>
        <v>0</v>
      </c>
      <c r="AF258" s="4" cm="1">
        <f t="array" ref="AF258">IF(FALSE,"True," &amp; IF(_xlfn.XLOOKUP("Dst_IsAny",'Scoring_Config'!$A:$A,'Scoring_Config'!$D:$D,"Yes")="Yes",_xlfn.XLOOKUP("Dst_IsAny",'Scoring_Config'!$A:$A,'Scoring_Config'!$C:$C,25),0),"False,0")</f>
        <v>0</v>
      </c>
      <c r="AG258" s="4" cm="1">
        <f t="array" ref="AG258">IF(FALSE,"True," &amp; IF(_xlfn.XLOOKUP("Dst_CIDR_Le_16",'Scoring_Config'!$A:$A,'Scoring_Config'!$D:$D,"Yes")="Yes",_xlfn.XLOOKUP("Dst_CIDR_Le_16",'Scoring_Config'!$A:$A,'Scoring_Config'!$C:$C,25),0),"False,0")</f>
        <v>0</v>
      </c>
      <c r="AH258" s="4" cm="1">
        <f t="array" ref="AH258">IF(FALSE,"True," &amp; IF(_xlfn.XLOOKUP("Dst_CIDR_17_22",'Scoring_Config'!$A:$A,'Scoring_Config'!$D:$D,"Yes")="Yes",_xlfn.XLOOKUP("Dst_CIDR_17_22",'Scoring_Config'!$A:$A,'Scoring_Config'!$C:$C,15),0),"False,0")</f>
        <v>0</v>
      </c>
      <c r="AI258" s="4" cm="1">
        <f t="array" ref="AI258">IF(FALSE,"True," &amp; IF(_xlfn.XLOOKUP("SrcZone_IsAny",'Scoring_Config'!$A:$A,'Scoring_Config'!$D:$D,"Yes")="Yes",_xlfn.XLOOKUP("SrcZone_IsAny",'Scoring_Config'!$A:$A,'Scoring_Config'!$C:$C,5),0),"False,0")</f>
        <v>0</v>
      </c>
      <c r="AJ258" s="4" cm="1">
        <f t="array" ref="AJ258">IF(FALSE,"True," &amp; IF(_xlfn.XLOOKUP("DstZone_IsAny",'Scoring_Config'!$A:$A,'Scoring_Config'!$D:$D,"Yes")="Yes",_xlfn.XLOOKUP("DstZone_IsAny",'Scoring_Config'!$A:$A,'Scoring_Config'!$C:$C,5),0),"False,0")</f>
        <v>0</v>
      </c>
      <c r="AK258" s="4" cm="1">
        <f t="array" ref="AK25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58" s="4" cm="1">
        <f t="array" ref="AL258">IF(FALSE,"True," &amp; IF(_xlfn.XLOOKUP("App_Any_OR_RangeGt1000",'Scoring_Config'!$A:$A,'Scoring_Config'!$D:$D,"Yes")="Yes",_xlfn.XLOOKUP("App_Any_OR_RangeGt1000",'Scoring_Config'!$A:$A,'Scoring_Config'!$C:$C,25),0),"False,0")</f>
        <v>0</v>
      </c>
      <c r="AM258" s="4" cm="1">
        <f t="array" ref="AM258">IF(FALSE,"True," &amp; IF(_xlfn.XLOOKUP("Service_Insecure_Match",'Scoring_Config'!$A:$A,'Scoring_Config'!$D:$D,"Yes")="Yes",_xlfn.XLOOKUP("Service_Insecure_Match",'Scoring_Config'!$A:$A,'Scoring_Config'!$C:$C,20),0),"False,0")</f>
        <v>0</v>
      </c>
      <c r="AN258" s="4" cm="1">
        <f t="array" ref="AN258">IF(FALSE,"True," &amp; IF(_xlfn.XLOOKUP("Risky_Inbound",'Scoring_Config'!$A:$A,'Scoring_Config'!$D:$D,"Yes")="Yes",_xlfn.XLOOKUP("Risky_Inbound",'Scoring_Config'!$A:$A,'Scoring_Config'!$C:$C,20),0),"False,0")</f>
        <v>0</v>
      </c>
      <c r="AO258" s="4" cm="1">
        <f t="array" ref="AO258">IF(FALSE,"True," &amp; IF(_xlfn.XLOOKUP("Risky_Outbound",'Scoring_Config'!$A:$A,'Scoring_Config'!$D:$D,"Yes")="Yes",_xlfn.XLOOKUP("Risky_Outbound",'Scoring_Config'!$A:$A,'Scoring_Config'!$C:$C,10),0),"False,0")</f>
        <v>0</v>
      </c>
      <c r="AP258" s="5" t="s">
        <v>2595</v>
      </c>
      <c r="AQ258" s="4" cm="1">
        <f t="array" ref="AQ25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8" s="5" t="s">
        <v>2598</v>
      </c>
      <c r="AS258" s="5" t="s">
        <v>2595</v>
      </c>
      <c r="AT258" s="4" t="s">
        <v>2592</v>
      </c>
      <c r="AU258" s="4" cm="1">
        <f t="array" ref="AU258">IF(FALSE,"True," &amp; IF(_xlfn.XLOOKUP("Action_IsDenyOrDrop",'Scoring_Config'!$A:$A,'Scoring_Config'!$D:$D,"Yes")="Yes",_xlfn.XLOOKUP("Action_IsDenyOrDrop",'Scoring_Config'!$A:$A,'Scoring_Config'!$C:$C,0),0),"False,0")</f>
        <v>0</v>
      </c>
      <c r="AV258" s="4"/>
      <c r="AW258" s="4" cm="1">
        <f t="array" ref="AW258">IF(FALSE,"True," &amp; IF(_xlfn.XLOOKUP("Migrate_Insecure",'Scoring_Config'!$A:$A,'Scoring_Config'!$D:$D,"Yes")="Yes",_xlfn.XLOOKUP("Migrate_Insecure",'Scoring_Config'!$A:$A,'Scoring_Config'!$C:$C,15),0),"False,0")</f>
        <v>0</v>
      </c>
      <c r="AX258" s="4"/>
      <c r="AY258" s="4" cm="1">
        <f t="array" ref="AY258">IF(FALSE,"True," &amp; IF(_xlfn.XLOOKUP("Migrate_Other_Ports",'Scoring_Config'!$A:$A,'Scoring_Config'!$D:$D,"Yes")="Yes",_xlfn.XLOOKUP("Migrate_Other_Ports",'Scoring_Config'!$A:$A,'Scoring_Config'!$C:$C,5),0),"False,0")</f>
        <v>0</v>
      </c>
      <c r="AZ258" s="4" cm="1">
        <f t="array" ref="AZ258">IF(LEFT(AU258,4)="True",0,(IF(LEFT(AC258,4)="True",IF(_xlfn.XLOOKUP("Src_IsAny",'Scoring_Config'!$A:$A,'Scoring_Config'!$D:$D,"Yes")="Yes",_xlfn.XLOOKUP("Src_IsAny",'Scoring_Config'!$A:$A,'Scoring_Config'!$C:$C,25),0),0)+IF(LEFT(AD258,4)="True",IF(_xlfn.XLOOKUP("Src_CIDR_Le_16",'Scoring_Config'!$A:$A,'Scoring_Config'!$D:$D,"Yes")="Yes",_xlfn.XLOOKUP("Src_CIDR_Le_16",'Scoring_Config'!$A:$A,'Scoring_Config'!$C:$C,25),0),0)+IF(LEFT(AE258,4)="True",IF(_xlfn.XLOOKUP("Src_CIDR_17_22",'Scoring_Config'!$A:$A,'Scoring_Config'!$D:$D,"Yes")="Yes",_xlfn.XLOOKUP("Src_CIDR_17_22",'Scoring_Config'!$A:$A,'Scoring_Config'!$C:$C,15),0),0)+IF(LEFT(AF258,4)="True",IF(_xlfn.XLOOKUP("Dst_IsAny",'Scoring_Config'!$A:$A,'Scoring_Config'!$D:$D,"Yes")="Yes",_xlfn.XLOOKUP("Dst_IsAny",'Scoring_Config'!$A:$A,'Scoring_Config'!$C:$C,25),0),0)+IF(LEFT(AG258,4)="True",IF(_xlfn.XLOOKUP("Dst_CIDR_Le_16",'Scoring_Config'!$A:$A,'Scoring_Config'!$D:$D,"Yes")="Yes",_xlfn.XLOOKUP("Dst_CIDR_Le_16",'Scoring_Config'!$A:$A,'Scoring_Config'!$C:$C,25),0),0)+IF(LEFT(AH258,4)="True",IF(_xlfn.XLOOKUP("Dst_CIDR_17_22",'Scoring_Config'!$A:$A,'Scoring_Config'!$D:$D,"Yes")="Yes",_xlfn.XLOOKUP("Dst_CIDR_17_22",'Scoring_Config'!$A:$A,'Scoring_Config'!$C:$C,15),0),0)+IF(LEFT(AI258,4)="True",IF(_xlfn.XLOOKUP("SrcZone_IsAny",'Scoring_Config'!$A:$A,'Scoring_Config'!$D:$D,"Yes")="Yes",_xlfn.XLOOKUP("SrcZone_IsAny",'Scoring_Config'!$A:$A,'Scoring_Config'!$C:$C,5),0),0)+IF(LEFT(AJ258,4)="True",IF(_xlfn.XLOOKUP("DstZone_IsAny",'Scoring_Config'!$A:$A,'Scoring_Config'!$D:$D,"Yes")="Yes",_xlfn.XLOOKUP("DstZone_IsAny",'Scoring_Config'!$A:$A,'Scoring_Config'!$C:$C,5),0),0)+IF(LEFT(AK258,4)="True",IF(_xlfn.XLOOKUP("Service_Any_OR_RangeGt1000",'Scoring_Config'!$A:$A,'Scoring_Config'!$D:$D,"Yes")="Yes",_xlfn.XLOOKUP("Service_Any_OR_RangeGt1000",'Scoring_Config'!$A:$A,'Scoring_Config'!$C:$C,25),0),0)+IF(LEFT(AL258,4)="True",IF(_xlfn.XLOOKUP("App_Any_OR_RangeGt1000",'Scoring_Config'!$A:$A,'Scoring_Config'!$D:$D,"Yes")="Yes",_xlfn.XLOOKUP("App_Any_OR_RangeGt1000",'Scoring_Config'!$A:$A,'Scoring_Config'!$C:$C,25),0),0)+IF(LEFT(AM258,4)="True",IF(_xlfn.XLOOKUP("Service_Insecure_Match",'Scoring_Config'!$A:$A,'Scoring_Config'!$D:$D,"Yes")="Yes",_xlfn.XLOOKUP("Service_Insecure_Match",'Scoring_Config'!$A:$A,'Scoring_Config'!$C:$C,20),0),0)+IF(LEFT(AN258,4)="True",IF(_xlfn.XLOOKUP("Risky_Inbound",'Scoring_Config'!$A:$A,'Scoring_Config'!$D:$D,"Yes")="Yes",_xlfn.XLOOKUP("Risky_Inbound",'Scoring_Config'!$A:$A,'Scoring_Config'!$C:$C,20),0),0)+IF(LEFT(AO258,4)="True",IF(_xlfn.XLOOKUP("Risky_Outbound",'Scoring_Config'!$A:$A,'Scoring_Config'!$D:$D,"Yes")="Yes",_xlfn.XLOOKUP("Risky_Outbound",'Scoring_Config'!$A:$A,'Scoring_Config'!$C:$C,10),0),0)+IF(LEFT(AW258,4)="True",IF(_xlfn.XLOOKUP("Migrate_Insecure",'Scoring_Config'!$A:$A,'Scoring_Config'!$D:$D,"Yes")="Yes",_xlfn.XLOOKUP("Migrate_Insecure",'Scoring_Config'!$A:$A,'Scoring_Config'!$C:$C,15),0),0)+IF(LEFT(AY258,4)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258,FIND(",",AP258)+1,100)),0)+IF(LEFT(AQ258,4)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258,FIND(",",AR258)+1,100)),0)+IF(_xlfn.XLOOKUP("Profile_Scoring",'Scoring_Config'!$A:$A,'Scoring_Config'!$D:$D,"Yes")="Yes",VALUE(MID(AS258,FIND(",",AS258)+1,100)),0)+IF(_xlfn.XLOOKUP("Options_Scoring",'Scoring_Config'!$A:$A,'Scoring_Config'!$D:$D,"Yes")="Yes",VALUE(MID(AT258,FIND(",",AT258)+1,100)),0)))</f>
        <v>0</v>
      </c>
    </row>
    <row r="259" spans="1:52">
      <c r="A259" s="3" t="s">
        <v>54</v>
      </c>
      <c r="B259" s="3" t="s">
        <v>234</v>
      </c>
      <c r="C259" s="3" t="s">
        <v>331</v>
      </c>
      <c r="D259" s="3"/>
      <c r="E259" s="3" t="s">
        <v>359</v>
      </c>
      <c r="F259" s="3" t="s">
        <v>363</v>
      </c>
      <c r="G259" s="3" t="s">
        <v>461</v>
      </c>
      <c r="H259" s="3" t="s">
        <v>586</v>
      </c>
      <c r="I259" s="3" t="s">
        <v>624</v>
      </c>
      <c r="J259" s="3" t="s">
        <v>360</v>
      </c>
      <c r="K259" s="3" t="s">
        <v>696</v>
      </c>
      <c r="L259" s="3" t="s">
        <v>758</v>
      </c>
      <c r="M259" s="3" t="s">
        <v>781</v>
      </c>
      <c r="N259" s="3" t="s">
        <v>798</v>
      </c>
      <c r="O259" s="4" t="s">
        <v>818</v>
      </c>
      <c r="P259" s="3" t="s">
        <v>879</v>
      </c>
      <c r="Q259" s="3" t="s">
        <v>904</v>
      </c>
      <c r="R259" s="3" t="s">
        <v>907</v>
      </c>
      <c r="S259" s="3" t="s">
        <v>914</v>
      </c>
      <c r="T259" s="3"/>
      <c r="U259" s="3" t="s">
        <v>1157</v>
      </c>
      <c r="V259" s="3" t="s">
        <v>1388</v>
      </c>
      <c r="W259" s="3" t="s">
        <v>1534</v>
      </c>
      <c r="X259" s="3" t="s">
        <v>1863</v>
      </c>
      <c r="Y259" s="3" t="s">
        <v>2332</v>
      </c>
      <c r="Z259" s="3"/>
      <c r="AA259" s="3" t="s">
        <v>2550</v>
      </c>
      <c r="AB259" s="3"/>
      <c r="AC259" s="5" cm="1">
        <f t="array" ref="AC259">IF(TRUE,"True," &amp; IF(_xlfn.XLOOKUP("Src_IsAny",'Scoring_Config'!$A:$A,'Scoring_Config'!$D:$D,"Yes")="Yes",_xlfn.XLOOKUP("Src_IsAny",'Scoring_Config'!$A:$A,'Scoring_Config'!$C:$C,25),0),"False,0")</f>
        <v>0</v>
      </c>
      <c r="AD259" s="4" cm="1">
        <f t="array" ref="AD259">IF(FALSE,"True," &amp; IF(_xlfn.XLOOKUP("Src_CIDR_Le_16",'Scoring_Config'!$A:$A,'Scoring_Config'!$D:$D,"Yes")="Yes",_xlfn.XLOOKUP("Src_CIDR_Le_16",'Scoring_Config'!$A:$A,'Scoring_Config'!$C:$C,25),0),"False,0")</f>
        <v>0</v>
      </c>
      <c r="AE259" s="4" cm="1">
        <f t="array" ref="AE259">IF(FALSE,"True," &amp; IF(_xlfn.XLOOKUP("Src_CIDR_17_22",'Scoring_Config'!$A:$A,'Scoring_Config'!$D:$D,"Yes")="Yes",_xlfn.XLOOKUP("Src_CIDR_17_22",'Scoring_Config'!$A:$A,'Scoring_Config'!$C:$C,15),0),"False,0")</f>
        <v>0</v>
      </c>
      <c r="AF259" s="4" cm="1">
        <f t="array" ref="AF259">IF(FALSE,"True," &amp; IF(_xlfn.XLOOKUP("Dst_IsAny",'Scoring_Config'!$A:$A,'Scoring_Config'!$D:$D,"Yes")="Yes",_xlfn.XLOOKUP("Dst_IsAny",'Scoring_Config'!$A:$A,'Scoring_Config'!$C:$C,25),0),"False,0")</f>
        <v>0</v>
      </c>
      <c r="AG259" s="4" cm="1">
        <f t="array" ref="AG259">IF(FALSE,"True," &amp; IF(_xlfn.XLOOKUP("Dst_CIDR_Le_16",'Scoring_Config'!$A:$A,'Scoring_Config'!$D:$D,"Yes")="Yes",_xlfn.XLOOKUP("Dst_CIDR_Le_16",'Scoring_Config'!$A:$A,'Scoring_Config'!$C:$C,25),0),"False,0")</f>
        <v>0</v>
      </c>
      <c r="AH259" s="4" cm="1">
        <f t="array" ref="AH259">IF(FALSE,"True," &amp; IF(_xlfn.XLOOKUP("Dst_CIDR_17_22",'Scoring_Config'!$A:$A,'Scoring_Config'!$D:$D,"Yes")="Yes",_xlfn.XLOOKUP("Dst_CIDR_17_22",'Scoring_Config'!$A:$A,'Scoring_Config'!$C:$C,15),0),"False,0")</f>
        <v>0</v>
      </c>
      <c r="AI259" s="4" cm="1">
        <f t="array" ref="AI259">IF(FALSE,"True," &amp; IF(_xlfn.XLOOKUP("SrcZone_IsAny",'Scoring_Config'!$A:$A,'Scoring_Config'!$D:$D,"Yes")="Yes",_xlfn.XLOOKUP("SrcZone_IsAny",'Scoring_Config'!$A:$A,'Scoring_Config'!$C:$C,5),0),"False,0")</f>
        <v>0</v>
      </c>
      <c r="AJ259" s="4" cm="1">
        <f t="array" ref="AJ259">IF(FALSE,"True," &amp; IF(_xlfn.XLOOKUP("DstZone_IsAny",'Scoring_Config'!$A:$A,'Scoring_Config'!$D:$D,"Yes")="Yes",_xlfn.XLOOKUP("DstZone_IsAny",'Scoring_Config'!$A:$A,'Scoring_Config'!$C:$C,5),0),"False,0")</f>
        <v>0</v>
      </c>
      <c r="AK259" s="5" cm="1">
        <f t="array" ref="AK259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59" s="4" cm="1">
        <f t="array" ref="AL259">IF(FALSE,"True," &amp; IF(_xlfn.XLOOKUP("App_Any_OR_RangeGt1000",'Scoring_Config'!$A:$A,'Scoring_Config'!$D:$D,"Yes")="Yes",_xlfn.XLOOKUP("App_Any_OR_RangeGt1000",'Scoring_Config'!$A:$A,'Scoring_Config'!$C:$C,25),0),"False,0")</f>
        <v>0</v>
      </c>
      <c r="AM259" s="5" cm="1">
        <f t="array" ref="AM259">IF(TRUE,"True," &amp; IF(_xlfn.XLOOKUP("Service_Insecure_Match",'Scoring_Config'!$A:$A,'Scoring_Config'!$D:$D,"Yes")="Yes",_xlfn.XLOOKUP("Service_Insecure_Match",'Scoring_Config'!$A:$A,'Scoring_Config'!$C:$C,20),0),"False,0")</f>
        <v>0</v>
      </c>
      <c r="AN259" s="4" cm="1">
        <f t="array" ref="AN259">IF(FALSE,"True," &amp; IF(_xlfn.XLOOKUP("Risky_Inbound",'Scoring_Config'!$A:$A,'Scoring_Config'!$D:$D,"Yes")="Yes",_xlfn.XLOOKUP("Risky_Inbound",'Scoring_Config'!$A:$A,'Scoring_Config'!$C:$C,20),0),"False,0")</f>
        <v>0</v>
      </c>
      <c r="AO259" s="4" cm="1">
        <f t="array" ref="AO259">IF(FALSE,"True," &amp; IF(_xlfn.XLOOKUP("Risky_Outbound",'Scoring_Config'!$A:$A,'Scoring_Config'!$D:$D,"Yes")="Yes",_xlfn.XLOOKUP("Risky_Outbound",'Scoring_Config'!$A:$A,'Scoring_Config'!$C:$C,10),0),"False,0")</f>
        <v>0</v>
      </c>
      <c r="AP259" s="5" t="s">
        <v>2595</v>
      </c>
      <c r="AQ259" s="5" cm="1">
        <f t="array" ref="AQ25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59" s="5" t="s">
        <v>2598</v>
      </c>
      <c r="AS259" s="5" t="s">
        <v>2595</v>
      </c>
      <c r="AT259" s="4" t="s">
        <v>2592</v>
      </c>
      <c r="AU259" s="5" cm="1">
        <f t="array" ref="AU259">IF(TRUE,"True," &amp; IF(_xlfn.XLOOKUP("Action_IsDenyOrDrop",'Scoring_Config'!$A:$A,'Scoring_Config'!$D:$D,"Yes")="Yes",_xlfn.XLOOKUP("Action_IsDenyOrDrop",'Scoring_Config'!$A:$A,'Scoring_Config'!$C:$C,0),0),"False,0")</f>
        <v>0</v>
      </c>
      <c r="AV259" s="4"/>
      <c r="AW259" s="4" cm="1">
        <f t="array" ref="AW259">IF(FALSE,"True," &amp; IF(_xlfn.XLOOKUP("Migrate_Insecure",'Scoring_Config'!$A:$A,'Scoring_Config'!$D:$D,"Yes")="Yes",_xlfn.XLOOKUP("Migrate_Insecure",'Scoring_Config'!$A:$A,'Scoring_Config'!$C:$C,15),0),"False,0")</f>
        <v>0</v>
      </c>
      <c r="AX259" s="4" t="s">
        <v>2602</v>
      </c>
      <c r="AY259" s="5" cm="1">
        <f t="array" ref="AY259">IF(TRUE,"True," &amp; IF(_xlfn.XLOOKUP("Migrate_Other_Ports",'Scoring_Config'!$A:$A,'Scoring_Config'!$D:$D,"Yes")="Yes",_xlfn.XLOOKUP("Migrate_Other_Ports",'Scoring_Config'!$A:$A,'Scoring_Config'!$C:$C,5),0),"False,0")</f>
        <v>0</v>
      </c>
      <c r="AZ259" s="4" cm="1">
        <f t="array" ref="AZ259">IF(LEFT(AU259,4)="True",0,(IF(LEFT(AC259,4)="True",IF(_xlfn.XLOOKUP("Src_IsAny",'Scoring_Config'!$A:$A,'Scoring_Config'!$D:$D,"Yes")="Yes",_xlfn.XLOOKUP("Src_IsAny",'Scoring_Config'!$A:$A,'Scoring_Config'!$C:$C,25),0),0)+IF(LEFT(AD259,4)="True",IF(_xlfn.XLOOKUP("Src_CIDR_Le_16",'Scoring_Config'!$A:$A,'Scoring_Config'!$D:$D,"Yes")="Yes",_xlfn.XLOOKUP("Src_CIDR_Le_16",'Scoring_Config'!$A:$A,'Scoring_Config'!$C:$C,25),0),0)+IF(LEFT(AE259,4)="True",IF(_xlfn.XLOOKUP("Src_CIDR_17_22",'Scoring_Config'!$A:$A,'Scoring_Config'!$D:$D,"Yes")="Yes",_xlfn.XLOOKUP("Src_CIDR_17_22",'Scoring_Config'!$A:$A,'Scoring_Config'!$C:$C,15),0),0)+IF(LEFT(AF259,4)="True",IF(_xlfn.XLOOKUP("Dst_IsAny",'Scoring_Config'!$A:$A,'Scoring_Config'!$D:$D,"Yes")="Yes",_xlfn.XLOOKUP("Dst_IsAny",'Scoring_Config'!$A:$A,'Scoring_Config'!$C:$C,25),0),0)+IF(LEFT(AG259,4)="True",IF(_xlfn.XLOOKUP("Dst_CIDR_Le_16",'Scoring_Config'!$A:$A,'Scoring_Config'!$D:$D,"Yes")="Yes",_xlfn.XLOOKUP("Dst_CIDR_Le_16",'Scoring_Config'!$A:$A,'Scoring_Config'!$C:$C,25),0),0)+IF(LEFT(AH259,4)="True",IF(_xlfn.XLOOKUP("Dst_CIDR_17_22",'Scoring_Config'!$A:$A,'Scoring_Config'!$D:$D,"Yes")="Yes",_xlfn.XLOOKUP("Dst_CIDR_17_22",'Scoring_Config'!$A:$A,'Scoring_Config'!$C:$C,15),0),0)+IF(LEFT(AI259,4)="True",IF(_xlfn.XLOOKUP("SrcZone_IsAny",'Scoring_Config'!$A:$A,'Scoring_Config'!$D:$D,"Yes")="Yes",_xlfn.XLOOKUP("SrcZone_IsAny",'Scoring_Config'!$A:$A,'Scoring_Config'!$C:$C,5),0),0)+IF(LEFT(AJ259,4)="True",IF(_xlfn.XLOOKUP("DstZone_IsAny",'Scoring_Config'!$A:$A,'Scoring_Config'!$D:$D,"Yes")="Yes",_xlfn.XLOOKUP("DstZone_IsAny",'Scoring_Config'!$A:$A,'Scoring_Config'!$C:$C,5),0),0)+IF(LEFT(AK259,4)="True",IF(_xlfn.XLOOKUP("Service_Any_OR_RangeGt1000",'Scoring_Config'!$A:$A,'Scoring_Config'!$D:$D,"Yes")="Yes",_xlfn.XLOOKUP("Service_Any_OR_RangeGt1000",'Scoring_Config'!$A:$A,'Scoring_Config'!$C:$C,25),0),0)+IF(LEFT(AL259,4)="True",IF(_xlfn.XLOOKUP("App_Any_OR_RangeGt1000",'Scoring_Config'!$A:$A,'Scoring_Config'!$D:$D,"Yes")="Yes",_xlfn.XLOOKUP("App_Any_OR_RangeGt1000",'Scoring_Config'!$A:$A,'Scoring_Config'!$C:$C,25),0),0)+IF(LEFT(AM259,4)="True",IF(_xlfn.XLOOKUP("Service_Insecure_Match",'Scoring_Config'!$A:$A,'Scoring_Config'!$D:$D,"Yes")="Yes",_xlfn.XLOOKUP("Service_Insecure_Match",'Scoring_Config'!$A:$A,'Scoring_Config'!$C:$C,20),0),0)+IF(LEFT(AN259,4)="True",IF(_xlfn.XLOOKUP("Risky_Inbound",'Scoring_Config'!$A:$A,'Scoring_Config'!$D:$D,"Yes")="Yes",_xlfn.XLOOKUP("Risky_Inbound",'Scoring_Config'!$A:$A,'Scoring_Config'!$C:$C,20),0),0)+IF(LEFT(AO259,4)="True",IF(_xlfn.XLOOKUP("Risky_Outbound",'Scoring_Config'!$A:$A,'Scoring_Config'!$D:$D,"Yes")="Yes",_xlfn.XLOOKUP("Risky_Outbound",'Scoring_Config'!$A:$A,'Scoring_Config'!$C:$C,10),0),0)+IF(LEFT(AW259,4)="True",IF(_xlfn.XLOOKUP("Migrate_Insecure",'Scoring_Config'!$A:$A,'Scoring_Config'!$D:$D,"Yes")="Yes",_xlfn.XLOOKUP("Migrate_Insecure",'Scoring_Config'!$A:$A,'Scoring_Config'!$C:$C,15),0),0)+IF(LEFT(AY259,4)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259,FIND(",",AP259)+1,100)),0)+IF(LEFT(AQ259,4)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259,FIND(",",AR259)+1,100)),0)+IF(_xlfn.XLOOKUP("Profile_Scoring",'Scoring_Config'!$A:$A,'Scoring_Config'!$D:$D,"Yes")="Yes",VALUE(MID(AS259,FIND(",",AS259)+1,100)),0)+IF(_xlfn.XLOOKUP("Options_Scoring",'Scoring_Config'!$A:$A,'Scoring_Config'!$D:$D,"Yes")="Yes",VALUE(MID(AT259,FIND(",",AT259)+1,100)),0)))</f>
        <v>0</v>
      </c>
    </row>
    <row r="260" spans="1:52">
      <c r="A260" s="3" t="s">
        <v>54</v>
      </c>
      <c r="B260" s="3" t="s">
        <v>235</v>
      </c>
      <c r="C260" s="3" t="s">
        <v>331</v>
      </c>
      <c r="D260" s="3" t="s">
        <v>341</v>
      </c>
      <c r="E260" s="3" t="s">
        <v>359</v>
      </c>
      <c r="F260" s="3" t="s">
        <v>361</v>
      </c>
      <c r="G260" s="3" t="s">
        <v>462</v>
      </c>
      <c r="H260" s="3" t="s">
        <v>587</v>
      </c>
      <c r="I260" s="3" t="s">
        <v>622</v>
      </c>
      <c r="J260" s="3" t="s">
        <v>360</v>
      </c>
      <c r="K260" s="3" t="s">
        <v>455</v>
      </c>
      <c r="L260" s="3" t="s">
        <v>584</v>
      </c>
      <c r="M260" s="3" t="s">
        <v>783</v>
      </c>
      <c r="N260" s="3" t="s">
        <v>799</v>
      </c>
      <c r="O260" s="4" t="s">
        <v>811</v>
      </c>
      <c r="P260" s="3" t="s">
        <v>872</v>
      </c>
      <c r="Q260" s="3" t="s">
        <v>905</v>
      </c>
      <c r="R260" s="3" t="s">
        <v>906</v>
      </c>
      <c r="S260" s="3" t="s">
        <v>916</v>
      </c>
      <c r="T260" s="3"/>
      <c r="U260" s="3" t="s">
        <v>1278</v>
      </c>
      <c r="V260" s="3" t="s">
        <v>1387</v>
      </c>
      <c r="W260" s="3" t="s">
        <v>1015</v>
      </c>
      <c r="X260" s="3" t="s">
        <v>1864</v>
      </c>
      <c r="Y260" s="3" t="s">
        <v>2333</v>
      </c>
      <c r="Z260" s="3"/>
      <c r="AA260" s="3" t="s">
        <v>2551</v>
      </c>
      <c r="AB260" s="3"/>
      <c r="AC260" s="4" cm="1">
        <f t="array" ref="AC260">IF(FALSE,"True," &amp; IF(_xlfn.XLOOKUP("Src_IsAny",'Scoring_Config'!$A:$A,'Scoring_Config'!$D:$D,"Yes")="Yes",_xlfn.XLOOKUP("Src_IsAny",'Scoring_Config'!$A:$A,'Scoring_Config'!$C:$C,25),0),"False,0")</f>
        <v>0</v>
      </c>
      <c r="AD260" s="5" cm="1">
        <f t="array" ref="AD260">IF(TRUE,"True," &amp; IF(_xlfn.XLOOKUP("Src_CIDR_Le_16",'Scoring_Config'!$A:$A,'Scoring_Config'!$D:$D,"Yes")="Yes",_xlfn.XLOOKUP("Src_CIDR_Le_16",'Scoring_Config'!$A:$A,'Scoring_Config'!$C:$C,25),0),"False,0")</f>
        <v>0</v>
      </c>
      <c r="AE260" s="4" cm="1">
        <f t="array" ref="AE260">IF(FALSE,"True," &amp; IF(_xlfn.XLOOKUP("Src_CIDR_17_22",'Scoring_Config'!$A:$A,'Scoring_Config'!$D:$D,"Yes")="Yes",_xlfn.XLOOKUP("Src_CIDR_17_22",'Scoring_Config'!$A:$A,'Scoring_Config'!$C:$C,15),0),"False,0")</f>
        <v>0</v>
      </c>
      <c r="AF260" s="4" cm="1">
        <f t="array" ref="AF260">IF(FALSE,"True," &amp; IF(_xlfn.XLOOKUP("Dst_IsAny",'Scoring_Config'!$A:$A,'Scoring_Config'!$D:$D,"Yes")="Yes",_xlfn.XLOOKUP("Dst_IsAny",'Scoring_Config'!$A:$A,'Scoring_Config'!$C:$C,25),0),"False,0")</f>
        <v>0</v>
      </c>
      <c r="AG260" s="4" cm="1">
        <f t="array" ref="AG260">IF(FALSE,"True," &amp; IF(_xlfn.XLOOKUP("Dst_CIDR_Le_16",'Scoring_Config'!$A:$A,'Scoring_Config'!$D:$D,"Yes")="Yes",_xlfn.XLOOKUP("Dst_CIDR_Le_16",'Scoring_Config'!$A:$A,'Scoring_Config'!$C:$C,25),0),"False,0")</f>
        <v>0</v>
      </c>
      <c r="AH260" s="4" cm="1">
        <f t="array" ref="AH260">IF(FALSE,"True," &amp; IF(_xlfn.XLOOKUP("Dst_CIDR_17_22",'Scoring_Config'!$A:$A,'Scoring_Config'!$D:$D,"Yes")="Yes",_xlfn.XLOOKUP("Dst_CIDR_17_22",'Scoring_Config'!$A:$A,'Scoring_Config'!$C:$C,15),0),"False,0")</f>
        <v>0</v>
      </c>
      <c r="AI260" s="4" cm="1">
        <f t="array" ref="AI260">IF(FALSE,"True," &amp; IF(_xlfn.XLOOKUP("SrcZone_IsAny",'Scoring_Config'!$A:$A,'Scoring_Config'!$D:$D,"Yes")="Yes",_xlfn.XLOOKUP("SrcZone_IsAny",'Scoring_Config'!$A:$A,'Scoring_Config'!$C:$C,5),0),"False,0")</f>
        <v>0</v>
      </c>
      <c r="AJ260" s="4" cm="1">
        <f t="array" ref="AJ260">IF(FALSE,"True," &amp; IF(_xlfn.XLOOKUP("DstZone_IsAny",'Scoring_Config'!$A:$A,'Scoring_Config'!$D:$D,"Yes")="Yes",_xlfn.XLOOKUP("DstZone_IsAny",'Scoring_Config'!$A:$A,'Scoring_Config'!$C:$C,5),0),"False,0")</f>
        <v>0</v>
      </c>
      <c r="AK260" s="4" cm="1">
        <f t="array" ref="AK26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0" s="4" cm="1">
        <f t="array" ref="AL260">IF(FALSE,"True," &amp; IF(_xlfn.XLOOKUP("App_Any_OR_RangeGt1000",'Scoring_Config'!$A:$A,'Scoring_Config'!$D:$D,"Yes")="Yes",_xlfn.XLOOKUP("App_Any_OR_RangeGt1000",'Scoring_Config'!$A:$A,'Scoring_Config'!$C:$C,25),0),"False,0")</f>
        <v>0</v>
      </c>
      <c r="AM260" s="5" cm="1">
        <f t="array" ref="AM260">IF(TRUE,"True," &amp; IF(_xlfn.XLOOKUP("Service_Insecure_Match",'Scoring_Config'!$A:$A,'Scoring_Config'!$D:$D,"Yes")="Yes",_xlfn.XLOOKUP("Service_Insecure_Match",'Scoring_Config'!$A:$A,'Scoring_Config'!$C:$C,20),0),"False,0")</f>
        <v>0</v>
      </c>
      <c r="AN260" s="4" cm="1">
        <f t="array" ref="AN260">IF(FALSE,"True," &amp; IF(_xlfn.XLOOKUP("Risky_Inbound",'Scoring_Config'!$A:$A,'Scoring_Config'!$D:$D,"Yes")="Yes",_xlfn.XLOOKUP("Risky_Inbound",'Scoring_Config'!$A:$A,'Scoring_Config'!$C:$C,20),0),"False,0")</f>
        <v>0</v>
      </c>
      <c r="AO260" s="4" cm="1">
        <f t="array" ref="AO260">IF(FALSE,"True," &amp; IF(_xlfn.XLOOKUP("Risky_Outbound",'Scoring_Config'!$A:$A,'Scoring_Config'!$D:$D,"Yes")="Yes",_xlfn.XLOOKUP("Risky_Outbound",'Scoring_Config'!$A:$A,'Scoring_Config'!$C:$C,10),0),"False,0")</f>
        <v>0</v>
      </c>
      <c r="AP260" s="5" t="s">
        <v>2595</v>
      </c>
      <c r="AQ260" s="4" cm="1">
        <f t="array" ref="AQ26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0" s="5" t="s">
        <v>2598</v>
      </c>
      <c r="AS260" s="4" t="s">
        <v>2592</v>
      </c>
      <c r="AT260" s="4" t="s">
        <v>2592</v>
      </c>
      <c r="AU260" s="4" cm="1">
        <f t="array" ref="AU260">IF(FALSE,"True," &amp; IF(_xlfn.XLOOKUP("Action_IsDenyOrDrop",'Scoring_Config'!$A:$A,'Scoring_Config'!$D:$D,"Yes")="Yes",_xlfn.XLOOKUP("Action_IsDenyOrDrop",'Scoring_Config'!$A:$A,'Scoring_Config'!$C:$C,0),0),"False,0")</f>
        <v>0</v>
      </c>
      <c r="AV260" s="4"/>
      <c r="AW260" s="4" cm="1">
        <f t="array" ref="AW260">IF(FALSE,"True," &amp; IF(_xlfn.XLOOKUP("Migrate_Insecure",'Scoring_Config'!$A:$A,'Scoring_Config'!$D:$D,"Yes")="Yes",_xlfn.XLOOKUP("Migrate_Insecure",'Scoring_Config'!$A:$A,'Scoring_Config'!$C:$C,15),0),"False,0")</f>
        <v>0</v>
      </c>
      <c r="AX260" s="4"/>
      <c r="AY260" s="4" cm="1">
        <f t="array" ref="AY260">IF(FALSE,"True," &amp; IF(_xlfn.XLOOKUP("Migrate_Other_Ports",'Scoring_Config'!$A:$A,'Scoring_Config'!$D:$D,"Yes")="Yes",_xlfn.XLOOKUP("Migrate_Other_Ports",'Scoring_Config'!$A:$A,'Scoring_Config'!$C:$C,5),0),"False,0")</f>
        <v>0</v>
      </c>
      <c r="AZ260" s="4" cm="1">
        <f t="array" ref="AZ260">IF(LEFT(AU260,4)="True",0,(IF(LEFT(AC260,4)="True",IF(_xlfn.XLOOKUP("Src_IsAny",'Scoring_Config'!$A:$A,'Scoring_Config'!$D:$D,"Yes")="Yes",_xlfn.XLOOKUP("Src_IsAny",'Scoring_Config'!$A:$A,'Scoring_Config'!$C:$C,25),0),0)+IF(LEFT(AD260,4)="True",IF(_xlfn.XLOOKUP("Src_CIDR_Le_16",'Scoring_Config'!$A:$A,'Scoring_Config'!$D:$D,"Yes")="Yes",_xlfn.XLOOKUP("Src_CIDR_Le_16",'Scoring_Config'!$A:$A,'Scoring_Config'!$C:$C,25),0),0)+IF(LEFT(AE260,4)="True",IF(_xlfn.XLOOKUP("Src_CIDR_17_22",'Scoring_Config'!$A:$A,'Scoring_Config'!$D:$D,"Yes")="Yes",_xlfn.XLOOKUP("Src_CIDR_17_22",'Scoring_Config'!$A:$A,'Scoring_Config'!$C:$C,15),0),0)+IF(LEFT(AF260,4)="True",IF(_xlfn.XLOOKUP("Dst_IsAny",'Scoring_Config'!$A:$A,'Scoring_Config'!$D:$D,"Yes")="Yes",_xlfn.XLOOKUP("Dst_IsAny",'Scoring_Config'!$A:$A,'Scoring_Config'!$C:$C,25),0),0)+IF(LEFT(AG260,4)="True",IF(_xlfn.XLOOKUP("Dst_CIDR_Le_16",'Scoring_Config'!$A:$A,'Scoring_Config'!$D:$D,"Yes")="Yes",_xlfn.XLOOKUP("Dst_CIDR_Le_16",'Scoring_Config'!$A:$A,'Scoring_Config'!$C:$C,25),0),0)+IF(LEFT(AH260,4)="True",IF(_xlfn.XLOOKUP("Dst_CIDR_17_22",'Scoring_Config'!$A:$A,'Scoring_Config'!$D:$D,"Yes")="Yes",_xlfn.XLOOKUP("Dst_CIDR_17_22",'Scoring_Config'!$A:$A,'Scoring_Config'!$C:$C,15),0),0)+IF(LEFT(AI260,4)="True",IF(_xlfn.XLOOKUP("SrcZone_IsAny",'Scoring_Config'!$A:$A,'Scoring_Config'!$D:$D,"Yes")="Yes",_xlfn.XLOOKUP("SrcZone_IsAny",'Scoring_Config'!$A:$A,'Scoring_Config'!$C:$C,5),0),0)+IF(LEFT(AJ260,4)="True",IF(_xlfn.XLOOKUP("DstZone_IsAny",'Scoring_Config'!$A:$A,'Scoring_Config'!$D:$D,"Yes")="Yes",_xlfn.XLOOKUP("DstZone_IsAny",'Scoring_Config'!$A:$A,'Scoring_Config'!$C:$C,5),0),0)+IF(LEFT(AK260,4)="True",IF(_xlfn.XLOOKUP("Service_Any_OR_RangeGt1000",'Scoring_Config'!$A:$A,'Scoring_Config'!$D:$D,"Yes")="Yes",_xlfn.XLOOKUP("Service_Any_OR_RangeGt1000",'Scoring_Config'!$A:$A,'Scoring_Config'!$C:$C,25),0),0)+IF(LEFT(AL260,4)="True",IF(_xlfn.XLOOKUP("App_Any_OR_RangeGt1000",'Scoring_Config'!$A:$A,'Scoring_Config'!$D:$D,"Yes")="Yes",_xlfn.XLOOKUP("App_Any_OR_RangeGt1000",'Scoring_Config'!$A:$A,'Scoring_Config'!$C:$C,25),0),0)+IF(LEFT(AM260,4)="True",IF(_xlfn.XLOOKUP("Service_Insecure_Match",'Scoring_Config'!$A:$A,'Scoring_Config'!$D:$D,"Yes")="Yes",_xlfn.XLOOKUP("Service_Insecure_Match",'Scoring_Config'!$A:$A,'Scoring_Config'!$C:$C,20),0),0)+IF(LEFT(AN260,4)="True",IF(_xlfn.XLOOKUP("Risky_Inbound",'Scoring_Config'!$A:$A,'Scoring_Config'!$D:$D,"Yes")="Yes",_xlfn.XLOOKUP("Risky_Inbound",'Scoring_Config'!$A:$A,'Scoring_Config'!$C:$C,20),0),0)+IF(LEFT(AO260,4)="True",IF(_xlfn.XLOOKUP("Risky_Outbound",'Scoring_Config'!$A:$A,'Scoring_Config'!$D:$D,"Yes")="Yes",_xlfn.XLOOKUP("Risky_Outbound",'Scoring_Config'!$A:$A,'Scoring_Config'!$C:$C,10),0),0)+IF(LEFT(AW260,4)="True",IF(_xlfn.XLOOKUP("Migrate_Insecure",'Scoring_Config'!$A:$A,'Scoring_Config'!$D:$D,"Yes")="Yes",_xlfn.XLOOKUP("Migrate_Insecure",'Scoring_Config'!$A:$A,'Scoring_Config'!$C:$C,15),0),0)+IF(LEFT(AY260,4)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260,FIND(",",AP260)+1,100)),0)+IF(LEFT(AQ260,4)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260,FIND(",",AR260)+1,100)),0)+IF(_xlfn.XLOOKUP("Profile_Scoring",'Scoring_Config'!$A:$A,'Scoring_Config'!$D:$D,"Yes")="Yes",VALUE(MID(AS260,FIND(",",AS260)+1,100)),0)+IF(_xlfn.XLOOKUP("Options_Scoring",'Scoring_Config'!$A:$A,'Scoring_Config'!$D:$D,"Yes")="Yes",VALUE(MID(AT260,FIND(",",AT260)+1,100)),0)))</f>
        <v>0</v>
      </c>
    </row>
    <row r="261" spans="1:52">
      <c r="A261" s="3" t="s">
        <v>54</v>
      </c>
      <c r="B261" s="3" t="s">
        <v>107</v>
      </c>
      <c r="C261" s="3" t="s">
        <v>331</v>
      </c>
      <c r="D261" s="3" t="s">
        <v>342</v>
      </c>
      <c r="E261" s="3" t="s">
        <v>359</v>
      </c>
      <c r="F261" s="3" t="s">
        <v>361</v>
      </c>
      <c r="G261" s="3" t="s">
        <v>365</v>
      </c>
      <c r="H261" s="3" t="s">
        <v>365</v>
      </c>
      <c r="I261" s="3" t="s">
        <v>623</v>
      </c>
      <c r="J261" s="3" t="s">
        <v>360</v>
      </c>
      <c r="K261" s="3" t="s">
        <v>646</v>
      </c>
      <c r="L261" s="3" t="s">
        <v>646</v>
      </c>
      <c r="M261" s="3" t="s">
        <v>365</v>
      </c>
      <c r="N261" s="3" t="s">
        <v>365</v>
      </c>
      <c r="O261" s="4" t="s">
        <v>827</v>
      </c>
      <c r="P261" s="3" t="s">
        <v>888</v>
      </c>
      <c r="Q261" s="3" t="s">
        <v>905</v>
      </c>
      <c r="R261" s="3" t="s">
        <v>911</v>
      </c>
      <c r="S261" s="3" t="s">
        <v>907</v>
      </c>
      <c r="T261" s="3"/>
      <c r="U261" s="3" t="s">
        <v>1279</v>
      </c>
      <c r="V261" s="3" t="s">
        <v>789</v>
      </c>
      <c r="W261" s="3" t="s">
        <v>1535</v>
      </c>
      <c r="X261" s="3" t="s">
        <v>1865</v>
      </c>
      <c r="Y261" s="3" t="s">
        <v>2334</v>
      </c>
      <c r="Z261" s="3"/>
      <c r="AA261" s="3" t="s">
        <v>2552</v>
      </c>
      <c r="AB261" s="3"/>
      <c r="AC261" s="5" cm="1">
        <f t="array" ref="AC261">IF(TRUE,"True," &amp; IF(_xlfn.XLOOKUP("Src_IsAny",'Scoring_Config'!$A:$A,'Scoring_Config'!$D:$D,"Yes")="Yes",_xlfn.XLOOKUP("Src_IsAny",'Scoring_Config'!$A:$A,'Scoring_Config'!$C:$C,25),0),"False,0")</f>
        <v>0</v>
      </c>
      <c r="AD261" s="4" cm="1">
        <f t="array" ref="AD261">IF(FALSE,"True," &amp; IF(_xlfn.XLOOKUP("Src_CIDR_Le_16",'Scoring_Config'!$A:$A,'Scoring_Config'!$D:$D,"Yes")="Yes",_xlfn.XLOOKUP("Src_CIDR_Le_16",'Scoring_Config'!$A:$A,'Scoring_Config'!$C:$C,25),0),"False,0")</f>
        <v>0</v>
      </c>
      <c r="AE261" s="4" cm="1">
        <f t="array" ref="AE261">IF(FALSE,"True," &amp; IF(_xlfn.XLOOKUP("Src_CIDR_17_22",'Scoring_Config'!$A:$A,'Scoring_Config'!$D:$D,"Yes")="Yes",_xlfn.XLOOKUP("Src_CIDR_17_22",'Scoring_Config'!$A:$A,'Scoring_Config'!$C:$C,15),0),"False,0")</f>
        <v>0</v>
      </c>
      <c r="AF261" s="4" cm="1">
        <f t="array" ref="AF261">IF(FALSE,"True," &amp; IF(_xlfn.XLOOKUP("Dst_IsAny",'Scoring_Config'!$A:$A,'Scoring_Config'!$D:$D,"Yes")="Yes",_xlfn.XLOOKUP("Dst_IsAny",'Scoring_Config'!$A:$A,'Scoring_Config'!$C:$C,25),0),"False,0")</f>
        <v>0</v>
      </c>
      <c r="AG261" s="5" cm="1">
        <f t="array" ref="AG261">IF(TRUE,"True," &amp; IF(_xlfn.XLOOKUP("Dst_CIDR_Le_16",'Scoring_Config'!$A:$A,'Scoring_Config'!$D:$D,"Yes")="Yes",_xlfn.XLOOKUP("Dst_CIDR_Le_16",'Scoring_Config'!$A:$A,'Scoring_Config'!$C:$C,25),0),"False,0")</f>
        <v>0</v>
      </c>
      <c r="AH261" s="4" cm="1">
        <f t="array" ref="AH261">IF(FALSE,"True," &amp; IF(_xlfn.XLOOKUP("Dst_CIDR_17_22",'Scoring_Config'!$A:$A,'Scoring_Config'!$D:$D,"Yes")="Yes",_xlfn.XLOOKUP("Dst_CIDR_17_22",'Scoring_Config'!$A:$A,'Scoring_Config'!$C:$C,15),0),"False,0")</f>
        <v>0</v>
      </c>
      <c r="AI261" s="4" cm="1">
        <f t="array" ref="AI261">IF(FALSE,"True," &amp; IF(_xlfn.XLOOKUP("SrcZone_IsAny",'Scoring_Config'!$A:$A,'Scoring_Config'!$D:$D,"Yes")="Yes",_xlfn.XLOOKUP("SrcZone_IsAny",'Scoring_Config'!$A:$A,'Scoring_Config'!$C:$C,5),0),"False,0")</f>
        <v>0</v>
      </c>
      <c r="AJ261" s="4" cm="1">
        <f t="array" ref="AJ261">IF(FALSE,"True," &amp; IF(_xlfn.XLOOKUP("DstZone_IsAny",'Scoring_Config'!$A:$A,'Scoring_Config'!$D:$D,"Yes")="Yes",_xlfn.XLOOKUP("DstZone_IsAny",'Scoring_Config'!$A:$A,'Scoring_Config'!$C:$C,5),0),"False,0")</f>
        <v>0</v>
      </c>
      <c r="AK261" s="4" cm="1">
        <f t="array" ref="AK26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1" s="5" cm="1">
        <f t="array" ref="AL261">IF(TRUE,"True," &amp; IF(_xlfn.XLOOKUP("App_Any_OR_RangeGt1000",'Scoring_Config'!$A:$A,'Scoring_Config'!$D:$D,"Yes")="Yes",_xlfn.XLOOKUP("App_Any_OR_RangeGt1000",'Scoring_Config'!$A:$A,'Scoring_Config'!$C:$C,25),0),"False,0")</f>
        <v>0</v>
      </c>
      <c r="AM261" s="5" cm="1">
        <f t="array" ref="AM261">IF(TRUE,"True," &amp; IF(_xlfn.XLOOKUP("Service_Insecure_Match",'Scoring_Config'!$A:$A,'Scoring_Config'!$D:$D,"Yes")="Yes",_xlfn.XLOOKUP("Service_Insecure_Match",'Scoring_Config'!$A:$A,'Scoring_Config'!$C:$C,20),0),"False,0")</f>
        <v>0</v>
      </c>
      <c r="AN261" s="4" cm="1">
        <f t="array" ref="AN261">IF(FALSE,"True," &amp; IF(_xlfn.XLOOKUP("Risky_Inbound",'Scoring_Config'!$A:$A,'Scoring_Config'!$D:$D,"Yes")="Yes",_xlfn.XLOOKUP("Risky_Inbound",'Scoring_Config'!$A:$A,'Scoring_Config'!$C:$C,20),0),"False,0")</f>
        <v>0</v>
      </c>
      <c r="AO261" s="4" cm="1">
        <f t="array" ref="AO261">IF(FALSE,"True," &amp; IF(_xlfn.XLOOKUP("Risky_Outbound",'Scoring_Config'!$A:$A,'Scoring_Config'!$D:$D,"Yes")="Yes",_xlfn.XLOOKUP("Risky_Outbound",'Scoring_Config'!$A:$A,'Scoring_Config'!$C:$C,10),0),"False,0")</f>
        <v>0</v>
      </c>
      <c r="AP261" s="5" t="s">
        <v>2595</v>
      </c>
      <c r="AQ261" s="4" cm="1">
        <f t="array" ref="AQ26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1" s="5" t="s">
        <v>2598</v>
      </c>
      <c r="AS261" s="4" t="s">
        <v>2592</v>
      </c>
      <c r="AT261" s="5" t="s">
        <v>2595</v>
      </c>
      <c r="AU261" s="4" cm="1">
        <f t="array" ref="AU261">IF(FALSE,"True," &amp; IF(_xlfn.XLOOKUP("Action_IsDenyOrDrop",'Scoring_Config'!$A:$A,'Scoring_Config'!$D:$D,"Yes")="Yes",_xlfn.XLOOKUP("Action_IsDenyOrDrop",'Scoring_Config'!$A:$A,'Scoring_Config'!$C:$C,0),0),"False,0")</f>
        <v>0</v>
      </c>
      <c r="AV261" s="4"/>
      <c r="AW261" s="4" cm="1">
        <f t="array" ref="AW261">IF(FALSE,"True," &amp; IF(_xlfn.XLOOKUP("Migrate_Insecure",'Scoring_Config'!$A:$A,'Scoring_Config'!$D:$D,"Yes")="Yes",_xlfn.XLOOKUP("Migrate_Insecure",'Scoring_Config'!$A:$A,'Scoring_Config'!$C:$C,15),0),"False,0")</f>
        <v>0</v>
      </c>
      <c r="AX261" s="4"/>
      <c r="AY261" s="4" cm="1">
        <f t="array" ref="AY261">IF(FALSE,"True," &amp; IF(_xlfn.XLOOKUP("Migrate_Other_Ports",'Scoring_Config'!$A:$A,'Scoring_Config'!$D:$D,"Yes")="Yes",_xlfn.XLOOKUP("Migrate_Other_Ports",'Scoring_Config'!$A:$A,'Scoring_Config'!$C:$C,5),0),"False,0")</f>
        <v>0</v>
      </c>
      <c r="AZ261" s="4" cm="1">
        <f t="array" ref="AZ261">IF(LEFT(AU261,4)="True",0,(IF(LEFT(AC261,4)="True",IF(_xlfn.XLOOKUP("Src_IsAny",'Scoring_Config'!$A:$A,'Scoring_Config'!$D:$D,"Yes")="Yes",_xlfn.XLOOKUP("Src_IsAny",'Scoring_Config'!$A:$A,'Scoring_Config'!$C:$C,25),0),0)+IF(LEFT(AD261,4)="True",IF(_xlfn.XLOOKUP("Src_CIDR_Le_16",'Scoring_Config'!$A:$A,'Scoring_Config'!$D:$D,"Yes")="Yes",_xlfn.XLOOKUP("Src_CIDR_Le_16",'Scoring_Config'!$A:$A,'Scoring_Config'!$C:$C,25),0),0)+IF(LEFT(AE261,4)="True",IF(_xlfn.XLOOKUP("Src_CIDR_17_22",'Scoring_Config'!$A:$A,'Scoring_Config'!$D:$D,"Yes")="Yes",_xlfn.XLOOKUP("Src_CIDR_17_22",'Scoring_Config'!$A:$A,'Scoring_Config'!$C:$C,15),0),0)+IF(LEFT(AF261,4)="True",IF(_xlfn.XLOOKUP("Dst_IsAny",'Scoring_Config'!$A:$A,'Scoring_Config'!$D:$D,"Yes")="Yes",_xlfn.XLOOKUP("Dst_IsAny",'Scoring_Config'!$A:$A,'Scoring_Config'!$C:$C,25),0),0)+IF(LEFT(AG261,4)="True",IF(_xlfn.XLOOKUP("Dst_CIDR_Le_16",'Scoring_Config'!$A:$A,'Scoring_Config'!$D:$D,"Yes")="Yes",_xlfn.XLOOKUP("Dst_CIDR_Le_16",'Scoring_Config'!$A:$A,'Scoring_Config'!$C:$C,25),0),0)+IF(LEFT(AH261,4)="True",IF(_xlfn.XLOOKUP("Dst_CIDR_17_22",'Scoring_Config'!$A:$A,'Scoring_Config'!$D:$D,"Yes")="Yes",_xlfn.XLOOKUP("Dst_CIDR_17_22",'Scoring_Config'!$A:$A,'Scoring_Config'!$C:$C,15),0),0)+IF(LEFT(AI261,4)="True",IF(_xlfn.XLOOKUP("SrcZone_IsAny",'Scoring_Config'!$A:$A,'Scoring_Config'!$D:$D,"Yes")="Yes",_xlfn.XLOOKUP("SrcZone_IsAny",'Scoring_Config'!$A:$A,'Scoring_Config'!$C:$C,5),0),0)+IF(LEFT(AJ261,4)="True",IF(_xlfn.XLOOKUP("DstZone_IsAny",'Scoring_Config'!$A:$A,'Scoring_Config'!$D:$D,"Yes")="Yes",_xlfn.XLOOKUP("DstZone_IsAny",'Scoring_Config'!$A:$A,'Scoring_Config'!$C:$C,5),0),0)+IF(LEFT(AK261,4)="True",IF(_xlfn.XLOOKUP("Service_Any_OR_RangeGt1000",'Scoring_Config'!$A:$A,'Scoring_Config'!$D:$D,"Yes")="Yes",_xlfn.XLOOKUP("Service_Any_OR_RangeGt1000",'Scoring_Config'!$A:$A,'Scoring_Config'!$C:$C,25),0),0)+IF(LEFT(AL261,4)="True",IF(_xlfn.XLOOKUP("App_Any_OR_RangeGt1000",'Scoring_Config'!$A:$A,'Scoring_Config'!$D:$D,"Yes")="Yes",_xlfn.XLOOKUP("App_Any_OR_RangeGt1000",'Scoring_Config'!$A:$A,'Scoring_Config'!$C:$C,25),0),0)+IF(LEFT(AM261,4)="True",IF(_xlfn.XLOOKUP("Service_Insecure_Match",'Scoring_Config'!$A:$A,'Scoring_Config'!$D:$D,"Yes")="Yes",_xlfn.XLOOKUP("Service_Insecure_Match",'Scoring_Config'!$A:$A,'Scoring_Config'!$C:$C,20),0),0)+IF(LEFT(AN261,4)="True",IF(_xlfn.XLOOKUP("Risky_Inbound",'Scoring_Config'!$A:$A,'Scoring_Config'!$D:$D,"Yes")="Yes",_xlfn.XLOOKUP("Risky_Inbound",'Scoring_Config'!$A:$A,'Scoring_Config'!$C:$C,20),0),0)+IF(LEFT(AO261,4)="True",IF(_xlfn.XLOOKUP("Risky_Outbound",'Scoring_Config'!$A:$A,'Scoring_Config'!$D:$D,"Yes")="Yes",_xlfn.XLOOKUP("Risky_Outbound",'Scoring_Config'!$A:$A,'Scoring_Config'!$C:$C,10),0),0)+IF(LEFT(AW261,4)="True",IF(_xlfn.XLOOKUP("Migrate_Insecure",'Scoring_Config'!$A:$A,'Scoring_Config'!$D:$D,"Yes")="Yes",_xlfn.XLOOKUP("Migrate_Insecure",'Scoring_Config'!$A:$A,'Scoring_Config'!$C:$C,15),0),0)+IF(LEFT(AY261,4)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261,FIND(",",AP261)+1,100)),0)+IF(LEFT(AQ261,4)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261,FIND(",",AR261)+1,100)),0)+IF(_xlfn.XLOOKUP("Profile_Scoring",'Scoring_Config'!$A:$A,'Scoring_Config'!$D:$D,"Yes")="Yes",VALUE(MID(AS261,FIND(",",AS261)+1,100)),0)+IF(_xlfn.XLOOKUP("Options_Scoring",'Scoring_Config'!$A:$A,'Scoring_Config'!$D:$D,"Yes")="Yes",VALUE(MID(AT261,FIND(",",AT261)+1,100)),0)))</f>
        <v>0</v>
      </c>
    </row>
    <row r="262" spans="1:52">
      <c r="A262" s="3" t="s">
        <v>54</v>
      </c>
      <c r="B262" s="3" t="s">
        <v>236</v>
      </c>
      <c r="C262" s="3" t="s">
        <v>331</v>
      </c>
      <c r="D262" s="3" t="s">
        <v>343</v>
      </c>
      <c r="E262" s="3" t="s">
        <v>359</v>
      </c>
      <c r="F262" s="3" t="s">
        <v>362</v>
      </c>
      <c r="G262" s="3" t="s">
        <v>463</v>
      </c>
      <c r="H262" s="3" t="s">
        <v>482</v>
      </c>
      <c r="I262" s="3" t="s">
        <v>624</v>
      </c>
      <c r="J262" s="3" t="s">
        <v>362</v>
      </c>
      <c r="K262" s="3" t="s">
        <v>365</v>
      </c>
      <c r="L262" s="3" t="s">
        <v>365</v>
      </c>
      <c r="M262" s="3" t="s">
        <v>784</v>
      </c>
      <c r="N262" s="3" t="s">
        <v>800</v>
      </c>
      <c r="O262" s="4" t="s">
        <v>812</v>
      </c>
      <c r="P262" s="3" t="s">
        <v>873</v>
      </c>
      <c r="Q262" s="3" t="s">
        <v>904</v>
      </c>
      <c r="R262" s="3" t="s">
        <v>911</v>
      </c>
      <c r="S262" s="3" t="s">
        <v>914</v>
      </c>
      <c r="T262" s="3"/>
      <c r="U262" s="3" t="s">
        <v>1157</v>
      </c>
      <c r="V262" s="3" t="s">
        <v>1387</v>
      </c>
      <c r="W262" s="3" t="s">
        <v>1524</v>
      </c>
      <c r="X262" s="3" t="s">
        <v>1866</v>
      </c>
      <c r="Y262" s="3" t="s">
        <v>2335</v>
      </c>
      <c r="Z262" s="3"/>
      <c r="AA262" s="3" t="s">
        <v>2553</v>
      </c>
      <c r="AB262" s="3"/>
      <c r="AC262" s="4" cm="1">
        <f t="array" ref="AC262">IF(FALSE,"True," &amp; IF(_xlfn.XLOOKUP("Src_IsAny",'Scoring_Config'!$A:$A,'Scoring_Config'!$D:$D,"Yes")="Yes",_xlfn.XLOOKUP("Src_IsAny",'Scoring_Config'!$A:$A,'Scoring_Config'!$C:$C,25),0),"False,0")</f>
        <v>0</v>
      </c>
      <c r="AD262" s="4" cm="1">
        <f t="array" ref="AD262">IF(FALSE,"True," &amp; IF(_xlfn.XLOOKUP("Src_CIDR_Le_16",'Scoring_Config'!$A:$A,'Scoring_Config'!$D:$D,"Yes")="Yes",_xlfn.XLOOKUP("Src_CIDR_Le_16",'Scoring_Config'!$A:$A,'Scoring_Config'!$C:$C,25),0),"False,0")</f>
        <v>0</v>
      </c>
      <c r="AE262" s="4" cm="1">
        <f t="array" ref="AE262">IF(FALSE,"True," &amp; IF(_xlfn.XLOOKUP("Src_CIDR_17_22",'Scoring_Config'!$A:$A,'Scoring_Config'!$D:$D,"Yes")="Yes",_xlfn.XLOOKUP("Src_CIDR_17_22",'Scoring_Config'!$A:$A,'Scoring_Config'!$C:$C,15),0),"False,0")</f>
        <v>0</v>
      </c>
      <c r="AF262" s="5" cm="1">
        <f t="array" ref="AF262">IF(TRUE,"True," &amp; IF(_xlfn.XLOOKUP("Dst_IsAny",'Scoring_Config'!$A:$A,'Scoring_Config'!$D:$D,"Yes")="Yes",_xlfn.XLOOKUP("Dst_IsAny",'Scoring_Config'!$A:$A,'Scoring_Config'!$C:$C,25),0),"False,0")</f>
        <v>0</v>
      </c>
      <c r="AG262" s="4" cm="1">
        <f t="array" ref="AG262">IF(FALSE,"True," &amp; IF(_xlfn.XLOOKUP("Dst_CIDR_Le_16",'Scoring_Config'!$A:$A,'Scoring_Config'!$D:$D,"Yes")="Yes",_xlfn.XLOOKUP("Dst_CIDR_Le_16",'Scoring_Config'!$A:$A,'Scoring_Config'!$C:$C,25),0),"False,0")</f>
        <v>0</v>
      </c>
      <c r="AH262" s="4" cm="1">
        <f t="array" ref="AH262">IF(FALSE,"True," &amp; IF(_xlfn.XLOOKUP("Dst_CIDR_17_22",'Scoring_Config'!$A:$A,'Scoring_Config'!$D:$D,"Yes")="Yes",_xlfn.XLOOKUP("Dst_CIDR_17_22",'Scoring_Config'!$A:$A,'Scoring_Config'!$C:$C,15),0),"False,0")</f>
        <v>0</v>
      </c>
      <c r="AI262" s="4" cm="1">
        <f t="array" ref="AI262">IF(FALSE,"True," &amp; IF(_xlfn.XLOOKUP("SrcZone_IsAny",'Scoring_Config'!$A:$A,'Scoring_Config'!$D:$D,"Yes")="Yes",_xlfn.XLOOKUP("SrcZone_IsAny",'Scoring_Config'!$A:$A,'Scoring_Config'!$C:$C,5),0),"False,0")</f>
        <v>0</v>
      </c>
      <c r="AJ262" s="4" cm="1">
        <f t="array" ref="AJ262">IF(FALSE,"True," &amp; IF(_xlfn.XLOOKUP("DstZone_IsAny",'Scoring_Config'!$A:$A,'Scoring_Config'!$D:$D,"Yes")="Yes",_xlfn.XLOOKUP("DstZone_IsAny",'Scoring_Config'!$A:$A,'Scoring_Config'!$C:$C,5),0),"False,0")</f>
        <v>0</v>
      </c>
      <c r="AK262" s="4" cm="1">
        <f t="array" ref="AK26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2" s="4" cm="1">
        <f t="array" ref="AL262">IF(FALSE,"True," &amp; IF(_xlfn.XLOOKUP("App_Any_OR_RangeGt1000",'Scoring_Config'!$A:$A,'Scoring_Config'!$D:$D,"Yes")="Yes",_xlfn.XLOOKUP("App_Any_OR_RangeGt1000",'Scoring_Config'!$A:$A,'Scoring_Config'!$C:$C,25),0),"False,0")</f>
        <v>0</v>
      </c>
      <c r="AM262" s="4" cm="1">
        <f t="array" ref="AM262">IF(FALSE,"True," &amp; IF(_xlfn.XLOOKUP("Service_Insecure_Match",'Scoring_Config'!$A:$A,'Scoring_Config'!$D:$D,"Yes")="Yes",_xlfn.XLOOKUP("Service_Insecure_Match",'Scoring_Config'!$A:$A,'Scoring_Config'!$C:$C,20),0),"False,0")</f>
        <v>0</v>
      </c>
      <c r="AN262" s="4" cm="1">
        <f t="array" ref="AN262">IF(FALSE,"True," &amp; IF(_xlfn.XLOOKUP("Risky_Inbound",'Scoring_Config'!$A:$A,'Scoring_Config'!$D:$D,"Yes")="Yes",_xlfn.XLOOKUP("Risky_Inbound",'Scoring_Config'!$A:$A,'Scoring_Config'!$C:$C,20),0),"False,0")</f>
        <v>0</v>
      </c>
      <c r="AO262" s="4" cm="1">
        <f t="array" ref="AO262">IF(FALSE,"True," &amp; IF(_xlfn.XLOOKUP("Risky_Outbound",'Scoring_Config'!$A:$A,'Scoring_Config'!$D:$D,"Yes")="Yes",_xlfn.XLOOKUP("Risky_Outbound",'Scoring_Config'!$A:$A,'Scoring_Config'!$C:$C,10),0),"False,0")</f>
        <v>0</v>
      </c>
      <c r="AP262" s="5" t="s">
        <v>2595</v>
      </c>
      <c r="AQ262" s="5" cm="1">
        <f t="array" ref="AQ26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2" s="5" t="s">
        <v>2598</v>
      </c>
      <c r="AS262" s="4" t="s">
        <v>2592</v>
      </c>
      <c r="AT262" s="4" t="s">
        <v>2592</v>
      </c>
      <c r="AU262" s="5" cm="1">
        <f t="array" ref="AU262">IF(TRUE,"True," &amp; IF(_xlfn.XLOOKUP("Action_IsDenyOrDrop",'Scoring_Config'!$A:$A,'Scoring_Config'!$D:$D,"Yes")="Yes",_xlfn.XLOOKUP("Action_IsDenyOrDrop",'Scoring_Config'!$A:$A,'Scoring_Config'!$C:$C,0),0),"False,0")</f>
        <v>0</v>
      </c>
      <c r="AV262" s="4"/>
      <c r="AW262" s="4" cm="1">
        <f t="array" ref="AW262">IF(FALSE,"True," &amp; IF(_xlfn.XLOOKUP("Migrate_Insecure",'Scoring_Config'!$A:$A,'Scoring_Config'!$D:$D,"Yes")="Yes",_xlfn.XLOOKUP("Migrate_Insecure",'Scoring_Config'!$A:$A,'Scoring_Config'!$C:$C,15),0),"False,0")</f>
        <v>0</v>
      </c>
      <c r="AX262" s="4"/>
      <c r="AY262" s="4" cm="1">
        <f t="array" ref="AY262">IF(FALSE,"True," &amp; IF(_xlfn.XLOOKUP("Migrate_Other_Ports",'Scoring_Config'!$A:$A,'Scoring_Config'!$D:$D,"Yes")="Yes",_xlfn.XLOOKUP("Migrate_Other_Ports",'Scoring_Config'!$A:$A,'Scoring_Config'!$C:$C,5),0),"False,0")</f>
        <v>0</v>
      </c>
      <c r="AZ262" s="4" cm="1">
        <f t="array" ref="AZ262">IF(LEFT(AU262,4)="True",0,(IF(LEFT(AC262,4)="True",IF(_xlfn.XLOOKUP("Src_IsAny",'Scoring_Config'!$A:$A,'Scoring_Config'!$D:$D,"Yes")="Yes",_xlfn.XLOOKUP("Src_IsAny",'Scoring_Config'!$A:$A,'Scoring_Config'!$C:$C,25),0),0)+IF(LEFT(AD262,4)="True",IF(_xlfn.XLOOKUP("Src_CIDR_Le_16",'Scoring_Config'!$A:$A,'Scoring_Config'!$D:$D,"Yes")="Yes",_xlfn.XLOOKUP("Src_CIDR_Le_16",'Scoring_Config'!$A:$A,'Scoring_Config'!$C:$C,25),0),0)+IF(LEFT(AE262,4)="True",IF(_xlfn.XLOOKUP("Src_CIDR_17_22",'Scoring_Config'!$A:$A,'Scoring_Config'!$D:$D,"Yes")="Yes",_xlfn.XLOOKUP("Src_CIDR_17_22",'Scoring_Config'!$A:$A,'Scoring_Config'!$C:$C,15),0),0)+IF(LEFT(AF262,4)="True",IF(_xlfn.XLOOKUP("Dst_IsAny",'Scoring_Config'!$A:$A,'Scoring_Config'!$D:$D,"Yes")="Yes",_xlfn.XLOOKUP("Dst_IsAny",'Scoring_Config'!$A:$A,'Scoring_Config'!$C:$C,25),0),0)+IF(LEFT(AG262,4)="True",IF(_xlfn.XLOOKUP("Dst_CIDR_Le_16",'Scoring_Config'!$A:$A,'Scoring_Config'!$D:$D,"Yes")="Yes",_xlfn.XLOOKUP("Dst_CIDR_Le_16",'Scoring_Config'!$A:$A,'Scoring_Config'!$C:$C,25),0),0)+IF(LEFT(AH262,4)="True",IF(_xlfn.XLOOKUP("Dst_CIDR_17_22",'Scoring_Config'!$A:$A,'Scoring_Config'!$D:$D,"Yes")="Yes",_xlfn.XLOOKUP("Dst_CIDR_17_22",'Scoring_Config'!$A:$A,'Scoring_Config'!$C:$C,15),0),0)+IF(LEFT(AI262,4)="True",IF(_xlfn.XLOOKUP("SrcZone_IsAny",'Scoring_Config'!$A:$A,'Scoring_Config'!$D:$D,"Yes")="Yes",_xlfn.XLOOKUP("SrcZone_IsAny",'Scoring_Config'!$A:$A,'Scoring_Config'!$C:$C,5),0),0)+IF(LEFT(AJ262,4)="True",IF(_xlfn.XLOOKUP("DstZone_IsAny",'Scoring_Config'!$A:$A,'Scoring_Config'!$D:$D,"Yes")="Yes",_xlfn.XLOOKUP("DstZone_IsAny",'Scoring_Config'!$A:$A,'Scoring_Config'!$C:$C,5),0),0)+IF(LEFT(AK262,4)="True",IF(_xlfn.XLOOKUP("Service_Any_OR_RangeGt1000",'Scoring_Config'!$A:$A,'Scoring_Config'!$D:$D,"Yes")="Yes",_xlfn.XLOOKUP("Service_Any_OR_RangeGt1000",'Scoring_Config'!$A:$A,'Scoring_Config'!$C:$C,25),0),0)+IF(LEFT(AL262,4)="True",IF(_xlfn.XLOOKUP("App_Any_OR_RangeGt1000",'Scoring_Config'!$A:$A,'Scoring_Config'!$D:$D,"Yes")="Yes",_xlfn.XLOOKUP("App_Any_OR_RangeGt1000",'Scoring_Config'!$A:$A,'Scoring_Config'!$C:$C,25),0),0)+IF(LEFT(AM262,4)="True",IF(_xlfn.XLOOKUP("Service_Insecure_Match",'Scoring_Config'!$A:$A,'Scoring_Config'!$D:$D,"Yes")="Yes",_xlfn.XLOOKUP("Service_Insecure_Match",'Scoring_Config'!$A:$A,'Scoring_Config'!$C:$C,20),0),0)+IF(LEFT(AN262,4)="True",IF(_xlfn.XLOOKUP("Risky_Inbound",'Scoring_Config'!$A:$A,'Scoring_Config'!$D:$D,"Yes")="Yes",_xlfn.XLOOKUP("Risky_Inbound",'Scoring_Config'!$A:$A,'Scoring_Config'!$C:$C,20),0),0)+IF(LEFT(AO262,4)="True",IF(_xlfn.XLOOKUP("Risky_Outbound",'Scoring_Config'!$A:$A,'Scoring_Config'!$D:$D,"Yes")="Yes",_xlfn.XLOOKUP("Risky_Outbound",'Scoring_Config'!$A:$A,'Scoring_Config'!$C:$C,10),0),0)+IF(LEFT(AW262,4)="True",IF(_xlfn.XLOOKUP("Migrate_Insecure",'Scoring_Config'!$A:$A,'Scoring_Config'!$D:$D,"Yes")="Yes",_xlfn.XLOOKUP("Migrate_Insecure",'Scoring_Config'!$A:$A,'Scoring_Config'!$C:$C,15),0),0)+IF(LEFT(AY262,4)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262,FIND(",",AP262)+1,100)),0)+IF(LEFT(AQ262,4)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262,FIND(",",AR262)+1,100)),0)+IF(_xlfn.XLOOKUP("Profile_Scoring",'Scoring_Config'!$A:$A,'Scoring_Config'!$D:$D,"Yes")="Yes",VALUE(MID(AS262,FIND(",",AS262)+1,100)),0)+IF(_xlfn.XLOOKUP("Options_Scoring",'Scoring_Config'!$A:$A,'Scoring_Config'!$D:$D,"Yes")="Yes",VALUE(MID(AT262,FIND(",",AT262)+1,100)),0)))</f>
        <v>0</v>
      </c>
    </row>
    <row r="263" spans="1:52">
      <c r="A263" s="3" t="s">
        <v>54</v>
      </c>
      <c r="B263" s="3" t="s">
        <v>237</v>
      </c>
      <c r="C263" s="3" t="s">
        <v>331</v>
      </c>
      <c r="D263" s="3" t="s">
        <v>336</v>
      </c>
      <c r="E263" s="3" t="s">
        <v>359</v>
      </c>
      <c r="F263" s="3" t="s">
        <v>361</v>
      </c>
      <c r="G263" s="3" t="s">
        <v>365</v>
      </c>
      <c r="H263" s="3" t="s">
        <v>365</v>
      </c>
      <c r="I263" s="3" t="s">
        <v>365</v>
      </c>
      <c r="J263" s="3" t="s">
        <v>360</v>
      </c>
      <c r="K263" s="3" t="s">
        <v>365</v>
      </c>
      <c r="L263" s="3" t="s">
        <v>365</v>
      </c>
      <c r="M263" s="3" t="s">
        <v>365</v>
      </c>
      <c r="N263" s="3" t="s">
        <v>365</v>
      </c>
      <c r="O263" s="4" t="s">
        <v>848</v>
      </c>
      <c r="P263" s="3" t="s">
        <v>901</v>
      </c>
      <c r="Q263" s="3" t="s">
        <v>904</v>
      </c>
      <c r="R263" s="3" t="s">
        <v>909</v>
      </c>
      <c r="S263" s="3" t="s">
        <v>914</v>
      </c>
      <c r="T263" s="3"/>
      <c r="U263" s="3" t="s">
        <v>1280</v>
      </c>
      <c r="V263" s="3" t="s">
        <v>1388</v>
      </c>
      <c r="W263" s="3" t="s">
        <v>1536</v>
      </c>
      <c r="X263" s="3" t="s">
        <v>1867</v>
      </c>
      <c r="Y263" s="3" t="s">
        <v>2336</v>
      </c>
      <c r="Z263" s="3"/>
      <c r="AA263" s="3" t="s">
        <v>2554</v>
      </c>
      <c r="AB263" s="3"/>
      <c r="AC263" s="5" cm="1">
        <f t="array" ref="AC263">IF(TRUE,"True," &amp; IF(_xlfn.XLOOKUP("Src_IsAny",'Scoring_Config'!$A:$A,'Scoring_Config'!$D:$D,"Yes")="Yes",_xlfn.XLOOKUP("Src_IsAny",'Scoring_Config'!$A:$A,'Scoring_Config'!$C:$C,25),0),"False,0")</f>
        <v>0</v>
      </c>
      <c r="AD263" s="4" cm="1">
        <f t="array" ref="AD263">IF(FALSE,"True," &amp; IF(_xlfn.XLOOKUP("Src_CIDR_Le_16",'Scoring_Config'!$A:$A,'Scoring_Config'!$D:$D,"Yes")="Yes",_xlfn.XLOOKUP("Src_CIDR_Le_16",'Scoring_Config'!$A:$A,'Scoring_Config'!$C:$C,25),0),"False,0")</f>
        <v>0</v>
      </c>
      <c r="AE263" s="4" cm="1">
        <f t="array" ref="AE263">IF(FALSE,"True," &amp; IF(_xlfn.XLOOKUP("Src_CIDR_17_22",'Scoring_Config'!$A:$A,'Scoring_Config'!$D:$D,"Yes")="Yes",_xlfn.XLOOKUP("Src_CIDR_17_22",'Scoring_Config'!$A:$A,'Scoring_Config'!$C:$C,15),0),"False,0")</f>
        <v>0</v>
      </c>
      <c r="AF263" s="5" cm="1">
        <f t="array" ref="AF263">IF(TRUE,"True," &amp; IF(_xlfn.XLOOKUP("Dst_IsAny",'Scoring_Config'!$A:$A,'Scoring_Config'!$D:$D,"Yes")="Yes",_xlfn.XLOOKUP("Dst_IsAny",'Scoring_Config'!$A:$A,'Scoring_Config'!$C:$C,25),0),"False,0")</f>
        <v>0</v>
      </c>
      <c r="AG263" s="4" cm="1">
        <f t="array" ref="AG263">IF(FALSE,"True," &amp; IF(_xlfn.XLOOKUP("Dst_CIDR_Le_16",'Scoring_Config'!$A:$A,'Scoring_Config'!$D:$D,"Yes")="Yes",_xlfn.XLOOKUP("Dst_CIDR_Le_16",'Scoring_Config'!$A:$A,'Scoring_Config'!$C:$C,25),0),"False,0")</f>
        <v>0</v>
      </c>
      <c r="AH263" s="4" cm="1">
        <f t="array" ref="AH263">IF(FALSE,"True," &amp; IF(_xlfn.XLOOKUP("Dst_CIDR_17_22",'Scoring_Config'!$A:$A,'Scoring_Config'!$D:$D,"Yes")="Yes",_xlfn.XLOOKUP("Dst_CIDR_17_22",'Scoring_Config'!$A:$A,'Scoring_Config'!$C:$C,15),0),"False,0")</f>
        <v>0</v>
      </c>
      <c r="AI263" s="4" cm="1">
        <f t="array" ref="AI263">IF(FALSE,"True," &amp; IF(_xlfn.XLOOKUP("SrcZone_IsAny",'Scoring_Config'!$A:$A,'Scoring_Config'!$D:$D,"Yes")="Yes",_xlfn.XLOOKUP("SrcZone_IsAny",'Scoring_Config'!$A:$A,'Scoring_Config'!$C:$C,5),0),"False,0")</f>
        <v>0</v>
      </c>
      <c r="AJ263" s="4" cm="1">
        <f t="array" ref="AJ263">IF(FALSE,"True," &amp; IF(_xlfn.XLOOKUP("DstZone_IsAny",'Scoring_Config'!$A:$A,'Scoring_Config'!$D:$D,"Yes")="Yes",_xlfn.XLOOKUP("DstZone_IsAny",'Scoring_Config'!$A:$A,'Scoring_Config'!$C:$C,5),0),"False,0")</f>
        <v>0</v>
      </c>
      <c r="AK263" s="4" cm="1">
        <f t="array" ref="AK26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3" s="5" cm="1">
        <f t="array" ref="AL263">IF(TRUE,"True," &amp; IF(_xlfn.XLOOKUP("App_Any_OR_RangeGt1000",'Scoring_Config'!$A:$A,'Scoring_Config'!$D:$D,"Yes")="Yes",_xlfn.XLOOKUP("App_Any_OR_RangeGt1000",'Scoring_Config'!$A:$A,'Scoring_Config'!$C:$C,25),0),"False,0")</f>
        <v>0</v>
      </c>
      <c r="AM263" s="5" cm="1">
        <f t="array" ref="AM263">IF(TRUE,"True," &amp; IF(_xlfn.XLOOKUP("Service_Insecure_Match",'Scoring_Config'!$A:$A,'Scoring_Config'!$D:$D,"Yes")="Yes",_xlfn.XLOOKUP("Service_Insecure_Match",'Scoring_Config'!$A:$A,'Scoring_Config'!$C:$C,20),0),"False,0")</f>
        <v>0</v>
      </c>
      <c r="AN263" s="4" cm="1">
        <f t="array" ref="AN263">IF(FALSE,"True," &amp; IF(_xlfn.XLOOKUP("Risky_Inbound",'Scoring_Config'!$A:$A,'Scoring_Config'!$D:$D,"Yes")="Yes",_xlfn.XLOOKUP("Risky_Inbound",'Scoring_Config'!$A:$A,'Scoring_Config'!$C:$C,20),0),"False,0")</f>
        <v>0</v>
      </c>
      <c r="AO263" s="4" cm="1">
        <f t="array" ref="AO263">IF(FALSE,"True," &amp; IF(_xlfn.XLOOKUP("Risky_Outbound",'Scoring_Config'!$A:$A,'Scoring_Config'!$D:$D,"Yes")="Yes",_xlfn.XLOOKUP("Risky_Outbound",'Scoring_Config'!$A:$A,'Scoring_Config'!$C:$C,10),0),"False,0")</f>
        <v>0</v>
      </c>
      <c r="AP263" s="5" t="s">
        <v>2595</v>
      </c>
      <c r="AQ263" s="4" cm="1">
        <f t="array" ref="AQ26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3" s="4" t="s">
        <v>2592</v>
      </c>
      <c r="AS263" s="4" t="s">
        <v>2592</v>
      </c>
      <c r="AT263" s="4" t="s">
        <v>2592</v>
      </c>
      <c r="AU263" s="5" cm="1">
        <f t="array" ref="AU263">IF(TRUE,"True," &amp; IF(_xlfn.XLOOKUP("Action_IsDenyOrDrop",'Scoring_Config'!$A:$A,'Scoring_Config'!$D:$D,"Yes")="Yes",_xlfn.XLOOKUP("Action_IsDenyOrDrop",'Scoring_Config'!$A:$A,'Scoring_Config'!$C:$C,0),0),"False,0")</f>
        <v>0</v>
      </c>
      <c r="AV263" s="4"/>
      <c r="AW263" s="4" cm="1">
        <f t="array" ref="AW263">IF(FALSE,"True," &amp; IF(_xlfn.XLOOKUP("Migrate_Insecure",'Scoring_Config'!$A:$A,'Scoring_Config'!$D:$D,"Yes")="Yes",_xlfn.XLOOKUP("Migrate_Insecure",'Scoring_Config'!$A:$A,'Scoring_Config'!$C:$C,15),0),"False,0")</f>
        <v>0</v>
      </c>
      <c r="AX263" s="4"/>
      <c r="AY263" s="4" cm="1">
        <f t="array" ref="AY263">IF(FALSE,"True," &amp; IF(_xlfn.XLOOKUP("Migrate_Other_Ports",'Scoring_Config'!$A:$A,'Scoring_Config'!$D:$D,"Yes")="Yes",_xlfn.XLOOKUP("Migrate_Other_Ports",'Scoring_Config'!$A:$A,'Scoring_Config'!$C:$C,5),0),"False,0")</f>
        <v>0</v>
      </c>
      <c r="AZ263" s="4" cm="1">
        <f t="array" ref="AZ263">IF(LEFT(AU263,4)="True",0,(IF(LEFT(AC263,4)="True",IF(_xlfn.XLOOKUP("Src_IsAny",'Scoring_Config'!$A:$A,'Scoring_Config'!$D:$D,"Yes")="Yes",_xlfn.XLOOKUP("Src_IsAny",'Scoring_Config'!$A:$A,'Scoring_Config'!$C:$C,25),0),0)+IF(LEFT(AD263,4)="True",IF(_xlfn.XLOOKUP("Src_CIDR_Le_16",'Scoring_Config'!$A:$A,'Scoring_Config'!$D:$D,"Yes")="Yes",_xlfn.XLOOKUP("Src_CIDR_Le_16",'Scoring_Config'!$A:$A,'Scoring_Config'!$C:$C,25),0),0)+IF(LEFT(AE263,4)="True",IF(_xlfn.XLOOKUP("Src_CIDR_17_22",'Scoring_Config'!$A:$A,'Scoring_Config'!$D:$D,"Yes")="Yes",_xlfn.XLOOKUP("Src_CIDR_17_22",'Scoring_Config'!$A:$A,'Scoring_Config'!$C:$C,15),0),0)+IF(LEFT(AF263,4)="True",IF(_xlfn.XLOOKUP("Dst_IsAny",'Scoring_Config'!$A:$A,'Scoring_Config'!$D:$D,"Yes")="Yes",_xlfn.XLOOKUP("Dst_IsAny",'Scoring_Config'!$A:$A,'Scoring_Config'!$C:$C,25),0),0)+IF(LEFT(AG263,4)="True",IF(_xlfn.XLOOKUP("Dst_CIDR_Le_16",'Scoring_Config'!$A:$A,'Scoring_Config'!$D:$D,"Yes")="Yes",_xlfn.XLOOKUP("Dst_CIDR_Le_16",'Scoring_Config'!$A:$A,'Scoring_Config'!$C:$C,25),0),0)+IF(LEFT(AH263,4)="True",IF(_xlfn.XLOOKUP("Dst_CIDR_17_22",'Scoring_Config'!$A:$A,'Scoring_Config'!$D:$D,"Yes")="Yes",_xlfn.XLOOKUP("Dst_CIDR_17_22",'Scoring_Config'!$A:$A,'Scoring_Config'!$C:$C,15),0),0)+IF(LEFT(AI263,4)="True",IF(_xlfn.XLOOKUP("SrcZone_IsAny",'Scoring_Config'!$A:$A,'Scoring_Config'!$D:$D,"Yes")="Yes",_xlfn.XLOOKUP("SrcZone_IsAny",'Scoring_Config'!$A:$A,'Scoring_Config'!$C:$C,5),0),0)+IF(LEFT(AJ263,4)="True",IF(_xlfn.XLOOKUP("DstZone_IsAny",'Scoring_Config'!$A:$A,'Scoring_Config'!$D:$D,"Yes")="Yes",_xlfn.XLOOKUP("DstZone_IsAny",'Scoring_Config'!$A:$A,'Scoring_Config'!$C:$C,5),0),0)+IF(LEFT(AK263,4)="True",IF(_xlfn.XLOOKUP("Service_Any_OR_RangeGt1000",'Scoring_Config'!$A:$A,'Scoring_Config'!$D:$D,"Yes")="Yes",_xlfn.XLOOKUP("Service_Any_OR_RangeGt1000",'Scoring_Config'!$A:$A,'Scoring_Config'!$C:$C,25),0),0)+IF(LEFT(AL263,4)="True",IF(_xlfn.XLOOKUP("App_Any_OR_RangeGt1000",'Scoring_Config'!$A:$A,'Scoring_Config'!$D:$D,"Yes")="Yes",_xlfn.XLOOKUP("App_Any_OR_RangeGt1000",'Scoring_Config'!$A:$A,'Scoring_Config'!$C:$C,25),0),0)+IF(LEFT(AM263,4)="True",IF(_xlfn.XLOOKUP("Service_Insecure_Match",'Scoring_Config'!$A:$A,'Scoring_Config'!$D:$D,"Yes")="Yes",_xlfn.XLOOKUP("Service_Insecure_Match",'Scoring_Config'!$A:$A,'Scoring_Config'!$C:$C,20),0),0)+IF(LEFT(AN263,4)="True",IF(_xlfn.XLOOKUP("Risky_Inbound",'Scoring_Config'!$A:$A,'Scoring_Config'!$D:$D,"Yes")="Yes",_xlfn.XLOOKUP("Risky_Inbound",'Scoring_Config'!$A:$A,'Scoring_Config'!$C:$C,20),0),0)+IF(LEFT(AO263,4)="True",IF(_xlfn.XLOOKUP("Risky_Outbound",'Scoring_Config'!$A:$A,'Scoring_Config'!$D:$D,"Yes")="Yes",_xlfn.XLOOKUP("Risky_Outbound",'Scoring_Config'!$A:$A,'Scoring_Config'!$C:$C,10),0),0)+IF(LEFT(AW263,4)="True",IF(_xlfn.XLOOKUP("Migrate_Insecure",'Scoring_Config'!$A:$A,'Scoring_Config'!$D:$D,"Yes")="Yes",_xlfn.XLOOKUP("Migrate_Insecure",'Scoring_Config'!$A:$A,'Scoring_Config'!$C:$C,15),0),0)+IF(LEFT(AY263,4)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263,FIND(",",AP263)+1,100)),0)+IF(LEFT(AQ263,4)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263,FIND(",",AR263)+1,100)),0)+IF(_xlfn.XLOOKUP("Profile_Scoring",'Scoring_Config'!$A:$A,'Scoring_Config'!$D:$D,"Yes")="Yes",VALUE(MID(AS263,FIND(",",AS263)+1,100)),0)+IF(_xlfn.XLOOKUP("Options_Scoring",'Scoring_Config'!$A:$A,'Scoring_Config'!$D:$D,"Yes")="Yes",VALUE(MID(AT263,FIND(",",AT263)+1,100)),0)))</f>
        <v>0</v>
      </c>
    </row>
    <row r="264" spans="1:52">
      <c r="A264" s="3" t="s">
        <v>54</v>
      </c>
      <c r="B264" s="3" t="s">
        <v>238</v>
      </c>
      <c r="C264" s="3" t="s">
        <v>331</v>
      </c>
      <c r="D264" s="3" t="s">
        <v>340</v>
      </c>
      <c r="E264" s="3" t="s">
        <v>359</v>
      </c>
      <c r="F264" s="3" t="s">
        <v>363</v>
      </c>
      <c r="G264" s="3" t="s">
        <v>464</v>
      </c>
      <c r="H264" s="3" t="s">
        <v>464</v>
      </c>
      <c r="I264" s="3" t="s">
        <v>365</v>
      </c>
      <c r="J264" s="3" t="s">
        <v>362</v>
      </c>
      <c r="K264" s="3" t="s">
        <v>489</v>
      </c>
      <c r="L264" s="3" t="s">
        <v>597</v>
      </c>
      <c r="M264" s="3" t="s">
        <v>365</v>
      </c>
      <c r="N264" s="3" t="s">
        <v>365</v>
      </c>
      <c r="O264" s="4" t="s">
        <v>812</v>
      </c>
      <c r="P264" s="3" t="s">
        <v>873</v>
      </c>
      <c r="Q264" s="3" t="s">
        <v>905</v>
      </c>
      <c r="R264" s="3" t="s">
        <v>910</v>
      </c>
      <c r="S264" s="3" t="s">
        <v>914</v>
      </c>
      <c r="T264" s="3"/>
      <c r="U264" s="3" t="s">
        <v>1281</v>
      </c>
      <c r="V264" s="3" t="s">
        <v>1386</v>
      </c>
      <c r="W264" s="3" t="s">
        <v>1537</v>
      </c>
      <c r="X264" s="3" t="s">
        <v>1868</v>
      </c>
      <c r="Y264" s="3" t="s">
        <v>2337</v>
      </c>
      <c r="Z264" s="3"/>
      <c r="AA264" s="3" t="s">
        <v>1589</v>
      </c>
      <c r="AB264" s="3"/>
      <c r="AC264" s="4" cm="1">
        <f t="array" ref="AC264">IF(FALSE,"True," &amp; IF(_xlfn.XLOOKUP("Src_IsAny",'Scoring_Config'!$A:$A,'Scoring_Config'!$D:$D,"Yes")="Yes",_xlfn.XLOOKUP("Src_IsAny",'Scoring_Config'!$A:$A,'Scoring_Config'!$C:$C,25),0),"False,0")</f>
        <v>0</v>
      </c>
      <c r="AD264" s="4" cm="1">
        <f t="array" ref="AD264">IF(FALSE,"True," &amp; IF(_xlfn.XLOOKUP("Src_CIDR_Le_16",'Scoring_Config'!$A:$A,'Scoring_Config'!$D:$D,"Yes")="Yes",_xlfn.XLOOKUP("Src_CIDR_Le_16",'Scoring_Config'!$A:$A,'Scoring_Config'!$C:$C,25),0),"False,0")</f>
        <v>0</v>
      </c>
      <c r="AE264" s="4" cm="1">
        <f t="array" ref="AE264">IF(FALSE,"True," &amp; IF(_xlfn.XLOOKUP("Src_CIDR_17_22",'Scoring_Config'!$A:$A,'Scoring_Config'!$D:$D,"Yes")="Yes",_xlfn.XLOOKUP("Src_CIDR_17_22",'Scoring_Config'!$A:$A,'Scoring_Config'!$C:$C,15),0),"False,0")</f>
        <v>0</v>
      </c>
      <c r="AF264" s="4" cm="1">
        <f t="array" ref="AF264">IF(FALSE,"True," &amp; IF(_xlfn.XLOOKUP("Dst_IsAny",'Scoring_Config'!$A:$A,'Scoring_Config'!$D:$D,"Yes")="Yes",_xlfn.XLOOKUP("Dst_IsAny",'Scoring_Config'!$A:$A,'Scoring_Config'!$C:$C,25),0),"False,0")</f>
        <v>0</v>
      </c>
      <c r="AG264" s="5" cm="1">
        <f t="array" ref="AG264">IF(TRUE,"True," &amp; IF(_xlfn.XLOOKUP("Dst_CIDR_Le_16",'Scoring_Config'!$A:$A,'Scoring_Config'!$D:$D,"Yes")="Yes",_xlfn.XLOOKUP("Dst_CIDR_Le_16",'Scoring_Config'!$A:$A,'Scoring_Config'!$C:$C,25),0),"False,0")</f>
        <v>0</v>
      </c>
      <c r="AH264" s="4" cm="1">
        <f t="array" ref="AH264">IF(FALSE,"True," &amp; IF(_xlfn.XLOOKUP("Dst_CIDR_17_22",'Scoring_Config'!$A:$A,'Scoring_Config'!$D:$D,"Yes")="Yes",_xlfn.XLOOKUP("Dst_CIDR_17_22",'Scoring_Config'!$A:$A,'Scoring_Config'!$C:$C,15),0),"False,0")</f>
        <v>0</v>
      </c>
      <c r="AI264" s="4" cm="1">
        <f t="array" ref="AI264">IF(FALSE,"True," &amp; IF(_xlfn.XLOOKUP("SrcZone_IsAny",'Scoring_Config'!$A:$A,'Scoring_Config'!$D:$D,"Yes")="Yes",_xlfn.XLOOKUP("SrcZone_IsAny",'Scoring_Config'!$A:$A,'Scoring_Config'!$C:$C,5),0),"False,0")</f>
        <v>0</v>
      </c>
      <c r="AJ264" s="4" cm="1">
        <f t="array" ref="AJ264">IF(FALSE,"True," &amp; IF(_xlfn.XLOOKUP("DstZone_IsAny",'Scoring_Config'!$A:$A,'Scoring_Config'!$D:$D,"Yes")="Yes",_xlfn.XLOOKUP("DstZone_IsAny",'Scoring_Config'!$A:$A,'Scoring_Config'!$C:$C,5),0),"False,0")</f>
        <v>0</v>
      </c>
      <c r="AK264" s="4" cm="1">
        <f t="array" ref="AK26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4" s="5" cm="1">
        <f t="array" ref="AL264">IF(TRUE,"True," &amp; IF(_xlfn.XLOOKUP("App_Any_OR_RangeGt1000",'Scoring_Config'!$A:$A,'Scoring_Config'!$D:$D,"Yes")="Yes",_xlfn.XLOOKUP("App_Any_OR_RangeGt1000",'Scoring_Config'!$A:$A,'Scoring_Config'!$C:$C,25),0),"False,0")</f>
        <v>0</v>
      </c>
      <c r="AM264" s="4" cm="1">
        <f t="array" ref="AM264">IF(FALSE,"True," &amp; IF(_xlfn.XLOOKUP("Service_Insecure_Match",'Scoring_Config'!$A:$A,'Scoring_Config'!$D:$D,"Yes")="Yes",_xlfn.XLOOKUP("Service_Insecure_Match",'Scoring_Config'!$A:$A,'Scoring_Config'!$C:$C,20),0),"False,0")</f>
        <v>0</v>
      </c>
      <c r="AN264" s="4" cm="1">
        <f t="array" ref="AN264">IF(FALSE,"True," &amp; IF(_xlfn.XLOOKUP("Risky_Inbound",'Scoring_Config'!$A:$A,'Scoring_Config'!$D:$D,"Yes")="Yes",_xlfn.XLOOKUP("Risky_Inbound",'Scoring_Config'!$A:$A,'Scoring_Config'!$C:$C,20),0),"False,0")</f>
        <v>0</v>
      </c>
      <c r="AO264" s="4" cm="1">
        <f t="array" ref="AO264">IF(FALSE,"True," &amp; IF(_xlfn.XLOOKUP("Risky_Outbound",'Scoring_Config'!$A:$A,'Scoring_Config'!$D:$D,"Yes")="Yes",_xlfn.XLOOKUP("Risky_Outbound",'Scoring_Config'!$A:$A,'Scoring_Config'!$C:$C,10),0),"False,0")</f>
        <v>0</v>
      </c>
      <c r="AP264" s="5" t="s">
        <v>2595</v>
      </c>
      <c r="AQ264" s="4" cm="1">
        <f t="array" ref="AQ26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4" s="4" t="s">
        <v>2592</v>
      </c>
      <c r="AS264" s="4" t="s">
        <v>2592</v>
      </c>
      <c r="AT264" s="4" t="s">
        <v>2592</v>
      </c>
      <c r="AU264" s="4" cm="1">
        <f t="array" ref="AU264">IF(FALSE,"True," &amp; IF(_xlfn.XLOOKUP("Action_IsDenyOrDrop",'Scoring_Config'!$A:$A,'Scoring_Config'!$D:$D,"Yes")="Yes",_xlfn.XLOOKUP("Action_IsDenyOrDrop",'Scoring_Config'!$A:$A,'Scoring_Config'!$C:$C,0),0),"False,0")</f>
        <v>0</v>
      </c>
      <c r="AV264" s="4"/>
      <c r="AW264" s="4" cm="1">
        <f t="array" ref="AW264">IF(FALSE,"True," &amp; IF(_xlfn.XLOOKUP("Migrate_Insecure",'Scoring_Config'!$A:$A,'Scoring_Config'!$D:$D,"Yes")="Yes",_xlfn.XLOOKUP("Migrate_Insecure",'Scoring_Config'!$A:$A,'Scoring_Config'!$C:$C,15),0),"False,0")</f>
        <v>0</v>
      </c>
      <c r="AX264" s="4"/>
      <c r="AY264" s="4" cm="1">
        <f t="array" ref="AY264">IF(FALSE,"True," &amp; IF(_xlfn.XLOOKUP("Migrate_Other_Ports",'Scoring_Config'!$A:$A,'Scoring_Config'!$D:$D,"Yes")="Yes",_xlfn.XLOOKUP("Migrate_Other_Ports",'Scoring_Config'!$A:$A,'Scoring_Config'!$C:$C,5),0),"False,0")</f>
        <v>0</v>
      </c>
      <c r="AZ264" s="4" cm="1">
        <f t="array" ref="AZ264">IF(LEFT(AU264,4)="True",0,(IF(LEFT(AC264,4)="True",IF(_xlfn.XLOOKUP("Src_IsAny",'Scoring_Config'!$A:$A,'Scoring_Config'!$D:$D,"Yes")="Yes",_xlfn.XLOOKUP("Src_IsAny",'Scoring_Config'!$A:$A,'Scoring_Config'!$C:$C,25),0),0)+IF(LEFT(AD264,4)="True",IF(_xlfn.XLOOKUP("Src_CIDR_Le_16",'Scoring_Config'!$A:$A,'Scoring_Config'!$D:$D,"Yes")="Yes",_xlfn.XLOOKUP("Src_CIDR_Le_16",'Scoring_Config'!$A:$A,'Scoring_Config'!$C:$C,25),0),0)+IF(LEFT(AE264,4)="True",IF(_xlfn.XLOOKUP("Src_CIDR_17_22",'Scoring_Config'!$A:$A,'Scoring_Config'!$D:$D,"Yes")="Yes",_xlfn.XLOOKUP("Src_CIDR_17_22",'Scoring_Config'!$A:$A,'Scoring_Config'!$C:$C,15),0),0)+IF(LEFT(AF264,4)="True",IF(_xlfn.XLOOKUP("Dst_IsAny",'Scoring_Config'!$A:$A,'Scoring_Config'!$D:$D,"Yes")="Yes",_xlfn.XLOOKUP("Dst_IsAny",'Scoring_Config'!$A:$A,'Scoring_Config'!$C:$C,25),0),0)+IF(LEFT(AG264,4)="True",IF(_xlfn.XLOOKUP("Dst_CIDR_Le_16",'Scoring_Config'!$A:$A,'Scoring_Config'!$D:$D,"Yes")="Yes",_xlfn.XLOOKUP("Dst_CIDR_Le_16",'Scoring_Config'!$A:$A,'Scoring_Config'!$C:$C,25),0),0)+IF(LEFT(AH264,4)="True",IF(_xlfn.XLOOKUP("Dst_CIDR_17_22",'Scoring_Config'!$A:$A,'Scoring_Config'!$D:$D,"Yes")="Yes",_xlfn.XLOOKUP("Dst_CIDR_17_22",'Scoring_Config'!$A:$A,'Scoring_Config'!$C:$C,15),0),0)+IF(LEFT(AI264,4)="True",IF(_xlfn.XLOOKUP("SrcZone_IsAny",'Scoring_Config'!$A:$A,'Scoring_Config'!$D:$D,"Yes")="Yes",_xlfn.XLOOKUP("SrcZone_IsAny",'Scoring_Config'!$A:$A,'Scoring_Config'!$C:$C,5),0),0)+IF(LEFT(AJ264,4)="True",IF(_xlfn.XLOOKUP("DstZone_IsAny",'Scoring_Config'!$A:$A,'Scoring_Config'!$D:$D,"Yes")="Yes",_xlfn.XLOOKUP("DstZone_IsAny",'Scoring_Config'!$A:$A,'Scoring_Config'!$C:$C,5),0),0)+IF(LEFT(AK264,4)="True",IF(_xlfn.XLOOKUP("Service_Any_OR_RangeGt1000",'Scoring_Config'!$A:$A,'Scoring_Config'!$D:$D,"Yes")="Yes",_xlfn.XLOOKUP("Service_Any_OR_RangeGt1000",'Scoring_Config'!$A:$A,'Scoring_Config'!$C:$C,25),0),0)+IF(LEFT(AL264,4)="True",IF(_xlfn.XLOOKUP("App_Any_OR_RangeGt1000",'Scoring_Config'!$A:$A,'Scoring_Config'!$D:$D,"Yes")="Yes",_xlfn.XLOOKUP("App_Any_OR_RangeGt1000",'Scoring_Config'!$A:$A,'Scoring_Config'!$C:$C,25),0),0)+IF(LEFT(AM264,4)="True",IF(_xlfn.XLOOKUP("Service_Insecure_Match",'Scoring_Config'!$A:$A,'Scoring_Config'!$D:$D,"Yes")="Yes",_xlfn.XLOOKUP("Service_Insecure_Match",'Scoring_Config'!$A:$A,'Scoring_Config'!$C:$C,20),0),0)+IF(LEFT(AN264,4)="True",IF(_xlfn.XLOOKUP("Risky_Inbound",'Scoring_Config'!$A:$A,'Scoring_Config'!$D:$D,"Yes")="Yes",_xlfn.XLOOKUP("Risky_Inbound",'Scoring_Config'!$A:$A,'Scoring_Config'!$C:$C,20),0),0)+IF(LEFT(AO264,4)="True",IF(_xlfn.XLOOKUP("Risky_Outbound",'Scoring_Config'!$A:$A,'Scoring_Config'!$D:$D,"Yes")="Yes",_xlfn.XLOOKUP("Risky_Outbound",'Scoring_Config'!$A:$A,'Scoring_Config'!$C:$C,10),0),0)+IF(LEFT(AW264,4)="True",IF(_xlfn.XLOOKUP("Migrate_Insecure",'Scoring_Config'!$A:$A,'Scoring_Config'!$D:$D,"Yes")="Yes",_xlfn.XLOOKUP("Migrate_Insecure",'Scoring_Config'!$A:$A,'Scoring_Config'!$C:$C,15),0),0)+IF(LEFT(AY264,4)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264,FIND(",",AP264)+1,100)),0)+IF(LEFT(AQ264,4)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264,FIND(",",AR264)+1,100)),0)+IF(_xlfn.XLOOKUP("Profile_Scoring",'Scoring_Config'!$A:$A,'Scoring_Config'!$D:$D,"Yes")="Yes",VALUE(MID(AS264,FIND(",",AS264)+1,100)),0)+IF(_xlfn.XLOOKUP("Options_Scoring",'Scoring_Config'!$A:$A,'Scoring_Config'!$D:$D,"Yes")="Yes",VALUE(MID(AT264,FIND(",",AT264)+1,100)),0)))</f>
        <v>0</v>
      </c>
    </row>
    <row r="265" spans="1:52">
      <c r="A265" s="3" t="s">
        <v>54</v>
      </c>
      <c r="B265" s="3" t="s">
        <v>186</v>
      </c>
      <c r="C265" s="3" t="s">
        <v>331</v>
      </c>
      <c r="D265" s="3"/>
      <c r="E265" s="3" t="s">
        <v>359</v>
      </c>
      <c r="F265" s="3" t="s">
        <v>361</v>
      </c>
      <c r="G265" s="3" t="s">
        <v>365</v>
      </c>
      <c r="H265" s="3" t="s">
        <v>365</v>
      </c>
      <c r="I265" s="3" t="s">
        <v>622</v>
      </c>
      <c r="J265" s="3" t="s">
        <v>364</v>
      </c>
      <c r="K265" s="3" t="s">
        <v>365</v>
      </c>
      <c r="L265" s="3" t="s">
        <v>365</v>
      </c>
      <c r="M265" s="3" t="s">
        <v>365</v>
      </c>
      <c r="N265" s="3" t="s">
        <v>365</v>
      </c>
      <c r="O265" s="4" t="s">
        <v>810</v>
      </c>
      <c r="P265" s="3" t="s">
        <v>871</v>
      </c>
      <c r="Q265" s="3" t="s">
        <v>905</v>
      </c>
      <c r="R265" s="3" t="s">
        <v>907</v>
      </c>
      <c r="S265" s="3" t="s">
        <v>913</v>
      </c>
      <c r="T265" s="3"/>
      <c r="U265" s="3" t="s">
        <v>1282</v>
      </c>
      <c r="V265" s="3" t="s">
        <v>1389</v>
      </c>
      <c r="W265" s="3" t="s">
        <v>1440</v>
      </c>
      <c r="X265" s="3" t="s">
        <v>1869</v>
      </c>
      <c r="Y265" s="3" t="s">
        <v>2338</v>
      </c>
      <c r="Z265" s="3"/>
      <c r="AA265" s="3" t="s">
        <v>2555</v>
      </c>
      <c r="AB265" s="3"/>
      <c r="AC265" s="5" cm="1">
        <f t="array" ref="AC265">IF(TRUE,"True," &amp; IF(_xlfn.XLOOKUP("Src_IsAny",'Scoring_Config'!$A:$A,'Scoring_Config'!$D:$D,"Yes")="Yes",_xlfn.XLOOKUP("Src_IsAny",'Scoring_Config'!$A:$A,'Scoring_Config'!$C:$C,25),0),"False,0")</f>
        <v>0</v>
      </c>
      <c r="AD265" s="4" cm="1">
        <f t="array" ref="AD265">IF(FALSE,"True," &amp; IF(_xlfn.XLOOKUP("Src_CIDR_Le_16",'Scoring_Config'!$A:$A,'Scoring_Config'!$D:$D,"Yes")="Yes",_xlfn.XLOOKUP("Src_CIDR_Le_16",'Scoring_Config'!$A:$A,'Scoring_Config'!$C:$C,25),0),"False,0")</f>
        <v>0</v>
      </c>
      <c r="AE265" s="4" cm="1">
        <f t="array" ref="AE265">IF(FALSE,"True," &amp; IF(_xlfn.XLOOKUP("Src_CIDR_17_22",'Scoring_Config'!$A:$A,'Scoring_Config'!$D:$D,"Yes")="Yes",_xlfn.XLOOKUP("Src_CIDR_17_22",'Scoring_Config'!$A:$A,'Scoring_Config'!$C:$C,15),0),"False,0")</f>
        <v>0</v>
      </c>
      <c r="AF265" s="5" cm="1">
        <f t="array" ref="AF265">IF(TRUE,"True," &amp; IF(_xlfn.XLOOKUP("Dst_IsAny",'Scoring_Config'!$A:$A,'Scoring_Config'!$D:$D,"Yes")="Yes",_xlfn.XLOOKUP("Dst_IsAny",'Scoring_Config'!$A:$A,'Scoring_Config'!$C:$C,25),0),"False,0")</f>
        <v>0</v>
      </c>
      <c r="AG265" s="4" cm="1">
        <f t="array" ref="AG265">IF(FALSE,"True," &amp; IF(_xlfn.XLOOKUP("Dst_CIDR_Le_16",'Scoring_Config'!$A:$A,'Scoring_Config'!$D:$D,"Yes")="Yes",_xlfn.XLOOKUP("Dst_CIDR_Le_16",'Scoring_Config'!$A:$A,'Scoring_Config'!$C:$C,25),0),"False,0")</f>
        <v>0</v>
      </c>
      <c r="AH265" s="4" cm="1">
        <f t="array" ref="AH265">IF(FALSE,"True," &amp; IF(_xlfn.XLOOKUP("Dst_CIDR_17_22",'Scoring_Config'!$A:$A,'Scoring_Config'!$D:$D,"Yes")="Yes",_xlfn.XLOOKUP("Dst_CIDR_17_22",'Scoring_Config'!$A:$A,'Scoring_Config'!$C:$C,15),0),"False,0")</f>
        <v>0</v>
      </c>
      <c r="AI265" s="4" cm="1">
        <f t="array" ref="AI265">IF(FALSE,"True," &amp; IF(_xlfn.XLOOKUP("SrcZone_IsAny",'Scoring_Config'!$A:$A,'Scoring_Config'!$D:$D,"Yes")="Yes",_xlfn.XLOOKUP("SrcZone_IsAny",'Scoring_Config'!$A:$A,'Scoring_Config'!$C:$C,5),0),"False,0")</f>
        <v>0</v>
      </c>
      <c r="AJ265" s="4" cm="1">
        <f t="array" ref="AJ265">IF(FALSE,"True," &amp; IF(_xlfn.XLOOKUP("DstZone_IsAny",'Scoring_Config'!$A:$A,'Scoring_Config'!$D:$D,"Yes")="Yes",_xlfn.XLOOKUP("DstZone_IsAny",'Scoring_Config'!$A:$A,'Scoring_Config'!$C:$C,5),0),"False,0")</f>
        <v>0</v>
      </c>
      <c r="AK265" s="4" cm="1">
        <f t="array" ref="AK26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5" s="5" cm="1">
        <f t="array" ref="AL265">IF(TRUE,"True," &amp; IF(_xlfn.XLOOKUP("App_Any_OR_RangeGt1000",'Scoring_Config'!$A:$A,'Scoring_Config'!$D:$D,"Yes")="Yes",_xlfn.XLOOKUP("App_Any_OR_RangeGt1000",'Scoring_Config'!$A:$A,'Scoring_Config'!$C:$C,25),0),"False,0")</f>
        <v>0</v>
      </c>
      <c r="AM265" s="5" cm="1">
        <f t="array" ref="AM265">IF(TRUE,"True," &amp; IF(_xlfn.XLOOKUP("Service_Insecure_Match",'Scoring_Config'!$A:$A,'Scoring_Config'!$D:$D,"Yes")="Yes",_xlfn.XLOOKUP("Service_Insecure_Match",'Scoring_Config'!$A:$A,'Scoring_Config'!$C:$C,20),0),"False,0")</f>
        <v>0</v>
      </c>
      <c r="AN265" s="4" cm="1">
        <f t="array" ref="AN265">IF(FALSE,"True," &amp; IF(_xlfn.XLOOKUP("Risky_Inbound",'Scoring_Config'!$A:$A,'Scoring_Config'!$D:$D,"Yes")="Yes",_xlfn.XLOOKUP("Risky_Inbound",'Scoring_Config'!$A:$A,'Scoring_Config'!$C:$C,20),0),"False,0")</f>
        <v>0</v>
      </c>
      <c r="AO265" s="4" cm="1">
        <f t="array" ref="AO265">IF(FALSE,"True," &amp; IF(_xlfn.XLOOKUP("Risky_Outbound",'Scoring_Config'!$A:$A,'Scoring_Config'!$D:$D,"Yes")="Yes",_xlfn.XLOOKUP("Risky_Outbound",'Scoring_Config'!$A:$A,'Scoring_Config'!$C:$C,10),0),"False,0")</f>
        <v>0</v>
      </c>
      <c r="AP265" s="5" t="s">
        <v>2595</v>
      </c>
      <c r="AQ265" s="5" cm="1">
        <f t="array" ref="AQ26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5" s="5" t="s">
        <v>2598</v>
      </c>
      <c r="AS265" s="5" t="s">
        <v>2595</v>
      </c>
      <c r="AT265" s="4" t="s">
        <v>2592</v>
      </c>
      <c r="AU265" s="4" cm="1">
        <f t="array" ref="AU265">IF(FALSE,"True," &amp; IF(_xlfn.XLOOKUP("Action_IsDenyOrDrop",'Scoring_Config'!$A:$A,'Scoring_Config'!$D:$D,"Yes")="Yes",_xlfn.XLOOKUP("Action_IsDenyOrDrop",'Scoring_Config'!$A:$A,'Scoring_Config'!$C:$C,0),0),"False,0")</f>
        <v>0</v>
      </c>
      <c r="AV265" s="4"/>
      <c r="AW265" s="4" cm="1">
        <f t="array" ref="AW265">IF(FALSE,"True," &amp; IF(_xlfn.XLOOKUP("Migrate_Insecure",'Scoring_Config'!$A:$A,'Scoring_Config'!$D:$D,"Yes")="Yes",_xlfn.XLOOKUP("Migrate_Insecure",'Scoring_Config'!$A:$A,'Scoring_Config'!$C:$C,15),0),"False,0")</f>
        <v>0</v>
      </c>
      <c r="AX265" s="4"/>
      <c r="AY265" s="4" cm="1">
        <f t="array" ref="AY265">IF(FALSE,"True," &amp; IF(_xlfn.XLOOKUP("Migrate_Other_Ports",'Scoring_Config'!$A:$A,'Scoring_Config'!$D:$D,"Yes")="Yes",_xlfn.XLOOKUP("Migrate_Other_Ports",'Scoring_Config'!$A:$A,'Scoring_Config'!$C:$C,5),0),"False,0")</f>
        <v>0</v>
      </c>
      <c r="AZ265" s="4" cm="1">
        <f t="array" ref="AZ265">IF(LEFT(AU265,4)="True",0,(IF(LEFT(AC265,4)="True",IF(_xlfn.XLOOKUP("Src_IsAny",'Scoring_Config'!$A:$A,'Scoring_Config'!$D:$D,"Yes")="Yes",_xlfn.XLOOKUP("Src_IsAny",'Scoring_Config'!$A:$A,'Scoring_Config'!$C:$C,25),0),0)+IF(LEFT(AD265,4)="True",IF(_xlfn.XLOOKUP("Src_CIDR_Le_16",'Scoring_Config'!$A:$A,'Scoring_Config'!$D:$D,"Yes")="Yes",_xlfn.XLOOKUP("Src_CIDR_Le_16",'Scoring_Config'!$A:$A,'Scoring_Config'!$C:$C,25),0),0)+IF(LEFT(AE265,4)="True",IF(_xlfn.XLOOKUP("Src_CIDR_17_22",'Scoring_Config'!$A:$A,'Scoring_Config'!$D:$D,"Yes")="Yes",_xlfn.XLOOKUP("Src_CIDR_17_22",'Scoring_Config'!$A:$A,'Scoring_Config'!$C:$C,15),0),0)+IF(LEFT(AF265,4)="True",IF(_xlfn.XLOOKUP("Dst_IsAny",'Scoring_Config'!$A:$A,'Scoring_Config'!$D:$D,"Yes")="Yes",_xlfn.XLOOKUP("Dst_IsAny",'Scoring_Config'!$A:$A,'Scoring_Config'!$C:$C,25),0),0)+IF(LEFT(AG265,4)="True",IF(_xlfn.XLOOKUP("Dst_CIDR_Le_16",'Scoring_Config'!$A:$A,'Scoring_Config'!$D:$D,"Yes")="Yes",_xlfn.XLOOKUP("Dst_CIDR_Le_16",'Scoring_Config'!$A:$A,'Scoring_Config'!$C:$C,25),0),0)+IF(LEFT(AH265,4)="True",IF(_xlfn.XLOOKUP("Dst_CIDR_17_22",'Scoring_Config'!$A:$A,'Scoring_Config'!$D:$D,"Yes")="Yes",_xlfn.XLOOKUP("Dst_CIDR_17_22",'Scoring_Config'!$A:$A,'Scoring_Config'!$C:$C,15),0),0)+IF(LEFT(AI265,4)="True",IF(_xlfn.XLOOKUP("SrcZone_IsAny",'Scoring_Config'!$A:$A,'Scoring_Config'!$D:$D,"Yes")="Yes",_xlfn.XLOOKUP("SrcZone_IsAny",'Scoring_Config'!$A:$A,'Scoring_Config'!$C:$C,5),0),0)+IF(LEFT(AJ265,4)="True",IF(_xlfn.XLOOKUP("DstZone_IsAny",'Scoring_Config'!$A:$A,'Scoring_Config'!$D:$D,"Yes")="Yes",_xlfn.XLOOKUP("DstZone_IsAny",'Scoring_Config'!$A:$A,'Scoring_Config'!$C:$C,5),0),0)+IF(LEFT(AK265,4)="True",IF(_xlfn.XLOOKUP("Service_Any_OR_RangeGt1000",'Scoring_Config'!$A:$A,'Scoring_Config'!$D:$D,"Yes")="Yes",_xlfn.XLOOKUP("Service_Any_OR_RangeGt1000",'Scoring_Config'!$A:$A,'Scoring_Config'!$C:$C,25),0),0)+IF(LEFT(AL265,4)="True",IF(_xlfn.XLOOKUP("App_Any_OR_RangeGt1000",'Scoring_Config'!$A:$A,'Scoring_Config'!$D:$D,"Yes")="Yes",_xlfn.XLOOKUP("App_Any_OR_RangeGt1000",'Scoring_Config'!$A:$A,'Scoring_Config'!$C:$C,25),0),0)+IF(LEFT(AM265,4)="True",IF(_xlfn.XLOOKUP("Service_Insecure_Match",'Scoring_Config'!$A:$A,'Scoring_Config'!$D:$D,"Yes")="Yes",_xlfn.XLOOKUP("Service_Insecure_Match",'Scoring_Config'!$A:$A,'Scoring_Config'!$C:$C,20),0),0)+IF(LEFT(AN265,4)="True",IF(_xlfn.XLOOKUP("Risky_Inbound",'Scoring_Config'!$A:$A,'Scoring_Config'!$D:$D,"Yes")="Yes",_xlfn.XLOOKUP("Risky_Inbound",'Scoring_Config'!$A:$A,'Scoring_Config'!$C:$C,20),0),0)+IF(LEFT(AO265,4)="True",IF(_xlfn.XLOOKUP("Risky_Outbound",'Scoring_Config'!$A:$A,'Scoring_Config'!$D:$D,"Yes")="Yes",_xlfn.XLOOKUP("Risky_Outbound",'Scoring_Config'!$A:$A,'Scoring_Config'!$C:$C,10),0),0)+IF(LEFT(AW265,4)="True",IF(_xlfn.XLOOKUP("Migrate_Insecure",'Scoring_Config'!$A:$A,'Scoring_Config'!$D:$D,"Yes")="Yes",_xlfn.XLOOKUP("Migrate_Insecure",'Scoring_Config'!$A:$A,'Scoring_Config'!$C:$C,15),0),0)+IF(LEFT(AY265,4)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265,FIND(",",AP265)+1,100)),0)+IF(LEFT(AQ265,4)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265,FIND(",",AR265)+1,100)),0)+IF(_xlfn.XLOOKUP("Profile_Scoring",'Scoring_Config'!$A:$A,'Scoring_Config'!$D:$D,"Yes")="Yes",VALUE(MID(AS265,FIND(",",AS265)+1,100)),0)+IF(_xlfn.XLOOKUP("Options_Scoring",'Scoring_Config'!$A:$A,'Scoring_Config'!$D:$D,"Yes")="Yes",VALUE(MID(AT265,FIND(",",AT265)+1,100)),0)))</f>
        <v>0</v>
      </c>
    </row>
    <row r="266" spans="1:52">
      <c r="A266" s="3" t="s">
        <v>54</v>
      </c>
      <c r="B266" s="3" t="s">
        <v>239</v>
      </c>
      <c r="C266" s="3" t="s">
        <v>331</v>
      </c>
      <c r="D266" s="3"/>
      <c r="E266" s="3" t="s">
        <v>359</v>
      </c>
      <c r="F266" s="3" t="s">
        <v>361</v>
      </c>
      <c r="G266" s="3" t="s">
        <v>365</v>
      </c>
      <c r="H266" s="3" t="s">
        <v>365</v>
      </c>
      <c r="I266" s="3" t="s">
        <v>622</v>
      </c>
      <c r="J266" s="3" t="s">
        <v>364</v>
      </c>
      <c r="K266" s="3" t="s">
        <v>365</v>
      </c>
      <c r="L266" s="3" t="s">
        <v>365</v>
      </c>
      <c r="M266" s="3" t="s">
        <v>365</v>
      </c>
      <c r="N266" s="3" t="s">
        <v>365</v>
      </c>
      <c r="O266" s="4" t="s">
        <v>829</v>
      </c>
      <c r="P266" s="3" t="s">
        <v>890</v>
      </c>
      <c r="Q266" s="3" t="s">
        <v>905</v>
      </c>
      <c r="R266" s="3" t="s">
        <v>907</v>
      </c>
      <c r="S266" s="3" t="s">
        <v>913</v>
      </c>
      <c r="T266" s="3"/>
      <c r="U266" s="3" t="s">
        <v>1283</v>
      </c>
      <c r="V266" s="3" t="s">
        <v>1388</v>
      </c>
      <c r="W266" s="3" t="s">
        <v>1538</v>
      </c>
      <c r="X266" s="3" t="s">
        <v>1870</v>
      </c>
      <c r="Y266" s="3" t="s">
        <v>2339</v>
      </c>
      <c r="Z266" s="3"/>
      <c r="AA266" s="3" t="s">
        <v>1509</v>
      </c>
      <c r="AB266" s="3"/>
      <c r="AC266" s="5" cm="1">
        <f t="array" ref="AC266">IF(TRUE,"True," &amp; IF(_xlfn.XLOOKUP("Src_IsAny",'Scoring_Config'!$A:$A,'Scoring_Config'!$D:$D,"Yes")="Yes",_xlfn.XLOOKUP("Src_IsAny",'Scoring_Config'!$A:$A,'Scoring_Config'!$C:$C,25),0),"False,0")</f>
        <v>0</v>
      </c>
      <c r="AD266" s="4" cm="1">
        <f t="array" ref="AD266">IF(FALSE,"True," &amp; IF(_xlfn.XLOOKUP("Src_CIDR_Le_16",'Scoring_Config'!$A:$A,'Scoring_Config'!$D:$D,"Yes")="Yes",_xlfn.XLOOKUP("Src_CIDR_Le_16",'Scoring_Config'!$A:$A,'Scoring_Config'!$C:$C,25),0),"False,0")</f>
        <v>0</v>
      </c>
      <c r="AE266" s="4" cm="1">
        <f t="array" ref="AE266">IF(FALSE,"True," &amp; IF(_xlfn.XLOOKUP("Src_CIDR_17_22",'Scoring_Config'!$A:$A,'Scoring_Config'!$D:$D,"Yes")="Yes",_xlfn.XLOOKUP("Src_CIDR_17_22",'Scoring_Config'!$A:$A,'Scoring_Config'!$C:$C,15),0),"False,0")</f>
        <v>0</v>
      </c>
      <c r="AF266" s="5" cm="1">
        <f t="array" ref="AF266">IF(TRUE,"True," &amp; IF(_xlfn.XLOOKUP("Dst_IsAny",'Scoring_Config'!$A:$A,'Scoring_Config'!$D:$D,"Yes")="Yes",_xlfn.XLOOKUP("Dst_IsAny",'Scoring_Config'!$A:$A,'Scoring_Config'!$C:$C,25),0),"False,0")</f>
        <v>0</v>
      </c>
      <c r="AG266" s="4" cm="1">
        <f t="array" ref="AG266">IF(FALSE,"True," &amp; IF(_xlfn.XLOOKUP("Dst_CIDR_Le_16",'Scoring_Config'!$A:$A,'Scoring_Config'!$D:$D,"Yes")="Yes",_xlfn.XLOOKUP("Dst_CIDR_Le_16",'Scoring_Config'!$A:$A,'Scoring_Config'!$C:$C,25),0),"False,0")</f>
        <v>0</v>
      </c>
      <c r="AH266" s="4" cm="1">
        <f t="array" ref="AH266">IF(FALSE,"True," &amp; IF(_xlfn.XLOOKUP("Dst_CIDR_17_22",'Scoring_Config'!$A:$A,'Scoring_Config'!$D:$D,"Yes")="Yes",_xlfn.XLOOKUP("Dst_CIDR_17_22",'Scoring_Config'!$A:$A,'Scoring_Config'!$C:$C,15),0),"False,0")</f>
        <v>0</v>
      </c>
      <c r="AI266" s="4" cm="1">
        <f t="array" ref="AI266">IF(FALSE,"True," &amp; IF(_xlfn.XLOOKUP("SrcZone_IsAny",'Scoring_Config'!$A:$A,'Scoring_Config'!$D:$D,"Yes")="Yes",_xlfn.XLOOKUP("SrcZone_IsAny",'Scoring_Config'!$A:$A,'Scoring_Config'!$C:$C,5),0),"False,0")</f>
        <v>0</v>
      </c>
      <c r="AJ266" s="4" cm="1">
        <f t="array" ref="AJ266">IF(FALSE,"True," &amp; IF(_xlfn.XLOOKUP("DstZone_IsAny",'Scoring_Config'!$A:$A,'Scoring_Config'!$D:$D,"Yes")="Yes",_xlfn.XLOOKUP("DstZone_IsAny",'Scoring_Config'!$A:$A,'Scoring_Config'!$C:$C,5),0),"False,0")</f>
        <v>0</v>
      </c>
      <c r="AK266" s="4" cm="1">
        <f t="array" ref="AK26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6" s="5" cm="1">
        <f t="array" ref="AL266">IF(TRUE,"True," &amp; IF(_xlfn.XLOOKUP("App_Any_OR_RangeGt1000",'Scoring_Config'!$A:$A,'Scoring_Config'!$D:$D,"Yes")="Yes",_xlfn.XLOOKUP("App_Any_OR_RangeGt1000",'Scoring_Config'!$A:$A,'Scoring_Config'!$C:$C,25),0),"False,0")</f>
        <v>0</v>
      </c>
      <c r="AM266" s="5" cm="1">
        <f t="array" ref="AM266">IF(TRUE,"True," &amp; IF(_xlfn.XLOOKUP("Service_Insecure_Match",'Scoring_Config'!$A:$A,'Scoring_Config'!$D:$D,"Yes")="Yes",_xlfn.XLOOKUP("Service_Insecure_Match",'Scoring_Config'!$A:$A,'Scoring_Config'!$C:$C,20),0),"False,0")</f>
        <v>0</v>
      </c>
      <c r="AN266" s="4" cm="1">
        <f t="array" ref="AN266">IF(FALSE,"True," &amp; IF(_xlfn.XLOOKUP("Risky_Inbound",'Scoring_Config'!$A:$A,'Scoring_Config'!$D:$D,"Yes")="Yes",_xlfn.XLOOKUP("Risky_Inbound",'Scoring_Config'!$A:$A,'Scoring_Config'!$C:$C,20),0),"False,0")</f>
        <v>0</v>
      </c>
      <c r="AO266" s="4" cm="1">
        <f t="array" ref="AO266">IF(FALSE,"True," &amp; IF(_xlfn.XLOOKUP("Risky_Outbound",'Scoring_Config'!$A:$A,'Scoring_Config'!$D:$D,"Yes")="Yes",_xlfn.XLOOKUP("Risky_Outbound",'Scoring_Config'!$A:$A,'Scoring_Config'!$C:$C,10),0),"False,0")</f>
        <v>0</v>
      </c>
      <c r="AP266" s="5" t="s">
        <v>2595</v>
      </c>
      <c r="AQ266" s="4" cm="1">
        <f t="array" ref="AQ26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6" s="5" t="s">
        <v>2598</v>
      </c>
      <c r="AS266" s="5" t="s">
        <v>2595</v>
      </c>
      <c r="AT266" s="4" t="s">
        <v>2592</v>
      </c>
      <c r="AU266" s="4" cm="1">
        <f t="array" ref="AU266">IF(FALSE,"True," &amp; IF(_xlfn.XLOOKUP("Action_IsDenyOrDrop",'Scoring_Config'!$A:$A,'Scoring_Config'!$D:$D,"Yes")="Yes",_xlfn.XLOOKUP("Action_IsDenyOrDrop",'Scoring_Config'!$A:$A,'Scoring_Config'!$C:$C,0),0),"False,0")</f>
        <v>0</v>
      </c>
      <c r="AV266" s="4"/>
      <c r="AW266" s="4" cm="1">
        <f t="array" ref="AW266">IF(FALSE,"True," &amp; IF(_xlfn.XLOOKUP("Migrate_Insecure",'Scoring_Config'!$A:$A,'Scoring_Config'!$D:$D,"Yes")="Yes",_xlfn.XLOOKUP("Migrate_Insecure",'Scoring_Config'!$A:$A,'Scoring_Config'!$C:$C,15),0),"False,0")</f>
        <v>0</v>
      </c>
      <c r="AX266" s="4"/>
      <c r="AY266" s="4" cm="1">
        <f t="array" ref="AY266">IF(FALSE,"True," &amp; IF(_xlfn.XLOOKUP("Migrate_Other_Ports",'Scoring_Config'!$A:$A,'Scoring_Config'!$D:$D,"Yes")="Yes",_xlfn.XLOOKUP("Migrate_Other_Ports",'Scoring_Config'!$A:$A,'Scoring_Config'!$C:$C,5),0),"False,0")</f>
        <v>0</v>
      </c>
      <c r="AZ266" s="4" cm="1">
        <f t="array" ref="AZ266">IF(LEFT(AU266,4)="True",0,(IF(LEFT(AC266,4)="True",IF(_xlfn.XLOOKUP("Src_IsAny",'Scoring_Config'!$A:$A,'Scoring_Config'!$D:$D,"Yes")="Yes",_xlfn.XLOOKUP("Src_IsAny",'Scoring_Config'!$A:$A,'Scoring_Config'!$C:$C,25),0),0)+IF(LEFT(AD266,4)="True",IF(_xlfn.XLOOKUP("Src_CIDR_Le_16",'Scoring_Config'!$A:$A,'Scoring_Config'!$D:$D,"Yes")="Yes",_xlfn.XLOOKUP("Src_CIDR_Le_16",'Scoring_Config'!$A:$A,'Scoring_Config'!$C:$C,25),0),0)+IF(LEFT(AE266,4)="True",IF(_xlfn.XLOOKUP("Src_CIDR_17_22",'Scoring_Config'!$A:$A,'Scoring_Config'!$D:$D,"Yes")="Yes",_xlfn.XLOOKUP("Src_CIDR_17_22",'Scoring_Config'!$A:$A,'Scoring_Config'!$C:$C,15),0),0)+IF(LEFT(AF266,4)="True",IF(_xlfn.XLOOKUP("Dst_IsAny",'Scoring_Config'!$A:$A,'Scoring_Config'!$D:$D,"Yes")="Yes",_xlfn.XLOOKUP("Dst_IsAny",'Scoring_Config'!$A:$A,'Scoring_Config'!$C:$C,25),0),0)+IF(LEFT(AG266,4)="True",IF(_xlfn.XLOOKUP("Dst_CIDR_Le_16",'Scoring_Config'!$A:$A,'Scoring_Config'!$D:$D,"Yes")="Yes",_xlfn.XLOOKUP("Dst_CIDR_Le_16",'Scoring_Config'!$A:$A,'Scoring_Config'!$C:$C,25),0),0)+IF(LEFT(AH266,4)="True",IF(_xlfn.XLOOKUP("Dst_CIDR_17_22",'Scoring_Config'!$A:$A,'Scoring_Config'!$D:$D,"Yes")="Yes",_xlfn.XLOOKUP("Dst_CIDR_17_22",'Scoring_Config'!$A:$A,'Scoring_Config'!$C:$C,15),0),0)+IF(LEFT(AI266,4)="True",IF(_xlfn.XLOOKUP("SrcZone_IsAny",'Scoring_Config'!$A:$A,'Scoring_Config'!$D:$D,"Yes")="Yes",_xlfn.XLOOKUP("SrcZone_IsAny",'Scoring_Config'!$A:$A,'Scoring_Config'!$C:$C,5),0),0)+IF(LEFT(AJ266,4)="True",IF(_xlfn.XLOOKUP("DstZone_IsAny",'Scoring_Config'!$A:$A,'Scoring_Config'!$D:$D,"Yes")="Yes",_xlfn.XLOOKUP("DstZone_IsAny",'Scoring_Config'!$A:$A,'Scoring_Config'!$C:$C,5),0),0)+IF(LEFT(AK266,4)="True",IF(_xlfn.XLOOKUP("Service_Any_OR_RangeGt1000",'Scoring_Config'!$A:$A,'Scoring_Config'!$D:$D,"Yes")="Yes",_xlfn.XLOOKUP("Service_Any_OR_RangeGt1000",'Scoring_Config'!$A:$A,'Scoring_Config'!$C:$C,25),0),0)+IF(LEFT(AL266,4)="True",IF(_xlfn.XLOOKUP("App_Any_OR_RangeGt1000",'Scoring_Config'!$A:$A,'Scoring_Config'!$D:$D,"Yes")="Yes",_xlfn.XLOOKUP("App_Any_OR_RangeGt1000",'Scoring_Config'!$A:$A,'Scoring_Config'!$C:$C,25),0),0)+IF(LEFT(AM266,4)="True",IF(_xlfn.XLOOKUP("Service_Insecure_Match",'Scoring_Config'!$A:$A,'Scoring_Config'!$D:$D,"Yes")="Yes",_xlfn.XLOOKUP("Service_Insecure_Match",'Scoring_Config'!$A:$A,'Scoring_Config'!$C:$C,20),0),0)+IF(LEFT(AN266,4)="True",IF(_xlfn.XLOOKUP("Risky_Inbound",'Scoring_Config'!$A:$A,'Scoring_Config'!$D:$D,"Yes")="Yes",_xlfn.XLOOKUP("Risky_Inbound",'Scoring_Config'!$A:$A,'Scoring_Config'!$C:$C,20),0),0)+IF(LEFT(AO266,4)="True",IF(_xlfn.XLOOKUP("Risky_Outbound",'Scoring_Config'!$A:$A,'Scoring_Config'!$D:$D,"Yes")="Yes",_xlfn.XLOOKUP("Risky_Outbound",'Scoring_Config'!$A:$A,'Scoring_Config'!$C:$C,10),0),0)+IF(LEFT(AW266,4)="True",IF(_xlfn.XLOOKUP("Migrate_Insecure",'Scoring_Config'!$A:$A,'Scoring_Config'!$D:$D,"Yes")="Yes",_xlfn.XLOOKUP("Migrate_Insecure",'Scoring_Config'!$A:$A,'Scoring_Config'!$C:$C,15),0),0)+IF(LEFT(AY266,4)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266,FIND(",",AP266)+1,100)),0)+IF(LEFT(AQ266,4)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266,FIND(",",AR266)+1,100)),0)+IF(_xlfn.XLOOKUP("Profile_Scoring",'Scoring_Config'!$A:$A,'Scoring_Config'!$D:$D,"Yes")="Yes",VALUE(MID(AS266,FIND(",",AS266)+1,100)),0)+IF(_xlfn.XLOOKUP("Options_Scoring",'Scoring_Config'!$A:$A,'Scoring_Config'!$D:$D,"Yes")="Yes",VALUE(MID(AT266,FIND(",",AT266)+1,100)),0)))</f>
        <v>0</v>
      </c>
    </row>
    <row r="267" spans="1:52">
      <c r="A267" s="3" t="s">
        <v>54</v>
      </c>
      <c r="B267" s="3" t="s">
        <v>142</v>
      </c>
      <c r="C267" s="3" t="s">
        <v>331</v>
      </c>
      <c r="D267" s="3" t="s">
        <v>344</v>
      </c>
      <c r="E267" s="3" t="s">
        <v>359</v>
      </c>
      <c r="F267" s="3" t="s">
        <v>361</v>
      </c>
      <c r="G267" s="3" t="s">
        <v>386</v>
      </c>
      <c r="H267" s="3" t="s">
        <v>386</v>
      </c>
      <c r="I267" s="3" t="s">
        <v>622</v>
      </c>
      <c r="J267" s="3" t="s">
        <v>364</v>
      </c>
      <c r="K267" s="3" t="s">
        <v>476</v>
      </c>
      <c r="L267" s="3" t="s">
        <v>476</v>
      </c>
      <c r="M267" s="3" t="s">
        <v>365</v>
      </c>
      <c r="N267" s="3" t="s">
        <v>365</v>
      </c>
      <c r="O267" s="4" t="s">
        <v>809</v>
      </c>
      <c r="P267" s="3" t="s">
        <v>870</v>
      </c>
      <c r="Q267" s="3" t="s">
        <v>905</v>
      </c>
      <c r="R267" s="3" t="s">
        <v>906</v>
      </c>
      <c r="S267" s="3" t="s">
        <v>914</v>
      </c>
      <c r="T267" s="3"/>
      <c r="U267" s="3" t="s">
        <v>1284</v>
      </c>
      <c r="V267" s="3" t="s">
        <v>789</v>
      </c>
      <c r="W267" s="3" t="s">
        <v>1471</v>
      </c>
      <c r="X267" s="3" t="s">
        <v>1871</v>
      </c>
      <c r="Y267" s="3" t="s">
        <v>2340</v>
      </c>
      <c r="Z267" s="3"/>
      <c r="AA267" s="3" t="s">
        <v>2556</v>
      </c>
      <c r="AB267" s="3"/>
      <c r="AC267" s="4" cm="1">
        <f t="array" ref="AC267">IF(FALSE,"True," &amp; IF(_xlfn.XLOOKUP("Src_IsAny",'Scoring_Config'!$A:$A,'Scoring_Config'!$D:$D,"Yes")="Yes",_xlfn.XLOOKUP("Src_IsAny",'Scoring_Config'!$A:$A,'Scoring_Config'!$C:$C,25),0),"False,0")</f>
        <v>0</v>
      </c>
      <c r="AD267" s="4" cm="1">
        <f t="array" ref="AD267">IF(FALSE,"True," &amp; IF(_xlfn.XLOOKUP("Src_CIDR_Le_16",'Scoring_Config'!$A:$A,'Scoring_Config'!$D:$D,"Yes")="Yes",_xlfn.XLOOKUP("Src_CIDR_Le_16",'Scoring_Config'!$A:$A,'Scoring_Config'!$C:$C,25),0),"False,0")</f>
        <v>0</v>
      </c>
      <c r="AE267" s="4" cm="1">
        <f t="array" ref="AE267">IF(FALSE,"True," &amp; IF(_xlfn.XLOOKUP("Src_CIDR_17_22",'Scoring_Config'!$A:$A,'Scoring_Config'!$D:$D,"Yes")="Yes",_xlfn.XLOOKUP("Src_CIDR_17_22",'Scoring_Config'!$A:$A,'Scoring_Config'!$C:$C,15),0),"False,0")</f>
        <v>0</v>
      </c>
      <c r="AF267" s="4" cm="1">
        <f t="array" ref="AF267">IF(FALSE,"True," &amp; IF(_xlfn.XLOOKUP("Dst_IsAny",'Scoring_Config'!$A:$A,'Scoring_Config'!$D:$D,"Yes")="Yes",_xlfn.XLOOKUP("Dst_IsAny",'Scoring_Config'!$A:$A,'Scoring_Config'!$C:$C,25),0),"False,0")</f>
        <v>0</v>
      </c>
      <c r="AG267" s="4" cm="1">
        <f t="array" ref="AG267">IF(FALSE,"True," &amp; IF(_xlfn.XLOOKUP("Dst_CIDR_Le_16",'Scoring_Config'!$A:$A,'Scoring_Config'!$D:$D,"Yes")="Yes",_xlfn.XLOOKUP("Dst_CIDR_Le_16",'Scoring_Config'!$A:$A,'Scoring_Config'!$C:$C,25),0),"False,0")</f>
        <v>0</v>
      </c>
      <c r="AH267" s="4" cm="1">
        <f t="array" ref="AH267">IF(FALSE,"True," &amp; IF(_xlfn.XLOOKUP("Dst_CIDR_17_22",'Scoring_Config'!$A:$A,'Scoring_Config'!$D:$D,"Yes")="Yes",_xlfn.XLOOKUP("Dst_CIDR_17_22",'Scoring_Config'!$A:$A,'Scoring_Config'!$C:$C,15),0),"False,0")</f>
        <v>0</v>
      </c>
      <c r="AI267" s="4" cm="1">
        <f t="array" ref="AI267">IF(FALSE,"True," &amp; IF(_xlfn.XLOOKUP("SrcZone_IsAny",'Scoring_Config'!$A:$A,'Scoring_Config'!$D:$D,"Yes")="Yes",_xlfn.XLOOKUP("SrcZone_IsAny",'Scoring_Config'!$A:$A,'Scoring_Config'!$C:$C,5),0),"False,0")</f>
        <v>0</v>
      </c>
      <c r="AJ267" s="4" cm="1">
        <f t="array" ref="AJ267">IF(FALSE,"True," &amp; IF(_xlfn.XLOOKUP("DstZone_IsAny",'Scoring_Config'!$A:$A,'Scoring_Config'!$D:$D,"Yes")="Yes",_xlfn.XLOOKUP("DstZone_IsAny",'Scoring_Config'!$A:$A,'Scoring_Config'!$C:$C,5),0),"False,0")</f>
        <v>0</v>
      </c>
      <c r="AK267" s="4" cm="1">
        <f t="array" ref="AK26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7" s="5" cm="1">
        <f t="array" ref="AL267">IF(TRUE,"True," &amp; IF(_xlfn.XLOOKUP("App_Any_OR_RangeGt1000",'Scoring_Config'!$A:$A,'Scoring_Config'!$D:$D,"Yes")="Yes",_xlfn.XLOOKUP("App_Any_OR_RangeGt1000",'Scoring_Config'!$A:$A,'Scoring_Config'!$C:$C,25),0),"False,0")</f>
        <v>0</v>
      </c>
      <c r="AM267" s="4" cm="1">
        <f t="array" ref="AM267">IF(FALSE,"True," &amp; IF(_xlfn.XLOOKUP("Service_Insecure_Match",'Scoring_Config'!$A:$A,'Scoring_Config'!$D:$D,"Yes")="Yes",_xlfn.XLOOKUP("Service_Insecure_Match",'Scoring_Config'!$A:$A,'Scoring_Config'!$C:$C,20),0),"False,0")</f>
        <v>0</v>
      </c>
      <c r="AN267" s="4" cm="1">
        <f t="array" ref="AN267">IF(FALSE,"True," &amp; IF(_xlfn.XLOOKUP("Risky_Inbound",'Scoring_Config'!$A:$A,'Scoring_Config'!$D:$D,"Yes")="Yes",_xlfn.XLOOKUP("Risky_Inbound",'Scoring_Config'!$A:$A,'Scoring_Config'!$C:$C,20),0),"False,0")</f>
        <v>0</v>
      </c>
      <c r="AO267" s="4" cm="1">
        <f t="array" ref="AO267">IF(FALSE,"True," &amp; IF(_xlfn.XLOOKUP("Risky_Outbound",'Scoring_Config'!$A:$A,'Scoring_Config'!$D:$D,"Yes")="Yes",_xlfn.XLOOKUP("Risky_Outbound",'Scoring_Config'!$A:$A,'Scoring_Config'!$C:$C,10),0),"False,0")</f>
        <v>0</v>
      </c>
      <c r="AP267" s="5" t="s">
        <v>2595</v>
      </c>
      <c r="AQ267" s="4" cm="1">
        <f t="array" ref="AQ26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7" s="5" t="s">
        <v>2598</v>
      </c>
      <c r="AS267" s="4" t="s">
        <v>2592</v>
      </c>
      <c r="AT267" s="4" t="s">
        <v>2592</v>
      </c>
      <c r="AU267" s="4" cm="1">
        <f t="array" ref="AU267">IF(FALSE,"True," &amp; IF(_xlfn.XLOOKUP("Action_IsDenyOrDrop",'Scoring_Config'!$A:$A,'Scoring_Config'!$D:$D,"Yes")="Yes",_xlfn.XLOOKUP("Action_IsDenyOrDrop",'Scoring_Config'!$A:$A,'Scoring_Config'!$C:$C,0),0),"False,0")</f>
        <v>0</v>
      </c>
      <c r="AV267" s="4"/>
      <c r="AW267" s="4" cm="1">
        <f t="array" ref="AW267">IF(FALSE,"True," &amp; IF(_xlfn.XLOOKUP("Migrate_Insecure",'Scoring_Config'!$A:$A,'Scoring_Config'!$D:$D,"Yes")="Yes",_xlfn.XLOOKUP("Migrate_Insecure",'Scoring_Config'!$A:$A,'Scoring_Config'!$C:$C,15),0),"False,0")</f>
        <v>0</v>
      </c>
      <c r="AX267" s="4"/>
      <c r="AY267" s="4" cm="1">
        <f t="array" ref="AY267">IF(FALSE,"True," &amp; IF(_xlfn.XLOOKUP("Migrate_Other_Ports",'Scoring_Config'!$A:$A,'Scoring_Config'!$D:$D,"Yes")="Yes",_xlfn.XLOOKUP("Migrate_Other_Ports",'Scoring_Config'!$A:$A,'Scoring_Config'!$C:$C,5),0),"False,0")</f>
        <v>0</v>
      </c>
      <c r="AZ267" s="4" cm="1">
        <f t="array" ref="AZ267">IF(LEFT(AU267,4)="True",0,(IF(LEFT(AC267,4)="True",IF(_xlfn.XLOOKUP("Src_IsAny",'Scoring_Config'!$A:$A,'Scoring_Config'!$D:$D,"Yes")="Yes",_xlfn.XLOOKUP("Src_IsAny",'Scoring_Config'!$A:$A,'Scoring_Config'!$C:$C,25),0),0)+IF(LEFT(AD267,4)="True",IF(_xlfn.XLOOKUP("Src_CIDR_Le_16",'Scoring_Config'!$A:$A,'Scoring_Config'!$D:$D,"Yes")="Yes",_xlfn.XLOOKUP("Src_CIDR_Le_16",'Scoring_Config'!$A:$A,'Scoring_Config'!$C:$C,25),0),0)+IF(LEFT(AE267,4)="True",IF(_xlfn.XLOOKUP("Src_CIDR_17_22",'Scoring_Config'!$A:$A,'Scoring_Config'!$D:$D,"Yes")="Yes",_xlfn.XLOOKUP("Src_CIDR_17_22",'Scoring_Config'!$A:$A,'Scoring_Config'!$C:$C,15),0),0)+IF(LEFT(AF267,4)="True",IF(_xlfn.XLOOKUP("Dst_IsAny",'Scoring_Config'!$A:$A,'Scoring_Config'!$D:$D,"Yes")="Yes",_xlfn.XLOOKUP("Dst_IsAny",'Scoring_Config'!$A:$A,'Scoring_Config'!$C:$C,25),0),0)+IF(LEFT(AG267,4)="True",IF(_xlfn.XLOOKUP("Dst_CIDR_Le_16",'Scoring_Config'!$A:$A,'Scoring_Config'!$D:$D,"Yes")="Yes",_xlfn.XLOOKUP("Dst_CIDR_Le_16",'Scoring_Config'!$A:$A,'Scoring_Config'!$C:$C,25),0),0)+IF(LEFT(AH267,4)="True",IF(_xlfn.XLOOKUP("Dst_CIDR_17_22",'Scoring_Config'!$A:$A,'Scoring_Config'!$D:$D,"Yes")="Yes",_xlfn.XLOOKUP("Dst_CIDR_17_22",'Scoring_Config'!$A:$A,'Scoring_Config'!$C:$C,15),0),0)+IF(LEFT(AI267,4)="True",IF(_xlfn.XLOOKUP("SrcZone_IsAny",'Scoring_Config'!$A:$A,'Scoring_Config'!$D:$D,"Yes")="Yes",_xlfn.XLOOKUP("SrcZone_IsAny",'Scoring_Config'!$A:$A,'Scoring_Config'!$C:$C,5),0),0)+IF(LEFT(AJ267,4)="True",IF(_xlfn.XLOOKUP("DstZone_IsAny",'Scoring_Config'!$A:$A,'Scoring_Config'!$D:$D,"Yes")="Yes",_xlfn.XLOOKUP("DstZone_IsAny",'Scoring_Config'!$A:$A,'Scoring_Config'!$C:$C,5),0),0)+IF(LEFT(AK267,4)="True",IF(_xlfn.XLOOKUP("Service_Any_OR_RangeGt1000",'Scoring_Config'!$A:$A,'Scoring_Config'!$D:$D,"Yes")="Yes",_xlfn.XLOOKUP("Service_Any_OR_RangeGt1000",'Scoring_Config'!$A:$A,'Scoring_Config'!$C:$C,25),0),0)+IF(LEFT(AL267,4)="True",IF(_xlfn.XLOOKUP("App_Any_OR_RangeGt1000",'Scoring_Config'!$A:$A,'Scoring_Config'!$D:$D,"Yes")="Yes",_xlfn.XLOOKUP("App_Any_OR_RangeGt1000",'Scoring_Config'!$A:$A,'Scoring_Config'!$C:$C,25),0),0)+IF(LEFT(AM267,4)="True",IF(_xlfn.XLOOKUP("Service_Insecure_Match",'Scoring_Config'!$A:$A,'Scoring_Config'!$D:$D,"Yes")="Yes",_xlfn.XLOOKUP("Service_Insecure_Match",'Scoring_Config'!$A:$A,'Scoring_Config'!$C:$C,20),0),0)+IF(LEFT(AN267,4)="True",IF(_xlfn.XLOOKUP("Risky_Inbound",'Scoring_Config'!$A:$A,'Scoring_Config'!$D:$D,"Yes")="Yes",_xlfn.XLOOKUP("Risky_Inbound",'Scoring_Config'!$A:$A,'Scoring_Config'!$C:$C,20),0),0)+IF(LEFT(AO267,4)="True",IF(_xlfn.XLOOKUP("Risky_Outbound",'Scoring_Config'!$A:$A,'Scoring_Config'!$D:$D,"Yes")="Yes",_xlfn.XLOOKUP("Risky_Outbound",'Scoring_Config'!$A:$A,'Scoring_Config'!$C:$C,10),0),0)+IF(LEFT(AW267,4)="True",IF(_xlfn.XLOOKUP("Migrate_Insecure",'Scoring_Config'!$A:$A,'Scoring_Config'!$D:$D,"Yes")="Yes",_xlfn.XLOOKUP("Migrate_Insecure",'Scoring_Config'!$A:$A,'Scoring_Config'!$C:$C,15),0),0)+IF(LEFT(AY267,4)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267,FIND(",",AP267)+1,100)),0)+IF(LEFT(AQ267,4)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267,FIND(",",AR267)+1,100)),0)+IF(_xlfn.XLOOKUP("Profile_Scoring",'Scoring_Config'!$A:$A,'Scoring_Config'!$D:$D,"Yes")="Yes",VALUE(MID(AS267,FIND(",",AS267)+1,100)),0)+IF(_xlfn.XLOOKUP("Options_Scoring",'Scoring_Config'!$A:$A,'Scoring_Config'!$D:$D,"Yes")="Yes",VALUE(MID(AT267,FIND(",",AT267)+1,100)),0)))</f>
        <v>0</v>
      </c>
    </row>
    <row r="268" spans="1:52">
      <c r="A268" s="3" t="s">
        <v>54</v>
      </c>
      <c r="B268" s="3" t="s">
        <v>240</v>
      </c>
      <c r="C268" s="3" t="s">
        <v>331</v>
      </c>
      <c r="D268" s="3"/>
      <c r="E268" s="3" t="s">
        <v>359</v>
      </c>
      <c r="F268" s="3" t="s">
        <v>361</v>
      </c>
      <c r="G268" s="3" t="s">
        <v>465</v>
      </c>
      <c r="H268" s="3" t="s">
        <v>588</v>
      </c>
      <c r="I268" s="3" t="s">
        <v>625</v>
      </c>
      <c r="J268" s="3" t="s">
        <v>360</v>
      </c>
      <c r="K268" s="3" t="s">
        <v>697</v>
      </c>
      <c r="L268" s="3" t="s">
        <v>456</v>
      </c>
      <c r="M268" s="3" t="s">
        <v>365</v>
      </c>
      <c r="N268" s="3" t="s">
        <v>365</v>
      </c>
      <c r="O268" s="4" t="s">
        <v>809</v>
      </c>
      <c r="P268" s="3" t="s">
        <v>870</v>
      </c>
      <c r="Q268" s="3" t="s">
        <v>905</v>
      </c>
      <c r="R268" s="3" t="s">
        <v>907</v>
      </c>
      <c r="S268" s="3" t="s">
        <v>907</v>
      </c>
      <c r="T268" s="3"/>
      <c r="U268" s="3" t="s">
        <v>1285</v>
      </c>
      <c r="V268" s="3" t="s">
        <v>772</v>
      </c>
      <c r="W268" s="3" t="s">
        <v>1396</v>
      </c>
      <c r="X268" s="3" t="s">
        <v>1872</v>
      </c>
      <c r="Y268" s="3" t="s">
        <v>2341</v>
      </c>
      <c r="Z268" s="3"/>
      <c r="AA268" s="3" t="s">
        <v>1551</v>
      </c>
      <c r="AB268" s="3"/>
      <c r="AC268" s="4" cm="1">
        <f t="array" ref="AC268">IF(FALSE,"True," &amp; IF(_xlfn.XLOOKUP("Src_IsAny",'Scoring_Config'!$A:$A,'Scoring_Config'!$D:$D,"Yes")="Yes",_xlfn.XLOOKUP("Src_IsAny",'Scoring_Config'!$A:$A,'Scoring_Config'!$C:$C,25),0),"False,0")</f>
        <v>0</v>
      </c>
      <c r="AD268" s="4" cm="1">
        <f t="array" ref="AD268">IF(FALSE,"True," &amp; IF(_xlfn.XLOOKUP("Src_CIDR_Le_16",'Scoring_Config'!$A:$A,'Scoring_Config'!$D:$D,"Yes")="Yes",_xlfn.XLOOKUP("Src_CIDR_Le_16",'Scoring_Config'!$A:$A,'Scoring_Config'!$C:$C,25),0),"False,0")</f>
        <v>0</v>
      </c>
      <c r="AE268" s="4" cm="1">
        <f t="array" ref="AE268">IF(FALSE,"True," &amp; IF(_xlfn.XLOOKUP("Src_CIDR_17_22",'Scoring_Config'!$A:$A,'Scoring_Config'!$D:$D,"Yes")="Yes",_xlfn.XLOOKUP("Src_CIDR_17_22",'Scoring_Config'!$A:$A,'Scoring_Config'!$C:$C,15),0),"False,0")</f>
        <v>0</v>
      </c>
      <c r="AF268" s="4" cm="1">
        <f t="array" ref="AF268">IF(FALSE,"True," &amp; IF(_xlfn.XLOOKUP("Dst_IsAny",'Scoring_Config'!$A:$A,'Scoring_Config'!$D:$D,"Yes")="Yes",_xlfn.XLOOKUP("Dst_IsAny",'Scoring_Config'!$A:$A,'Scoring_Config'!$C:$C,25),0),"False,0")</f>
        <v>0</v>
      </c>
      <c r="AG268" s="4" cm="1">
        <f t="array" ref="AG268">IF(FALSE,"True," &amp; IF(_xlfn.XLOOKUP("Dst_CIDR_Le_16",'Scoring_Config'!$A:$A,'Scoring_Config'!$D:$D,"Yes")="Yes",_xlfn.XLOOKUP("Dst_CIDR_Le_16",'Scoring_Config'!$A:$A,'Scoring_Config'!$C:$C,25),0),"False,0")</f>
        <v>0</v>
      </c>
      <c r="AH268" s="4" cm="1">
        <f t="array" ref="AH268">IF(FALSE,"True," &amp; IF(_xlfn.XLOOKUP("Dst_CIDR_17_22",'Scoring_Config'!$A:$A,'Scoring_Config'!$D:$D,"Yes")="Yes",_xlfn.XLOOKUP("Dst_CIDR_17_22",'Scoring_Config'!$A:$A,'Scoring_Config'!$C:$C,15),0),"False,0")</f>
        <v>0</v>
      </c>
      <c r="AI268" s="4" cm="1">
        <f t="array" ref="AI268">IF(FALSE,"True," &amp; IF(_xlfn.XLOOKUP("SrcZone_IsAny",'Scoring_Config'!$A:$A,'Scoring_Config'!$D:$D,"Yes")="Yes",_xlfn.XLOOKUP("SrcZone_IsAny",'Scoring_Config'!$A:$A,'Scoring_Config'!$C:$C,5),0),"False,0")</f>
        <v>0</v>
      </c>
      <c r="AJ268" s="4" cm="1">
        <f t="array" ref="AJ268">IF(FALSE,"True," &amp; IF(_xlfn.XLOOKUP("DstZone_IsAny",'Scoring_Config'!$A:$A,'Scoring_Config'!$D:$D,"Yes")="Yes",_xlfn.XLOOKUP("DstZone_IsAny",'Scoring_Config'!$A:$A,'Scoring_Config'!$C:$C,5),0),"False,0")</f>
        <v>0</v>
      </c>
      <c r="AK268" s="4" cm="1">
        <f t="array" ref="AK26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68" s="5" cm="1">
        <f t="array" ref="AL268">IF(TRUE,"True," &amp; IF(_xlfn.XLOOKUP("App_Any_OR_RangeGt1000",'Scoring_Config'!$A:$A,'Scoring_Config'!$D:$D,"Yes")="Yes",_xlfn.XLOOKUP("App_Any_OR_RangeGt1000",'Scoring_Config'!$A:$A,'Scoring_Config'!$C:$C,25),0),"False,0")</f>
        <v>0</v>
      </c>
      <c r="AM268" s="4" cm="1">
        <f t="array" ref="AM268">IF(FALSE,"True," &amp; IF(_xlfn.XLOOKUP("Service_Insecure_Match",'Scoring_Config'!$A:$A,'Scoring_Config'!$D:$D,"Yes")="Yes",_xlfn.XLOOKUP("Service_Insecure_Match",'Scoring_Config'!$A:$A,'Scoring_Config'!$C:$C,20),0),"False,0")</f>
        <v>0</v>
      </c>
      <c r="AN268" s="4" cm="1">
        <f t="array" ref="AN268">IF(FALSE,"True," &amp; IF(_xlfn.XLOOKUP("Risky_Inbound",'Scoring_Config'!$A:$A,'Scoring_Config'!$D:$D,"Yes")="Yes",_xlfn.XLOOKUP("Risky_Inbound",'Scoring_Config'!$A:$A,'Scoring_Config'!$C:$C,20),0),"False,0")</f>
        <v>0</v>
      </c>
      <c r="AO268" s="4" cm="1">
        <f t="array" ref="AO268">IF(FALSE,"True," &amp; IF(_xlfn.XLOOKUP("Risky_Outbound",'Scoring_Config'!$A:$A,'Scoring_Config'!$D:$D,"Yes")="Yes",_xlfn.XLOOKUP("Risky_Outbound",'Scoring_Config'!$A:$A,'Scoring_Config'!$C:$C,10),0),"False,0")</f>
        <v>0</v>
      </c>
      <c r="AP268" s="5" t="s">
        <v>2595</v>
      </c>
      <c r="AQ268" s="4" cm="1">
        <f t="array" ref="AQ26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8" s="5" t="s">
        <v>2598</v>
      </c>
      <c r="AS268" s="5" t="s">
        <v>2595</v>
      </c>
      <c r="AT268" s="5" t="s">
        <v>2595</v>
      </c>
      <c r="AU268" s="4" cm="1">
        <f t="array" ref="AU268">IF(FALSE,"True," &amp; IF(_xlfn.XLOOKUP("Action_IsDenyOrDrop",'Scoring_Config'!$A:$A,'Scoring_Config'!$D:$D,"Yes")="Yes",_xlfn.XLOOKUP("Action_IsDenyOrDrop",'Scoring_Config'!$A:$A,'Scoring_Config'!$C:$C,0),0),"False,0")</f>
        <v>0</v>
      </c>
      <c r="AV268" s="4"/>
      <c r="AW268" s="4" cm="1">
        <f t="array" ref="AW268">IF(FALSE,"True," &amp; IF(_xlfn.XLOOKUP("Migrate_Insecure",'Scoring_Config'!$A:$A,'Scoring_Config'!$D:$D,"Yes")="Yes",_xlfn.XLOOKUP("Migrate_Insecure",'Scoring_Config'!$A:$A,'Scoring_Config'!$C:$C,15),0),"False,0")</f>
        <v>0</v>
      </c>
      <c r="AX268" s="4"/>
      <c r="AY268" s="4" cm="1">
        <f t="array" ref="AY268">IF(FALSE,"True," &amp; IF(_xlfn.XLOOKUP("Migrate_Other_Ports",'Scoring_Config'!$A:$A,'Scoring_Config'!$D:$D,"Yes")="Yes",_xlfn.XLOOKUP("Migrate_Other_Ports",'Scoring_Config'!$A:$A,'Scoring_Config'!$C:$C,5),0),"False,0")</f>
        <v>0</v>
      </c>
      <c r="AZ268" s="4" cm="1">
        <f t="array" ref="AZ268">IF(LEFT(AU268,4)="True",0,(IF(LEFT(AC268,4)="True",IF(_xlfn.XLOOKUP("Src_IsAny",'Scoring_Config'!$A:$A,'Scoring_Config'!$D:$D,"Yes")="Yes",_xlfn.XLOOKUP("Src_IsAny",'Scoring_Config'!$A:$A,'Scoring_Config'!$C:$C,25),0),0)+IF(LEFT(AD268,4)="True",IF(_xlfn.XLOOKUP("Src_CIDR_Le_16",'Scoring_Config'!$A:$A,'Scoring_Config'!$D:$D,"Yes")="Yes",_xlfn.XLOOKUP("Src_CIDR_Le_16",'Scoring_Config'!$A:$A,'Scoring_Config'!$C:$C,25),0),0)+IF(LEFT(AE268,4)="True",IF(_xlfn.XLOOKUP("Src_CIDR_17_22",'Scoring_Config'!$A:$A,'Scoring_Config'!$D:$D,"Yes")="Yes",_xlfn.XLOOKUP("Src_CIDR_17_22",'Scoring_Config'!$A:$A,'Scoring_Config'!$C:$C,15),0),0)+IF(LEFT(AF268,4)="True",IF(_xlfn.XLOOKUP("Dst_IsAny",'Scoring_Config'!$A:$A,'Scoring_Config'!$D:$D,"Yes")="Yes",_xlfn.XLOOKUP("Dst_IsAny",'Scoring_Config'!$A:$A,'Scoring_Config'!$C:$C,25),0),0)+IF(LEFT(AG268,4)="True",IF(_xlfn.XLOOKUP("Dst_CIDR_Le_16",'Scoring_Config'!$A:$A,'Scoring_Config'!$D:$D,"Yes")="Yes",_xlfn.XLOOKUP("Dst_CIDR_Le_16",'Scoring_Config'!$A:$A,'Scoring_Config'!$C:$C,25),0),0)+IF(LEFT(AH268,4)="True",IF(_xlfn.XLOOKUP("Dst_CIDR_17_22",'Scoring_Config'!$A:$A,'Scoring_Config'!$D:$D,"Yes")="Yes",_xlfn.XLOOKUP("Dst_CIDR_17_22",'Scoring_Config'!$A:$A,'Scoring_Config'!$C:$C,15),0),0)+IF(LEFT(AI268,4)="True",IF(_xlfn.XLOOKUP("SrcZone_IsAny",'Scoring_Config'!$A:$A,'Scoring_Config'!$D:$D,"Yes")="Yes",_xlfn.XLOOKUP("SrcZone_IsAny",'Scoring_Config'!$A:$A,'Scoring_Config'!$C:$C,5),0),0)+IF(LEFT(AJ268,4)="True",IF(_xlfn.XLOOKUP("DstZone_IsAny",'Scoring_Config'!$A:$A,'Scoring_Config'!$D:$D,"Yes")="Yes",_xlfn.XLOOKUP("DstZone_IsAny",'Scoring_Config'!$A:$A,'Scoring_Config'!$C:$C,5),0),0)+IF(LEFT(AK268,4)="True",IF(_xlfn.XLOOKUP("Service_Any_OR_RangeGt1000",'Scoring_Config'!$A:$A,'Scoring_Config'!$D:$D,"Yes")="Yes",_xlfn.XLOOKUP("Service_Any_OR_RangeGt1000",'Scoring_Config'!$A:$A,'Scoring_Config'!$C:$C,25),0),0)+IF(LEFT(AL268,4)="True",IF(_xlfn.XLOOKUP("App_Any_OR_RangeGt1000",'Scoring_Config'!$A:$A,'Scoring_Config'!$D:$D,"Yes")="Yes",_xlfn.XLOOKUP("App_Any_OR_RangeGt1000",'Scoring_Config'!$A:$A,'Scoring_Config'!$C:$C,25),0),0)+IF(LEFT(AM268,4)="True",IF(_xlfn.XLOOKUP("Service_Insecure_Match",'Scoring_Config'!$A:$A,'Scoring_Config'!$D:$D,"Yes")="Yes",_xlfn.XLOOKUP("Service_Insecure_Match",'Scoring_Config'!$A:$A,'Scoring_Config'!$C:$C,20),0),0)+IF(LEFT(AN268,4)="True",IF(_xlfn.XLOOKUP("Risky_Inbound",'Scoring_Config'!$A:$A,'Scoring_Config'!$D:$D,"Yes")="Yes",_xlfn.XLOOKUP("Risky_Inbound",'Scoring_Config'!$A:$A,'Scoring_Config'!$C:$C,20),0),0)+IF(LEFT(AO268,4)="True",IF(_xlfn.XLOOKUP("Risky_Outbound",'Scoring_Config'!$A:$A,'Scoring_Config'!$D:$D,"Yes")="Yes",_xlfn.XLOOKUP("Risky_Outbound",'Scoring_Config'!$A:$A,'Scoring_Config'!$C:$C,10),0),0)+IF(LEFT(AW268,4)="True",IF(_xlfn.XLOOKUP("Migrate_Insecure",'Scoring_Config'!$A:$A,'Scoring_Config'!$D:$D,"Yes")="Yes",_xlfn.XLOOKUP("Migrate_Insecure",'Scoring_Config'!$A:$A,'Scoring_Config'!$C:$C,15),0),0)+IF(LEFT(AY268,4)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268,FIND(",",AP268)+1,100)),0)+IF(LEFT(AQ268,4)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268,FIND(",",AR268)+1,100)),0)+IF(_xlfn.XLOOKUP("Profile_Scoring",'Scoring_Config'!$A:$A,'Scoring_Config'!$D:$D,"Yes")="Yes",VALUE(MID(AS268,FIND(",",AS268)+1,100)),0)+IF(_xlfn.XLOOKUP("Options_Scoring",'Scoring_Config'!$A:$A,'Scoring_Config'!$D:$D,"Yes")="Yes",VALUE(MID(AT268,FIND(",",AT268)+1,100)),0)))</f>
        <v>0</v>
      </c>
    </row>
    <row r="269" spans="1:52">
      <c r="A269" s="3" t="s">
        <v>54</v>
      </c>
      <c r="B269" s="3" t="s">
        <v>241</v>
      </c>
      <c r="C269" s="3" t="s">
        <v>331</v>
      </c>
      <c r="D269" s="3"/>
      <c r="E269" s="3" t="s">
        <v>359</v>
      </c>
      <c r="F269" s="3" t="s">
        <v>363</v>
      </c>
      <c r="G269" s="3" t="s">
        <v>365</v>
      </c>
      <c r="H269" s="3" t="s">
        <v>365</v>
      </c>
      <c r="I269" s="3" t="s">
        <v>625</v>
      </c>
      <c r="J269" s="3" t="s">
        <v>362</v>
      </c>
      <c r="K269" s="3" t="s">
        <v>365</v>
      </c>
      <c r="L269" s="3" t="s">
        <v>365</v>
      </c>
      <c r="M269" s="3" t="s">
        <v>785</v>
      </c>
      <c r="N269" s="3" t="s">
        <v>785</v>
      </c>
      <c r="O269" s="4" t="s">
        <v>822</v>
      </c>
      <c r="P269" s="3" t="s">
        <v>883</v>
      </c>
      <c r="Q269" s="3" t="s">
        <v>904</v>
      </c>
      <c r="R269" s="3" t="s">
        <v>908</v>
      </c>
      <c r="S269" s="3" t="s">
        <v>914</v>
      </c>
      <c r="T269" s="3"/>
      <c r="U269" s="3" t="s">
        <v>1286</v>
      </c>
      <c r="V269" s="3" t="s">
        <v>1386</v>
      </c>
      <c r="W269" s="3" t="s">
        <v>1539</v>
      </c>
      <c r="X269" s="3" t="s">
        <v>1873</v>
      </c>
      <c r="Y269" s="3" t="s">
        <v>2342</v>
      </c>
      <c r="Z269" s="3"/>
      <c r="AA269" s="3" t="s">
        <v>1069</v>
      </c>
      <c r="AB269" s="3"/>
      <c r="AC269" s="5" cm="1">
        <f t="array" ref="AC269">IF(TRUE,"True," &amp; IF(_xlfn.XLOOKUP("Src_IsAny",'Scoring_Config'!$A:$A,'Scoring_Config'!$D:$D,"Yes")="Yes",_xlfn.XLOOKUP("Src_IsAny",'Scoring_Config'!$A:$A,'Scoring_Config'!$C:$C,25),0),"False,0")</f>
        <v>0</v>
      </c>
      <c r="AD269" s="4" cm="1">
        <f t="array" ref="AD269">IF(FALSE,"True," &amp; IF(_xlfn.XLOOKUP("Src_CIDR_Le_16",'Scoring_Config'!$A:$A,'Scoring_Config'!$D:$D,"Yes")="Yes",_xlfn.XLOOKUP("Src_CIDR_Le_16",'Scoring_Config'!$A:$A,'Scoring_Config'!$C:$C,25),0),"False,0")</f>
        <v>0</v>
      </c>
      <c r="AE269" s="4" cm="1">
        <f t="array" ref="AE269">IF(FALSE,"True," &amp; IF(_xlfn.XLOOKUP("Src_CIDR_17_22",'Scoring_Config'!$A:$A,'Scoring_Config'!$D:$D,"Yes")="Yes",_xlfn.XLOOKUP("Src_CIDR_17_22",'Scoring_Config'!$A:$A,'Scoring_Config'!$C:$C,15),0),"False,0")</f>
        <v>0</v>
      </c>
      <c r="AF269" s="5" cm="1">
        <f t="array" ref="AF269">IF(TRUE,"True," &amp; IF(_xlfn.XLOOKUP("Dst_IsAny",'Scoring_Config'!$A:$A,'Scoring_Config'!$D:$D,"Yes")="Yes",_xlfn.XLOOKUP("Dst_IsAny",'Scoring_Config'!$A:$A,'Scoring_Config'!$C:$C,25),0),"False,0")</f>
        <v>0</v>
      </c>
      <c r="AG269" s="4" cm="1">
        <f t="array" ref="AG269">IF(FALSE,"True," &amp; IF(_xlfn.XLOOKUP("Dst_CIDR_Le_16",'Scoring_Config'!$A:$A,'Scoring_Config'!$D:$D,"Yes")="Yes",_xlfn.XLOOKUP("Dst_CIDR_Le_16",'Scoring_Config'!$A:$A,'Scoring_Config'!$C:$C,25),0),"False,0")</f>
        <v>0</v>
      </c>
      <c r="AH269" s="4" cm="1">
        <f t="array" ref="AH269">IF(FALSE,"True," &amp; IF(_xlfn.XLOOKUP("Dst_CIDR_17_22",'Scoring_Config'!$A:$A,'Scoring_Config'!$D:$D,"Yes")="Yes",_xlfn.XLOOKUP("Dst_CIDR_17_22",'Scoring_Config'!$A:$A,'Scoring_Config'!$C:$C,15),0),"False,0")</f>
        <v>0</v>
      </c>
      <c r="AI269" s="4" cm="1">
        <f t="array" ref="AI269">IF(FALSE,"True," &amp; IF(_xlfn.XLOOKUP("SrcZone_IsAny",'Scoring_Config'!$A:$A,'Scoring_Config'!$D:$D,"Yes")="Yes",_xlfn.XLOOKUP("SrcZone_IsAny",'Scoring_Config'!$A:$A,'Scoring_Config'!$C:$C,5),0),"False,0")</f>
        <v>0</v>
      </c>
      <c r="AJ269" s="4" cm="1">
        <f t="array" ref="AJ269">IF(FALSE,"True," &amp; IF(_xlfn.XLOOKUP("DstZone_IsAny",'Scoring_Config'!$A:$A,'Scoring_Config'!$D:$D,"Yes")="Yes",_xlfn.XLOOKUP("DstZone_IsAny",'Scoring_Config'!$A:$A,'Scoring_Config'!$C:$C,5),0),"False,0")</f>
        <v>0</v>
      </c>
      <c r="AK269" s="5" cm="1">
        <f t="array" ref="AK269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69" s="4" cm="1">
        <f t="array" ref="AL269">IF(FALSE,"True," &amp; IF(_xlfn.XLOOKUP("App_Any_OR_RangeGt1000",'Scoring_Config'!$A:$A,'Scoring_Config'!$D:$D,"Yes")="Yes",_xlfn.XLOOKUP("App_Any_OR_RangeGt1000",'Scoring_Config'!$A:$A,'Scoring_Config'!$C:$C,25),0),"False,0")</f>
        <v>0</v>
      </c>
      <c r="AM269" s="5" cm="1">
        <f t="array" ref="AM269">IF(TRUE,"True," &amp; IF(_xlfn.XLOOKUP("Service_Insecure_Match",'Scoring_Config'!$A:$A,'Scoring_Config'!$D:$D,"Yes")="Yes",_xlfn.XLOOKUP("Service_Insecure_Match",'Scoring_Config'!$A:$A,'Scoring_Config'!$C:$C,20),0),"False,0")</f>
        <v>0</v>
      </c>
      <c r="AN269" s="4" cm="1">
        <f t="array" ref="AN269">IF(FALSE,"True," &amp; IF(_xlfn.XLOOKUP("Risky_Inbound",'Scoring_Config'!$A:$A,'Scoring_Config'!$D:$D,"Yes")="Yes",_xlfn.XLOOKUP("Risky_Inbound",'Scoring_Config'!$A:$A,'Scoring_Config'!$C:$C,20),0),"False,0")</f>
        <v>0</v>
      </c>
      <c r="AO269" s="4" cm="1">
        <f t="array" ref="AO269">IF(FALSE,"True," &amp; IF(_xlfn.XLOOKUP("Risky_Outbound",'Scoring_Config'!$A:$A,'Scoring_Config'!$D:$D,"Yes")="Yes",_xlfn.XLOOKUP("Risky_Outbound",'Scoring_Config'!$A:$A,'Scoring_Config'!$C:$C,10),0),"False,0")</f>
        <v>0</v>
      </c>
      <c r="AP269" s="5" t="s">
        <v>2595</v>
      </c>
      <c r="AQ269" s="5" cm="1">
        <f t="array" ref="AQ26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69" s="5" t="s">
        <v>2598</v>
      </c>
      <c r="AS269" s="4" t="s">
        <v>2592</v>
      </c>
      <c r="AT269" s="4" t="s">
        <v>2592</v>
      </c>
      <c r="AU269" s="5" cm="1">
        <f t="array" ref="AU269">IF(TRUE,"True," &amp; IF(_xlfn.XLOOKUP("Action_IsDenyOrDrop",'Scoring_Config'!$A:$A,'Scoring_Config'!$D:$D,"Yes")="Yes",_xlfn.XLOOKUP("Action_IsDenyOrDrop",'Scoring_Config'!$A:$A,'Scoring_Config'!$C:$C,0),0),"False,0")</f>
        <v>0</v>
      </c>
      <c r="AV269" s="4"/>
      <c r="AW269" s="4" cm="1">
        <f t="array" ref="AW269">IF(FALSE,"True," &amp; IF(_xlfn.XLOOKUP("Migrate_Insecure",'Scoring_Config'!$A:$A,'Scoring_Config'!$D:$D,"Yes")="Yes",_xlfn.XLOOKUP("Migrate_Insecure",'Scoring_Config'!$A:$A,'Scoring_Config'!$C:$C,15),0),"False,0")</f>
        <v>0</v>
      </c>
      <c r="AX269" s="4"/>
      <c r="AY269" s="4" cm="1">
        <f t="array" ref="AY269">IF(FALSE,"True," &amp; IF(_xlfn.XLOOKUP("Migrate_Other_Ports",'Scoring_Config'!$A:$A,'Scoring_Config'!$D:$D,"Yes")="Yes",_xlfn.XLOOKUP("Migrate_Other_Ports",'Scoring_Config'!$A:$A,'Scoring_Config'!$C:$C,5),0),"False,0")</f>
        <v>0</v>
      </c>
      <c r="AZ269" s="4" cm="1">
        <f t="array" ref="AZ269">IF(LEFT(AU269,4)="True",0,(IF(LEFT(AC269,4)="True",IF(_xlfn.XLOOKUP("Src_IsAny",'Scoring_Config'!$A:$A,'Scoring_Config'!$D:$D,"Yes")="Yes",_xlfn.XLOOKUP("Src_IsAny",'Scoring_Config'!$A:$A,'Scoring_Config'!$C:$C,25),0),0)+IF(LEFT(AD269,4)="True",IF(_xlfn.XLOOKUP("Src_CIDR_Le_16",'Scoring_Config'!$A:$A,'Scoring_Config'!$D:$D,"Yes")="Yes",_xlfn.XLOOKUP("Src_CIDR_Le_16",'Scoring_Config'!$A:$A,'Scoring_Config'!$C:$C,25),0),0)+IF(LEFT(AE269,4)="True",IF(_xlfn.XLOOKUP("Src_CIDR_17_22",'Scoring_Config'!$A:$A,'Scoring_Config'!$D:$D,"Yes")="Yes",_xlfn.XLOOKUP("Src_CIDR_17_22",'Scoring_Config'!$A:$A,'Scoring_Config'!$C:$C,15),0),0)+IF(LEFT(AF269,4)="True",IF(_xlfn.XLOOKUP("Dst_IsAny",'Scoring_Config'!$A:$A,'Scoring_Config'!$D:$D,"Yes")="Yes",_xlfn.XLOOKUP("Dst_IsAny",'Scoring_Config'!$A:$A,'Scoring_Config'!$C:$C,25),0),0)+IF(LEFT(AG269,4)="True",IF(_xlfn.XLOOKUP("Dst_CIDR_Le_16",'Scoring_Config'!$A:$A,'Scoring_Config'!$D:$D,"Yes")="Yes",_xlfn.XLOOKUP("Dst_CIDR_Le_16",'Scoring_Config'!$A:$A,'Scoring_Config'!$C:$C,25),0),0)+IF(LEFT(AH269,4)="True",IF(_xlfn.XLOOKUP("Dst_CIDR_17_22",'Scoring_Config'!$A:$A,'Scoring_Config'!$D:$D,"Yes")="Yes",_xlfn.XLOOKUP("Dst_CIDR_17_22",'Scoring_Config'!$A:$A,'Scoring_Config'!$C:$C,15),0),0)+IF(LEFT(AI269,4)="True",IF(_xlfn.XLOOKUP("SrcZone_IsAny",'Scoring_Config'!$A:$A,'Scoring_Config'!$D:$D,"Yes")="Yes",_xlfn.XLOOKUP("SrcZone_IsAny",'Scoring_Config'!$A:$A,'Scoring_Config'!$C:$C,5),0),0)+IF(LEFT(AJ269,4)="True",IF(_xlfn.XLOOKUP("DstZone_IsAny",'Scoring_Config'!$A:$A,'Scoring_Config'!$D:$D,"Yes")="Yes",_xlfn.XLOOKUP("DstZone_IsAny",'Scoring_Config'!$A:$A,'Scoring_Config'!$C:$C,5),0),0)+IF(LEFT(AK269,4)="True",IF(_xlfn.XLOOKUP("Service_Any_OR_RangeGt1000",'Scoring_Config'!$A:$A,'Scoring_Config'!$D:$D,"Yes")="Yes",_xlfn.XLOOKUP("Service_Any_OR_RangeGt1000",'Scoring_Config'!$A:$A,'Scoring_Config'!$C:$C,25),0),0)+IF(LEFT(AL269,4)="True",IF(_xlfn.XLOOKUP("App_Any_OR_RangeGt1000",'Scoring_Config'!$A:$A,'Scoring_Config'!$D:$D,"Yes")="Yes",_xlfn.XLOOKUP("App_Any_OR_RangeGt1000",'Scoring_Config'!$A:$A,'Scoring_Config'!$C:$C,25),0),0)+IF(LEFT(AM269,4)="True",IF(_xlfn.XLOOKUP("Service_Insecure_Match",'Scoring_Config'!$A:$A,'Scoring_Config'!$D:$D,"Yes")="Yes",_xlfn.XLOOKUP("Service_Insecure_Match",'Scoring_Config'!$A:$A,'Scoring_Config'!$C:$C,20),0),0)+IF(LEFT(AN269,4)="True",IF(_xlfn.XLOOKUP("Risky_Inbound",'Scoring_Config'!$A:$A,'Scoring_Config'!$D:$D,"Yes")="Yes",_xlfn.XLOOKUP("Risky_Inbound",'Scoring_Config'!$A:$A,'Scoring_Config'!$C:$C,20),0),0)+IF(LEFT(AO269,4)="True",IF(_xlfn.XLOOKUP("Risky_Outbound",'Scoring_Config'!$A:$A,'Scoring_Config'!$D:$D,"Yes")="Yes",_xlfn.XLOOKUP("Risky_Outbound",'Scoring_Config'!$A:$A,'Scoring_Config'!$C:$C,10),0),0)+IF(LEFT(AW269,4)="True",IF(_xlfn.XLOOKUP("Migrate_Insecure",'Scoring_Config'!$A:$A,'Scoring_Config'!$D:$D,"Yes")="Yes",_xlfn.XLOOKUP("Migrate_Insecure",'Scoring_Config'!$A:$A,'Scoring_Config'!$C:$C,15),0),0)+IF(LEFT(AY269,4)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269,FIND(",",AP269)+1,100)),0)+IF(LEFT(AQ269,4)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269,FIND(",",AR269)+1,100)),0)+IF(_xlfn.XLOOKUP("Profile_Scoring",'Scoring_Config'!$A:$A,'Scoring_Config'!$D:$D,"Yes")="Yes",VALUE(MID(AS269,FIND(",",AS269)+1,100)),0)+IF(_xlfn.XLOOKUP("Options_Scoring",'Scoring_Config'!$A:$A,'Scoring_Config'!$D:$D,"Yes")="Yes",VALUE(MID(AT269,FIND(",",AT269)+1,100)),0)))</f>
        <v>0</v>
      </c>
    </row>
    <row r="270" spans="1:52">
      <c r="A270" s="3" t="s">
        <v>54</v>
      </c>
      <c r="B270" s="3" t="s">
        <v>105</v>
      </c>
      <c r="C270" s="3" t="s">
        <v>331</v>
      </c>
      <c r="D270" s="3" t="s">
        <v>339</v>
      </c>
      <c r="E270" s="3" t="s">
        <v>359</v>
      </c>
      <c r="F270" s="3" t="s">
        <v>361</v>
      </c>
      <c r="G270" s="3" t="s">
        <v>365</v>
      </c>
      <c r="H270" s="3" t="s">
        <v>365</v>
      </c>
      <c r="I270" s="3" t="s">
        <v>624</v>
      </c>
      <c r="J270" s="3" t="s">
        <v>360</v>
      </c>
      <c r="K270" s="3" t="s">
        <v>365</v>
      </c>
      <c r="L270" s="3" t="s">
        <v>365</v>
      </c>
      <c r="M270" s="3" t="s">
        <v>365</v>
      </c>
      <c r="N270" s="3" t="s">
        <v>365</v>
      </c>
      <c r="O270" s="4" t="s">
        <v>806</v>
      </c>
      <c r="P270" s="3" t="s">
        <v>867</v>
      </c>
      <c r="Q270" s="3" t="s">
        <v>905</v>
      </c>
      <c r="R270" s="3" t="s">
        <v>907</v>
      </c>
      <c r="S270" s="3" t="s">
        <v>907</v>
      </c>
      <c r="T270" s="3"/>
      <c r="U270" s="3"/>
      <c r="V270" s="3" t="s">
        <v>772</v>
      </c>
      <c r="W270" s="3" t="s">
        <v>1540</v>
      </c>
      <c r="X270" s="3" t="s">
        <v>1874</v>
      </c>
      <c r="Y270" s="3" t="s">
        <v>2343</v>
      </c>
      <c r="Z270" s="3"/>
      <c r="AA270" s="3" t="s">
        <v>2557</v>
      </c>
      <c r="AB270" s="3"/>
      <c r="AC270" s="5" cm="1">
        <f t="array" ref="AC270">IF(TRUE,"True," &amp; IF(_xlfn.XLOOKUP("Src_IsAny",'Scoring_Config'!$A:$A,'Scoring_Config'!$D:$D,"Yes")="Yes",_xlfn.XLOOKUP("Src_IsAny",'Scoring_Config'!$A:$A,'Scoring_Config'!$C:$C,25),0),"False,0")</f>
        <v>0</v>
      </c>
      <c r="AD270" s="4" cm="1">
        <f t="array" ref="AD270">IF(FALSE,"True," &amp; IF(_xlfn.XLOOKUP("Src_CIDR_Le_16",'Scoring_Config'!$A:$A,'Scoring_Config'!$D:$D,"Yes")="Yes",_xlfn.XLOOKUP("Src_CIDR_Le_16",'Scoring_Config'!$A:$A,'Scoring_Config'!$C:$C,25),0),"False,0")</f>
        <v>0</v>
      </c>
      <c r="AE270" s="4" cm="1">
        <f t="array" ref="AE270">IF(FALSE,"True," &amp; IF(_xlfn.XLOOKUP("Src_CIDR_17_22",'Scoring_Config'!$A:$A,'Scoring_Config'!$D:$D,"Yes")="Yes",_xlfn.XLOOKUP("Src_CIDR_17_22",'Scoring_Config'!$A:$A,'Scoring_Config'!$C:$C,15),0),"False,0")</f>
        <v>0</v>
      </c>
      <c r="AF270" s="5" cm="1">
        <f t="array" ref="AF270">IF(TRUE,"True," &amp; IF(_xlfn.XLOOKUP("Dst_IsAny",'Scoring_Config'!$A:$A,'Scoring_Config'!$D:$D,"Yes")="Yes",_xlfn.XLOOKUP("Dst_IsAny",'Scoring_Config'!$A:$A,'Scoring_Config'!$C:$C,25),0),"False,0")</f>
        <v>0</v>
      </c>
      <c r="AG270" s="4" cm="1">
        <f t="array" ref="AG270">IF(FALSE,"True," &amp; IF(_xlfn.XLOOKUP("Dst_CIDR_Le_16",'Scoring_Config'!$A:$A,'Scoring_Config'!$D:$D,"Yes")="Yes",_xlfn.XLOOKUP("Dst_CIDR_Le_16",'Scoring_Config'!$A:$A,'Scoring_Config'!$C:$C,25),0),"False,0")</f>
        <v>0</v>
      </c>
      <c r="AH270" s="4" cm="1">
        <f t="array" ref="AH270">IF(FALSE,"True," &amp; IF(_xlfn.XLOOKUP("Dst_CIDR_17_22",'Scoring_Config'!$A:$A,'Scoring_Config'!$D:$D,"Yes")="Yes",_xlfn.XLOOKUP("Dst_CIDR_17_22",'Scoring_Config'!$A:$A,'Scoring_Config'!$C:$C,15),0),"False,0")</f>
        <v>0</v>
      </c>
      <c r="AI270" s="4" cm="1">
        <f t="array" ref="AI270">IF(FALSE,"True," &amp; IF(_xlfn.XLOOKUP("SrcZone_IsAny",'Scoring_Config'!$A:$A,'Scoring_Config'!$D:$D,"Yes")="Yes",_xlfn.XLOOKUP("SrcZone_IsAny",'Scoring_Config'!$A:$A,'Scoring_Config'!$C:$C,5),0),"False,0")</f>
        <v>0</v>
      </c>
      <c r="AJ270" s="4" cm="1">
        <f t="array" ref="AJ270">IF(FALSE,"True," &amp; IF(_xlfn.XLOOKUP("DstZone_IsAny",'Scoring_Config'!$A:$A,'Scoring_Config'!$D:$D,"Yes")="Yes",_xlfn.XLOOKUP("DstZone_IsAny",'Scoring_Config'!$A:$A,'Scoring_Config'!$C:$C,5),0),"False,0")</f>
        <v>0</v>
      </c>
      <c r="AK270" s="4" cm="1">
        <f t="array" ref="AK27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0" s="5" cm="1">
        <f t="array" ref="AL270">IF(TRUE,"True," &amp; IF(_xlfn.XLOOKUP("App_Any_OR_RangeGt1000",'Scoring_Config'!$A:$A,'Scoring_Config'!$D:$D,"Yes")="Yes",_xlfn.XLOOKUP("App_Any_OR_RangeGt1000",'Scoring_Config'!$A:$A,'Scoring_Config'!$C:$C,25),0),"False,0")</f>
        <v>0</v>
      </c>
      <c r="AM270" s="5" cm="1">
        <f t="array" ref="AM270">IF(TRUE,"True," &amp; IF(_xlfn.XLOOKUP("Service_Insecure_Match",'Scoring_Config'!$A:$A,'Scoring_Config'!$D:$D,"Yes")="Yes",_xlfn.XLOOKUP("Service_Insecure_Match",'Scoring_Config'!$A:$A,'Scoring_Config'!$C:$C,20),0),"False,0")</f>
        <v>0</v>
      </c>
      <c r="AN270" s="4" cm="1">
        <f t="array" ref="AN270">IF(FALSE,"True," &amp; IF(_xlfn.XLOOKUP("Risky_Inbound",'Scoring_Config'!$A:$A,'Scoring_Config'!$D:$D,"Yes")="Yes",_xlfn.XLOOKUP("Risky_Inbound",'Scoring_Config'!$A:$A,'Scoring_Config'!$C:$C,20),0),"False,0")</f>
        <v>0</v>
      </c>
      <c r="AO270" s="4" cm="1">
        <f t="array" ref="AO270">IF(FALSE,"True," &amp; IF(_xlfn.XLOOKUP("Risky_Outbound",'Scoring_Config'!$A:$A,'Scoring_Config'!$D:$D,"Yes")="Yes",_xlfn.XLOOKUP("Risky_Outbound",'Scoring_Config'!$A:$A,'Scoring_Config'!$C:$C,10),0),"False,0")</f>
        <v>0</v>
      </c>
      <c r="AP270" s="5" t="s">
        <v>2595</v>
      </c>
      <c r="AQ270" s="5" cm="1">
        <f t="array" ref="AQ27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0" s="5" t="s">
        <v>2598</v>
      </c>
      <c r="AS270" s="5" t="s">
        <v>2595</v>
      </c>
      <c r="AT270" s="5" t="s">
        <v>2595</v>
      </c>
      <c r="AU270" s="4" cm="1">
        <f t="array" ref="AU270">IF(FALSE,"True," &amp; IF(_xlfn.XLOOKUP("Action_IsDenyOrDrop",'Scoring_Config'!$A:$A,'Scoring_Config'!$D:$D,"Yes")="Yes",_xlfn.XLOOKUP("Action_IsDenyOrDrop",'Scoring_Config'!$A:$A,'Scoring_Config'!$C:$C,0),0),"False,0")</f>
        <v>0</v>
      </c>
      <c r="AV270" s="4"/>
      <c r="AW270" s="4" cm="1">
        <f t="array" ref="AW270">IF(FALSE,"True," &amp; IF(_xlfn.XLOOKUP("Migrate_Insecure",'Scoring_Config'!$A:$A,'Scoring_Config'!$D:$D,"Yes")="Yes",_xlfn.XLOOKUP("Migrate_Insecure",'Scoring_Config'!$A:$A,'Scoring_Config'!$C:$C,15),0),"False,0")</f>
        <v>0</v>
      </c>
      <c r="AX270" s="4"/>
      <c r="AY270" s="4" cm="1">
        <f t="array" ref="AY270">IF(FALSE,"True," &amp; IF(_xlfn.XLOOKUP("Migrate_Other_Ports",'Scoring_Config'!$A:$A,'Scoring_Config'!$D:$D,"Yes")="Yes",_xlfn.XLOOKUP("Migrate_Other_Ports",'Scoring_Config'!$A:$A,'Scoring_Config'!$C:$C,5),0),"False,0")</f>
        <v>0</v>
      </c>
      <c r="AZ270" s="4" cm="1">
        <f t="array" ref="AZ270">IF(LEFT(AU270,4)="True",0,(IF(LEFT(AC270,4)="True",IF(_xlfn.XLOOKUP("Src_IsAny",'Scoring_Config'!$A:$A,'Scoring_Config'!$D:$D,"Yes")="Yes",_xlfn.XLOOKUP("Src_IsAny",'Scoring_Config'!$A:$A,'Scoring_Config'!$C:$C,25),0),0)+IF(LEFT(AD270,4)="True",IF(_xlfn.XLOOKUP("Src_CIDR_Le_16",'Scoring_Config'!$A:$A,'Scoring_Config'!$D:$D,"Yes")="Yes",_xlfn.XLOOKUP("Src_CIDR_Le_16",'Scoring_Config'!$A:$A,'Scoring_Config'!$C:$C,25),0),0)+IF(LEFT(AE270,4)="True",IF(_xlfn.XLOOKUP("Src_CIDR_17_22",'Scoring_Config'!$A:$A,'Scoring_Config'!$D:$D,"Yes")="Yes",_xlfn.XLOOKUP("Src_CIDR_17_22",'Scoring_Config'!$A:$A,'Scoring_Config'!$C:$C,15),0),0)+IF(LEFT(AF270,4)="True",IF(_xlfn.XLOOKUP("Dst_IsAny",'Scoring_Config'!$A:$A,'Scoring_Config'!$D:$D,"Yes")="Yes",_xlfn.XLOOKUP("Dst_IsAny",'Scoring_Config'!$A:$A,'Scoring_Config'!$C:$C,25),0),0)+IF(LEFT(AG270,4)="True",IF(_xlfn.XLOOKUP("Dst_CIDR_Le_16",'Scoring_Config'!$A:$A,'Scoring_Config'!$D:$D,"Yes")="Yes",_xlfn.XLOOKUP("Dst_CIDR_Le_16",'Scoring_Config'!$A:$A,'Scoring_Config'!$C:$C,25),0),0)+IF(LEFT(AH270,4)="True",IF(_xlfn.XLOOKUP("Dst_CIDR_17_22",'Scoring_Config'!$A:$A,'Scoring_Config'!$D:$D,"Yes")="Yes",_xlfn.XLOOKUP("Dst_CIDR_17_22",'Scoring_Config'!$A:$A,'Scoring_Config'!$C:$C,15),0),0)+IF(LEFT(AI270,4)="True",IF(_xlfn.XLOOKUP("SrcZone_IsAny",'Scoring_Config'!$A:$A,'Scoring_Config'!$D:$D,"Yes")="Yes",_xlfn.XLOOKUP("SrcZone_IsAny",'Scoring_Config'!$A:$A,'Scoring_Config'!$C:$C,5),0),0)+IF(LEFT(AJ270,4)="True",IF(_xlfn.XLOOKUP("DstZone_IsAny",'Scoring_Config'!$A:$A,'Scoring_Config'!$D:$D,"Yes")="Yes",_xlfn.XLOOKUP("DstZone_IsAny",'Scoring_Config'!$A:$A,'Scoring_Config'!$C:$C,5),0),0)+IF(LEFT(AK270,4)="True",IF(_xlfn.XLOOKUP("Service_Any_OR_RangeGt1000",'Scoring_Config'!$A:$A,'Scoring_Config'!$D:$D,"Yes")="Yes",_xlfn.XLOOKUP("Service_Any_OR_RangeGt1000",'Scoring_Config'!$A:$A,'Scoring_Config'!$C:$C,25),0),0)+IF(LEFT(AL270,4)="True",IF(_xlfn.XLOOKUP("App_Any_OR_RangeGt1000",'Scoring_Config'!$A:$A,'Scoring_Config'!$D:$D,"Yes")="Yes",_xlfn.XLOOKUP("App_Any_OR_RangeGt1000",'Scoring_Config'!$A:$A,'Scoring_Config'!$C:$C,25),0),0)+IF(LEFT(AM270,4)="True",IF(_xlfn.XLOOKUP("Service_Insecure_Match",'Scoring_Config'!$A:$A,'Scoring_Config'!$D:$D,"Yes")="Yes",_xlfn.XLOOKUP("Service_Insecure_Match",'Scoring_Config'!$A:$A,'Scoring_Config'!$C:$C,20),0),0)+IF(LEFT(AN270,4)="True",IF(_xlfn.XLOOKUP("Risky_Inbound",'Scoring_Config'!$A:$A,'Scoring_Config'!$D:$D,"Yes")="Yes",_xlfn.XLOOKUP("Risky_Inbound",'Scoring_Config'!$A:$A,'Scoring_Config'!$C:$C,20),0),0)+IF(LEFT(AO270,4)="True",IF(_xlfn.XLOOKUP("Risky_Outbound",'Scoring_Config'!$A:$A,'Scoring_Config'!$D:$D,"Yes")="Yes",_xlfn.XLOOKUP("Risky_Outbound",'Scoring_Config'!$A:$A,'Scoring_Config'!$C:$C,10),0),0)+IF(LEFT(AW270,4)="True",IF(_xlfn.XLOOKUP("Migrate_Insecure",'Scoring_Config'!$A:$A,'Scoring_Config'!$D:$D,"Yes")="Yes",_xlfn.XLOOKUP("Migrate_Insecure",'Scoring_Config'!$A:$A,'Scoring_Config'!$C:$C,15),0),0)+IF(LEFT(AY270,4)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270,FIND(",",AP270)+1,100)),0)+IF(LEFT(AQ270,4)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270,FIND(",",AR270)+1,100)),0)+IF(_xlfn.XLOOKUP("Profile_Scoring",'Scoring_Config'!$A:$A,'Scoring_Config'!$D:$D,"Yes")="Yes",VALUE(MID(AS270,FIND(",",AS270)+1,100)),0)+IF(_xlfn.XLOOKUP("Options_Scoring",'Scoring_Config'!$A:$A,'Scoring_Config'!$D:$D,"Yes")="Yes",VALUE(MID(AT270,FIND(",",AT270)+1,100)),0)))</f>
        <v>0</v>
      </c>
    </row>
    <row r="271" spans="1:52">
      <c r="A271" s="3" t="s">
        <v>54</v>
      </c>
      <c r="B271" s="3" t="s">
        <v>242</v>
      </c>
      <c r="C271" s="3" t="s">
        <v>331</v>
      </c>
      <c r="D271" s="3" t="s">
        <v>345</v>
      </c>
      <c r="E271" s="3" t="s">
        <v>359</v>
      </c>
      <c r="F271" s="3" t="s">
        <v>362</v>
      </c>
      <c r="G271" s="3" t="s">
        <v>466</v>
      </c>
      <c r="H271" s="3" t="s">
        <v>589</v>
      </c>
      <c r="I271" s="3" t="s">
        <v>365</v>
      </c>
      <c r="J271" s="3" t="s">
        <v>360</v>
      </c>
      <c r="K271" s="3" t="s">
        <v>698</v>
      </c>
      <c r="L271" s="3" t="s">
        <v>759</v>
      </c>
      <c r="M271" s="3" t="s">
        <v>365</v>
      </c>
      <c r="N271" s="3" t="s">
        <v>365</v>
      </c>
      <c r="O271" s="4" t="s">
        <v>833</v>
      </c>
      <c r="P271" s="3" t="s">
        <v>894</v>
      </c>
      <c r="Q271" s="3" t="s">
        <v>905</v>
      </c>
      <c r="R271" s="3" t="s">
        <v>906</v>
      </c>
      <c r="S271" s="3" t="s">
        <v>913</v>
      </c>
      <c r="T271" s="3"/>
      <c r="U271" s="3" t="s">
        <v>1157</v>
      </c>
      <c r="V271" s="3" t="s">
        <v>770</v>
      </c>
      <c r="W271" s="3" t="s">
        <v>1472</v>
      </c>
      <c r="X271" s="3" t="s">
        <v>1875</v>
      </c>
      <c r="Y271" s="3" t="s">
        <v>2344</v>
      </c>
      <c r="Z271" s="3"/>
      <c r="AA271" s="3" t="s">
        <v>1572</v>
      </c>
      <c r="AB271" s="3"/>
      <c r="AC271" s="5" cm="1">
        <f t="array" ref="AC271">IF(TRUE,"True," &amp; IF(_xlfn.XLOOKUP("Src_IsAny",'Scoring_Config'!$A:$A,'Scoring_Config'!$D:$D,"Yes")="Yes",_xlfn.XLOOKUP("Src_IsAny",'Scoring_Config'!$A:$A,'Scoring_Config'!$C:$C,25),0),"False,0")</f>
        <v>0</v>
      </c>
      <c r="AD271" s="4" cm="1">
        <f t="array" ref="AD271">IF(FALSE,"True," &amp; IF(_xlfn.XLOOKUP("Src_CIDR_Le_16",'Scoring_Config'!$A:$A,'Scoring_Config'!$D:$D,"Yes")="Yes",_xlfn.XLOOKUP("Src_CIDR_Le_16",'Scoring_Config'!$A:$A,'Scoring_Config'!$C:$C,25),0),"False,0")</f>
        <v>0</v>
      </c>
      <c r="AE271" s="4" cm="1">
        <f t="array" ref="AE271">IF(FALSE,"True," &amp; IF(_xlfn.XLOOKUP("Src_CIDR_17_22",'Scoring_Config'!$A:$A,'Scoring_Config'!$D:$D,"Yes")="Yes",_xlfn.XLOOKUP("Src_CIDR_17_22",'Scoring_Config'!$A:$A,'Scoring_Config'!$C:$C,15),0),"False,0")</f>
        <v>0</v>
      </c>
      <c r="AF271" s="4" cm="1">
        <f t="array" ref="AF271">IF(FALSE,"True," &amp; IF(_xlfn.XLOOKUP("Dst_IsAny",'Scoring_Config'!$A:$A,'Scoring_Config'!$D:$D,"Yes")="Yes",_xlfn.XLOOKUP("Dst_IsAny",'Scoring_Config'!$A:$A,'Scoring_Config'!$C:$C,25),0),"False,0")</f>
        <v>0</v>
      </c>
      <c r="AG271" s="5" cm="1">
        <f t="array" ref="AG271">IF(TRUE,"True," &amp; IF(_xlfn.XLOOKUP("Dst_CIDR_Le_16",'Scoring_Config'!$A:$A,'Scoring_Config'!$D:$D,"Yes")="Yes",_xlfn.XLOOKUP("Dst_CIDR_Le_16",'Scoring_Config'!$A:$A,'Scoring_Config'!$C:$C,25),0),"False,0")</f>
        <v>0</v>
      </c>
      <c r="AH271" s="4" cm="1">
        <f t="array" ref="AH271">IF(FALSE,"True," &amp; IF(_xlfn.XLOOKUP("Dst_CIDR_17_22",'Scoring_Config'!$A:$A,'Scoring_Config'!$D:$D,"Yes")="Yes",_xlfn.XLOOKUP("Dst_CIDR_17_22",'Scoring_Config'!$A:$A,'Scoring_Config'!$C:$C,15),0),"False,0")</f>
        <v>0</v>
      </c>
      <c r="AI271" s="4" cm="1">
        <f t="array" ref="AI271">IF(FALSE,"True," &amp; IF(_xlfn.XLOOKUP("SrcZone_IsAny",'Scoring_Config'!$A:$A,'Scoring_Config'!$D:$D,"Yes")="Yes",_xlfn.XLOOKUP("SrcZone_IsAny",'Scoring_Config'!$A:$A,'Scoring_Config'!$C:$C,5),0),"False,0")</f>
        <v>0</v>
      </c>
      <c r="AJ271" s="4" cm="1">
        <f t="array" ref="AJ271">IF(FALSE,"True," &amp; IF(_xlfn.XLOOKUP("DstZone_IsAny",'Scoring_Config'!$A:$A,'Scoring_Config'!$D:$D,"Yes")="Yes",_xlfn.XLOOKUP("DstZone_IsAny",'Scoring_Config'!$A:$A,'Scoring_Config'!$C:$C,5),0),"False,0")</f>
        <v>0</v>
      </c>
      <c r="AK271" s="5" cm="1">
        <f t="array" ref="AK271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71" s="5" cm="1">
        <f t="array" ref="AL271">IF(TRUE,"True," &amp; IF(_xlfn.XLOOKUP("App_Any_OR_RangeGt1000",'Scoring_Config'!$A:$A,'Scoring_Config'!$D:$D,"Yes")="Yes",_xlfn.XLOOKUP("App_Any_OR_RangeGt1000",'Scoring_Config'!$A:$A,'Scoring_Config'!$C:$C,25),0),"False,0")</f>
        <v>0</v>
      </c>
      <c r="AM271" s="5" cm="1">
        <f t="array" ref="AM271">IF(TRUE,"True," &amp; IF(_xlfn.XLOOKUP("Service_Insecure_Match",'Scoring_Config'!$A:$A,'Scoring_Config'!$D:$D,"Yes")="Yes",_xlfn.XLOOKUP("Service_Insecure_Match",'Scoring_Config'!$A:$A,'Scoring_Config'!$C:$C,20),0),"False,0")</f>
        <v>0</v>
      </c>
      <c r="AN271" s="4" cm="1">
        <f t="array" ref="AN271">IF(FALSE,"True," &amp; IF(_xlfn.XLOOKUP("Risky_Inbound",'Scoring_Config'!$A:$A,'Scoring_Config'!$D:$D,"Yes")="Yes",_xlfn.XLOOKUP("Risky_Inbound",'Scoring_Config'!$A:$A,'Scoring_Config'!$C:$C,20),0),"False,0")</f>
        <v>0</v>
      </c>
      <c r="AO271" s="4" cm="1">
        <f t="array" ref="AO271">IF(FALSE,"True," &amp; IF(_xlfn.XLOOKUP("Risky_Outbound",'Scoring_Config'!$A:$A,'Scoring_Config'!$D:$D,"Yes")="Yes",_xlfn.XLOOKUP("Risky_Outbound",'Scoring_Config'!$A:$A,'Scoring_Config'!$C:$C,10),0),"False,0")</f>
        <v>0</v>
      </c>
      <c r="AP271" s="5" t="s">
        <v>2595</v>
      </c>
      <c r="AQ271" s="5" cm="1">
        <f t="array" ref="AQ27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1" s="4" t="s">
        <v>2592</v>
      </c>
      <c r="AS271" s="4" t="s">
        <v>2592</v>
      </c>
      <c r="AT271" s="4" t="s">
        <v>2592</v>
      </c>
      <c r="AU271" s="4" cm="1">
        <f t="array" ref="AU271">IF(FALSE,"True," &amp; IF(_xlfn.XLOOKUP("Action_IsDenyOrDrop",'Scoring_Config'!$A:$A,'Scoring_Config'!$D:$D,"Yes")="Yes",_xlfn.XLOOKUP("Action_IsDenyOrDrop",'Scoring_Config'!$A:$A,'Scoring_Config'!$C:$C,0),0),"False,0")</f>
        <v>0</v>
      </c>
      <c r="AV271" s="4"/>
      <c r="AW271" s="4" cm="1">
        <f t="array" ref="AW271">IF(FALSE,"True," &amp; IF(_xlfn.XLOOKUP("Migrate_Insecure",'Scoring_Config'!$A:$A,'Scoring_Config'!$D:$D,"Yes")="Yes",_xlfn.XLOOKUP("Migrate_Insecure",'Scoring_Config'!$A:$A,'Scoring_Config'!$C:$C,15),0),"False,0")</f>
        <v>0</v>
      </c>
      <c r="AX271" s="4"/>
      <c r="AY271" s="4" cm="1">
        <f t="array" ref="AY271">IF(FALSE,"True," &amp; IF(_xlfn.XLOOKUP("Migrate_Other_Ports",'Scoring_Config'!$A:$A,'Scoring_Config'!$D:$D,"Yes")="Yes",_xlfn.XLOOKUP("Migrate_Other_Ports",'Scoring_Config'!$A:$A,'Scoring_Config'!$C:$C,5),0),"False,0")</f>
        <v>0</v>
      </c>
      <c r="AZ271" s="4" cm="1">
        <f t="array" ref="AZ271">IF(LEFT(AU271,4)="True",0,(IF(LEFT(AC271,4)="True",IF(_xlfn.XLOOKUP("Src_IsAny",'Scoring_Config'!$A:$A,'Scoring_Config'!$D:$D,"Yes")="Yes",_xlfn.XLOOKUP("Src_IsAny",'Scoring_Config'!$A:$A,'Scoring_Config'!$C:$C,25),0),0)+IF(LEFT(AD271,4)="True",IF(_xlfn.XLOOKUP("Src_CIDR_Le_16",'Scoring_Config'!$A:$A,'Scoring_Config'!$D:$D,"Yes")="Yes",_xlfn.XLOOKUP("Src_CIDR_Le_16",'Scoring_Config'!$A:$A,'Scoring_Config'!$C:$C,25),0),0)+IF(LEFT(AE271,4)="True",IF(_xlfn.XLOOKUP("Src_CIDR_17_22",'Scoring_Config'!$A:$A,'Scoring_Config'!$D:$D,"Yes")="Yes",_xlfn.XLOOKUP("Src_CIDR_17_22",'Scoring_Config'!$A:$A,'Scoring_Config'!$C:$C,15),0),0)+IF(LEFT(AF271,4)="True",IF(_xlfn.XLOOKUP("Dst_IsAny",'Scoring_Config'!$A:$A,'Scoring_Config'!$D:$D,"Yes")="Yes",_xlfn.XLOOKUP("Dst_IsAny",'Scoring_Config'!$A:$A,'Scoring_Config'!$C:$C,25),0),0)+IF(LEFT(AG271,4)="True",IF(_xlfn.XLOOKUP("Dst_CIDR_Le_16",'Scoring_Config'!$A:$A,'Scoring_Config'!$D:$D,"Yes")="Yes",_xlfn.XLOOKUP("Dst_CIDR_Le_16",'Scoring_Config'!$A:$A,'Scoring_Config'!$C:$C,25),0),0)+IF(LEFT(AH271,4)="True",IF(_xlfn.XLOOKUP("Dst_CIDR_17_22",'Scoring_Config'!$A:$A,'Scoring_Config'!$D:$D,"Yes")="Yes",_xlfn.XLOOKUP("Dst_CIDR_17_22",'Scoring_Config'!$A:$A,'Scoring_Config'!$C:$C,15),0),0)+IF(LEFT(AI271,4)="True",IF(_xlfn.XLOOKUP("SrcZone_IsAny",'Scoring_Config'!$A:$A,'Scoring_Config'!$D:$D,"Yes")="Yes",_xlfn.XLOOKUP("SrcZone_IsAny",'Scoring_Config'!$A:$A,'Scoring_Config'!$C:$C,5),0),0)+IF(LEFT(AJ271,4)="True",IF(_xlfn.XLOOKUP("DstZone_IsAny",'Scoring_Config'!$A:$A,'Scoring_Config'!$D:$D,"Yes")="Yes",_xlfn.XLOOKUP("DstZone_IsAny",'Scoring_Config'!$A:$A,'Scoring_Config'!$C:$C,5),0),0)+IF(LEFT(AK271,4)="True",IF(_xlfn.XLOOKUP("Service_Any_OR_RangeGt1000",'Scoring_Config'!$A:$A,'Scoring_Config'!$D:$D,"Yes")="Yes",_xlfn.XLOOKUP("Service_Any_OR_RangeGt1000",'Scoring_Config'!$A:$A,'Scoring_Config'!$C:$C,25),0),0)+IF(LEFT(AL271,4)="True",IF(_xlfn.XLOOKUP("App_Any_OR_RangeGt1000",'Scoring_Config'!$A:$A,'Scoring_Config'!$D:$D,"Yes")="Yes",_xlfn.XLOOKUP("App_Any_OR_RangeGt1000",'Scoring_Config'!$A:$A,'Scoring_Config'!$C:$C,25),0),0)+IF(LEFT(AM271,4)="True",IF(_xlfn.XLOOKUP("Service_Insecure_Match",'Scoring_Config'!$A:$A,'Scoring_Config'!$D:$D,"Yes")="Yes",_xlfn.XLOOKUP("Service_Insecure_Match",'Scoring_Config'!$A:$A,'Scoring_Config'!$C:$C,20),0),0)+IF(LEFT(AN271,4)="True",IF(_xlfn.XLOOKUP("Risky_Inbound",'Scoring_Config'!$A:$A,'Scoring_Config'!$D:$D,"Yes")="Yes",_xlfn.XLOOKUP("Risky_Inbound",'Scoring_Config'!$A:$A,'Scoring_Config'!$C:$C,20),0),0)+IF(LEFT(AO271,4)="True",IF(_xlfn.XLOOKUP("Risky_Outbound",'Scoring_Config'!$A:$A,'Scoring_Config'!$D:$D,"Yes")="Yes",_xlfn.XLOOKUP("Risky_Outbound",'Scoring_Config'!$A:$A,'Scoring_Config'!$C:$C,10),0),0)+IF(LEFT(AW271,4)="True",IF(_xlfn.XLOOKUP("Migrate_Insecure",'Scoring_Config'!$A:$A,'Scoring_Config'!$D:$D,"Yes")="Yes",_xlfn.XLOOKUP("Migrate_Insecure",'Scoring_Config'!$A:$A,'Scoring_Config'!$C:$C,15),0),0)+IF(LEFT(AY271,4)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271,FIND(",",AP271)+1,100)),0)+IF(LEFT(AQ271,4)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271,FIND(",",AR271)+1,100)),0)+IF(_xlfn.XLOOKUP("Profile_Scoring",'Scoring_Config'!$A:$A,'Scoring_Config'!$D:$D,"Yes")="Yes",VALUE(MID(AS271,FIND(",",AS271)+1,100)),0)+IF(_xlfn.XLOOKUP("Options_Scoring",'Scoring_Config'!$A:$A,'Scoring_Config'!$D:$D,"Yes")="Yes",VALUE(MID(AT271,FIND(",",AT271)+1,100)),0)))</f>
        <v>0</v>
      </c>
    </row>
    <row r="272" spans="1:52">
      <c r="A272" s="3" t="s">
        <v>54</v>
      </c>
      <c r="B272" s="3" t="s">
        <v>243</v>
      </c>
      <c r="C272" s="3" t="s">
        <v>331</v>
      </c>
      <c r="D272" s="3" t="s">
        <v>346</v>
      </c>
      <c r="E272" s="3" t="s">
        <v>359</v>
      </c>
      <c r="F272" s="3" t="s">
        <v>361</v>
      </c>
      <c r="G272" s="3" t="s">
        <v>467</v>
      </c>
      <c r="H272" s="3" t="s">
        <v>467</v>
      </c>
      <c r="I272" s="3" t="s">
        <v>365</v>
      </c>
      <c r="J272" s="3" t="s">
        <v>364</v>
      </c>
      <c r="K272" s="3" t="s">
        <v>371</v>
      </c>
      <c r="L272" s="3" t="s">
        <v>371</v>
      </c>
      <c r="M272" s="3" t="s">
        <v>779</v>
      </c>
      <c r="N272" s="3" t="s">
        <v>797</v>
      </c>
      <c r="O272" s="4" t="s">
        <v>824</v>
      </c>
      <c r="P272" s="3" t="s">
        <v>885</v>
      </c>
      <c r="Q272" s="3" t="s">
        <v>905</v>
      </c>
      <c r="R272" s="3" t="s">
        <v>907</v>
      </c>
      <c r="S272" s="3" t="s">
        <v>916</v>
      </c>
      <c r="T272" s="3"/>
      <c r="U272" s="3" t="s">
        <v>1287</v>
      </c>
      <c r="V272" s="3" t="s">
        <v>772</v>
      </c>
      <c r="W272" s="3" t="s">
        <v>1026</v>
      </c>
      <c r="X272" s="3" t="s">
        <v>1876</v>
      </c>
      <c r="Y272" s="3" t="s">
        <v>2345</v>
      </c>
      <c r="Z272" s="3"/>
      <c r="AA272" s="3" t="s">
        <v>919</v>
      </c>
      <c r="AB272" s="3"/>
      <c r="AC272" s="4" cm="1">
        <f t="array" ref="AC272">IF(FALSE,"True," &amp; IF(_xlfn.XLOOKUP("Src_IsAny",'Scoring_Config'!$A:$A,'Scoring_Config'!$D:$D,"Yes")="Yes",_xlfn.XLOOKUP("Src_IsAny",'Scoring_Config'!$A:$A,'Scoring_Config'!$C:$C,25),0),"False,0")</f>
        <v>0</v>
      </c>
      <c r="AD272" s="4" cm="1">
        <f t="array" ref="AD272">IF(FALSE,"True," &amp; IF(_xlfn.XLOOKUP("Src_CIDR_Le_16",'Scoring_Config'!$A:$A,'Scoring_Config'!$D:$D,"Yes")="Yes",_xlfn.XLOOKUP("Src_CIDR_Le_16",'Scoring_Config'!$A:$A,'Scoring_Config'!$C:$C,25),0),"False,0")</f>
        <v>0</v>
      </c>
      <c r="AE272" s="4" cm="1">
        <f t="array" ref="AE272">IF(FALSE,"True," &amp; IF(_xlfn.XLOOKUP("Src_CIDR_17_22",'Scoring_Config'!$A:$A,'Scoring_Config'!$D:$D,"Yes")="Yes",_xlfn.XLOOKUP("Src_CIDR_17_22",'Scoring_Config'!$A:$A,'Scoring_Config'!$C:$C,15),0),"False,0")</f>
        <v>0</v>
      </c>
      <c r="AF272" s="4" cm="1">
        <f t="array" ref="AF272">IF(FALSE,"True," &amp; IF(_xlfn.XLOOKUP("Dst_IsAny",'Scoring_Config'!$A:$A,'Scoring_Config'!$D:$D,"Yes")="Yes",_xlfn.XLOOKUP("Dst_IsAny",'Scoring_Config'!$A:$A,'Scoring_Config'!$C:$C,25),0),"False,0")</f>
        <v>0</v>
      </c>
      <c r="AG272" s="4" cm="1">
        <f t="array" ref="AG272">IF(FALSE,"True," &amp; IF(_xlfn.XLOOKUP("Dst_CIDR_Le_16",'Scoring_Config'!$A:$A,'Scoring_Config'!$D:$D,"Yes")="Yes",_xlfn.XLOOKUP("Dst_CIDR_Le_16",'Scoring_Config'!$A:$A,'Scoring_Config'!$C:$C,25),0),"False,0")</f>
        <v>0</v>
      </c>
      <c r="AH272" s="4" cm="1">
        <f t="array" ref="AH272">IF(FALSE,"True," &amp; IF(_xlfn.XLOOKUP("Dst_CIDR_17_22",'Scoring_Config'!$A:$A,'Scoring_Config'!$D:$D,"Yes")="Yes",_xlfn.XLOOKUP("Dst_CIDR_17_22",'Scoring_Config'!$A:$A,'Scoring_Config'!$C:$C,15),0),"False,0")</f>
        <v>0</v>
      </c>
      <c r="AI272" s="4" cm="1">
        <f t="array" ref="AI272">IF(FALSE,"True," &amp; IF(_xlfn.XLOOKUP("SrcZone_IsAny",'Scoring_Config'!$A:$A,'Scoring_Config'!$D:$D,"Yes")="Yes",_xlfn.XLOOKUP("SrcZone_IsAny",'Scoring_Config'!$A:$A,'Scoring_Config'!$C:$C,5),0),"False,0")</f>
        <v>0</v>
      </c>
      <c r="AJ272" s="4" cm="1">
        <f t="array" ref="AJ272">IF(FALSE,"True," &amp; IF(_xlfn.XLOOKUP("DstZone_IsAny",'Scoring_Config'!$A:$A,'Scoring_Config'!$D:$D,"Yes")="Yes",_xlfn.XLOOKUP("DstZone_IsAny",'Scoring_Config'!$A:$A,'Scoring_Config'!$C:$C,5),0),"False,0")</f>
        <v>0</v>
      </c>
      <c r="AK272" s="4" cm="1">
        <f t="array" ref="AK27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2" s="4" cm="1">
        <f t="array" ref="AL272">IF(FALSE,"True," &amp; IF(_xlfn.XLOOKUP("App_Any_OR_RangeGt1000",'Scoring_Config'!$A:$A,'Scoring_Config'!$D:$D,"Yes")="Yes",_xlfn.XLOOKUP("App_Any_OR_RangeGt1000",'Scoring_Config'!$A:$A,'Scoring_Config'!$C:$C,25),0),"False,0")</f>
        <v>0</v>
      </c>
      <c r="AM272" s="5" cm="1">
        <f t="array" ref="AM272">IF(TRUE,"True," &amp; IF(_xlfn.XLOOKUP("Service_Insecure_Match",'Scoring_Config'!$A:$A,'Scoring_Config'!$D:$D,"Yes")="Yes",_xlfn.XLOOKUP("Service_Insecure_Match",'Scoring_Config'!$A:$A,'Scoring_Config'!$C:$C,20),0),"False,0")</f>
        <v>0</v>
      </c>
      <c r="AN272" s="4" cm="1">
        <f t="array" ref="AN272">IF(FALSE,"True," &amp; IF(_xlfn.XLOOKUP("Risky_Inbound",'Scoring_Config'!$A:$A,'Scoring_Config'!$D:$D,"Yes")="Yes",_xlfn.XLOOKUP("Risky_Inbound",'Scoring_Config'!$A:$A,'Scoring_Config'!$C:$C,20),0),"False,0")</f>
        <v>0</v>
      </c>
      <c r="AO272" s="4" cm="1">
        <f t="array" ref="AO272">IF(FALSE,"True," &amp; IF(_xlfn.XLOOKUP("Risky_Outbound",'Scoring_Config'!$A:$A,'Scoring_Config'!$D:$D,"Yes")="Yes",_xlfn.XLOOKUP("Risky_Outbound",'Scoring_Config'!$A:$A,'Scoring_Config'!$C:$C,10),0),"False,0")</f>
        <v>0</v>
      </c>
      <c r="AP272" s="5" t="s">
        <v>2595</v>
      </c>
      <c r="AQ272" s="4" cm="1">
        <f t="array" ref="AQ27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2" s="4" t="s">
        <v>2592</v>
      </c>
      <c r="AS272" s="5" t="s">
        <v>2595</v>
      </c>
      <c r="AT272" s="4" t="s">
        <v>2592</v>
      </c>
      <c r="AU272" s="4" cm="1">
        <f t="array" ref="AU272">IF(FALSE,"True," &amp; IF(_xlfn.XLOOKUP("Action_IsDenyOrDrop",'Scoring_Config'!$A:$A,'Scoring_Config'!$D:$D,"Yes")="Yes",_xlfn.XLOOKUP("Action_IsDenyOrDrop",'Scoring_Config'!$A:$A,'Scoring_Config'!$C:$C,0),0),"False,0")</f>
        <v>0</v>
      </c>
      <c r="AV272" s="4"/>
      <c r="AW272" s="4" cm="1">
        <f t="array" ref="AW272">IF(FALSE,"True," &amp; IF(_xlfn.XLOOKUP("Migrate_Insecure",'Scoring_Config'!$A:$A,'Scoring_Config'!$D:$D,"Yes")="Yes",_xlfn.XLOOKUP("Migrate_Insecure",'Scoring_Config'!$A:$A,'Scoring_Config'!$C:$C,15),0),"False,0")</f>
        <v>0</v>
      </c>
      <c r="AX272" s="4"/>
      <c r="AY272" s="4" cm="1">
        <f t="array" ref="AY272">IF(FALSE,"True," &amp; IF(_xlfn.XLOOKUP("Migrate_Other_Ports",'Scoring_Config'!$A:$A,'Scoring_Config'!$D:$D,"Yes")="Yes",_xlfn.XLOOKUP("Migrate_Other_Ports",'Scoring_Config'!$A:$A,'Scoring_Config'!$C:$C,5),0),"False,0")</f>
        <v>0</v>
      </c>
      <c r="AZ272" s="4" cm="1">
        <f t="array" ref="AZ272">IF(LEFT(AU272,4)="True",0,(IF(LEFT(AC272,4)="True",IF(_xlfn.XLOOKUP("Src_IsAny",'Scoring_Config'!$A:$A,'Scoring_Config'!$D:$D,"Yes")="Yes",_xlfn.XLOOKUP("Src_IsAny",'Scoring_Config'!$A:$A,'Scoring_Config'!$C:$C,25),0),0)+IF(LEFT(AD272,4)="True",IF(_xlfn.XLOOKUP("Src_CIDR_Le_16",'Scoring_Config'!$A:$A,'Scoring_Config'!$D:$D,"Yes")="Yes",_xlfn.XLOOKUP("Src_CIDR_Le_16",'Scoring_Config'!$A:$A,'Scoring_Config'!$C:$C,25),0),0)+IF(LEFT(AE272,4)="True",IF(_xlfn.XLOOKUP("Src_CIDR_17_22",'Scoring_Config'!$A:$A,'Scoring_Config'!$D:$D,"Yes")="Yes",_xlfn.XLOOKUP("Src_CIDR_17_22",'Scoring_Config'!$A:$A,'Scoring_Config'!$C:$C,15),0),0)+IF(LEFT(AF272,4)="True",IF(_xlfn.XLOOKUP("Dst_IsAny",'Scoring_Config'!$A:$A,'Scoring_Config'!$D:$D,"Yes")="Yes",_xlfn.XLOOKUP("Dst_IsAny",'Scoring_Config'!$A:$A,'Scoring_Config'!$C:$C,25),0),0)+IF(LEFT(AG272,4)="True",IF(_xlfn.XLOOKUP("Dst_CIDR_Le_16",'Scoring_Config'!$A:$A,'Scoring_Config'!$D:$D,"Yes")="Yes",_xlfn.XLOOKUP("Dst_CIDR_Le_16",'Scoring_Config'!$A:$A,'Scoring_Config'!$C:$C,25),0),0)+IF(LEFT(AH272,4)="True",IF(_xlfn.XLOOKUP("Dst_CIDR_17_22",'Scoring_Config'!$A:$A,'Scoring_Config'!$D:$D,"Yes")="Yes",_xlfn.XLOOKUP("Dst_CIDR_17_22",'Scoring_Config'!$A:$A,'Scoring_Config'!$C:$C,15),0),0)+IF(LEFT(AI272,4)="True",IF(_xlfn.XLOOKUP("SrcZone_IsAny",'Scoring_Config'!$A:$A,'Scoring_Config'!$D:$D,"Yes")="Yes",_xlfn.XLOOKUP("SrcZone_IsAny",'Scoring_Config'!$A:$A,'Scoring_Config'!$C:$C,5),0),0)+IF(LEFT(AJ272,4)="True",IF(_xlfn.XLOOKUP("DstZone_IsAny",'Scoring_Config'!$A:$A,'Scoring_Config'!$D:$D,"Yes")="Yes",_xlfn.XLOOKUP("DstZone_IsAny",'Scoring_Config'!$A:$A,'Scoring_Config'!$C:$C,5),0),0)+IF(LEFT(AK272,4)="True",IF(_xlfn.XLOOKUP("Service_Any_OR_RangeGt1000",'Scoring_Config'!$A:$A,'Scoring_Config'!$D:$D,"Yes")="Yes",_xlfn.XLOOKUP("Service_Any_OR_RangeGt1000",'Scoring_Config'!$A:$A,'Scoring_Config'!$C:$C,25),0),0)+IF(LEFT(AL272,4)="True",IF(_xlfn.XLOOKUP("App_Any_OR_RangeGt1000",'Scoring_Config'!$A:$A,'Scoring_Config'!$D:$D,"Yes")="Yes",_xlfn.XLOOKUP("App_Any_OR_RangeGt1000",'Scoring_Config'!$A:$A,'Scoring_Config'!$C:$C,25),0),0)+IF(LEFT(AM272,4)="True",IF(_xlfn.XLOOKUP("Service_Insecure_Match",'Scoring_Config'!$A:$A,'Scoring_Config'!$D:$D,"Yes")="Yes",_xlfn.XLOOKUP("Service_Insecure_Match",'Scoring_Config'!$A:$A,'Scoring_Config'!$C:$C,20),0),0)+IF(LEFT(AN272,4)="True",IF(_xlfn.XLOOKUP("Risky_Inbound",'Scoring_Config'!$A:$A,'Scoring_Config'!$D:$D,"Yes")="Yes",_xlfn.XLOOKUP("Risky_Inbound",'Scoring_Config'!$A:$A,'Scoring_Config'!$C:$C,20),0),0)+IF(LEFT(AO272,4)="True",IF(_xlfn.XLOOKUP("Risky_Outbound",'Scoring_Config'!$A:$A,'Scoring_Config'!$D:$D,"Yes")="Yes",_xlfn.XLOOKUP("Risky_Outbound",'Scoring_Config'!$A:$A,'Scoring_Config'!$C:$C,10),0),0)+IF(LEFT(AW272,4)="True",IF(_xlfn.XLOOKUP("Migrate_Insecure",'Scoring_Config'!$A:$A,'Scoring_Config'!$D:$D,"Yes")="Yes",_xlfn.XLOOKUP("Migrate_Insecure",'Scoring_Config'!$A:$A,'Scoring_Config'!$C:$C,15),0),0)+IF(LEFT(AY272,4)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272,FIND(",",AP272)+1,100)),0)+IF(LEFT(AQ272,4)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272,FIND(",",AR272)+1,100)),0)+IF(_xlfn.XLOOKUP("Profile_Scoring",'Scoring_Config'!$A:$A,'Scoring_Config'!$D:$D,"Yes")="Yes",VALUE(MID(AS272,FIND(",",AS272)+1,100)),0)+IF(_xlfn.XLOOKUP("Options_Scoring",'Scoring_Config'!$A:$A,'Scoring_Config'!$D:$D,"Yes")="Yes",VALUE(MID(AT272,FIND(",",AT272)+1,100)),0)))</f>
        <v>0</v>
      </c>
    </row>
    <row r="273" spans="1:52">
      <c r="A273" s="3" t="s">
        <v>54</v>
      </c>
      <c r="B273" s="3" t="s">
        <v>196</v>
      </c>
      <c r="C273" s="3" t="s">
        <v>331</v>
      </c>
      <c r="D273" s="3"/>
      <c r="E273" s="3" t="s">
        <v>359</v>
      </c>
      <c r="F273" s="3" t="s">
        <v>364</v>
      </c>
      <c r="G273" s="3" t="s">
        <v>468</v>
      </c>
      <c r="H273" s="3" t="s">
        <v>418</v>
      </c>
      <c r="I273" s="3" t="s">
        <v>622</v>
      </c>
      <c r="J273" s="3" t="s">
        <v>363</v>
      </c>
      <c r="K273" s="3" t="s">
        <v>699</v>
      </c>
      <c r="L273" s="3" t="s">
        <v>386</v>
      </c>
      <c r="M273" s="3" t="s">
        <v>778</v>
      </c>
      <c r="N273" s="3" t="s">
        <v>791</v>
      </c>
      <c r="O273" s="4" t="s">
        <v>843</v>
      </c>
      <c r="P273" s="3" t="s">
        <v>896</v>
      </c>
      <c r="Q273" s="3" t="s">
        <v>905</v>
      </c>
      <c r="R273" s="3" t="s">
        <v>908</v>
      </c>
      <c r="S273" s="3" t="s">
        <v>914</v>
      </c>
      <c r="T273" s="3"/>
      <c r="U273" s="3" t="s">
        <v>1288</v>
      </c>
      <c r="V273" s="3" t="s">
        <v>770</v>
      </c>
      <c r="W273" s="3" t="s">
        <v>1502</v>
      </c>
      <c r="X273" s="3" t="s">
        <v>1877</v>
      </c>
      <c r="Y273" s="3" t="s">
        <v>2346</v>
      </c>
      <c r="Z273" s="3"/>
      <c r="AA273" s="3" t="s">
        <v>2558</v>
      </c>
      <c r="AB273" s="3"/>
      <c r="AC273" s="4" cm="1">
        <f t="array" ref="AC273">IF(FALSE,"True," &amp; IF(_xlfn.XLOOKUP("Src_IsAny",'Scoring_Config'!$A:$A,'Scoring_Config'!$D:$D,"Yes")="Yes",_xlfn.XLOOKUP("Src_IsAny",'Scoring_Config'!$A:$A,'Scoring_Config'!$C:$C,25),0),"False,0")</f>
        <v>0</v>
      </c>
      <c r="AD273" s="5" cm="1">
        <f t="array" ref="AD273">IF(TRUE,"True," &amp; IF(_xlfn.XLOOKUP("Src_CIDR_Le_16",'Scoring_Config'!$A:$A,'Scoring_Config'!$D:$D,"Yes")="Yes",_xlfn.XLOOKUP("Src_CIDR_Le_16",'Scoring_Config'!$A:$A,'Scoring_Config'!$C:$C,25),0),"False,0")</f>
        <v>0</v>
      </c>
      <c r="AE273" s="4" cm="1">
        <f t="array" ref="AE273">IF(FALSE,"True," &amp; IF(_xlfn.XLOOKUP("Src_CIDR_17_22",'Scoring_Config'!$A:$A,'Scoring_Config'!$D:$D,"Yes")="Yes",_xlfn.XLOOKUP("Src_CIDR_17_22",'Scoring_Config'!$A:$A,'Scoring_Config'!$C:$C,15),0),"False,0")</f>
        <v>0</v>
      </c>
      <c r="AF273" s="4" cm="1">
        <f t="array" ref="AF273">IF(FALSE,"True," &amp; IF(_xlfn.XLOOKUP("Dst_IsAny",'Scoring_Config'!$A:$A,'Scoring_Config'!$D:$D,"Yes")="Yes",_xlfn.XLOOKUP("Dst_IsAny",'Scoring_Config'!$A:$A,'Scoring_Config'!$C:$C,25),0),"False,0")</f>
        <v>0</v>
      </c>
      <c r="AG273" s="4" cm="1">
        <f t="array" ref="AG273">IF(FALSE,"True," &amp; IF(_xlfn.XLOOKUP("Dst_CIDR_Le_16",'Scoring_Config'!$A:$A,'Scoring_Config'!$D:$D,"Yes")="Yes",_xlfn.XLOOKUP("Dst_CIDR_Le_16",'Scoring_Config'!$A:$A,'Scoring_Config'!$C:$C,25),0),"False,0")</f>
        <v>0</v>
      </c>
      <c r="AH273" s="4" cm="1">
        <f t="array" ref="AH273">IF(FALSE,"True," &amp; IF(_xlfn.XLOOKUP("Dst_CIDR_17_22",'Scoring_Config'!$A:$A,'Scoring_Config'!$D:$D,"Yes")="Yes",_xlfn.XLOOKUP("Dst_CIDR_17_22",'Scoring_Config'!$A:$A,'Scoring_Config'!$C:$C,15),0),"False,0")</f>
        <v>0</v>
      </c>
      <c r="AI273" s="4" cm="1">
        <f t="array" ref="AI273">IF(FALSE,"True," &amp; IF(_xlfn.XLOOKUP("SrcZone_IsAny",'Scoring_Config'!$A:$A,'Scoring_Config'!$D:$D,"Yes")="Yes",_xlfn.XLOOKUP("SrcZone_IsAny",'Scoring_Config'!$A:$A,'Scoring_Config'!$C:$C,5),0),"False,0")</f>
        <v>0</v>
      </c>
      <c r="AJ273" s="4" cm="1">
        <f t="array" ref="AJ273">IF(FALSE,"True," &amp; IF(_xlfn.XLOOKUP("DstZone_IsAny",'Scoring_Config'!$A:$A,'Scoring_Config'!$D:$D,"Yes")="Yes",_xlfn.XLOOKUP("DstZone_IsAny",'Scoring_Config'!$A:$A,'Scoring_Config'!$C:$C,5),0),"False,0")</f>
        <v>0</v>
      </c>
      <c r="AK273" s="4" cm="1">
        <f t="array" ref="AK27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3" s="5" cm="1">
        <f t="array" ref="AL273">IF(TRUE,"True," &amp; IF(_xlfn.XLOOKUP("App_Any_OR_RangeGt1000",'Scoring_Config'!$A:$A,'Scoring_Config'!$D:$D,"Yes")="Yes",_xlfn.XLOOKUP("App_Any_OR_RangeGt1000",'Scoring_Config'!$A:$A,'Scoring_Config'!$C:$C,25),0),"False,0")</f>
        <v>0</v>
      </c>
      <c r="AM273" s="4" cm="1">
        <f t="array" ref="AM273">IF(FALSE,"True," &amp; IF(_xlfn.XLOOKUP("Service_Insecure_Match",'Scoring_Config'!$A:$A,'Scoring_Config'!$D:$D,"Yes")="Yes",_xlfn.XLOOKUP("Service_Insecure_Match",'Scoring_Config'!$A:$A,'Scoring_Config'!$C:$C,20),0),"False,0")</f>
        <v>0</v>
      </c>
      <c r="AN273" s="4" cm="1">
        <f t="array" ref="AN273">IF(FALSE,"True," &amp; IF(_xlfn.XLOOKUP("Risky_Inbound",'Scoring_Config'!$A:$A,'Scoring_Config'!$D:$D,"Yes")="Yes",_xlfn.XLOOKUP("Risky_Inbound",'Scoring_Config'!$A:$A,'Scoring_Config'!$C:$C,20),0),"False,0")</f>
        <v>0</v>
      </c>
      <c r="AO273" s="4" cm="1">
        <f t="array" ref="AO273">IF(FALSE,"True," &amp; IF(_xlfn.XLOOKUP("Risky_Outbound",'Scoring_Config'!$A:$A,'Scoring_Config'!$D:$D,"Yes")="Yes",_xlfn.XLOOKUP("Risky_Outbound",'Scoring_Config'!$A:$A,'Scoring_Config'!$C:$C,10),0),"False,0")</f>
        <v>0</v>
      </c>
      <c r="AP273" s="5" t="s">
        <v>2595</v>
      </c>
      <c r="AQ273" s="4" cm="1">
        <f t="array" ref="AQ27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3" s="5" t="s">
        <v>2598</v>
      </c>
      <c r="AS273" s="4" t="s">
        <v>2592</v>
      </c>
      <c r="AT273" s="4" t="s">
        <v>2592</v>
      </c>
      <c r="AU273" s="4" cm="1">
        <f t="array" ref="AU273">IF(FALSE,"True," &amp; IF(_xlfn.XLOOKUP("Action_IsDenyOrDrop",'Scoring_Config'!$A:$A,'Scoring_Config'!$D:$D,"Yes")="Yes",_xlfn.XLOOKUP("Action_IsDenyOrDrop",'Scoring_Config'!$A:$A,'Scoring_Config'!$C:$C,0),0),"False,0")</f>
        <v>0</v>
      </c>
      <c r="AV273" s="4"/>
      <c r="AW273" s="4" cm="1">
        <f t="array" ref="AW273">IF(FALSE,"True," &amp; IF(_xlfn.XLOOKUP("Migrate_Insecure",'Scoring_Config'!$A:$A,'Scoring_Config'!$D:$D,"Yes")="Yes",_xlfn.XLOOKUP("Migrate_Insecure",'Scoring_Config'!$A:$A,'Scoring_Config'!$C:$C,15),0),"False,0")</f>
        <v>0</v>
      </c>
      <c r="AX273" s="4"/>
      <c r="AY273" s="4" cm="1">
        <f t="array" ref="AY273">IF(FALSE,"True," &amp; IF(_xlfn.XLOOKUP("Migrate_Other_Ports",'Scoring_Config'!$A:$A,'Scoring_Config'!$D:$D,"Yes")="Yes",_xlfn.XLOOKUP("Migrate_Other_Ports",'Scoring_Config'!$A:$A,'Scoring_Config'!$C:$C,5),0),"False,0")</f>
        <v>0</v>
      </c>
      <c r="AZ273" s="4" cm="1">
        <f t="array" ref="AZ273">IF(LEFT(AU273,4)="True",0,(IF(LEFT(AC273,4)="True",IF(_xlfn.XLOOKUP("Src_IsAny",'Scoring_Config'!$A:$A,'Scoring_Config'!$D:$D,"Yes")="Yes",_xlfn.XLOOKUP("Src_IsAny",'Scoring_Config'!$A:$A,'Scoring_Config'!$C:$C,25),0),0)+IF(LEFT(AD273,4)="True",IF(_xlfn.XLOOKUP("Src_CIDR_Le_16",'Scoring_Config'!$A:$A,'Scoring_Config'!$D:$D,"Yes")="Yes",_xlfn.XLOOKUP("Src_CIDR_Le_16",'Scoring_Config'!$A:$A,'Scoring_Config'!$C:$C,25),0),0)+IF(LEFT(AE273,4)="True",IF(_xlfn.XLOOKUP("Src_CIDR_17_22",'Scoring_Config'!$A:$A,'Scoring_Config'!$D:$D,"Yes")="Yes",_xlfn.XLOOKUP("Src_CIDR_17_22",'Scoring_Config'!$A:$A,'Scoring_Config'!$C:$C,15),0),0)+IF(LEFT(AF273,4)="True",IF(_xlfn.XLOOKUP("Dst_IsAny",'Scoring_Config'!$A:$A,'Scoring_Config'!$D:$D,"Yes")="Yes",_xlfn.XLOOKUP("Dst_IsAny",'Scoring_Config'!$A:$A,'Scoring_Config'!$C:$C,25),0),0)+IF(LEFT(AG273,4)="True",IF(_xlfn.XLOOKUP("Dst_CIDR_Le_16",'Scoring_Config'!$A:$A,'Scoring_Config'!$D:$D,"Yes")="Yes",_xlfn.XLOOKUP("Dst_CIDR_Le_16",'Scoring_Config'!$A:$A,'Scoring_Config'!$C:$C,25),0),0)+IF(LEFT(AH273,4)="True",IF(_xlfn.XLOOKUP("Dst_CIDR_17_22",'Scoring_Config'!$A:$A,'Scoring_Config'!$D:$D,"Yes")="Yes",_xlfn.XLOOKUP("Dst_CIDR_17_22",'Scoring_Config'!$A:$A,'Scoring_Config'!$C:$C,15),0),0)+IF(LEFT(AI273,4)="True",IF(_xlfn.XLOOKUP("SrcZone_IsAny",'Scoring_Config'!$A:$A,'Scoring_Config'!$D:$D,"Yes")="Yes",_xlfn.XLOOKUP("SrcZone_IsAny",'Scoring_Config'!$A:$A,'Scoring_Config'!$C:$C,5),0),0)+IF(LEFT(AJ273,4)="True",IF(_xlfn.XLOOKUP("DstZone_IsAny",'Scoring_Config'!$A:$A,'Scoring_Config'!$D:$D,"Yes")="Yes",_xlfn.XLOOKUP("DstZone_IsAny",'Scoring_Config'!$A:$A,'Scoring_Config'!$C:$C,5),0),0)+IF(LEFT(AK273,4)="True",IF(_xlfn.XLOOKUP("Service_Any_OR_RangeGt1000",'Scoring_Config'!$A:$A,'Scoring_Config'!$D:$D,"Yes")="Yes",_xlfn.XLOOKUP("Service_Any_OR_RangeGt1000",'Scoring_Config'!$A:$A,'Scoring_Config'!$C:$C,25),0),0)+IF(LEFT(AL273,4)="True",IF(_xlfn.XLOOKUP("App_Any_OR_RangeGt1000",'Scoring_Config'!$A:$A,'Scoring_Config'!$D:$D,"Yes")="Yes",_xlfn.XLOOKUP("App_Any_OR_RangeGt1000",'Scoring_Config'!$A:$A,'Scoring_Config'!$C:$C,25),0),0)+IF(LEFT(AM273,4)="True",IF(_xlfn.XLOOKUP("Service_Insecure_Match",'Scoring_Config'!$A:$A,'Scoring_Config'!$D:$D,"Yes")="Yes",_xlfn.XLOOKUP("Service_Insecure_Match",'Scoring_Config'!$A:$A,'Scoring_Config'!$C:$C,20),0),0)+IF(LEFT(AN273,4)="True",IF(_xlfn.XLOOKUP("Risky_Inbound",'Scoring_Config'!$A:$A,'Scoring_Config'!$D:$D,"Yes")="Yes",_xlfn.XLOOKUP("Risky_Inbound",'Scoring_Config'!$A:$A,'Scoring_Config'!$C:$C,20),0),0)+IF(LEFT(AO273,4)="True",IF(_xlfn.XLOOKUP("Risky_Outbound",'Scoring_Config'!$A:$A,'Scoring_Config'!$D:$D,"Yes")="Yes",_xlfn.XLOOKUP("Risky_Outbound",'Scoring_Config'!$A:$A,'Scoring_Config'!$C:$C,10),0),0)+IF(LEFT(AW273,4)="True",IF(_xlfn.XLOOKUP("Migrate_Insecure",'Scoring_Config'!$A:$A,'Scoring_Config'!$D:$D,"Yes")="Yes",_xlfn.XLOOKUP("Migrate_Insecure",'Scoring_Config'!$A:$A,'Scoring_Config'!$C:$C,15),0),0)+IF(LEFT(AY273,4)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273,FIND(",",AP273)+1,100)),0)+IF(LEFT(AQ273,4)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273,FIND(",",AR273)+1,100)),0)+IF(_xlfn.XLOOKUP("Profile_Scoring",'Scoring_Config'!$A:$A,'Scoring_Config'!$D:$D,"Yes")="Yes",VALUE(MID(AS273,FIND(",",AS273)+1,100)),0)+IF(_xlfn.XLOOKUP("Options_Scoring",'Scoring_Config'!$A:$A,'Scoring_Config'!$D:$D,"Yes")="Yes",VALUE(MID(AT273,FIND(",",AT273)+1,100)),0)))</f>
        <v>0</v>
      </c>
    </row>
    <row r="274" spans="1:52">
      <c r="A274" s="3" t="s">
        <v>54</v>
      </c>
      <c r="B274" s="3" t="s">
        <v>100</v>
      </c>
      <c r="C274" s="3" t="s">
        <v>331</v>
      </c>
      <c r="D274" s="3" t="s">
        <v>334</v>
      </c>
      <c r="E274" s="3" t="s">
        <v>359</v>
      </c>
      <c r="F274" s="3" t="s">
        <v>363</v>
      </c>
      <c r="G274" s="3" t="s">
        <v>365</v>
      </c>
      <c r="H274" s="3" t="s">
        <v>365</v>
      </c>
      <c r="I274" s="3" t="s">
        <v>624</v>
      </c>
      <c r="J274" s="3" t="s">
        <v>360</v>
      </c>
      <c r="K274" s="3" t="s">
        <v>462</v>
      </c>
      <c r="L274" s="3" t="s">
        <v>587</v>
      </c>
      <c r="M274" s="3" t="s">
        <v>772</v>
      </c>
      <c r="N274" s="3" t="s">
        <v>794</v>
      </c>
      <c r="O274" s="4" t="s">
        <v>807</v>
      </c>
      <c r="P274" s="3" t="s">
        <v>868</v>
      </c>
      <c r="Q274" s="3" t="s">
        <v>905</v>
      </c>
      <c r="R274" s="3" t="s">
        <v>911</v>
      </c>
      <c r="S274" s="3" t="s">
        <v>914</v>
      </c>
      <c r="T274" s="3"/>
      <c r="U274" s="3" t="s">
        <v>1289</v>
      </c>
      <c r="V274" s="3" t="s">
        <v>772</v>
      </c>
      <c r="W274" s="3" t="s">
        <v>1088</v>
      </c>
      <c r="X274" s="3" t="s">
        <v>1878</v>
      </c>
      <c r="Y274" s="3" t="s">
        <v>2347</v>
      </c>
      <c r="Z274" s="3"/>
      <c r="AA274" s="3" t="s">
        <v>919</v>
      </c>
      <c r="AB274" s="3"/>
      <c r="AC274" s="5" cm="1">
        <f t="array" ref="AC274">IF(TRUE,"True," &amp; IF(_xlfn.XLOOKUP("Src_IsAny",'Scoring_Config'!$A:$A,'Scoring_Config'!$D:$D,"Yes")="Yes",_xlfn.XLOOKUP("Src_IsAny",'Scoring_Config'!$A:$A,'Scoring_Config'!$C:$C,25),0),"False,0")</f>
        <v>0</v>
      </c>
      <c r="AD274" s="4" cm="1">
        <f t="array" ref="AD274">IF(FALSE,"True," &amp; IF(_xlfn.XLOOKUP("Src_CIDR_Le_16",'Scoring_Config'!$A:$A,'Scoring_Config'!$D:$D,"Yes")="Yes",_xlfn.XLOOKUP("Src_CIDR_Le_16",'Scoring_Config'!$A:$A,'Scoring_Config'!$C:$C,25),0),"False,0")</f>
        <v>0</v>
      </c>
      <c r="AE274" s="4" cm="1">
        <f t="array" ref="AE274">IF(FALSE,"True," &amp; IF(_xlfn.XLOOKUP("Src_CIDR_17_22",'Scoring_Config'!$A:$A,'Scoring_Config'!$D:$D,"Yes")="Yes",_xlfn.XLOOKUP("Src_CIDR_17_22",'Scoring_Config'!$A:$A,'Scoring_Config'!$C:$C,15),0),"False,0")</f>
        <v>0</v>
      </c>
      <c r="AF274" s="4" cm="1">
        <f t="array" ref="AF274">IF(FALSE,"True," &amp; IF(_xlfn.XLOOKUP("Dst_IsAny",'Scoring_Config'!$A:$A,'Scoring_Config'!$D:$D,"Yes")="Yes",_xlfn.XLOOKUP("Dst_IsAny",'Scoring_Config'!$A:$A,'Scoring_Config'!$C:$C,25),0),"False,0")</f>
        <v>0</v>
      </c>
      <c r="AG274" s="5" cm="1">
        <f t="array" ref="AG274">IF(TRUE,"True," &amp; IF(_xlfn.XLOOKUP("Dst_CIDR_Le_16",'Scoring_Config'!$A:$A,'Scoring_Config'!$D:$D,"Yes")="Yes",_xlfn.XLOOKUP("Dst_CIDR_Le_16",'Scoring_Config'!$A:$A,'Scoring_Config'!$C:$C,25),0),"False,0")</f>
        <v>0</v>
      </c>
      <c r="AH274" s="4" cm="1">
        <f t="array" ref="AH274">IF(FALSE,"True," &amp; IF(_xlfn.XLOOKUP("Dst_CIDR_17_22",'Scoring_Config'!$A:$A,'Scoring_Config'!$D:$D,"Yes")="Yes",_xlfn.XLOOKUP("Dst_CIDR_17_22",'Scoring_Config'!$A:$A,'Scoring_Config'!$C:$C,15),0),"False,0")</f>
        <v>0</v>
      </c>
      <c r="AI274" s="4" cm="1">
        <f t="array" ref="AI274">IF(FALSE,"True," &amp; IF(_xlfn.XLOOKUP("SrcZone_IsAny",'Scoring_Config'!$A:$A,'Scoring_Config'!$D:$D,"Yes")="Yes",_xlfn.XLOOKUP("SrcZone_IsAny",'Scoring_Config'!$A:$A,'Scoring_Config'!$C:$C,5),0),"False,0")</f>
        <v>0</v>
      </c>
      <c r="AJ274" s="4" cm="1">
        <f t="array" ref="AJ274">IF(FALSE,"True," &amp; IF(_xlfn.XLOOKUP("DstZone_IsAny",'Scoring_Config'!$A:$A,'Scoring_Config'!$D:$D,"Yes")="Yes",_xlfn.XLOOKUP("DstZone_IsAny",'Scoring_Config'!$A:$A,'Scoring_Config'!$C:$C,5),0),"False,0")</f>
        <v>0</v>
      </c>
      <c r="AK274" s="4" cm="1">
        <f t="array" ref="AK27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4" s="4" cm="1">
        <f t="array" ref="AL274">IF(FALSE,"True," &amp; IF(_xlfn.XLOOKUP("App_Any_OR_RangeGt1000",'Scoring_Config'!$A:$A,'Scoring_Config'!$D:$D,"Yes")="Yes",_xlfn.XLOOKUP("App_Any_OR_RangeGt1000",'Scoring_Config'!$A:$A,'Scoring_Config'!$C:$C,25),0),"False,0")</f>
        <v>0</v>
      </c>
      <c r="AM274" s="5" cm="1">
        <f t="array" ref="AM274">IF(TRUE,"True," &amp; IF(_xlfn.XLOOKUP("Service_Insecure_Match",'Scoring_Config'!$A:$A,'Scoring_Config'!$D:$D,"Yes")="Yes",_xlfn.XLOOKUP("Service_Insecure_Match",'Scoring_Config'!$A:$A,'Scoring_Config'!$C:$C,20),0),"False,0")</f>
        <v>0</v>
      </c>
      <c r="AN274" s="4" cm="1">
        <f t="array" ref="AN274">IF(FALSE,"True," &amp; IF(_xlfn.XLOOKUP("Risky_Inbound",'Scoring_Config'!$A:$A,'Scoring_Config'!$D:$D,"Yes")="Yes",_xlfn.XLOOKUP("Risky_Inbound",'Scoring_Config'!$A:$A,'Scoring_Config'!$C:$C,20),0),"False,0")</f>
        <v>0</v>
      </c>
      <c r="AO274" s="4" cm="1">
        <f t="array" ref="AO274">IF(FALSE,"True," &amp; IF(_xlfn.XLOOKUP("Risky_Outbound",'Scoring_Config'!$A:$A,'Scoring_Config'!$D:$D,"Yes")="Yes",_xlfn.XLOOKUP("Risky_Outbound",'Scoring_Config'!$A:$A,'Scoring_Config'!$C:$C,10),0),"False,0")</f>
        <v>0</v>
      </c>
      <c r="AP274" s="5" t="s">
        <v>2595</v>
      </c>
      <c r="AQ274" s="4" cm="1">
        <f t="array" ref="AQ27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4" s="5" t="s">
        <v>2598</v>
      </c>
      <c r="AS274" s="4" t="s">
        <v>2592</v>
      </c>
      <c r="AT274" s="4" t="s">
        <v>2592</v>
      </c>
      <c r="AU274" s="4" cm="1">
        <f t="array" ref="AU274">IF(FALSE,"True," &amp; IF(_xlfn.XLOOKUP("Action_IsDenyOrDrop",'Scoring_Config'!$A:$A,'Scoring_Config'!$D:$D,"Yes")="Yes",_xlfn.XLOOKUP("Action_IsDenyOrDrop",'Scoring_Config'!$A:$A,'Scoring_Config'!$C:$C,0),0),"False,0")</f>
        <v>0</v>
      </c>
      <c r="AV274" s="4"/>
      <c r="AW274" s="4" cm="1">
        <f t="array" ref="AW274">IF(FALSE,"True," &amp; IF(_xlfn.XLOOKUP("Migrate_Insecure",'Scoring_Config'!$A:$A,'Scoring_Config'!$D:$D,"Yes")="Yes",_xlfn.XLOOKUP("Migrate_Insecure",'Scoring_Config'!$A:$A,'Scoring_Config'!$C:$C,15),0),"False,0")</f>
        <v>0</v>
      </c>
      <c r="AX274" s="4"/>
      <c r="AY274" s="4" cm="1">
        <f t="array" ref="AY274">IF(FALSE,"True," &amp; IF(_xlfn.XLOOKUP("Migrate_Other_Ports",'Scoring_Config'!$A:$A,'Scoring_Config'!$D:$D,"Yes")="Yes",_xlfn.XLOOKUP("Migrate_Other_Ports",'Scoring_Config'!$A:$A,'Scoring_Config'!$C:$C,5),0),"False,0")</f>
        <v>0</v>
      </c>
      <c r="AZ274" s="4" cm="1">
        <f t="array" ref="AZ274">IF(LEFT(AU274,4)="True",0,(IF(LEFT(AC274,4)="True",IF(_xlfn.XLOOKUP("Src_IsAny",'Scoring_Config'!$A:$A,'Scoring_Config'!$D:$D,"Yes")="Yes",_xlfn.XLOOKUP("Src_IsAny",'Scoring_Config'!$A:$A,'Scoring_Config'!$C:$C,25),0),0)+IF(LEFT(AD274,4)="True",IF(_xlfn.XLOOKUP("Src_CIDR_Le_16",'Scoring_Config'!$A:$A,'Scoring_Config'!$D:$D,"Yes")="Yes",_xlfn.XLOOKUP("Src_CIDR_Le_16",'Scoring_Config'!$A:$A,'Scoring_Config'!$C:$C,25),0),0)+IF(LEFT(AE274,4)="True",IF(_xlfn.XLOOKUP("Src_CIDR_17_22",'Scoring_Config'!$A:$A,'Scoring_Config'!$D:$D,"Yes")="Yes",_xlfn.XLOOKUP("Src_CIDR_17_22",'Scoring_Config'!$A:$A,'Scoring_Config'!$C:$C,15),0),0)+IF(LEFT(AF274,4)="True",IF(_xlfn.XLOOKUP("Dst_IsAny",'Scoring_Config'!$A:$A,'Scoring_Config'!$D:$D,"Yes")="Yes",_xlfn.XLOOKUP("Dst_IsAny",'Scoring_Config'!$A:$A,'Scoring_Config'!$C:$C,25),0),0)+IF(LEFT(AG274,4)="True",IF(_xlfn.XLOOKUP("Dst_CIDR_Le_16",'Scoring_Config'!$A:$A,'Scoring_Config'!$D:$D,"Yes")="Yes",_xlfn.XLOOKUP("Dst_CIDR_Le_16",'Scoring_Config'!$A:$A,'Scoring_Config'!$C:$C,25),0),0)+IF(LEFT(AH274,4)="True",IF(_xlfn.XLOOKUP("Dst_CIDR_17_22",'Scoring_Config'!$A:$A,'Scoring_Config'!$D:$D,"Yes")="Yes",_xlfn.XLOOKUP("Dst_CIDR_17_22",'Scoring_Config'!$A:$A,'Scoring_Config'!$C:$C,15),0),0)+IF(LEFT(AI274,4)="True",IF(_xlfn.XLOOKUP("SrcZone_IsAny",'Scoring_Config'!$A:$A,'Scoring_Config'!$D:$D,"Yes")="Yes",_xlfn.XLOOKUP("SrcZone_IsAny",'Scoring_Config'!$A:$A,'Scoring_Config'!$C:$C,5),0),0)+IF(LEFT(AJ274,4)="True",IF(_xlfn.XLOOKUP("DstZone_IsAny",'Scoring_Config'!$A:$A,'Scoring_Config'!$D:$D,"Yes")="Yes",_xlfn.XLOOKUP("DstZone_IsAny",'Scoring_Config'!$A:$A,'Scoring_Config'!$C:$C,5),0),0)+IF(LEFT(AK274,4)="True",IF(_xlfn.XLOOKUP("Service_Any_OR_RangeGt1000",'Scoring_Config'!$A:$A,'Scoring_Config'!$D:$D,"Yes")="Yes",_xlfn.XLOOKUP("Service_Any_OR_RangeGt1000",'Scoring_Config'!$A:$A,'Scoring_Config'!$C:$C,25),0),0)+IF(LEFT(AL274,4)="True",IF(_xlfn.XLOOKUP("App_Any_OR_RangeGt1000",'Scoring_Config'!$A:$A,'Scoring_Config'!$D:$D,"Yes")="Yes",_xlfn.XLOOKUP("App_Any_OR_RangeGt1000",'Scoring_Config'!$A:$A,'Scoring_Config'!$C:$C,25),0),0)+IF(LEFT(AM274,4)="True",IF(_xlfn.XLOOKUP("Service_Insecure_Match",'Scoring_Config'!$A:$A,'Scoring_Config'!$D:$D,"Yes")="Yes",_xlfn.XLOOKUP("Service_Insecure_Match",'Scoring_Config'!$A:$A,'Scoring_Config'!$C:$C,20),0),0)+IF(LEFT(AN274,4)="True",IF(_xlfn.XLOOKUP("Risky_Inbound",'Scoring_Config'!$A:$A,'Scoring_Config'!$D:$D,"Yes")="Yes",_xlfn.XLOOKUP("Risky_Inbound",'Scoring_Config'!$A:$A,'Scoring_Config'!$C:$C,20),0),0)+IF(LEFT(AO274,4)="True",IF(_xlfn.XLOOKUP("Risky_Outbound",'Scoring_Config'!$A:$A,'Scoring_Config'!$D:$D,"Yes")="Yes",_xlfn.XLOOKUP("Risky_Outbound",'Scoring_Config'!$A:$A,'Scoring_Config'!$C:$C,10),0),0)+IF(LEFT(AW274,4)="True",IF(_xlfn.XLOOKUP("Migrate_Insecure",'Scoring_Config'!$A:$A,'Scoring_Config'!$D:$D,"Yes")="Yes",_xlfn.XLOOKUP("Migrate_Insecure",'Scoring_Config'!$A:$A,'Scoring_Config'!$C:$C,15),0),0)+IF(LEFT(AY274,4)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274,FIND(",",AP274)+1,100)),0)+IF(LEFT(AQ274,4)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274,FIND(",",AR274)+1,100)),0)+IF(_xlfn.XLOOKUP("Profile_Scoring",'Scoring_Config'!$A:$A,'Scoring_Config'!$D:$D,"Yes")="Yes",VALUE(MID(AS274,FIND(",",AS274)+1,100)),0)+IF(_xlfn.XLOOKUP("Options_Scoring",'Scoring_Config'!$A:$A,'Scoring_Config'!$D:$D,"Yes")="Yes",VALUE(MID(AT274,FIND(",",AT274)+1,100)),0)))</f>
        <v>0</v>
      </c>
    </row>
    <row r="275" spans="1:52">
      <c r="A275" s="3" t="s">
        <v>54</v>
      </c>
      <c r="B275" s="3" t="s">
        <v>244</v>
      </c>
      <c r="C275" s="3" t="s">
        <v>331</v>
      </c>
      <c r="D275" s="3"/>
      <c r="E275" s="3" t="s">
        <v>359</v>
      </c>
      <c r="F275" s="3" t="s">
        <v>360</v>
      </c>
      <c r="G275" s="3" t="s">
        <v>469</v>
      </c>
      <c r="H275" s="3" t="s">
        <v>590</v>
      </c>
      <c r="I275" s="3" t="s">
        <v>622</v>
      </c>
      <c r="J275" s="3" t="s">
        <v>362</v>
      </c>
      <c r="K275" s="3" t="s">
        <v>700</v>
      </c>
      <c r="L275" s="3" t="s">
        <v>760</v>
      </c>
      <c r="M275" s="3" t="s">
        <v>775</v>
      </c>
      <c r="N275" s="3" t="s">
        <v>796</v>
      </c>
      <c r="O275" s="4" t="s">
        <v>801</v>
      </c>
      <c r="P275" s="3" t="s">
        <v>862</v>
      </c>
      <c r="Q275" s="3" t="s">
        <v>905</v>
      </c>
      <c r="R275" s="3" t="s">
        <v>911</v>
      </c>
      <c r="S275" s="3" t="s">
        <v>914</v>
      </c>
      <c r="T275" s="3"/>
      <c r="U275" s="3" t="s">
        <v>1150</v>
      </c>
      <c r="V275" s="3" t="s">
        <v>1387</v>
      </c>
      <c r="W275" s="3" t="s">
        <v>1479</v>
      </c>
      <c r="X275" s="3" t="s">
        <v>1879</v>
      </c>
      <c r="Y275" s="3" t="s">
        <v>2348</v>
      </c>
      <c r="Z275" s="3"/>
      <c r="AA275" s="3" t="s">
        <v>1049</v>
      </c>
      <c r="AB275" s="3"/>
      <c r="AC275" s="5" cm="1">
        <f t="array" ref="AC275">IF(TRUE,"True," &amp; IF(_xlfn.XLOOKUP("Src_IsAny",'Scoring_Config'!$A:$A,'Scoring_Config'!$D:$D,"Yes")="Yes",_xlfn.XLOOKUP("Src_IsAny",'Scoring_Config'!$A:$A,'Scoring_Config'!$C:$C,25),0),"False,0")</f>
        <v>0</v>
      </c>
      <c r="AD275" s="5" cm="1">
        <f t="array" ref="AD275">IF(TRUE,"True," &amp; IF(_xlfn.XLOOKUP("Src_CIDR_Le_16",'Scoring_Config'!$A:$A,'Scoring_Config'!$D:$D,"Yes")="Yes",_xlfn.XLOOKUP("Src_CIDR_Le_16",'Scoring_Config'!$A:$A,'Scoring_Config'!$C:$C,25),0),"False,0")</f>
        <v>0</v>
      </c>
      <c r="AE275" s="4" cm="1">
        <f t="array" ref="AE275">IF(FALSE,"True," &amp; IF(_xlfn.XLOOKUP("Src_CIDR_17_22",'Scoring_Config'!$A:$A,'Scoring_Config'!$D:$D,"Yes")="Yes",_xlfn.XLOOKUP("Src_CIDR_17_22",'Scoring_Config'!$A:$A,'Scoring_Config'!$C:$C,15),0),"False,0")</f>
        <v>0</v>
      </c>
      <c r="AF275" s="4" cm="1">
        <f t="array" ref="AF275">IF(FALSE,"True," &amp; IF(_xlfn.XLOOKUP("Dst_IsAny",'Scoring_Config'!$A:$A,'Scoring_Config'!$D:$D,"Yes")="Yes",_xlfn.XLOOKUP("Dst_IsAny",'Scoring_Config'!$A:$A,'Scoring_Config'!$C:$C,25),0),"False,0")</f>
        <v>0</v>
      </c>
      <c r="AG275" s="5" cm="1">
        <f t="array" ref="AG275">IF(TRUE,"True," &amp; IF(_xlfn.XLOOKUP("Dst_CIDR_Le_16",'Scoring_Config'!$A:$A,'Scoring_Config'!$D:$D,"Yes")="Yes",_xlfn.XLOOKUP("Dst_CIDR_Le_16",'Scoring_Config'!$A:$A,'Scoring_Config'!$C:$C,25),0),"False,0")</f>
        <v>0</v>
      </c>
      <c r="AH275" s="4" cm="1">
        <f t="array" ref="AH275">IF(FALSE,"True," &amp; IF(_xlfn.XLOOKUP("Dst_CIDR_17_22",'Scoring_Config'!$A:$A,'Scoring_Config'!$D:$D,"Yes")="Yes",_xlfn.XLOOKUP("Dst_CIDR_17_22",'Scoring_Config'!$A:$A,'Scoring_Config'!$C:$C,15),0),"False,0")</f>
        <v>0</v>
      </c>
      <c r="AI275" s="4" cm="1">
        <f t="array" ref="AI275">IF(FALSE,"True," &amp; IF(_xlfn.XLOOKUP("SrcZone_IsAny",'Scoring_Config'!$A:$A,'Scoring_Config'!$D:$D,"Yes")="Yes",_xlfn.XLOOKUP("SrcZone_IsAny",'Scoring_Config'!$A:$A,'Scoring_Config'!$C:$C,5),0),"False,0")</f>
        <v>0</v>
      </c>
      <c r="AJ275" s="4" cm="1">
        <f t="array" ref="AJ275">IF(FALSE,"True," &amp; IF(_xlfn.XLOOKUP("DstZone_IsAny",'Scoring_Config'!$A:$A,'Scoring_Config'!$D:$D,"Yes")="Yes",_xlfn.XLOOKUP("DstZone_IsAny",'Scoring_Config'!$A:$A,'Scoring_Config'!$C:$C,5),0),"False,0")</f>
        <v>0</v>
      </c>
      <c r="AK275" s="4" cm="1">
        <f t="array" ref="AK27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5" s="4" cm="1">
        <f t="array" ref="AL275">IF(FALSE,"True," &amp; IF(_xlfn.XLOOKUP("App_Any_OR_RangeGt1000",'Scoring_Config'!$A:$A,'Scoring_Config'!$D:$D,"Yes")="Yes",_xlfn.XLOOKUP("App_Any_OR_RangeGt1000",'Scoring_Config'!$A:$A,'Scoring_Config'!$C:$C,25),0),"False,0")</f>
        <v>0</v>
      </c>
      <c r="AM275" s="5" cm="1">
        <f t="array" ref="AM275">IF(TRUE,"True," &amp; IF(_xlfn.XLOOKUP("Service_Insecure_Match",'Scoring_Config'!$A:$A,'Scoring_Config'!$D:$D,"Yes")="Yes",_xlfn.XLOOKUP("Service_Insecure_Match",'Scoring_Config'!$A:$A,'Scoring_Config'!$C:$C,20),0),"False,0")</f>
        <v>0</v>
      </c>
      <c r="AN275" s="4" cm="1">
        <f t="array" ref="AN275">IF(FALSE,"True," &amp; IF(_xlfn.XLOOKUP("Risky_Inbound",'Scoring_Config'!$A:$A,'Scoring_Config'!$D:$D,"Yes")="Yes",_xlfn.XLOOKUP("Risky_Inbound",'Scoring_Config'!$A:$A,'Scoring_Config'!$C:$C,20),0),"False,0")</f>
        <v>0</v>
      </c>
      <c r="AO275" s="4" cm="1">
        <f t="array" ref="AO275">IF(FALSE,"True," &amp; IF(_xlfn.XLOOKUP("Risky_Outbound",'Scoring_Config'!$A:$A,'Scoring_Config'!$D:$D,"Yes")="Yes",_xlfn.XLOOKUP("Risky_Outbound",'Scoring_Config'!$A:$A,'Scoring_Config'!$C:$C,10),0),"False,0")</f>
        <v>0</v>
      </c>
      <c r="AP275" s="5" t="s">
        <v>2595</v>
      </c>
      <c r="AQ275" s="5" cm="1">
        <f t="array" ref="AQ27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5" s="5" t="s">
        <v>2598</v>
      </c>
      <c r="AS275" s="4" t="s">
        <v>2592</v>
      </c>
      <c r="AT275" s="4" t="s">
        <v>2592</v>
      </c>
      <c r="AU275" s="4" cm="1">
        <f t="array" ref="AU275">IF(FALSE,"True," &amp; IF(_xlfn.XLOOKUP("Action_IsDenyOrDrop",'Scoring_Config'!$A:$A,'Scoring_Config'!$D:$D,"Yes")="Yes",_xlfn.XLOOKUP("Action_IsDenyOrDrop",'Scoring_Config'!$A:$A,'Scoring_Config'!$C:$C,0),0),"False,0")</f>
        <v>0</v>
      </c>
      <c r="AV275" s="4"/>
      <c r="AW275" s="4" cm="1">
        <f t="array" ref="AW275">IF(FALSE,"True," &amp; IF(_xlfn.XLOOKUP("Migrate_Insecure",'Scoring_Config'!$A:$A,'Scoring_Config'!$D:$D,"Yes")="Yes",_xlfn.XLOOKUP("Migrate_Insecure",'Scoring_Config'!$A:$A,'Scoring_Config'!$C:$C,15),0),"False,0")</f>
        <v>0</v>
      </c>
      <c r="AX275" s="4"/>
      <c r="AY275" s="4" cm="1">
        <f t="array" ref="AY275">IF(FALSE,"True," &amp; IF(_xlfn.XLOOKUP("Migrate_Other_Ports",'Scoring_Config'!$A:$A,'Scoring_Config'!$D:$D,"Yes")="Yes",_xlfn.XLOOKUP("Migrate_Other_Ports",'Scoring_Config'!$A:$A,'Scoring_Config'!$C:$C,5),0),"False,0")</f>
        <v>0</v>
      </c>
      <c r="AZ275" s="4" cm="1">
        <f t="array" ref="AZ275">IF(LEFT(AU275,4)="True",0,(IF(LEFT(AC275,4)="True",IF(_xlfn.XLOOKUP("Src_IsAny",'Scoring_Config'!$A:$A,'Scoring_Config'!$D:$D,"Yes")="Yes",_xlfn.XLOOKUP("Src_IsAny",'Scoring_Config'!$A:$A,'Scoring_Config'!$C:$C,25),0),0)+IF(LEFT(AD275,4)="True",IF(_xlfn.XLOOKUP("Src_CIDR_Le_16",'Scoring_Config'!$A:$A,'Scoring_Config'!$D:$D,"Yes")="Yes",_xlfn.XLOOKUP("Src_CIDR_Le_16",'Scoring_Config'!$A:$A,'Scoring_Config'!$C:$C,25),0),0)+IF(LEFT(AE275,4)="True",IF(_xlfn.XLOOKUP("Src_CIDR_17_22",'Scoring_Config'!$A:$A,'Scoring_Config'!$D:$D,"Yes")="Yes",_xlfn.XLOOKUP("Src_CIDR_17_22",'Scoring_Config'!$A:$A,'Scoring_Config'!$C:$C,15),0),0)+IF(LEFT(AF275,4)="True",IF(_xlfn.XLOOKUP("Dst_IsAny",'Scoring_Config'!$A:$A,'Scoring_Config'!$D:$D,"Yes")="Yes",_xlfn.XLOOKUP("Dst_IsAny",'Scoring_Config'!$A:$A,'Scoring_Config'!$C:$C,25),0),0)+IF(LEFT(AG275,4)="True",IF(_xlfn.XLOOKUP("Dst_CIDR_Le_16",'Scoring_Config'!$A:$A,'Scoring_Config'!$D:$D,"Yes")="Yes",_xlfn.XLOOKUP("Dst_CIDR_Le_16",'Scoring_Config'!$A:$A,'Scoring_Config'!$C:$C,25),0),0)+IF(LEFT(AH275,4)="True",IF(_xlfn.XLOOKUP("Dst_CIDR_17_22",'Scoring_Config'!$A:$A,'Scoring_Config'!$D:$D,"Yes")="Yes",_xlfn.XLOOKUP("Dst_CIDR_17_22",'Scoring_Config'!$A:$A,'Scoring_Config'!$C:$C,15),0),0)+IF(LEFT(AI275,4)="True",IF(_xlfn.XLOOKUP("SrcZone_IsAny",'Scoring_Config'!$A:$A,'Scoring_Config'!$D:$D,"Yes")="Yes",_xlfn.XLOOKUP("SrcZone_IsAny",'Scoring_Config'!$A:$A,'Scoring_Config'!$C:$C,5),0),0)+IF(LEFT(AJ275,4)="True",IF(_xlfn.XLOOKUP("DstZone_IsAny",'Scoring_Config'!$A:$A,'Scoring_Config'!$D:$D,"Yes")="Yes",_xlfn.XLOOKUP("DstZone_IsAny",'Scoring_Config'!$A:$A,'Scoring_Config'!$C:$C,5),0),0)+IF(LEFT(AK275,4)="True",IF(_xlfn.XLOOKUP("Service_Any_OR_RangeGt1000",'Scoring_Config'!$A:$A,'Scoring_Config'!$D:$D,"Yes")="Yes",_xlfn.XLOOKUP("Service_Any_OR_RangeGt1000",'Scoring_Config'!$A:$A,'Scoring_Config'!$C:$C,25),0),0)+IF(LEFT(AL275,4)="True",IF(_xlfn.XLOOKUP("App_Any_OR_RangeGt1000",'Scoring_Config'!$A:$A,'Scoring_Config'!$D:$D,"Yes")="Yes",_xlfn.XLOOKUP("App_Any_OR_RangeGt1000",'Scoring_Config'!$A:$A,'Scoring_Config'!$C:$C,25),0),0)+IF(LEFT(AM275,4)="True",IF(_xlfn.XLOOKUP("Service_Insecure_Match",'Scoring_Config'!$A:$A,'Scoring_Config'!$D:$D,"Yes")="Yes",_xlfn.XLOOKUP("Service_Insecure_Match",'Scoring_Config'!$A:$A,'Scoring_Config'!$C:$C,20),0),0)+IF(LEFT(AN275,4)="True",IF(_xlfn.XLOOKUP("Risky_Inbound",'Scoring_Config'!$A:$A,'Scoring_Config'!$D:$D,"Yes")="Yes",_xlfn.XLOOKUP("Risky_Inbound",'Scoring_Config'!$A:$A,'Scoring_Config'!$C:$C,20),0),0)+IF(LEFT(AO275,4)="True",IF(_xlfn.XLOOKUP("Risky_Outbound",'Scoring_Config'!$A:$A,'Scoring_Config'!$D:$D,"Yes")="Yes",_xlfn.XLOOKUP("Risky_Outbound",'Scoring_Config'!$A:$A,'Scoring_Config'!$C:$C,10),0),0)+IF(LEFT(AW275,4)="True",IF(_xlfn.XLOOKUP("Migrate_Insecure",'Scoring_Config'!$A:$A,'Scoring_Config'!$D:$D,"Yes")="Yes",_xlfn.XLOOKUP("Migrate_Insecure",'Scoring_Config'!$A:$A,'Scoring_Config'!$C:$C,15),0),0)+IF(LEFT(AY275,4)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275,FIND(",",AP275)+1,100)),0)+IF(LEFT(AQ275,4)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275,FIND(",",AR275)+1,100)),0)+IF(_xlfn.XLOOKUP("Profile_Scoring",'Scoring_Config'!$A:$A,'Scoring_Config'!$D:$D,"Yes")="Yes",VALUE(MID(AS275,FIND(",",AS275)+1,100)),0)+IF(_xlfn.XLOOKUP("Options_Scoring",'Scoring_Config'!$A:$A,'Scoring_Config'!$D:$D,"Yes")="Yes",VALUE(MID(AT275,FIND(",",AT275)+1,100)),0)))</f>
        <v>0</v>
      </c>
    </row>
    <row r="276" spans="1:52">
      <c r="A276" s="3" t="s">
        <v>54</v>
      </c>
      <c r="B276" s="3" t="s">
        <v>225</v>
      </c>
      <c r="C276" s="3" t="s">
        <v>331</v>
      </c>
      <c r="D276" s="3" t="s">
        <v>347</v>
      </c>
      <c r="E276" s="3" t="s">
        <v>359</v>
      </c>
      <c r="F276" s="3" t="s">
        <v>361</v>
      </c>
      <c r="G276" s="3" t="s">
        <v>470</v>
      </c>
      <c r="H276" s="3" t="s">
        <v>591</v>
      </c>
      <c r="I276" s="3" t="s">
        <v>624</v>
      </c>
      <c r="J276" s="3" t="s">
        <v>364</v>
      </c>
      <c r="K276" s="3" t="s">
        <v>470</v>
      </c>
      <c r="L276" s="3" t="s">
        <v>591</v>
      </c>
      <c r="M276" s="3" t="s">
        <v>365</v>
      </c>
      <c r="N276" s="3" t="s">
        <v>365</v>
      </c>
      <c r="O276" s="4" t="s">
        <v>832</v>
      </c>
      <c r="P276" s="3" t="s">
        <v>893</v>
      </c>
      <c r="Q276" s="3" t="s">
        <v>905</v>
      </c>
      <c r="R276" s="3" t="s">
        <v>906</v>
      </c>
      <c r="S276" s="3" t="s">
        <v>907</v>
      </c>
      <c r="T276" s="3"/>
      <c r="U276" s="3" t="s">
        <v>1286</v>
      </c>
      <c r="V276" s="3" t="s">
        <v>1387</v>
      </c>
      <c r="W276" s="3" t="s">
        <v>1412</v>
      </c>
      <c r="X276" s="3" t="s">
        <v>1880</v>
      </c>
      <c r="Y276" s="3" t="s">
        <v>2349</v>
      </c>
      <c r="Z276" s="3"/>
      <c r="AA276" s="3" t="s">
        <v>919</v>
      </c>
      <c r="AB276" s="3"/>
      <c r="AC276" s="4" cm="1">
        <f t="array" ref="AC276">IF(FALSE,"True," &amp; IF(_xlfn.XLOOKUP("Src_IsAny",'Scoring_Config'!$A:$A,'Scoring_Config'!$D:$D,"Yes")="Yes",_xlfn.XLOOKUP("Src_IsAny",'Scoring_Config'!$A:$A,'Scoring_Config'!$C:$C,25),0),"False,0")</f>
        <v>0</v>
      </c>
      <c r="AD276" s="5" cm="1">
        <f t="array" ref="AD276">IF(TRUE,"True," &amp; IF(_xlfn.XLOOKUP("Src_CIDR_Le_16",'Scoring_Config'!$A:$A,'Scoring_Config'!$D:$D,"Yes")="Yes",_xlfn.XLOOKUP("Src_CIDR_Le_16",'Scoring_Config'!$A:$A,'Scoring_Config'!$C:$C,25),0),"False,0")</f>
        <v>0</v>
      </c>
      <c r="AE276" s="4" cm="1">
        <f t="array" ref="AE276">IF(FALSE,"True," &amp; IF(_xlfn.XLOOKUP("Src_CIDR_17_22",'Scoring_Config'!$A:$A,'Scoring_Config'!$D:$D,"Yes")="Yes",_xlfn.XLOOKUP("Src_CIDR_17_22",'Scoring_Config'!$A:$A,'Scoring_Config'!$C:$C,15),0),"False,0")</f>
        <v>0</v>
      </c>
      <c r="AF276" s="4" cm="1">
        <f t="array" ref="AF276">IF(FALSE,"True," &amp; IF(_xlfn.XLOOKUP("Dst_IsAny",'Scoring_Config'!$A:$A,'Scoring_Config'!$D:$D,"Yes")="Yes",_xlfn.XLOOKUP("Dst_IsAny",'Scoring_Config'!$A:$A,'Scoring_Config'!$C:$C,25),0),"False,0")</f>
        <v>0</v>
      </c>
      <c r="AG276" s="5" cm="1">
        <f t="array" ref="AG276">IF(TRUE,"True," &amp; IF(_xlfn.XLOOKUP("Dst_CIDR_Le_16",'Scoring_Config'!$A:$A,'Scoring_Config'!$D:$D,"Yes")="Yes",_xlfn.XLOOKUP("Dst_CIDR_Le_16",'Scoring_Config'!$A:$A,'Scoring_Config'!$C:$C,25),0),"False,0")</f>
        <v>0</v>
      </c>
      <c r="AH276" s="4" cm="1">
        <f t="array" ref="AH276">IF(FALSE,"True," &amp; IF(_xlfn.XLOOKUP("Dst_CIDR_17_22",'Scoring_Config'!$A:$A,'Scoring_Config'!$D:$D,"Yes")="Yes",_xlfn.XLOOKUP("Dst_CIDR_17_22",'Scoring_Config'!$A:$A,'Scoring_Config'!$C:$C,15),0),"False,0")</f>
        <v>0</v>
      </c>
      <c r="AI276" s="4" cm="1">
        <f t="array" ref="AI276">IF(FALSE,"True," &amp; IF(_xlfn.XLOOKUP("SrcZone_IsAny",'Scoring_Config'!$A:$A,'Scoring_Config'!$D:$D,"Yes")="Yes",_xlfn.XLOOKUP("SrcZone_IsAny",'Scoring_Config'!$A:$A,'Scoring_Config'!$C:$C,5),0),"False,0")</f>
        <v>0</v>
      </c>
      <c r="AJ276" s="4" cm="1">
        <f t="array" ref="AJ276">IF(FALSE,"True," &amp; IF(_xlfn.XLOOKUP("DstZone_IsAny",'Scoring_Config'!$A:$A,'Scoring_Config'!$D:$D,"Yes")="Yes",_xlfn.XLOOKUP("DstZone_IsAny",'Scoring_Config'!$A:$A,'Scoring_Config'!$C:$C,5),0),"False,0")</f>
        <v>0</v>
      </c>
      <c r="AK276" s="4" cm="1">
        <f t="array" ref="AK27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6" s="5" cm="1">
        <f t="array" ref="AL276">IF(TRUE,"True," &amp; IF(_xlfn.XLOOKUP("App_Any_OR_RangeGt1000",'Scoring_Config'!$A:$A,'Scoring_Config'!$D:$D,"Yes")="Yes",_xlfn.XLOOKUP("App_Any_OR_RangeGt1000",'Scoring_Config'!$A:$A,'Scoring_Config'!$C:$C,25),0),"False,0")</f>
        <v>0</v>
      </c>
      <c r="AM276" s="5" cm="1">
        <f t="array" ref="AM276">IF(TRUE,"True," &amp; IF(_xlfn.XLOOKUP("Service_Insecure_Match",'Scoring_Config'!$A:$A,'Scoring_Config'!$D:$D,"Yes")="Yes",_xlfn.XLOOKUP("Service_Insecure_Match",'Scoring_Config'!$A:$A,'Scoring_Config'!$C:$C,20),0),"False,0")</f>
        <v>0</v>
      </c>
      <c r="AN276" s="4" cm="1">
        <f t="array" ref="AN276">IF(FALSE,"True," &amp; IF(_xlfn.XLOOKUP("Risky_Inbound",'Scoring_Config'!$A:$A,'Scoring_Config'!$D:$D,"Yes")="Yes",_xlfn.XLOOKUP("Risky_Inbound",'Scoring_Config'!$A:$A,'Scoring_Config'!$C:$C,20),0),"False,0")</f>
        <v>0</v>
      </c>
      <c r="AO276" s="4" cm="1">
        <f t="array" ref="AO276">IF(FALSE,"True," &amp; IF(_xlfn.XLOOKUP("Risky_Outbound",'Scoring_Config'!$A:$A,'Scoring_Config'!$D:$D,"Yes")="Yes",_xlfn.XLOOKUP("Risky_Outbound",'Scoring_Config'!$A:$A,'Scoring_Config'!$C:$C,10),0),"False,0")</f>
        <v>0</v>
      </c>
      <c r="AP276" s="5" t="s">
        <v>2595</v>
      </c>
      <c r="AQ276" s="5" cm="1">
        <f t="array" ref="AQ27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6" s="5" t="s">
        <v>2598</v>
      </c>
      <c r="AS276" s="4" t="s">
        <v>2592</v>
      </c>
      <c r="AT276" s="5" t="s">
        <v>2595</v>
      </c>
      <c r="AU276" s="4" cm="1">
        <f t="array" ref="AU276">IF(FALSE,"True," &amp; IF(_xlfn.XLOOKUP("Action_IsDenyOrDrop",'Scoring_Config'!$A:$A,'Scoring_Config'!$D:$D,"Yes")="Yes",_xlfn.XLOOKUP("Action_IsDenyOrDrop",'Scoring_Config'!$A:$A,'Scoring_Config'!$C:$C,0),0),"False,0")</f>
        <v>0</v>
      </c>
      <c r="AV276" s="4"/>
      <c r="AW276" s="4" cm="1">
        <f t="array" ref="AW276">IF(FALSE,"True," &amp; IF(_xlfn.XLOOKUP("Migrate_Insecure",'Scoring_Config'!$A:$A,'Scoring_Config'!$D:$D,"Yes")="Yes",_xlfn.XLOOKUP("Migrate_Insecure",'Scoring_Config'!$A:$A,'Scoring_Config'!$C:$C,15),0),"False,0")</f>
        <v>0</v>
      </c>
      <c r="AX276" s="4"/>
      <c r="AY276" s="4" cm="1">
        <f t="array" ref="AY276">IF(FALSE,"True," &amp; IF(_xlfn.XLOOKUP("Migrate_Other_Ports",'Scoring_Config'!$A:$A,'Scoring_Config'!$D:$D,"Yes")="Yes",_xlfn.XLOOKUP("Migrate_Other_Ports",'Scoring_Config'!$A:$A,'Scoring_Config'!$C:$C,5),0),"False,0")</f>
        <v>0</v>
      </c>
      <c r="AZ276" s="4" cm="1">
        <f t="array" ref="AZ276">IF(LEFT(AU276,4)="True",0,(IF(LEFT(AC276,4)="True",IF(_xlfn.XLOOKUP("Src_IsAny",'Scoring_Config'!$A:$A,'Scoring_Config'!$D:$D,"Yes")="Yes",_xlfn.XLOOKUP("Src_IsAny",'Scoring_Config'!$A:$A,'Scoring_Config'!$C:$C,25),0),0)+IF(LEFT(AD276,4)="True",IF(_xlfn.XLOOKUP("Src_CIDR_Le_16",'Scoring_Config'!$A:$A,'Scoring_Config'!$D:$D,"Yes")="Yes",_xlfn.XLOOKUP("Src_CIDR_Le_16",'Scoring_Config'!$A:$A,'Scoring_Config'!$C:$C,25),0),0)+IF(LEFT(AE276,4)="True",IF(_xlfn.XLOOKUP("Src_CIDR_17_22",'Scoring_Config'!$A:$A,'Scoring_Config'!$D:$D,"Yes")="Yes",_xlfn.XLOOKUP("Src_CIDR_17_22",'Scoring_Config'!$A:$A,'Scoring_Config'!$C:$C,15),0),0)+IF(LEFT(AF276,4)="True",IF(_xlfn.XLOOKUP("Dst_IsAny",'Scoring_Config'!$A:$A,'Scoring_Config'!$D:$D,"Yes")="Yes",_xlfn.XLOOKUP("Dst_IsAny",'Scoring_Config'!$A:$A,'Scoring_Config'!$C:$C,25),0),0)+IF(LEFT(AG276,4)="True",IF(_xlfn.XLOOKUP("Dst_CIDR_Le_16",'Scoring_Config'!$A:$A,'Scoring_Config'!$D:$D,"Yes")="Yes",_xlfn.XLOOKUP("Dst_CIDR_Le_16",'Scoring_Config'!$A:$A,'Scoring_Config'!$C:$C,25),0),0)+IF(LEFT(AH276,4)="True",IF(_xlfn.XLOOKUP("Dst_CIDR_17_22",'Scoring_Config'!$A:$A,'Scoring_Config'!$D:$D,"Yes")="Yes",_xlfn.XLOOKUP("Dst_CIDR_17_22",'Scoring_Config'!$A:$A,'Scoring_Config'!$C:$C,15),0),0)+IF(LEFT(AI276,4)="True",IF(_xlfn.XLOOKUP("SrcZone_IsAny",'Scoring_Config'!$A:$A,'Scoring_Config'!$D:$D,"Yes")="Yes",_xlfn.XLOOKUP("SrcZone_IsAny",'Scoring_Config'!$A:$A,'Scoring_Config'!$C:$C,5),0),0)+IF(LEFT(AJ276,4)="True",IF(_xlfn.XLOOKUP("DstZone_IsAny",'Scoring_Config'!$A:$A,'Scoring_Config'!$D:$D,"Yes")="Yes",_xlfn.XLOOKUP("DstZone_IsAny",'Scoring_Config'!$A:$A,'Scoring_Config'!$C:$C,5),0),0)+IF(LEFT(AK276,4)="True",IF(_xlfn.XLOOKUP("Service_Any_OR_RangeGt1000",'Scoring_Config'!$A:$A,'Scoring_Config'!$D:$D,"Yes")="Yes",_xlfn.XLOOKUP("Service_Any_OR_RangeGt1000",'Scoring_Config'!$A:$A,'Scoring_Config'!$C:$C,25),0),0)+IF(LEFT(AL276,4)="True",IF(_xlfn.XLOOKUP("App_Any_OR_RangeGt1000",'Scoring_Config'!$A:$A,'Scoring_Config'!$D:$D,"Yes")="Yes",_xlfn.XLOOKUP("App_Any_OR_RangeGt1000",'Scoring_Config'!$A:$A,'Scoring_Config'!$C:$C,25),0),0)+IF(LEFT(AM276,4)="True",IF(_xlfn.XLOOKUP("Service_Insecure_Match",'Scoring_Config'!$A:$A,'Scoring_Config'!$D:$D,"Yes")="Yes",_xlfn.XLOOKUP("Service_Insecure_Match",'Scoring_Config'!$A:$A,'Scoring_Config'!$C:$C,20),0),0)+IF(LEFT(AN276,4)="True",IF(_xlfn.XLOOKUP("Risky_Inbound",'Scoring_Config'!$A:$A,'Scoring_Config'!$D:$D,"Yes")="Yes",_xlfn.XLOOKUP("Risky_Inbound",'Scoring_Config'!$A:$A,'Scoring_Config'!$C:$C,20),0),0)+IF(LEFT(AO276,4)="True",IF(_xlfn.XLOOKUP("Risky_Outbound",'Scoring_Config'!$A:$A,'Scoring_Config'!$D:$D,"Yes")="Yes",_xlfn.XLOOKUP("Risky_Outbound",'Scoring_Config'!$A:$A,'Scoring_Config'!$C:$C,10),0),0)+IF(LEFT(AW276,4)="True",IF(_xlfn.XLOOKUP("Migrate_Insecure",'Scoring_Config'!$A:$A,'Scoring_Config'!$D:$D,"Yes")="Yes",_xlfn.XLOOKUP("Migrate_Insecure",'Scoring_Config'!$A:$A,'Scoring_Config'!$C:$C,15),0),0)+IF(LEFT(AY276,4)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276,FIND(",",AP276)+1,100)),0)+IF(LEFT(AQ276,4)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276,FIND(",",AR276)+1,100)),0)+IF(_xlfn.XLOOKUP("Profile_Scoring",'Scoring_Config'!$A:$A,'Scoring_Config'!$D:$D,"Yes")="Yes",VALUE(MID(AS276,FIND(",",AS276)+1,100)),0)+IF(_xlfn.XLOOKUP("Options_Scoring",'Scoring_Config'!$A:$A,'Scoring_Config'!$D:$D,"Yes")="Yes",VALUE(MID(AT276,FIND(",",AT276)+1,100)),0)))</f>
        <v>0</v>
      </c>
    </row>
    <row r="277" spans="1:52">
      <c r="A277" s="3" t="s">
        <v>54</v>
      </c>
      <c r="B277" s="3" t="s">
        <v>245</v>
      </c>
      <c r="C277" s="3" t="s">
        <v>331</v>
      </c>
      <c r="D277" s="3" t="s">
        <v>348</v>
      </c>
      <c r="E277" s="3" t="s">
        <v>359</v>
      </c>
      <c r="F277" s="3" t="s">
        <v>364</v>
      </c>
      <c r="G277" s="3" t="s">
        <v>471</v>
      </c>
      <c r="H277" s="3" t="s">
        <v>592</v>
      </c>
      <c r="I277" s="3" t="s">
        <v>365</v>
      </c>
      <c r="J277" s="3" t="s">
        <v>363</v>
      </c>
      <c r="K277" s="3" t="s">
        <v>470</v>
      </c>
      <c r="L277" s="3" t="s">
        <v>591</v>
      </c>
      <c r="M277" s="3" t="s">
        <v>784</v>
      </c>
      <c r="N277" s="3" t="s">
        <v>800</v>
      </c>
      <c r="O277" s="4" t="s">
        <v>816</v>
      </c>
      <c r="P277" s="3" t="s">
        <v>877</v>
      </c>
      <c r="Q277" s="3" t="s">
        <v>904</v>
      </c>
      <c r="R277" s="3" t="s">
        <v>908</v>
      </c>
      <c r="S277" s="3" t="s">
        <v>913</v>
      </c>
      <c r="T277" s="3"/>
      <c r="U277" s="3" t="s">
        <v>1290</v>
      </c>
      <c r="V277" s="3" t="s">
        <v>1387</v>
      </c>
      <c r="W277" s="3" t="s">
        <v>1416</v>
      </c>
      <c r="X277" s="3" t="s">
        <v>1881</v>
      </c>
      <c r="Y277" s="3" t="s">
        <v>2350</v>
      </c>
      <c r="Z277" s="3"/>
      <c r="AA277" s="3" t="s">
        <v>919</v>
      </c>
      <c r="AB277" s="3"/>
      <c r="AC277" s="4" cm="1">
        <f t="array" ref="AC277">IF(FALSE,"True," &amp; IF(_xlfn.XLOOKUP("Src_IsAny",'Scoring_Config'!$A:$A,'Scoring_Config'!$D:$D,"Yes")="Yes",_xlfn.XLOOKUP("Src_IsAny",'Scoring_Config'!$A:$A,'Scoring_Config'!$C:$C,25),0),"False,0")</f>
        <v>0</v>
      </c>
      <c r="AD277" s="4" cm="1">
        <f t="array" ref="AD277">IF(FALSE,"True," &amp; IF(_xlfn.XLOOKUP("Src_CIDR_Le_16",'Scoring_Config'!$A:$A,'Scoring_Config'!$D:$D,"Yes")="Yes",_xlfn.XLOOKUP("Src_CIDR_Le_16",'Scoring_Config'!$A:$A,'Scoring_Config'!$C:$C,25),0),"False,0")</f>
        <v>0</v>
      </c>
      <c r="AE277" s="4" cm="1">
        <f t="array" ref="AE277">IF(FALSE,"True," &amp; IF(_xlfn.XLOOKUP("Src_CIDR_17_22",'Scoring_Config'!$A:$A,'Scoring_Config'!$D:$D,"Yes")="Yes",_xlfn.XLOOKUP("Src_CIDR_17_22",'Scoring_Config'!$A:$A,'Scoring_Config'!$C:$C,15),0),"False,0")</f>
        <v>0</v>
      </c>
      <c r="AF277" s="4" cm="1">
        <f t="array" ref="AF277">IF(FALSE,"True," &amp; IF(_xlfn.XLOOKUP("Dst_IsAny",'Scoring_Config'!$A:$A,'Scoring_Config'!$D:$D,"Yes")="Yes",_xlfn.XLOOKUP("Dst_IsAny",'Scoring_Config'!$A:$A,'Scoring_Config'!$C:$C,25),0),"False,0")</f>
        <v>0</v>
      </c>
      <c r="AG277" s="5" cm="1">
        <f t="array" ref="AG277">IF(TRUE,"True," &amp; IF(_xlfn.XLOOKUP("Dst_CIDR_Le_16",'Scoring_Config'!$A:$A,'Scoring_Config'!$D:$D,"Yes")="Yes",_xlfn.XLOOKUP("Dst_CIDR_Le_16",'Scoring_Config'!$A:$A,'Scoring_Config'!$C:$C,25),0),"False,0")</f>
        <v>0</v>
      </c>
      <c r="AH277" s="4" cm="1">
        <f t="array" ref="AH277">IF(FALSE,"True," &amp; IF(_xlfn.XLOOKUP("Dst_CIDR_17_22",'Scoring_Config'!$A:$A,'Scoring_Config'!$D:$D,"Yes")="Yes",_xlfn.XLOOKUP("Dst_CIDR_17_22",'Scoring_Config'!$A:$A,'Scoring_Config'!$C:$C,15),0),"False,0")</f>
        <v>0</v>
      </c>
      <c r="AI277" s="4" cm="1">
        <f t="array" ref="AI277">IF(FALSE,"True," &amp; IF(_xlfn.XLOOKUP("SrcZone_IsAny",'Scoring_Config'!$A:$A,'Scoring_Config'!$D:$D,"Yes")="Yes",_xlfn.XLOOKUP("SrcZone_IsAny",'Scoring_Config'!$A:$A,'Scoring_Config'!$C:$C,5),0),"False,0")</f>
        <v>0</v>
      </c>
      <c r="AJ277" s="4" cm="1">
        <f t="array" ref="AJ277">IF(FALSE,"True," &amp; IF(_xlfn.XLOOKUP("DstZone_IsAny",'Scoring_Config'!$A:$A,'Scoring_Config'!$D:$D,"Yes")="Yes",_xlfn.XLOOKUP("DstZone_IsAny",'Scoring_Config'!$A:$A,'Scoring_Config'!$C:$C,5),0),"False,0")</f>
        <v>0</v>
      </c>
      <c r="AK277" s="4" cm="1">
        <f t="array" ref="AK27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7" s="4" cm="1">
        <f t="array" ref="AL277">IF(FALSE,"True," &amp; IF(_xlfn.XLOOKUP("App_Any_OR_RangeGt1000",'Scoring_Config'!$A:$A,'Scoring_Config'!$D:$D,"Yes")="Yes",_xlfn.XLOOKUP("App_Any_OR_RangeGt1000",'Scoring_Config'!$A:$A,'Scoring_Config'!$C:$C,25),0),"False,0")</f>
        <v>0</v>
      </c>
      <c r="AM277" s="5" cm="1">
        <f t="array" ref="AM277">IF(TRUE,"True," &amp; IF(_xlfn.XLOOKUP("Service_Insecure_Match",'Scoring_Config'!$A:$A,'Scoring_Config'!$D:$D,"Yes")="Yes",_xlfn.XLOOKUP("Service_Insecure_Match",'Scoring_Config'!$A:$A,'Scoring_Config'!$C:$C,20),0),"False,0")</f>
        <v>0</v>
      </c>
      <c r="AN277" s="4" cm="1">
        <f t="array" ref="AN277">IF(FALSE,"True," &amp; IF(_xlfn.XLOOKUP("Risky_Inbound",'Scoring_Config'!$A:$A,'Scoring_Config'!$D:$D,"Yes")="Yes",_xlfn.XLOOKUP("Risky_Inbound",'Scoring_Config'!$A:$A,'Scoring_Config'!$C:$C,20),0),"False,0")</f>
        <v>0</v>
      </c>
      <c r="AO277" s="4" cm="1">
        <f t="array" ref="AO277">IF(FALSE,"True," &amp; IF(_xlfn.XLOOKUP("Risky_Outbound",'Scoring_Config'!$A:$A,'Scoring_Config'!$D:$D,"Yes")="Yes",_xlfn.XLOOKUP("Risky_Outbound",'Scoring_Config'!$A:$A,'Scoring_Config'!$C:$C,10),0),"False,0")</f>
        <v>0</v>
      </c>
      <c r="AP277" s="5" t="s">
        <v>2595</v>
      </c>
      <c r="AQ277" s="4" cm="1">
        <f t="array" ref="AQ27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7" s="4" t="s">
        <v>2592</v>
      </c>
      <c r="AS277" s="4" t="s">
        <v>2592</v>
      </c>
      <c r="AT277" s="4" t="s">
        <v>2592</v>
      </c>
      <c r="AU277" s="5" cm="1">
        <f t="array" ref="AU277">IF(TRUE,"True," &amp; IF(_xlfn.XLOOKUP("Action_IsDenyOrDrop",'Scoring_Config'!$A:$A,'Scoring_Config'!$D:$D,"Yes")="Yes",_xlfn.XLOOKUP("Action_IsDenyOrDrop",'Scoring_Config'!$A:$A,'Scoring_Config'!$C:$C,0),0),"False,0")</f>
        <v>0</v>
      </c>
      <c r="AV277" s="4"/>
      <c r="AW277" s="4" cm="1">
        <f t="array" ref="AW277">IF(FALSE,"True," &amp; IF(_xlfn.XLOOKUP("Migrate_Insecure",'Scoring_Config'!$A:$A,'Scoring_Config'!$D:$D,"Yes")="Yes",_xlfn.XLOOKUP("Migrate_Insecure",'Scoring_Config'!$A:$A,'Scoring_Config'!$C:$C,15),0),"False,0")</f>
        <v>0</v>
      </c>
      <c r="AX277" s="4"/>
      <c r="AY277" s="4" cm="1">
        <f t="array" ref="AY277">IF(FALSE,"True," &amp; IF(_xlfn.XLOOKUP("Migrate_Other_Ports",'Scoring_Config'!$A:$A,'Scoring_Config'!$D:$D,"Yes")="Yes",_xlfn.XLOOKUP("Migrate_Other_Ports",'Scoring_Config'!$A:$A,'Scoring_Config'!$C:$C,5),0),"False,0")</f>
        <v>0</v>
      </c>
      <c r="AZ277" s="4" cm="1">
        <f t="array" ref="AZ277">IF(LEFT(AU277,4)="True",0,(IF(LEFT(AC277,4)="True",IF(_xlfn.XLOOKUP("Src_IsAny",'Scoring_Config'!$A:$A,'Scoring_Config'!$D:$D,"Yes")="Yes",_xlfn.XLOOKUP("Src_IsAny",'Scoring_Config'!$A:$A,'Scoring_Config'!$C:$C,25),0),0)+IF(LEFT(AD277,4)="True",IF(_xlfn.XLOOKUP("Src_CIDR_Le_16",'Scoring_Config'!$A:$A,'Scoring_Config'!$D:$D,"Yes")="Yes",_xlfn.XLOOKUP("Src_CIDR_Le_16",'Scoring_Config'!$A:$A,'Scoring_Config'!$C:$C,25),0),0)+IF(LEFT(AE277,4)="True",IF(_xlfn.XLOOKUP("Src_CIDR_17_22",'Scoring_Config'!$A:$A,'Scoring_Config'!$D:$D,"Yes")="Yes",_xlfn.XLOOKUP("Src_CIDR_17_22",'Scoring_Config'!$A:$A,'Scoring_Config'!$C:$C,15),0),0)+IF(LEFT(AF277,4)="True",IF(_xlfn.XLOOKUP("Dst_IsAny",'Scoring_Config'!$A:$A,'Scoring_Config'!$D:$D,"Yes")="Yes",_xlfn.XLOOKUP("Dst_IsAny",'Scoring_Config'!$A:$A,'Scoring_Config'!$C:$C,25),0),0)+IF(LEFT(AG277,4)="True",IF(_xlfn.XLOOKUP("Dst_CIDR_Le_16",'Scoring_Config'!$A:$A,'Scoring_Config'!$D:$D,"Yes")="Yes",_xlfn.XLOOKUP("Dst_CIDR_Le_16",'Scoring_Config'!$A:$A,'Scoring_Config'!$C:$C,25),0),0)+IF(LEFT(AH277,4)="True",IF(_xlfn.XLOOKUP("Dst_CIDR_17_22",'Scoring_Config'!$A:$A,'Scoring_Config'!$D:$D,"Yes")="Yes",_xlfn.XLOOKUP("Dst_CIDR_17_22",'Scoring_Config'!$A:$A,'Scoring_Config'!$C:$C,15),0),0)+IF(LEFT(AI277,4)="True",IF(_xlfn.XLOOKUP("SrcZone_IsAny",'Scoring_Config'!$A:$A,'Scoring_Config'!$D:$D,"Yes")="Yes",_xlfn.XLOOKUP("SrcZone_IsAny",'Scoring_Config'!$A:$A,'Scoring_Config'!$C:$C,5),0),0)+IF(LEFT(AJ277,4)="True",IF(_xlfn.XLOOKUP("DstZone_IsAny",'Scoring_Config'!$A:$A,'Scoring_Config'!$D:$D,"Yes")="Yes",_xlfn.XLOOKUP("DstZone_IsAny",'Scoring_Config'!$A:$A,'Scoring_Config'!$C:$C,5),0),0)+IF(LEFT(AK277,4)="True",IF(_xlfn.XLOOKUP("Service_Any_OR_RangeGt1000",'Scoring_Config'!$A:$A,'Scoring_Config'!$D:$D,"Yes")="Yes",_xlfn.XLOOKUP("Service_Any_OR_RangeGt1000",'Scoring_Config'!$A:$A,'Scoring_Config'!$C:$C,25),0),0)+IF(LEFT(AL277,4)="True",IF(_xlfn.XLOOKUP("App_Any_OR_RangeGt1000",'Scoring_Config'!$A:$A,'Scoring_Config'!$D:$D,"Yes")="Yes",_xlfn.XLOOKUP("App_Any_OR_RangeGt1000",'Scoring_Config'!$A:$A,'Scoring_Config'!$C:$C,25),0),0)+IF(LEFT(AM277,4)="True",IF(_xlfn.XLOOKUP("Service_Insecure_Match",'Scoring_Config'!$A:$A,'Scoring_Config'!$D:$D,"Yes")="Yes",_xlfn.XLOOKUP("Service_Insecure_Match",'Scoring_Config'!$A:$A,'Scoring_Config'!$C:$C,20),0),0)+IF(LEFT(AN277,4)="True",IF(_xlfn.XLOOKUP("Risky_Inbound",'Scoring_Config'!$A:$A,'Scoring_Config'!$D:$D,"Yes")="Yes",_xlfn.XLOOKUP("Risky_Inbound",'Scoring_Config'!$A:$A,'Scoring_Config'!$C:$C,20),0),0)+IF(LEFT(AO277,4)="True",IF(_xlfn.XLOOKUP("Risky_Outbound",'Scoring_Config'!$A:$A,'Scoring_Config'!$D:$D,"Yes")="Yes",_xlfn.XLOOKUP("Risky_Outbound",'Scoring_Config'!$A:$A,'Scoring_Config'!$C:$C,10),0),0)+IF(LEFT(AW277,4)="True",IF(_xlfn.XLOOKUP("Migrate_Insecure",'Scoring_Config'!$A:$A,'Scoring_Config'!$D:$D,"Yes")="Yes",_xlfn.XLOOKUP("Migrate_Insecure",'Scoring_Config'!$A:$A,'Scoring_Config'!$C:$C,15),0),0)+IF(LEFT(AY277,4)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277,FIND(",",AP277)+1,100)),0)+IF(LEFT(AQ277,4)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277,FIND(",",AR277)+1,100)),0)+IF(_xlfn.XLOOKUP("Profile_Scoring",'Scoring_Config'!$A:$A,'Scoring_Config'!$D:$D,"Yes")="Yes",VALUE(MID(AS277,FIND(",",AS277)+1,100)),0)+IF(_xlfn.XLOOKUP("Options_Scoring",'Scoring_Config'!$A:$A,'Scoring_Config'!$D:$D,"Yes")="Yes",VALUE(MID(AT277,FIND(",",AT277)+1,100)),0)))</f>
        <v>0</v>
      </c>
    </row>
    <row r="278" spans="1:52">
      <c r="A278" s="3" t="s">
        <v>54</v>
      </c>
      <c r="B278" s="3" t="s">
        <v>225</v>
      </c>
      <c r="C278" s="3" t="s">
        <v>331</v>
      </c>
      <c r="D278" s="3" t="s">
        <v>349</v>
      </c>
      <c r="E278" s="3" t="s">
        <v>359</v>
      </c>
      <c r="F278" s="3" t="s">
        <v>361</v>
      </c>
      <c r="G278" s="3" t="s">
        <v>472</v>
      </c>
      <c r="H278" s="3" t="s">
        <v>472</v>
      </c>
      <c r="I278" s="3" t="s">
        <v>365</v>
      </c>
      <c r="J278" s="3" t="s">
        <v>364</v>
      </c>
      <c r="K278" s="3" t="s">
        <v>695</v>
      </c>
      <c r="L278" s="3" t="s">
        <v>695</v>
      </c>
      <c r="M278" s="3" t="s">
        <v>784</v>
      </c>
      <c r="N278" s="3" t="s">
        <v>800</v>
      </c>
      <c r="O278" s="4" t="s">
        <v>812</v>
      </c>
      <c r="P278" s="3" t="s">
        <v>873</v>
      </c>
      <c r="Q278" s="3" t="s">
        <v>905</v>
      </c>
      <c r="R278" s="3" t="s">
        <v>911</v>
      </c>
      <c r="S278" s="3" t="s">
        <v>914</v>
      </c>
      <c r="T278" s="3"/>
      <c r="U278" s="3" t="s">
        <v>1282</v>
      </c>
      <c r="V278" s="3" t="s">
        <v>1389</v>
      </c>
      <c r="W278" s="3" t="s">
        <v>1399</v>
      </c>
      <c r="X278" s="3" t="s">
        <v>1882</v>
      </c>
      <c r="Y278" s="3" t="s">
        <v>2351</v>
      </c>
      <c r="Z278" s="3"/>
      <c r="AA278" s="3" t="s">
        <v>2559</v>
      </c>
      <c r="AB278" s="3"/>
      <c r="AC278" s="4" cm="1">
        <f t="array" ref="AC278">IF(FALSE,"True," &amp; IF(_xlfn.XLOOKUP("Src_IsAny",'Scoring_Config'!$A:$A,'Scoring_Config'!$D:$D,"Yes")="Yes",_xlfn.XLOOKUP("Src_IsAny",'Scoring_Config'!$A:$A,'Scoring_Config'!$C:$C,25),0),"False,0")</f>
        <v>0</v>
      </c>
      <c r="AD278" s="4" cm="1">
        <f t="array" ref="AD278">IF(FALSE,"True," &amp; IF(_xlfn.XLOOKUP("Src_CIDR_Le_16",'Scoring_Config'!$A:$A,'Scoring_Config'!$D:$D,"Yes")="Yes",_xlfn.XLOOKUP("Src_CIDR_Le_16",'Scoring_Config'!$A:$A,'Scoring_Config'!$C:$C,25),0),"False,0")</f>
        <v>0</v>
      </c>
      <c r="AE278" s="4" cm="1">
        <f t="array" ref="AE278">IF(FALSE,"True," &amp; IF(_xlfn.XLOOKUP("Src_CIDR_17_22",'Scoring_Config'!$A:$A,'Scoring_Config'!$D:$D,"Yes")="Yes",_xlfn.XLOOKUP("Src_CIDR_17_22",'Scoring_Config'!$A:$A,'Scoring_Config'!$C:$C,15),0),"False,0")</f>
        <v>0</v>
      </c>
      <c r="AF278" s="4" cm="1">
        <f t="array" ref="AF278">IF(FALSE,"True," &amp; IF(_xlfn.XLOOKUP("Dst_IsAny",'Scoring_Config'!$A:$A,'Scoring_Config'!$D:$D,"Yes")="Yes",_xlfn.XLOOKUP("Dst_IsAny",'Scoring_Config'!$A:$A,'Scoring_Config'!$C:$C,25),0),"False,0")</f>
        <v>0</v>
      </c>
      <c r="AG278" s="4" cm="1">
        <f t="array" ref="AG278">IF(FALSE,"True," &amp; IF(_xlfn.XLOOKUP("Dst_CIDR_Le_16",'Scoring_Config'!$A:$A,'Scoring_Config'!$D:$D,"Yes")="Yes",_xlfn.XLOOKUP("Dst_CIDR_Le_16",'Scoring_Config'!$A:$A,'Scoring_Config'!$C:$C,25),0),"False,0")</f>
        <v>0</v>
      </c>
      <c r="AH278" s="4" cm="1">
        <f t="array" ref="AH278">IF(FALSE,"True," &amp; IF(_xlfn.XLOOKUP("Dst_CIDR_17_22",'Scoring_Config'!$A:$A,'Scoring_Config'!$D:$D,"Yes")="Yes",_xlfn.XLOOKUP("Dst_CIDR_17_22",'Scoring_Config'!$A:$A,'Scoring_Config'!$C:$C,15),0),"False,0")</f>
        <v>0</v>
      </c>
      <c r="AI278" s="4" cm="1">
        <f t="array" ref="AI278">IF(FALSE,"True," &amp; IF(_xlfn.XLOOKUP("SrcZone_IsAny",'Scoring_Config'!$A:$A,'Scoring_Config'!$D:$D,"Yes")="Yes",_xlfn.XLOOKUP("SrcZone_IsAny",'Scoring_Config'!$A:$A,'Scoring_Config'!$C:$C,5),0),"False,0")</f>
        <v>0</v>
      </c>
      <c r="AJ278" s="4" cm="1">
        <f t="array" ref="AJ278">IF(FALSE,"True," &amp; IF(_xlfn.XLOOKUP("DstZone_IsAny",'Scoring_Config'!$A:$A,'Scoring_Config'!$D:$D,"Yes")="Yes",_xlfn.XLOOKUP("DstZone_IsAny",'Scoring_Config'!$A:$A,'Scoring_Config'!$C:$C,5),0),"False,0")</f>
        <v>0</v>
      </c>
      <c r="AK278" s="4" cm="1">
        <f t="array" ref="AK27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8" s="4" cm="1">
        <f t="array" ref="AL278">IF(FALSE,"True," &amp; IF(_xlfn.XLOOKUP("App_Any_OR_RangeGt1000",'Scoring_Config'!$A:$A,'Scoring_Config'!$D:$D,"Yes")="Yes",_xlfn.XLOOKUP("App_Any_OR_RangeGt1000",'Scoring_Config'!$A:$A,'Scoring_Config'!$C:$C,25),0),"False,0")</f>
        <v>0</v>
      </c>
      <c r="AM278" s="4" cm="1">
        <f t="array" ref="AM278">IF(FALSE,"True," &amp; IF(_xlfn.XLOOKUP("Service_Insecure_Match",'Scoring_Config'!$A:$A,'Scoring_Config'!$D:$D,"Yes")="Yes",_xlfn.XLOOKUP("Service_Insecure_Match",'Scoring_Config'!$A:$A,'Scoring_Config'!$C:$C,20),0),"False,0")</f>
        <v>0</v>
      </c>
      <c r="AN278" s="4" cm="1">
        <f t="array" ref="AN278">IF(FALSE,"True," &amp; IF(_xlfn.XLOOKUP("Risky_Inbound",'Scoring_Config'!$A:$A,'Scoring_Config'!$D:$D,"Yes")="Yes",_xlfn.XLOOKUP("Risky_Inbound",'Scoring_Config'!$A:$A,'Scoring_Config'!$C:$C,20),0),"False,0")</f>
        <v>0</v>
      </c>
      <c r="AO278" s="4" cm="1">
        <f t="array" ref="AO278">IF(FALSE,"True," &amp; IF(_xlfn.XLOOKUP("Risky_Outbound",'Scoring_Config'!$A:$A,'Scoring_Config'!$D:$D,"Yes")="Yes",_xlfn.XLOOKUP("Risky_Outbound",'Scoring_Config'!$A:$A,'Scoring_Config'!$C:$C,10),0),"False,0")</f>
        <v>0</v>
      </c>
      <c r="AP278" s="5" t="s">
        <v>2595</v>
      </c>
      <c r="AQ278" s="5" cm="1">
        <f t="array" ref="AQ27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8" s="4" t="s">
        <v>2592</v>
      </c>
      <c r="AS278" s="4" t="s">
        <v>2592</v>
      </c>
      <c r="AT278" s="4" t="s">
        <v>2592</v>
      </c>
      <c r="AU278" s="4" cm="1">
        <f t="array" ref="AU278">IF(FALSE,"True," &amp; IF(_xlfn.XLOOKUP("Action_IsDenyOrDrop",'Scoring_Config'!$A:$A,'Scoring_Config'!$D:$D,"Yes")="Yes",_xlfn.XLOOKUP("Action_IsDenyOrDrop",'Scoring_Config'!$A:$A,'Scoring_Config'!$C:$C,0),0),"False,0")</f>
        <v>0</v>
      </c>
      <c r="AV278" s="4"/>
      <c r="AW278" s="4" cm="1">
        <f t="array" ref="AW278">IF(FALSE,"True," &amp; IF(_xlfn.XLOOKUP("Migrate_Insecure",'Scoring_Config'!$A:$A,'Scoring_Config'!$D:$D,"Yes")="Yes",_xlfn.XLOOKUP("Migrate_Insecure",'Scoring_Config'!$A:$A,'Scoring_Config'!$C:$C,15),0),"False,0")</f>
        <v>0</v>
      </c>
      <c r="AX278" s="4"/>
      <c r="AY278" s="4" cm="1">
        <f t="array" ref="AY278">IF(FALSE,"True," &amp; IF(_xlfn.XLOOKUP("Migrate_Other_Ports",'Scoring_Config'!$A:$A,'Scoring_Config'!$D:$D,"Yes")="Yes",_xlfn.XLOOKUP("Migrate_Other_Ports",'Scoring_Config'!$A:$A,'Scoring_Config'!$C:$C,5),0),"False,0")</f>
        <v>0</v>
      </c>
      <c r="AZ278" s="4" cm="1">
        <f t="array" ref="AZ278">IF(LEFT(AU278,4)="True",0,(IF(LEFT(AC278,4)="True",IF(_xlfn.XLOOKUP("Src_IsAny",'Scoring_Config'!$A:$A,'Scoring_Config'!$D:$D,"Yes")="Yes",_xlfn.XLOOKUP("Src_IsAny",'Scoring_Config'!$A:$A,'Scoring_Config'!$C:$C,25),0),0)+IF(LEFT(AD278,4)="True",IF(_xlfn.XLOOKUP("Src_CIDR_Le_16",'Scoring_Config'!$A:$A,'Scoring_Config'!$D:$D,"Yes")="Yes",_xlfn.XLOOKUP("Src_CIDR_Le_16",'Scoring_Config'!$A:$A,'Scoring_Config'!$C:$C,25),0),0)+IF(LEFT(AE278,4)="True",IF(_xlfn.XLOOKUP("Src_CIDR_17_22",'Scoring_Config'!$A:$A,'Scoring_Config'!$D:$D,"Yes")="Yes",_xlfn.XLOOKUP("Src_CIDR_17_22",'Scoring_Config'!$A:$A,'Scoring_Config'!$C:$C,15),0),0)+IF(LEFT(AF278,4)="True",IF(_xlfn.XLOOKUP("Dst_IsAny",'Scoring_Config'!$A:$A,'Scoring_Config'!$D:$D,"Yes")="Yes",_xlfn.XLOOKUP("Dst_IsAny",'Scoring_Config'!$A:$A,'Scoring_Config'!$C:$C,25),0),0)+IF(LEFT(AG278,4)="True",IF(_xlfn.XLOOKUP("Dst_CIDR_Le_16",'Scoring_Config'!$A:$A,'Scoring_Config'!$D:$D,"Yes")="Yes",_xlfn.XLOOKUP("Dst_CIDR_Le_16",'Scoring_Config'!$A:$A,'Scoring_Config'!$C:$C,25),0),0)+IF(LEFT(AH278,4)="True",IF(_xlfn.XLOOKUP("Dst_CIDR_17_22",'Scoring_Config'!$A:$A,'Scoring_Config'!$D:$D,"Yes")="Yes",_xlfn.XLOOKUP("Dst_CIDR_17_22",'Scoring_Config'!$A:$A,'Scoring_Config'!$C:$C,15),0),0)+IF(LEFT(AI278,4)="True",IF(_xlfn.XLOOKUP("SrcZone_IsAny",'Scoring_Config'!$A:$A,'Scoring_Config'!$D:$D,"Yes")="Yes",_xlfn.XLOOKUP("SrcZone_IsAny",'Scoring_Config'!$A:$A,'Scoring_Config'!$C:$C,5),0),0)+IF(LEFT(AJ278,4)="True",IF(_xlfn.XLOOKUP("DstZone_IsAny",'Scoring_Config'!$A:$A,'Scoring_Config'!$D:$D,"Yes")="Yes",_xlfn.XLOOKUP("DstZone_IsAny",'Scoring_Config'!$A:$A,'Scoring_Config'!$C:$C,5),0),0)+IF(LEFT(AK278,4)="True",IF(_xlfn.XLOOKUP("Service_Any_OR_RangeGt1000",'Scoring_Config'!$A:$A,'Scoring_Config'!$D:$D,"Yes")="Yes",_xlfn.XLOOKUP("Service_Any_OR_RangeGt1000",'Scoring_Config'!$A:$A,'Scoring_Config'!$C:$C,25),0),0)+IF(LEFT(AL278,4)="True",IF(_xlfn.XLOOKUP("App_Any_OR_RangeGt1000",'Scoring_Config'!$A:$A,'Scoring_Config'!$D:$D,"Yes")="Yes",_xlfn.XLOOKUP("App_Any_OR_RangeGt1000",'Scoring_Config'!$A:$A,'Scoring_Config'!$C:$C,25),0),0)+IF(LEFT(AM278,4)="True",IF(_xlfn.XLOOKUP("Service_Insecure_Match",'Scoring_Config'!$A:$A,'Scoring_Config'!$D:$D,"Yes")="Yes",_xlfn.XLOOKUP("Service_Insecure_Match",'Scoring_Config'!$A:$A,'Scoring_Config'!$C:$C,20),0),0)+IF(LEFT(AN278,4)="True",IF(_xlfn.XLOOKUP("Risky_Inbound",'Scoring_Config'!$A:$A,'Scoring_Config'!$D:$D,"Yes")="Yes",_xlfn.XLOOKUP("Risky_Inbound",'Scoring_Config'!$A:$A,'Scoring_Config'!$C:$C,20),0),0)+IF(LEFT(AO278,4)="True",IF(_xlfn.XLOOKUP("Risky_Outbound",'Scoring_Config'!$A:$A,'Scoring_Config'!$D:$D,"Yes")="Yes",_xlfn.XLOOKUP("Risky_Outbound",'Scoring_Config'!$A:$A,'Scoring_Config'!$C:$C,10),0),0)+IF(LEFT(AW278,4)="True",IF(_xlfn.XLOOKUP("Migrate_Insecure",'Scoring_Config'!$A:$A,'Scoring_Config'!$D:$D,"Yes")="Yes",_xlfn.XLOOKUP("Migrate_Insecure",'Scoring_Config'!$A:$A,'Scoring_Config'!$C:$C,15),0),0)+IF(LEFT(AY278,4)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278,FIND(",",AP278)+1,100)),0)+IF(LEFT(AQ278,4)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278,FIND(",",AR278)+1,100)),0)+IF(_xlfn.XLOOKUP("Profile_Scoring",'Scoring_Config'!$A:$A,'Scoring_Config'!$D:$D,"Yes")="Yes",VALUE(MID(AS278,FIND(",",AS278)+1,100)),0)+IF(_xlfn.XLOOKUP("Options_Scoring",'Scoring_Config'!$A:$A,'Scoring_Config'!$D:$D,"Yes")="Yes",VALUE(MID(AT278,FIND(",",AT278)+1,100)),0)))</f>
        <v>0</v>
      </c>
    </row>
    <row r="279" spans="1:52">
      <c r="A279" s="3" t="s">
        <v>54</v>
      </c>
      <c r="B279" s="3" t="s">
        <v>141</v>
      </c>
      <c r="C279" s="3" t="s">
        <v>331</v>
      </c>
      <c r="D279" s="3" t="s">
        <v>348</v>
      </c>
      <c r="E279" s="3" t="s">
        <v>359</v>
      </c>
      <c r="F279" s="3" t="s">
        <v>362</v>
      </c>
      <c r="G279" s="3" t="s">
        <v>473</v>
      </c>
      <c r="H279" s="3" t="s">
        <v>473</v>
      </c>
      <c r="I279" s="3" t="s">
        <v>623</v>
      </c>
      <c r="J279" s="3" t="s">
        <v>363</v>
      </c>
      <c r="K279" s="3" t="s">
        <v>701</v>
      </c>
      <c r="L279" s="3" t="s">
        <v>701</v>
      </c>
      <c r="M279" s="3" t="s">
        <v>365</v>
      </c>
      <c r="N279" s="3" t="s">
        <v>365</v>
      </c>
      <c r="O279" s="4" t="s">
        <v>801</v>
      </c>
      <c r="P279" s="3" t="s">
        <v>862</v>
      </c>
      <c r="Q279" s="3" t="s">
        <v>905</v>
      </c>
      <c r="R279" s="3" t="s">
        <v>911</v>
      </c>
      <c r="S279" s="3" t="s">
        <v>914</v>
      </c>
      <c r="T279" s="3"/>
      <c r="U279" s="3" t="s">
        <v>1268</v>
      </c>
      <c r="V279" s="3" t="s">
        <v>772</v>
      </c>
      <c r="W279" s="3" t="s">
        <v>1541</v>
      </c>
      <c r="X279" s="3" t="s">
        <v>1883</v>
      </c>
      <c r="Y279" s="3" t="s">
        <v>2352</v>
      </c>
      <c r="Z279" s="3"/>
      <c r="AA279" s="3" t="s">
        <v>2560</v>
      </c>
      <c r="AB279" s="3"/>
      <c r="AC279" s="4" cm="1">
        <f t="array" ref="AC279">IF(FALSE,"True," &amp; IF(_xlfn.XLOOKUP("Src_IsAny",'Scoring_Config'!$A:$A,'Scoring_Config'!$D:$D,"Yes")="Yes",_xlfn.XLOOKUP("Src_IsAny",'Scoring_Config'!$A:$A,'Scoring_Config'!$C:$C,25),0),"False,0")</f>
        <v>0</v>
      </c>
      <c r="AD279" s="4" cm="1">
        <f t="array" ref="AD279">IF(FALSE,"True," &amp; IF(_xlfn.XLOOKUP("Src_CIDR_Le_16",'Scoring_Config'!$A:$A,'Scoring_Config'!$D:$D,"Yes")="Yes",_xlfn.XLOOKUP("Src_CIDR_Le_16",'Scoring_Config'!$A:$A,'Scoring_Config'!$C:$C,25),0),"False,0")</f>
        <v>0</v>
      </c>
      <c r="AE279" s="4" cm="1">
        <f t="array" ref="AE279">IF(FALSE,"True," &amp; IF(_xlfn.XLOOKUP("Src_CIDR_17_22",'Scoring_Config'!$A:$A,'Scoring_Config'!$D:$D,"Yes")="Yes",_xlfn.XLOOKUP("Src_CIDR_17_22",'Scoring_Config'!$A:$A,'Scoring_Config'!$C:$C,15),0),"False,0")</f>
        <v>0</v>
      </c>
      <c r="AF279" s="4" cm="1">
        <f t="array" ref="AF279">IF(FALSE,"True," &amp; IF(_xlfn.XLOOKUP("Dst_IsAny",'Scoring_Config'!$A:$A,'Scoring_Config'!$D:$D,"Yes")="Yes",_xlfn.XLOOKUP("Dst_IsAny",'Scoring_Config'!$A:$A,'Scoring_Config'!$C:$C,25),0),"False,0")</f>
        <v>0</v>
      </c>
      <c r="AG279" s="5" cm="1">
        <f t="array" ref="AG279">IF(TRUE,"True," &amp; IF(_xlfn.XLOOKUP("Dst_CIDR_Le_16",'Scoring_Config'!$A:$A,'Scoring_Config'!$D:$D,"Yes")="Yes",_xlfn.XLOOKUP("Dst_CIDR_Le_16",'Scoring_Config'!$A:$A,'Scoring_Config'!$C:$C,25),0),"False,0")</f>
        <v>0</v>
      </c>
      <c r="AH279" s="4" cm="1">
        <f t="array" ref="AH279">IF(FALSE,"True," &amp; IF(_xlfn.XLOOKUP("Dst_CIDR_17_22",'Scoring_Config'!$A:$A,'Scoring_Config'!$D:$D,"Yes")="Yes",_xlfn.XLOOKUP("Dst_CIDR_17_22",'Scoring_Config'!$A:$A,'Scoring_Config'!$C:$C,15),0),"False,0")</f>
        <v>0</v>
      </c>
      <c r="AI279" s="4" cm="1">
        <f t="array" ref="AI279">IF(FALSE,"True," &amp; IF(_xlfn.XLOOKUP("SrcZone_IsAny",'Scoring_Config'!$A:$A,'Scoring_Config'!$D:$D,"Yes")="Yes",_xlfn.XLOOKUP("SrcZone_IsAny",'Scoring_Config'!$A:$A,'Scoring_Config'!$C:$C,5),0),"False,0")</f>
        <v>0</v>
      </c>
      <c r="AJ279" s="4" cm="1">
        <f t="array" ref="AJ279">IF(FALSE,"True," &amp; IF(_xlfn.XLOOKUP("DstZone_IsAny",'Scoring_Config'!$A:$A,'Scoring_Config'!$D:$D,"Yes")="Yes",_xlfn.XLOOKUP("DstZone_IsAny",'Scoring_Config'!$A:$A,'Scoring_Config'!$C:$C,5),0),"False,0")</f>
        <v>0</v>
      </c>
      <c r="AK279" s="4" cm="1">
        <f t="array" ref="AK27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79" s="5" cm="1">
        <f t="array" ref="AL279">IF(TRUE,"True," &amp; IF(_xlfn.XLOOKUP("App_Any_OR_RangeGt1000",'Scoring_Config'!$A:$A,'Scoring_Config'!$D:$D,"Yes")="Yes",_xlfn.XLOOKUP("App_Any_OR_RangeGt1000",'Scoring_Config'!$A:$A,'Scoring_Config'!$C:$C,25),0),"False,0")</f>
        <v>0</v>
      </c>
      <c r="AM279" s="5" cm="1">
        <f t="array" ref="AM279">IF(TRUE,"True," &amp; IF(_xlfn.XLOOKUP("Service_Insecure_Match",'Scoring_Config'!$A:$A,'Scoring_Config'!$D:$D,"Yes")="Yes",_xlfn.XLOOKUP("Service_Insecure_Match",'Scoring_Config'!$A:$A,'Scoring_Config'!$C:$C,20),0),"False,0")</f>
        <v>0</v>
      </c>
      <c r="AN279" s="4" cm="1">
        <f t="array" ref="AN279">IF(FALSE,"True," &amp; IF(_xlfn.XLOOKUP("Risky_Inbound",'Scoring_Config'!$A:$A,'Scoring_Config'!$D:$D,"Yes")="Yes",_xlfn.XLOOKUP("Risky_Inbound",'Scoring_Config'!$A:$A,'Scoring_Config'!$C:$C,20),0),"False,0")</f>
        <v>0</v>
      </c>
      <c r="AO279" s="4" cm="1">
        <f t="array" ref="AO279">IF(FALSE,"True," &amp; IF(_xlfn.XLOOKUP("Risky_Outbound",'Scoring_Config'!$A:$A,'Scoring_Config'!$D:$D,"Yes")="Yes",_xlfn.XLOOKUP("Risky_Outbound",'Scoring_Config'!$A:$A,'Scoring_Config'!$C:$C,10),0),"False,0")</f>
        <v>0</v>
      </c>
      <c r="AP279" s="5" t="s">
        <v>2595</v>
      </c>
      <c r="AQ279" s="5" cm="1">
        <f t="array" ref="AQ27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79" s="5" t="s">
        <v>2598</v>
      </c>
      <c r="AS279" s="4" t="s">
        <v>2592</v>
      </c>
      <c r="AT279" s="4" t="s">
        <v>2592</v>
      </c>
      <c r="AU279" s="4" cm="1">
        <f t="array" ref="AU279">IF(FALSE,"True," &amp; IF(_xlfn.XLOOKUP("Action_IsDenyOrDrop",'Scoring_Config'!$A:$A,'Scoring_Config'!$D:$D,"Yes")="Yes",_xlfn.XLOOKUP("Action_IsDenyOrDrop",'Scoring_Config'!$A:$A,'Scoring_Config'!$C:$C,0),0),"False,0")</f>
        <v>0</v>
      </c>
      <c r="AV279" s="4"/>
      <c r="AW279" s="4" cm="1">
        <f t="array" ref="AW279">IF(FALSE,"True," &amp; IF(_xlfn.XLOOKUP("Migrate_Insecure",'Scoring_Config'!$A:$A,'Scoring_Config'!$D:$D,"Yes")="Yes",_xlfn.XLOOKUP("Migrate_Insecure",'Scoring_Config'!$A:$A,'Scoring_Config'!$C:$C,15),0),"False,0")</f>
        <v>0</v>
      </c>
      <c r="AX279" s="4"/>
      <c r="AY279" s="4" cm="1">
        <f t="array" ref="AY279">IF(FALSE,"True," &amp; IF(_xlfn.XLOOKUP("Migrate_Other_Ports",'Scoring_Config'!$A:$A,'Scoring_Config'!$D:$D,"Yes")="Yes",_xlfn.XLOOKUP("Migrate_Other_Ports",'Scoring_Config'!$A:$A,'Scoring_Config'!$C:$C,5),0),"False,0")</f>
        <v>0</v>
      </c>
      <c r="AZ279" s="4" cm="1">
        <f t="array" ref="AZ279">IF(LEFT(AU279,4)="True",0,(IF(LEFT(AC279,4)="True",IF(_xlfn.XLOOKUP("Src_IsAny",'Scoring_Config'!$A:$A,'Scoring_Config'!$D:$D,"Yes")="Yes",_xlfn.XLOOKUP("Src_IsAny",'Scoring_Config'!$A:$A,'Scoring_Config'!$C:$C,25),0),0)+IF(LEFT(AD279,4)="True",IF(_xlfn.XLOOKUP("Src_CIDR_Le_16",'Scoring_Config'!$A:$A,'Scoring_Config'!$D:$D,"Yes")="Yes",_xlfn.XLOOKUP("Src_CIDR_Le_16",'Scoring_Config'!$A:$A,'Scoring_Config'!$C:$C,25),0),0)+IF(LEFT(AE279,4)="True",IF(_xlfn.XLOOKUP("Src_CIDR_17_22",'Scoring_Config'!$A:$A,'Scoring_Config'!$D:$D,"Yes")="Yes",_xlfn.XLOOKUP("Src_CIDR_17_22",'Scoring_Config'!$A:$A,'Scoring_Config'!$C:$C,15),0),0)+IF(LEFT(AF279,4)="True",IF(_xlfn.XLOOKUP("Dst_IsAny",'Scoring_Config'!$A:$A,'Scoring_Config'!$D:$D,"Yes")="Yes",_xlfn.XLOOKUP("Dst_IsAny",'Scoring_Config'!$A:$A,'Scoring_Config'!$C:$C,25),0),0)+IF(LEFT(AG279,4)="True",IF(_xlfn.XLOOKUP("Dst_CIDR_Le_16",'Scoring_Config'!$A:$A,'Scoring_Config'!$D:$D,"Yes")="Yes",_xlfn.XLOOKUP("Dst_CIDR_Le_16",'Scoring_Config'!$A:$A,'Scoring_Config'!$C:$C,25),0),0)+IF(LEFT(AH279,4)="True",IF(_xlfn.XLOOKUP("Dst_CIDR_17_22",'Scoring_Config'!$A:$A,'Scoring_Config'!$D:$D,"Yes")="Yes",_xlfn.XLOOKUP("Dst_CIDR_17_22",'Scoring_Config'!$A:$A,'Scoring_Config'!$C:$C,15),0),0)+IF(LEFT(AI279,4)="True",IF(_xlfn.XLOOKUP("SrcZone_IsAny",'Scoring_Config'!$A:$A,'Scoring_Config'!$D:$D,"Yes")="Yes",_xlfn.XLOOKUP("SrcZone_IsAny",'Scoring_Config'!$A:$A,'Scoring_Config'!$C:$C,5),0),0)+IF(LEFT(AJ279,4)="True",IF(_xlfn.XLOOKUP("DstZone_IsAny",'Scoring_Config'!$A:$A,'Scoring_Config'!$D:$D,"Yes")="Yes",_xlfn.XLOOKUP("DstZone_IsAny",'Scoring_Config'!$A:$A,'Scoring_Config'!$C:$C,5),0),0)+IF(LEFT(AK279,4)="True",IF(_xlfn.XLOOKUP("Service_Any_OR_RangeGt1000",'Scoring_Config'!$A:$A,'Scoring_Config'!$D:$D,"Yes")="Yes",_xlfn.XLOOKUP("Service_Any_OR_RangeGt1000",'Scoring_Config'!$A:$A,'Scoring_Config'!$C:$C,25),0),0)+IF(LEFT(AL279,4)="True",IF(_xlfn.XLOOKUP("App_Any_OR_RangeGt1000",'Scoring_Config'!$A:$A,'Scoring_Config'!$D:$D,"Yes")="Yes",_xlfn.XLOOKUP("App_Any_OR_RangeGt1000",'Scoring_Config'!$A:$A,'Scoring_Config'!$C:$C,25),0),0)+IF(LEFT(AM279,4)="True",IF(_xlfn.XLOOKUP("Service_Insecure_Match",'Scoring_Config'!$A:$A,'Scoring_Config'!$D:$D,"Yes")="Yes",_xlfn.XLOOKUP("Service_Insecure_Match",'Scoring_Config'!$A:$A,'Scoring_Config'!$C:$C,20),0),0)+IF(LEFT(AN279,4)="True",IF(_xlfn.XLOOKUP("Risky_Inbound",'Scoring_Config'!$A:$A,'Scoring_Config'!$D:$D,"Yes")="Yes",_xlfn.XLOOKUP("Risky_Inbound",'Scoring_Config'!$A:$A,'Scoring_Config'!$C:$C,20),0),0)+IF(LEFT(AO279,4)="True",IF(_xlfn.XLOOKUP("Risky_Outbound",'Scoring_Config'!$A:$A,'Scoring_Config'!$D:$D,"Yes")="Yes",_xlfn.XLOOKUP("Risky_Outbound",'Scoring_Config'!$A:$A,'Scoring_Config'!$C:$C,10),0),0)+IF(LEFT(AW279,4)="True",IF(_xlfn.XLOOKUP("Migrate_Insecure",'Scoring_Config'!$A:$A,'Scoring_Config'!$D:$D,"Yes")="Yes",_xlfn.XLOOKUP("Migrate_Insecure",'Scoring_Config'!$A:$A,'Scoring_Config'!$C:$C,15),0),0)+IF(LEFT(AY279,4)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279,FIND(",",AP279)+1,100)),0)+IF(LEFT(AQ279,4)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279,FIND(",",AR279)+1,100)),0)+IF(_xlfn.XLOOKUP("Profile_Scoring",'Scoring_Config'!$A:$A,'Scoring_Config'!$D:$D,"Yes")="Yes",VALUE(MID(AS279,FIND(",",AS279)+1,100)),0)+IF(_xlfn.XLOOKUP("Options_Scoring",'Scoring_Config'!$A:$A,'Scoring_Config'!$D:$D,"Yes")="Yes",VALUE(MID(AT279,FIND(",",AT279)+1,100)),0)))</f>
        <v>0</v>
      </c>
    </row>
    <row r="280" spans="1:52">
      <c r="A280" s="3" t="s">
        <v>54</v>
      </c>
      <c r="B280" s="3" t="s">
        <v>103</v>
      </c>
      <c r="C280" s="3" t="s">
        <v>331</v>
      </c>
      <c r="D280" s="3"/>
      <c r="E280" s="3" t="s">
        <v>359</v>
      </c>
      <c r="F280" s="3" t="s">
        <v>361</v>
      </c>
      <c r="G280" s="3" t="s">
        <v>365</v>
      </c>
      <c r="H280" s="3" t="s">
        <v>365</v>
      </c>
      <c r="I280" s="3" t="s">
        <v>622</v>
      </c>
      <c r="J280" s="3" t="s">
        <v>360</v>
      </c>
      <c r="K280" s="3" t="s">
        <v>365</v>
      </c>
      <c r="L280" s="3" t="s">
        <v>365</v>
      </c>
      <c r="M280" s="3" t="s">
        <v>365</v>
      </c>
      <c r="N280" s="3" t="s">
        <v>365</v>
      </c>
      <c r="O280" s="4" t="s">
        <v>810</v>
      </c>
      <c r="P280" s="3" t="s">
        <v>871</v>
      </c>
      <c r="Q280" s="3" t="s">
        <v>905</v>
      </c>
      <c r="R280" s="3" t="s">
        <v>907</v>
      </c>
      <c r="S280" s="3" t="s">
        <v>913</v>
      </c>
      <c r="T280" s="3"/>
      <c r="U280" s="3" t="s">
        <v>1291</v>
      </c>
      <c r="V280" s="3" t="s">
        <v>770</v>
      </c>
      <c r="W280" s="3" t="s">
        <v>1542</v>
      </c>
      <c r="X280" s="3" t="s">
        <v>1884</v>
      </c>
      <c r="Y280" s="3" t="s">
        <v>2353</v>
      </c>
      <c r="Z280" s="3"/>
      <c r="AA280" s="3" t="s">
        <v>919</v>
      </c>
      <c r="AB280" s="3"/>
      <c r="AC280" s="5" cm="1">
        <f t="array" ref="AC280">IF(TRUE,"True," &amp; IF(_xlfn.XLOOKUP("Src_IsAny",'Scoring_Config'!$A:$A,'Scoring_Config'!$D:$D,"Yes")="Yes",_xlfn.XLOOKUP("Src_IsAny",'Scoring_Config'!$A:$A,'Scoring_Config'!$C:$C,25),0),"False,0")</f>
        <v>0</v>
      </c>
      <c r="AD280" s="4" cm="1">
        <f t="array" ref="AD280">IF(FALSE,"True," &amp; IF(_xlfn.XLOOKUP("Src_CIDR_Le_16",'Scoring_Config'!$A:$A,'Scoring_Config'!$D:$D,"Yes")="Yes",_xlfn.XLOOKUP("Src_CIDR_Le_16",'Scoring_Config'!$A:$A,'Scoring_Config'!$C:$C,25),0),"False,0")</f>
        <v>0</v>
      </c>
      <c r="AE280" s="4" cm="1">
        <f t="array" ref="AE280">IF(FALSE,"True," &amp; IF(_xlfn.XLOOKUP("Src_CIDR_17_22",'Scoring_Config'!$A:$A,'Scoring_Config'!$D:$D,"Yes")="Yes",_xlfn.XLOOKUP("Src_CIDR_17_22",'Scoring_Config'!$A:$A,'Scoring_Config'!$C:$C,15),0),"False,0")</f>
        <v>0</v>
      </c>
      <c r="AF280" s="5" cm="1">
        <f t="array" ref="AF280">IF(TRUE,"True," &amp; IF(_xlfn.XLOOKUP("Dst_IsAny",'Scoring_Config'!$A:$A,'Scoring_Config'!$D:$D,"Yes")="Yes",_xlfn.XLOOKUP("Dst_IsAny",'Scoring_Config'!$A:$A,'Scoring_Config'!$C:$C,25),0),"False,0")</f>
        <v>0</v>
      </c>
      <c r="AG280" s="4" cm="1">
        <f t="array" ref="AG280">IF(FALSE,"True," &amp; IF(_xlfn.XLOOKUP("Dst_CIDR_Le_16",'Scoring_Config'!$A:$A,'Scoring_Config'!$D:$D,"Yes")="Yes",_xlfn.XLOOKUP("Dst_CIDR_Le_16",'Scoring_Config'!$A:$A,'Scoring_Config'!$C:$C,25),0),"False,0")</f>
        <v>0</v>
      </c>
      <c r="AH280" s="4" cm="1">
        <f t="array" ref="AH280">IF(FALSE,"True," &amp; IF(_xlfn.XLOOKUP("Dst_CIDR_17_22",'Scoring_Config'!$A:$A,'Scoring_Config'!$D:$D,"Yes")="Yes",_xlfn.XLOOKUP("Dst_CIDR_17_22",'Scoring_Config'!$A:$A,'Scoring_Config'!$C:$C,15),0),"False,0")</f>
        <v>0</v>
      </c>
      <c r="AI280" s="4" cm="1">
        <f t="array" ref="AI280">IF(FALSE,"True," &amp; IF(_xlfn.XLOOKUP("SrcZone_IsAny",'Scoring_Config'!$A:$A,'Scoring_Config'!$D:$D,"Yes")="Yes",_xlfn.XLOOKUP("SrcZone_IsAny",'Scoring_Config'!$A:$A,'Scoring_Config'!$C:$C,5),0),"False,0")</f>
        <v>0</v>
      </c>
      <c r="AJ280" s="4" cm="1">
        <f t="array" ref="AJ280">IF(FALSE,"True," &amp; IF(_xlfn.XLOOKUP("DstZone_IsAny",'Scoring_Config'!$A:$A,'Scoring_Config'!$D:$D,"Yes")="Yes",_xlfn.XLOOKUP("DstZone_IsAny",'Scoring_Config'!$A:$A,'Scoring_Config'!$C:$C,5),0),"False,0")</f>
        <v>0</v>
      </c>
      <c r="AK280" s="4" cm="1">
        <f t="array" ref="AK28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0" s="5" cm="1">
        <f t="array" ref="AL280">IF(TRUE,"True," &amp; IF(_xlfn.XLOOKUP("App_Any_OR_RangeGt1000",'Scoring_Config'!$A:$A,'Scoring_Config'!$D:$D,"Yes")="Yes",_xlfn.XLOOKUP("App_Any_OR_RangeGt1000",'Scoring_Config'!$A:$A,'Scoring_Config'!$C:$C,25),0),"False,0")</f>
        <v>0</v>
      </c>
      <c r="AM280" s="5" cm="1">
        <f t="array" ref="AM280">IF(TRUE,"True," &amp; IF(_xlfn.XLOOKUP("Service_Insecure_Match",'Scoring_Config'!$A:$A,'Scoring_Config'!$D:$D,"Yes")="Yes",_xlfn.XLOOKUP("Service_Insecure_Match",'Scoring_Config'!$A:$A,'Scoring_Config'!$C:$C,20),0),"False,0")</f>
        <v>0</v>
      </c>
      <c r="AN280" s="4" cm="1">
        <f t="array" ref="AN280">IF(FALSE,"True," &amp; IF(_xlfn.XLOOKUP("Risky_Inbound",'Scoring_Config'!$A:$A,'Scoring_Config'!$D:$D,"Yes")="Yes",_xlfn.XLOOKUP("Risky_Inbound",'Scoring_Config'!$A:$A,'Scoring_Config'!$C:$C,20),0),"False,0")</f>
        <v>0</v>
      </c>
      <c r="AO280" s="4" cm="1">
        <f t="array" ref="AO280">IF(FALSE,"True," &amp; IF(_xlfn.XLOOKUP("Risky_Outbound",'Scoring_Config'!$A:$A,'Scoring_Config'!$D:$D,"Yes")="Yes",_xlfn.XLOOKUP("Risky_Outbound",'Scoring_Config'!$A:$A,'Scoring_Config'!$C:$C,10),0),"False,0")</f>
        <v>0</v>
      </c>
      <c r="AP280" s="5" t="s">
        <v>2595</v>
      </c>
      <c r="AQ280" s="4" cm="1">
        <f t="array" ref="AQ28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0" s="5" t="s">
        <v>2598</v>
      </c>
      <c r="AS280" s="5" t="s">
        <v>2595</v>
      </c>
      <c r="AT280" s="4" t="s">
        <v>2592</v>
      </c>
      <c r="AU280" s="4" cm="1">
        <f t="array" ref="AU280">IF(FALSE,"True," &amp; IF(_xlfn.XLOOKUP("Action_IsDenyOrDrop",'Scoring_Config'!$A:$A,'Scoring_Config'!$D:$D,"Yes")="Yes",_xlfn.XLOOKUP("Action_IsDenyOrDrop",'Scoring_Config'!$A:$A,'Scoring_Config'!$C:$C,0),0),"False,0")</f>
        <v>0</v>
      </c>
      <c r="AV280" s="4"/>
      <c r="AW280" s="4" cm="1">
        <f t="array" ref="AW280">IF(FALSE,"True," &amp; IF(_xlfn.XLOOKUP("Migrate_Insecure",'Scoring_Config'!$A:$A,'Scoring_Config'!$D:$D,"Yes")="Yes",_xlfn.XLOOKUP("Migrate_Insecure",'Scoring_Config'!$A:$A,'Scoring_Config'!$C:$C,15),0),"False,0")</f>
        <v>0</v>
      </c>
      <c r="AX280" s="4"/>
      <c r="AY280" s="4" cm="1">
        <f t="array" ref="AY280">IF(FALSE,"True," &amp; IF(_xlfn.XLOOKUP("Migrate_Other_Ports",'Scoring_Config'!$A:$A,'Scoring_Config'!$D:$D,"Yes")="Yes",_xlfn.XLOOKUP("Migrate_Other_Ports",'Scoring_Config'!$A:$A,'Scoring_Config'!$C:$C,5),0),"False,0")</f>
        <v>0</v>
      </c>
      <c r="AZ280" s="4" cm="1">
        <f t="array" ref="AZ280">IF(LEFT(AU280,4)="True",0,(IF(LEFT(AC280,4)="True",IF(_xlfn.XLOOKUP("Src_IsAny",'Scoring_Config'!$A:$A,'Scoring_Config'!$D:$D,"Yes")="Yes",_xlfn.XLOOKUP("Src_IsAny",'Scoring_Config'!$A:$A,'Scoring_Config'!$C:$C,25),0),0)+IF(LEFT(AD280,4)="True",IF(_xlfn.XLOOKUP("Src_CIDR_Le_16",'Scoring_Config'!$A:$A,'Scoring_Config'!$D:$D,"Yes")="Yes",_xlfn.XLOOKUP("Src_CIDR_Le_16",'Scoring_Config'!$A:$A,'Scoring_Config'!$C:$C,25),0),0)+IF(LEFT(AE280,4)="True",IF(_xlfn.XLOOKUP("Src_CIDR_17_22",'Scoring_Config'!$A:$A,'Scoring_Config'!$D:$D,"Yes")="Yes",_xlfn.XLOOKUP("Src_CIDR_17_22",'Scoring_Config'!$A:$A,'Scoring_Config'!$C:$C,15),0),0)+IF(LEFT(AF280,4)="True",IF(_xlfn.XLOOKUP("Dst_IsAny",'Scoring_Config'!$A:$A,'Scoring_Config'!$D:$D,"Yes")="Yes",_xlfn.XLOOKUP("Dst_IsAny",'Scoring_Config'!$A:$A,'Scoring_Config'!$C:$C,25),0),0)+IF(LEFT(AG280,4)="True",IF(_xlfn.XLOOKUP("Dst_CIDR_Le_16",'Scoring_Config'!$A:$A,'Scoring_Config'!$D:$D,"Yes")="Yes",_xlfn.XLOOKUP("Dst_CIDR_Le_16",'Scoring_Config'!$A:$A,'Scoring_Config'!$C:$C,25),0),0)+IF(LEFT(AH280,4)="True",IF(_xlfn.XLOOKUP("Dst_CIDR_17_22",'Scoring_Config'!$A:$A,'Scoring_Config'!$D:$D,"Yes")="Yes",_xlfn.XLOOKUP("Dst_CIDR_17_22",'Scoring_Config'!$A:$A,'Scoring_Config'!$C:$C,15),0),0)+IF(LEFT(AI280,4)="True",IF(_xlfn.XLOOKUP("SrcZone_IsAny",'Scoring_Config'!$A:$A,'Scoring_Config'!$D:$D,"Yes")="Yes",_xlfn.XLOOKUP("SrcZone_IsAny",'Scoring_Config'!$A:$A,'Scoring_Config'!$C:$C,5),0),0)+IF(LEFT(AJ280,4)="True",IF(_xlfn.XLOOKUP("DstZone_IsAny",'Scoring_Config'!$A:$A,'Scoring_Config'!$D:$D,"Yes")="Yes",_xlfn.XLOOKUP("DstZone_IsAny",'Scoring_Config'!$A:$A,'Scoring_Config'!$C:$C,5),0),0)+IF(LEFT(AK280,4)="True",IF(_xlfn.XLOOKUP("Service_Any_OR_RangeGt1000",'Scoring_Config'!$A:$A,'Scoring_Config'!$D:$D,"Yes")="Yes",_xlfn.XLOOKUP("Service_Any_OR_RangeGt1000",'Scoring_Config'!$A:$A,'Scoring_Config'!$C:$C,25),0),0)+IF(LEFT(AL280,4)="True",IF(_xlfn.XLOOKUP("App_Any_OR_RangeGt1000",'Scoring_Config'!$A:$A,'Scoring_Config'!$D:$D,"Yes")="Yes",_xlfn.XLOOKUP("App_Any_OR_RangeGt1000",'Scoring_Config'!$A:$A,'Scoring_Config'!$C:$C,25),0),0)+IF(LEFT(AM280,4)="True",IF(_xlfn.XLOOKUP("Service_Insecure_Match",'Scoring_Config'!$A:$A,'Scoring_Config'!$D:$D,"Yes")="Yes",_xlfn.XLOOKUP("Service_Insecure_Match",'Scoring_Config'!$A:$A,'Scoring_Config'!$C:$C,20),0),0)+IF(LEFT(AN280,4)="True",IF(_xlfn.XLOOKUP("Risky_Inbound",'Scoring_Config'!$A:$A,'Scoring_Config'!$D:$D,"Yes")="Yes",_xlfn.XLOOKUP("Risky_Inbound",'Scoring_Config'!$A:$A,'Scoring_Config'!$C:$C,20),0),0)+IF(LEFT(AO280,4)="True",IF(_xlfn.XLOOKUP("Risky_Outbound",'Scoring_Config'!$A:$A,'Scoring_Config'!$D:$D,"Yes")="Yes",_xlfn.XLOOKUP("Risky_Outbound",'Scoring_Config'!$A:$A,'Scoring_Config'!$C:$C,10),0),0)+IF(LEFT(AW280,4)="True",IF(_xlfn.XLOOKUP("Migrate_Insecure",'Scoring_Config'!$A:$A,'Scoring_Config'!$D:$D,"Yes")="Yes",_xlfn.XLOOKUP("Migrate_Insecure",'Scoring_Config'!$A:$A,'Scoring_Config'!$C:$C,15),0),0)+IF(LEFT(AY280,4)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280,FIND(",",AP280)+1,100)),0)+IF(LEFT(AQ280,4)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280,FIND(",",AR280)+1,100)),0)+IF(_xlfn.XLOOKUP("Profile_Scoring",'Scoring_Config'!$A:$A,'Scoring_Config'!$D:$D,"Yes")="Yes",VALUE(MID(AS280,FIND(",",AS280)+1,100)),0)+IF(_xlfn.XLOOKUP("Options_Scoring",'Scoring_Config'!$A:$A,'Scoring_Config'!$D:$D,"Yes")="Yes",VALUE(MID(AT280,FIND(",",AT280)+1,100)),0)))</f>
        <v>0</v>
      </c>
    </row>
    <row r="281" spans="1:52">
      <c r="A281" s="3" t="s">
        <v>54</v>
      </c>
      <c r="B281" s="3" t="s">
        <v>246</v>
      </c>
      <c r="C281" s="3" t="s">
        <v>331</v>
      </c>
      <c r="D281" s="3" t="s">
        <v>350</v>
      </c>
      <c r="E281" s="3" t="s">
        <v>359</v>
      </c>
      <c r="F281" s="3" t="s">
        <v>363</v>
      </c>
      <c r="G281" s="3" t="s">
        <v>474</v>
      </c>
      <c r="H281" s="3" t="s">
        <v>475</v>
      </c>
      <c r="I281" s="3" t="s">
        <v>623</v>
      </c>
      <c r="J281" s="3" t="s">
        <v>360</v>
      </c>
      <c r="K281" s="3" t="s">
        <v>461</v>
      </c>
      <c r="L281" s="3" t="s">
        <v>586</v>
      </c>
      <c r="M281" s="3" t="s">
        <v>781</v>
      </c>
      <c r="N281" s="3" t="s">
        <v>798</v>
      </c>
      <c r="O281" s="4" t="s">
        <v>812</v>
      </c>
      <c r="P281" s="3" t="s">
        <v>873</v>
      </c>
      <c r="Q281" s="3" t="s">
        <v>905</v>
      </c>
      <c r="R281" s="3" t="s">
        <v>907</v>
      </c>
      <c r="S281" s="3" t="s">
        <v>914</v>
      </c>
      <c r="T281" s="3"/>
      <c r="U281" s="3" t="s">
        <v>1150</v>
      </c>
      <c r="V281" s="3" t="s">
        <v>1388</v>
      </c>
      <c r="W281" s="3" t="s">
        <v>1138</v>
      </c>
      <c r="X281" s="3" t="s">
        <v>1885</v>
      </c>
      <c r="Y281" s="3" t="s">
        <v>2354</v>
      </c>
      <c r="Z281" s="3"/>
      <c r="AA281" s="3" t="s">
        <v>1391</v>
      </c>
      <c r="AB281" s="3"/>
      <c r="AC281" s="4" cm="1">
        <f t="array" ref="AC281">IF(FALSE,"True," &amp; IF(_xlfn.XLOOKUP("Src_IsAny",'Scoring_Config'!$A:$A,'Scoring_Config'!$D:$D,"Yes")="Yes",_xlfn.XLOOKUP("Src_IsAny",'Scoring_Config'!$A:$A,'Scoring_Config'!$C:$C,25),0),"False,0")</f>
        <v>0</v>
      </c>
      <c r="AD281" s="4" cm="1">
        <f t="array" ref="AD281">IF(FALSE,"True," &amp; IF(_xlfn.XLOOKUP("Src_CIDR_Le_16",'Scoring_Config'!$A:$A,'Scoring_Config'!$D:$D,"Yes")="Yes",_xlfn.XLOOKUP("Src_CIDR_Le_16",'Scoring_Config'!$A:$A,'Scoring_Config'!$C:$C,25),0),"False,0")</f>
        <v>0</v>
      </c>
      <c r="AE281" s="4" cm="1">
        <f t="array" ref="AE281">IF(FALSE,"True," &amp; IF(_xlfn.XLOOKUP("Src_CIDR_17_22",'Scoring_Config'!$A:$A,'Scoring_Config'!$D:$D,"Yes")="Yes",_xlfn.XLOOKUP("Src_CIDR_17_22",'Scoring_Config'!$A:$A,'Scoring_Config'!$C:$C,15),0),"False,0")</f>
        <v>0</v>
      </c>
      <c r="AF281" s="5" cm="1">
        <f t="array" ref="AF281">IF(TRUE,"True," &amp; IF(_xlfn.XLOOKUP("Dst_IsAny",'Scoring_Config'!$A:$A,'Scoring_Config'!$D:$D,"Yes")="Yes",_xlfn.XLOOKUP("Dst_IsAny",'Scoring_Config'!$A:$A,'Scoring_Config'!$C:$C,25),0),"False,0")</f>
        <v>0</v>
      </c>
      <c r="AG281" s="4" cm="1">
        <f t="array" ref="AG281">IF(FALSE,"True," &amp; IF(_xlfn.XLOOKUP("Dst_CIDR_Le_16",'Scoring_Config'!$A:$A,'Scoring_Config'!$D:$D,"Yes")="Yes",_xlfn.XLOOKUP("Dst_CIDR_Le_16",'Scoring_Config'!$A:$A,'Scoring_Config'!$C:$C,25),0),"False,0")</f>
        <v>0</v>
      </c>
      <c r="AH281" s="4" cm="1">
        <f t="array" ref="AH281">IF(FALSE,"True," &amp; IF(_xlfn.XLOOKUP("Dst_CIDR_17_22",'Scoring_Config'!$A:$A,'Scoring_Config'!$D:$D,"Yes")="Yes",_xlfn.XLOOKUP("Dst_CIDR_17_22",'Scoring_Config'!$A:$A,'Scoring_Config'!$C:$C,15),0),"False,0")</f>
        <v>0</v>
      </c>
      <c r="AI281" s="4" cm="1">
        <f t="array" ref="AI281">IF(FALSE,"True," &amp; IF(_xlfn.XLOOKUP("SrcZone_IsAny",'Scoring_Config'!$A:$A,'Scoring_Config'!$D:$D,"Yes")="Yes",_xlfn.XLOOKUP("SrcZone_IsAny",'Scoring_Config'!$A:$A,'Scoring_Config'!$C:$C,5),0),"False,0")</f>
        <v>0</v>
      </c>
      <c r="AJ281" s="4" cm="1">
        <f t="array" ref="AJ281">IF(FALSE,"True," &amp; IF(_xlfn.XLOOKUP("DstZone_IsAny",'Scoring_Config'!$A:$A,'Scoring_Config'!$D:$D,"Yes")="Yes",_xlfn.XLOOKUP("DstZone_IsAny",'Scoring_Config'!$A:$A,'Scoring_Config'!$C:$C,5),0),"False,0")</f>
        <v>0</v>
      </c>
      <c r="AK281" s="4" cm="1">
        <f t="array" ref="AK28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1" s="4" cm="1">
        <f t="array" ref="AL281">IF(FALSE,"True," &amp; IF(_xlfn.XLOOKUP("App_Any_OR_RangeGt1000",'Scoring_Config'!$A:$A,'Scoring_Config'!$D:$D,"Yes")="Yes",_xlfn.XLOOKUP("App_Any_OR_RangeGt1000",'Scoring_Config'!$A:$A,'Scoring_Config'!$C:$C,25),0),"False,0")</f>
        <v>0</v>
      </c>
      <c r="AM281" s="4" cm="1">
        <f t="array" ref="AM281">IF(FALSE,"True," &amp; IF(_xlfn.XLOOKUP("Service_Insecure_Match",'Scoring_Config'!$A:$A,'Scoring_Config'!$D:$D,"Yes")="Yes",_xlfn.XLOOKUP("Service_Insecure_Match",'Scoring_Config'!$A:$A,'Scoring_Config'!$C:$C,20),0),"False,0")</f>
        <v>0</v>
      </c>
      <c r="AN281" s="4" cm="1">
        <f t="array" ref="AN281">IF(FALSE,"True," &amp; IF(_xlfn.XLOOKUP("Risky_Inbound",'Scoring_Config'!$A:$A,'Scoring_Config'!$D:$D,"Yes")="Yes",_xlfn.XLOOKUP("Risky_Inbound",'Scoring_Config'!$A:$A,'Scoring_Config'!$C:$C,20),0),"False,0")</f>
        <v>0</v>
      </c>
      <c r="AO281" s="4" cm="1">
        <f t="array" ref="AO281">IF(FALSE,"True," &amp; IF(_xlfn.XLOOKUP("Risky_Outbound",'Scoring_Config'!$A:$A,'Scoring_Config'!$D:$D,"Yes")="Yes",_xlfn.XLOOKUP("Risky_Outbound",'Scoring_Config'!$A:$A,'Scoring_Config'!$C:$C,10),0),"False,0")</f>
        <v>0</v>
      </c>
      <c r="AP281" s="5" t="s">
        <v>2595</v>
      </c>
      <c r="AQ281" s="5" cm="1">
        <f t="array" ref="AQ28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1" s="5" t="s">
        <v>2598</v>
      </c>
      <c r="AS281" s="5" t="s">
        <v>2595</v>
      </c>
      <c r="AT281" s="4" t="s">
        <v>2592</v>
      </c>
      <c r="AU281" s="4" cm="1">
        <f t="array" ref="AU281">IF(FALSE,"True," &amp; IF(_xlfn.XLOOKUP("Action_IsDenyOrDrop",'Scoring_Config'!$A:$A,'Scoring_Config'!$D:$D,"Yes")="Yes",_xlfn.XLOOKUP("Action_IsDenyOrDrop",'Scoring_Config'!$A:$A,'Scoring_Config'!$C:$C,0),0),"False,0")</f>
        <v>0</v>
      </c>
      <c r="AV281" s="4"/>
      <c r="AW281" s="4" cm="1">
        <f t="array" ref="AW281">IF(FALSE,"True," &amp; IF(_xlfn.XLOOKUP("Migrate_Insecure",'Scoring_Config'!$A:$A,'Scoring_Config'!$D:$D,"Yes")="Yes",_xlfn.XLOOKUP("Migrate_Insecure",'Scoring_Config'!$A:$A,'Scoring_Config'!$C:$C,15),0),"False,0")</f>
        <v>0</v>
      </c>
      <c r="AX281" s="4"/>
      <c r="AY281" s="4" cm="1">
        <f t="array" ref="AY281">IF(FALSE,"True," &amp; IF(_xlfn.XLOOKUP("Migrate_Other_Ports",'Scoring_Config'!$A:$A,'Scoring_Config'!$D:$D,"Yes")="Yes",_xlfn.XLOOKUP("Migrate_Other_Ports",'Scoring_Config'!$A:$A,'Scoring_Config'!$C:$C,5),0),"False,0")</f>
        <v>0</v>
      </c>
      <c r="AZ281" s="4" cm="1">
        <f t="array" ref="AZ281">IF(LEFT(AU281,4)="True",0,(IF(LEFT(AC281,4)="True",IF(_xlfn.XLOOKUP("Src_IsAny",'Scoring_Config'!$A:$A,'Scoring_Config'!$D:$D,"Yes")="Yes",_xlfn.XLOOKUP("Src_IsAny",'Scoring_Config'!$A:$A,'Scoring_Config'!$C:$C,25),0),0)+IF(LEFT(AD281,4)="True",IF(_xlfn.XLOOKUP("Src_CIDR_Le_16",'Scoring_Config'!$A:$A,'Scoring_Config'!$D:$D,"Yes")="Yes",_xlfn.XLOOKUP("Src_CIDR_Le_16",'Scoring_Config'!$A:$A,'Scoring_Config'!$C:$C,25),0),0)+IF(LEFT(AE281,4)="True",IF(_xlfn.XLOOKUP("Src_CIDR_17_22",'Scoring_Config'!$A:$A,'Scoring_Config'!$D:$D,"Yes")="Yes",_xlfn.XLOOKUP("Src_CIDR_17_22",'Scoring_Config'!$A:$A,'Scoring_Config'!$C:$C,15),0),0)+IF(LEFT(AF281,4)="True",IF(_xlfn.XLOOKUP("Dst_IsAny",'Scoring_Config'!$A:$A,'Scoring_Config'!$D:$D,"Yes")="Yes",_xlfn.XLOOKUP("Dst_IsAny",'Scoring_Config'!$A:$A,'Scoring_Config'!$C:$C,25),0),0)+IF(LEFT(AG281,4)="True",IF(_xlfn.XLOOKUP("Dst_CIDR_Le_16",'Scoring_Config'!$A:$A,'Scoring_Config'!$D:$D,"Yes")="Yes",_xlfn.XLOOKUP("Dst_CIDR_Le_16",'Scoring_Config'!$A:$A,'Scoring_Config'!$C:$C,25),0),0)+IF(LEFT(AH281,4)="True",IF(_xlfn.XLOOKUP("Dst_CIDR_17_22",'Scoring_Config'!$A:$A,'Scoring_Config'!$D:$D,"Yes")="Yes",_xlfn.XLOOKUP("Dst_CIDR_17_22",'Scoring_Config'!$A:$A,'Scoring_Config'!$C:$C,15),0),0)+IF(LEFT(AI281,4)="True",IF(_xlfn.XLOOKUP("SrcZone_IsAny",'Scoring_Config'!$A:$A,'Scoring_Config'!$D:$D,"Yes")="Yes",_xlfn.XLOOKUP("SrcZone_IsAny",'Scoring_Config'!$A:$A,'Scoring_Config'!$C:$C,5),0),0)+IF(LEFT(AJ281,4)="True",IF(_xlfn.XLOOKUP("DstZone_IsAny",'Scoring_Config'!$A:$A,'Scoring_Config'!$D:$D,"Yes")="Yes",_xlfn.XLOOKUP("DstZone_IsAny",'Scoring_Config'!$A:$A,'Scoring_Config'!$C:$C,5),0),0)+IF(LEFT(AK281,4)="True",IF(_xlfn.XLOOKUP("Service_Any_OR_RangeGt1000",'Scoring_Config'!$A:$A,'Scoring_Config'!$D:$D,"Yes")="Yes",_xlfn.XLOOKUP("Service_Any_OR_RangeGt1000",'Scoring_Config'!$A:$A,'Scoring_Config'!$C:$C,25),0),0)+IF(LEFT(AL281,4)="True",IF(_xlfn.XLOOKUP("App_Any_OR_RangeGt1000",'Scoring_Config'!$A:$A,'Scoring_Config'!$D:$D,"Yes")="Yes",_xlfn.XLOOKUP("App_Any_OR_RangeGt1000",'Scoring_Config'!$A:$A,'Scoring_Config'!$C:$C,25),0),0)+IF(LEFT(AM281,4)="True",IF(_xlfn.XLOOKUP("Service_Insecure_Match",'Scoring_Config'!$A:$A,'Scoring_Config'!$D:$D,"Yes")="Yes",_xlfn.XLOOKUP("Service_Insecure_Match",'Scoring_Config'!$A:$A,'Scoring_Config'!$C:$C,20),0),0)+IF(LEFT(AN281,4)="True",IF(_xlfn.XLOOKUP("Risky_Inbound",'Scoring_Config'!$A:$A,'Scoring_Config'!$D:$D,"Yes")="Yes",_xlfn.XLOOKUP("Risky_Inbound",'Scoring_Config'!$A:$A,'Scoring_Config'!$C:$C,20),0),0)+IF(LEFT(AO281,4)="True",IF(_xlfn.XLOOKUP("Risky_Outbound",'Scoring_Config'!$A:$A,'Scoring_Config'!$D:$D,"Yes")="Yes",_xlfn.XLOOKUP("Risky_Outbound",'Scoring_Config'!$A:$A,'Scoring_Config'!$C:$C,10),0),0)+IF(LEFT(AW281,4)="True",IF(_xlfn.XLOOKUP("Migrate_Insecure",'Scoring_Config'!$A:$A,'Scoring_Config'!$D:$D,"Yes")="Yes",_xlfn.XLOOKUP("Migrate_Insecure",'Scoring_Config'!$A:$A,'Scoring_Config'!$C:$C,15),0),0)+IF(LEFT(AY281,4)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281,FIND(",",AP281)+1,100)),0)+IF(LEFT(AQ281,4)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281,FIND(",",AR281)+1,100)),0)+IF(_xlfn.XLOOKUP("Profile_Scoring",'Scoring_Config'!$A:$A,'Scoring_Config'!$D:$D,"Yes")="Yes",VALUE(MID(AS281,FIND(",",AS281)+1,100)),0)+IF(_xlfn.XLOOKUP("Options_Scoring",'Scoring_Config'!$A:$A,'Scoring_Config'!$D:$D,"Yes")="Yes",VALUE(MID(AT281,FIND(",",AT281)+1,100)),0)))</f>
        <v>0</v>
      </c>
    </row>
    <row r="282" spans="1:52">
      <c r="A282" s="3" t="s">
        <v>54</v>
      </c>
      <c r="B282" s="3" t="s">
        <v>233</v>
      </c>
      <c r="C282" s="3" t="s">
        <v>331</v>
      </c>
      <c r="D282" s="3" t="s">
        <v>345</v>
      </c>
      <c r="E282" s="3" t="s">
        <v>359</v>
      </c>
      <c r="F282" s="3" t="s">
        <v>362</v>
      </c>
      <c r="G282" s="3" t="s">
        <v>475</v>
      </c>
      <c r="H282" s="3" t="s">
        <v>475</v>
      </c>
      <c r="I282" s="3" t="s">
        <v>622</v>
      </c>
      <c r="J282" s="3" t="s">
        <v>364</v>
      </c>
      <c r="K282" s="3" t="s">
        <v>552</v>
      </c>
      <c r="L282" s="3" t="s">
        <v>552</v>
      </c>
      <c r="M282" s="3" t="s">
        <v>775</v>
      </c>
      <c r="N282" s="3" t="s">
        <v>796</v>
      </c>
      <c r="O282" s="4" t="s">
        <v>849</v>
      </c>
      <c r="P282" s="3" t="s">
        <v>866</v>
      </c>
      <c r="Q282" s="3" t="s">
        <v>905</v>
      </c>
      <c r="R282" s="3" t="s">
        <v>908</v>
      </c>
      <c r="S282" s="3" t="s">
        <v>914</v>
      </c>
      <c r="T282" s="3"/>
      <c r="U282" s="3" t="s">
        <v>1292</v>
      </c>
      <c r="V282" s="3" t="s">
        <v>1388</v>
      </c>
      <c r="W282" s="3" t="s">
        <v>1543</v>
      </c>
      <c r="X282" s="3" t="s">
        <v>1886</v>
      </c>
      <c r="Y282" s="3" t="s">
        <v>2355</v>
      </c>
      <c r="Z282" s="3"/>
      <c r="AA282" s="3" t="s">
        <v>1585</v>
      </c>
      <c r="AB282" s="3"/>
      <c r="AC282" s="4" cm="1">
        <f t="array" ref="AC282">IF(FALSE,"True," &amp; IF(_xlfn.XLOOKUP("Src_IsAny",'Scoring_Config'!$A:$A,'Scoring_Config'!$D:$D,"Yes")="Yes",_xlfn.XLOOKUP("Src_IsAny",'Scoring_Config'!$A:$A,'Scoring_Config'!$C:$C,25),0),"False,0")</f>
        <v>0</v>
      </c>
      <c r="AD282" s="4" cm="1">
        <f t="array" ref="AD282">IF(FALSE,"True," &amp; IF(_xlfn.XLOOKUP("Src_CIDR_Le_16",'Scoring_Config'!$A:$A,'Scoring_Config'!$D:$D,"Yes")="Yes",_xlfn.XLOOKUP("Src_CIDR_Le_16",'Scoring_Config'!$A:$A,'Scoring_Config'!$C:$C,25),0),"False,0")</f>
        <v>0</v>
      </c>
      <c r="AE282" s="4" cm="1">
        <f t="array" ref="AE282">IF(FALSE,"True," &amp; IF(_xlfn.XLOOKUP("Src_CIDR_17_22",'Scoring_Config'!$A:$A,'Scoring_Config'!$D:$D,"Yes")="Yes",_xlfn.XLOOKUP("Src_CIDR_17_22",'Scoring_Config'!$A:$A,'Scoring_Config'!$C:$C,15),0),"False,0")</f>
        <v>0</v>
      </c>
      <c r="AF282" s="4" cm="1">
        <f t="array" ref="AF282">IF(FALSE,"True," &amp; IF(_xlfn.XLOOKUP("Dst_IsAny",'Scoring_Config'!$A:$A,'Scoring_Config'!$D:$D,"Yes")="Yes",_xlfn.XLOOKUP("Dst_IsAny",'Scoring_Config'!$A:$A,'Scoring_Config'!$C:$C,25),0),"False,0")</f>
        <v>0</v>
      </c>
      <c r="AG282" s="4" cm="1">
        <f t="array" ref="AG282">IF(FALSE,"True," &amp; IF(_xlfn.XLOOKUP("Dst_CIDR_Le_16",'Scoring_Config'!$A:$A,'Scoring_Config'!$D:$D,"Yes")="Yes",_xlfn.XLOOKUP("Dst_CIDR_Le_16",'Scoring_Config'!$A:$A,'Scoring_Config'!$C:$C,25),0),"False,0")</f>
        <v>0</v>
      </c>
      <c r="AH282" s="4" cm="1">
        <f t="array" ref="AH282">IF(FALSE,"True," &amp; IF(_xlfn.XLOOKUP("Dst_CIDR_17_22",'Scoring_Config'!$A:$A,'Scoring_Config'!$D:$D,"Yes")="Yes",_xlfn.XLOOKUP("Dst_CIDR_17_22",'Scoring_Config'!$A:$A,'Scoring_Config'!$C:$C,15),0),"False,0")</f>
        <v>0</v>
      </c>
      <c r="AI282" s="4" cm="1">
        <f t="array" ref="AI282">IF(FALSE,"True," &amp; IF(_xlfn.XLOOKUP("SrcZone_IsAny",'Scoring_Config'!$A:$A,'Scoring_Config'!$D:$D,"Yes")="Yes",_xlfn.XLOOKUP("SrcZone_IsAny",'Scoring_Config'!$A:$A,'Scoring_Config'!$C:$C,5),0),"False,0")</f>
        <v>0</v>
      </c>
      <c r="AJ282" s="4" cm="1">
        <f t="array" ref="AJ282">IF(FALSE,"True," &amp; IF(_xlfn.XLOOKUP("DstZone_IsAny",'Scoring_Config'!$A:$A,'Scoring_Config'!$D:$D,"Yes")="Yes",_xlfn.XLOOKUP("DstZone_IsAny",'Scoring_Config'!$A:$A,'Scoring_Config'!$C:$C,5),0),"False,0")</f>
        <v>0</v>
      </c>
      <c r="AK282" s="4" cm="1">
        <f t="array" ref="AK28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2" s="4" cm="1">
        <f t="array" ref="AL282">IF(FALSE,"True," &amp; IF(_xlfn.XLOOKUP("App_Any_OR_RangeGt1000",'Scoring_Config'!$A:$A,'Scoring_Config'!$D:$D,"Yes")="Yes",_xlfn.XLOOKUP("App_Any_OR_RangeGt1000",'Scoring_Config'!$A:$A,'Scoring_Config'!$C:$C,25),0),"False,0")</f>
        <v>0</v>
      </c>
      <c r="AM282" s="5" cm="1">
        <f t="array" ref="AM282">IF(TRUE,"True," &amp; IF(_xlfn.XLOOKUP("Service_Insecure_Match",'Scoring_Config'!$A:$A,'Scoring_Config'!$D:$D,"Yes")="Yes",_xlfn.XLOOKUP("Service_Insecure_Match",'Scoring_Config'!$A:$A,'Scoring_Config'!$C:$C,20),0),"False,0")</f>
        <v>0</v>
      </c>
      <c r="AN282" s="4" cm="1">
        <f t="array" ref="AN282">IF(FALSE,"True," &amp; IF(_xlfn.XLOOKUP("Risky_Inbound",'Scoring_Config'!$A:$A,'Scoring_Config'!$D:$D,"Yes")="Yes",_xlfn.XLOOKUP("Risky_Inbound",'Scoring_Config'!$A:$A,'Scoring_Config'!$C:$C,20),0),"False,0")</f>
        <v>0</v>
      </c>
      <c r="AO282" s="4" cm="1">
        <f t="array" ref="AO282">IF(FALSE,"True," &amp; IF(_xlfn.XLOOKUP("Risky_Outbound",'Scoring_Config'!$A:$A,'Scoring_Config'!$D:$D,"Yes")="Yes",_xlfn.XLOOKUP("Risky_Outbound",'Scoring_Config'!$A:$A,'Scoring_Config'!$C:$C,10),0),"False,0")</f>
        <v>0</v>
      </c>
      <c r="AP282" s="5" t="s">
        <v>2595</v>
      </c>
      <c r="AQ282" s="4" cm="1">
        <f t="array" ref="AQ28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2" s="5" t="s">
        <v>2598</v>
      </c>
      <c r="AS282" s="4" t="s">
        <v>2592</v>
      </c>
      <c r="AT282" s="4" t="s">
        <v>2592</v>
      </c>
      <c r="AU282" s="4" cm="1">
        <f t="array" ref="AU282">IF(FALSE,"True," &amp; IF(_xlfn.XLOOKUP("Action_IsDenyOrDrop",'Scoring_Config'!$A:$A,'Scoring_Config'!$D:$D,"Yes")="Yes",_xlfn.XLOOKUP("Action_IsDenyOrDrop",'Scoring_Config'!$A:$A,'Scoring_Config'!$C:$C,0),0),"False,0")</f>
        <v>0</v>
      </c>
      <c r="AV282" s="4"/>
      <c r="AW282" s="4" cm="1">
        <f t="array" ref="AW282">IF(FALSE,"True," &amp; IF(_xlfn.XLOOKUP("Migrate_Insecure",'Scoring_Config'!$A:$A,'Scoring_Config'!$D:$D,"Yes")="Yes",_xlfn.XLOOKUP("Migrate_Insecure",'Scoring_Config'!$A:$A,'Scoring_Config'!$C:$C,15),0),"False,0")</f>
        <v>0</v>
      </c>
      <c r="AX282" s="4"/>
      <c r="AY282" s="4" cm="1">
        <f t="array" ref="AY282">IF(FALSE,"True," &amp; IF(_xlfn.XLOOKUP("Migrate_Other_Ports",'Scoring_Config'!$A:$A,'Scoring_Config'!$D:$D,"Yes")="Yes",_xlfn.XLOOKUP("Migrate_Other_Ports",'Scoring_Config'!$A:$A,'Scoring_Config'!$C:$C,5),0),"False,0")</f>
        <v>0</v>
      </c>
      <c r="AZ282" s="4" cm="1">
        <f t="array" ref="AZ282">IF(LEFT(AU282,4)="True",0,(IF(LEFT(AC282,4)="True",IF(_xlfn.XLOOKUP("Src_IsAny",'Scoring_Config'!$A:$A,'Scoring_Config'!$D:$D,"Yes")="Yes",_xlfn.XLOOKUP("Src_IsAny",'Scoring_Config'!$A:$A,'Scoring_Config'!$C:$C,25),0),0)+IF(LEFT(AD282,4)="True",IF(_xlfn.XLOOKUP("Src_CIDR_Le_16",'Scoring_Config'!$A:$A,'Scoring_Config'!$D:$D,"Yes")="Yes",_xlfn.XLOOKUP("Src_CIDR_Le_16",'Scoring_Config'!$A:$A,'Scoring_Config'!$C:$C,25),0),0)+IF(LEFT(AE282,4)="True",IF(_xlfn.XLOOKUP("Src_CIDR_17_22",'Scoring_Config'!$A:$A,'Scoring_Config'!$D:$D,"Yes")="Yes",_xlfn.XLOOKUP("Src_CIDR_17_22",'Scoring_Config'!$A:$A,'Scoring_Config'!$C:$C,15),0),0)+IF(LEFT(AF282,4)="True",IF(_xlfn.XLOOKUP("Dst_IsAny",'Scoring_Config'!$A:$A,'Scoring_Config'!$D:$D,"Yes")="Yes",_xlfn.XLOOKUP("Dst_IsAny",'Scoring_Config'!$A:$A,'Scoring_Config'!$C:$C,25),0),0)+IF(LEFT(AG282,4)="True",IF(_xlfn.XLOOKUP("Dst_CIDR_Le_16",'Scoring_Config'!$A:$A,'Scoring_Config'!$D:$D,"Yes")="Yes",_xlfn.XLOOKUP("Dst_CIDR_Le_16",'Scoring_Config'!$A:$A,'Scoring_Config'!$C:$C,25),0),0)+IF(LEFT(AH282,4)="True",IF(_xlfn.XLOOKUP("Dst_CIDR_17_22",'Scoring_Config'!$A:$A,'Scoring_Config'!$D:$D,"Yes")="Yes",_xlfn.XLOOKUP("Dst_CIDR_17_22",'Scoring_Config'!$A:$A,'Scoring_Config'!$C:$C,15),0),0)+IF(LEFT(AI282,4)="True",IF(_xlfn.XLOOKUP("SrcZone_IsAny",'Scoring_Config'!$A:$A,'Scoring_Config'!$D:$D,"Yes")="Yes",_xlfn.XLOOKUP("SrcZone_IsAny",'Scoring_Config'!$A:$A,'Scoring_Config'!$C:$C,5),0),0)+IF(LEFT(AJ282,4)="True",IF(_xlfn.XLOOKUP("DstZone_IsAny",'Scoring_Config'!$A:$A,'Scoring_Config'!$D:$D,"Yes")="Yes",_xlfn.XLOOKUP("DstZone_IsAny",'Scoring_Config'!$A:$A,'Scoring_Config'!$C:$C,5),0),0)+IF(LEFT(AK282,4)="True",IF(_xlfn.XLOOKUP("Service_Any_OR_RangeGt1000",'Scoring_Config'!$A:$A,'Scoring_Config'!$D:$D,"Yes")="Yes",_xlfn.XLOOKUP("Service_Any_OR_RangeGt1000",'Scoring_Config'!$A:$A,'Scoring_Config'!$C:$C,25),0),0)+IF(LEFT(AL282,4)="True",IF(_xlfn.XLOOKUP("App_Any_OR_RangeGt1000",'Scoring_Config'!$A:$A,'Scoring_Config'!$D:$D,"Yes")="Yes",_xlfn.XLOOKUP("App_Any_OR_RangeGt1000",'Scoring_Config'!$A:$A,'Scoring_Config'!$C:$C,25),0),0)+IF(LEFT(AM282,4)="True",IF(_xlfn.XLOOKUP("Service_Insecure_Match",'Scoring_Config'!$A:$A,'Scoring_Config'!$D:$D,"Yes")="Yes",_xlfn.XLOOKUP("Service_Insecure_Match",'Scoring_Config'!$A:$A,'Scoring_Config'!$C:$C,20),0),0)+IF(LEFT(AN282,4)="True",IF(_xlfn.XLOOKUP("Risky_Inbound",'Scoring_Config'!$A:$A,'Scoring_Config'!$D:$D,"Yes")="Yes",_xlfn.XLOOKUP("Risky_Inbound",'Scoring_Config'!$A:$A,'Scoring_Config'!$C:$C,20),0),0)+IF(LEFT(AO282,4)="True",IF(_xlfn.XLOOKUP("Risky_Outbound",'Scoring_Config'!$A:$A,'Scoring_Config'!$D:$D,"Yes")="Yes",_xlfn.XLOOKUP("Risky_Outbound",'Scoring_Config'!$A:$A,'Scoring_Config'!$C:$C,10),0),0)+IF(LEFT(AW282,4)="True",IF(_xlfn.XLOOKUP("Migrate_Insecure",'Scoring_Config'!$A:$A,'Scoring_Config'!$D:$D,"Yes")="Yes",_xlfn.XLOOKUP("Migrate_Insecure",'Scoring_Config'!$A:$A,'Scoring_Config'!$C:$C,15),0),0)+IF(LEFT(AY282,4)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282,FIND(",",AP282)+1,100)),0)+IF(LEFT(AQ282,4)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282,FIND(",",AR282)+1,100)),0)+IF(_xlfn.XLOOKUP("Profile_Scoring",'Scoring_Config'!$A:$A,'Scoring_Config'!$D:$D,"Yes")="Yes",VALUE(MID(AS282,FIND(",",AS282)+1,100)),0)+IF(_xlfn.XLOOKUP("Options_Scoring",'Scoring_Config'!$A:$A,'Scoring_Config'!$D:$D,"Yes")="Yes",VALUE(MID(AT282,FIND(",",AT282)+1,100)),0)))</f>
        <v>0</v>
      </c>
    </row>
    <row r="283" spans="1:52">
      <c r="A283" s="3" t="s">
        <v>54</v>
      </c>
      <c r="B283" s="3" t="s">
        <v>60</v>
      </c>
      <c r="C283" s="3" t="s">
        <v>331</v>
      </c>
      <c r="D283" s="3" t="s">
        <v>351</v>
      </c>
      <c r="E283" s="3" t="s">
        <v>359</v>
      </c>
      <c r="F283" s="3" t="s">
        <v>361</v>
      </c>
      <c r="G283" s="3" t="s">
        <v>476</v>
      </c>
      <c r="H283" s="3" t="s">
        <v>476</v>
      </c>
      <c r="I283" s="3" t="s">
        <v>622</v>
      </c>
      <c r="J283" s="3" t="s">
        <v>360</v>
      </c>
      <c r="K283" s="3" t="s">
        <v>365</v>
      </c>
      <c r="L283" s="3" t="s">
        <v>365</v>
      </c>
      <c r="M283" s="3" t="s">
        <v>769</v>
      </c>
      <c r="N283" s="3" t="s">
        <v>792</v>
      </c>
      <c r="O283" s="4" t="s">
        <v>808</v>
      </c>
      <c r="P283" s="3" t="s">
        <v>869</v>
      </c>
      <c r="Q283" s="3" t="s">
        <v>905</v>
      </c>
      <c r="R283" s="3" t="s">
        <v>909</v>
      </c>
      <c r="S283" s="3" t="s">
        <v>914</v>
      </c>
      <c r="T283" s="3"/>
      <c r="U283" s="3" t="s">
        <v>1293</v>
      </c>
      <c r="V283" s="3" t="s">
        <v>1389</v>
      </c>
      <c r="W283" s="3" t="s">
        <v>1489</v>
      </c>
      <c r="X283" s="3" t="s">
        <v>1887</v>
      </c>
      <c r="Y283" s="3" t="s">
        <v>2356</v>
      </c>
      <c r="Z283" s="3"/>
      <c r="AA283" s="3" t="s">
        <v>919</v>
      </c>
      <c r="AB283" s="3"/>
      <c r="AC283" s="4" cm="1">
        <f t="array" ref="AC283">IF(FALSE,"True," &amp; IF(_xlfn.XLOOKUP("Src_IsAny",'Scoring_Config'!$A:$A,'Scoring_Config'!$D:$D,"Yes")="Yes",_xlfn.XLOOKUP("Src_IsAny",'Scoring_Config'!$A:$A,'Scoring_Config'!$C:$C,25),0),"False,0")</f>
        <v>0</v>
      </c>
      <c r="AD283" s="4" cm="1">
        <f t="array" ref="AD283">IF(FALSE,"True," &amp; IF(_xlfn.XLOOKUP("Src_CIDR_Le_16",'Scoring_Config'!$A:$A,'Scoring_Config'!$D:$D,"Yes")="Yes",_xlfn.XLOOKUP("Src_CIDR_Le_16",'Scoring_Config'!$A:$A,'Scoring_Config'!$C:$C,25),0),"False,0")</f>
        <v>0</v>
      </c>
      <c r="AE283" s="4" cm="1">
        <f t="array" ref="AE283">IF(FALSE,"True," &amp; IF(_xlfn.XLOOKUP("Src_CIDR_17_22",'Scoring_Config'!$A:$A,'Scoring_Config'!$D:$D,"Yes")="Yes",_xlfn.XLOOKUP("Src_CIDR_17_22",'Scoring_Config'!$A:$A,'Scoring_Config'!$C:$C,15),0),"False,0")</f>
        <v>0</v>
      </c>
      <c r="AF283" s="5" cm="1">
        <f t="array" ref="AF283">IF(TRUE,"True," &amp; IF(_xlfn.XLOOKUP("Dst_IsAny",'Scoring_Config'!$A:$A,'Scoring_Config'!$D:$D,"Yes")="Yes",_xlfn.XLOOKUP("Dst_IsAny",'Scoring_Config'!$A:$A,'Scoring_Config'!$C:$C,25),0),"False,0")</f>
        <v>0</v>
      </c>
      <c r="AG283" s="4" cm="1">
        <f t="array" ref="AG283">IF(FALSE,"True," &amp; IF(_xlfn.XLOOKUP("Dst_CIDR_Le_16",'Scoring_Config'!$A:$A,'Scoring_Config'!$D:$D,"Yes")="Yes",_xlfn.XLOOKUP("Dst_CIDR_Le_16",'Scoring_Config'!$A:$A,'Scoring_Config'!$C:$C,25),0),"False,0")</f>
        <v>0</v>
      </c>
      <c r="AH283" s="4" cm="1">
        <f t="array" ref="AH283">IF(FALSE,"True," &amp; IF(_xlfn.XLOOKUP("Dst_CIDR_17_22",'Scoring_Config'!$A:$A,'Scoring_Config'!$D:$D,"Yes")="Yes",_xlfn.XLOOKUP("Dst_CIDR_17_22",'Scoring_Config'!$A:$A,'Scoring_Config'!$C:$C,15),0),"False,0")</f>
        <v>0</v>
      </c>
      <c r="AI283" s="4" cm="1">
        <f t="array" ref="AI283">IF(FALSE,"True," &amp; IF(_xlfn.XLOOKUP("SrcZone_IsAny",'Scoring_Config'!$A:$A,'Scoring_Config'!$D:$D,"Yes")="Yes",_xlfn.XLOOKUP("SrcZone_IsAny",'Scoring_Config'!$A:$A,'Scoring_Config'!$C:$C,5),0),"False,0")</f>
        <v>0</v>
      </c>
      <c r="AJ283" s="4" cm="1">
        <f t="array" ref="AJ283">IF(FALSE,"True," &amp; IF(_xlfn.XLOOKUP("DstZone_IsAny",'Scoring_Config'!$A:$A,'Scoring_Config'!$D:$D,"Yes")="Yes",_xlfn.XLOOKUP("DstZone_IsAny",'Scoring_Config'!$A:$A,'Scoring_Config'!$C:$C,5),0),"False,0")</f>
        <v>0</v>
      </c>
      <c r="AK283" s="4" cm="1">
        <f t="array" ref="AK28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3" s="4" cm="1">
        <f t="array" ref="AL283">IF(FALSE,"True," &amp; IF(_xlfn.XLOOKUP("App_Any_OR_RangeGt1000",'Scoring_Config'!$A:$A,'Scoring_Config'!$D:$D,"Yes")="Yes",_xlfn.XLOOKUP("App_Any_OR_RangeGt1000",'Scoring_Config'!$A:$A,'Scoring_Config'!$C:$C,25),0),"False,0")</f>
        <v>0</v>
      </c>
      <c r="AM283" s="5" cm="1">
        <f t="array" ref="AM283">IF(TRUE,"True," &amp; IF(_xlfn.XLOOKUP("Service_Insecure_Match",'Scoring_Config'!$A:$A,'Scoring_Config'!$D:$D,"Yes")="Yes",_xlfn.XLOOKUP("Service_Insecure_Match",'Scoring_Config'!$A:$A,'Scoring_Config'!$C:$C,20),0),"False,0")</f>
        <v>0</v>
      </c>
      <c r="AN283" s="4" cm="1">
        <f t="array" ref="AN283">IF(FALSE,"True," &amp; IF(_xlfn.XLOOKUP("Risky_Inbound",'Scoring_Config'!$A:$A,'Scoring_Config'!$D:$D,"Yes")="Yes",_xlfn.XLOOKUP("Risky_Inbound",'Scoring_Config'!$A:$A,'Scoring_Config'!$C:$C,20),0),"False,0")</f>
        <v>0</v>
      </c>
      <c r="AO283" s="4" cm="1">
        <f t="array" ref="AO283">IF(FALSE,"True," &amp; IF(_xlfn.XLOOKUP("Risky_Outbound",'Scoring_Config'!$A:$A,'Scoring_Config'!$D:$D,"Yes")="Yes",_xlfn.XLOOKUP("Risky_Outbound",'Scoring_Config'!$A:$A,'Scoring_Config'!$C:$C,10),0),"False,0")</f>
        <v>0</v>
      </c>
      <c r="AP283" s="5" t="s">
        <v>2595</v>
      </c>
      <c r="AQ283" s="4" cm="1">
        <f t="array" ref="AQ28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3" s="5" t="s">
        <v>2598</v>
      </c>
      <c r="AS283" s="4" t="s">
        <v>2592</v>
      </c>
      <c r="AT283" s="4" t="s">
        <v>2592</v>
      </c>
      <c r="AU283" s="4" cm="1">
        <f t="array" ref="AU283">IF(FALSE,"True," &amp; IF(_xlfn.XLOOKUP("Action_IsDenyOrDrop",'Scoring_Config'!$A:$A,'Scoring_Config'!$D:$D,"Yes")="Yes",_xlfn.XLOOKUP("Action_IsDenyOrDrop",'Scoring_Config'!$A:$A,'Scoring_Config'!$C:$C,0),0),"False,0")</f>
        <v>0</v>
      </c>
      <c r="AV283" s="4"/>
      <c r="AW283" s="4" cm="1">
        <f t="array" ref="AW283">IF(FALSE,"True," &amp; IF(_xlfn.XLOOKUP("Migrate_Insecure",'Scoring_Config'!$A:$A,'Scoring_Config'!$D:$D,"Yes")="Yes",_xlfn.XLOOKUP("Migrate_Insecure",'Scoring_Config'!$A:$A,'Scoring_Config'!$C:$C,15),0),"False,0")</f>
        <v>0</v>
      </c>
      <c r="AX283" s="4"/>
      <c r="AY283" s="4" cm="1">
        <f t="array" ref="AY283">IF(FALSE,"True," &amp; IF(_xlfn.XLOOKUP("Migrate_Other_Ports",'Scoring_Config'!$A:$A,'Scoring_Config'!$D:$D,"Yes")="Yes",_xlfn.XLOOKUP("Migrate_Other_Ports",'Scoring_Config'!$A:$A,'Scoring_Config'!$C:$C,5),0),"False,0")</f>
        <v>0</v>
      </c>
      <c r="AZ283" s="4" cm="1">
        <f t="array" ref="AZ283">IF(LEFT(AU283,4)="True",0,(IF(LEFT(AC283,4)="True",IF(_xlfn.XLOOKUP("Src_IsAny",'Scoring_Config'!$A:$A,'Scoring_Config'!$D:$D,"Yes")="Yes",_xlfn.XLOOKUP("Src_IsAny",'Scoring_Config'!$A:$A,'Scoring_Config'!$C:$C,25),0),0)+IF(LEFT(AD283,4)="True",IF(_xlfn.XLOOKUP("Src_CIDR_Le_16",'Scoring_Config'!$A:$A,'Scoring_Config'!$D:$D,"Yes")="Yes",_xlfn.XLOOKUP("Src_CIDR_Le_16",'Scoring_Config'!$A:$A,'Scoring_Config'!$C:$C,25),0),0)+IF(LEFT(AE283,4)="True",IF(_xlfn.XLOOKUP("Src_CIDR_17_22",'Scoring_Config'!$A:$A,'Scoring_Config'!$D:$D,"Yes")="Yes",_xlfn.XLOOKUP("Src_CIDR_17_22",'Scoring_Config'!$A:$A,'Scoring_Config'!$C:$C,15),0),0)+IF(LEFT(AF283,4)="True",IF(_xlfn.XLOOKUP("Dst_IsAny",'Scoring_Config'!$A:$A,'Scoring_Config'!$D:$D,"Yes")="Yes",_xlfn.XLOOKUP("Dst_IsAny",'Scoring_Config'!$A:$A,'Scoring_Config'!$C:$C,25),0),0)+IF(LEFT(AG283,4)="True",IF(_xlfn.XLOOKUP("Dst_CIDR_Le_16",'Scoring_Config'!$A:$A,'Scoring_Config'!$D:$D,"Yes")="Yes",_xlfn.XLOOKUP("Dst_CIDR_Le_16",'Scoring_Config'!$A:$A,'Scoring_Config'!$C:$C,25),0),0)+IF(LEFT(AH283,4)="True",IF(_xlfn.XLOOKUP("Dst_CIDR_17_22",'Scoring_Config'!$A:$A,'Scoring_Config'!$D:$D,"Yes")="Yes",_xlfn.XLOOKUP("Dst_CIDR_17_22",'Scoring_Config'!$A:$A,'Scoring_Config'!$C:$C,15),0),0)+IF(LEFT(AI283,4)="True",IF(_xlfn.XLOOKUP("SrcZone_IsAny",'Scoring_Config'!$A:$A,'Scoring_Config'!$D:$D,"Yes")="Yes",_xlfn.XLOOKUP("SrcZone_IsAny",'Scoring_Config'!$A:$A,'Scoring_Config'!$C:$C,5),0),0)+IF(LEFT(AJ283,4)="True",IF(_xlfn.XLOOKUP("DstZone_IsAny",'Scoring_Config'!$A:$A,'Scoring_Config'!$D:$D,"Yes")="Yes",_xlfn.XLOOKUP("DstZone_IsAny",'Scoring_Config'!$A:$A,'Scoring_Config'!$C:$C,5),0),0)+IF(LEFT(AK283,4)="True",IF(_xlfn.XLOOKUP("Service_Any_OR_RangeGt1000",'Scoring_Config'!$A:$A,'Scoring_Config'!$D:$D,"Yes")="Yes",_xlfn.XLOOKUP("Service_Any_OR_RangeGt1000",'Scoring_Config'!$A:$A,'Scoring_Config'!$C:$C,25),0),0)+IF(LEFT(AL283,4)="True",IF(_xlfn.XLOOKUP("App_Any_OR_RangeGt1000",'Scoring_Config'!$A:$A,'Scoring_Config'!$D:$D,"Yes")="Yes",_xlfn.XLOOKUP("App_Any_OR_RangeGt1000",'Scoring_Config'!$A:$A,'Scoring_Config'!$C:$C,25),0),0)+IF(LEFT(AM283,4)="True",IF(_xlfn.XLOOKUP("Service_Insecure_Match",'Scoring_Config'!$A:$A,'Scoring_Config'!$D:$D,"Yes")="Yes",_xlfn.XLOOKUP("Service_Insecure_Match",'Scoring_Config'!$A:$A,'Scoring_Config'!$C:$C,20),0),0)+IF(LEFT(AN283,4)="True",IF(_xlfn.XLOOKUP("Risky_Inbound",'Scoring_Config'!$A:$A,'Scoring_Config'!$D:$D,"Yes")="Yes",_xlfn.XLOOKUP("Risky_Inbound",'Scoring_Config'!$A:$A,'Scoring_Config'!$C:$C,20),0),0)+IF(LEFT(AO283,4)="True",IF(_xlfn.XLOOKUP("Risky_Outbound",'Scoring_Config'!$A:$A,'Scoring_Config'!$D:$D,"Yes")="Yes",_xlfn.XLOOKUP("Risky_Outbound",'Scoring_Config'!$A:$A,'Scoring_Config'!$C:$C,10),0),0)+IF(LEFT(AW283,4)="True",IF(_xlfn.XLOOKUP("Migrate_Insecure",'Scoring_Config'!$A:$A,'Scoring_Config'!$D:$D,"Yes")="Yes",_xlfn.XLOOKUP("Migrate_Insecure",'Scoring_Config'!$A:$A,'Scoring_Config'!$C:$C,15),0),0)+IF(LEFT(AY283,4)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283,FIND(",",AP283)+1,100)),0)+IF(LEFT(AQ283,4)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283,FIND(",",AR283)+1,100)),0)+IF(_xlfn.XLOOKUP("Profile_Scoring",'Scoring_Config'!$A:$A,'Scoring_Config'!$D:$D,"Yes")="Yes",VALUE(MID(AS283,FIND(",",AS283)+1,100)),0)+IF(_xlfn.XLOOKUP("Options_Scoring",'Scoring_Config'!$A:$A,'Scoring_Config'!$D:$D,"Yes")="Yes",VALUE(MID(AT283,FIND(",",AT283)+1,100)),0)))</f>
        <v>0</v>
      </c>
    </row>
    <row r="284" spans="1:52">
      <c r="A284" s="3" t="s">
        <v>54</v>
      </c>
      <c r="B284" s="3" t="s">
        <v>224</v>
      </c>
      <c r="C284" s="3" t="s">
        <v>331</v>
      </c>
      <c r="D284" s="3" t="s">
        <v>345</v>
      </c>
      <c r="E284" s="3" t="s">
        <v>359</v>
      </c>
      <c r="F284" s="3" t="s">
        <v>361</v>
      </c>
      <c r="G284" s="3" t="s">
        <v>365</v>
      </c>
      <c r="H284" s="3" t="s">
        <v>365</v>
      </c>
      <c r="I284" s="3" t="s">
        <v>622</v>
      </c>
      <c r="J284" s="3" t="s">
        <v>360</v>
      </c>
      <c r="K284" s="3" t="s">
        <v>365</v>
      </c>
      <c r="L284" s="3" t="s">
        <v>365</v>
      </c>
      <c r="M284" s="3" t="s">
        <v>365</v>
      </c>
      <c r="N284" s="3" t="s">
        <v>365</v>
      </c>
      <c r="O284" s="4" t="s">
        <v>810</v>
      </c>
      <c r="P284" s="3" t="s">
        <v>871</v>
      </c>
      <c r="Q284" s="3" t="s">
        <v>905</v>
      </c>
      <c r="R284" s="3" t="s">
        <v>907</v>
      </c>
      <c r="S284" s="3" t="s">
        <v>913</v>
      </c>
      <c r="T284" s="3"/>
      <c r="U284" s="3"/>
      <c r="V284" s="3" t="s">
        <v>1389</v>
      </c>
      <c r="W284" s="3" t="s">
        <v>957</v>
      </c>
      <c r="X284" s="3" t="s">
        <v>1888</v>
      </c>
      <c r="Y284" s="3" t="s">
        <v>2357</v>
      </c>
      <c r="Z284" s="3"/>
      <c r="AA284" s="3" t="s">
        <v>2561</v>
      </c>
      <c r="AB284" s="3"/>
      <c r="AC284" s="5" cm="1">
        <f t="array" ref="AC284">IF(TRUE,"True," &amp; IF(_xlfn.XLOOKUP("Src_IsAny",'Scoring_Config'!$A:$A,'Scoring_Config'!$D:$D,"Yes")="Yes",_xlfn.XLOOKUP("Src_IsAny",'Scoring_Config'!$A:$A,'Scoring_Config'!$C:$C,25),0),"False,0")</f>
        <v>0</v>
      </c>
      <c r="AD284" s="4" cm="1">
        <f t="array" ref="AD284">IF(FALSE,"True," &amp; IF(_xlfn.XLOOKUP("Src_CIDR_Le_16",'Scoring_Config'!$A:$A,'Scoring_Config'!$D:$D,"Yes")="Yes",_xlfn.XLOOKUP("Src_CIDR_Le_16",'Scoring_Config'!$A:$A,'Scoring_Config'!$C:$C,25),0),"False,0")</f>
        <v>0</v>
      </c>
      <c r="AE284" s="4" cm="1">
        <f t="array" ref="AE284">IF(FALSE,"True," &amp; IF(_xlfn.XLOOKUP("Src_CIDR_17_22",'Scoring_Config'!$A:$A,'Scoring_Config'!$D:$D,"Yes")="Yes",_xlfn.XLOOKUP("Src_CIDR_17_22",'Scoring_Config'!$A:$A,'Scoring_Config'!$C:$C,15),0),"False,0")</f>
        <v>0</v>
      </c>
      <c r="AF284" s="5" cm="1">
        <f t="array" ref="AF284">IF(TRUE,"True," &amp; IF(_xlfn.XLOOKUP("Dst_IsAny",'Scoring_Config'!$A:$A,'Scoring_Config'!$D:$D,"Yes")="Yes",_xlfn.XLOOKUP("Dst_IsAny",'Scoring_Config'!$A:$A,'Scoring_Config'!$C:$C,25),0),"False,0")</f>
        <v>0</v>
      </c>
      <c r="AG284" s="4" cm="1">
        <f t="array" ref="AG284">IF(FALSE,"True," &amp; IF(_xlfn.XLOOKUP("Dst_CIDR_Le_16",'Scoring_Config'!$A:$A,'Scoring_Config'!$D:$D,"Yes")="Yes",_xlfn.XLOOKUP("Dst_CIDR_Le_16",'Scoring_Config'!$A:$A,'Scoring_Config'!$C:$C,25),0),"False,0")</f>
        <v>0</v>
      </c>
      <c r="AH284" s="4" cm="1">
        <f t="array" ref="AH284">IF(FALSE,"True," &amp; IF(_xlfn.XLOOKUP("Dst_CIDR_17_22",'Scoring_Config'!$A:$A,'Scoring_Config'!$D:$D,"Yes")="Yes",_xlfn.XLOOKUP("Dst_CIDR_17_22",'Scoring_Config'!$A:$A,'Scoring_Config'!$C:$C,15),0),"False,0")</f>
        <v>0</v>
      </c>
      <c r="AI284" s="4" cm="1">
        <f t="array" ref="AI284">IF(FALSE,"True," &amp; IF(_xlfn.XLOOKUP("SrcZone_IsAny",'Scoring_Config'!$A:$A,'Scoring_Config'!$D:$D,"Yes")="Yes",_xlfn.XLOOKUP("SrcZone_IsAny",'Scoring_Config'!$A:$A,'Scoring_Config'!$C:$C,5),0),"False,0")</f>
        <v>0</v>
      </c>
      <c r="AJ284" s="4" cm="1">
        <f t="array" ref="AJ284">IF(FALSE,"True," &amp; IF(_xlfn.XLOOKUP("DstZone_IsAny",'Scoring_Config'!$A:$A,'Scoring_Config'!$D:$D,"Yes")="Yes",_xlfn.XLOOKUP("DstZone_IsAny",'Scoring_Config'!$A:$A,'Scoring_Config'!$C:$C,5),0),"False,0")</f>
        <v>0</v>
      </c>
      <c r="AK284" s="4" cm="1">
        <f t="array" ref="AK28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4" s="5" cm="1">
        <f t="array" ref="AL284">IF(TRUE,"True," &amp; IF(_xlfn.XLOOKUP("App_Any_OR_RangeGt1000",'Scoring_Config'!$A:$A,'Scoring_Config'!$D:$D,"Yes")="Yes",_xlfn.XLOOKUP("App_Any_OR_RangeGt1000",'Scoring_Config'!$A:$A,'Scoring_Config'!$C:$C,25),0),"False,0")</f>
        <v>0</v>
      </c>
      <c r="AM284" s="5" cm="1">
        <f t="array" ref="AM284">IF(TRUE,"True," &amp; IF(_xlfn.XLOOKUP("Service_Insecure_Match",'Scoring_Config'!$A:$A,'Scoring_Config'!$D:$D,"Yes")="Yes",_xlfn.XLOOKUP("Service_Insecure_Match",'Scoring_Config'!$A:$A,'Scoring_Config'!$C:$C,20),0),"False,0")</f>
        <v>0</v>
      </c>
      <c r="AN284" s="4" cm="1">
        <f t="array" ref="AN284">IF(FALSE,"True," &amp; IF(_xlfn.XLOOKUP("Risky_Inbound",'Scoring_Config'!$A:$A,'Scoring_Config'!$D:$D,"Yes")="Yes",_xlfn.XLOOKUP("Risky_Inbound",'Scoring_Config'!$A:$A,'Scoring_Config'!$C:$C,20),0),"False,0")</f>
        <v>0</v>
      </c>
      <c r="AO284" s="4" cm="1">
        <f t="array" ref="AO284">IF(FALSE,"True," &amp; IF(_xlfn.XLOOKUP("Risky_Outbound",'Scoring_Config'!$A:$A,'Scoring_Config'!$D:$D,"Yes")="Yes",_xlfn.XLOOKUP("Risky_Outbound",'Scoring_Config'!$A:$A,'Scoring_Config'!$C:$C,10),0),"False,0")</f>
        <v>0</v>
      </c>
      <c r="AP284" s="5" t="s">
        <v>2595</v>
      </c>
      <c r="AQ284" s="5" cm="1">
        <f t="array" ref="AQ28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4" s="5" t="s">
        <v>2598</v>
      </c>
      <c r="AS284" s="5" t="s">
        <v>2595</v>
      </c>
      <c r="AT284" s="4" t="s">
        <v>2592</v>
      </c>
      <c r="AU284" s="4" cm="1">
        <f t="array" ref="AU284">IF(FALSE,"True," &amp; IF(_xlfn.XLOOKUP("Action_IsDenyOrDrop",'Scoring_Config'!$A:$A,'Scoring_Config'!$D:$D,"Yes")="Yes",_xlfn.XLOOKUP("Action_IsDenyOrDrop",'Scoring_Config'!$A:$A,'Scoring_Config'!$C:$C,0),0),"False,0")</f>
        <v>0</v>
      </c>
      <c r="AV284" s="4"/>
      <c r="AW284" s="4" cm="1">
        <f t="array" ref="AW284">IF(FALSE,"True," &amp; IF(_xlfn.XLOOKUP("Migrate_Insecure",'Scoring_Config'!$A:$A,'Scoring_Config'!$D:$D,"Yes")="Yes",_xlfn.XLOOKUP("Migrate_Insecure",'Scoring_Config'!$A:$A,'Scoring_Config'!$C:$C,15),0),"False,0")</f>
        <v>0</v>
      </c>
      <c r="AX284" s="4"/>
      <c r="AY284" s="4" cm="1">
        <f t="array" ref="AY284">IF(FALSE,"True," &amp; IF(_xlfn.XLOOKUP("Migrate_Other_Ports",'Scoring_Config'!$A:$A,'Scoring_Config'!$D:$D,"Yes")="Yes",_xlfn.XLOOKUP("Migrate_Other_Ports",'Scoring_Config'!$A:$A,'Scoring_Config'!$C:$C,5),0),"False,0")</f>
        <v>0</v>
      </c>
      <c r="AZ284" s="4" cm="1">
        <f t="array" ref="AZ284">IF(LEFT(AU284,4)="True",0,(IF(LEFT(AC284,4)="True",IF(_xlfn.XLOOKUP("Src_IsAny",'Scoring_Config'!$A:$A,'Scoring_Config'!$D:$D,"Yes")="Yes",_xlfn.XLOOKUP("Src_IsAny",'Scoring_Config'!$A:$A,'Scoring_Config'!$C:$C,25),0),0)+IF(LEFT(AD284,4)="True",IF(_xlfn.XLOOKUP("Src_CIDR_Le_16",'Scoring_Config'!$A:$A,'Scoring_Config'!$D:$D,"Yes")="Yes",_xlfn.XLOOKUP("Src_CIDR_Le_16",'Scoring_Config'!$A:$A,'Scoring_Config'!$C:$C,25),0),0)+IF(LEFT(AE284,4)="True",IF(_xlfn.XLOOKUP("Src_CIDR_17_22",'Scoring_Config'!$A:$A,'Scoring_Config'!$D:$D,"Yes")="Yes",_xlfn.XLOOKUP("Src_CIDR_17_22",'Scoring_Config'!$A:$A,'Scoring_Config'!$C:$C,15),0),0)+IF(LEFT(AF284,4)="True",IF(_xlfn.XLOOKUP("Dst_IsAny",'Scoring_Config'!$A:$A,'Scoring_Config'!$D:$D,"Yes")="Yes",_xlfn.XLOOKUP("Dst_IsAny",'Scoring_Config'!$A:$A,'Scoring_Config'!$C:$C,25),0),0)+IF(LEFT(AG284,4)="True",IF(_xlfn.XLOOKUP("Dst_CIDR_Le_16",'Scoring_Config'!$A:$A,'Scoring_Config'!$D:$D,"Yes")="Yes",_xlfn.XLOOKUP("Dst_CIDR_Le_16",'Scoring_Config'!$A:$A,'Scoring_Config'!$C:$C,25),0),0)+IF(LEFT(AH284,4)="True",IF(_xlfn.XLOOKUP("Dst_CIDR_17_22",'Scoring_Config'!$A:$A,'Scoring_Config'!$D:$D,"Yes")="Yes",_xlfn.XLOOKUP("Dst_CIDR_17_22",'Scoring_Config'!$A:$A,'Scoring_Config'!$C:$C,15),0),0)+IF(LEFT(AI284,4)="True",IF(_xlfn.XLOOKUP("SrcZone_IsAny",'Scoring_Config'!$A:$A,'Scoring_Config'!$D:$D,"Yes")="Yes",_xlfn.XLOOKUP("SrcZone_IsAny",'Scoring_Config'!$A:$A,'Scoring_Config'!$C:$C,5),0),0)+IF(LEFT(AJ284,4)="True",IF(_xlfn.XLOOKUP("DstZone_IsAny",'Scoring_Config'!$A:$A,'Scoring_Config'!$D:$D,"Yes")="Yes",_xlfn.XLOOKUP("DstZone_IsAny",'Scoring_Config'!$A:$A,'Scoring_Config'!$C:$C,5),0),0)+IF(LEFT(AK284,4)="True",IF(_xlfn.XLOOKUP("Service_Any_OR_RangeGt1000",'Scoring_Config'!$A:$A,'Scoring_Config'!$D:$D,"Yes")="Yes",_xlfn.XLOOKUP("Service_Any_OR_RangeGt1000",'Scoring_Config'!$A:$A,'Scoring_Config'!$C:$C,25),0),0)+IF(LEFT(AL284,4)="True",IF(_xlfn.XLOOKUP("App_Any_OR_RangeGt1000",'Scoring_Config'!$A:$A,'Scoring_Config'!$D:$D,"Yes")="Yes",_xlfn.XLOOKUP("App_Any_OR_RangeGt1000",'Scoring_Config'!$A:$A,'Scoring_Config'!$C:$C,25),0),0)+IF(LEFT(AM284,4)="True",IF(_xlfn.XLOOKUP("Service_Insecure_Match",'Scoring_Config'!$A:$A,'Scoring_Config'!$D:$D,"Yes")="Yes",_xlfn.XLOOKUP("Service_Insecure_Match",'Scoring_Config'!$A:$A,'Scoring_Config'!$C:$C,20),0),0)+IF(LEFT(AN284,4)="True",IF(_xlfn.XLOOKUP("Risky_Inbound",'Scoring_Config'!$A:$A,'Scoring_Config'!$D:$D,"Yes")="Yes",_xlfn.XLOOKUP("Risky_Inbound",'Scoring_Config'!$A:$A,'Scoring_Config'!$C:$C,20),0),0)+IF(LEFT(AO284,4)="True",IF(_xlfn.XLOOKUP("Risky_Outbound",'Scoring_Config'!$A:$A,'Scoring_Config'!$D:$D,"Yes")="Yes",_xlfn.XLOOKUP("Risky_Outbound",'Scoring_Config'!$A:$A,'Scoring_Config'!$C:$C,10),0),0)+IF(LEFT(AW284,4)="True",IF(_xlfn.XLOOKUP("Migrate_Insecure",'Scoring_Config'!$A:$A,'Scoring_Config'!$D:$D,"Yes")="Yes",_xlfn.XLOOKUP("Migrate_Insecure",'Scoring_Config'!$A:$A,'Scoring_Config'!$C:$C,15),0),0)+IF(LEFT(AY284,4)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284,FIND(",",AP284)+1,100)),0)+IF(LEFT(AQ284,4)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284,FIND(",",AR284)+1,100)),0)+IF(_xlfn.XLOOKUP("Profile_Scoring",'Scoring_Config'!$A:$A,'Scoring_Config'!$D:$D,"Yes")="Yes",VALUE(MID(AS284,FIND(",",AS284)+1,100)),0)+IF(_xlfn.XLOOKUP("Options_Scoring",'Scoring_Config'!$A:$A,'Scoring_Config'!$D:$D,"Yes")="Yes",VALUE(MID(AT284,FIND(",",AT284)+1,100)),0)))</f>
        <v>0</v>
      </c>
    </row>
    <row r="285" spans="1:52">
      <c r="A285" s="3" t="s">
        <v>54</v>
      </c>
      <c r="B285" s="3" t="s">
        <v>247</v>
      </c>
      <c r="C285" s="3" t="s">
        <v>331</v>
      </c>
      <c r="D285" s="3" t="s">
        <v>335</v>
      </c>
      <c r="E285" s="3" t="s">
        <v>359</v>
      </c>
      <c r="F285" s="3" t="s">
        <v>361</v>
      </c>
      <c r="G285" s="3" t="s">
        <v>477</v>
      </c>
      <c r="H285" s="3" t="s">
        <v>477</v>
      </c>
      <c r="I285" s="3" t="s">
        <v>365</v>
      </c>
      <c r="J285" s="3" t="s">
        <v>360</v>
      </c>
      <c r="K285" s="3" t="s">
        <v>582</v>
      </c>
      <c r="L285" s="3" t="s">
        <v>582</v>
      </c>
      <c r="M285" s="3" t="s">
        <v>365</v>
      </c>
      <c r="N285" s="3" t="s">
        <v>365</v>
      </c>
      <c r="O285" s="4" t="s">
        <v>807</v>
      </c>
      <c r="P285" s="3" t="s">
        <v>868</v>
      </c>
      <c r="Q285" s="3" t="s">
        <v>904</v>
      </c>
      <c r="R285" s="3" t="s">
        <v>906</v>
      </c>
      <c r="S285" s="3" t="s">
        <v>914</v>
      </c>
      <c r="T285" s="3"/>
      <c r="U285" s="3" t="s">
        <v>1294</v>
      </c>
      <c r="V285" s="3" t="s">
        <v>789</v>
      </c>
      <c r="W285" s="3" t="s">
        <v>1544</v>
      </c>
      <c r="X285" s="3" t="s">
        <v>1889</v>
      </c>
      <c r="Y285" s="3" t="s">
        <v>2358</v>
      </c>
      <c r="Z285" s="3"/>
      <c r="AA285" s="3" t="s">
        <v>919</v>
      </c>
      <c r="AB285" s="3"/>
      <c r="AC285" s="4" cm="1">
        <f t="array" ref="AC285">IF(FALSE,"True," &amp; IF(_xlfn.XLOOKUP("Src_IsAny",'Scoring_Config'!$A:$A,'Scoring_Config'!$D:$D,"Yes")="Yes",_xlfn.XLOOKUP("Src_IsAny",'Scoring_Config'!$A:$A,'Scoring_Config'!$C:$C,25),0),"False,0")</f>
        <v>0</v>
      </c>
      <c r="AD285" s="4" cm="1">
        <f t="array" ref="AD285">IF(FALSE,"True," &amp; IF(_xlfn.XLOOKUP("Src_CIDR_Le_16",'Scoring_Config'!$A:$A,'Scoring_Config'!$D:$D,"Yes")="Yes",_xlfn.XLOOKUP("Src_CIDR_Le_16",'Scoring_Config'!$A:$A,'Scoring_Config'!$C:$C,25),0),"False,0")</f>
        <v>0</v>
      </c>
      <c r="AE285" s="4" cm="1">
        <f t="array" ref="AE285">IF(FALSE,"True," &amp; IF(_xlfn.XLOOKUP("Src_CIDR_17_22",'Scoring_Config'!$A:$A,'Scoring_Config'!$D:$D,"Yes")="Yes",_xlfn.XLOOKUP("Src_CIDR_17_22",'Scoring_Config'!$A:$A,'Scoring_Config'!$C:$C,15),0),"False,0")</f>
        <v>0</v>
      </c>
      <c r="AF285" s="4" cm="1">
        <f t="array" ref="AF285">IF(FALSE,"True," &amp; IF(_xlfn.XLOOKUP("Dst_IsAny",'Scoring_Config'!$A:$A,'Scoring_Config'!$D:$D,"Yes")="Yes",_xlfn.XLOOKUP("Dst_IsAny",'Scoring_Config'!$A:$A,'Scoring_Config'!$C:$C,25),0),"False,0")</f>
        <v>0</v>
      </c>
      <c r="AG285" s="4" cm="1">
        <f t="array" ref="AG285">IF(FALSE,"True," &amp; IF(_xlfn.XLOOKUP("Dst_CIDR_Le_16",'Scoring_Config'!$A:$A,'Scoring_Config'!$D:$D,"Yes")="Yes",_xlfn.XLOOKUP("Dst_CIDR_Le_16",'Scoring_Config'!$A:$A,'Scoring_Config'!$C:$C,25),0),"False,0")</f>
        <v>0</v>
      </c>
      <c r="AH285" s="4" cm="1">
        <f t="array" ref="AH285">IF(FALSE,"True," &amp; IF(_xlfn.XLOOKUP("Dst_CIDR_17_22",'Scoring_Config'!$A:$A,'Scoring_Config'!$D:$D,"Yes")="Yes",_xlfn.XLOOKUP("Dst_CIDR_17_22",'Scoring_Config'!$A:$A,'Scoring_Config'!$C:$C,15),0),"False,0")</f>
        <v>0</v>
      </c>
      <c r="AI285" s="4" cm="1">
        <f t="array" ref="AI285">IF(FALSE,"True," &amp; IF(_xlfn.XLOOKUP("SrcZone_IsAny",'Scoring_Config'!$A:$A,'Scoring_Config'!$D:$D,"Yes")="Yes",_xlfn.XLOOKUP("SrcZone_IsAny",'Scoring_Config'!$A:$A,'Scoring_Config'!$C:$C,5),0),"False,0")</f>
        <v>0</v>
      </c>
      <c r="AJ285" s="4" cm="1">
        <f t="array" ref="AJ285">IF(FALSE,"True," &amp; IF(_xlfn.XLOOKUP("DstZone_IsAny",'Scoring_Config'!$A:$A,'Scoring_Config'!$D:$D,"Yes")="Yes",_xlfn.XLOOKUP("DstZone_IsAny",'Scoring_Config'!$A:$A,'Scoring_Config'!$C:$C,5),0),"False,0")</f>
        <v>0</v>
      </c>
      <c r="AK285" s="4" cm="1">
        <f t="array" ref="AK28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5" s="5" cm="1">
        <f t="array" ref="AL285">IF(TRUE,"True," &amp; IF(_xlfn.XLOOKUP("App_Any_OR_RangeGt1000",'Scoring_Config'!$A:$A,'Scoring_Config'!$D:$D,"Yes")="Yes",_xlfn.XLOOKUP("App_Any_OR_RangeGt1000",'Scoring_Config'!$A:$A,'Scoring_Config'!$C:$C,25),0),"False,0")</f>
        <v>0</v>
      </c>
      <c r="AM285" s="5" cm="1">
        <f t="array" ref="AM285">IF(TRUE,"True," &amp; IF(_xlfn.XLOOKUP("Service_Insecure_Match",'Scoring_Config'!$A:$A,'Scoring_Config'!$D:$D,"Yes")="Yes",_xlfn.XLOOKUP("Service_Insecure_Match",'Scoring_Config'!$A:$A,'Scoring_Config'!$C:$C,20),0),"False,0")</f>
        <v>0</v>
      </c>
      <c r="AN285" s="4" cm="1">
        <f t="array" ref="AN285">IF(FALSE,"True," &amp; IF(_xlfn.XLOOKUP("Risky_Inbound",'Scoring_Config'!$A:$A,'Scoring_Config'!$D:$D,"Yes")="Yes",_xlfn.XLOOKUP("Risky_Inbound",'Scoring_Config'!$A:$A,'Scoring_Config'!$C:$C,20),0),"False,0")</f>
        <v>0</v>
      </c>
      <c r="AO285" s="4" cm="1">
        <f t="array" ref="AO285">IF(FALSE,"True," &amp; IF(_xlfn.XLOOKUP("Risky_Outbound",'Scoring_Config'!$A:$A,'Scoring_Config'!$D:$D,"Yes")="Yes",_xlfn.XLOOKUP("Risky_Outbound",'Scoring_Config'!$A:$A,'Scoring_Config'!$C:$C,10),0),"False,0")</f>
        <v>0</v>
      </c>
      <c r="AP285" s="5" t="s">
        <v>2595</v>
      </c>
      <c r="AQ285" s="4" cm="1">
        <f t="array" ref="AQ28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5" s="4" t="s">
        <v>2592</v>
      </c>
      <c r="AS285" s="4" t="s">
        <v>2592</v>
      </c>
      <c r="AT285" s="4" t="s">
        <v>2592</v>
      </c>
      <c r="AU285" s="5" cm="1">
        <f t="array" ref="AU285">IF(TRUE,"True," &amp; IF(_xlfn.XLOOKUP("Action_IsDenyOrDrop",'Scoring_Config'!$A:$A,'Scoring_Config'!$D:$D,"Yes")="Yes",_xlfn.XLOOKUP("Action_IsDenyOrDrop",'Scoring_Config'!$A:$A,'Scoring_Config'!$C:$C,0),0),"False,0")</f>
        <v>0</v>
      </c>
      <c r="AV285" s="4"/>
      <c r="AW285" s="4" cm="1">
        <f t="array" ref="AW285">IF(FALSE,"True," &amp; IF(_xlfn.XLOOKUP("Migrate_Insecure",'Scoring_Config'!$A:$A,'Scoring_Config'!$D:$D,"Yes")="Yes",_xlfn.XLOOKUP("Migrate_Insecure",'Scoring_Config'!$A:$A,'Scoring_Config'!$C:$C,15),0),"False,0")</f>
        <v>0</v>
      </c>
      <c r="AX285" s="4"/>
      <c r="AY285" s="4" cm="1">
        <f t="array" ref="AY285">IF(FALSE,"True," &amp; IF(_xlfn.XLOOKUP("Migrate_Other_Ports",'Scoring_Config'!$A:$A,'Scoring_Config'!$D:$D,"Yes")="Yes",_xlfn.XLOOKUP("Migrate_Other_Ports",'Scoring_Config'!$A:$A,'Scoring_Config'!$C:$C,5),0),"False,0")</f>
        <v>0</v>
      </c>
      <c r="AZ285" s="4" cm="1">
        <f t="array" ref="AZ285">IF(LEFT(AU285,4)="True",0,(IF(LEFT(AC285,4)="True",IF(_xlfn.XLOOKUP("Src_IsAny",'Scoring_Config'!$A:$A,'Scoring_Config'!$D:$D,"Yes")="Yes",_xlfn.XLOOKUP("Src_IsAny",'Scoring_Config'!$A:$A,'Scoring_Config'!$C:$C,25),0),0)+IF(LEFT(AD285,4)="True",IF(_xlfn.XLOOKUP("Src_CIDR_Le_16",'Scoring_Config'!$A:$A,'Scoring_Config'!$D:$D,"Yes")="Yes",_xlfn.XLOOKUP("Src_CIDR_Le_16",'Scoring_Config'!$A:$A,'Scoring_Config'!$C:$C,25),0),0)+IF(LEFT(AE285,4)="True",IF(_xlfn.XLOOKUP("Src_CIDR_17_22",'Scoring_Config'!$A:$A,'Scoring_Config'!$D:$D,"Yes")="Yes",_xlfn.XLOOKUP("Src_CIDR_17_22",'Scoring_Config'!$A:$A,'Scoring_Config'!$C:$C,15),0),0)+IF(LEFT(AF285,4)="True",IF(_xlfn.XLOOKUP("Dst_IsAny",'Scoring_Config'!$A:$A,'Scoring_Config'!$D:$D,"Yes")="Yes",_xlfn.XLOOKUP("Dst_IsAny",'Scoring_Config'!$A:$A,'Scoring_Config'!$C:$C,25),0),0)+IF(LEFT(AG285,4)="True",IF(_xlfn.XLOOKUP("Dst_CIDR_Le_16",'Scoring_Config'!$A:$A,'Scoring_Config'!$D:$D,"Yes")="Yes",_xlfn.XLOOKUP("Dst_CIDR_Le_16",'Scoring_Config'!$A:$A,'Scoring_Config'!$C:$C,25),0),0)+IF(LEFT(AH285,4)="True",IF(_xlfn.XLOOKUP("Dst_CIDR_17_22",'Scoring_Config'!$A:$A,'Scoring_Config'!$D:$D,"Yes")="Yes",_xlfn.XLOOKUP("Dst_CIDR_17_22",'Scoring_Config'!$A:$A,'Scoring_Config'!$C:$C,15),0),0)+IF(LEFT(AI285,4)="True",IF(_xlfn.XLOOKUP("SrcZone_IsAny",'Scoring_Config'!$A:$A,'Scoring_Config'!$D:$D,"Yes")="Yes",_xlfn.XLOOKUP("SrcZone_IsAny",'Scoring_Config'!$A:$A,'Scoring_Config'!$C:$C,5),0),0)+IF(LEFT(AJ285,4)="True",IF(_xlfn.XLOOKUP("DstZone_IsAny",'Scoring_Config'!$A:$A,'Scoring_Config'!$D:$D,"Yes")="Yes",_xlfn.XLOOKUP("DstZone_IsAny",'Scoring_Config'!$A:$A,'Scoring_Config'!$C:$C,5),0),0)+IF(LEFT(AK285,4)="True",IF(_xlfn.XLOOKUP("Service_Any_OR_RangeGt1000",'Scoring_Config'!$A:$A,'Scoring_Config'!$D:$D,"Yes")="Yes",_xlfn.XLOOKUP("Service_Any_OR_RangeGt1000",'Scoring_Config'!$A:$A,'Scoring_Config'!$C:$C,25),0),0)+IF(LEFT(AL285,4)="True",IF(_xlfn.XLOOKUP("App_Any_OR_RangeGt1000",'Scoring_Config'!$A:$A,'Scoring_Config'!$D:$D,"Yes")="Yes",_xlfn.XLOOKUP("App_Any_OR_RangeGt1000",'Scoring_Config'!$A:$A,'Scoring_Config'!$C:$C,25),0),0)+IF(LEFT(AM285,4)="True",IF(_xlfn.XLOOKUP("Service_Insecure_Match",'Scoring_Config'!$A:$A,'Scoring_Config'!$D:$D,"Yes")="Yes",_xlfn.XLOOKUP("Service_Insecure_Match",'Scoring_Config'!$A:$A,'Scoring_Config'!$C:$C,20),0),0)+IF(LEFT(AN285,4)="True",IF(_xlfn.XLOOKUP("Risky_Inbound",'Scoring_Config'!$A:$A,'Scoring_Config'!$D:$D,"Yes")="Yes",_xlfn.XLOOKUP("Risky_Inbound",'Scoring_Config'!$A:$A,'Scoring_Config'!$C:$C,20),0),0)+IF(LEFT(AO285,4)="True",IF(_xlfn.XLOOKUP("Risky_Outbound",'Scoring_Config'!$A:$A,'Scoring_Config'!$D:$D,"Yes")="Yes",_xlfn.XLOOKUP("Risky_Outbound",'Scoring_Config'!$A:$A,'Scoring_Config'!$C:$C,10),0),0)+IF(LEFT(AW285,4)="True",IF(_xlfn.XLOOKUP("Migrate_Insecure",'Scoring_Config'!$A:$A,'Scoring_Config'!$D:$D,"Yes")="Yes",_xlfn.XLOOKUP("Migrate_Insecure",'Scoring_Config'!$A:$A,'Scoring_Config'!$C:$C,15),0),0)+IF(LEFT(AY285,4)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285,FIND(",",AP285)+1,100)),0)+IF(LEFT(AQ285,4)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285,FIND(",",AR285)+1,100)),0)+IF(_xlfn.XLOOKUP("Profile_Scoring",'Scoring_Config'!$A:$A,'Scoring_Config'!$D:$D,"Yes")="Yes",VALUE(MID(AS285,FIND(",",AS285)+1,100)),0)+IF(_xlfn.XLOOKUP("Options_Scoring",'Scoring_Config'!$A:$A,'Scoring_Config'!$D:$D,"Yes")="Yes",VALUE(MID(AT285,FIND(",",AT285)+1,100)),0)))</f>
        <v>0</v>
      </c>
    </row>
    <row r="286" spans="1:52">
      <c r="A286" s="3" t="s">
        <v>54</v>
      </c>
      <c r="B286" s="3" t="s">
        <v>248</v>
      </c>
      <c r="C286" s="3" t="s">
        <v>331</v>
      </c>
      <c r="D286" s="3"/>
      <c r="E286" s="3" t="s">
        <v>359</v>
      </c>
      <c r="F286" s="3" t="s">
        <v>360</v>
      </c>
      <c r="G286" s="3" t="s">
        <v>478</v>
      </c>
      <c r="H286" s="3" t="s">
        <v>593</v>
      </c>
      <c r="I286" s="3" t="s">
        <v>622</v>
      </c>
      <c r="J286" s="3" t="s">
        <v>360</v>
      </c>
      <c r="K286" s="3" t="s">
        <v>702</v>
      </c>
      <c r="L286" s="3" t="s">
        <v>702</v>
      </c>
      <c r="M286" s="3" t="s">
        <v>779</v>
      </c>
      <c r="N286" s="3" t="s">
        <v>797</v>
      </c>
      <c r="O286" s="4" t="s">
        <v>808</v>
      </c>
      <c r="P286" s="3" t="s">
        <v>869</v>
      </c>
      <c r="Q286" s="3" t="s">
        <v>905</v>
      </c>
      <c r="R286" s="3" t="s">
        <v>907</v>
      </c>
      <c r="S286" s="3" t="s">
        <v>914</v>
      </c>
      <c r="T286" s="3"/>
      <c r="U286" s="3" t="s">
        <v>1286</v>
      </c>
      <c r="V286" s="3" t="s">
        <v>1388</v>
      </c>
      <c r="W286" s="3" t="s">
        <v>1545</v>
      </c>
      <c r="X286" s="3" t="s">
        <v>1890</v>
      </c>
      <c r="Y286" s="3" t="s">
        <v>2359</v>
      </c>
      <c r="Z286" s="3"/>
      <c r="AA286" s="3" t="s">
        <v>1140</v>
      </c>
      <c r="AB286" s="3"/>
      <c r="AC286" s="5" cm="1">
        <f t="array" ref="AC286">IF(TRUE,"True," &amp; IF(_xlfn.XLOOKUP("Src_IsAny",'Scoring_Config'!$A:$A,'Scoring_Config'!$D:$D,"Yes")="Yes",_xlfn.XLOOKUP("Src_IsAny",'Scoring_Config'!$A:$A,'Scoring_Config'!$C:$C,25),0),"False,0")</f>
        <v>0</v>
      </c>
      <c r="AD286" s="4" cm="1">
        <f t="array" ref="AD286">IF(FALSE,"True," &amp; IF(_xlfn.XLOOKUP("Src_CIDR_Le_16",'Scoring_Config'!$A:$A,'Scoring_Config'!$D:$D,"Yes")="Yes",_xlfn.XLOOKUP("Src_CIDR_Le_16",'Scoring_Config'!$A:$A,'Scoring_Config'!$C:$C,25),0),"False,0")</f>
        <v>0</v>
      </c>
      <c r="AE286" s="4" cm="1">
        <f t="array" ref="AE286">IF(FALSE,"True," &amp; IF(_xlfn.XLOOKUP("Src_CIDR_17_22",'Scoring_Config'!$A:$A,'Scoring_Config'!$D:$D,"Yes")="Yes",_xlfn.XLOOKUP("Src_CIDR_17_22",'Scoring_Config'!$A:$A,'Scoring_Config'!$C:$C,15),0),"False,0")</f>
        <v>0</v>
      </c>
      <c r="AF286" s="4" cm="1">
        <f t="array" ref="AF286">IF(FALSE,"True," &amp; IF(_xlfn.XLOOKUP("Dst_IsAny",'Scoring_Config'!$A:$A,'Scoring_Config'!$D:$D,"Yes")="Yes",_xlfn.XLOOKUP("Dst_IsAny",'Scoring_Config'!$A:$A,'Scoring_Config'!$C:$C,25),0),"False,0")</f>
        <v>0</v>
      </c>
      <c r="AG286" s="4" cm="1">
        <f t="array" ref="AG286">IF(FALSE,"True," &amp; IF(_xlfn.XLOOKUP("Dst_CIDR_Le_16",'Scoring_Config'!$A:$A,'Scoring_Config'!$D:$D,"Yes")="Yes",_xlfn.XLOOKUP("Dst_CIDR_Le_16",'Scoring_Config'!$A:$A,'Scoring_Config'!$C:$C,25),0),"False,0")</f>
        <v>0</v>
      </c>
      <c r="AH286" s="4" cm="1">
        <f t="array" ref="AH286">IF(FALSE,"True," &amp; IF(_xlfn.XLOOKUP("Dst_CIDR_17_22",'Scoring_Config'!$A:$A,'Scoring_Config'!$D:$D,"Yes")="Yes",_xlfn.XLOOKUP("Dst_CIDR_17_22",'Scoring_Config'!$A:$A,'Scoring_Config'!$C:$C,15),0),"False,0")</f>
        <v>0</v>
      </c>
      <c r="AI286" s="4" cm="1">
        <f t="array" ref="AI286">IF(FALSE,"True," &amp; IF(_xlfn.XLOOKUP("SrcZone_IsAny",'Scoring_Config'!$A:$A,'Scoring_Config'!$D:$D,"Yes")="Yes",_xlfn.XLOOKUP("SrcZone_IsAny",'Scoring_Config'!$A:$A,'Scoring_Config'!$C:$C,5),0),"False,0")</f>
        <v>0</v>
      </c>
      <c r="AJ286" s="4" cm="1">
        <f t="array" ref="AJ286">IF(FALSE,"True," &amp; IF(_xlfn.XLOOKUP("DstZone_IsAny",'Scoring_Config'!$A:$A,'Scoring_Config'!$D:$D,"Yes")="Yes",_xlfn.XLOOKUP("DstZone_IsAny",'Scoring_Config'!$A:$A,'Scoring_Config'!$C:$C,5),0),"False,0")</f>
        <v>0</v>
      </c>
      <c r="AK286" s="4" cm="1">
        <f t="array" ref="AK28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6" s="4" cm="1">
        <f t="array" ref="AL286">IF(FALSE,"True," &amp; IF(_xlfn.XLOOKUP("App_Any_OR_RangeGt1000",'Scoring_Config'!$A:$A,'Scoring_Config'!$D:$D,"Yes")="Yes",_xlfn.XLOOKUP("App_Any_OR_RangeGt1000",'Scoring_Config'!$A:$A,'Scoring_Config'!$C:$C,25),0),"False,0")</f>
        <v>0</v>
      </c>
      <c r="AM286" s="5" cm="1">
        <f t="array" ref="AM286">IF(TRUE,"True," &amp; IF(_xlfn.XLOOKUP("Service_Insecure_Match",'Scoring_Config'!$A:$A,'Scoring_Config'!$D:$D,"Yes")="Yes",_xlfn.XLOOKUP("Service_Insecure_Match",'Scoring_Config'!$A:$A,'Scoring_Config'!$C:$C,20),0),"False,0")</f>
        <v>0</v>
      </c>
      <c r="AN286" s="4" cm="1">
        <f t="array" ref="AN286">IF(FALSE,"True," &amp; IF(_xlfn.XLOOKUP("Risky_Inbound",'Scoring_Config'!$A:$A,'Scoring_Config'!$D:$D,"Yes")="Yes",_xlfn.XLOOKUP("Risky_Inbound",'Scoring_Config'!$A:$A,'Scoring_Config'!$C:$C,20),0),"False,0")</f>
        <v>0</v>
      </c>
      <c r="AO286" s="4" cm="1">
        <f t="array" ref="AO286">IF(FALSE,"True," &amp; IF(_xlfn.XLOOKUP("Risky_Outbound",'Scoring_Config'!$A:$A,'Scoring_Config'!$D:$D,"Yes")="Yes",_xlfn.XLOOKUP("Risky_Outbound",'Scoring_Config'!$A:$A,'Scoring_Config'!$C:$C,10),0),"False,0")</f>
        <v>0</v>
      </c>
      <c r="AP286" s="5" t="s">
        <v>2595</v>
      </c>
      <c r="AQ286" s="5" cm="1">
        <f t="array" ref="AQ28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6" s="5" t="s">
        <v>2598</v>
      </c>
      <c r="AS286" s="5" t="s">
        <v>2595</v>
      </c>
      <c r="AT286" s="4" t="s">
        <v>2592</v>
      </c>
      <c r="AU286" s="4" cm="1">
        <f t="array" ref="AU286">IF(FALSE,"True," &amp; IF(_xlfn.XLOOKUP("Action_IsDenyOrDrop",'Scoring_Config'!$A:$A,'Scoring_Config'!$D:$D,"Yes")="Yes",_xlfn.XLOOKUP("Action_IsDenyOrDrop",'Scoring_Config'!$A:$A,'Scoring_Config'!$C:$C,0),0),"False,0")</f>
        <v>0</v>
      </c>
      <c r="AV286" s="4"/>
      <c r="AW286" s="4" cm="1">
        <f t="array" ref="AW286">IF(FALSE,"True," &amp; IF(_xlfn.XLOOKUP("Migrate_Insecure",'Scoring_Config'!$A:$A,'Scoring_Config'!$D:$D,"Yes")="Yes",_xlfn.XLOOKUP("Migrate_Insecure",'Scoring_Config'!$A:$A,'Scoring_Config'!$C:$C,15),0),"False,0")</f>
        <v>0</v>
      </c>
      <c r="AX286" s="4"/>
      <c r="AY286" s="4" cm="1">
        <f t="array" ref="AY286">IF(FALSE,"True," &amp; IF(_xlfn.XLOOKUP("Migrate_Other_Ports",'Scoring_Config'!$A:$A,'Scoring_Config'!$D:$D,"Yes")="Yes",_xlfn.XLOOKUP("Migrate_Other_Ports",'Scoring_Config'!$A:$A,'Scoring_Config'!$C:$C,5),0),"False,0")</f>
        <v>0</v>
      </c>
      <c r="AZ286" s="4" cm="1">
        <f t="array" ref="AZ286">IF(LEFT(AU286,4)="True",0,(IF(LEFT(AC286,4)="True",IF(_xlfn.XLOOKUP("Src_IsAny",'Scoring_Config'!$A:$A,'Scoring_Config'!$D:$D,"Yes")="Yes",_xlfn.XLOOKUP("Src_IsAny",'Scoring_Config'!$A:$A,'Scoring_Config'!$C:$C,25),0),0)+IF(LEFT(AD286,4)="True",IF(_xlfn.XLOOKUP("Src_CIDR_Le_16",'Scoring_Config'!$A:$A,'Scoring_Config'!$D:$D,"Yes")="Yes",_xlfn.XLOOKUP("Src_CIDR_Le_16",'Scoring_Config'!$A:$A,'Scoring_Config'!$C:$C,25),0),0)+IF(LEFT(AE286,4)="True",IF(_xlfn.XLOOKUP("Src_CIDR_17_22",'Scoring_Config'!$A:$A,'Scoring_Config'!$D:$D,"Yes")="Yes",_xlfn.XLOOKUP("Src_CIDR_17_22",'Scoring_Config'!$A:$A,'Scoring_Config'!$C:$C,15),0),0)+IF(LEFT(AF286,4)="True",IF(_xlfn.XLOOKUP("Dst_IsAny",'Scoring_Config'!$A:$A,'Scoring_Config'!$D:$D,"Yes")="Yes",_xlfn.XLOOKUP("Dst_IsAny",'Scoring_Config'!$A:$A,'Scoring_Config'!$C:$C,25),0),0)+IF(LEFT(AG286,4)="True",IF(_xlfn.XLOOKUP("Dst_CIDR_Le_16",'Scoring_Config'!$A:$A,'Scoring_Config'!$D:$D,"Yes")="Yes",_xlfn.XLOOKUP("Dst_CIDR_Le_16",'Scoring_Config'!$A:$A,'Scoring_Config'!$C:$C,25),0),0)+IF(LEFT(AH286,4)="True",IF(_xlfn.XLOOKUP("Dst_CIDR_17_22",'Scoring_Config'!$A:$A,'Scoring_Config'!$D:$D,"Yes")="Yes",_xlfn.XLOOKUP("Dst_CIDR_17_22",'Scoring_Config'!$A:$A,'Scoring_Config'!$C:$C,15),0),0)+IF(LEFT(AI286,4)="True",IF(_xlfn.XLOOKUP("SrcZone_IsAny",'Scoring_Config'!$A:$A,'Scoring_Config'!$D:$D,"Yes")="Yes",_xlfn.XLOOKUP("SrcZone_IsAny",'Scoring_Config'!$A:$A,'Scoring_Config'!$C:$C,5),0),0)+IF(LEFT(AJ286,4)="True",IF(_xlfn.XLOOKUP("DstZone_IsAny",'Scoring_Config'!$A:$A,'Scoring_Config'!$D:$D,"Yes")="Yes",_xlfn.XLOOKUP("DstZone_IsAny",'Scoring_Config'!$A:$A,'Scoring_Config'!$C:$C,5),0),0)+IF(LEFT(AK286,4)="True",IF(_xlfn.XLOOKUP("Service_Any_OR_RangeGt1000",'Scoring_Config'!$A:$A,'Scoring_Config'!$D:$D,"Yes")="Yes",_xlfn.XLOOKUP("Service_Any_OR_RangeGt1000",'Scoring_Config'!$A:$A,'Scoring_Config'!$C:$C,25),0),0)+IF(LEFT(AL286,4)="True",IF(_xlfn.XLOOKUP("App_Any_OR_RangeGt1000",'Scoring_Config'!$A:$A,'Scoring_Config'!$D:$D,"Yes")="Yes",_xlfn.XLOOKUP("App_Any_OR_RangeGt1000",'Scoring_Config'!$A:$A,'Scoring_Config'!$C:$C,25),0),0)+IF(LEFT(AM286,4)="True",IF(_xlfn.XLOOKUP("Service_Insecure_Match",'Scoring_Config'!$A:$A,'Scoring_Config'!$D:$D,"Yes")="Yes",_xlfn.XLOOKUP("Service_Insecure_Match",'Scoring_Config'!$A:$A,'Scoring_Config'!$C:$C,20),0),0)+IF(LEFT(AN286,4)="True",IF(_xlfn.XLOOKUP("Risky_Inbound",'Scoring_Config'!$A:$A,'Scoring_Config'!$D:$D,"Yes")="Yes",_xlfn.XLOOKUP("Risky_Inbound",'Scoring_Config'!$A:$A,'Scoring_Config'!$C:$C,20),0),0)+IF(LEFT(AO286,4)="True",IF(_xlfn.XLOOKUP("Risky_Outbound",'Scoring_Config'!$A:$A,'Scoring_Config'!$D:$D,"Yes")="Yes",_xlfn.XLOOKUP("Risky_Outbound",'Scoring_Config'!$A:$A,'Scoring_Config'!$C:$C,10),0),0)+IF(LEFT(AW286,4)="True",IF(_xlfn.XLOOKUP("Migrate_Insecure",'Scoring_Config'!$A:$A,'Scoring_Config'!$D:$D,"Yes")="Yes",_xlfn.XLOOKUP("Migrate_Insecure",'Scoring_Config'!$A:$A,'Scoring_Config'!$C:$C,15),0),0)+IF(LEFT(AY286,4)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286,FIND(",",AP286)+1,100)),0)+IF(LEFT(AQ286,4)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286,FIND(",",AR286)+1,100)),0)+IF(_xlfn.XLOOKUP("Profile_Scoring",'Scoring_Config'!$A:$A,'Scoring_Config'!$D:$D,"Yes")="Yes",VALUE(MID(AS286,FIND(",",AS286)+1,100)),0)+IF(_xlfn.XLOOKUP("Options_Scoring",'Scoring_Config'!$A:$A,'Scoring_Config'!$D:$D,"Yes")="Yes",VALUE(MID(AT286,FIND(",",AT286)+1,100)),0)))</f>
        <v>0</v>
      </c>
    </row>
    <row r="287" spans="1:52">
      <c r="A287" s="3" t="s">
        <v>54</v>
      </c>
      <c r="B287" s="3" t="s">
        <v>249</v>
      </c>
      <c r="C287" s="3" t="s">
        <v>331</v>
      </c>
      <c r="D287" s="3" t="s">
        <v>352</v>
      </c>
      <c r="E287" s="3" t="s">
        <v>359</v>
      </c>
      <c r="F287" s="3" t="s">
        <v>363</v>
      </c>
      <c r="G287" s="3" t="s">
        <v>365</v>
      </c>
      <c r="H287" s="3" t="s">
        <v>365</v>
      </c>
      <c r="I287" s="3" t="s">
        <v>625</v>
      </c>
      <c r="J287" s="3" t="s">
        <v>360</v>
      </c>
      <c r="K287" s="3" t="s">
        <v>703</v>
      </c>
      <c r="L287" s="3" t="s">
        <v>703</v>
      </c>
      <c r="M287" s="3" t="s">
        <v>786</v>
      </c>
      <c r="N287" s="3" t="s">
        <v>786</v>
      </c>
      <c r="O287" s="4" t="s">
        <v>833</v>
      </c>
      <c r="P287" s="3" t="s">
        <v>894</v>
      </c>
      <c r="Q287" s="3" t="s">
        <v>905</v>
      </c>
      <c r="R287" s="3" t="s">
        <v>907</v>
      </c>
      <c r="S287" s="3" t="s">
        <v>914</v>
      </c>
      <c r="T287" s="3"/>
      <c r="U287" s="3" t="s">
        <v>1295</v>
      </c>
      <c r="V287" s="3" t="s">
        <v>1388</v>
      </c>
      <c r="W287" s="3" t="s">
        <v>1410</v>
      </c>
      <c r="X287" s="3" t="s">
        <v>1891</v>
      </c>
      <c r="Y287" s="3" t="s">
        <v>2360</v>
      </c>
      <c r="Z287" s="3"/>
      <c r="AA287" s="3" t="s">
        <v>2562</v>
      </c>
      <c r="AB287" s="3"/>
      <c r="AC287" s="5" cm="1">
        <f t="array" ref="AC287">IF(TRUE,"True," &amp; IF(_xlfn.XLOOKUP("Src_IsAny",'Scoring_Config'!$A:$A,'Scoring_Config'!$D:$D,"Yes")="Yes",_xlfn.XLOOKUP("Src_IsAny",'Scoring_Config'!$A:$A,'Scoring_Config'!$C:$C,25),0),"False,0")</f>
        <v>0</v>
      </c>
      <c r="AD287" s="4" cm="1">
        <f t="array" ref="AD287">IF(FALSE,"True," &amp; IF(_xlfn.XLOOKUP("Src_CIDR_Le_16",'Scoring_Config'!$A:$A,'Scoring_Config'!$D:$D,"Yes")="Yes",_xlfn.XLOOKUP("Src_CIDR_Le_16",'Scoring_Config'!$A:$A,'Scoring_Config'!$C:$C,25),0),"False,0")</f>
        <v>0</v>
      </c>
      <c r="AE287" s="4" cm="1">
        <f t="array" ref="AE287">IF(FALSE,"True," &amp; IF(_xlfn.XLOOKUP("Src_CIDR_17_22",'Scoring_Config'!$A:$A,'Scoring_Config'!$D:$D,"Yes")="Yes",_xlfn.XLOOKUP("Src_CIDR_17_22",'Scoring_Config'!$A:$A,'Scoring_Config'!$C:$C,15),0),"False,0")</f>
        <v>0</v>
      </c>
      <c r="AF287" s="4" cm="1">
        <f t="array" ref="AF287">IF(FALSE,"True," &amp; IF(_xlfn.XLOOKUP("Dst_IsAny",'Scoring_Config'!$A:$A,'Scoring_Config'!$D:$D,"Yes")="Yes",_xlfn.XLOOKUP("Dst_IsAny",'Scoring_Config'!$A:$A,'Scoring_Config'!$C:$C,25),0),"False,0")</f>
        <v>0</v>
      </c>
      <c r="AG287" s="4" cm="1">
        <f t="array" ref="AG287">IF(FALSE,"True," &amp; IF(_xlfn.XLOOKUP("Dst_CIDR_Le_16",'Scoring_Config'!$A:$A,'Scoring_Config'!$D:$D,"Yes")="Yes",_xlfn.XLOOKUP("Dst_CIDR_Le_16",'Scoring_Config'!$A:$A,'Scoring_Config'!$C:$C,25),0),"False,0")</f>
        <v>0</v>
      </c>
      <c r="AH287" s="4" cm="1">
        <f t="array" ref="AH287">IF(FALSE,"True," &amp; IF(_xlfn.XLOOKUP("Dst_CIDR_17_22",'Scoring_Config'!$A:$A,'Scoring_Config'!$D:$D,"Yes")="Yes",_xlfn.XLOOKUP("Dst_CIDR_17_22",'Scoring_Config'!$A:$A,'Scoring_Config'!$C:$C,15),0),"False,0")</f>
        <v>0</v>
      </c>
      <c r="AI287" s="4" cm="1">
        <f t="array" ref="AI287">IF(FALSE,"True," &amp; IF(_xlfn.XLOOKUP("SrcZone_IsAny",'Scoring_Config'!$A:$A,'Scoring_Config'!$D:$D,"Yes")="Yes",_xlfn.XLOOKUP("SrcZone_IsAny",'Scoring_Config'!$A:$A,'Scoring_Config'!$C:$C,5),0),"False,0")</f>
        <v>0</v>
      </c>
      <c r="AJ287" s="4" cm="1">
        <f t="array" ref="AJ287">IF(FALSE,"True," &amp; IF(_xlfn.XLOOKUP("DstZone_IsAny",'Scoring_Config'!$A:$A,'Scoring_Config'!$D:$D,"Yes")="Yes",_xlfn.XLOOKUP("DstZone_IsAny",'Scoring_Config'!$A:$A,'Scoring_Config'!$C:$C,5),0),"False,0")</f>
        <v>0</v>
      </c>
      <c r="AK287" s="5" cm="1">
        <f t="array" ref="AK287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87" s="4" cm="1">
        <f t="array" ref="AL287">IF(FALSE,"True," &amp; IF(_xlfn.XLOOKUP("App_Any_OR_RangeGt1000",'Scoring_Config'!$A:$A,'Scoring_Config'!$D:$D,"Yes")="Yes",_xlfn.XLOOKUP("App_Any_OR_RangeGt1000",'Scoring_Config'!$A:$A,'Scoring_Config'!$C:$C,25),0),"False,0")</f>
        <v>0</v>
      </c>
      <c r="AM287" s="5" cm="1">
        <f t="array" ref="AM287">IF(TRUE,"True," &amp; IF(_xlfn.XLOOKUP("Service_Insecure_Match",'Scoring_Config'!$A:$A,'Scoring_Config'!$D:$D,"Yes")="Yes",_xlfn.XLOOKUP("Service_Insecure_Match",'Scoring_Config'!$A:$A,'Scoring_Config'!$C:$C,20),0),"False,0")</f>
        <v>0</v>
      </c>
      <c r="AN287" s="4" cm="1">
        <f t="array" ref="AN287">IF(FALSE,"True," &amp; IF(_xlfn.XLOOKUP("Risky_Inbound",'Scoring_Config'!$A:$A,'Scoring_Config'!$D:$D,"Yes")="Yes",_xlfn.XLOOKUP("Risky_Inbound",'Scoring_Config'!$A:$A,'Scoring_Config'!$C:$C,20),0),"False,0")</f>
        <v>0</v>
      </c>
      <c r="AO287" s="4" cm="1">
        <f t="array" ref="AO287">IF(FALSE,"True," &amp; IF(_xlfn.XLOOKUP("Risky_Outbound",'Scoring_Config'!$A:$A,'Scoring_Config'!$D:$D,"Yes")="Yes",_xlfn.XLOOKUP("Risky_Outbound",'Scoring_Config'!$A:$A,'Scoring_Config'!$C:$C,10),0),"False,0")</f>
        <v>0</v>
      </c>
      <c r="AP287" s="5" t="s">
        <v>2595</v>
      </c>
      <c r="AQ287" s="4" cm="1">
        <f t="array" ref="AQ28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7" s="5" t="s">
        <v>2598</v>
      </c>
      <c r="AS287" s="5" t="s">
        <v>2595</v>
      </c>
      <c r="AT287" s="4" t="s">
        <v>2592</v>
      </c>
      <c r="AU287" s="4" cm="1">
        <f t="array" ref="AU287">IF(FALSE,"True," &amp; IF(_xlfn.XLOOKUP("Action_IsDenyOrDrop",'Scoring_Config'!$A:$A,'Scoring_Config'!$D:$D,"Yes")="Yes",_xlfn.XLOOKUP("Action_IsDenyOrDrop",'Scoring_Config'!$A:$A,'Scoring_Config'!$C:$C,0),0),"False,0")</f>
        <v>0</v>
      </c>
      <c r="AV287" s="4"/>
      <c r="AW287" s="4" cm="1">
        <f t="array" ref="AW287">IF(FALSE,"True," &amp; IF(_xlfn.XLOOKUP("Migrate_Insecure",'Scoring_Config'!$A:$A,'Scoring_Config'!$D:$D,"Yes")="Yes",_xlfn.XLOOKUP("Migrate_Insecure",'Scoring_Config'!$A:$A,'Scoring_Config'!$C:$C,15),0),"False,0")</f>
        <v>0</v>
      </c>
      <c r="AX287" s="4"/>
      <c r="AY287" s="4" cm="1">
        <f t="array" ref="AY287">IF(FALSE,"True," &amp; IF(_xlfn.XLOOKUP("Migrate_Other_Ports",'Scoring_Config'!$A:$A,'Scoring_Config'!$D:$D,"Yes")="Yes",_xlfn.XLOOKUP("Migrate_Other_Ports",'Scoring_Config'!$A:$A,'Scoring_Config'!$C:$C,5),0),"False,0")</f>
        <v>0</v>
      </c>
      <c r="AZ287" s="4" cm="1">
        <f t="array" ref="AZ287">IF(LEFT(AU287,4)="True",0,(IF(LEFT(AC287,4)="True",IF(_xlfn.XLOOKUP("Src_IsAny",'Scoring_Config'!$A:$A,'Scoring_Config'!$D:$D,"Yes")="Yes",_xlfn.XLOOKUP("Src_IsAny",'Scoring_Config'!$A:$A,'Scoring_Config'!$C:$C,25),0),0)+IF(LEFT(AD287,4)="True",IF(_xlfn.XLOOKUP("Src_CIDR_Le_16",'Scoring_Config'!$A:$A,'Scoring_Config'!$D:$D,"Yes")="Yes",_xlfn.XLOOKUP("Src_CIDR_Le_16",'Scoring_Config'!$A:$A,'Scoring_Config'!$C:$C,25),0),0)+IF(LEFT(AE287,4)="True",IF(_xlfn.XLOOKUP("Src_CIDR_17_22",'Scoring_Config'!$A:$A,'Scoring_Config'!$D:$D,"Yes")="Yes",_xlfn.XLOOKUP("Src_CIDR_17_22",'Scoring_Config'!$A:$A,'Scoring_Config'!$C:$C,15),0),0)+IF(LEFT(AF287,4)="True",IF(_xlfn.XLOOKUP("Dst_IsAny",'Scoring_Config'!$A:$A,'Scoring_Config'!$D:$D,"Yes")="Yes",_xlfn.XLOOKUP("Dst_IsAny",'Scoring_Config'!$A:$A,'Scoring_Config'!$C:$C,25),0),0)+IF(LEFT(AG287,4)="True",IF(_xlfn.XLOOKUP("Dst_CIDR_Le_16",'Scoring_Config'!$A:$A,'Scoring_Config'!$D:$D,"Yes")="Yes",_xlfn.XLOOKUP("Dst_CIDR_Le_16",'Scoring_Config'!$A:$A,'Scoring_Config'!$C:$C,25),0),0)+IF(LEFT(AH287,4)="True",IF(_xlfn.XLOOKUP("Dst_CIDR_17_22",'Scoring_Config'!$A:$A,'Scoring_Config'!$D:$D,"Yes")="Yes",_xlfn.XLOOKUP("Dst_CIDR_17_22",'Scoring_Config'!$A:$A,'Scoring_Config'!$C:$C,15),0),0)+IF(LEFT(AI287,4)="True",IF(_xlfn.XLOOKUP("SrcZone_IsAny",'Scoring_Config'!$A:$A,'Scoring_Config'!$D:$D,"Yes")="Yes",_xlfn.XLOOKUP("SrcZone_IsAny",'Scoring_Config'!$A:$A,'Scoring_Config'!$C:$C,5),0),0)+IF(LEFT(AJ287,4)="True",IF(_xlfn.XLOOKUP("DstZone_IsAny",'Scoring_Config'!$A:$A,'Scoring_Config'!$D:$D,"Yes")="Yes",_xlfn.XLOOKUP("DstZone_IsAny",'Scoring_Config'!$A:$A,'Scoring_Config'!$C:$C,5),0),0)+IF(LEFT(AK287,4)="True",IF(_xlfn.XLOOKUP("Service_Any_OR_RangeGt1000",'Scoring_Config'!$A:$A,'Scoring_Config'!$D:$D,"Yes")="Yes",_xlfn.XLOOKUP("Service_Any_OR_RangeGt1000",'Scoring_Config'!$A:$A,'Scoring_Config'!$C:$C,25),0),0)+IF(LEFT(AL287,4)="True",IF(_xlfn.XLOOKUP("App_Any_OR_RangeGt1000",'Scoring_Config'!$A:$A,'Scoring_Config'!$D:$D,"Yes")="Yes",_xlfn.XLOOKUP("App_Any_OR_RangeGt1000",'Scoring_Config'!$A:$A,'Scoring_Config'!$C:$C,25),0),0)+IF(LEFT(AM287,4)="True",IF(_xlfn.XLOOKUP("Service_Insecure_Match",'Scoring_Config'!$A:$A,'Scoring_Config'!$D:$D,"Yes")="Yes",_xlfn.XLOOKUP("Service_Insecure_Match",'Scoring_Config'!$A:$A,'Scoring_Config'!$C:$C,20),0),0)+IF(LEFT(AN287,4)="True",IF(_xlfn.XLOOKUP("Risky_Inbound",'Scoring_Config'!$A:$A,'Scoring_Config'!$D:$D,"Yes")="Yes",_xlfn.XLOOKUP("Risky_Inbound",'Scoring_Config'!$A:$A,'Scoring_Config'!$C:$C,20),0),0)+IF(LEFT(AO287,4)="True",IF(_xlfn.XLOOKUP("Risky_Outbound",'Scoring_Config'!$A:$A,'Scoring_Config'!$D:$D,"Yes")="Yes",_xlfn.XLOOKUP("Risky_Outbound",'Scoring_Config'!$A:$A,'Scoring_Config'!$C:$C,10),0),0)+IF(LEFT(AW287,4)="True",IF(_xlfn.XLOOKUP("Migrate_Insecure",'Scoring_Config'!$A:$A,'Scoring_Config'!$D:$D,"Yes")="Yes",_xlfn.XLOOKUP("Migrate_Insecure",'Scoring_Config'!$A:$A,'Scoring_Config'!$C:$C,15),0),0)+IF(LEFT(AY287,4)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287,FIND(",",AP287)+1,100)),0)+IF(LEFT(AQ287,4)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287,FIND(",",AR287)+1,100)),0)+IF(_xlfn.XLOOKUP("Profile_Scoring",'Scoring_Config'!$A:$A,'Scoring_Config'!$D:$D,"Yes")="Yes",VALUE(MID(AS287,FIND(",",AS287)+1,100)),0)+IF(_xlfn.XLOOKUP("Options_Scoring",'Scoring_Config'!$A:$A,'Scoring_Config'!$D:$D,"Yes")="Yes",VALUE(MID(AT287,FIND(",",AT287)+1,100)),0)))</f>
        <v>0</v>
      </c>
    </row>
    <row r="288" spans="1:52">
      <c r="A288" s="3" t="s">
        <v>54</v>
      </c>
      <c r="B288" s="3" t="s">
        <v>134</v>
      </c>
      <c r="C288" s="3" t="s">
        <v>331</v>
      </c>
      <c r="D288" s="3" t="s">
        <v>338</v>
      </c>
      <c r="E288" s="3" t="s">
        <v>359</v>
      </c>
      <c r="F288" s="3" t="s">
        <v>362</v>
      </c>
      <c r="G288" s="3" t="s">
        <v>365</v>
      </c>
      <c r="H288" s="3" t="s">
        <v>365</v>
      </c>
      <c r="I288" s="3" t="s">
        <v>622</v>
      </c>
      <c r="J288" s="3" t="s">
        <v>362</v>
      </c>
      <c r="K288" s="3" t="s">
        <v>461</v>
      </c>
      <c r="L288" s="3" t="s">
        <v>586</v>
      </c>
      <c r="M288" s="3" t="s">
        <v>365</v>
      </c>
      <c r="N288" s="3" t="s">
        <v>365</v>
      </c>
      <c r="O288" s="4" t="s">
        <v>850</v>
      </c>
      <c r="P288" s="3" t="s">
        <v>880</v>
      </c>
      <c r="Q288" s="3" t="s">
        <v>905</v>
      </c>
      <c r="R288" s="3" t="s">
        <v>907</v>
      </c>
      <c r="S288" s="3" t="s">
        <v>912</v>
      </c>
      <c r="T288" s="3"/>
      <c r="U288" s="3" t="s">
        <v>1150</v>
      </c>
      <c r="V288" s="3" t="s">
        <v>770</v>
      </c>
      <c r="W288" s="3" t="s">
        <v>1449</v>
      </c>
      <c r="X288" s="3" t="s">
        <v>1892</v>
      </c>
      <c r="Y288" s="3" t="s">
        <v>2361</v>
      </c>
      <c r="Z288" s="3"/>
      <c r="AA288" s="3" t="s">
        <v>2563</v>
      </c>
      <c r="AB288" s="3"/>
      <c r="AC288" s="5" cm="1">
        <f t="array" ref="AC288">IF(TRUE,"True," &amp; IF(_xlfn.XLOOKUP("Src_IsAny",'Scoring_Config'!$A:$A,'Scoring_Config'!$D:$D,"Yes")="Yes",_xlfn.XLOOKUP("Src_IsAny",'Scoring_Config'!$A:$A,'Scoring_Config'!$C:$C,25),0),"False,0")</f>
        <v>0</v>
      </c>
      <c r="AD288" s="4" cm="1">
        <f t="array" ref="AD288">IF(FALSE,"True," &amp; IF(_xlfn.XLOOKUP("Src_CIDR_Le_16",'Scoring_Config'!$A:$A,'Scoring_Config'!$D:$D,"Yes")="Yes",_xlfn.XLOOKUP("Src_CIDR_Le_16",'Scoring_Config'!$A:$A,'Scoring_Config'!$C:$C,25),0),"False,0")</f>
        <v>0</v>
      </c>
      <c r="AE288" s="4" cm="1">
        <f t="array" ref="AE288">IF(FALSE,"True," &amp; IF(_xlfn.XLOOKUP("Src_CIDR_17_22",'Scoring_Config'!$A:$A,'Scoring_Config'!$D:$D,"Yes")="Yes",_xlfn.XLOOKUP("Src_CIDR_17_22",'Scoring_Config'!$A:$A,'Scoring_Config'!$C:$C,15),0),"False,0")</f>
        <v>0</v>
      </c>
      <c r="AF288" s="5" cm="1">
        <f t="array" ref="AF288">IF(TRUE,"True," &amp; IF(_xlfn.XLOOKUP("Dst_IsAny",'Scoring_Config'!$A:$A,'Scoring_Config'!$D:$D,"Yes")="Yes",_xlfn.XLOOKUP("Dst_IsAny",'Scoring_Config'!$A:$A,'Scoring_Config'!$C:$C,25),0),"False,0")</f>
        <v>0</v>
      </c>
      <c r="AG288" s="4" cm="1">
        <f t="array" ref="AG288">IF(FALSE,"True," &amp; IF(_xlfn.XLOOKUP("Dst_CIDR_Le_16",'Scoring_Config'!$A:$A,'Scoring_Config'!$D:$D,"Yes")="Yes",_xlfn.XLOOKUP("Dst_CIDR_Le_16",'Scoring_Config'!$A:$A,'Scoring_Config'!$C:$C,25),0),"False,0")</f>
        <v>0</v>
      </c>
      <c r="AH288" s="4" cm="1">
        <f t="array" ref="AH288">IF(FALSE,"True," &amp; IF(_xlfn.XLOOKUP("Dst_CIDR_17_22",'Scoring_Config'!$A:$A,'Scoring_Config'!$D:$D,"Yes")="Yes",_xlfn.XLOOKUP("Dst_CIDR_17_22",'Scoring_Config'!$A:$A,'Scoring_Config'!$C:$C,15),0),"False,0")</f>
        <v>0</v>
      </c>
      <c r="AI288" s="4" cm="1">
        <f t="array" ref="AI288">IF(FALSE,"True," &amp; IF(_xlfn.XLOOKUP("SrcZone_IsAny",'Scoring_Config'!$A:$A,'Scoring_Config'!$D:$D,"Yes")="Yes",_xlfn.XLOOKUP("SrcZone_IsAny",'Scoring_Config'!$A:$A,'Scoring_Config'!$C:$C,5),0),"False,0")</f>
        <v>0</v>
      </c>
      <c r="AJ288" s="4" cm="1">
        <f t="array" ref="AJ288">IF(FALSE,"True," &amp; IF(_xlfn.XLOOKUP("DstZone_IsAny",'Scoring_Config'!$A:$A,'Scoring_Config'!$D:$D,"Yes")="Yes",_xlfn.XLOOKUP("DstZone_IsAny",'Scoring_Config'!$A:$A,'Scoring_Config'!$C:$C,5),0),"False,0")</f>
        <v>0</v>
      </c>
      <c r="AK288" s="4" cm="1">
        <f t="array" ref="AK28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8" s="5" cm="1">
        <f t="array" ref="AL288">IF(TRUE,"True," &amp; IF(_xlfn.XLOOKUP("App_Any_OR_RangeGt1000",'Scoring_Config'!$A:$A,'Scoring_Config'!$D:$D,"Yes")="Yes",_xlfn.XLOOKUP("App_Any_OR_RangeGt1000",'Scoring_Config'!$A:$A,'Scoring_Config'!$C:$C,25),0),"False,0")</f>
        <v>0</v>
      </c>
      <c r="AM288" s="5" cm="1">
        <f t="array" ref="AM288">IF(TRUE,"True," &amp; IF(_xlfn.XLOOKUP("Service_Insecure_Match",'Scoring_Config'!$A:$A,'Scoring_Config'!$D:$D,"Yes")="Yes",_xlfn.XLOOKUP("Service_Insecure_Match",'Scoring_Config'!$A:$A,'Scoring_Config'!$C:$C,20),0),"False,0")</f>
        <v>0</v>
      </c>
      <c r="AN288" s="4" cm="1">
        <f t="array" ref="AN288">IF(FALSE,"True," &amp; IF(_xlfn.XLOOKUP("Risky_Inbound",'Scoring_Config'!$A:$A,'Scoring_Config'!$D:$D,"Yes")="Yes",_xlfn.XLOOKUP("Risky_Inbound",'Scoring_Config'!$A:$A,'Scoring_Config'!$C:$C,20),0),"False,0")</f>
        <v>0</v>
      </c>
      <c r="AO288" s="4" cm="1">
        <f t="array" ref="AO288">IF(FALSE,"True," &amp; IF(_xlfn.XLOOKUP("Risky_Outbound",'Scoring_Config'!$A:$A,'Scoring_Config'!$D:$D,"Yes")="Yes",_xlfn.XLOOKUP("Risky_Outbound",'Scoring_Config'!$A:$A,'Scoring_Config'!$C:$C,10),0),"False,0")</f>
        <v>0</v>
      </c>
      <c r="AP288" s="5" t="s">
        <v>2595</v>
      </c>
      <c r="AQ288" s="5" cm="1">
        <f t="array" ref="AQ28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8" s="5" t="s">
        <v>2598</v>
      </c>
      <c r="AS288" s="5" t="s">
        <v>2595</v>
      </c>
      <c r="AT288" s="4" t="s">
        <v>2592</v>
      </c>
      <c r="AU288" s="4" cm="1">
        <f t="array" ref="AU288">IF(FALSE,"True," &amp; IF(_xlfn.XLOOKUP("Action_IsDenyOrDrop",'Scoring_Config'!$A:$A,'Scoring_Config'!$D:$D,"Yes")="Yes",_xlfn.XLOOKUP("Action_IsDenyOrDrop",'Scoring_Config'!$A:$A,'Scoring_Config'!$C:$C,0),0),"False,0")</f>
        <v>0</v>
      </c>
      <c r="AV288" s="4"/>
      <c r="AW288" s="4" cm="1">
        <f t="array" ref="AW288">IF(FALSE,"True," &amp; IF(_xlfn.XLOOKUP("Migrate_Insecure",'Scoring_Config'!$A:$A,'Scoring_Config'!$D:$D,"Yes")="Yes",_xlfn.XLOOKUP("Migrate_Insecure",'Scoring_Config'!$A:$A,'Scoring_Config'!$C:$C,15),0),"False,0")</f>
        <v>0</v>
      </c>
      <c r="AX288" s="4"/>
      <c r="AY288" s="4" cm="1">
        <f t="array" ref="AY288">IF(FALSE,"True," &amp; IF(_xlfn.XLOOKUP("Migrate_Other_Ports",'Scoring_Config'!$A:$A,'Scoring_Config'!$D:$D,"Yes")="Yes",_xlfn.XLOOKUP("Migrate_Other_Ports",'Scoring_Config'!$A:$A,'Scoring_Config'!$C:$C,5),0),"False,0")</f>
        <v>0</v>
      </c>
      <c r="AZ288" s="4" cm="1">
        <f t="array" ref="AZ288">IF(LEFT(AU288,4)="True",0,(IF(LEFT(AC288,4)="True",IF(_xlfn.XLOOKUP("Src_IsAny",'Scoring_Config'!$A:$A,'Scoring_Config'!$D:$D,"Yes")="Yes",_xlfn.XLOOKUP("Src_IsAny",'Scoring_Config'!$A:$A,'Scoring_Config'!$C:$C,25),0),0)+IF(LEFT(AD288,4)="True",IF(_xlfn.XLOOKUP("Src_CIDR_Le_16",'Scoring_Config'!$A:$A,'Scoring_Config'!$D:$D,"Yes")="Yes",_xlfn.XLOOKUP("Src_CIDR_Le_16",'Scoring_Config'!$A:$A,'Scoring_Config'!$C:$C,25),0),0)+IF(LEFT(AE288,4)="True",IF(_xlfn.XLOOKUP("Src_CIDR_17_22",'Scoring_Config'!$A:$A,'Scoring_Config'!$D:$D,"Yes")="Yes",_xlfn.XLOOKUP("Src_CIDR_17_22",'Scoring_Config'!$A:$A,'Scoring_Config'!$C:$C,15),0),0)+IF(LEFT(AF288,4)="True",IF(_xlfn.XLOOKUP("Dst_IsAny",'Scoring_Config'!$A:$A,'Scoring_Config'!$D:$D,"Yes")="Yes",_xlfn.XLOOKUP("Dst_IsAny",'Scoring_Config'!$A:$A,'Scoring_Config'!$C:$C,25),0),0)+IF(LEFT(AG288,4)="True",IF(_xlfn.XLOOKUP("Dst_CIDR_Le_16",'Scoring_Config'!$A:$A,'Scoring_Config'!$D:$D,"Yes")="Yes",_xlfn.XLOOKUP("Dst_CIDR_Le_16",'Scoring_Config'!$A:$A,'Scoring_Config'!$C:$C,25),0),0)+IF(LEFT(AH288,4)="True",IF(_xlfn.XLOOKUP("Dst_CIDR_17_22",'Scoring_Config'!$A:$A,'Scoring_Config'!$D:$D,"Yes")="Yes",_xlfn.XLOOKUP("Dst_CIDR_17_22",'Scoring_Config'!$A:$A,'Scoring_Config'!$C:$C,15),0),0)+IF(LEFT(AI288,4)="True",IF(_xlfn.XLOOKUP("SrcZone_IsAny",'Scoring_Config'!$A:$A,'Scoring_Config'!$D:$D,"Yes")="Yes",_xlfn.XLOOKUP("SrcZone_IsAny",'Scoring_Config'!$A:$A,'Scoring_Config'!$C:$C,5),0),0)+IF(LEFT(AJ288,4)="True",IF(_xlfn.XLOOKUP("DstZone_IsAny",'Scoring_Config'!$A:$A,'Scoring_Config'!$D:$D,"Yes")="Yes",_xlfn.XLOOKUP("DstZone_IsAny",'Scoring_Config'!$A:$A,'Scoring_Config'!$C:$C,5),0),0)+IF(LEFT(AK288,4)="True",IF(_xlfn.XLOOKUP("Service_Any_OR_RangeGt1000",'Scoring_Config'!$A:$A,'Scoring_Config'!$D:$D,"Yes")="Yes",_xlfn.XLOOKUP("Service_Any_OR_RangeGt1000",'Scoring_Config'!$A:$A,'Scoring_Config'!$C:$C,25),0),0)+IF(LEFT(AL288,4)="True",IF(_xlfn.XLOOKUP("App_Any_OR_RangeGt1000",'Scoring_Config'!$A:$A,'Scoring_Config'!$D:$D,"Yes")="Yes",_xlfn.XLOOKUP("App_Any_OR_RangeGt1000",'Scoring_Config'!$A:$A,'Scoring_Config'!$C:$C,25),0),0)+IF(LEFT(AM288,4)="True",IF(_xlfn.XLOOKUP("Service_Insecure_Match",'Scoring_Config'!$A:$A,'Scoring_Config'!$D:$D,"Yes")="Yes",_xlfn.XLOOKUP("Service_Insecure_Match",'Scoring_Config'!$A:$A,'Scoring_Config'!$C:$C,20),0),0)+IF(LEFT(AN288,4)="True",IF(_xlfn.XLOOKUP("Risky_Inbound",'Scoring_Config'!$A:$A,'Scoring_Config'!$D:$D,"Yes")="Yes",_xlfn.XLOOKUP("Risky_Inbound",'Scoring_Config'!$A:$A,'Scoring_Config'!$C:$C,20),0),0)+IF(LEFT(AO288,4)="True",IF(_xlfn.XLOOKUP("Risky_Outbound",'Scoring_Config'!$A:$A,'Scoring_Config'!$D:$D,"Yes")="Yes",_xlfn.XLOOKUP("Risky_Outbound",'Scoring_Config'!$A:$A,'Scoring_Config'!$C:$C,10),0),0)+IF(LEFT(AW288,4)="True",IF(_xlfn.XLOOKUP("Migrate_Insecure",'Scoring_Config'!$A:$A,'Scoring_Config'!$D:$D,"Yes")="Yes",_xlfn.XLOOKUP("Migrate_Insecure",'Scoring_Config'!$A:$A,'Scoring_Config'!$C:$C,15),0),0)+IF(LEFT(AY288,4)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288,FIND(",",AP288)+1,100)),0)+IF(LEFT(AQ288,4)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288,FIND(",",AR288)+1,100)),0)+IF(_xlfn.XLOOKUP("Profile_Scoring",'Scoring_Config'!$A:$A,'Scoring_Config'!$D:$D,"Yes")="Yes",VALUE(MID(AS288,FIND(",",AS288)+1,100)),0)+IF(_xlfn.XLOOKUP("Options_Scoring",'Scoring_Config'!$A:$A,'Scoring_Config'!$D:$D,"Yes")="Yes",VALUE(MID(AT288,FIND(",",AT288)+1,100)),0)))</f>
        <v>0</v>
      </c>
    </row>
    <row r="289" spans="1:52">
      <c r="A289" s="3" t="s">
        <v>54</v>
      </c>
      <c r="B289" s="3" t="s">
        <v>250</v>
      </c>
      <c r="C289" s="3" t="s">
        <v>331</v>
      </c>
      <c r="D289" s="3" t="s">
        <v>353</v>
      </c>
      <c r="E289" s="3" t="s">
        <v>359</v>
      </c>
      <c r="F289" s="3" t="s">
        <v>363</v>
      </c>
      <c r="G289" s="3" t="s">
        <v>365</v>
      </c>
      <c r="H289" s="3" t="s">
        <v>365</v>
      </c>
      <c r="I289" s="3" t="s">
        <v>623</v>
      </c>
      <c r="J289" s="3" t="s">
        <v>363</v>
      </c>
      <c r="K289" s="3" t="s">
        <v>462</v>
      </c>
      <c r="L289" s="3" t="s">
        <v>587</v>
      </c>
      <c r="M289" s="3" t="s">
        <v>365</v>
      </c>
      <c r="N289" s="3" t="s">
        <v>365</v>
      </c>
      <c r="O289" s="4" t="s">
        <v>851</v>
      </c>
      <c r="P289" s="3" t="s">
        <v>902</v>
      </c>
      <c r="Q289" s="3" t="s">
        <v>905</v>
      </c>
      <c r="R289" s="3" t="s">
        <v>907</v>
      </c>
      <c r="S289" s="3" t="s">
        <v>907</v>
      </c>
      <c r="T289" s="3"/>
      <c r="U289" s="3" t="s">
        <v>1296</v>
      </c>
      <c r="V289" s="3" t="s">
        <v>1387</v>
      </c>
      <c r="W289" s="3" t="s">
        <v>1423</v>
      </c>
      <c r="X289" s="3" t="s">
        <v>1893</v>
      </c>
      <c r="Y289" s="3" t="s">
        <v>2362</v>
      </c>
      <c r="Z289" s="3"/>
      <c r="AA289" s="3" t="s">
        <v>2564</v>
      </c>
      <c r="AB289" s="3"/>
      <c r="AC289" s="5" cm="1">
        <f t="array" ref="AC289">IF(TRUE,"True," &amp; IF(_xlfn.XLOOKUP("Src_IsAny",'Scoring_Config'!$A:$A,'Scoring_Config'!$D:$D,"Yes")="Yes",_xlfn.XLOOKUP("Src_IsAny",'Scoring_Config'!$A:$A,'Scoring_Config'!$C:$C,25),0),"False,0")</f>
        <v>0</v>
      </c>
      <c r="AD289" s="4" cm="1">
        <f t="array" ref="AD289">IF(FALSE,"True," &amp; IF(_xlfn.XLOOKUP("Src_CIDR_Le_16",'Scoring_Config'!$A:$A,'Scoring_Config'!$D:$D,"Yes")="Yes",_xlfn.XLOOKUP("Src_CIDR_Le_16",'Scoring_Config'!$A:$A,'Scoring_Config'!$C:$C,25),0),"False,0")</f>
        <v>0</v>
      </c>
      <c r="AE289" s="4" cm="1">
        <f t="array" ref="AE289">IF(FALSE,"True," &amp; IF(_xlfn.XLOOKUP("Src_CIDR_17_22",'Scoring_Config'!$A:$A,'Scoring_Config'!$D:$D,"Yes")="Yes",_xlfn.XLOOKUP("Src_CIDR_17_22",'Scoring_Config'!$A:$A,'Scoring_Config'!$C:$C,15),0),"False,0")</f>
        <v>0</v>
      </c>
      <c r="AF289" s="4" cm="1">
        <f t="array" ref="AF289">IF(FALSE,"True," &amp; IF(_xlfn.XLOOKUP("Dst_IsAny",'Scoring_Config'!$A:$A,'Scoring_Config'!$D:$D,"Yes")="Yes",_xlfn.XLOOKUP("Dst_IsAny",'Scoring_Config'!$A:$A,'Scoring_Config'!$C:$C,25),0),"False,0")</f>
        <v>0</v>
      </c>
      <c r="AG289" s="5" cm="1">
        <f t="array" ref="AG289">IF(TRUE,"True," &amp; IF(_xlfn.XLOOKUP("Dst_CIDR_Le_16",'Scoring_Config'!$A:$A,'Scoring_Config'!$D:$D,"Yes")="Yes",_xlfn.XLOOKUP("Dst_CIDR_Le_16",'Scoring_Config'!$A:$A,'Scoring_Config'!$C:$C,25),0),"False,0")</f>
        <v>0</v>
      </c>
      <c r="AH289" s="4" cm="1">
        <f t="array" ref="AH289">IF(FALSE,"True," &amp; IF(_xlfn.XLOOKUP("Dst_CIDR_17_22",'Scoring_Config'!$A:$A,'Scoring_Config'!$D:$D,"Yes")="Yes",_xlfn.XLOOKUP("Dst_CIDR_17_22",'Scoring_Config'!$A:$A,'Scoring_Config'!$C:$C,15),0),"False,0")</f>
        <v>0</v>
      </c>
      <c r="AI289" s="4" cm="1">
        <f t="array" ref="AI289">IF(FALSE,"True," &amp; IF(_xlfn.XLOOKUP("SrcZone_IsAny",'Scoring_Config'!$A:$A,'Scoring_Config'!$D:$D,"Yes")="Yes",_xlfn.XLOOKUP("SrcZone_IsAny",'Scoring_Config'!$A:$A,'Scoring_Config'!$C:$C,5),0),"False,0")</f>
        <v>0</v>
      </c>
      <c r="AJ289" s="4" cm="1">
        <f t="array" ref="AJ289">IF(FALSE,"True," &amp; IF(_xlfn.XLOOKUP("DstZone_IsAny",'Scoring_Config'!$A:$A,'Scoring_Config'!$D:$D,"Yes")="Yes",_xlfn.XLOOKUP("DstZone_IsAny",'Scoring_Config'!$A:$A,'Scoring_Config'!$C:$C,5),0),"False,0")</f>
        <v>0</v>
      </c>
      <c r="AK289" s="4" cm="1">
        <f t="array" ref="AK28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89" s="5" cm="1">
        <f t="array" ref="AL289">IF(TRUE,"True," &amp; IF(_xlfn.XLOOKUP("App_Any_OR_RangeGt1000",'Scoring_Config'!$A:$A,'Scoring_Config'!$D:$D,"Yes")="Yes",_xlfn.XLOOKUP("App_Any_OR_RangeGt1000",'Scoring_Config'!$A:$A,'Scoring_Config'!$C:$C,25),0),"False,0")</f>
        <v>0</v>
      </c>
      <c r="AM289" s="5" cm="1">
        <f t="array" ref="AM289">IF(TRUE,"True," &amp; IF(_xlfn.XLOOKUP("Service_Insecure_Match",'Scoring_Config'!$A:$A,'Scoring_Config'!$D:$D,"Yes")="Yes",_xlfn.XLOOKUP("Service_Insecure_Match",'Scoring_Config'!$A:$A,'Scoring_Config'!$C:$C,20),0),"False,0")</f>
        <v>0</v>
      </c>
      <c r="AN289" s="4" cm="1">
        <f t="array" ref="AN289">IF(FALSE,"True," &amp; IF(_xlfn.XLOOKUP("Risky_Inbound",'Scoring_Config'!$A:$A,'Scoring_Config'!$D:$D,"Yes")="Yes",_xlfn.XLOOKUP("Risky_Inbound",'Scoring_Config'!$A:$A,'Scoring_Config'!$C:$C,20),0),"False,0")</f>
        <v>0</v>
      </c>
      <c r="AO289" s="4" cm="1">
        <f t="array" ref="AO289">IF(FALSE,"True," &amp; IF(_xlfn.XLOOKUP("Risky_Outbound",'Scoring_Config'!$A:$A,'Scoring_Config'!$D:$D,"Yes")="Yes",_xlfn.XLOOKUP("Risky_Outbound",'Scoring_Config'!$A:$A,'Scoring_Config'!$C:$C,10),0),"False,0")</f>
        <v>0</v>
      </c>
      <c r="AP289" s="5" t="s">
        <v>2595</v>
      </c>
      <c r="AQ289" s="4" cm="1">
        <f t="array" ref="AQ28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89" s="5" t="s">
        <v>2598</v>
      </c>
      <c r="AS289" s="5" t="s">
        <v>2595</v>
      </c>
      <c r="AT289" s="5" t="s">
        <v>2595</v>
      </c>
      <c r="AU289" s="4" cm="1">
        <f t="array" ref="AU289">IF(FALSE,"True," &amp; IF(_xlfn.XLOOKUP("Action_IsDenyOrDrop",'Scoring_Config'!$A:$A,'Scoring_Config'!$D:$D,"Yes")="Yes",_xlfn.XLOOKUP("Action_IsDenyOrDrop",'Scoring_Config'!$A:$A,'Scoring_Config'!$C:$C,0),0),"False,0")</f>
        <v>0</v>
      </c>
      <c r="AV289" s="4"/>
      <c r="AW289" s="4" cm="1">
        <f t="array" ref="AW289">IF(FALSE,"True," &amp; IF(_xlfn.XLOOKUP("Migrate_Insecure",'Scoring_Config'!$A:$A,'Scoring_Config'!$D:$D,"Yes")="Yes",_xlfn.XLOOKUP("Migrate_Insecure",'Scoring_Config'!$A:$A,'Scoring_Config'!$C:$C,15),0),"False,0")</f>
        <v>0</v>
      </c>
      <c r="AX289" s="4"/>
      <c r="AY289" s="4" cm="1">
        <f t="array" ref="AY289">IF(FALSE,"True," &amp; IF(_xlfn.XLOOKUP("Migrate_Other_Ports",'Scoring_Config'!$A:$A,'Scoring_Config'!$D:$D,"Yes")="Yes",_xlfn.XLOOKUP("Migrate_Other_Ports",'Scoring_Config'!$A:$A,'Scoring_Config'!$C:$C,5),0),"False,0")</f>
        <v>0</v>
      </c>
      <c r="AZ289" s="4" cm="1">
        <f t="array" ref="AZ289">IF(LEFT(AU289,4)="True",0,(IF(LEFT(AC289,4)="True",IF(_xlfn.XLOOKUP("Src_IsAny",'Scoring_Config'!$A:$A,'Scoring_Config'!$D:$D,"Yes")="Yes",_xlfn.XLOOKUP("Src_IsAny",'Scoring_Config'!$A:$A,'Scoring_Config'!$C:$C,25),0),0)+IF(LEFT(AD289,4)="True",IF(_xlfn.XLOOKUP("Src_CIDR_Le_16",'Scoring_Config'!$A:$A,'Scoring_Config'!$D:$D,"Yes")="Yes",_xlfn.XLOOKUP("Src_CIDR_Le_16",'Scoring_Config'!$A:$A,'Scoring_Config'!$C:$C,25),0),0)+IF(LEFT(AE289,4)="True",IF(_xlfn.XLOOKUP("Src_CIDR_17_22",'Scoring_Config'!$A:$A,'Scoring_Config'!$D:$D,"Yes")="Yes",_xlfn.XLOOKUP("Src_CIDR_17_22",'Scoring_Config'!$A:$A,'Scoring_Config'!$C:$C,15),0),0)+IF(LEFT(AF289,4)="True",IF(_xlfn.XLOOKUP("Dst_IsAny",'Scoring_Config'!$A:$A,'Scoring_Config'!$D:$D,"Yes")="Yes",_xlfn.XLOOKUP("Dst_IsAny",'Scoring_Config'!$A:$A,'Scoring_Config'!$C:$C,25),0),0)+IF(LEFT(AG289,4)="True",IF(_xlfn.XLOOKUP("Dst_CIDR_Le_16",'Scoring_Config'!$A:$A,'Scoring_Config'!$D:$D,"Yes")="Yes",_xlfn.XLOOKUP("Dst_CIDR_Le_16",'Scoring_Config'!$A:$A,'Scoring_Config'!$C:$C,25),0),0)+IF(LEFT(AH289,4)="True",IF(_xlfn.XLOOKUP("Dst_CIDR_17_22",'Scoring_Config'!$A:$A,'Scoring_Config'!$D:$D,"Yes")="Yes",_xlfn.XLOOKUP("Dst_CIDR_17_22",'Scoring_Config'!$A:$A,'Scoring_Config'!$C:$C,15),0),0)+IF(LEFT(AI289,4)="True",IF(_xlfn.XLOOKUP("SrcZone_IsAny",'Scoring_Config'!$A:$A,'Scoring_Config'!$D:$D,"Yes")="Yes",_xlfn.XLOOKUP("SrcZone_IsAny",'Scoring_Config'!$A:$A,'Scoring_Config'!$C:$C,5),0),0)+IF(LEFT(AJ289,4)="True",IF(_xlfn.XLOOKUP("DstZone_IsAny",'Scoring_Config'!$A:$A,'Scoring_Config'!$D:$D,"Yes")="Yes",_xlfn.XLOOKUP("DstZone_IsAny",'Scoring_Config'!$A:$A,'Scoring_Config'!$C:$C,5),0),0)+IF(LEFT(AK289,4)="True",IF(_xlfn.XLOOKUP("Service_Any_OR_RangeGt1000",'Scoring_Config'!$A:$A,'Scoring_Config'!$D:$D,"Yes")="Yes",_xlfn.XLOOKUP("Service_Any_OR_RangeGt1000",'Scoring_Config'!$A:$A,'Scoring_Config'!$C:$C,25),0),0)+IF(LEFT(AL289,4)="True",IF(_xlfn.XLOOKUP("App_Any_OR_RangeGt1000",'Scoring_Config'!$A:$A,'Scoring_Config'!$D:$D,"Yes")="Yes",_xlfn.XLOOKUP("App_Any_OR_RangeGt1000",'Scoring_Config'!$A:$A,'Scoring_Config'!$C:$C,25),0),0)+IF(LEFT(AM289,4)="True",IF(_xlfn.XLOOKUP("Service_Insecure_Match",'Scoring_Config'!$A:$A,'Scoring_Config'!$D:$D,"Yes")="Yes",_xlfn.XLOOKUP("Service_Insecure_Match",'Scoring_Config'!$A:$A,'Scoring_Config'!$C:$C,20),0),0)+IF(LEFT(AN289,4)="True",IF(_xlfn.XLOOKUP("Risky_Inbound",'Scoring_Config'!$A:$A,'Scoring_Config'!$D:$D,"Yes")="Yes",_xlfn.XLOOKUP("Risky_Inbound",'Scoring_Config'!$A:$A,'Scoring_Config'!$C:$C,20),0),0)+IF(LEFT(AO289,4)="True",IF(_xlfn.XLOOKUP("Risky_Outbound",'Scoring_Config'!$A:$A,'Scoring_Config'!$D:$D,"Yes")="Yes",_xlfn.XLOOKUP("Risky_Outbound",'Scoring_Config'!$A:$A,'Scoring_Config'!$C:$C,10),0),0)+IF(LEFT(AW289,4)="True",IF(_xlfn.XLOOKUP("Migrate_Insecure",'Scoring_Config'!$A:$A,'Scoring_Config'!$D:$D,"Yes")="Yes",_xlfn.XLOOKUP("Migrate_Insecure",'Scoring_Config'!$A:$A,'Scoring_Config'!$C:$C,15),0),0)+IF(LEFT(AY289,4)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289,FIND(",",AP289)+1,100)),0)+IF(LEFT(AQ289,4)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289,FIND(",",AR289)+1,100)),0)+IF(_xlfn.XLOOKUP("Profile_Scoring",'Scoring_Config'!$A:$A,'Scoring_Config'!$D:$D,"Yes")="Yes",VALUE(MID(AS289,FIND(",",AS289)+1,100)),0)+IF(_xlfn.XLOOKUP("Options_Scoring",'Scoring_Config'!$A:$A,'Scoring_Config'!$D:$D,"Yes")="Yes",VALUE(MID(AT289,FIND(",",AT289)+1,100)),0)))</f>
        <v>0</v>
      </c>
    </row>
    <row r="290" spans="1:52">
      <c r="A290" s="3" t="s">
        <v>54</v>
      </c>
      <c r="B290" s="3" t="s">
        <v>251</v>
      </c>
      <c r="C290" s="3" t="s">
        <v>331</v>
      </c>
      <c r="D290" s="3"/>
      <c r="E290" s="3" t="s">
        <v>359</v>
      </c>
      <c r="F290" s="3" t="s">
        <v>363</v>
      </c>
      <c r="G290" s="3" t="s">
        <v>365</v>
      </c>
      <c r="H290" s="3" t="s">
        <v>365</v>
      </c>
      <c r="I290" s="3" t="s">
        <v>625</v>
      </c>
      <c r="J290" s="3" t="s">
        <v>360</v>
      </c>
      <c r="K290" s="3" t="s">
        <v>493</v>
      </c>
      <c r="L290" s="3" t="s">
        <v>473</v>
      </c>
      <c r="M290" s="3" t="s">
        <v>787</v>
      </c>
      <c r="N290" s="3" t="s">
        <v>787</v>
      </c>
      <c r="O290" s="4" t="s">
        <v>802</v>
      </c>
      <c r="P290" s="3" t="s">
        <v>863</v>
      </c>
      <c r="Q290" s="3" t="s">
        <v>905</v>
      </c>
      <c r="R290" s="3" t="s">
        <v>909</v>
      </c>
      <c r="S290" s="3" t="s">
        <v>907</v>
      </c>
      <c r="T290" s="3"/>
      <c r="U290" s="3" t="s">
        <v>1297</v>
      </c>
      <c r="V290" s="3" t="s">
        <v>789</v>
      </c>
      <c r="W290" s="3" t="s">
        <v>1494</v>
      </c>
      <c r="X290" s="3" t="s">
        <v>1894</v>
      </c>
      <c r="Y290" s="3" t="s">
        <v>2363</v>
      </c>
      <c r="Z290" s="3"/>
      <c r="AA290" s="3" t="s">
        <v>919</v>
      </c>
      <c r="AB290" s="3"/>
      <c r="AC290" s="5" cm="1">
        <f t="array" ref="AC290">IF(TRUE,"True," &amp; IF(_xlfn.XLOOKUP("Src_IsAny",'Scoring_Config'!$A:$A,'Scoring_Config'!$D:$D,"Yes")="Yes",_xlfn.XLOOKUP("Src_IsAny",'Scoring_Config'!$A:$A,'Scoring_Config'!$C:$C,25),0),"False,0")</f>
        <v>0</v>
      </c>
      <c r="AD290" s="4" cm="1">
        <f t="array" ref="AD290">IF(FALSE,"True," &amp; IF(_xlfn.XLOOKUP("Src_CIDR_Le_16",'Scoring_Config'!$A:$A,'Scoring_Config'!$D:$D,"Yes")="Yes",_xlfn.XLOOKUP("Src_CIDR_Le_16",'Scoring_Config'!$A:$A,'Scoring_Config'!$C:$C,25),0),"False,0")</f>
        <v>0</v>
      </c>
      <c r="AE290" s="4" cm="1">
        <f t="array" ref="AE290">IF(FALSE,"True," &amp; IF(_xlfn.XLOOKUP("Src_CIDR_17_22",'Scoring_Config'!$A:$A,'Scoring_Config'!$D:$D,"Yes")="Yes",_xlfn.XLOOKUP("Src_CIDR_17_22",'Scoring_Config'!$A:$A,'Scoring_Config'!$C:$C,15),0),"False,0")</f>
        <v>0</v>
      </c>
      <c r="AF290" s="4" cm="1">
        <f t="array" ref="AF290">IF(FALSE,"True," &amp; IF(_xlfn.XLOOKUP("Dst_IsAny",'Scoring_Config'!$A:$A,'Scoring_Config'!$D:$D,"Yes")="Yes",_xlfn.XLOOKUP("Dst_IsAny",'Scoring_Config'!$A:$A,'Scoring_Config'!$C:$C,25),0),"False,0")</f>
        <v>0</v>
      </c>
      <c r="AG290" s="4" cm="1">
        <f t="array" ref="AG290">IF(FALSE,"True," &amp; IF(_xlfn.XLOOKUP("Dst_CIDR_Le_16",'Scoring_Config'!$A:$A,'Scoring_Config'!$D:$D,"Yes")="Yes",_xlfn.XLOOKUP("Dst_CIDR_Le_16",'Scoring_Config'!$A:$A,'Scoring_Config'!$C:$C,25),0),"False,0")</f>
        <v>0</v>
      </c>
      <c r="AH290" s="4" cm="1">
        <f t="array" ref="AH290">IF(FALSE,"True," &amp; IF(_xlfn.XLOOKUP("Dst_CIDR_17_22",'Scoring_Config'!$A:$A,'Scoring_Config'!$D:$D,"Yes")="Yes",_xlfn.XLOOKUP("Dst_CIDR_17_22",'Scoring_Config'!$A:$A,'Scoring_Config'!$C:$C,15),0),"False,0")</f>
        <v>0</v>
      </c>
      <c r="AI290" s="4" cm="1">
        <f t="array" ref="AI290">IF(FALSE,"True," &amp; IF(_xlfn.XLOOKUP("SrcZone_IsAny",'Scoring_Config'!$A:$A,'Scoring_Config'!$D:$D,"Yes")="Yes",_xlfn.XLOOKUP("SrcZone_IsAny",'Scoring_Config'!$A:$A,'Scoring_Config'!$C:$C,5),0),"False,0")</f>
        <v>0</v>
      </c>
      <c r="AJ290" s="4" cm="1">
        <f t="array" ref="AJ290">IF(FALSE,"True," &amp; IF(_xlfn.XLOOKUP("DstZone_IsAny",'Scoring_Config'!$A:$A,'Scoring_Config'!$D:$D,"Yes")="Yes",_xlfn.XLOOKUP("DstZone_IsAny",'Scoring_Config'!$A:$A,'Scoring_Config'!$C:$C,5),0),"False,0")</f>
        <v>0</v>
      </c>
      <c r="AK290" s="4" cm="1">
        <f t="array" ref="AK29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0" s="4" cm="1">
        <f t="array" ref="AL290">IF(FALSE,"True," &amp; IF(_xlfn.XLOOKUP("App_Any_OR_RangeGt1000",'Scoring_Config'!$A:$A,'Scoring_Config'!$D:$D,"Yes")="Yes",_xlfn.XLOOKUP("App_Any_OR_RangeGt1000",'Scoring_Config'!$A:$A,'Scoring_Config'!$C:$C,25),0),"False,0")</f>
        <v>0</v>
      </c>
      <c r="AM290" s="5" cm="1">
        <f t="array" ref="AM290">IF(TRUE,"True," &amp; IF(_xlfn.XLOOKUP("Service_Insecure_Match",'Scoring_Config'!$A:$A,'Scoring_Config'!$D:$D,"Yes")="Yes",_xlfn.XLOOKUP("Service_Insecure_Match",'Scoring_Config'!$A:$A,'Scoring_Config'!$C:$C,20),0),"False,0")</f>
        <v>0</v>
      </c>
      <c r="AN290" s="4" cm="1">
        <f t="array" ref="AN290">IF(FALSE,"True," &amp; IF(_xlfn.XLOOKUP("Risky_Inbound",'Scoring_Config'!$A:$A,'Scoring_Config'!$D:$D,"Yes")="Yes",_xlfn.XLOOKUP("Risky_Inbound",'Scoring_Config'!$A:$A,'Scoring_Config'!$C:$C,20),0),"False,0")</f>
        <v>0</v>
      </c>
      <c r="AO290" s="4" cm="1">
        <f t="array" ref="AO290">IF(FALSE,"True," &amp; IF(_xlfn.XLOOKUP("Risky_Outbound",'Scoring_Config'!$A:$A,'Scoring_Config'!$D:$D,"Yes")="Yes",_xlfn.XLOOKUP("Risky_Outbound",'Scoring_Config'!$A:$A,'Scoring_Config'!$C:$C,10),0),"False,0")</f>
        <v>0</v>
      </c>
      <c r="AP290" s="5" t="s">
        <v>2595</v>
      </c>
      <c r="AQ290" s="4" cm="1">
        <f t="array" ref="AQ29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0" s="5" t="s">
        <v>2598</v>
      </c>
      <c r="AS290" s="4" t="s">
        <v>2592</v>
      </c>
      <c r="AT290" s="5" t="s">
        <v>2595</v>
      </c>
      <c r="AU290" s="4" cm="1">
        <f t="array" ref="AU290">IF(FALSE,"True," &amp; IF(_xlfn.XLOOKUP("Action_IsDenyOrDrop",'Scoring_Config'!$A:$A,'Scoring_Config'!$D:$D,"Yes")="Yes",_xlfn.XLOOKUP("Action_IsDenyOrDrop",'Scoring_Config'!$A:$A,'Scoring_Config'!$C:$C,0),0),"False,0")</f>
        <v>0</v>
      </c>
      <c r="AV290" s="4"/>
      <c r="AW290" s="4" cm="1">
        <f t="array" ref="AW290">IF(FALSE,"True," &amp; IF(_xlfn.XLOOKUP("Migrate_Insecure",'Scoring_Config'!$A:$A,'Scoring_Config'!$D:$D,"Yes")="Yes",_xlfn.XLOOKUP("Migrate_Insecure",'Scoring_Config'!$A:$A,'Scoring_Config'!$C:$C,15),0),"False,0")</f>
        <v>0</v>
      </c>
      <c r="AX290" s="4"/>
      <c r="AY290" s="4" cm="1">
        <f t="array" ref="AY290">IF(FALSE,"True," &amp; IF(_xlfn.XLOOKUP("Migrate_Other_Ports",'Scoring_Config'!$A:$A,'Scoring_Config'!$D:$D,"Yes")="Yes",_xlfn.XLOOKUP("Migrate_Other_Ports",'Scoring_Config'!$A:$A,'Scoring_Config'!$C:$C,5),0),"False,0")</f>
        <v>0</v>
      </c>
      <c r="AZ290" s="4" cm="1">
        <f t="array" ref="AZ290">IF(LEFT(AU290,4)="True",0,(IF(LEFT(AC290,4)="True",IF(_xlfn.XLOOKUP("Src_IsAny",'Scoring_Config'!$A:$A,'Scoring_Config'!$D:$D,"Yes")="Yes",_xlfn.XLOOKUP("Src_IsAny",'Scoring_Config'!$A:$A,'Scoring_Config'!$C:$C,25),0),0)+IF(LEFT(AD290,4)="True",IF(_xlfn.XLOOKUP("Src_CIDR_Le_16",'Scoring_Config'!$A:$A,'Scoring_Config'!$D:$D,"Yes")="Yes",_xlfn.XLOOKUP("Src_CIDR_Le_16",'Scoring_Config'!$A:$A,'Scoring_Config'!$C:$C,25),0),0)+IF(LEFT(AE290,4)="True",IF(_xlfn.XLOOKUP("Src_CIDR_17_22",'Scoring_Config'!$A:$A,'Scoring_Config'!$D:$D,"Yes")="Yes",_xlfn.XLOOKUP("Src_CIDR_17_22",'Scoring_Config'!$A:$A,'Scoring_Config'!$C:$C,15),0),0)+IF(LEFT(AF290,4)="True",IF(_xlfn.XLOOKUP("Dst_IsAny",'Scoring_Config'!$A:$A,'Scoring_Config'!$D:$D,"Yes")="Yes",_xlfn.XLOOKUP("Dst_IsAny",'Scoring_Config'!$A:$A,'Scoring_Config'!$C:$C,25),0),0)+IF(LEFT(AG290,4)="True",IF(_xlfn.XLOOKUP("Dst_CIDR_Le_16",'Scoring_Config'!$A:$A,'Scoring_Config'!$D:$D,"Yes")="Yes",_xlfn.XLOOKUP("Dst_CIDR_Le_16",'Scoring_Config'!$A:$A,'Scoring_Config'!$C:$C,25),0),0)+IF(LEFT(AH290,4)="True",IF(_xlfn.XLOOKUP("Dst_CIDR_17_22",'Scoring_Config'!$A:$A,'Scoring_Config'!$D:$D,"Yes")="Yes",_xlfn.XLOOKUP("Dst_CIDR_17_22",'Scoring_Config'!$A:$A,'Scoring_Config'!$C:$C,15),0),0)+IF(LEFT(AI290,4)="True",IF(_xlfn.XLOOKUP("SrcZone_IsAny",'Scoring_Config'!$A:$A,'Scoring_Config'!$D:$D,"Yes")="Yes",_xlfn.XLOOKUP("SrcZone_IsAny",'Scoring_Config'!$A:$A,'Scoring_Config'!$C:$C,5),0),0)+IF(LEFT(AJ290,4)="True",IF(_xlfn.XLOOKUP("DstZone_IsAny",'Scoring_Config'!$A:$A,'Scoring_Config'!$D:$D,"Yes")="Yes",_xlfn.XLOOKUP("DstZone_IsAny",'Scoring_Config'!$A:$A,'Scoring_Config'!$C:$C,5),0),0)+IF(LEFT(AK290,4)="True",IF(_xlfn.XLOOKUP("Service_Any_OR_RangeGt1000",'Scoring_Config'!$A:$A,'Scoring_Config'!$D:$D,"Yes")="Yes",_xlfn.XLOOKUP("Service_Any_OR_RangeGt1000",'Scoring_Config'!$A:$A,'Scoring_Config'!$C:$C,25),0),0)+IF(LEFT(AL290,4)="True",IF(_xlfn.XLOOKUP("App_Any_OR_RangeGt1000",'Scoring_Config'!$A:$A,'Scoring_Config'!$D:$D,"Yes")="Yes",_xlfn.XLOOKUP("App_Any_OR_RangeGt1000",'Scoring_Config'!$A:$A,'Scoring_Config'!$C:$C,25),0),0)+IF(LEFT(AM290,4)="True",IF(_xlfn.XLOOKUP("Service_Insecure_Match",'Scoring_Config'!$A:$A,'Scoring_Config'!$D:$D,"Yes")="Yes",_xlfn.XLOOKUP("Service_Insecure_Match",'Scoring_Config'!$A:$A,'Scoring_Config'!$C:$C,20),0),0)+IF(LEFT(AN290,4)="True",IF(_xlfn.XLOOKUP("Risky_Inbound",'Scoring_Config'!$A:$A,'Scoring_Config'!$D:$D,"Yes")="Yes",_xlfn.XLOOKUP("Risky_Inbound",'Scoring_Config'!$A:$A,'Scoring_Config'!$C:$C,20),0),0)+IF(LEFT(AO290,4)="True",IF(_xlfn.XLOOKUP("Risky_Outbound",'Scoring_Config'!$A:$A,'Scoring_Config'!$D:$D,"Yes")="Yes",_xlfn.XLOOKUP("Risky_Outbound",'Scoring_Config'!$A:$A,'Scoring_Config'!$C:$C,10),0),0)+IF(LEFT(AW290,4)="True",IF(_xlfn.XLOOKUP("Migrate_Insecure",'Scoring_Config'!$A:$A,'Scoring_Config'!$D:$D,"Yes")="Yes",_xlfn.XLOOKUP("Migrate_Insecure",'Scoring_Config'!$A:$A,'Scoring_Config'!$C:$C,15),0),0)+IF(LEFT(AY290,4)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290,FIND(",",AP290)+1,100)),0)+IF(LEFT(AQ290,4)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290,FIND(",",AR290)+1,100)),0)+IF(_xlfn.XLOOKUP("Profile_Scoring",'Scoring_Config'!$A:$A,'Scoring_Config'!$D:$D,"Yes")="Yes",VALUE(MID(AS290,FIND(",",AS290)+1,100)),0)+IF(_xlfn.XLOOKUP("Options_Scoring",'Scoring_Config'!$A:$A,'Scoring_Config'!$D:$D,"Yes")="Yes",VALUE(MID(AT290,FIND(",",AT290)+1,100)),0)))</f>
        <v>0</v>
      </c>
    </row>
    <row r="291" spans="1:52">
      <c r="A291" s="3" t="s">
        <v>54</v>
      </c>
      <c r="B291" s="3" t="s">
        <v>252</v>
      </c>
      <c r="C291" s="3" t="s">
        <v>331</v>
      </c>
      <c r="D291" s="3" t="s">
        <v>336</v>
      </c>
      <c r="E291" s="3" t="s">
        <v>359</v>
      </c>
      <c r="F291" s="3" t="s">
        <v>362</v>
      </c>
      <c r="G291" s="3" t="s">
        <v>479</v>
      </c>
      <c r="H291" s="3" t="s">
        <v>479</v>
      </c>
      <c r="I291" s="3" t="s">
        <v>625</v>
      </c>
      <c r="J291" s="3" t="s">
        <v>363</v>
      </c>
      <c r="K291" s="3" t="s">
        <v>704</v>
      </c>
      <c r="L291" s="3" t="s">
        <v>402</v>
      </c>
      <c r="M291" s="3" t="s">
        <v>365</v>
      </c>
      <c r="N291" s="3" t="s">
        <v>365</v>
      </c>
      <c r="O291" s="4" t="s">
        <v>844</v>
      </c>
      <c r="P291" s="3" t="s">
        <v>897</v>
      </c>
      <c r="Q291" s="3" t="s">
        <v>904</v>
      </c>
      <c r="R291" s="3" t="s">
        <v>909</v>
      </c>
      <c r="S291" s="3" t="s">
        <v>914</v>
      </c>
      <c r="T291" s="3"/>
      <c r="U291" s="3" t="s">
        <v>1157</v>
      </c>
      <c r="V291" s="3" t="s">
        <v>1386</v>
      </c>
      <c r="W291" s="3" t="s">
        <v>1450</v>
      </c>
      <c r="X291" s="3" t="s">
        <v>1895</v>
      </c>
      <c r="Y291" s="3" t="s">
        <v>2364</v>
      </c>
      <c r="Z291" s="3"/>
      <c r="AA291" s="3" t="s">
        <v>1523</v>
      </c>
      <c r="AB291" s="3"/>
      <c r="AC291" s="4" cm="1">
        <f t="array" ref="AC291">IF(FALSE,"True," &amp; IF(_xlfn.XLOOKUP("Src_IsAny",'Scoring_Config'!$A:$A,'Scoring_Config'!$D:$D,"Yes")="Yes",_xlfn.XLOOKUP("Src_IsAny",'Scoring_Config'!$A:$A,'Scoring_Config'!$C:$C,25),0),"False,0")</f>
        <v>0</v>
      </c>
      <c r="AD291" s="4" cm="1">
        <f t="array" ref="AD291">IF(FALSE,"True," &amp; IF(_xlfn.XLOOKUP("Src_CIDR_Le_16",'Scoring_Config'!$A:$A,'Scoring_Config'!$D:$D,"Yes")="Yes",_xlfn.XLOOKUP("Src_CIDR_Le_16",'Scoring_Config'!$A:$A,'Scoring_Config'!$C:$C,25),0),"False,0")</f>
        <v>0</v>
      </c>
      <c r="AE291" s="4" cm="1">
        <f t="array" ref="AE291">IF(FALSE,"True," &amp; IF(_xlfn.XLOOKUP("Src_CIDR_17_22",'Scoring_Config'!$A:$A,'Scoring_Config'!$D:$D,"Yes")="Yes",_xlfn.XLOOKUP("Src_CIDR_17_22",'Scoring_Config'!$A:$A,'Scoring_Config'!$C:$C,15),0),"False,0")</f>
        <v>0</v>
      </c>
      <c r="AF291" s="4" cm="1">
        <f t="array" ref="AF291">IF(FALSE,"True," &amp; IF(_xlfn.XLOOKUP("Dst_IsAny",'Scoring_Config'!$A:$A,'Scoring_Config'!$D:$D,"Yes")="Yes",_xlfn.XLOOKUP("Dst_IsAny",'Scoring_Config'!$A:$A,'Scoring_Config'!$C:$C,25),0),"False,0")</f>
        <v>0</v>
      </c>
      <c r="AG291" s="4" cm="1">
        <f t="array" ref="AG291">IF(FALSE,"True," &amp; IF(_xlfn.XLOOKUP("Dst_CIDR_Le_16",'Scoring_Config'!$A:$A,'Scoring_Config'!$D:$D,"Yes")="Yes",_xlfn.XLOOKUP("Dst_CIDR_Le_16",'Scoring_Config'!$A:$A,'Scoring_Config'!$C:$C,25),0),"False,0")</f>
        <v>0</v>
      </c>
      <c r="AH291" s="4" cm="1">
        <f t="array" ref="AH291">IF(FALSE,"True," &amp; IF(_xlfn.XLOOKUP("Dst_CIDR_17_22",'Scoring_Config'!$A:$A,'Scoring_Config'!$D:$D,"Yes")="Yes",_xlfn.XLOOKUP("Dst_CIDR_17_22",'Scoring_Config'!$A:$A,'Scoring_Config'!$C:$C,15),0),"False,0")</f>
        <v>0</v>
      </c>
      <c r="AI291" s="4" cm="1">
        <f t="array" ref="AI291">IF(FALSE,"True," &amp; IF(_xlfn.XLOOKUP("SrcZone_IsAny",'Scoring_Config'!$A:$A,'Scoring_Config'!$D:$D,"Yes")="Yes",_xlfn.XLOOKUP("SrcZone_IsAny",'Scoring_Config'!$A:$A,'Scoring_Config'!$C:$C,5),0),"False,0")</f>
        <v>0</v>
      </c>
      <c r="AJ291" s="4" cm="1">
        <f t="array" ref="AJ291">IF(FALSE,"True," &amp; IF(_xlfn.XLOOKUP("DstZone_IsAny",'Scoring_Config'!$A:$A,'Scoring_Config'!$D:$D,"Yes")="Yes",_xlfn.XLOOKUP("DstZone_IsAny",'Scoring_Config'!$A:$A,'Scoring_Config'!$C:$C,5),0),"False,0")</f>
        <v>0</v>
      </c>
      <c r="AK291" s="5" cm="1">
        <f t="array" ref="AK291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91" s="5" cm="1">
        <f t="array" ref="AL291">IF(TRUE,"True," &amp; IF(_xlfn.XLOOKUP("App_Any_OR_RangeGt1000",'Scoring_Config'!$A:$A,'Scoring_Config'!$D:$D,"Yes")="Yes",_xlfn.XLOOKUP("App_Any_OR_RangeGt1000",'Scoring_Config'!$A:$A,'Scoring_Config'!$C:$C,25),0),"False,0")</f>
        <v>0</v>
      </c>
      <c r="AM291" s="5" cm="1">
        <f t="array" ref="AM291">IF(TRUE,"True," &amp; IF(_xlfn.XLOOKUP("Service_Insecure_Match",'Scoring_Config'!$A:$A,'Scoring_Config'!$D:$D,"Yes")="Yes",_xlfn.XLOOKUP("Service_Insecure_Match",'Scoring_Config'!$A:$A,'Scoring_Config'!$C:$C,20),0),"False,0")</f>
        <v>0</v>
      </c>
      <c r="AN291" s="4" cm="1">
        <f t="array" ref="AN291">IF(FALSE,"True," &amp; IF(_xlfn.XLOOKUP("Risky_Inbound",'Scoring_Config'!$A:$A,'Scoring_Config'!$D:$D,"Yes")="Yes",_xlfn.XLOOKUP("Risky_Inbound",'Scoring_Config'!$A:$A,'Scoring_Config'!$C:$C,20),0),"False,0")</f>
        <v>0</v>
      </c>
      <c r="AO291" s="4" cm="1">
        <f t="array" ref="AO291">IF(FALSE,"True," &amp; IF(_xlfn.XLOOKUP("Risky_Outbound",'Scoring_Config'!$A:$A,'Scoring_Config'!$D:$D,"Yes")="Yes",_xlfn.XLOOKUP("Risky_Outbound",'Scoring_Config'!$A:$A,'Scoring_Config'!$C:$C,10),0),"False,0")</f>
        <v>0</v>
      </c>
      <c r="AP291" s="5" t="s">
        <v>2595</v>
      </c>
      <c r="AQ291" s="5" cm="1">
        <f t="array" ref="AQ29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1" s="5" t="s">
        <v>2598</v>
      </c>
      <c r="AS291" s="4" t="s">
        <v>2592</v>
      </c>
      <c r="AT291" s="4" t="s">
        <v>2592</v>
      </c>
      <c r="AU291" s="5" cm="1">
        <f t="array" ref="AU291">IF(TRUE,"True," &amp; IF(_xlfn.XLOOKUP("Action_IsDenyOrDrop",'Scoring_Config'!$A:$A,'Scoring_Config'!$D:$D,"Yes")="Yes",_xlfn.XLOOKUP("Action_IsDenyOrDrop",'Scoring_Config'!$A:$A,'Scoring_Config'!$C:$C,0),0),"False,0")</f>
        <v>0</v>
      </c>
      <c r="AV291" s="4"/>
      <c r="AW291" s="4" cm="1">
        <f t="array" ref="AW291">IF(FALSE,"True," &amp; IF(_xlfn.XLOOKUP("Migrate_Insecure",'Scoring_Config'!$A:$A,'Scoring_Config'!$D:$D,"Yes")="Yes",_xlfn.XLOOKUP("Migrate_Insecure",'Scoring_Config'!$A:$A,'Scoring_Config'!$C:$C,15),0),"False,0")</f>
        <v>0</v>
      </c>
      <c r="AX291" s="4"/>
      <c r="AY291" s="4" cm="1">
        <f t="array" ref="AY291">IF(FALSE,"True," &amp; IF(_xlfn.XLOOKUP("Migrate_Other_Ports",'Scoring_Config'!$A:$A,'Scoring_Config'!$D:$D,"Yes")="Yes",_xlfn.XLOOKUP("Migrate_Other_Ports",'Scoring_Config'!$A:$A,'Scoring_Config'!$C:$C,5),0),"False,0")</f>
        <v>0</v>
      </c>
      <c r="AZ291" s="4" cm="1">
        <f t="array" ref="AZ291">IF(LEFT(AU291,4)="True",0,(IF(LEFT(AC291,4)="True",IF(_xlfn.XLOOKUP("Src_IsAny",'Scoring_Config'!$A:$A,'Scoring_Config'!$D:$D,"Yes")="Yes",_xlfn.XLOOKUP("Src_IsAny",'Scoring_Config'!$A:$A,'Scoring_Config'!$C:$C,25),0),0)+IF(LEFT(AD291,4)="True",IF(_xlfn.XLOOKUP("Src_CIDR_Le_16",'Scoring_Config'!$A:$A,'Scoring_Config'!$D:$D,"Yes")="Yes",_xlfn.XLOOKUP("Src_CIDR_Le_16",'Scoring_Config'!$A:$A,'Scoring_Config'!$C:$C,25),0),0)+IF(LEFT(AE291,4)="True",IF(_xlfn.XLOOKUP("Src_CIDR_17_22",'Scoring_Config'!$A:$A,'Scoring_Config'!$D:$D,"Yes")="Yes",_xlfn.XLOOKUP("Src_CIDR_17_22",'Scoring_Config'!$A:$A,'Scoring_Config'!$C:$C,15),0),0)+IF(LEFT(AF291,4)="True",IF(_xlfn.XLOOKUP("Dst_IsAny",'Scoring_Config'!$A:$A,'Scoring_Config'!$D:$D,"Yes")="Yes",_xlfn.XLOOKUP("Dst_IsAny",'Scoring_Config'!$A:$A,'Scoring_Config'!$C:$C,25),0),0)+IF(LEFT(AG291,4)="True",IF(_xlfn.XLOOKUP("Dst_CIDR_Le_16",'Scoring_Config'!$A:$A,'Scoring_Config'!$D:$D,"Yes")="Yes",_xlfn.XLOOKUP("Dst_CIDR_Le_16",'Scoring_Config'!$A:$A,'Scoring_Config'!$C:$C,25),0),0)+IF(LEFT(AH291,4)="True",IF(_xlfn.XLOOKUP("Dst_CIDR_17_22",'Scoring_Config'!$A:$A,'Scoring_Config'!$D:$D,"Yes")="Yes",_xlfn.XLOOKUP("Dst_CIDR_17_22",'Scoring_Config'!$A:$A,'Scoring_Config'!$C:$C,15),0),0)+IF(LEFT(AI291,4)="True",IF(_xlfn.XLOOKUP("SrcZone_IsAny",'Scoring_Config'!$A:$A,'Scoring_Config'!$D:$D,"Yes")="Yes",_xlfn.XLOOKUP("SrcZone_IsAny",'Scoring_Config'!$A:$A,'Scoring_Config'!$C:$C,5),0),0)+IF(LEFT(AJ291,4)="True",IF(_xlfn.XLOOKUP("DstZone_IsAny",'Scoring_Config'!$A:$A,'Scoring_Config'!$D:$D,"Yes")="Yes",_xlfn.XLOOKUP("DstZone_IsAny",'Scoring_Config'!$A:$A,'Scoring_Config'!$C:$C,5),0),0)+IF(LEFT(AK291,4)="True",IF(_xlfn.XLOOKUP("Service_Any_OR_RangeGt1000",'Scoring_Config'!$A:$A,'Scoring_Config'!$D:$D,"Yes")="Yes",_xlfn.XLOOKUP("Service_Any_OR_RangeGt1000",'Scoring_Config'!$A:$A,'Scoring_Config'!$C:$C,25),0),0)+IF(LEFT(AL291,4)="True",IF(_xlfn.XLOOKUP("App_Any_OR_RangeGt1000",'Scoring_Config'!$A:$A,'Scoring_Config'!$D:$D,"Yes")="Yes",_xlfn.XLOOKUP("App_Any_OR_RangeGt1000",'Scoring_Config'!$A:$A,'Scoring_Config'!$C:$C,25),0),0)+IF(LEFT(AM291,4)="True",IF(_xlfn.XLOOKUP("Service_Insecure_Match",'Scoring_Config'!$A:$A,'Scoring_Config'!$D:$D,"Yes")="Yes",_xlfn.XLOOKUP("Service_Insecure_Match",'Scoring_Config'!$A:$A,'Scoring_Config'!$C:$C,20),0),0)+IF(LEFT(AN291,4)="True",IF(_xlfn.XLOOKUP("Risky_Inbound",'Scoring_Config'!$A:$A,'Scoring_Config'!$D:$D,"Yes")="Yes",_xlfn.XLOOKUP("Risky_Inbound",'Scoring_Config'!$A:$A,'Scoring_Config'!$C:$C,20),0),0)+IF(LEFT(AO291,4)="True",IF(_xlfn.XLOOKUP("Risky_Outbound",'Scoring_Config'!$A:$A,'Scoring_Config'!$D:$D,"Yes")="Yes",_xlfn.XLOOKUP("Risky_Outbound",'Scoring_Config'!$A:$A,'Scoring_Config'!$C:$C,10),0),0)+IF(LEFT(AW291,4)="True",IF(_xlfn.XLOOKUP("Migrate_Insecure",'Scoring_Config'!$A:$A,'Scoring_Config'!$D:$D,"Yes")="Yes",_xlfn.XLOOKUP("Migrate_Insecure",'Scoring_Config'!$A:$A,'Scoring_Config'!$C:$C,15),0),0)+IF(LEFT(AY291,4)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291,FIND(",",AP291)+1,100)),0)+IF(LEFT(AQ291,4)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291,FIND(",",AR291)+1,100)),0)+IF(_xlfn.XLOOKUP("Profile_Scoring",'Scoring_Config'!$A:$A,'Scoring_Config'!$D:$D,"Yes")="Yes",VALUE(MID(AS291,FIND(",",AS291)+1,100)),0)+IF(_xlfn.XLOOKUP("Options_Scoring",'Scoring_Config'!$A:$A,'Scoring_Config'!$D:$D,"Yes")="Yes",VALUE(MID(AT291,FIND(",",AT291)+1,100)),0)))</f>
        <v>0</v>
      </c>
    </row>
    <row r="292" spans="1:52">
      <c r="A292" s="3" t="s">
        <v>54</v>
      </c>
      <c r="B292" s="3" t="s">
        <v>105</v>
      </c>
      <c r="C292" s="3" t="s">
        <v>331</v>
      </c>
      <c r="D292" s="3" t="s">
        <v>335</v>
      </c>
      <c r="E292" s="3" t="s">
        <v>359</v>
      </c>
      <c r="F292" s="3" t="s">
        <v>361</v>
      </c>
      <c r="G292" s="3" t="s">
        <v>365</v>
      </c>
      <c r="H292" s="3" t="s">
        <v>365</v>
      </c>
      <c r="I292" s="3" t="s">
        <v>623</v>
      </c>
      <c r="J292" s="3" t="s">
        <v>360</v>
      </c>
      <c r="K292" s="3" t="s">
        <v>365</v>
      </c>
      <c r="L292" s="3" t="s">
        <v>365</v>
      </c>
      <c r="M292" s="3" t="s">
        <v>365</v>
      </c>
      <c r="N292" s="3" t="s">
        <v>365</v>
      </c>
      <c r="O292" s="4" t="s">
        <v>811</v>
      </c>
      <c r="P292" s="3" t="s">
        <v>872</v>
      </c>
      <c r="Q292" s="3" t="s">
        <v>905</v>
      </c>
      <c r="R292" s="3" t="s">
        <v>907</v>
      </c>
      <c r="S292" s="3" t="s">
        <v>913</v>
      </c>
      <c r="T292" s="3"/>
      <c r="U292" s="3" t="s">
        <v>1298</v>
      </c>
      <c r="V292" s="3" t="s">
        <v>789</v>
      </c>
      <c r="W292" s="3" t="s">
        <v>1138</v>
      </c>
      <c r="X292" s="3" t="s">
        <v>1896</v>
      </c>
      <c r="Y292" s="3" t="s">
        <v>2365</v>
      </c>
      <c r="Z292" s="3"/>
      <c r="AA292" s="3" t="s">
        <v>1579</v>
      </c>
      <c r="AB292" s="3"/>
      <c r="AC292" s="5" cm="1">
        <f t="array" ref="AC292">IF(TRUE,"True," &amp; IF(_xlfn.XLOOKUP("Src_IsAny",'Scoring_Config'!$A:$A,'Scoring_Config'!$D:$D,"Yes")="Yes",_xlfn.XLOOKUP("Src_IsAny",'Scoring_Config'!$A:$A,'Scoring_Config'!$C:$C,25),0),"False,0")</f>
        <v>0</v>
      </c>
      <c r="AD292" s="4" cm="1">
        <f t="array" ref="AD292">IF(FALSE,"True," &amp; IF(_xlfn.XLOOKUP("Src_CIDR_Le_16",'Scoring_Config'!$A:$A,'Scoring_Config'!$D:$D,"Yes")="Yes",_xlfn.XLOOKUP("Src_CIDR_Le_16",'Scoring_Config'!$A:$A,'Scoring_Config'!$C:$C,25),0),"False,0")</f>
        <v>0</v>
      </c>
      <c r="AE292" s="4" cm="1">
        <f t="array" ref="AE292">IF(FALSE,"True," &amp; IF(_xlfn.XLOOKUP("Src_CIDR_17_22",'Scoring_Config'!$A:$A,'Scoring_Config'!$D:$D,"Yes")="Yes",_xlfn.XLOOKUP("Src_CIDR_17_22",'Scoring_Config'!$A:$A,'Scoring_Config'!$C:$C,15),0),"False,0")</f>
        <v>0</v>
      </c>
      <c r="AF292" s="5" cm="1">
        <f t="array" ref="AF292">IF(TRUE,"True," &amp; IF(_xlfn.XLOOKUP("Dst_IsAny",'Scoring_Config'!$A:$A,'Scoring_Config'!$D:$D,"Yes")="Yes",_xlfn.XLOOKUP("Dst_IsAny",'Scoring_Config'!$A:$A,'Scoring_Config'!$C:$C,25),0),"False,0")</f>
        <v>0</v>
      </c>
      <c r="AG292" s="4" cm="1">
        <f t="array" ref="AG292">IF(FALSE,"True," &amp; IF(_xlfn.XLOOKUP("Dst_CIDR_Le_16",'Scoring_Config'!$A:$A,'Scoring_Config'!$D:$D,"Yes")="Yes",_xlfn.XLOOKUP("Dst_CIDR_Le_16",'Scoring_Config'!$A:$A,'Scoring_Config'!$C:$C,25),0),"False,0")</f>
        <v>0</v>
      </c>
      <c r="AH292" s="4" cm="1">
        <f t="array" ref="AH292">IF(FALSE,"True," &amp; IF(_xlfn.XLOOKUP("Dst_CIDR_17_22",'Scoring_Config'!$A:$A,'Scoring_Config'!$D:$D,"Yes")="Yes",_xlfn.XLOOKUP("Dst_CIDR_17_22",'Scoring_Config'!$A:$A,'Scoring_Config'!$C:$C,15),0),"False,0")</f>
        <v>0</v>
      </c>
      <c r="AI292" s="4" cm="1">
        <f t="array" ref="AI292">IF(FALSE,"True," &amp; IF(_xlfn.XLOOKUP("SrcZone_IsAny",'Scoring_Config'!$A:$A,'Scoring_Config'!$D:$D,"Yes")="Yes",_xlfn.XLOOKUP("SrcZone_IsAny",'Scoring_Config'!$A:$A,'Scoring_Config'!$C:$C,5),0),"False,0")</f>
        <v>0</v>
      </c>
      <c r="AJ292" s="4" cm="1">
        <f t="array" ref="AJ292">IF(FALSE,"True," &amp; IF(_xlfn.XLOOKUP("DstZone_IsAny",'Scoring_Config'!$A:$A,'Scoring_Config'!$D:$D,"Yes")="Yes",_xlfn.XLOOKUP("DstZone_IsAny",'Scoring_Config'!$A:$A,'Scoring_Config'!$C:$C,5),0),"False,0")</f>
        <v>0</v>
      </c>
      <c r="AK292" s="4" cm="1">
        <f t="array" ref="AK29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2" s="5" cm="1">
        <f t="array" ref="AL292">IF(TRUE,"True," &amp; IF(_xlfn.XLOOKUP("App_Any_OR_RangeGt1000",'Scoring_Config'!$A:$A,'Scoring_Config'!$D:$D,"Yes")="Yes",_xlfn.XLOOKUP("App_Any_OR_RangeGt1000",'Scoring_Config'!$A:$A,'Scoring_Config'!$C:$C,25),0),"False,0")</f>
        <v>0</v>
      </c>
      <c r="AM292" s="5" cm="1">
        <f t="array" ref="AM292">IF(TRUE,"True," &amp; IF(_xlfn.XLOOKUP("Service_Insecure_Match",'Scoring_Config'!$A:$A,'Scoring_Config'!$D:$D,"Yes")="Yes",_xlfn.XLOOKUP("Service_Insecure_Match",'Scoring_Config'!$A:$A,'Scoring_Config'!$C:$C,20),0),"False,0")</f>
        <v>0</v>
      </c>
      <c r="AN292" s="4" cm="1">
        <f t="array" ref="AN292">IF(FALSE,"True," &amp; IF(_xlfn.XLOOKUP("Risky_Inbound",'Scoring_Config'!$A:$A,'Scoring_Config'!$D:$D,"Yes")="Yes",_xlfn.XLOOKUP("Risky_Inbound",'Scoring_Config'!$A:$A,'Scoring_Config'!$C:$C,20),0),"False,0")</f>
        <v>0</v>
      </c>
      <c r="AO292" s="4" cm="1">
        <f t="array" ref="AO292">IF(FALSE,"True," &amp; IF(_xlfn.XLOOKUP("Risky_Outbound",'Scoring_Config'!$A:$A,'Scoring_Config'!$D:$D,"Yes")="Yes",_xlfn.XLOOKUP("Risky_Outbound",'Scoring_Config'!$A:$A,'Scoring_Config'!$C:$C,10),0),"False,0")</f>
        <v>0</v>
      </c>
      <c r="AP292" s="5" t="s">
        <v>2595</v>
      </c>
      <c r="AQ292" s="4" cm="1">
        <f t="array" ref="AQ29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2" s="5" t="s">
        <v>2598</v>
      </c>
      <c r="AS292" s="5" t="s">
        <v>2595</v>
      </c>
      <c r="AT292" s="4" t="s">
        <v>2592</v>
      </c>
      <c r="AU292" s="4" cm="1">
        <f t="array" ref="AU292">IF(FALSE,"True," &amp; IF(_xlfn.XLOOKUP("Action_IsDenyOrDrop",'Scoring_Config'!$A:$A,'Scoring_Config'!$D:$D,"Yes")="Yes",_xlfn.XLOOKUP("Action_IsDenyOrDrop",'Scoring_Config'!$A:$A,'Scoring_Config'!$C:$C,0),0),"False,0")</f>
        <v>0</v>
      </c>
      <c r="AV292" s="4"/>
      <c r="AW292" s="4" cm="1">
        <f t="array" ref="AW292">IF(FALSE,"True," &amp; IF(_xlfn.XLOOKUP("Migrate_Insecure",'Scoring_Config'!$A:$A,'Scoring_Config'!$D:$D,"Yes")="Yes",_xlfn.XLOOKUP("Migrate_Insecure",'Scoring_Config'!$A:$A,'Scoring_Config'!$C:$C,15),0),"False,0")</f>
        <v>0</v>
      </c>
      <c r="AX292" s="4"/>
      <c r="AY292" s="4" cm="1">
        <f t="array" ref="AY292">IF(FALSE,"True," &amp; IF(_xlfn.XLOOKUP("Migrate_Other_Ports",'Scoring_Config'!$A:$A,'Scoring_Config'!$D:$D,"Yes")="Yes",_xlfn.XLOOKUP("Migrate_Other_Ports",'Scoring_Config'!$A:$A,'Scoring_Config'!$C:$C,5),0),"False,0")</f>
        <v>0</v>
      </c>
      <c r="AZ292" s="4" cm="1">
        <f t="array" ref="AZ292">IF(LEFT(AU292,4)="True",0,(IF(LEFT(AC292,4)="True",IF(_xlfn.XLOOKUP("Src_IsAny",'Scoring_Config'!$A:$A,'Scoring_Config'!$D:$D,"Yes")="Yes",_xlfn.XLOOKUP("Src_IsAny",'Scoring_Config'!$A:$A,'Scoring_Config'!$C:$C,25),0),0)+IF(LEFT(AD292,4)="True",IF(_xlfn.XLOOKUP("Src_CIDR_Le_16",'Scoring_Config'!$A:$A,'Scoring_Config'!$D:$D,"Yes")="Yes",_xlfn.XLOOKUP("Src_CIDR_Le_16",'Scoring_Config'!$A:$A,'Scoring_Config'!$C:$C,25),0),0)+IF(LEFT(AE292,4)="True",IF(_xlfn.XLOOKUP("Src_CIDR_17_22",'Scoring_Config'!$A:$A,'Scoring_Config'!$D:$D,"Yes")="Yes",_xlfn.XLOOKUP("Src_CIDR_17_22",'Scoring_Config'!$A:$A,'Scoring_Config'!$C:$C,15),0),0)+IF(LEFT(AF292,4)="True",IF(_xlfn.XLOOKUP("Dst_IsAny",'Scoring_Config'!$A:$A,'Scoring_Config'!$D:$D,"Yes")="Yes",_xlfn.XLOOKUP("Dst_IsAny",'Scoring_Config'!$A:$A,'Scoring_Config'!$C:$C,25),0),0)+IF(LEFT(AG292,4)="True",IF(_xlfn.XLOOKUP("Dst_CIDR_Le_16",'Scoring_Config'!$A:$A,'Scoring_Config'!$D:$D,"Yes")="Yes",_xlfn.XLOOKUP("Dst_CIDR_Le_16",'Scoring_Config'!$A:$A,'Scoring_Config'!$C:$C,25),0),0)+IF(LEFT(AH292,4)="True",IF(_xlfn.XLOOKUP("Dst_CIDR_17_22",'Scoring_Config'!$A:$A,'Scoring_Config'!$D:$D,"Yes")="Yes",_xlfn.XLOOKUP("Dst_CIDR_17_22",'Scoring_Config'!$A:$A,'Scoring_Config'!$C:$C,15),0),0)+IF(LEFT(AI292,4)="True",IF(_xlfn.XLOOKUP("SrcZone_IsAny",'Scoring_Config'!$A:$A,'Scoring_Config'!$D:$D,"Yes")="Yes",_xlfn.XLOOKUP("SrcZone_IsAny",'Scoring_Config'!$A:$A,'Scoring_Config'!$C:$C,5),0),0)+IF(LEFT(AJ292,4)="True",IF(_xlfn.XLOOKUP("DstZone_IsAny",'Scoring_Config'!$A:$A,'Scoring_Config'!$D:$D,"Yes")="Yes",_xlfn.XLOOKUP("DstZone_IsAny",'Scoring_Config'!$A:$A,'Scoring_Config'!$C:$C,5),0),0)+IF(LEFT(AK292,4)="True",IF(_xlfn.XLOOKUP("Service_Any_OR_RangeGt1000",'Scoring_Config'!$A:$A,'Scoring_Config'!$D:$D,"Yes")="Yes",_xlfn.XLOOKUP("Service_Any_OR_RangeGt1000",'Scoring_Config'!$A:$A,'Scoring_Config'!$C:$C,25),0),0)+IF(LEFT(AL292,4)="True",IF(_xlfn.XLOOKUP("App_Any_OR_RangeGt1000",'Scoring_Config'!$A:$A,'Scoring_Config'!$D:$D,"Yes")="Yes",_xlfn.XLOOKUP("App_Any_OR_RangeGt1000",'Scoring_Config'!$A:$A,'Scoring_Config'!$C:$C,25),0),0)+IF(LEFT(AM292,4)="True",IF(_xlfn.XLOOKUP("Service_Insecure_Match",'Scoring_Config'!$A:$A,'Scoring_Config'!$D:$D,"Yes")="Yes",_xlfn.XLOOKUP("Service_Insecure_Match",'Scoring_Config'!$A:$A,'Scoring_Config'!$C:$C,20),0),0)+IF(LEFT(AN292,4)="True",IF(_xlfn.XLOOKUP("Risky_Inbound",'Scoring_Config'!$A:$A,'Scoring_Config'!$D:$D,"Yes")="Yes",_xlfn.XLOOKUP("Risky_Inbound",'Scoring_Config'!$A:$A,'Scoring_Config'!$C:$C,20),0),0)+IF(LEFT(AO292,4)="True",IF(_xlfn.XLOOKUP("Risky_Outbound",'Scoring_Config'!$A:$A,'Scoring_Config'!$D:$D,"Yes")="Yes",_xlfn.XLOOKUP("Risky_Outbound",'Scoring_Config'!$A:$A,'Scoring_Config'!$C:$C,10),0),0)+IF(LEFT(AW292,4)="True",IF(_xlfn.XLOOKUP("Migrate_Insecure",'Scoring_Config'!$A:$A,'Scoring_Config'!$D:$D,"Yes")="Yes",_xlfn.XLOOKUP("Migrate_Insecure",'Scoring_Config'!$A:$A,'Scoring_Config'!$C:$C,15),0),0)+IF(LEFT(AY292,4)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292,FIND(",",AP292)+1,100)),0)+IF(LEFT(AQ292,4)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292,FIND(",",AR292)+1,100)),0)+IF(_xlfn.XLOOKUP("Profile_Scoring",'Scoring_Config'!$A:$A,'Scoring_Config'!$D:$D,"Yes")="Yes",VALUE(MID(AS292,FIND(",",AS292)+1,100)),0)+IF(_xlfn.XLOOKUP("Options_Scoring",'Scoring_Config'!$A:$A,'Scoring_Config'!$D:$D,"Yes")="Yes",VALUE(MID(AT292,FIND(",",AT292)+1,100)),0)))</f>
        <v>0</v>
      </c>
    </row>
    <row r="293" spans="1:52">
      <c r="A293" s="3" t="s">
        <v>54</v>
      </c>
      <c r="B293" s="3" t="s">
        <v>253</v>
      </c>
      <c r="C293" s="3" t="s">
        <v>331</v>
      </c>
      <c r="D293" s="3" t="s">
        <v>354</v>
      </c>
      <c r="E293" s="3" t="s">
        <v>359</v>
      </c>
      <c r="F293" s="3" t="s">
        <v>361</v>
      </c>
      <c r="G293" s="3" t="s">
        <v>480</v>
      </c>
      <c r="H293" s="3" t="s">
        <v>480</v>
      </c>
      <c r="I293" s="3" t="s">
        <v>622</v>
      </c>
      <c r="J293" s="3" t="s">
        <v>362</v>
      </c>
      <c r="K293" s="3" t="s">
        <v>490</v>
      </c>
      <c r="L293" s="3" t="s">
        <v>598</v>
      </c>
      <c r="M293" s="3" t="s">
        <v>787</v>
      </c>
      <c r="N293" s="3" t="s">
        <v>787</v>
      </c>
      <c r="O293" s="4" t="s">
        <v>844</v>
      </c>
      <c r="P293" s="3" t="s">
        <v>897</v>
      </c>
      <c r="Q293" s="3" t="s">
        <v>905</v>
      </c>
      <c r="R293" s="3" t="s">
        <v>908</v>
      </c>
      <c r="S293" s="3" t="s">
        <v>914</v>
      </c>
      <c r="T293" s="3"/>
      <c r="U293" s="3" t="s">
        <v>1282</v>
      </c>
      <c r="V293" s="3" t="s">
        <v>770</v>
      </c>
      <c r="W293" s="3" t="s">
        <v>1027</v>
      </c>
      <c r="X293" s="3" t="s">
        <v>1897</v>
      </c>
      <c r="Y293" s="3" t="s">
        <v>2366</v>
      </c>
      <c r="Z293" s="3"/>
      <c r="AA293" s="3" t="s">
        <v>2565</v>
      </c>
      <c r="AB293" s="3"/>
      <c r="AC293" s="4" cm="1">
        <f t="array" ref="AC293">IF(FALSE,"True," &amp; IF(_xlfn.XLOOKUP("Src_IsAny",'Scoring_Config'!$A:$A,'Scoring_Config'!$D:$D,"Yes")="Yes",_xlfn.XLOOKUP("Src_IsAny",'Scoring_Config'!$A:$A,'Scoring_Config'!$C:$C,25),0),"False,0")</f>
        <v>0</v>
      </c>
      <c r="AD293" s="4" cm="1">
        <f t="array" ref="AD293">IF(FALSE,"True," &amp; IF(_xlfn.XLOOKUP("Src_CIDR_Le_16",'Scoring_Config'!$A:$A,'Scoring_Config'!$D:$D,"Yes")="Yes",_xlfn.XLOOKUP("Src_CIDR_Le_16",'Scoring_Config'!$A:$A,'Scoring_Config'!$C:$C,25),0),"False,0")</f>
        <v>0</v>
      </c>
      <c r="AE293" s="4" cm="1">
        <f t="array" ref="AE293">IF(FALSE,"True," &amp; IF(_xlfn.XLOOKUP("Src_CIDR_17_22",'Scoring_Config'!$A:$A,'Scoring_Config'!$D:$D,"Yes")="Yes",_xlfn.XLOOKUP("Src_CIDR_17_22",'Scoring_Config'!$A:$A,'Scoring_Config'!$C:$C,15),0),"False,0")</f>
        <v>0</v>
      </c>
      <c r="AF293" s="4" cm="1">
        <f t="array" ref="AF293">IF(FALSE,"True," &amp; IF(_xlfn.XLOOKUP("Dst_IsAny",'Scoring_Config'!$A:$A,'Scoring_Config'!$D:$D,"Yes")="Yes",_xlfn.XLOOKUP("Dst_IsAny",'Scoring_Config'!$A:$A,'Scoring_Config'!$C:$C,25),0),"False,0")</f>
        <v>0</v>
      </c>
      <c r="AG293" s="4" cm="1">
        <f t="array" ref="AG293">IF(FALSE,"True," &amp; IF(_xlfn.XLOOKUP("Dst_CIDR_Le_16",'Scoring_Config'!$A:$A,'Scoring_Config'!$D:$D,"Yes")="Yes",_xlfn.XLOOKUP("Dst_CIDR_Le_16",'Scoring_Config'!$A:$A,'Scoring_Config'!$C:$C,25),0),"False,0")</f>
        <v>0</v>
      </c>
      <c r="AH293" s="4" cm="1">
        <f t="array" ref="AH293">IF(FALSE,"True," &amp; IF(_xlfn.XLOOKUP("Dst_CIDR_17_22",'Scoring_Config'!$A:$A,'Scoring_Config'!$D:$D,"Yes")="Yes",_xlfn.XLOOKUP("Dst_CIDR_17_22",'Scoring_Config'!$A:$A,'Scoring_Config'!$C:$C,15),0),"False,0")</f>
        <v>0</v>
      </c>
      <c r="AI293" s="4" cm="1">
        <f t="array" ref="AI293">IF(FALSE,"True," &amp; IF(_xlfn.XLOOKUP("SrcZone_IsAny",'Scoring_Config'!$A:$A,'Scoring_Config'!$D:$D,"Yes")="Yes",_xlfn.XLOOKUP("SrcZone_IsAny",'Scoring_Config'!$A:$A,'Scoring_Config'!$C:$C,5),0),"False,0")</f>
        <v>0</v>
      </c>
      <c r="AJ293" s="4" cm="1">
        <f t="array" ref="AJ293">IF(FALSE,"True," &amp; IF(_xlfn.XLOOKUP("DstZone_IsAny",'Scoring_Config'!$A:$A,'Scoring_Config'!$D:$D,"Yes")="Yes",_xlfn.XLOOKUP("DstZone_IsAny",'Scoring_Config'!$A:$A,'Scoring_Config'!$C:$C,5),0),"False,0")</f>
        <v>0</v>
      </c>
      <c r="AK293" s="5" cm="1">
        <f t="array" ref="AK29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93" s="4" cm="1">
        <f t="array" ref="AL293">IF(FALSE,"True," &amp; IF(_xlfn.XLOOKUP("App_Any_OR_RangeGt1000",'Scoring_Config'!$A:$A,'Scoring_Config'!$D:$D,"Yes")="Yes",_xlfn.XLOOKUP("App_Any_OR_RangeGt1000",'Scoring_Config'!$A:$A,'Scoring_Config'!$C:$C,25),0),"False,0")</f>
        <v>0</v>
      </c>
      <c r="AM293" s="5" cm="1">
        <f t="array" ref="AM293">IF(TRUE,"True," &amp; IF(_xlfn.XLOOKUP("Service_Insecure_Match",'Scoring_Config'!$A:$A,'Scoring_Config'!$D:$D,"Yes")="Yes",_xlfn.XLOOKUP("Service_Insecure_Match",'Scoring_Config'!$A:$A,'Scoring_Config'!$C:$C,20),0),"False,0")</f>
        <v>0</v>
      </c>
      <c r="AN293" s="4" cm="1">
        <f t="array" ref="AN293">IF(FALSE,"True," &amp; IF(_xlfn.XLOOKUP("Risky_Inbound",'Scoring_Config'!$A:$A,'Scoring_Config'!$D:$D,"Yes")="Yes",_xlfn.XLOOKUP("Risky_Inbound",'Scoring_Config'!$A:$A,'Scoring_Config'!$C:$C,20),0),"False,0")</f>
        <v>0</v>
      </c>
      <c r="AO293" s="4" cm="1">
        <f t="array" ref="AO293">IF(FALSE,"True," &amp; IF(_xlfn.XLOOKUP("Risky_Outbound",'Scoring_Config'!$A:$A,'Scoring_Config'!$D:$D,"Yes")="Yes",_xlfn.XLOOKUP("Risky_Outbound",'Scoring_Config'!$A:$A,'Scoring_Config'!$C:$C,10),0),"False,0")</f>
        <v>0</v>
      </c>
      <c r="AP293" s="5" t="s">
        <v>2595</v>
      </c>
      <c r="AQ293" s="5" cm="1">
        <f t="array" ref="AQ29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3" s="5" t="s">
        <v>2598</v>
      </c>
      <c r="AS293" s="4" t="s">
        <v>2592</v>
      </c>
      <c r="AT293" s="4" t="s">
        <v>2592</v>
      </c>
      <c r="AU293" s="4" cm="1">
        <f t="array" ref="AU293">IF(FALSE,"True," &amp; IF(_xlfn.XLOOKUP("Action_IsDenyOrDrop",'Scoring_Config'!$A:$A,'Scoring_Config'!$D:$D,"Yes")="Yes",_xlfn.XLOOKUP("Action_IsDenyOrDrop",'Scoring_Config'!$A:$A,'Scoring_Config'!$C:$C,0),0),"False,0")</f>
        <v>0</v>
      </c>
      <c r="AV293" s="4"/>
      <c r="AW293" s="4" cm="1">
        <f t="array" ref="AW293">IF(FALSE,"True," &amp; IF(_xlfn.XLOOKUP("Migrate_Insecure",'Scoring_Config'!$A:$A,'Scoring_Config'!$D:$D,"Yes")="Yes",_xlfn.XLOOKUP("Migrate_Insecure",'Scoring_Config'!$A:$A,'Scoring_Config'!$C:$C,15),0),"False,0")</f>
        <v>0</v>
      </c>
      <c r="AX293" s="4"/>
      <c r="AY293" s="4" cm="1">
        <f t="array" ref="AY293">IF(FALSE,"True," &amp; IF(_xlfn.XLOOKUP("Migrate_Other_Ports",'Scoring_Config'!$A:$A,'Scoring_Config'!$D:$D,"Yes")="Yes",_xlfn.XLOOKUP("Migrate_Other_Ports",'Scoring_Config'!$A:$A,'Scoring_Config'!$C:$C,5),0),"False,0")</f>
        <v>0</v>
      </c>
      <c r="AZ293" s="4" cm="1">
        <f t="array" ref="AZ293">IF(LEFT(AU293,4)="True",0,(IF(LEFT(AC293,4)="True",IF(_xlfn.XLOOKUP("Src_IsAny",'Scoring_Config'!$A:$A,'Scoring_Config'!$D:$D,"Yes")="Yes",_xlfn.XLOOKUP("Src_IsAny",'Scoring_Config'!$A:$A,'Scoring_Config'!$C:$C,25),0),0)+IF(LEFT(AD293,4)="True",IF(_xlfn.XLOOKUP("Src_CIDR_Le_16",'Scoring_Config'!$A:$A,'Scoring_Config'!$D:$D,"Yes")="Yes",_xlfn.XLOOKUP("Src_CIDR_Le_16",'Scoring_Config'!$A:$A,'Scoring_Config'!$C:$C,25),0),0)+IF(LEFT(AE293,4)="True",IF(_xlfn.XLOOKUP("Src_CIDR_17_22",'Scoring_Config'!$A:$A,'Scoring_Config'!$D:$D,"Yes")="Yes",_xlfn.XLOOKUP("Src_CIDR_17_22",'Scoring_Config'!$A:$A,'Scoring_Config'!$C:$C,15),0),0)+IF(LEFT(AF293,4)="True",IF(_xlfn.XLOOKUP("Dst_IsAny",'Scoring_Config'!$A:$A,'Scoring_Config'!$D:$D,"Yes")="Yes",_xlfn.XLOOKUP("Dst_IsAny",'Scoring_Config'!$A:$A,'Scoring_Config'!$C:$C,25),0),0)+IF(LEFT(AG293,4)="True",IF(_xlfn.XLOOKUP("Dst_CIDR_Le_16",'Scoring_Config'!$A:$A,'Scoring_Config'!$D:$D,"Yes")="Yes",_xlfn.XLOOKUP("Dst_CIDR_Le_16",'Scoring_Config'!$A:$A,'Scoring_Config'!$C:$C,25),0),0)+IF(LEFT(AH293,4)="True",IF(_xlfn.XLOOKUP("Dst_CIDR_17_22",'Scoring_Config'!$A:$A,'Scoring_Config'!$D:$D,"Yes")="Yes",_xlfn.XLOOKUP("Dst_CIDR_17_22",'Scoring_Config'!$A:$A,'Scoring_Config'!$C:$C,15),0),0)+IF(LEFT(AI293,4)="True",IF(_xlfn.XLOOKUP("SrcZone_IsAny",'Scoring_Config'!$A:$A,'Scoring_Config'!$D:$D,"Yes")="Yes",_xlfn.XLOOKUP("SrcZone_IsAny",'Scoring_Config'!$A:$A,'Scoring_Config'!$C:$C,5),0),0)+IF(LEFT(AJ293,4)="True",IF(_xlfn.XLOOKUP("DstZone_IsAny",'Scoring_Config'!$A:$A,'Scoring_Config'!$D:$D,"Yes")="Yes",_xlfn.XLOOKUP("DstZone_IsAny",'Scoring_Config'!$A:$A,'Scoring_Config'!$C:$C,5),0),0)+IF(LEFT(AK293,4)="True",IF(_xlfn.XLOOKUP("Service_Any_OR_RangeGt1000",'Scoring_Config'!$A:$A,'Scoring_Config'!$D:$D,"Yes")="Yes",_xlfn.XLOOKUP("Service_Any_OR_RangeGt1000",'Scoring_Config'!$A:$A,'Scoring_Config'!$C:$C,25),0),0)+IF(LEFT(AL293,4)="True",IF(_xlfn.XLOOKUP("App_Any_OR_RangeGt1000",'Scoring_Config'!$A:$A,'Scoring_Config'!$D:$D,"Yes")="Yes",_xlfn.XLOOKUP("App_Any_OR_RangeGt1000",'Scoring_Config'!$A:$A,'Scoring_Config'!$C:$C,25),0),0)+IF(LEFT(AM293,4)="True",IF(_xlfn.XLOOKUP("Service_Insecure_Match",'Scoring_Config'!$A:$A,'Scoring_Config'!$D:$D,"Yes")="Yes",_xlfn.XLOOKUP("Service_Insecure_Match",'Scoring_Config'!$A:$A,'Scoring_Config'!$C:$C,20),0),0)+IF(LEFT(AN293,4)="True",IF(_xlfn.XLOOKUP("Risky_Inbound",'Scoring_Config'!$A:$A,'Scoring_Config'!$D:$D,"Yes")="Yes",_xlfn.XLOOKUP("Risky_Inbound",'Scoring_Config'!$A:$A,'Scoring_Config'!$C:$C,20),0),0)+IF(LEFT(AO293,4)="True",IF(_xlfn.XLOOKUP("Risky_Outbound",'Scoring_Config'!$A:$A,'Scoring_Config'!$D:$D,"Yes")="Yes",_xlfn.XLOOKUP("Risky_Outbound",'Scoring_Config'!$A:$A,'Scoring_Config'!$C:$C,10),0),0)+IF(LEFT(AW293,4)="True",IF(_xlfn.XLOOKUP("Migrate_Insecure",'Scoring_Config'!$A:$A,'Scoring_Config'!$D:$D,"Yes")="Yes",_xlfn.XLOOKUP("Migrate_Insecure",'Scoring_Config'!$A:$A,'Scoring_Config'!$C:$C,15),0),0)+IF(LEFT(AY293,4)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293,FIND(",",AP293)+1,100)),0)+IF(LEFT(AQ293,4)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293,FIND(",",AR293)+1,100)),0)+IF(_xlfn.XLOOKUP("Profile_Scoring",'Scoring_Config'!$A:$A,'Scoring_Config'!$D:$D,"Yes")="Yes",VALUE(MID(AS293,FIND(",",AS293)+1,100)),0)+IF(_xlfn.XLOOKUP("Options_Scoring",'Scoring_Config'!$A:$A,'Scoring_Config'!$D:$D,"Yes")="Yes",VALUE(MID(AT293,FIND(",",AT293)+1,100)),0)))</f>
        <v>0</v>
      </c>
    </row>
    <row r="294" spans="1:52">
      <c r="A294" s="3" t="s">
        <v>54</v>
      </c>
      <c r="B294" s="3" t="s">
        <v>254</v>
      </c>
      <c r="C294" s="3" t="s">
        <v>331</v>
      </c>
      <c r="D294" s="3"/>
      <c r="E294" s="3" t="s">
        <v>359</v>
      </c>
      <c r="F294" s="3" t="s">
        <v>364</v>
      </c>
      <c r="G294" s="3" t="s">
        <v>365</v>
      </c>
      <c r="H294" s="3" t="s">
        <v>365</v>
      </c>
      <c r="I294" s="3" t="s">
        <v>365</v>
      </c>
      <c r="J294" s="3" t="s">
        <v>363</v>
      </c>
      <c r="K294" s="3" t="s">
        <v>702</v>
      </c>
      <c r="L294" s="3" t="s">
        <v>702</v>
      </c>
      <c r="M294" s="3" t="s">
        <v>365</v>
      </c>
      <c r="N294" s="3" t="s">
        <v>365</v>
      </c>
      <c r="O294" s="4" t="s">
        <v>808</v>
      </c>
      <c r="P294" s="3" t="s">
        <v>869</v>
      </c>
      <c r="Q294" s="3" t="s">
        <v>905</v>
      </c>
      <c r="R294" s="3" t="s">
        <v>907</v>
      </c>
      <c r="S294" s="3" t="s">
        <v>916</v>
      </c>
      <c r="T294" s="3"/>
      <c r="U294" s="3" t="s">
        <v>1268</v>
      </c>
      <c r="V294" s="3" t="s">
        <v>789</v>
      </c>
      <c r="W294" s="3" t="s">
        <v>1546</v>
      </c>
      <c r="X294" s="3" t="s">
        <v>1898</v>
      </c>
      <c r="Y294" s="3" t="s">
        <v>2367</v>
      </c>
      <c r="Z294" s="3"/>
      <c r="AA294" s="3" t="s">
        <v>2566</v>
      </c>
      <c r="AB294" s="3"/>
      <c r="AC294" s="5" cm="1">
        <f t="array" ref="AC294">IF(TRUE,"True," &amp; IF(_xlfn.XLOOKUP("Src_IsAny",'Scoring_Config'!$A:$A,'Scoring_Config'!$D:$D,"Yes")="Yes",_xlfn.XLOOKUP("Src_IsAny",'Scoring_Config'!$A:$A,'Scoring_Config'!$C:$C,25),0),"False,0")</f>
        <v>0</v>
      </c>
      <c r="AD294" s="4" cm="1">
        <f t="array" ref="AD294">IF(FALSE,"True," &amp; IF(_xlfn.XLOOKUP("Src_CIDR_Le_16",'Scoring_Config'!$A:$A,'Scoring_Config'!$D:$D,"Yes")="Yes",_xlfn.XLOOKUP("Src_CIDR_Le_16",'Scoring_Config'!$A:$A,'Scoring_Config'!$C:$C,25),0),"False,0")</f>
        <v>0</v>
      </c>
      <c r="AE294" s="4" cm="1">
        <f t="array" ref="AE294">IF(FALSE,"True," &amp; IF(_xlfn.XLOOKUP("Src_CIDR_17_22",'Scoring_Config'!$A:$A,'Scoring_Config'!$D:$D,"Yes")="Yes",_xlfn.XLOOKUP("Src_CIDR_17_22",'Scoring_Config'!$A:$A,'Scoring_Config'!$C:$C,15),0),"False,0")</f>
        <v>0</v>
      </c>
      <c r="AF294" s="4" cm="1">
        <f t="array" ref="AF294">IF(FALSE,"True," &amp; IF(_xlfn.XLOOKUP("Dst_IsAny",'Scoring_Config'!$A:$A,'Scoring_Config'!$D:$D,"Yes")="Yes",_xlfn.XLOOKUP("Dst_IsAny",'Scoring_Config'!$A:$A,'Scoring_Config'!$C:$C,25),0),"False,0")</f>
        <v>0</v>
      </c>
      <c r="AG294" s="4" cm="1">
        <f t="array" ref="AG294">IF(FALSE,"True," &amp; IF(_xlfn.XLOOKUP("Dst_CIDR_Le_16",'Scoring_Config'!$A:$A,'Scoring_Config'!$D:$D,"Yes")="Yes",_xlfn.XLOOKUP("Dst_CIDR_Le_16",'Scoring_Config'!$A:$A,'Scoring_Config'!$C:$C,25),0),"False,0")</f>
        <v>0</v>
      </c>
      <c r="AH294" s="4" cm="1">
        <f t="array" ref="AH294">IF(FALSE,"True," &amp; IF(_xlfn.XLOOKUP("Dst_CIDR_17_22",'Scoring_Config'!$A:$A,'Scoring_Config'!$D:$D,"Yes")="Yes",_xlfn.XLOOKUP("Dst_CIDR_17_22",'Scoring_Config'!$A:$A,'Scoring_Config'!$C:$C,15),0),"False,0")</f>
        <v>0</v>
      </c>
      <c r="AI294" s="4" cm="1">
        <f t="array" ref="AI294">IF(FALSE,"True," &amp; IF(_xlfn.XLOOKUP("SrcZone_IsAny",'Scoring_Config'!$A:$A,'Scoring_Config'!$D:$D,"Yes")="Yes",_xlfn.XLOOKUP("SrcZone_IsAny",'Scoring_Config'!$A:$A,'Scoring_Config'!$C:$C,5),0),"False,0")</f>
        <v>0</v>
      </c>
      <c r="AJ294" s="4" cm="1">
        <f t="array" ref="AJ294">IF(FALSE,"True," &amp; IF(_xlfn.XLOOKUP("DstZone_IsAny",'Scoring_Config'!$A:$A,'Scoring_Config'!$D:$D,"Yes")="Yes",_xlfn.XLOOKUP("DstZone_IsAny",'Scoring_Config'!$A:$A,'Scoring_Config'!$C:$C,5),0),"False,0")</f>
        <v>0</v>
      </c>
      <c r="AK294" s="4" cm="1">
        <f t="array" ref="AK29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4" s="5" cm="1">
        <f t="array" ref="AL294">IF(TRUE,"True," &amp; IF(_xlfn.XLOOKUP("App_Any_OR_RangeGt1000",'Scoring_Config'!$A:$A,'Scoring_Config'!$D:$D,"Yes")="Yes",_xlfn.XLOOKUP("App_Any_OR_RangeGt1000",'Scoring_Config'!$A:$A,'Scoring_Config'!$C:$C,25),0),"False,0")</f>
        <v>0</v>
      </c>
      <c r="AM294" s="5" cm="1">
        <f t="array" ref="AM294">IF(TRUE,"True," &amp; IF(_xlfn.XLOOKUP("Service_Insecure_Match",'Scoring_Config'!$A:$A,'Scoring_Config'!$D:$D,"Yes")="Yes",_xlfn.XLOOKUP("Service_Insecure_Match",'Scoring_Config'!$A:$A,'Scoring_Config'!$C:$C,20),0),"False,0")</f>
        <v>0</v>
      </c>
      <c r="AN294" s="4" cm="1">
        <f t="array" ref="AN294">IF(FALSE,"True," &amp; IF(_xlfn.XLOOKUP("Risky_Inbound",'Scoring_Config'!$A:$A,'Scoring_Config'!$D:$D,"Yes")="Yes",_xlfn.XLOOKUP("Risky_Inbound",'Scoring_Config'!$A:$A,'Scoring_Config'!$C:$C,20),0),"False,0")</f>
        <v>0</v>
      </c>
      <c r="AO294" s="4" cm="1">
        <f t="array" ref="AO294">IF(FALSE,"True," &amp; IF(_xlfn.XLOOKUP("Risky_Outbound",'Scoring_Config'!$A:$A,'Scoring_Config'!$D:$D,"Yes")="Yes",_xlfn.XLOOKUP("Risky_Outbound",'Scoring_Config'!$A:$A,'Scoring_Config'!$C:$C,10),0),"False,0")</f>
        <v>0</v>
      </c>
      <c r="AP294" s="5" t="s">
        <v>2595</v>
      </c>
      <c r="AQ294" s="5" cm="1">
        <f t="array" ref="AQ29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4" s="4" t="s">
        <v>2592</v>
      </c>
      <c r="AS294" s="5" t="s">
        <v>2595</v>
      </c>
      <c r="AT294" s="4" t="s">
        <v>2592</v>
      </c>
      <c r="AU294" s="4" cm="1">
        <f t="array" ref="AU294">IF(FALSE,"True," &amp; IF(_xlfn.XLOOKUP("Action_IsDenyOrDrop",'Scoring_Config'!$A:$A,'Scoring_Config'!$D:$D,"Yes")="Yes",_xlfn.XLOOKUP("Action_IsDenyOrDrop",'Scoring_Config'!$A:$A,'Scoring_Config'!$C:$C,0),0),"False,0")</f>
        <v>0</v>
      </c>
      <c r="AV294" s="4"/>
      <c r="AW294" s="4" cm="1">
        <f t="array" ref="AW294">IF(FALSE,"True," &amp; IF(_xlfn.XLOOKUP("Migrate_Insecure",'Scoring_Config'!$A:$A,'Scoring_Config'!$D:$D,"Yes")="Yes",_xlfn.XLOOKUP("Migrate_Insecure",'Scoring_Config'!$A:$A,'Scoring_Config'!$C:$C,15),0),"False,0")</f>
        <v>0</v>
      </c>
      <c r="AX294" s="4"/>
      <c r="AY294" s="4" cm="1">
        <f t="array" ref="AY294">IF(FALSE,"True," &amp; IF(_xlfn.XLOOKUP("Migrate_Other_Ports",'Scoring_Config'!$A:$A,'Scoring_Config'!$D:$D,"Yes")="Yes",_xlfn.XLOOKUP("Migrate_Other_Ports",'Scoring_Config'!$A:$A,'Scoring_Config'!$C:$C,5),0),"False,0")</f>
        <v>0</v>
      </c>
      <c r="AZ294" s="4" cm="1">
        <f t="array" ref="AZ294">IF(LEFT(AU294,4)="True",0,(IF(LEFT(AC294,4)="True",IF(_xlfn.XLOOKUP("Src_IsAny",'Scoring_Config'!$A:$A,'Scoring_Config'!$D:$D,"Yes")="Yes",_xlfn.XLOOKUP("Src_IsAny",'Scoring_Config'!$A:$A,'Scoring_Config'!$C:$C,25),0),0)+IF(LEFT(AD294,4)="True",IF(_xlfn.XLOOKUP("Src_CIDR_Le_16",'Scoring_Config'!$A:$A,'Scoring_Config'!$D:$D,"Yes")="Yes",_xlfn.XLOOKUP("Src_CIDR_Le_16",'Scoring_Config'!$A:$A,'Scoring_Config'!$C:$C,25),0),0)+IF(LEFT(AE294,4)="True",IF(_xlfn.XLOOKUP("Src_CIDR_17_22",'Scoring_Config'!$A:$A,'Scoring_Config'!$D:$D,"Yes")="Yes",_xlfn.XLOOKUP("Src_CIDR_17_22",'Scoring_Config'!$A:$A,'Scoring_Config'!$C:$C,15),0),0)+IF(LEFT(AF294,4)="True",IF(_xlfn.XLOOKUP("Dst_IsAny",'Scoring_Config'!$A:$A,'Scoring_Config'!$D:$D,"Yes")="Yes",_xlfn.XLOOKUP("Dst_IsAny",'Scoring_Config'!$A:$A,'Scoring_Config'!$C:$C,25),0),0)+IF(LEFT(AG294,4)="True",IF(_xlfn.XLOOKUP("Dst_CIDR_Le_16",'Scoring_Config'!$A:$A,'Scoring_Config'!$D:$D,"Yes")="Yes",_xlfn.XLOOKUP("Dst_CIDR_Le_16",'Scoring_Config'!$A:$A,'Scoring_Config'!$C:$C,25),0),0)+IF(LEFT(AH294,4)="True",IF(_xlfn.XLOOKUP("Dst_CIDR_17_22",'Scoring_Config'!$A:$A,'Scoring_Config'!$D:$D,"Yes")="Yes",_xlfn.XLOOKUP("Dst_CIDR_17_22",'Scoring_Config'!$A:$A,'Scoring_Config'!$C:$C,15),0),0)+IF(LEFT(AI294,4)="True",IF(_xlfn.XLOOKUP("SrcZone_IsAny",'Scoring_Config'!$A:$A,'Scoring_Config'!$D:$D,"Yes")="Yes",_xlfn.XLOOKUP("SrcZone_IsAny",'Scoring_Config'!$A:$A,'Scoring_Config'!$C:$C,5),0),0)+IF(LEFT(AJ294,4)="True",IF(_xlfn.XLOOKUP("DstZone_IsAny",'Scoring_Config'!$A:$A,'Scoring_Config'!$D:$D,"Yes")="Yes",_xlfn.XLOOKUP("DstZone_IsAny",'Scoring_Config'!$A:$A,'Scoring_Config'!$C:$C,5),0),0)+IF(LEFT(AK294,4)="True",IF(_xlfn.XLOOKUP("Service_Any_OR_RangeGt1000",'Scoring_Config'!$A:$A,'Scoring_Config'!$D:$D,"Yes")="Yes",_xlfn.XLOOKUP("Service_Any_OR_RangeGt1000",'Scoring_Config'!$A:$A,'Scoring_Config'!$C:$C,25),0),0)+IF(LEFT(AL294,4)="True",IF(_xlfn.XLOOKUP("App_Any_OR_RangeGt1000",'Scoring_Config'!$A:$A,'Scoring_Config'!$D:$D,"Yes")="Yes",_xlfn.XLOOKUP("App_Any_OR_RangeGt1000",'Scoring_Config'!$A:$A,'Scoring_Config'!$C:$C,25),0),0)+IF(LEFT(AM294,4)="True",IF(_xlfn.XLOOKUP("Service_Insecure_Match",'Scoring_Config'!$A:$A,'Scoring_Config'!$D:$D,"Yes")="Yes",_xlfn.XLOOKUP("Service_Insecure_Match",'Scoring_Config'!$A:$A,'Scoring_Config'!$C:$C,20),0),0)+IF(LEFT(AN294,4)="True",IF(_xlfn.XLOOKUP("Risky_Inbound",'Scoring_Config'!$A:$A,'Scoring_Config'!$D:$D,"Yes")="Yes",_xlfn.XLOOKUP("Risky_Inbound",'Scoring_Config'!$A:$A,'Scoring_Config'!$C:$C,20),0),0)+IF(LEFT(AO294,4)="True",IF(_xlfn.XLOOKUP("Risky_Outbound",'Scoring_Config'!$A:$A,'Scoring_Config'!$D:$D,"Yes")="Yes",_xlfn.XLOOKUP("Risky_Outbound",'Scoring_Config'!$A:$A,'Scoring_Config'!$C:$C,10),0),0)+IF(LEFT(AW294,4)="True",IF(_xlfn.XLOOKUP("Migrate_Insecure",'Scoring_Config'!$A:$A,'Scoring_Config'!$D:$D,"Yes")="Yes",_xlfn.XLOOKUP("Migrate_Insecure",'Scoring_Config'!$A:$A,'Scoring_Config'!$C:$C,15),0),0)+IF(LEFT(AY294,4)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294,FIND(",",AP294)+1,100)),0)+IF(LEFT(AQ294,4)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294,FIND(",",AR294)+1,100)),0)+IF(_xlfn.XLOOKUP("Profile_Scoring",'Scoring_Config'!$A:$A,'Scoring_Config'!$D:$D,"Yes")="Yes",VALUE(MID(AS294,FIND(",",AS294)+1,100)),0)+IF(_xlfn.XLOOKUP("Options_Scoring",'Scoring_Config'!$A:$A,'Scoring_Config'!$D:$D,"Yes")="Yes",VALUE(MID(AT294,FIND(",",AT294)+1,100)),0)))</f>
        <v>0</v>
      </c>
    </row>
    <row r="295" spans="1:52">
      <c r="A295" s="3" t="s">
        <v>54</v>
      </c>
      <c r="B295" s="3" t="s">
        <v>103</v>
      </c>
      <c r="C295" s="3" t="s">
        <v>331</v>
      </c>
      <c r="D295" s="3" t="s">
        <v>346</v>
      </c>
      <c r="E295" s="3" t="s">
        <v>359</v>
      </c>
      <c r="F295" s="3" t="s">
        <v>361</v>
      </c>
      <c r="G295" s="3" t="s">
        <v>481</v>
      </c>
      <c r="H295" s="3" t="s">
        <v>594</v>
      </c>
      <c r="I295" s="3" t="s">
        <v>624</v>
      </c>
      <c r="J295" s="3" t="s">
        <v>364</v>
      </c>
      <c r="K295" s="3" t="s">
        <v>365</v>
      </c>
      <c r="L295" s="3" t="s">
        <v>365</v>
      </c>
      <c r="M295" s="3" t="s">
        <v>365</v>
      </c>
      <c r="N295" s="3" t="s">
        <v>365</v>
      </c>
      <c r="O295" s="4" t="s">
        <v>807</v>
      </c>
      <c r="P295" s="3" t="s">
        <v>868</v>
      </c>
      <c r="Q295" s="3" t="s">
        <v>905</v>
      </c>
      <c r="R295" s="3" t="s">
        <v>911</v>
      </c>
      <c r="S295" s="3" t="s">
        <v>912</v>
      </c>
      <c r="T295" s="3"/>
      <c r="U295" s="3" t="s">
        <v>1299</v>
      </c>
      <c r="V295" s="3" t="s">
        <v>1389</v>
      </c>
      <c r="W295" s="3" t="s">
        <v>1547</v>
      </c>
      <c r="X295" s="3" t="s">
        <v>1899</v>
      </c>
      <c r="Y295" s="3" t="s">
        <v>2368</v>
      </c>
      <c r="Z295" s="3"/>
      <c r="AA295" s="3" t="s">
        <v>2567</v>
      </c>
      <c r="AB295" s="3"/>
      <c r="AC295" s="4" cm="1">
        <f t="array" ref="AC295">IF(FALSE,"True," &amp; IF(_xlfn.XLOOKUP("Src_IsAny",'Scoring_Config'!$A:$A,'Scoring_Config'!$D:$D,"Yes")="Yes",_xlfn.XLOOKUP("Src_IsAny",'Scoring_Config'!$A:$A,'Scoring_Config'!$C:$C,25),0),"False,0")</f>
        <v>0</v>
      </c>
      <c r="AD295" s="5" cm="1">
        <f t="array" ref="AD295">IF(TRUE,"True," &amp; IF(_xlfn.XLOOKUP("Src_CIDR_Le_16",'Scoring_Config'!$A:$A,'Scoring_Config'!$D:$D,"Yes")="Yes",_xlfn.XLOOKUP("Src_CIDR_Le_16",'Scoring_Config'!$A:$A,'Scoring_Config'!$C:$C,25),0),"False,0")</f>
        <v>0</v>
      </c>
      <c r="AE295" s="4" cm="1">
        <f t="array" ref="AE295">IF(FALSE,"True," &amp; IF(_xlfn.XLOOKUP("Src_CIDR_17_22",'Scoring_Config'!$A:$A,'Scoring_Config'!$D:$D,"Yes")="Yes",_xlfn.XLOOKUP("Src_CIDR_17_22",'Scoring_Config'!$A:$A,'Scoring_Config'!$C:$C,15),0),"False,0")</f>
        <v>0</v>
      </c>
      <c r="AF295" s="5" cm="1">
        <f t="array" ref="AF295">IF(TRUE,"True," &amp; IF(_xlfn.XLOOKUP("Dst_IsAny",'Scoring_Config'!$A:$A,'Scoring_Config'!$D:$D,"Yes")="Yes",_xlfn.XLOOKUP("Dst_IsAny",'Scoring_Config'!$A:$A,'Scoring_Config'!$C:$C,25),0),"False,0")</f>
        <v>0</v>
      </c>
      <c r="AG295" s="4" cm="1">
        <f t="array" ref="AG295">IF(FALSE,"True," &amp; IF(_xlfn.XLOOKUP("Dst_CIDR_Le_16",'Scoring_Config'!$A:$A,'Scoring_Config'!$D:$D,"Yes")="Yes",_xlfn.XLOOKUP("Dst_CIDR_Le_16",'Scoring_Config'!$A:$A,'Scoring_Config'!$C:$C,25),0),"False,0")</f>
        <v>0</v>
      </c>
      <c r="AH295" s="4" cm="1">
        <f t="array" ref="AH295">IF(FALSE,"True," &amp; IF(_xlfn.XLOOKUP("Dst_CIDR_17_22",'Scoring_Config'!$A:$A,'Scoring_Config'!$D:$D,"Yes")="Yes",_xlfn.XLOOKUP("Dst_CIDR_17_22",'Scoring_Config'!$A:$A,'Scoring_Config'!$C:$C,15),0),"False,0")</f>
        <v>0</v>
      </c>
      <c r="AI295" s="4" cm="1">
        <f t="array" ref="AI295">IF(FALSE,"True," &amp; IF(_xlfn.XLOOKUP("SrcZone_IsAny",'Scoring_Config'!$A:$A,'Scoring_Config'!$D:$D,"Yes")="Yes",_xlfn.XLOOKUP("SrcZone_IsAny",'Scoring_Config'!$A:$A,'Scoring_Config'!$C:$C,5),0),"False,0")</f>
        <v>0</v>
      </c>
      <c r="AJ295" s="4" cm="1">
        <f t="array" ref="AJ295">IF(FALSE,"True," &amp; IF(_xlfn.XLOOKUP("DstZone_IsAny",'Scoring_Config'!$A:$A,'Scoring_Config'!$D:$D,"Yes")="Yes",_xlfn.XLOOKUP("DstZone_IsAny",'Scoring_Config'!$A:$A,'Scoring_Config'!$C:$C,5),0),"False,0")</f>
        <v>0</v>
      </c>
      <c r="AK295" s="4" cm="1">
        <f t="array" ref="AK29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5" s="5" cm="1">
        <f t="array" ref="AL295">IF(TRUE,"True," &amp; IF(_xlfn.XLOOKUP("App_Any_OR_RangeGt1000",'Scoring_Config'!$A:$A,'Scoring_Config'!$D:$D,"Yes")="Yes",_xlfn.XLOOKUP("App_Any_OR_RangeGt1000",'Scoring_Config'!$A:$A,'Scoring_Config'!$C:$C,25),0),"False,0")</f>
        <v>0</v>
      </c>
      <c r="AM295" s="5" cm="1">
        <f t="array" ref="AM295">IF(TRUE,"True," &amp; IF(_xlfn.XLOOKUP("Service_Insecure_Match",'Scoring_Config'!$A:$A,'Scoring_Config'!$D:$D,"Yes")="Yes",_xlfn.XLOOKUP("Service_Insecure_Match",'Scoring_Config'!$A:$A,'Scoring_Config'!$C:$C,20),0),"False,0")</f>
        <v>0</v>
      </c>
      <c r="AN295" s="4" cm="1">
        <f t="array" ref="AN295">IF(FALSE,"True," &amp; IF(_xlfn.XLOOKUP("Risky_Inbound",'Scoring_Config'!$A:$A,'Scoring_Config'!$D:$D,"Yes")="Yes",_xlfn.XLOOKUP("Risky_Inbound",'Scoring_Config'!$A:$A,'Scoring_Config'!$C:$C,20),0),"False,0")</f>
        <v>0</v>
      </c>
      <c r="AO295" s="4" cm="1">
        <f t="array" ref="AO295">IF(FALSE,"True," &amp; IF(_xlfn.XLOOKUP("Risky_Outbound",'Scoring_Config'!$A:$A,'Scoring_Config'!$D:$D,"Yes")="Yes",_xlfn.XLOOKUP("Risky_Outbound",'Scoring_Config'!$A:$A,'Scoring_Config'!$C:$C,10),0),"False,0")</f>
        <v>0</v>
      </c>
      <c r="AP295" s="5" t="s">
        <v>2595</v>
      </c>
      <c r="AQ295" s="4" cm="1">
        <f t="array" ref="AQ29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5" s="5" t="s">
        <v>2598</v>
      </c>
      <c r="AS295" s="4" t="s">
        <v>2592</v>
      </c>
      <c r="AT295" s="4" t="s">
        <v>2592</v>
      </c>
      <c r="AU295" s="4" cm="1">
        <f t="array" ref="AU295">IF(FALSE,"True," &amp; IF(_xlfn.XLOOKUP("Action_IsDenyOrDrop",'Scoring_Config'!$A:$A,'Scoring_Config'!$D:$D,"Yes")="Yes",_xlfn.XLOOKUP("Action_IsDenyOrDrop",'Scoring_Config'!$A:$A,'Scoring_Config'!$C:$C,0),0),"False,0")</f>
        <v>0</v>
      </c>
      <c r="AV295" s="4"/>
      <c r="AW295" s="4" cm="1">
        <f t="array" ref="AW295">IF(FALSE,"True," &amp; IF(_xlfn.XLOOKUP("Migrate_Insecure",'Scoring_Config'!$A:$A,'Scoring_Config'!$D:$D,"Yes")="Yes",_xlfn.XLOOKUP("Migrate_Insecure",'Scoring_Config'!$A:$A,'Scoring_Config'!$C:$C,15),0),"False,0")</f>
        <v>0</v>
      </c>
      <c r="AX295" s="4"/>
      <c r="AY295" s="4" cm="1">
        <f t="array" ref="AY295">IF(FALSE,"True," &amp; IF(_xlfn.XLOOKUP("Migrate_Other_Ports",'Scoring_Config'!$A:$A,'Scoring_Config'!$D:$D,"Yes")="Yes",_xlfn.XLOOKUP("Migrate_Other_Ports",'Scoring_Config'!$A:$A,'Scoring_Config'!$C:$C,5),0),"False,0")</f>
        <v>0</v>
      </c>
      <c r="AZ295" s="4" cm="1">
        <f t="array" ref="AZ295">IF(LEFT(AU295,4)="True",0,(IF(LEFT(AC295,4)="True",IF(_xlfn.XLOOKUP("Src_IsAny",'Scoring_Config'!$A:$A,'Scoring_Config'!$D:$D,"Yes")="Yes",_xlfn.XLOOKUP("Src_IsAny",'Scoring_Config'!$A:$A,'Scoring_Config'!$C:$C,25),0),0)+IF(LEFT(AD295,4)="True",IF(_xlfn.XLOOKUP("Src_CIDR_Le_16",'Scoring_Config'!$A:$A,'Scoring_Config'!$D:$D,"Yes")="Yes",_xlfn.XLOOKUP("Src_CIDR_Le_16",'Scoring_Config'!$A:$A,'Scoring_Config'!$C:$C,25),0),0)+IF(LEFT(AE295,4)="True",IF(_xlfn.XLOOKUP("Src_CIDR_17_22",'Scoring_Config'!$A:$A,'Scoring_Config'!$D:$D,"Yes")="Yes",_xlfn.XLOOKUP("Src_CIDR_17_22",'Scoring_Config'!$A:$A,'Scoring_Config'!$C:$C,15),0),0)+IF(LEFT(AF295,4)="True",IF(_xlfn.XLOOKUP("Dst_IsAny",'Scoring_Config'!$A:$A,'Scoring_Config'!$D:$D,"Yes")="Yes",_xlfn.XLOOKUP("Dst_IsAny",'Scoring_Config'!$A:$A,'Scoring_Config'!$C:$C,25),0),0)+IF(LEFT(AG295,4)="True",IF(_xlfn.XLOOKUP("Dst_CIDR_Le_16",'Scoring_Config'!$A:$A,'Scoring_Config'!$D:$D,"Yes")="Yes",_xlfn.XLOOKUP("Dst_CIDR_Le_16",'Scoring_Config'!$A:$A,'Scoring_Config'!$C:$C,25),0),0)+IF(LEFT(AH295,4)="True",IF(_xlfn.XLOOKUP("Dst_CIDR_17_22",'Scoring_Config'!$A:$A,'Scoring_Config'!$D:$D,"Yes")="Yes",_xlfn.XLOOKUP("Dst_CIDR_17_22",'Scoring_Config'!$A:$A,'Scoring_Config'!$C:$C,15),0),0)+IF(LEFT(AI295,4)="True",IF(_xlfn.XLOOKUP("SrcZone_IsAny",'Scoring_Config'!$A:$A,'Scoring_Config'!$D:$D,"Yes")="Yes",_xlfn.XLOOKUP("SrcZone_IsAny",'Scoring_Config'!$A:$A,'Scoring_Config'!$C:$C,5),0),0)+IF(LEFT(AJ295,4)="True",IF(_xlfn.XLOOKUP("DstZone_IsAny",'Scoring_Config'!$A:$A,'Scoring_Config'!$D:$D,"Yes")="Yes",_xlfn.XLOOKUP("DstZone_IsAny",'Scoring_Config'!$A:$A,'Scoring_Config'!$C:$C,5),0),0)+IF(LEFT(AK295,4)="True",IF(_xlfn.XLOOKUP("Service_Any_OR_RangeGt1000",'Scoring_Config'!$A:$A,'Scoring_Config'!$D:$D,"Yes")="Yes",_xlfn.XLOOKUP("Service_Any_OR_RangeGt1000",'Scoring_Config'!$A:$A,'Scoring_Config'!$C:$C,25),0),0)+IF(LEFT(AL295,4)="True",IF(_xlfn.XLOOKUP("App_Any_OR_RangeGt1000",'Scoring_Config'!$A:$A,'Scoring_Config'!$D:$D,"Yes")="Yes",_xlfn.XLOOKUP("App_Any_OR_RangeGt1000",'Scoring_Config'!$A:$A,'Scoring_Config'!$C:$C,25),0),0)+IF(LEFT(AM295,4)="True",IF(_xlfn.XLOOKUP("Service_Insecure_Match",'Scoring_Config'!$A:$A,'Scoring_Config'!$D:$D,"Yes")="Yes",_xlfn.XLOOKUP("Service_Insecure_Match",'Scoring_Config'!$A:$A,'Scoring_Config'!$C:$C,20),0),0)+IF(LEFT(AN295,4)="True",IF(_xlfn.XLOOKUP("Risky_Inbound",'Scoring_Config'!$A:$A,'Scoring_Config'!$D:$D,"Yes")="Yes",_xlfn.XLOOKUP("Risky_Inbound",'Scoring_Config'!$A:$A,'Scoring_Config'!$C:$C,20),0),0)+IF(LEFT(AO295,4)="True",IF(_xlfn.XLOOKUP("Risky_Outbound",'Scoring_Config'!$A:$A,'Scoring_Config'!$D:$D,"Yes")="Yes",_xlfn.XLOOKUP("Risky_Outbound",'Scoring_Config'!$A:$A,'Scoring_Config'!$C:$C,10),0),0)+IF(LEFT(AW295,4)="True",IF(_xlfn.XLOOKUP("Migrate_Insecure",'Scoring_Config'!$A:$A,'Scoring_Config'!$D:$D,"Yes")="Yes",_xlfn.XLOOKUP("Migrate_Insecure",'Scoring_Config'!$A:$A,'Scoring_Config'!$C:$C,15),0),0)+IF(LEFT(AY295,4)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295,FIND(",",AP295)+1,100)),0)+IF(LEFT(AQ295,4)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295,FIND(",",AR295)+1,100)),0)+IF(_xlfn.XLOOKUP("Profile_Scoring",'Scoring_Config'!$A:$A,'Scoring_Config'!$D:$D,"Yes")="Yes",VALUE(MID(AS295,FIND(",",AS295)+1,100)),0)+IF(_xlfn.XLOOKUP("Options_Scoring",'Scoring_Config'!$A:$A,'Scoring_Config'!$D:$D,"Yes")="Yes",VALUE(MID(AT295,FIND(",",AT295)+1,100)),0)))</f>
        <v>0</v>
      </c>
    </row>
    <row r="296" spans="1:52">
      <c r="A296" s="3" t="s">
        <v>54</v>
      </c>
      <c r="B296" s="3" t="s">
        <v>255</v>
      </c>
      <c r="C296" s="3" t="s">
        <v>331</v>
      </c>
      <c r="D296" s="3"/>
      <c r="E296" s="3" t="s">
        <v>359</v>
      </c>
      <c r="F296" s="3" t="s">
        <v>361</v>
      </c>
      <c r="G296" s="3" t="s">
        <v>482</v>
      </c>
      <c r="H296" s="3" t="s">
        <v>482</v>
      </c>
      <c r="I296" s="3" t="s">
        <v>365</v>
      </c>
      <c r="J296" s="3" t="s">
        <v>362</v>
      </c>
      <c r="K296" s="3" t="s">
        <v>365</v>
      </c>
      <c r="L296" s="3" t="s">
        <v>365</v>
      </c>
      <c r="M296" s="3" t="s">
        <v>782</v>
      </c>
      <c r="N296" s="3" t="s">
        <v>782</v>
      </c>
      <c r="O296" s="4" t="s">
        <v>822</v>
      </c>
      <c r="P296" s="3" t="s">
        <v>883</v>
      </c>
      <c r="Q296" s="3" t="s">
        <v>905</v>
      </c>
      <c r="R296" s="3" t="s">
        <v>906</v>
      </c>
      <c r="S296" s="3" t="s">
        <v>907</v>
      </c>
      <c r="T296" s="3"/>
      <c r="U296" s="3" t="s">
        <v>1157</v>
      </c>
      <c r="V296" s="3" t="s">
        <v>1388</v>
      </c>
      <c r="W296" s="3" t="s">
        <v>1468</v>
      </c>
      <c r="X296" s="3" t="s">
        <v>1900</v>
      </c>
      <c r="Y296" s="3" t="s">
        <v>2369</v>
      </c>
      <c r="Z296" s="3"/>
      <c r="AA296" s="3" t="s">
        <v>2568</v>
      </c>
      <c r="AB296" s="3"/>
      <c r="AC296" s="4" cm="1">
        <f t="array" ref="AC296">IF(FALSE,"True," &amp; IF(_xlfn.XLOOKUP("Src_IsAny",'Scoring_Config'!$A:$A,'Scoring_Config'!$D:$D,"Yes")="Yes",_xlfn.XLOOKUP("Src_IsAny",'Scoring_Config'!$A:$A,'Scoring_Config'!$C:$C,25),0),"False,0")</f>
        <v>0</v>
      </c>
      <c r="AD296" s="4" cm="1">
        <f t="array" ref="AD296">IF(FALSE,"True," &amp; IF(_xlfn.XLOOKUP("Src_CIDR_Le_16",'Scoring_Config'!$A:$A,'Scoring_Config'!$D:$D,"Yes")="Yes",_xlfn.XLOOKUP("Src_CIDR_Le_16",'Scoring_Config'!$A:$A,'Scoring_Config'!$C:$C,25),0),"False,0")</f>
        <v>0</v>
      </c>
      <c r="AE296" s="4" cm="1">
        <f t="array" ref="AE296">IF(FALSE,"True," &amp; IF(_xlfn.XLOOKUP("Src_CIDR_17_22",'Scoring_Config'!$A:$A,'Scoring_Config'!$D:$D,"Yes")="Yes",_xlfn.XLOOKUP("Src_CIDR_17_22",'Scoring_Config'!$A:$A,'Scoring_Config'!$C:$C,15),0),"False,0")</f>
        <v>0</v>
      </c>
      <c r="AF296" s="5" cm="1">
        <f t="array" ref="AF296">IF(TRUE,"True," &amp; IF(_xlfn.XLOOKUP("Dst_IsAny",'Scoring_Config'!$A:$A,'Scoring_Config'!$D:$D,"Yes")="Yes",_xlfn.XLOOKUP("Dst_IsAny",'Scoring_Config'!$A:$A,'Scoring_Config'!$C:$C,25),0),"False,0")</f>
        <v>0</v>
      </c>
      <c r="AG296" s="4" cm="1">
        <f t="array" ref="AG296">IF(FALSE,"True," &amp; IF(_xlfn.XLOOKUP("Dst_CIDR_Le_16",'Scoring_Config'!$A:$A,'Scoring_Config'!$D:$D,"Yes")="Yes",_xlfn.XLOOKUP("Dst_CIDR_Le_16",'Scoring_Config'!$A:$A,'Scoring_Config'!$C:$C,25),0),"False,0")</f>
        <v>0</v>
      </c>
      <c r="AH296" s="4" cm="1">
        <f t="array" ref="AH296">IF(FALSE,"True," &amp; IF(_xlfn.XLOOKUP("Dst_CIDR_17_22",'Scoring_Config'!$A:$A,'Scoring_Config'!$D:$D,"Yes")="Yes",_xlfn.XLOOKUP("Dst_CIDR_17_22",'Scoring_Config'!$A:$A,'Scoring_Config'!$C:$C,15),0),"False,0")</f>
        <v>0</v>
      </c>
      <c r="AI296" s="4" cm="1">
        <f t="array" ref="AI296">IF(FALSE,"True," &amp; IF(_xlfn.XLOOKUP("SrcZone_IsAny",'Scoring_Config'!$A:$A,'Scoring_Config'!$D:$D,"Yes")="Yes",_xlfn.XLOOKUP("SrcZone_IsAny",'Scoring_Config'!$A:$A,'Scoring_Config'!$C:$C,5),0),"False,0")</f>
        <v>0</v>
      </c>
      <c r="AJ296" s="4" cm="1">
        <f t="array" ref="AJ296">IF(FALSE,"True," &amp; IF(_xlfn.XLOOKUP("DstZone_IsAny",'Scoring_Config'!$A:$A,'Scoring_Config'!$D:$D,"Yes")="Yes",_xlfn.XLOOKUP("DstZone_IsAny",'Scoring_Config'!$A:$A,'Scoring_Config'!$C:$C,5),0),"False,0")</f>
        <v>0</v>
      </c>
      <c r="AK296" s="5" cm="1">
        <f t="array" ref="AK296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296" s="4" cm="1">
        <f t="array" ref="AL296">IF(FALSE,"True," &amp; IF(_xlfn.XLOOKUP("App_Any_OR_RangeGt1000",'Scoring_Config'!$A:$A,'Scoring_Config'!$D:$D,"Yes")="Yes",_xlfn.XLOOKUP("App_Any_OR_RangeGt1000",'Scoring_Config'!$A:$A,'Scoring_Config'!$C:$C,25),0),"False,0")</f>
        <v>0</v>
      </c>
      <c r="AM296" s="5" cm="1">
        <f t="array" ref="AM296">IF(TRUE,"True," &amp; IF(_xlfn.XLOOKUP("Service_Insecure_Match",'Scoring_Config'!$A:$A,'Scoring_Config'!$D:$D,"Yes")="Yes",_xlfn.XLOOKUP("Service_Insecure_Match",'Scoring_Config'!$A:$A,'Scoring_Config'!$C:$C,20),0),"False,0")</f>
        <v>0</v>
      </c>
      <c r="AN296" s="4" cm="1">
        <f t="array" ref="AN296">IF(FALSE,"True," &amp; IF(_xlfn.XLOOKUP("Risky_Inbound",'Scoring_Config'!$A:$A,'Scoring_Config'!$D:$D,"Yes")="Yes",_xlfn.XLOOKUP("Risky_Inbound",'Scoring_Config'!$A:$A,'Scoring_Config'!$C:$C,20),0),"False,0")</f>
        <v>0</v>
      </c>
      <c r="AO296" s="4" cm="1">
        <f t="array" ref="AO296">IF(FALSE,"True," &amp; IF(_xlfn.XLOOKUP("Risky_Outbound",'Scoring_Config'!$A:$A,'Scoring_Config'!$D:$D,"Yes")="Yes",_xlfn.XLOOKUP("Risky_Outbound",'Scoring_Config'!$A:$A,'Scoring_Config'!$C:$C,10),0),"False,0")</f>
        <v>0</v>
      </c>
      <c r="AP296" s="5" t="s">
        <v>2595</v>
      </c>
      <c r="AQ296" s="5" cm="1">
        <f t="array" ref="AQ29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6" s="4" t="s">
        <v>2592</v>
      </c>
      <c r="AS296" s="4" t="s">
        <v>2592</v>
      </c>
      <c r="AT296" s="5" t="s">
        <v>2595</v>
      </c>
      <c r="AU296" s="4" cm="1">
        <f t="array" ref="AU296">IF(FALSE,"True," &amp; IF(_xlfn.XLOOKUP("Action_IsDenyOrDrop",'Scoring_Config'!$A:$A,'Scoring_Config'!$D:$D,"Yes")="Yes",_xlfn.XLOOKUP("Action_IsDenyOrDrop",'Scoring_Config'!$A:$A,'Scoring_Config'!$C:$C,0),0),"False,0")</f>
        <v>0</v>
      </c>
      <c r="AV296" s="4"/>
      <c r="AW296" s="4" cm="1">
        <f t="array" ref="AW296">IF(FALSE,"True," &amp; IF(_xlfn.XLOOKUP("Migrate_Insecure",'Scoring_Config'!$A:$A,'Scoring_Config'!$D:$D,"Yes")="Yes",_xlfn.XLOOKUP("Migrate_Insecure",'Scoring_Config'!$A:$A,'Scoring_Config'!$C:$C,15),0),"False,0")</f>
        <v>0</v>
      </c>
      <c r="AX296" s="4"/>
      <c r="AY296" s="4" cm="1">
        <f t="array" ref="AY296">IF(FALSE,"True," &amp; IF(_xlfn.XLOOKUP("Migrate_Other_Ports",'Scoring_Config'!$A:$A,'Scoring_Config'!$D:$D,"Yes")="Yes",_xlfn.XLOOKUP("Migrate_Other_Ports",'Scoring_Config'!$A:$A,'Scoring_Config'!$C:$C,5),0),"False,0")</f>
        <v>0</v>
      </c>
      <c r="AZ296" s="4" cm="1">
        <f t="array" ref="AZ296">IF(LEFT(AU296,4)="True",0,(IF(LEFT(AC296,4)="True",IF(_xlfn.XLOOKUP("Src_IsAny",'Scoring_Config'!$A:$A,'Scoring_Config'!$D:$D,"Yes")="Yes",_xlfn.XLOOKUP("Src_IsAny",'Scoring_Config'!$A:$A,'Scoring_Config'!$C:$C,25),0),0)+IF(LEFT(AD296,4)="True",IF(_xlfn.XLOOKUP("Src_CIDR_Le_16",'Scoring_Config'!$A:$A,'Scoring_Config'!$D:$D,"Yes")="Yes",_xlfn.XLOOKUP("Src_CIDR_Le_16",'Scoring_Config'!$A:$A,'Scoring_Config'!$C:$C,25),0),0)+IF(LEFT(AE296,4)="True",IF(_xlfn.XLOOKUP("Src_CIDR_17_22",'Scoring_Config'!$A:$A,'Scoring_Config'!$D:$D,"Yes")="Yes",_xlfn.XLOOKUP("Src_CIDR_17_22",'Scoring_Config'!$A:$A,'Scoring_Config'!$C:$C,15),0),0)+IF(LEFT(AF296,4)="True",IF(_xlfn.XLOOKUP("Dst_IsAny",'Scoring_Config'!$A:$A,'Scoring_Config'!$D:$D,"Yes")="Yes",_xlfn.XLOOKUP("Dst_IsAny",'Scoring_Config'!$A:$A,'Scoring_Config'!$C:$C,25),0),0)+IF(LEFT(AG296,4)="True",IF(_xlfn.XLOOKUP("Dst_CIDR_Le_16",'Scoring_Config'!$A:$A,'Scoring_Config'!$D:$D,"Yes")="Yes",_xlfn.XLOOKUP("Dst_CIDR_Le_16",'Scoring_Config'!$A:$A,'Scoring_Config'!$C:$C,25),0),0)+IF(LEFT(AH296,4)="True",IF(_xlfn.XLOOKUP("Dst_CIDR_17_22",'Scoring_Config'!$A:$A,'Scoring_Config'!$D:$D,"Yes")="Yes",_xlfn.XLOOKUP("Dst_CIDR_17_22",'Scoring_Config'!$A:$A,'Scoring_Config'!$C:$C,15),0),0)+IF(LEFT(AI296,4)="True",IF(_xlfn.XLOOKUP("SrcZone_IsAny",'Scoring_Config'!$A:$A,'Scoring_Config'!$D:$D,"Yes")="Yes",_xlfn.XLOOKUP("SrcZone_IsAny",'Scoring_Config'!$A:$A,'Scoring_Config'!$C:$C,5),0),0)+IF(LEFT(AJ296,4)="True",IF(_xlfn.XLOOKUP("DstZone_IsAny",'Scoring_Config'!$A:$A,'Scoring_Config'!$D:$D,"Yes")="Yes",_xlfn.XLOOKUP("DstZone_IsAny",'Scoring_Config'!$A:$A,'Scoring_Config'!$C:$C,5),0),0)+IF(LEFT(AK296,4)="True",IF(_xlfn.XLOOKUP("Service_Any_OR_RangeGt1000",'Scoring_Config'!$A:$A,'Scoring_Config'!$D:$D,"Yes")="Yes",_xlfn.XLOOKUP("Service_Any_OR_RangeGt1000",'Scoring_Config'!$A:$A,'Scoring_Config'!$C:$C,25),0),0)+IF(LEFT(AL296,4)="True",IF(_xlfn.XLOOKUP("App_Any_OR_RangeGt1000",'Scoring_Config'!$A:$A,'Scoring_Config'!$D:$D,"Yes")="Yes",_xlfn.XLOOKUP("App_Any_OR_RangeGt1000",'Scoring_Config'!$A:$A,'Scoring_Config'!$C:$C,25),0),0)+IF(LEFT(AM296,4)="True",IF(_xlfn.XLOOKUP("Service_Insecure_Match",'Scoring_Config'!$A:$A,'Scoring_Config'!$D:$D,"Yes")="Yes",_xlfn.XLOOKUP("Service_Insecure_Match",'Scoring_Config'!$A:$A,'Scoring_Config'!$C:$C,20),0),0)+IF(LEFT(AN296,4)="True",IF(_xlfn.XLOOKUP("Risky_Inbound",'Scoring_Config'!$A:$A,'Scoring_Config'!$D:$D,"Yes")="Yes",_xlfn.XLOOKUP("Risky_Inbound",'Scoring_Config'!$A:$A,'Scoring_Config'!$C:$C,20),0),0)+IF(LEFT(AO296,4)="True",IF(_xlfn.XLOOKUP("Risky_Outbound",'Scoring_Config'!$A:$A,'Scoring_Config'!$D:$D,"Yes")="Yes",_xlfn.XLOOKUP("Risky_Outbound",'Scoring_Config'!$A:$A,'Scoring_Config'!$C:$C,10),0),0)+IF(LEFT(AW296,4)="True",IF(_xlfn.XLOOKUP("Migrate_Insecure",'Scoring_Config'!$A:$A,'Scoring_Config'!$D:$D,"Yes")="Yes",_xlfn.XLOOKUP("Migrate_Insecure",'Scoring_Config'!$A:$A,'Scoring_Config'!$C:$C,15),0),0)+IF(LEFT(AY296,4)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296,FIND(",",AP296)+1,100)),0)+IF(LEFT(AQ296,4)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296,FIND(",",AR296)+1,100)),0)+IF(_xlfn.XLOOKUP("Profile_Scoring",'Scoring_Config'!$A:$A,'Scoring_Config'!$D:$D,"Yes")="Yes",VALUE(MID(AS296,FIND(",",AS296)+1,100)),0)+IF(_xlfn.XLOOKUP("Options_Scoring",'Scoring_Config'!$A:$A,'Scoring_Config'!$D:$D,"Yes")="Yes",VALUE(MID(AT296,FIND(",",AT296)+1,100)),0)))</f>
        <v>0</v>
      </c>
    </row>
    <row r="297" spans="1:52">
      <c r="A297" s="3" t="s">
        <v>54</v>
      </c>
      <c r="B297" s="3" t="s">
        <v>256</v>
      </c>
      <c r="C297" s="3" t="s">
        <v>331</v>
      </c>
      <c r="D297" s="3" t="s">
        <v>335</v>
      </c>
      <c r="E297" s="3" t="s">
        <v>359</v>
      </c>
      <c r="F297" s="3" t="s">
        <v>360</v>
      </c>
      <c r="G297" s="3" t="s">
        <v>483</v>
      </c>
      <c r="H297" s="3" t="s">
        <v>476</v>
      </c>
      <c r="I297" s="3" t="s">
        <v>624</v>
      </c>
      <c r="J297" s="3" t="s">
        <v>362</v>
      </c>
      <c r="K297" s="3" t="s">
        <v>490</v>
      </c>
      <c r="L297" s="3" t="s">
        <v>598</v>
      </c>
      <c r="M297" s="3" t="s">
        <v>365</v>
      </c>
      <c r="N297" s="3" t="s">
        <v>365</v>
      </c>
      <c r="O297" s="4" t="s">
        <v>832</v>
      </c>
      <c r="P297" s="3" t="s">
        <v>893</v>
      </c>
      <c r="Q297" s="3" t="s">
        <v>905</v>
      </c>
      <c r="R297" s="3" t="s">
        <v>910</v>
      </c>
      <c r="S297" s="3" t="s">
        <v>914</v>
      </c>
      <c r="T297" s="3"/>
      <c r="U297" s="3" t="s">
        <v>1300</v>
      </c>
      <c r="V297" s="3" t="s">
        <v>1387</v>
      </c>
      <c r="W297" s="3" t="s">
        <v>1548</v>
      </c>
      <c r="X297" s="3" t="s">
        <v>1901</v>
      </c>
      <c r="Y297" s="3" t="s">
        <v>2370</v>
      </c>
      <c r="Z297" s="3"/>
      <c r="AA297" s="3" t="s">
        <v>930</v>
      </c>
      <c r="AB297" s="3"/>
      <c r="AC297" s="4" cm="1">
        <f t="array" ref="AC297">IF(FALSE,"True," &amp; IF(_xlfn.XLOOKUP("Src_IsAny",'Scoring_Config'!$A:$A,'Scoring_Config'!$D:$D,"Yes")="Yes",_xlfn.XLOOKUP("Src_IsAny",'Scoring_Config'!$A:$A,'Scoring_Config'!$C:$C,25),0),"False,0")</f>
        <v>0</v>
      </c>
      <c r="AD297" s="4" cm="1">
        <f t="array" ref="AD297">IF(FALSE,"True," &amp; IF(_xlfn.XLOOKUP("Src_CIDR_Le_16",'Scoring_Config'!$A:$A,'Scoring_Config'!$D:$D,"Yes")="Yes",_xlfn.XLOOKUP("Src_CIDR_Le_16",'Scoring_Config'!$A:$A,'Scoring_Config'!$C:$C,25),0),"False,0")</f>
        <v>0</v>
      </c>
      <c r="AE297" s="4" cm="1">
        <f t="array" ref="AE297">IF(FALSE,"True," &amp; IF(_xlfn.XLOOKUP("Src_CIDR_17_22",'Scoring_Config'!$A:$A,'Scoring_Config'!$D:$D,"Yes")="Yes",_xlfn.XLOOKUP("Src_CIDR_17_22",'Scoring_Config'!$A:$A,'Scoring_Config'!$C:$C,15),0),"False,0")</f>
        <v>0</v>
      </c>
      <c r="AF297" s="4" cm="1">
        <f t="array" ref="AF297">IF(FALSE,"True," &amp; IF(_xlfn.XLOOKUP("Dst_IsAny",'Scoring_Config'!$A:$A,'Scoring_Config'!$D:$D,"Yes")="Yes",_xlfn.XLOOKUP("Dst_IsAny",'Scoring_Config'!$A:$A,'Scoring_Config'!$C:$C,25),0),"False,0")</f>
        <v>0</v>
      </c>
      <c r="AG297" s="4" cm="1">
        <f t="array" ref="AG297">IF(FALSE,"True," &amp; IF(_xlfn.XLOOKUP("Dst_CIDR_Le_16",'Scoring_Config'!$A:$A,'Scoring_Config'!$D:$D,"Yes")="Yes",_xlfn.XLOOKUP("Dst_CIDR_Le_16",'Scoring_Config'!$A:$A,'Scoring_Config'!$C:$C,25),0),"False,0")</f>
        <v>0</v>
      </c>
      <c r="AH297" s="4" cm="1">
        <f t="array" ref="AH297">IF(FALSE,"True," &amp; IF(_xlfn.XLOOKUP("Dst_CIDR_17_22",'Scoring_Config'!$A:$A,'Scoring_Config'!$D:$D,"Yes")="Yes",_xlfn.XLOOKUP("Dst_CIDR_17_22",'Scoring_Config'!$A:$A,'Scoring_Config'!$C:$C,15),0),"False,0")</f>
        <v>0</v>
      </c>
      <c r="AI297" s="4" cm="1">
        <f t="array" ref="AI297">IF(FALSE,"True," &amp; IF(_xlfn.XLOOKUP("SrcZone_IsAny",'Scoring_Config'!$A:$A,'Scoring_Config'!$D:$D,"Yes")="Yes",_xlfn.XLOOKUP("SrcZone_IsAny",'Scoring_Config'!$A:$A,'Scoring_Config'!$C:$C,5),0),"False,0")</f>
        <v>0</v>
      </c>
      <c r="AJ297" s="4" cm="1">
        <f t="array" ref="AJ297">IF(FALSE,"True," &amp; IF(_xlfn.XLOOKUP("DstZone_IsAny",'Scoring_Config'!$A:$A,'Scoring_Config'!$D:$D,"Yes")="Yes",_xlfn.XLOOKUP("DstZone_IsAny",'Scoring_Config'!$A:$A,'Scoring_Config'!$C:$C,5),0),"False,0")</f>
        <v>0</v>
      </c>
      <c r="AK297" s="4" cm="1">
        <f t="array" ref="AK29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7" s="5" cm="1">
        <f t="array" ref="AL297">IF(TRUE,"True," &amp; IF(_xlfn.XLOOKUP("App_Any_OR_RangeGt1000",'Scoring_Config'!$A:$A,'Scoring_Config'!$D:$D,"Yes")="Yes",_xlfn.XLOOKUP("App_Any_OR_RangeGt1000",'Scoring_Config'!$A:$A,'Scoring_Config'!$C:$C,25),0),"False,0")</f>
        <v>0</v>
      </c>
      <c r="AM297" s="5" cm="1">
        <f t="array" ref="AM297">IF(TRUE,"True," &amp; IF(_xlfn.XLOOKUP("Service_Insecure_Match",'Scoring_Config'!$A:$A,'Scoring_Config'!$D:$D,"Yes")="Yes",_xlfn.XLOOKUP("Service_Insecure_Match",'Scoring_Config'!$A:$A,'Scoring_Config'!$C:$C,20),0),"False,0")</f>
        <v>0</v>
      </c>
      <c r="AN297" s="4" cm="1">
        <f t="array" ref="AN297">IF(FALSE,"True," &amp; IF(_xlfn.XLOOKUP("Risky_Inbound",'Scoring_Config'!$A:$A,'Scoring_Config'!$D:$D,"Yes")="Yes",_xlfn.XLOOKUP("Risky_Inbound",'Scoring_Config'!$A:$A,'Scoring_Config'!$C:$C,20),0),"False,0")</f>
        <v>0</v>
      </c>
      <c r="AO297" s="4" cm="1">
        <f t="array" ref="AO297">IF(FALSE,"True," &amp; IF(_xlfn.XLOOKUP("Risky_Outbound",'Scoring_Config'!$A:$A,'Scoring_Config'!$D:$D,"Yes")="Yes",_xlfn.XLOOKUP("Risky_Outbound",'Scoring_Config'!$A:$A,'Scoring_Config'!$C:$C,10),0),"False,0")</f>
        <v>0</v>
      </c>
      <c r="AP297" s="5" t="s">
        <v>2595</v>
      </c>
      <c r="AQ297" s="4" cm="1">
        <f t="array" ref="AQ29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7" s="5" t="s">
        <v>2598</v>
      </c>
      <c r="AS297" s="4" t="s">
        <v>2592</v>
      </c>
      <c r="AT297" s="4" t="s">
        <v>2592</v>
      </c>
      <c r="AU297" s="4" cm="1">
        <f t="array" ref="AU297">IF(FALSE,"True," &amp; IF(_xlfn.XLOOKUP("Action_IsDenyOrDrop",'Scoring_Config'!$A:$A,'Scoring_Config'!$D:$D,"Yes")="Yes",_xlfn.XLOOKUP("Action_IsDenyOrDrop",'Scoring_Config'!$A:$A,'Scoring_Config'!$C:$C,0),0),"False,0")</f>
        <v>0</v>
      </c>
      <c r="AV297" s="4"/>
      <c r="AW297" s="4" cm="1">
        <f t="array" ref="AW297">IF(FALSE,"True," &amp; IF(_xlfn.XLOOKUP("Migrate_Insecure",'Scoring_Config'!$A:$A,'Scoring_Config'!$D:$D,"Yes")="Yes",_xlfn.XLOOKUP("Migrate_Insecure",'Scoring_Config'!$A:$A,'Scoring_Config'!$C:$C,15),0),"False,0")</f>
        <v>0</v>
      </c>
      <c r="AX297" s="4"/>
      <c r="AY297" s="4" cm="1">
        <f t="array" ref="AY297">IF(FALSE,"True," &amp; IF(_xlfn.XLOOKUP("Migrate_Other_Ports",'Scoring_Config'!$A:$A,'Scoring_Config'!$D:$D,"Yes")="Yes",_xlfn.XLOOKUP("Migrate_Other_Ports",'Scoring_Config'!$A:$A,'Scoring_Config'!$C:$C,5),0),"False,0")</f>
        <v>0</v>
      </c>
      <c r="AZ297" s="4" cm="1">
        <f t="array" ref="AZ297">IF(LEFT(AU297,4)="True",0,(IF(LEFT(AC297,4)="True",IF(_xlfn.XLOOKUP("Src_IsAny",'Scoring_Config'!$A:$A,'Scoring_Config'!$D:$D,"Yes")="Yes",_xlfn.XLOOKUP("Src_IsAny",'Scoring_Config'!$A:$A,'Scoring_Config'!$C:$C,25),0),0)+IF(LEFT(AD297,4)="True",IF(_xlfn.XLOOKUP("Src_CIDR_Le_16",'Scoring_Config'!$A:$A,'Scoring_Config'!$D:$D,"Yes")="Yes",_xlfn.XLOOKUP("Src_CIDR_Le_16",'Scoring_Config'!$A:$A,'Scoring_Config'!$C:$C,25),0),0)+IF(LEFT(AE297,4)="True",IF(_xlfn.XLOOKUP("Src_CIDR_17_22",'Scoring_Config'!$A:$A,'Scoring_Config'!$D:$D,"Yes")="Yes",_xlfn.XLOOKUP("Src_CIDR_17_22",'Scoring_Config'!$A:$A,'Scoring_Config'!$C:$C,15),0),0)+IF(LEFT(AF297,4)="True",IF(_xlfn.XLOOKUP("Dst_IsAny",'Scoring_Config'!$A:$A,'Scoring_Config'!$D:$D,"Yes")="Yes",_xlfn.XLOOKUP("Dst_IsAny",'Scoring_Config'!$A:$A,'Scoring_Config'!$C:$C,25),0),0)+IF(LEFT(AG297,4)="True",IF(_xlfn.XLOOKUP("Dst_CIDR_Le_16",'Scoring_Config'!$A:$A,'Scoring_Config'!$D:$D,"Yes")="Yes",_xlfn.XLOOKUP("Dst_CIDR_Le_16",'Scoring_Config'!$A:$A,'Scoring_Config'!$C:$C,25),0),0)+IF(LEFT(AH297,4)="True",IF(_xlfn.XLOOKUP("Dst_CIDR_17_22",'Scoring_Config'!$A:$A,'Scoring_Config'!$D:$D,"Yes")="Yes",_xlfn.XLOOKUP("Dst_CIDR_17_22",'Scoring_Config'!$A:$A,'Scoring_Config'!$C:$C,15),0),0)+IF(LEFT(AI297,4)="True",IF(_xlfn.XLOOKUP("SrcZone_IsAny",'Scoring_Config'!$A:$A,'Scoring_Config'!$D:$D,"Yes")="Yes",_xlfn.XLOOKUP("SrcZone_IsAny",'Scoring_Config'!$A:$A,'Scoring_Config'!$C:$C,5),0),0)+IF(LEFT(AJ297,4)="True",IF(_xlfn.XLOOKUP("DstZone_IsAny",'Scoring_Config'!$A:$A,'Scoring_Config'!$D:$D,"Yes")="Yes",_xlfn.XLOOKUP("DstZone_IsAny",'Scoring_Config'!$A:$A,'Scoring_Config'!$C:$C,5),0),0)+IF(LEFT(AK297,4)="True",IF(_xlfn.XLOOKUP("Service_Any_OR_RangeGt1000",'Scoring_Config'!$A:$A,'Scoring_Config'!$D:$D,"Yes")="Yes",_xlfn.XLOOKUP("Service_Any_OR_RangeGt1000",'Scoring_Config'!$A:$A,'Scoring_Config'!$C:$C,25),0),0)+IF(LEFT(AL297,4)="True",IF(_xlfn.XLOOKUP("App_Any_OR_RangeGt1000",'Scoring_Config'!$A:$A,'Scoring_Config'!$D:$D,"Yes")="Yes",_xlfn.XLOOKUP("App_Any_OR_RangeGt1000",'Scoring_Config'!$A:$A,'Scoring_Config'!$C:$C,25),0),0)+IF(LEFT(AM297,4)="True",IF(_xlfn.XLOOKUP("Service_Insecure_Match",'Scoring_Config'!$A:$A,'Scoring_Config'!$D:$D,"Yes")="Yes",_xlfn.XLOOKUP("Service_Insecure_Match",'Scoring_Config'!$A:$A,'Scoring_Config'!$C:$C,20),0),0)+IF(LEFT(AN297,4)="True",IF(_xlfn.XLOOKUP("Risky_Inbound",'Scoring_Config'!$A:$A,'Scoring_Config'!$D:$D,"Yes")="Yes",_xlfn.XLOOKUP("Risky_Inbound",'Scoring_Config'!$A:$A,'Scoring_Config'!$C:$C,20),0),0)+IF(LEFT(AO297,4)="True",IF(_xlfn.XLOOKUP("Risky_Outbound",'Scoring_Config'!$A:$A,'Scoring_Config'!$D:$D,"Yes")="Yes",_xlfn.XLOOKUP("Risky_Outbound",'Scoring_Config'!$A:$A,'Scoring_Config'!$C:$C,10),0),0)+IF(LEFT(AW297,4)="True",IF(_xlfn.XLOOKUP("Migrate_Insecure",'Scoring_Config'!$A:$A,'Scoring_Config'!$D:$D,"Yes")="Yes",_xlfn.XLOOKUP("Migrate_Insecure",'Scoring_Config'!$A:$A,'Scoring_Config'!$C:$C,15),0),0)+IF(LEFT(AY297,4)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297,FIND(",",AP297)+1,100)),0)+IF(LEFT(AQ297,4)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297,FIND(",",AR297)+1,100)),0)+IF(_xlfn.XLOOKUP("Profile_Scoring",'Scoring_Config'!$A:$A,'Scoring_Config'!$D:$D,"Yes")="Yes",VALUE(MID(AS297,FIND(",",AS297)+1,100)),0)+IF(_xlfn.XLOOKUP("Options_Scoring",'Scoring_Config'!$A:$A,'Scoring_Config'!$D:$D,"Yes")="Yes",VALUE(MID(AT297,FIND(",",AT297)+1,100)),0)))</f>
        <v>0</v>
      </c>
    </row>
    <row r="298" spans="1:52">
      <c r="A298" s="3" t="s">
        <v>54</v>
      </c>
      <c r="B298" s="3" t="s">
        <v>159</v>
      </c>
      <c r="C298" s="3" t="s">
        <v>331</v>
      </c>
      <c r="D298" s="3" t="s">
        <v>354</v>
      </c>
      <c r="E298" s="3" t="s">
        <v>359</v>
      </c>
      <c r="F298" s="3" t="s">
        <v>361</v>
      </c>
      <c r="G298" s="3" t="s">
        <v>484</v>
      </c>
      <c r="H298" s="3" t="s">
        <v>484</v>
      </c>
      <c r="I298" s="3" t="s">
        <v>624</v>
      </c>
      <c r="J298" s="3" t="s">
        <v>364</v>
      </c>
      <c r="K298" s="3" t="s">
        <v>457</v>
      </c>
      <c r="L298" s="3" t="s">
        <v>585</v>
      </c>
      <c r="M298" s="3" t="s">
        <v>770</v>
      </c>
      <c r="N298" s="3" t="s">
        <v>770</v>
      </c>
      <c r="O298" s="4" t="s">
        <v>816</v>
      </c>
      <c r="P298" s="3" t="s">
        <v>877</v>
      </c>
      <c r="Q298" s="3" t="s">
        <v>905</v>
      </c>
      <c r="R298" s="3" t="s">
        <v>909</v>
      </c>
      <c r="S298" s="3" t="s">
        <v>914</v>
      </c>
      <c r="T298" s="3"/>
      <c r="U298" s="3" t="s">
        <v>1301</v>
      </c>
      <c r="V298" s="3" t="s">
        <v>1386</v>
      </c>
      <c r="W298" s="3" t="s">
        <v>1549</v>
      </c>
      <c r="X298" s="3" t="s">
        <v>1902</v>
      </c>
      <c r="Y298" s="3" t="s">
        <v>2371</v>
      </c>
      <c r="Z298" s="3"/>
      <c r="AA298" s="3" t="s">
        <v>2569</v>
      </c>
      <c r="AB298" s="3"/>
      <c r="AC298" s="4" cm="1">
        <f t="array" ref="AC298">IF(FALSE,"True," &amp; IF(_xlfn.XLOOKUP("Src_IsAny",'Scoring_Config'!$A:$A,'Scoring_Config'!$D:$D,"Yes")="Yes",_xlfn.XLOOKUP("Src_IsAny",'Scoring_Config'!$A:$A,'Scoring_Config'!$C:$C,25),0),"False,0")</f>
        <v>0</v>
      </c>
      <c r="AD298" s="4" cm="1">
        <f t="array" ref="AD298">IF(FALSE,"True," &amp; IF(_xlfn.XLOOKUP("Src_CIDR_Le_16",'Scoring_Config'!$A:$A,'Scoring_Config'!$D:$D,"Yes")="Yes",_xlfn.XLOOKUP("Src_CIDR_Le_16",'Scoring_Config'!$A:$A,'Scoring_Config'!$C:$C,25),0),"False,0")</f>
        <v>0</v>
      </c>
      <c r="AE298" s="4" cm="1">
        <f t="array" ref="AE298">IF(FALSE,"True," &amp; IF(_xlfn.XLOOKUP("Src_CIDR_17_22",'Scoring_Config'!$A:$A,'Scoring_Config'!$D:$D,"Yes")="Yes",_xlfn.XLOOKUP("Src_CIDR_17_22",'Scoring_Config'!$A:$A,'Scoring_Config'!$C:$C,15),0),"False,0")</f>
        <v>0</v>
      </c>
      <c r="AF298" s="4" cm="1">
        <f t="array" ref="AF298">IF(FALSE,"True," &amp; IF(_xlfn.XLOOKUP("Dst_IsAny",'Scoring_Config'!$A:$A,'Scoring_Config'!$D:$D,"Yes")="Yes",_xlfn.XLOOKUP("Dst_IsAny",'Scoring_Config'!$A:$A,'Scoring_Config'!$C:$C,25),0),"False,0")</f>
        <v>0</v>
      </c>
      <c r="AG298" s="4" cm="1">
        <f t="array" ref="AG298">IF(FALSE,"True," &amp; IF(_xlfn.XLOOKUP("Dst_CIDR_Le_16",'Scoring_Config'!$A:$A,'Scoring_Config'!$D:$D,"Yes")="Yes",_xlfn.XLOOKUP("Dst_CIDR_Le_16",'Scoring_Config'!$A:$A,'Scoring_Config'!$C:$C,25),0),"False,0")</f>
        <v>0</v>
      </c>
      <c r="AH298" s="4" cm="1">
        <f t="array" ref="AH298">IF(FALSE,"True," &amp; IF(_xlfn.XLOOKUP("Dst_CIDR_17_22",'Scoring_Config'!$A:$A,'Scoring_Config'!$D:$D,"Yes")="Yes",_xlfn.XLOOKUP("Dst_CIDR_17_22",'Scoring_Config'!$A:$A,'Scoring_Config'!$C:$C,15),0),"False,0")</f>
        <v>0</v>
      </c>
      <c r="AI298" s="4" cm="1">
        <f t="array" ref="AI298">IF(FALSE,"True," &amp; IF(_xlfn.XLOOKUP("SrcZone_IsAny",'Scoring_Config'!$A:$A,'Scoring_Config'!$D:$D,"Yes")="Yes",_xlfn.XLOOKUP("SrcZone_IsAny",'Scoring_Config'!$A:$A,'Scoring_Config'!$C:$C,5),0),"False,0")</f>
        <v>0</v>
      </c>
      <c r="AJ298" s="4" cm="1">
        <f t="array" ref="AJ298">IF(FALSE,"True," &amp; IF(_xlfn.XLOOKUP("DstZone_IsAny",'Scoring_Config'!$A:$A,'Scoring_Config'!$D:$D,"Yes")="Yes",_xlfn.XLOOKUP("DstZone_IsAny",'Scoring_Config'!$A:$A,'Scoring_Config'!$C:$C,5),0),"False,0")</f>
        <v>0</v>
      </c>
      <c r="AK298" s="4" cm="1">
        <f t="array" ref="AK29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8" s="4" cm="1">
        <f t="array" ref="AL298">IF(FALSE,"True," &amp; IF(_xlfn.XLOOKUP("App_Any_OR_RangeGt1000",'Scoring_Config'!$A:$A,'Scoring_Config'!$D:$D,"Yes")="Yes",_xlfn.XLOOKUP("App_Any_OR_RangeGt1000",'Scoring_Config'!$A:$A,'Scoring_Config'!$C:$C,25),0),"False,0")</f>
        <v>0</v>
      </c>
      <c r="AM298" s="5" cm="1">
        <f t="array" ref="AM298">IF(TRUE,"True," &amp; IF(_xlfn.XLOOKUP("Service_Insecure_Match",'Scoring_Config'!$A:$A,'Scoring_Config'!$D:$D,"Yes")="Yes",_xlfn.XLOOKUP("Service_Insecure_Match",'Scoring_Config'!$A:$A,'Scoring_Config'!$C:$C,20),0),"False,0")</f>
        <v>0</v>
      </c>
      <c r="AN298" s="4" cm="1">
        <f t="array" ref="AN298">IF(FALSE,"True," &amp; IF(_xlfn.XLOOKUP("Risky_Inbound",'Scoring_Config'!$A:$A,'Scoring_Config'!$D:$D,"Yes")="Yes",_xlfn.XLOOKUP("Risky_Inbound",'Scoring_Config'!$A:$A,'Scoring_Config'!$C:$C,20),0),"False,0")</f>
        <v>0</v>
      </c>
      <c r="AO298" s="4" cm="1">
        <f t="array" ref="AO298">IF(FALSE,"True," &amp; IF(_xlfn.XLOOKUP("Risky_Outbound",'Scoring_Config'!$A:$A,'Scoring_Config'!$D:$D,"Yes")="Yes",_xlfn.XLOOKUP("Risky_Outbound",'Scoring_Config'!$A:$A,'Scoring_Config'!$C:$C,10),0),"False,0")</f>
        <v>0</v>
      </c>
      <c r="AP298" s="5" t="s">
        <v>2595</v>
      </c>
      <c r="AQ298" s="4" cm="1">
        <f t="array" ref="AQ29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8" s="5" t="s">
        <v>2598</v>
      </c>
      <c r="AS298" s="4" t="s">
        <v>2592</v>
      </c>
      <c r="AT298" s="4" t="s">
        <v>2592</v>
      </c>
      <c r="AU298" s="4" cm="1">
        <f t="array" ref="AU298">IF(FALSE,"True," &amp; IF(_xlfn.XLOOKUP("Action_IsDenyOrDrop",'Scoring_Config'!$A:$A,'Scoring_Config'!$D:$D,"Yes")="Yes",_xlfn.XLOOKUP("Action_IsDenyOrDrop",'Scoring_Config'!$A:$A,'Scoring_Config'!$C:$C,0),0),"False,0")</f>
        <v>0</v>
      </c>
      <c r="AV298" s="4"/>
      <c r="AW298" s="4" cm="1">
        <f t="array" ref="AW298">IF(FALSE,"True," &amp; IF(_xlfn.XLOOKUP("Migrate_Insecure",'Scoring_Config'!$A:$A,'Scoring_Config'!$D:$D,"Yes")="Yes",_xlfn.XLOOKUP("Migrate_Insecure",'Scoring_Config'!$A:$A,'Scoring_Config'!$C:$C,15),0),"False,0")</f>
        <v>0</v>
      </c>
      <c r="AX298" s="4"/>
      <c r="AY298" s="4" cm="1">
        <f t="array" ref="AY298">IF(FALSE,"True," &amp; IF(_xlfn.XLOOKUP("Migrate_Other_Ports",'Scoring_Config'!$A:$A,'Scoring_Config'!$D:$D,"Yes")="Yes",_xlfn.XLOOKUP("Migrate_Other_Ports",'Scoring_Config'!$A:$A,'Scoring_Config'!$C:$C,5),0),"False,0")</f>
        <v>0</v>
      </c>
      <c r="AZ298" s="4" cm="1">
        <f t="array" ref="AZ298">IF(LEFT(AU298,4)="True",0,(IF(LEFT(AC298,4)="True",IF(_xlfn.XLOOKUP("Src_IsAny",'Scoring_Config'!$A:$A,'Scoring_Config'!$D:$D,"Yes")="Yes",_xlfn.XLOOKUP("Src_IsAny",'Scoring_Config'!$A:$A,'Scoring_Config'!$C:$C,25),0),0)+IF(LEFT(AD298,4)="True",IF(_xlfn.XLOOKUP("Src_CIDR_Le_16",'Scoring_Config'!$A:$A,'Scoring_Config'!$D:$D,"Yes")="Yes",_xlfn.XLOOKUP("Src_CIDR_Le_16",'Scoring_Config'!$A:$A,'Scoring_Config'!$C:$C,25),0),0)+IF(LEFT(AE298,4)="True",IF(_xlfn.XLOOKUP("Src_CIDR_17_22",'Scoring_Config'!$A:$A,'Scoring_Config'!$D:$D,"Yes")="Yes",_xlfn.XLOOKUP("Src_CIDR_17_22",'Scoring_Config'!$A:$A,'Scoring_Config'!$C:$C,15),0),0)+IF(LEFT(AF298,4)="True",IF(_xlfn.XLOOKUP("Dst_IsAny",'Scoring_Config'!$A:$A,'Scoring_Config'!$D:$D,"Yes")="Yes",_xlfn.XLOOKUP("Dst_IsAny",'Scoring_Config'!$A:$A,'Scoring_Config'!$C:$C,25),0),0)+IF(LEFT(AG298,4)="True",IF(_xlfn.XLOOKUP("Dst_CIDR_Le_16",'Scoring_Config'!$A:$A,'Scoring_Config'!$D:$D,"Yes")="Yes",_xlfn.XLOOKUP("Dst_CIDR_Le_16",'Scoring_Config'!$A:$A,'Scoring_Config'!$C:$C,25),0),0)+IF(LEFT(AH298,4)="True",IF(_xlfn.XLOOKUP("Dst_CIDR_17_22",'Scoring_Config'!$A:$A,'Scoring_Config'!$D:$D,"Yes")="Yes",_xlfn.XLOOKUP("Dst_CIDR_17_22",'Scoring_Config'!$A:$A,'Scoring_Config'!$C:$C,15),0),0)+IF(LEFT(AI298,4)="True",IF(_xlfn.XLOOKUP("SrcZone_IsAny",'Scoring_Config'!$A:$A,'Scoring_Config'!$D:$D,"Yes")="Yes",_xlfn.XLOOKUP("SrcZone_IsAny",'Scoring_Config'!$A:$A,'Scoring_Config'!$C:$C,5),0),0)+IF(LEFT(AJ298,4)="True",IF(_xlfn.XLOOKUP("DstZone_IsAny",'Scoring_Config'!$A:$A,'Scoring_Config'!$D:$D,"Yes")="Yes",_xlfn.XLOOKUP("DstZone_IsAny",'Scoring_Config'!$A:$A,'Scoring_Config'!$C:$C,5),0),0)+IF(LEFT(AK298,4)="True",IF(_xlfn.XLOOKUP("Service_Any_OR_RangeGt1000",'Scoring_Config'!$A:$A,'Scoring_Config'!$D:$D,"Yes")="Yes",_xlfn.XLOOKUP("Service_Any_OR_RangeGt1000",'Scoring_Config'!$A:$A,'Scoring_Config'!$C:$C,25),0),0)+IF(LEFT(AL298,4)="True",IF(_xlfn.XLOOKUP("App_Any_OR_RangeGt1000",'Scoring_Config'!$A:$A,'Scoring_Config'!$D:$D,"Yes")="Yes",_xlfn.XLOOKUP("App_Any_OR_RangeGt1000",'Scoring_Config'!$A:$A,'Scoring_Config'!$C:$C,25),0),0)+IF(LEFT(AM298,4)="True",IF(_xlfn.XLOOKUP("Service_Insecure_Match",'Scoring_Config'!$A:$A,'Scoring_Config'!$D:$D,"Yes")="Yes",_xlfn.XLOOKUP("Service_Insecure_Match",'Scoring_Config'!$A:$A,'Scoring_Config'!$C:$C,20),0),0)+IF(LEFT(AN298,4)="True",IF(_xlfn.XLOOKUP("Risky_Inbound",'Scoring_Config'!$A:$A,'Scoring_Config'!$D:$D,"Yes")="Yes",_xlfn.XLOOKUP("Risky_Inbound",'Scoring_Config'!$A:$A,'Scoring_Config'!$C:$C,20),0),0)+IF(LEFT(AO298,4)="True",IF(_xlfn.XLOOKUP("Risky_Outbound",'Scoring_Config'!$A:$A,'Scoring_Config'!$D:$D,"Yes")="Yes",_xlfn.XLOOKUP("Risky_Outbound",'Scoring_Config'!$A:$A,'Scoring_Config'!$C:$C,10),0),0)+IF(LEFT(AW298,4)="True",IF(_xlfn.XLOOKUP("Migrate_Insecure",'Scoring_Config'!$A:$A,'Scoring_Config'!$D:$D,"Yes")="Yes",_xlfn.XLOOKUP("Migrate_Insecure",'Scoring_Config'!$A:$A,'Scoring_Config'!$C:$C,15),0),0)+IF(LEFT(AY298,4)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298,FIND(",",AP298)+1,100)),0)+IF(LEFT(AQ298,4)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298,FIND(",",AR298)+1,100)),0)+IF(_xlfn.XLOOKUP("Profile_Scoring",'Scoring_Config'!$A:$A,'Scoring_Config'!$D:$D,"Yes")="Yes",VALUE(MID(AS298,FIND(",",AS298)+1,100)),0)+IF(_xlfn.XLOOKUP("Options_Scoring",'Scoring_Config'!$A:$A,'Scoring_Config'!$D:$D,"Yes")="Yes",VALUE(MID(AT298,FIND(",",AT298)+1,100)),0)))</f>
        <v>0</v>
      </c>
    </row>
    <row r="299" spans="1:52">
      <c r="A299" s="3" t="s">
        <v>54</v>
      </c>
      <c r="B299" s="3" t="s">
        <v>257</v>
      </c>
      <c r="C299" s="3" t="s">
        <v>331</v>
      </c>
      <c r="D299" s="3"/>
      <c r="E299" s="3" t="s">
        <v>359</v>
      </c>
      <c r="F299" s="3" t="s">
        <v>361</v>
      </c>
      <c r="G299" s="3" t="s">
        <v>454</v>
      </c>
      <c r="H299" s="3" t="s">
        <v>583</v>
      </c>
      <c r="I299" s="3" t="s">
        <v>365</v>
      </c>
      <c r="J299" s="3" t="s">
        <v>364</v>
      </c>
      <c r="K299" s="3" t="s">
        <v>474</v>
      </c>
      <c r="L299" s="3" t="s">
        <v>475</v>
      </c>
      <c r="M299" s="3" t="s">
        <v>783</v>
      </c>
      <c r="N299" s="3" t="s">
        <v>799</v>
      </c>
      <c r="O299" s="4" t="s">
        <v>852</v>
      </c>
      <c r="P299" s="3" t="s">
        <v>887</v>
      </c>
      <c r="Q299" s="3" t="s">
        <v>904</v>
      </c>
      <c r="R299" s="3" t="s">
        <v>909</v>
      </c>
      <c r="S299" s="3" t="s">
        <v>907</v>
      </c>
      <c r="T299" s="3"/>
      <c r="U299" s="3" t="s">
        <v>1302</v>
      </c>
      <c r="V299" s="3" t="s">
        <v>1388</v>
      </c>
      <c r="W299" s="3" t="s">
        <v>1122</v>
      </c>
      <c r="X299" s="3" t="s">
        <v>1903</v>
      </c>
      <c r="Y299" s="3" t="s">
        <v>2372</v>
      </c>
      <c r="Z299" s="3"/>
      <c r="AA299" s="3" t="s">
        <v>919</v>
      </c>
      <c r="AB299" s="3"/>
      <c r="AC299" s="4" cm="1">
        <f t="array" ref="AC299">IF(FALSE,"True," &amp; IF(_xlfn.XLOOKUP("Src_IsAny",'Scoring_Config'!$A:$A,'Scoring_Config'!$D:$D,"Yes")="Yes",_xlfn.XLOOKUP("Src_IsAny",'Scoring_Config'!$A:$A,'Scoring_Config'!$C:$C,25),0),"False,0")</f>
        <v>0</v>
      </c>
      <c r="AD299" s="4" cm="1">
        <f t="array" ref="AD299">IF(FALSE,"True," &amp; IF(_xlfn.XLOOKUP("Src_CIDR_Le_16",'Scoring_Config'!$A:$A,'Scoring_Config'!$D:$D,"Yes")="Yes",_xlfn.XLOOKUP("Src_CIDR_Le_16",'Scoring_Config'!$A:$A,'Scoring_Config'!$C:$C,25),0),"False,0")</f>
        <v>0</v>
      </c>
      <c r="AE299" s="4" cm="1">
        <f t="array" ref="AE299">IF(FALSE,"True," &amp; IF(_xlfn.XLOOKUP("Src_CIDR_17_22",'Scoring_Config'!$A:$A,'Scoring_Config'!$D:$D,"Yes")="Yes",_xlfn.XLOOKUP("Src_CIDR_17_22",'Scoring_Config'!$A:$A,'Scoring_Config'!$C:$C,15),0),"False,0")</f>
        <v>0</v>
      </c>
      <c r="AF299" s="4" cm="1">
        <f t="array" ref="AF299">IF(FALSE,"True," &amp; IF(_xlfn.XLOOKUP("Dst_IsAny",'Scoring_Config'!$A:$A,'Scoring_Config'!$D:$D,"Yes")="Yes",_xlfn.XLOOKUP("Dst_IsAny",'Scoring_Config'!$A:$A,'Scoring_Config'!$C:$C,25),0),"False,0")</f>
        <v>0</v>
      </c>
      <c r="AG299" s="4" cm="1">
        <f t="array" ref="AG299">IF(FALSE,"True," &amp; IF(_xlfn.XLOOKUP("Dst_CIDR_Le_16",'Scoring_Config'!$A:$A,'Scoring_Config'!$D:$D,"Yes")="Yes",_xlfn.XLOOKUP("Dst_CIDR_Le_16",'Scoring_Config'!$A:$A,'Scoring_Config'!$C:$C,25),0),"False,0")</f>
        <v>0</v>
      </c>
      <c r="AH299" s="4" cm="1">
        <f t="array" ref="AH299">IF(FALSE,"True," &amp; IF(_xlfn.XLOOKUP("Dst_CIDR_17_22",'Scoring_Config'!$A:$A,'Scoring_Config'!$D:$D,"Yes")="Yes",_xlfn.XLOOKUP("Dst_CIDR_17_22",'Scoring_Config'!$A:$A,'Scoring_Config'!$C:$C,15),0),"False,0")</f>
        <v>0</v>
      </c>
      <c r="AI299" s="4" cm="1">
        <f t="array" ref="AI299">IF(FALSE,"True," &amp; IF(_xlfn.XLOOKUP("SrcZone_IsAny",'Scoring_Config'!$A:$A,'Scoring_Config'!$D:$D,"Yes")="Yes",_xlfn.XLOOKUP("SrcZone_IsAny",'Scoring_Config'!$A:$A,'Scoring_Config'!$C:$C,5),0),"False,0")</f>
        <v>0</v>
      </c>
      <c r="AJ299" s="4" cm="1">
        <f t="array" ref="AJ299">IF(FALSE,"True," &amp; IF(_xlfn.XLOOKUP("DstZone_IsAny",'Scoring_Config'!$A:$A,'Scoring_Config'!$D:$D,"Yes")="Yes",_xlfn.XLOOKUP("DstZone_IsAny",'Scoring_Config'!$A:$A,'Scoring_Config'!$C:$C,5),0),"False,0")</f>
        <v>0</v>
      </c>
      <c r="AK299" s="4" cm="1">
        <f t="array" ref="AK29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299" s="4" cm="1">
        <f t="array" ref="AL299">IF(FALSE,"True," &amp; IF(_xlfn.XLOOKUP("App_Any_OR_RangeGt1000",'Scoring_Config'!$A:$A,'Scoring_Config'!$D:$D,"Yes")="Yes",_xlfn.XLOOKUP("App_Any_OR_RangeGt1000",'Scoring_Config'!$A:$A,'Scoring_Config'!$C:$C,25),0),"False,0")</f>
        <v>0</v>
      </c>
      <c r="AM299" s="5" cm="1">
        <f t="array" ref="AM299">IF(TRUE,"True," &amp; IF(_xlfn.XLOOKUP("Service_Insecure_Match",'Scoring_Config'!$A:$A,'Scoring_Config'!$D:$D,"Yes")="Yes",_xlfn.XLOOKUP("Service_Insecure_Match",'Scoring_Config'!$A:$A,'Scoring_Config'!$C:$C,20),0),"False,0")</f>
        <v>0</v>
      </c>
      <c r="AN299" s="4" cm="1">
        <f t="array" ref="AN299">IF(FALSE,"True," &amp; IF(_xlfn.XLOOKUP("Risky_Inbound",'Scoring_Config'!$A:$A,'Scoring_Config'!$D:$D,"Yes")="Yes",_xlfn.XLOOKUP("Risky_Inbound",'Scoring_Config'!$A:$A,'Scoring_Config'!$C:$C,20),0),"False,0")</f>
        <v>0</v>
      </c>
      <c r="AO299" s="4" cm="1">
        <f t="array" ref="AO299">IF(FALSE,"True," &amp; IF(_xlfn.XLOOKUP("Risky_Outbound",'Scoring_Config'!$A:$A,'Scoring_Config'!$D:$D,"Yes")="Yes",_xlfn.XLOOKUP("Risky_Outbound",'Scoring_Config'!$A:$A,'Scoring_Config'!$C:$C,10),0),"False,0")</f>
        <v>0</v>
      </c>
      <c r="AP299" s="5" t="s">
        <v>2595</v>
      </c>
      <c r="AQ299" s="4" cm="1">
        <f t="array" ref="AQ29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299" s="4" t="s">
        <v>2592</v>
      </c>
      <c r="AS299" s="4" t="s">
        <v>2592</v>
      </c>
      <c r="AT299" s="5" t="s">
        <v>2595</v>
      </c>
      <c r="AU299" s="5" cm="1">
        <f t="array" ref="AU299">IF(TRUE,"True," &amp; IF(_xlfn.XLOOKUP("Action_IsDenyOrDrop",'Scoring_Config'!$A:$A,'Scoring_Config'!$D:$D,"Yes")="Yes",_xlfn.XLOOKUP("Action_IsDenyOrDrop",'Scoring_Config'!$A:$A,'Scoring_Config'!$C:$C,0),0),"False,0")</f>
        <v>0</v>
      </c>
      <c r="AV299" s="4"/>
      <c r="AW299" s="4" cm="1">
        <f t="array" ref="AW299">IF(FALSE,"True," &amp; IF(_xlfn.XLOOKUP("Migrate_Insecure",'Scoring_Config'!$A:$A,'Scoring_Config'!$D:$D,"Yes")="Yes",_xlfn.XLOOKUP("Migrate_Insecure",'Scoring_Config'!$A:$A,'Scoring_Config'!$C:$C,15),0),"False,0")</f>
        <v>0</v>
      </c>
      <c r="AX299" s="4"/>
      <c r="AY299" s="4" cm="1">
        <f t="array" ref="AY299">IF(FALSE,"True," &amp; IF(_xlfn.XLOOKUP("Migrate_Other_Ports",'Scoring_Config'!$A:$A,'Scoring_Config'!$D:$D,"Yes")="Yes",_xlfn.XLOOKUP("Migrate_Other_Ports",'Scoring_Config'!$A:$A,'Scoring_Config'!$C:$C,5),0),"False,0")</f>
        <v>0</v>
      </c>
      <c r="AZ299" s="4" cm="1">
        <f t="array" ref="AZ299">IF(LEFT(AU299,4)="True",0,(IF(LEFT(AC299,4)="True",IF(_xlfn.XLOOKUP("Src_IsAny",'Scoring_Config'!$A:$A,'Scoring_Config'!$D:$D,"Yes")="Yes",_xlfn.XLOOKUP("Src_IsAny",'Scoring_Config'!$A:$A,'Scoring_Config'!$C:$C,25),0),0)+IF(LEFT(AD299,4)="True",IF(_xlfn.XLOOKUP("Src_CIDR_Le_16",'Scoring_Config'!$A:$A,'Scoring_Config'!$D:$D,"Yes")="Yes",_xlfn.XLOOKUP("Src_CIDR_Le_16",'Scoring_Config'!$A:$A,'Scoring_Config'!$C:$C,25),0),0)+IF(LEFT(AE299,4)="True",IF(_xlfn.XLOOKUP("Src_CIDR_17_22",'Scoring_Config'!$A:$A,'Scoring_Config'!$D:$D,"Yes")="Yes",_xlfn.XLOOKUP("Src_CIDR_17_22",'Scoring_Config'!$A:$A,'Scoring_Config'!$C:$C,15),0),0)+IF(LEFT(AF299,4)="True",IF(_xlfn.XLOOKUP("Dst_IsAny",'Scoring_Config'!$A:$A,'Scoring_Config'!$D:$D,"Yes")="Yes",_xlfn.XLOOKUP("Dst_IsAny",'Scoring_Config'!$A:$A,'Scoring_Config'!$C:$C,25),0),0)+IF(LEFT(AG299,4)="True",IF(_xlfn.XLOOKUP("Dst_CIDR_Le_16",'Scoring_Config'!$A:$A,'Scoring_Config'!$D:$D,"Yes")="Yes",_xlfn.XLOOKUP("Dst_CIDR_Le_16",'Scoring_Config'!$A:$A,'Scoring_Config'!$C:$C,25),0),0)+IF(LEFT(AH299,4)="True",IF(_xlfn.XLOOKUP("Dst_CIDR_17_22",'Scoring_Config'!$A:$A,'Scoring_Config'!$D:$D,"Yes")="Yes",_xlfn.XLOOKUP("Dst_CIDR_17_22",'Scoring_Config'!$A:$A,'Scoring_Config'!$C:$C,15),0),0)+IF(LEFT(AI299,4)="True",IF(_xlfn.XLOOKUP("SrcZone_IsAny",'Scoring_Config'!$A:$A,'Scoring_Config'!$D:$D,"Yes")="Yes",_xlfn.XLOOKUP("SrcZone_IsAny",'Scoring_Config'!$A:$A,'Scoring_Config'!$C:$C,5),0),0)+IF(LEFT(AJ299,4)="True",IF(_xlfn.XLOOKUP("DstZone_IsAny",'Scoring_Config'!$A:$A,'Scoring_Config'!$D:$D,"Yes")="Yes",_xlfn.XLOOKUP("DstZone_IsAny",'Scoring_Config'!$A:$A,'Scoring_Config'!$C:$C,5),0),0)+IF(LEFT(AK299,4)="True",IF(_xlfn.XLOOKUP("Service_Any_OR_RangeGt1000",'Scoring_Config'!$A:$A,'Scoring_Config'!$D:$D,"Yes")="Yes",_xlfn.XLOOKUP("Service_Any_OR_RangeGt1000",'Scoring_Config'!$A:$A,'Scoring_Config'!$C:$C,25),0),0)+IF(LEFT(AL299,4)="True",IF(_xlfn.XLOOKUP("App_Any_OR_RangeGt1000",'Scoring_Config'!$A:$A,'Scoring_Config'!$D:$D,"Yes")="Yes",_xlfn.XLOOKUP("App_Any_OR_RangeGt1000",'Scoring_Config'!$A:$A,'Scoring_Config'!$C:$C,25),0),0)+IF(LEFT(AM299,4)="True",IF(_xlfn.XLOOKUP("Service_Insecure_Match",'Scoring_Config'!$A:$A,'Scoring_Config'!$D:$D,"Yes")="Yes",_xlfn.XLOOKUP("Service_Insecure_Match",'Scoring_Config'!$A:$A,'Scoring_Config'!$C:$C,20),0),0)+IF(LEFT(AN299,4)="True",IF(_xlfn.XLOOKUP("Risky_Inbound",'Scoring_Config'!$A:$A,'Scoring_Config'!$D:$D,"Yes")="Yes",_xlfn.XLOOKUP("Risky_Inbound",'Scoring_Config'!$A:$A,'Scoring_Config'!$C:$C,20),0),0)+IF(LEFT(AO299,4)="True",IF(_xlfn.XLOOKUP("Risky_Outbound",'Scoring_Config'!$A:$A,'Scoring_Config'!$D:$D,"Yes")="Yes",_xlfn.XLOOKUP("Risky_Outbound",'Scoring_Config'!$A:$A,'Scoring_Config'!$C:$C,10),0),0)+IF(LEFT(AW299,4)="True",IF(_xlfn.XLOOKUP("Migrate_Insecure",'Scoring_Config'!$A:$A,'Scoring_Config'!$D:$D,"Yes")="Yes",_xlfn.XLOOKUP("Migrate_Insecure",'Scoring_Config'!$A:$A,'Scoring_Config'!$C:$C,15),0),0)+IF(LEFT(AY299,4)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299,FIND(",",AP299)+1,100)),0)+IF(LEFT(AQ299,4)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299,FIND(",",AR299)+1,100)),0)+IF(_xlfn.XLOOKUP("Profile_Scoring",'Scoring_Config'!$A:$A,'Scoring_Config'!$D:$D,"Yes")="Yes",VALUE(MID(AS299,FIND(",",AS299)+1,100)),0)+IF(_xlfn.XLOOKUP("Options_Scoring",'Scoring_Config'!$A:$A,'Scoring_Config'!$D:$D,"Yes")="Yes",VALUE(MID(AT299,FIND(",",AT299)+1,100)),0)))</f>
        <v>0</v>
      </c>
    </row>
    <row r="300" spans="1:52">
      <c r="A300" s="3" t="s">
        <v>54</v>
      </c>
      <c r="B300" s="3" t="s">
        <v>258</v>
      </c>
      <c r="C300" s="3" t="s">
        <v>331</v>
      </c>
      <c r="D300" s="3" t="s">
        <v>355</v>
      </c>
      <c r="E300" s="3" t="s">
        <v>359</v>
      </c>
      <c r="F300" s="3" t="s">
        <v>361</v>
      </c>
      <c r="G300" s="3" t="s">
        <v>461</v>
      </c>
      <c r="H300" s="3" t="s">
        <v>586</v>
      </c>
      <c r="I300" s="3" t="s">
        <v>622</v>
      </c>
      <c r="J300" s="3" t="s">
        <v>362</v>
      </c>
      <c r="K300" s="3" t="s">
        <v>457</v>
      </c>
      <c r="L300" s="3" t="s">
        <v>585</v>
      </c>
      <c r="M300" s="3" t="s">
        <v>778</v>
      </c>
      <c r="N300" s="3" t="s">
        <v>791</v>
      </c>
      <c r="O300" s="4" t="s">
        <v>842</v>
      </c>
      <c r="P300" s="3" t="s">
        <v>878</v>
      </c>
      <c r="Q300" s="3" t="s">
        <v>905</v>
      </c>
      <c r="R300" s="3" t="s">
        <v>907</v>
      </c>
      <c r="S300" s="3" t="s">
        <v>914</v>
      </c>
      <c r="T300" s="3"/>
      <c r="U300" s="3" t="s">
        <v>1157</v>
      </c>
      <c r="V300" s="3" t="s">
        <v>772</v>
      </c>
      <c r="W300" s="3" t="s">
        <v>1122</v>
      </c>
      <c r="X300" s="3" t="s">
        <v>1904</v>
      </c>
      <c r="Y300" s="3" t="s">
        <v>2373</v>
      </c>
      <c r="Z300" s="3"/>
      <c r="AA300" s="3" t="s">
        <v>2570</v>
      </c>
      <c r="AB300" s="3"/>
      <c r="AC300" s="5" cm="1">
        <f t="array" ref="AC300">IF(TRUE,"True," &amp; IF(_xlfn.XLOOKUP("Src_IsAny",'Scoring_Config'!$A:$A,'Scoring_Config'!$D:$D,"Yes")="Yes",_xlfn.XLOOKUP("Src_IsAny",'Scoring_Config'!$A:$A,'Scoring_Config'!$C:$C,25),0),"False,0")</f>
        <v>0</v>
      </c>
      <c r="AD300" s="4" cm="1">
        <f t="array" ref="AD300">IF(FALSE,"True," &amp; IF(_xlfn.XLOOKUP("Src_CIDR_Le_16",'Scoring_Config'!$A:$A,'Scoring_Config'!$D:$D,"Yes")="Yes",_xlfn.XLOOKUP("Src_CIDR_Le_16",'Scoring_Config'!$A:$A,'Scoring_Config'!$C:$C,25),0),"False,0")</f>
        <v>0</v>
      </c>
      <c r="AE300" s="4" cm="1">
        <f t="array" ref="AE300">IF(FALSE,"True," &amp; IF(_xlfn.XLOOKUP("Src_CIDR_17_22",'Scoring_Config'!$A:$A,'Scoring_Config'!$D:$D,"Yes")="Yes",_xlfn.XLOOKUP("Src_CIDR_17_22",'Scoring_Config'!$A:$A,'Scoring_Config'!$C:$C,15),0),"False,0")</f>
        <v>0</v>
      </c>
      <c r="AF300" s="4" cm="1">
        <f t="array" ref="AF300">IF(FALSE,"True," &amp; IF(_xlfn.XLOOKUP("Dst_IsAny",'Scoring_Config'!$A:$A,'Scoring_Config'!$D:$D,"Yes")="Yes",_xlfn.XLOOKUP("Dst_IsAny",'Scoring_Config'!$A:$A,'Scoring_Config'!$C:$C,25),0),"False,0")</f>
        <v>0</v>
      </c>
      <c r="AG300" s="4" cm="1">
        <f t="array" ref="AG300">IF(FALSE,"True," &amp; IF(_xlfn.XLOOKUP("Dst_CIDR_Le_16",'Scoring_Config'!$A:$A,'Scoring_Config'!$D:$D,"Yes")="Yes",_xlfn.XLOOKUP("Dst_CIDR_Le_16",'Scoring_Config'!$A:$A,'Scoring_Config'!$C:$C,25),0),"False,0")</f>
        <v>0</v>
      </c>
      <c r="AH300" s="4" cm="1">
        <f t="array" ref="AH300">IF(FALSE,"True," &amp; IF(_xlfn.XLOOKUP("Dst_CIDR_17_22",'Scoring_Config'!$A:$A,'Scoring_Config'!$D:$D,"Yes")="Yes",_xlfn.XLOOKUP("Dst_CIDR_17_22",'Scoring_Config'!$A:$A,'Scoring_Config'!$C:$C,15),0),"False,0")</f>
        <v>0</v>
      </c>
      <c r="AI300" s="4" cm="1">
        <f t="array" ref="AI300">IF(FALSE,"True," &amp; IF(_xlfn.XLOOKUP("SrcZone_IsAny",'Scoring_Config'!$A:$A,'Scoring_Config'!$D:$D,"Yes")="Yes",_xlfn.XLOOKUP("SrcZone_IsAny",'Scoring_Config'!$A:$A,'Scoring_Config'!$C:$C,5),0),"False,0")</f>
        <v>0</v>
      </c>
      <c r="AJ300" s="4" cm="1">
        <f t="array" ref="AJ300">IF(FALSE,"True," &amp; IF(_xlfn.XLOOKUP("DstZone_IsAny",'Scoring_Config'!$A:$A,'Scoring_Config'!$D:$D,"Yes")="Yes",_xlfn.XLOOKUP("DstZone_IsAny",'Scoring_Config'!$A:$A,'Scoring_Config'!$C:$C,5),0),"False,0")</f>
        <v>0</v>
      </c>
      <c r="AK300" s="4" cm="1">
        <f t="array" ref="AK30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0" s="5" cm="1">
        <f t="array" ref="AL300">IF(TRUE,"True," &amp; IF(_xlfn.XLOOKUP("App_Any_OR_RangeGt1000",'Scoring_Config'!$A:$A,'Scoring_Config'!$D:$D,"Yes")="Yes",_xlfn.XLOOKUP("App_Any_OR_RangeGt1000",'Scoring_Config'!$A:$A,'Scoring_Config'!$C:$C,25),0),"False,0")</f>
        <v>0</v>
      </c>
      <c r="AM300" s="5" cm="1">
        <f t="array" ref="AM300">IF(TRUE,"True," &amp; IF(_xlfn.XLOOKUP("Service_Insecure_Match",'Scoring_Config'!$A:$A,'Scoring_Config'!$D:$D,"Yes")="Yes",_xlfn.XLOOKUP("Service_Insecure_Match",'Scoring_Config'!$A:$A,'Scoring_Config'!$C:$C,20),0),"False,0")</f>
        <v>0</v>
      </c>
      <c r="AN300" s="4" cm="1">
        <f t="array" ref="AN300">IF(FALSE,"True," &amp; IF(_xlfn.XLOOKUP("Risky_Inbound",'Scoring_Config'!$A:$A,'Scoring_Config'!$D:$D,"Yes")="Yes",_xlfn.XLOOKUP("Risky_Inbound",'Scoring_Config'!$A:$A,'Scoring_Config'!$C:$C,20),0),"False,0")</f>
        <v>0</v>
      </c>
      <c r="AO300" s="4" cm="1">
        <f t="array" ref="AO300">IF(FALSE,"True," &amp; IF(_xlfn.XLOOKUP("Risky_Outbound",'Scoring_Config'!$A:$A,'Scoring_Config'!$D:$D,"Yes")="Yes",_xlfn.XLOOKUP("Risky_Outbound",'Scoring_Config'!$A:$A,'Scoring_Config'!$C:$C,10),0),"False,0")</f>
        <v>0</v>
      </c>
      <c r="AP300" s="5" t="s">
        <v>2595</v>
      </c>
      <c r="AQ300" s="5" cm="1">
        <f t="array" ref="AQ30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0" s="5" t="s">
        <v>2598</v>
      </c>
      <c r="AS300" s="5" t="s">
        <v>2595</v>
      </c>
      <c r="AT300" s="4" t="s">
        <v>2592</v>
      </c>
      <c r="AU300" s="4" cm="1">
        <f t="array" ref="AU300">IF(FALSE,"True," &amp; IF(_xlfn.XLOOKUP("Action_IsDenyOrDrop",'Scoring_Config'!$A:$A,'Scoring_Config'!$D:$D,"Yes")="Yes",_xlfn.XLOOKUP("Action_IsDenyOrDrop",'Scoring_Config'!$A:$A,'Scoring_Config'!$C:$C,0),0),"False,0")</f>
        <v>0</v>
      </c>
      <c r="AV300" s="4"/>
      <c r="AW300" s="4" cm="1">
        <f t="array" ref="AW300">IF(FALSE,"True," &amp; IF(_xlfn.XLOOKUP("Migrate_Insecure",'Scoring_Config'!$A:$A,'Scoring_Config'!$D:$D,"Yes")="Yes",_xlfn.XLOOKUP("Migrate_Insecure",'Scoring_Config'!$A:$A,'Scoring_Config'!$C:$C,15),0),"False,0")</f>
        <v>0</v>
      </c>
      <c r="AX300" s="4"/>
      <c r="AY300" s="4" cm="1">
        <f t="array" ref="AY300">IF(FALSE,"True," &amp; IF(_xlfn.XLOOKUP("Migrate_Other_Ports",'Scoring_Config'!$A:$A,'Scoring_Config'!$D:$D,"Yes")="Yes",_xlfn.XLOOKUP("Migrate_Other_Ports",'Scoring_Config'!$A:$A,'Scoring_Config'!$C:$C,5),0),"False,0")</f>
        <v>0</v>
      </c>
      <c r="AZ300" s="4" cm="1">
        <f t="array" ref="AZ300">IF(LEFT(AU300,4)="True",0,(IF(LEFT(AC300,4)="True",IF(_xlfn.XLOOKUP("Src_IsAny",'Scoring_Config'!$A:$A,'Scoring_Config'!$D:$D,"Yes")="Yes",_xlfn.XLOOKUP("Src_IsAny",'Scoring_Config'!$A:$A,'Scoring_Config'!$C:$C,25),0),0)+IF(LEFT(AD300,4)="True",IF(_xlfn.XLOOKUP("Src_CIDR_Le_16",'Scoring_Config'!$A:$A,'Scoring_Config'!$D:$D,"Yes")="Yes",_xlfn.XLOOKUP("Src_CIDR_Le_16",'Scoring_Config'!$A:$A,'Scoring_Config'!$C:$C,25),0),0)+IF(LEFT(AE300,4)="True",IF(_xlfn.XLOOKUP("Src_CIDR_17_22",'Scoring_Config'!$A:$A,'Scoring_Config'!$D:$D,"Yes")="Yes",_xlfn.XLOOKUP("Src_CIDR_17_22",'Scoring_Config'!$A:$A,'Scoring_Config'!$C:$C,15),0),0)+IF(LEFT(AF300,4)="True",IF(_xlfn.XLOOKUP("Dst_IsAny",'Scoring_Config'!$A:$A,'Scoring_Config'!$D:$D,"Yes")="Yes",_xlfn.XLOOKUP("Dst_IsAny",'Scoring_Config'!$A:$A,'Scoring_Config'!$C:$C,25),0),0)+IF(LEFT(AG300,4)="True",IF(_xlfn.XLOOKUP("Dst_CIDR_Le_16",'Scoring_Config'!$A:$A,'Scoring_Config'!$D:$D,"Yes")="Yes",_xlfn.XLOOKUP("Dst_CIDR_Le_16",'Scoring_Config'!$A:$A,'Scoring_Config'!$C:$C,25),0),0)+IF(LEFT(AH300,4)="True",IF(_xlfn.XLOOKUP("Dst_CIDR_17_22",'Scoring_Config'!$A:$A,'Scoring_Config'!$D:$D,"Yes")="Yes",_xlfn.XLOOKUP("Dst_CIDR_17_22",'Scoring_Config'!$A:$A,'Scoring_Config'!$C:$C,15),0),0)+IF(LEFT(AI300,4)="True",IF(_xlfn.XLOOKUP("SrcZone_IsAny",'Scoring_Config'!$A:$A,'Scoring_Config'!$D:$D,"Yes")="Yes",_xlfn.XLOOKUP("SrcZone_IsAny",'Scoring_Config'!$A:$A,'Scoring_Config'!$C:$C,5),0),0)+IF(LEFT(AJ300,4)="True",IF(_xlfn.XLOOKUP("DstZone_IsAny",'Scoring_Config'!$A:$A,'Scoring_Config'!$D:$D,"Yes")="Yes",_xlfn.XLOOKUP("DstZone_IsAny",'Scoring_Config'!$A:$A,'Scoring_Config'!$C:$C,5),0),0)+IF(LEFT(AK300,4)="True",IF(_xlfn.XLOOKUP("Service_Any_OR_RangeGt1000",'Scoring_Config'!$A:$A,'Scoring_Config'!$D:$D,"Yes")="Yes",_xlfn.XLOOKUP("Service_Any_OR_RangeGt1000",'Scoring_Config'!$A:$A,'Scoring_Config'!$C:$C,25),0),0)+IF(LEFT(AL300,4)="True",IF(_xlfn.XLOOKUP("App_Any_OR_RangeGt1000",'Scoring_Config'!$A:$A,'Scoring_Config'!$D:$D,"Yes")="Yes",_xlfn.XLOOKUP("App_Any_OR_RangeGt1000",'Scoring_Config'!$A:$A,'Scoring_Config'!$C:$C,25),0),0)+IF(LEFT(AM300,4)="True",IF(_xlfn.XLOOKUP("Service_Insecure_Match",'Scoring_Config'!$A:$A,'Scoring_Config'!$D:$D,"Yes")="Yes",_xlfn.XLOOKUP("Service_Insecure_Match",'Scoring_Config'!$A:$A,'Scoring_Config'!$C:$C,20),0),0)+IF(LEFT(AN300,4)="True",IF(_xlfn.XLOOKUP("Risky_Inbound",'Scoring_Config'!$A:$A,'Scoring_Config'!$D:$D,"Yes")="Yes",_xlfn.XLOOKUP("Risky_Inbound",'Scoring_Config'!$A:$A,'Scoring_Config'!$C:$C,20),0),0)+IF(LEFT(AO300,4)="True",IF(_xlfn.XLOOKUP("Risky_Outbound",'Scoring_Config'!$A:$A,'Scoring_Config'!$D:$D,"Yes")="Yes",_xlfn.XLOOKUP("Risky_Outbound",'Scoring_Config'!$A:$A,'Scoring_Config'!$C:$C,10),0),0)+IF(LEFT(AW300,4)="True",IF(_xlfn.XLOOKUP("Migrate_Insecure",'Scoring_Config'!$A:$A,'Scoring_Config'!$D:$D,"Yes")="Yes",_xlfn.XLOOKUP("Migrate_Insecure",'Scoring_Config'!$A:$A,'Scoring_Config'!$C:$C,15),0),0)+IF(LEFT(AY300,4)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300,FIND(",",AP300)+1,100)),0)+IF(LEFT(AQ300,4)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300,FIND(",",AR300)+1,100)),0)+IF(_xlfn.XLOOKUP("Profile_Scoring",'Scoring_Config'!$A:$A,'Scoring_Config'!$D:$D,"Yes")="Yes",VALUE(MID(AS300,FIND(",",AS300)+1,100)),0)+IF(_xlfn.XLOOKUP("Options_Scoring",'Scoring_Config'!$A:$A,'Scoring_Config'!$D:$D,"Yes")="Yes",VALUE(MID(AT300,FIND(",",AT300)+1,100)),0)))</f>
        <v>0</v>
      </c>
    </row>
    <row r="301" spans="1:52">
      <c r="A301" s="3" t="s">
        <v>54</v>
      </c>
      <c r="B301" s="3" t="s">
        <v>259</v>
      </c>
      <c r="C301" s="3" t="s">
        <v>331</v>
      </c>
      <c r="D301" s="3" t="s">
        <v>355</v>
      </c>
      <c r="E301" s="3" t="s">
        <v>359</v>
      </c>
      <c r="F301" s="3" t="s">
        <v>361</v>
      </c>
      <c r="G301" s="3" t="s">
        <v>470</v>
      </c>
      <c r="H301" s="3" t="s">
        <v>591</v>
      </c>
      <c r="I301" s="3" t="s">
        <v>623</v>
      </c>
      <c r="J301" s="3" t="s">
        <v>364</v>
      </c>
      <c r="K301" s="3" t="s">
        <v>365</v>
      </c>
      <c r="L301" s="3" t="s">
        <v>365</v>
      </c>
      <c r="M301" s="3" t="s">
        <v>784</v>
      </c>
      <c r="N301" s="3" t="s">
        <v>800</v>
      </c>
      <c r="O301" s="4" t="s">
        <v>811</v>
      </c>
      <c r="P301" s="3" t="s">
        <v>872</v>
      </c>
      <c r="Q301" s="3" t="s">
        <v>904</v>
      </c>
      <c r="R301" s="3" t="s">
        <v>911</v>
      </c>
      <c r="S301" s="3" t="s">
        <v>914</v>
      </c>
      <c r="T301" s="3"/>
      <c r="U301" s="3" t="s">
        <v>1157</v>
      </c>
      <c r="V301" s="3" t="s">
        <v>772</v>
      </c>
      <c r="W301" s="3" t="s">
        <v>1442</v>
      </c>
      <c r="X301" s="3" t="s">
        <v>1905</v>
      </c>
      <c r="Y301" s="3" t="s">
        <v>2374</v>
      </c>
      <c r="Z301" s="3"/>
      <c r="AA301" s="3" t="s">
        <v>2571</v>
      </c>
      <c r="AB301" s="3"/>
      <c r="AC301" s="4" cm="1">
        <f t="array" ref="AC301">IF(FALSE,"True," &amp; IF(_xlfn.XLOOKUP("Src_IsAny",'Scoring_Config'!$A:$A,'Scoring_Config'!$D:$D,"Yes")="Yes",_xlfn.XLOOKUP("Src_IsAny",'Scoring_Config'!$A:$A,'Scoring_Config'!$C:$C,25),0),"False,0")</f>
        <v>0</v>
      </c>
      <c r="AD301" s="5" cm="1">
        <f t="array" ref="AD301">IF(TRUE,"True," &amp; IF(_xlfn.XLOOKUP("Src_CIDR_Le_16",'Scoring_Config'!$A:$A,'Scoring_Config'!$D:$D,"Yes")="Yes",_xlfn.XLOOKUP("Src_CIDR_Le_16",'Scoring_Config'!$A:$A,'Scoring_Config'!$C:$C,25),0),"False,0")</f>
        <v>0</v>
      </c>
      <c r="AE301" s="4" cm="1">
        <f t="array" ref="AE301">IF(FALSE,"True," &amp; IF(_xlfn.XLOOKUP("Src_CIDR_17_22",'Scoring_Config'!$A:$A,'Scoring_Config'!$D:$D,"Yes")="Yes",_xlfn.XLOOKUP("Src_CIDR_17_22",'Scoring_Config'!$A:$A,'Scoring_Config'!$C:$C,15),0),"False,0")</f>
        <v>0</v>
      </c>
      <c r="AF301" s="5" cm="1">
        <f t="array" ref="AF301">IF(TRUE,"True," &amp; IF(_xlfn.XLOOKUP("Dst_IsAny",'Scoring_Config'!$A:$A,'Scoring_Config'!$D:$D,"Yes")="Yes",_xlfn.XLOOKUP("Dst_IsAny",'Scoring_Config'!$A:$A,'Scoring_Config'!$C:$C,25),0),"False,0")</f>
        <v>0</v>
      </c>
      <c r="AG301" s="4" cm="1">
        <f t="array" ref="AG301">IF(FALSE,"True," &amp; IF(_xlfn.XLOOKUP("Dst_CIDR_Le_16",'Scoring_Config'!$A:$A,'Scoring_Config'!$D:$D,"Yes")="Yes",_xlfn.XLOOKUP("Dst_CIDR_Le_16",'Scoring_Config'!$A:$A,'Scoring_Config'!$C:$C,25),0),"False,0")</f>
        <v>0</v>
      </c>
      <c r="AH301" s="4" cm="1">
        <f t="array" ref="AH301">IF(FALSE,"True," &amp; IF(_xlfn.XLOOKUP("Dst_CIDR_17_22",'Scoring_Config'!$A:$A,'Scoring_Config'!$D:$D,"Yes")="Yes",_xlfn.XLOOKUP("Dst_CIDR_17_22",'Scoring_Config'!$A:$A,'Scoring_Config'!$C:$C,15),0),"False,0")</f>
        <v>0</v>
      </c>
      <c r="AI301" s="4" cm="1">
        <f t="array" ref="AI301">IF(FALSE,"True," &amp; IF(_xlfn.XLOOKUP("SrcZone_IsAny",'Scoring_Config'!$A:$A,'Scoring_Config'!$D:$D,"Yes")="Yes",_xlfn.XLOOKUP("SrcZone_IsAny",'Scoring_Config'!$A:$A,'Scoring_Config'!$C:$C,5),0),"False,0")</f>
        <v>0</v>
      </c>
      <c r="AJ301" s="4" cm="1">
        <f t="array" ref="AJ301">IF(FALSE,"True," &amp; IF(_xlfn.XLOOKUP("DstZone_IsAny",'Scoring_Config'!$A:$A,'Scoring_Config'!$D:$D,"Yes")="Yes",_xlfn.XLOOKUP("DstZone_IsAny",'Scoring_Config'!$A:$A,'Scoring_Config'!$C:$C,5),0),"False,0")</f>
        <v>0</v>
      </c>
      <c r="AK301" s="4" cm="1">
        <f t="array" ref="AK30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1" s="4" cm="1">
        <f t="array" ref="AL301">IF(FALSE,"True," &amp; IF(_xlfn.XLOOKUP("App_Any_OR_RangeGt1000",'Scoring_Config'!$A:$A,'Scoring_Config'!$D:$D,"Yes")="Yes",_xlfn.XLOOKUP("App_Any_OR_RangeGt1000",'Scoring_Config'!$A:$A,'Scoring_Config'!$C:$C,25),0),"False,0")</f>
        <v>0</v>
      </c>
      <c r="AM301" s="5" cm="1">
        <f t="array" ref="AM301">IF(TRUE,"True," &amp; IF(_xlfn.XLOOKUP("Service_Insecure_Match",'Scoring_Config'!$A:$A,'Scoring_Config'!$D:$D,"Yes")="Yes",_xlfn.XLOOKUP("Service_Insecure_Match",'Scoring_Config'!$A:$A,'Scoring_Config'!$C:$C,20),0),"False,0")</f>
        <v>0</v>
      </c>
      <c r="AN301" s="4" cm="1">
        <f t="array" ref="AN301">IF(FALSE,"True," &amp; IF(_xlfn.XLOOKUP("Risky_Inbound",'Scoring_Config'!$A:$A,'Scoring_Config'!$D:$D,"Yes")="Yes",_xlfn.XLOOKUP("Risky_Inbound",'Scoring_Config'!$A:$A,'Scoring_Config'!$C:$C,20),0),"False,0")</f>
        <v>0</v>
      </c>
      <c r="AO301" s="4" cm="1">
        <f t="array" ref="AO301">IF(FALSE,"True," &amp; IF(_xlfn.XLOOKUP("Risky_Outbound",'Scoring_Config'!$A:$A,'Scoring_Config'!$D:$D,"Yes")="Yes",_xlfn.XLOOKUP("Risky_Outbound",'Scoring_Config'!$A:$A,'Scoring_Config'!$C:$C,10),0),"False,0")</f>
        <v>0</v>
      </c>
      <c r="AP301" s="5" t="s">
        <v>2595</v>
      </c>
      <c r="AQ301" s="5" cm="1">
        <f t="array" ref="AQ30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1" s="5" t="s">
        <v>2598</v>
      </c>
      <c r="AS301" s="4" t="s">
        <v>2592</v>
      </c>
      <c r="AT301" s="4" t="s">
        <v>2592</v>
      </c>
      <c r="AU301" s="5" cm="1">
        <f t="array" ref="AU301">IF(TRUE,"True," &amp; IF(_xlfn.XLOOKUP("Action_IsDenyOrDrop",'Scoring_Config'!$A:$A,'Scoring_Config'!$D:$D,"Yes")="Yes",_xlfn.XLOOKUP("Action_IsDenyOrDrop",'Scoring_Config'!$A:$A,'Scoring_Config'!$C:$C,0),0),"False,0")</f>
        <v>0</v>
      </c>
      <c r="AV301" s="4"/>
      <c r="AW301" s="4" cm="1">
        <f t="array" ref="AW301">IF(FALSE,"True," &amp; IF(_xlfn.XLOOKUP("Migrate_Insecure",'Scoring_Config'!$A:$A,'Scoring_Config'!$D:$D,"Yes")="Yes",_xlfn.XLOOKUP("Migrate_Insecure",'Scoring_Config'!$A:$A,'Scoring_Config'!$C:$C,15),0),"False,0")</f>
        <v>0</v>
      </c>
      <c r="AX301" s="4"/>
      <c r="AY301" s="4" cm="1">
        <f t="array" ref="AY301">IF(FALSE,"True," &amp; IF(_xlfn.XLOOKUP("Migrate_Other_Ports",'Scoring_Config'!$A:$A,'Scoring_Config'!$D:$D,"Yes")="Yes",_xlfn.XLOOKUP("Migrate_Other_Ports",'Scoring_Config'!$A:$A,'Scoring_Config'!$C:$C,5),0),"False,0")</f>
        <v>0</v>
      </c>
      <c r="AZ301" s="4" cm="1">
        <f t="array" ref="AZ301">IF(LEFT(AU301,4)="True",0,(IF(LEFT(AC301,4)="True",IF(_xlfn.XLOOKUP("Src_IsAny",'Scoring_Config'!$A:$A,'Scoring_Config'!$D:$D,"Yes")="Yes",_xlfn.XLOOKUP("Src_IsAny",'Scoring_Config'!$A:$A,'Scoring_Config'!$C:$C,25),0),0)+IF(LEFT(AD301,4)="True",IF(_xlfn.XLOOKUP("Src_CIDR_Le_16",'Scoring_Config'!$A:$A,'Scoring_Config'!$D:$D,"Yes")="Yes",_xlfn.XLOOKUP("Src_CIDR_Le_16",'Scoring_Config'!$A:$A,'Scoring_Config'!$C:$C,25),0),0)+IF(LEFT(AE301,4)="True",IF(_xlfn.XLOOKUP("Src_CIDR_17_22",'Scoring_Config'!$A:$A,'Scoring_Config'!$D:$D,"Yes")="Yes",_xlfn.XLOOKUP("Src_CIDR_17_22",'Scoring_Config'!$A:$A,'Scoring_Config'!$C:$C,15),0),0)+IF(LEFT(AF301,4)="True",IF(_xlfn.XLOOKUP("Dst_IsAny",'Scoring_Config'!$A:$A,'Scoring_Config'!$D:$D,"Yes")="Yes",_xlfn.XLOOKUP("Dst_IsAny",'Scoring_Config'!$A:$A,'Scoring_Config'!$C:$C,25),0),0)+IF(LEFT(AG301,4)="True",IF(_xlfn.XLOOKUP("Dst_CIDR_Le_16",'Scoring_Config'!$A:$A,'Scoring_Config'!$D:$D,"Yes")="Yes",_xlfn.XLOOKUP("Dst_CIDR_Le_16",'Scoring_Config'!$A:$A,'Scoring_Config'!$C:$C,25),0),0)+IF(LEFT(AH301,4)="True",IF(_xlfn.XLOOKUP("Dst_CIDR_17_22",'Scoring_Config'!$A:$A,'Scoring_Config'!$D:$D,"Yes")="Yes",_xlfn.XLOOKUP("Dst_CIDR_17_22",'Scoring_Config'!$A:$A,'Scoring_Config'!$C:$C,15),0),0)+IF(LEFT(AI301,4)="True",IF(_xlfn.XLOOKUP("SrcZone_IsAny",'Scoring_Config'!$A:$A,'Scoring_Config'!$D:$D,"Yes")="Yes",_xlfn.XLOOKUP("SrcZone_IsAny",'Scoring_Config'!$A:$A,'Scoring_Config'!$C:$C,5),0),0)+IF(LEFT(AJ301,4)="True",IF(_xlfn.XLOOKUP("DstZone_IsAny",'Scoring_Config'!$A:$A,'Scoring_Config'!$D:$D,"Yes")="Yes",_xlfn.XLOOKUP("DstZone_IsAny",'Scoring_Config'!$A:$A,'Scoring_Config'!$C:$C,5),0),0)+IF(LEFT(AK301,4)="True",IF(_xlfn.XLOOKUP("Service_Any_OR_RangeGt1000",'Scoring_Config'!$A:$A,'Scoring_Config'!$D:$D,"Yes")="Yes",_xlfn.XLOOKUP("Service_Any_OR_RangeGt1000",'Scoring_Config'!$A:$A,'Scoring_Config'!$C:$C,25),0),0)+IF(LEFT(AL301,4)="True",IF(_xlfn.XLOOKUP("App_Any_OR_RangeGt1000",'Scoring_Config'!$A:$A,'Scoring_Config'!$D:$D,"Yes")="Yes",_xlfn.XLOOKUP("App_Any_OR_RangeGt1000",'Scoring_Config'!$A:$A,'Scoring_Config'!$C:$C,25),0),0)+IF(LEFT(AM301,4)="True",IF(_xlfn.XLOOKUP("Service_Insecure_Match",'Scoring_Config'!$A:$A,'Scoring_Config'!$D:$D,"Yes")="Yes",_xlfn.XLOOKUP("Service_Insecure_Match",'Scoring_Config'!$A:$A,'Scoring_Config'!$C:$C,20),0),0)+IF(LEFT(AN301,4)="True",IF(_xlfn.XLOOKUP("Risky_Inbound",'Scoring_Config'!$A:$A,'Scoring_Config'!$D:$D,"Yes")="Yes",_xlfn.XLOOKUP("Risky_Inbound",'Scoring_Config'!$A:$A,'Scoring_Config'!$C:$C,20),0),0)+IF(LEFT(AO301,4)="True",IF(_xlfn.XLOOKUP("Risky_Outbound",'Scoring_Config'!$A:$A,'Scoring_Config'!$D:$D,"Yes")="Yes",_xlfn.XLOOKUP("Risky_Outbound",'Scoring_Config'!$A:$A,'Scoring_Config'!$C:$C,10),0),0)+IF(LEFT(AW301,4)="True",IF(_xlfn.XLOOKUP("Migrate_Insecure",'Scoring_Config'!$A:$A,'Scoring_Config'!$D:$D,"Yes")="Yes",_xlfn.XLOOKUP("Migrate_Insecure",'Scoring_Config'!$A:$A,'Scoring_Config'!$C:$C,15),0),0)+IF(LEFT(AY301,4)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301,FIND(",",AP301)+1,100)),0)+IF(LEFT(AQ301,4)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301,FIND(",",AR301)+1,100)),0)+IF(_xlfn.XLOOKUP("Profile_Scoring",'Scoring_Config'!$A:$A,'Scoring_Config'!$D:$D,"Yes")="Yes",VALUE(MID(AS301,FIND(",",AS301)+1,100)),0)+IF(_xlfn.XLOOKUP("Options_Scoring",'Scoring_Config'!$A:$A,'Scoring_Config'!$D:$D,"Yes")="Yes",VALUE(MID(AT301,FIND(",",AT301)+1,100)),0)))</f>
        <v>0</v>
      </c>
    </row>
    <row r="302" spans="1:52">
      <c r="A302" s="3" t="s">
        <v>54</v>
      </c>
      <c r="B302" s="3" t="s">
        <v>260</v>
      </c>
      <c r="C302" s="3" t="s">
        <v>331</v>
      </c>
      <c r="D302" s="3"/>
      <c r="E302" s="3" t="s">
        <v>359</v>
      </c>
      <c r="F302" s="3" t="s">
        <v>361</v>
      </c>
      <c r="G302" s="3" t="s">
        <v>365</v>
      </c>
      <c r="H302" s="3" t="s">
        <v>365</v>
      </c>
      <c r="I302" s="3" t="s">
        <v>623</v>
      </c>
      <c r="J302" s="3" t="s">
        <v>360</v>
      </c>
      <c r="K302" s="3" t="s">
        <v>365</v>
      </c>
      <c r="L302" s="3" t="s">
        <v>365</v>
      </c>
      <c r="M302" s="3" t="s">
        <v>365</v>
      </c>
      <c r="N302" s="3" t="s">
        <v>365</v>
      </c>
      <c r="O302" s="4" t="s">
        <v>843</v>
      </c>
      <c r="P302" s="3" t="s">
        <v>896</v>
      </c>
      <c r="Q302" s="3" t="s">
        <v>905</v>
      </c>
      <c r="R302" s="3" t="s">
        <v>907</v>
      </c>
      <c r="S302" s="3" t="s">
        <v>913</v>
      </c>
      <c r="T302" s="3"/>
      <c r="U302" s="3" t="s">
        <v>1303</v>
      </c>
      <c r="V302" s="3" t="s">
        <v>1388</v>
      </c>
      <c r="W302" s="3" t="s">
        <v>1112</v>
      </c>
      <c r="X302" s="3" t="s">
        <v>1906</v>
      </c>
      <c r="Y302" s="3" t="s">
        <v>2375</v>
      </c>
      <c r="Z302" s="3"/>
      <c r="AA302" s="3" t="s">
        <v>919</v>
      </c>
      <c r="AB302" s="3"/>
      <c r="AC302" s="5" cm="1">
        <f t="array" ref="AC302">IF(TRUE,"True," &amp; IF(_xlfn.XLOOKUP("Src_IsAny",'Scoring_Config'!$A:$A,'Scoring_Config'!$D:$D,"Yes")="Yes",_xlfn.XLOOKUP("Src_IsAny",'Scoring_Config'!$A:$A,'Scoring_Config'!$C:$C,25),0),"False,0")</f>
        <v>0</v>
      </c>
      <c r="AD302" s="4" cm="1">
        <f t="array" ref="AD302">IF(FALSE,"True," &amp; IF(_xlfn.XLOOKUP("Src_CIDR_Le_16",'Scoring_Config'!$A:$A,'Scoring_Config'!$D:$D,"Yes")="Yes",_xlfn.XLOOKUP("Src_CIDR_Le_16",'Scoring_Config'!$A:$A,'Scoring_Config'!$C:$C,25),0),"False,0")</f>
        <v>0</v>
      </c>
      <c r="AE302" s="4" cm="1">
        <f t="array" ref="AE302">IF(FALSE,"True," &amp; IF(_xlfn.XLOOKUP("Src_CIDR_17_22",'Scoring_Config'!$A:$A,'Scoring_Config'!$D:$D,"Yes")="Yes",_xlfn.XLOOKUP("Src_CIDR_17_22",'Scoring_Config'!$A:$A,'Scoring_Config'!$C:$C,15),0),"False,0")</f>
        <v>0</v>
      </c>
      <c r="AF302" s="5" cm="1">
        <f t="array" ref="AF302">IF(TRUE,"True," &amp; IF(_xlfn.XLOOKUP("Dst_IsAny",'Scoring_Config'!$A:$A,'Scoring_Config'!$D:$D,"Yes")="Yes",_xlfn.XLOOKUP("Dst_IsAny",'Scoring_Config'!$A:$A,'Scoring_Config'!$C:$C,25),0),"False,0")</f>
        <v>0</v>
      </c>
      <c r="AG302" s="4" cm="1">
        <f t="array" ref="AG302">IF(FALSE,"True," &amp; IF(_xlfn.XLOOKUP("Dst_CIDR_Le_16",'Scoring_Config'!$A:$A,'Scoring_Config'!$D:$D,"Yes")="Yes",_xlfn.XLOOKUP("Dst_CIDR_Le_16",'Scoring_Config'!$A:$A,'Scoring_Config'!$C:$C,25),0),"False,0")</f>
        <v>0</v>
      </c>
      <c r="AH302" s="4" cm="1">
        <f t="array" ref="AH302">IF(FALSE,"True," &amp; IF(_xlfn.XLOOKUP("Dst_CIDR_17_22",'Scoring_Config'!$A:$A,'Scoring_Config'!$D:$D,"Yes")="Yes",_xlfn.XLOOKUP("Dst_CIDR_17_22",'Scoring_Config'!$A:$A,'Scoring_Config'!$C:$C,15),0),"False,0")</f>
        <v>0</v>
      </c>
      <c r="AI302" s="4" cm="1">
        <f t="array" ref="AI302">IF(FALSE,"True," &amp; IF(_xlfn.XLOOKUP("SrcZone_IsAny",'Scoring_Config'!$A:$A,'Scoring_Config'!$D:$D,"Yes")="Yes",_xlfn.XLOOKUP("SrcZone_IsAny",'Scoring_Config'!$A:$A,'Scoring_Config'!$C:$C,5),0),"False,0")</f>
        <v>0</v>
      </c>
      <c r="AJ302" s="4" cm="1">
        <f t="array" ref="AJ302">IF(FALSE,"True," &amp; IF(_xlfn.XLOOKUP("DstZone_IsAny",'Scoring_Config'!$A:$A,'Scoring_Config'!$D:$D,"Yes")="Yes",_xlfn.XLOOKUP("DstZone_IsAny",'Scoring_Config'!$A:$A,'Scoring_Config'!$C:$C,5),0),"False,0")</f>
        <v>0</v>
      </c>
      <c r="AK302" s="4" cm="1">
        <f t="array" ref="AK30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2" s="5" cm="1">
        <f t="array" ref="AL302">IF(TRUE,"True," &amp; IF(_xlfn.XLOOKUP("App_Any_OR_RangeGt1000",'Scoring_Config'!$A:$A,'Scoring_Config'!$D:$D,"Yes")="Yes",_xlfn.XLOOKUP("App_Any_OR_RangeGt1000",'Scoring_Config'!$A:$A,'Scoring_Config'!$C:$C,25),0),"False,0")</f>
        <v>0</v>
      </c>
      <c r="AM302" s="4" cm="1">
        <f t="array" ref="AM302">IF(FALSE,"True," &amp; IF(_xlfn.XLOOKUP("Service_Insecure_Match",'Scoring_Config'!$A:$A,'Scoring_Config'!$D:$D,"Yes")="Yes",_xlfn.XLOOKUP("Service_Insecure_Match",'Scoring_Config'!$A:$A,'Scoring_Config'!$C:$C,20),0),"False,0")</f>
        <v>0</v>
      </c>
      <c r="AN302" s="4" cm="1">
        <f t="array" ref="AN302">IF(FALSE,"True," &amp; IF(_xlfn.XLOOKUP("Risky_Inbound",'Scoring_Config'!$A:$A,'Scoring_Config'!$D:$D,"Yes")="Yes",_xlfn.XLOOKUP("Risky_Inbound",'Scoring_Config'!$A:$A,'Scoring_Config'!$C:$C,20),0),"False,0")</f>
        <v>0</v>
      </c>
      <c r="AO302" s="4" cm="1">
        <f t="array" ref="AO302">IF(FALSE,"True," &amp; IF(_xlfn.XLOOKUP("Risky_Outbound",'Scoring_Config'!$A:$A,'Scoring_Config'!$D:$D,"Yes")="Yes",_xlfn.XLOOKUP("Risky_Outbound",'Scoring_Config'!$A:$A,'Scoring_Config'!$C:$C,10),0),"False,0")</f>
        <v>0</v>
      </c>
      <c r="AP302" s="5" t="s">
        <v>2595</v>
      </c>
      <c r="AQ302" s="4" cm="1">
        <f t="array" ref="AQ30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2" s="5" t="s">
        <v>2598</v>
      </c>
      <c r="AS302" s="5" t="s">
        <v>2595</v>
      </c>
      <c r="AT302" s="4" t="s">
        <v>2592</v>
      </c>
      <c r="AU302" s="4" cm="1">
        <f t="array" ref="AU302">IF(FALSE,"True," &amp; IF(_xlfn.XLOOKUP("Action_IsDenyOrDrop",'Scoring_Config'!$A:$A,'Scoring_Config'!$D:$D,"Yes")="Yes",_xlfn.XLOOKUP("Action_IsDenyOrDrop",'Scoring_Config'!$A:$A,'Scoring_Config'!$C:$C,0),0),"False,0")</f>
        <v>0</v>
      </c>
      <c r="AV302" s="4"/>
      <c r="AW302" s="4" cm="1">
        <f t="array" ref="AW302">IF(FALSE,"True," &amp; IF(_xlfn.XLOOKUP("Migrate_Insecure",'Scoring_Config'!$A:$A,'Scoring_Config'!$D:$D,"Yes")="Yes",_xlfn.XLOOKUP("Migrate_Insecure",'Scoring_Config'!$A:$A,'Scoring_Config'!$C:$C,15),0),"False,0")</f>
        <v>0</v>
      </c>
      <c r="AX302" s="4"/>
      <c r="AY302" s="4" cm="1">
        <f t="array" ref="AY302">IF(FALSE,"True," &amp; IF(_xlfn.XLOOKUP("Migrate_Other_Ports",'Scoring_Config'!$A:$A,'Scoring_Config'!$D:$D,"Yes")="Yes",_xlfn.XLOOKUP("Migrate_Other_Ports",'Scoring_Config'!$A:$A,'Scoring_Config'!$C:$C,5),0),"False,0")</f>
        <v>0</v>
      </c>
      <c r="AZ302" s="4" cm="1">
        <f t="array" ref="AZ302">IF(LEFT(AU302,4)="True",0,(IF(LEFT(AC302,4)="True",IF(_xlfn.XLOOKUP("Src_IsAny",'Scoring_Config'!$A:$A,'Scoring_Config'!$D:$D,"Yes")="Yes",_xlfn.XLOOKUP("Src_IsAny",'Scoring_Config'!$A:$A,'Scoring_Config'!$C:$C,25),0),0)+IF(LEFT(AD302,4)="True",IF(_xlfn.XLOOKUP("Src_CIDR_Le_16",'Scoring_Config'!$A:$A,'Scoring_Config'!$D:$D,"Yes")="Yes",_xlfn.XLOOKUP("Src_CIDR_Le_16",'Scoring_Config'!$A:$A,'Scoring_Config'!$C:$C,25),0),0)+IF(LEFT(AE302,4)="True",IF(_xlfn.XLOOKUP("Src_CIDR_17_22",'Scoring_Config'!$A:$A,'Scoring_Config'!$D:$D,"Yes")="Yes",_xlfn.XLOOKUP("Src_CIDR_17_22",'Scoring_Config'!$A:$A,'Scoring_Config'!$C:$C,15),0),0)+IF(LEFT(AF302,4)="True",IF(_xlfn.XLOOKUP("Dst_IsAny",'Scoring_Config'!$A:$A,'Scoring_Config'!$D:$D,"Yes")="Yes",_xlfn.XLOOKUP("Dst_IsAny",'Scoring_Config'!$A:$A,'Scoring_Config'!$C:$C,25),0),0)+IF(LEFT(AG302,4)="True",IF(_xlfn.XLOOKUP("Dst_CIDR_Le_16",'Scoring_Config'!$A:$A,'Scoring_Config'!$D:$D,"Yes")="Yes",_xlfn.XLOOKUP("Dst_CIDR_Le_16",'Scoring_Config'!$A:$A,'Scoring_Config'!$C:$C,25),0),0)+IF(LEFT(AH302,4)="True",IF(_xlfn.XLOOKUP("Dst_CIDR_17_22",'Scoring_Config'!$A:$A,'Scoring_Config'!$D:$D,"Yes")="Yes",_xlfn.XLOOKUP("Dst_CIDR_17_22",'Scoring_Config'!$A:$A,'Scoring_Config'!$C:$C,15),0),0)+IF(LEFT(AI302,4)="True",IF(_xlfn.XLOOKUP("SrcZone_IsAny",'Scoring_Config'!$A:$A,'Scoring_Config'!$D:$D,"Yes")="Yes",_xlfn.XLOOKUP("SrcZone_IsAny",'Scoring_Config'!$A:$A,'Scoring_Config'!$C:$C,5),0),0)+IF(LEFT(AJ302,4)="True",IF(_xlfn.XLOOKUP("DstZone_IsAny",'Scoring_Config'!$A:$A,'Scoring_Config'!$D:$D,"Yes")="Yes",_xlfn.XLOOKUP("DstZone_IsAny",'Scoring_Config'!$A:$A,'Scoring_Config'!$C:$C,5),0),0)+IF(LEFT(AK302,4)="True",IF(_xlfn.XLOOKUP("Service_Any_OR_RangeGt1000",'Scoring_Config'!$A:$A,'Scoring_Config'!$D:$D,"Yes")="Yes",_xlfn.XLOOKUP("Service_Any_OR_RangeGt1000",'Scoring_Config'!$A:$A,'Scoring_Config'!$C:$C,25),0),0)+IF(LEFT(AL302,4)="True",IF(_xlfn.XLOOKUP("App_Any_OR_RangeGt1000",'Scoring_Config'!$A:$A,'Scoring_Config'!$D:$D,"Yes")="Yes",_xlfn.XLOOKUP("App_Any_OR_RangeGt1000",'Scoring_Config'!$A:$A,'Scoring_Config'!$C:$C,25),0),0)+IF(LEFT(AM302,4)="True",IF(_xlfn.XLOOKUP("Service_Insecure_Match",'Scoring_Config'!$A:$A,'Scoring_Config'!$D:$D,"Yes")="Yes",_xlfn.XLOOKUP("Service_Insecure_Match",'Scoring_Config'!$A:$A,'Scoring_Config'!$C:$C,20),0),0)+IF(LEFT(AN302,4)="True",IF(_xlfn.XLOOKUP("Risky_Inbound",'Scoring_Config'!$A:$A,'Scoring_Config'!$D:$D,"Yes")="Yes",_xlfn.XLOOKUP("Risky_Inbound",'Scoring_Config'!$A:$A,'Scoring_Config'!$C:$C,20),0),0)+IF(LEFT(AO302,4)="True",IF(_xlfn.XLOOKUP("Risky_Outbound",'Scoring_Config'!$A:$A,'Scoring_Config'!$D:$D,"Yes")="Yes",_xlfn.XLOOKUP("Risky_Outbound",'Scoring_Config'!$A:$A,'Scoring_Config'!$C:$C,10),0),0)+IF(LEFT(AW302,4)="True",IF(_xlfn.XLOOKUP("Migrate_Insecure",'Scoring_Config'!$A:$A,'Scoring_Config'!$D:$D,"Yes")="Yes",_xlfn.XLOOKUP("Migrate_Insecure",'Scoring_Config'!$A:$A,'Scoring_Config'!$C:$C,15),0),0)+IF(LEFT(AY302,4)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302,FIND(",",AP302)+1,100)),0)+IF(LEFT(AQ302,4)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302,FIND(",",AR302)+1,100)),0)+IF(_xlfn.XLOOKUP("Profile_Scoring",'Scoring_Config'!$A:$A,'Scoring_Config'!$D:$D,"Yes")="Yes",VALUE(MID(AS302,FIND(",",AS302)+1,100)),0)+IF(_xlfn.XLOOKUP("Options_Scoring",'Scoring_Config'!$A:$A,'Scoring_Config'!$D:$D,"Yes")="Yes",VALUE(MID(AT302,FIND(",",AT302)+1,100)),0)))</f>
        <v>0</v>
      </c>
    </row>
    <row r="303" spans="1:52">
      <c r="A303" s="3" t="s">
        <v>54</v>
      </c>
      <c r="B303" s="3" t="s">
        <v>159</v>
      </c>
      <c r="C303" s="3" t="s">
        <v>331</v>
      </c>
      <c r="D303" s="3"/>
      <c r="E303" s="3" t="s">
        <v>359</v>
      </c>
      <c r="F303" s="3" t="s">
        <v>361</v>
      </c>
      <c r="G303" s="3" t="s">
        <v>485</v>
      </c>
      <c r="H303" s="3" t="s">
        <v>486</v>
      </c>
      <c r="I303" s="3" t="s">
        <v>622</v>
      </c>
      <c r="J303" s="3" t="s">
        <v>364</v>
      </c>
      <c r="K303" s="3" t="s">
        <v>468</v>
      </c>
      <c r="L303" s="3" t="s">
        <v>418</v>
      </c>
      <c r="M303" s="3" t="s">
        <v>772</v>
      </c>
      <c r="N303" s="3" t="s">
        <v>794</v>
      </c>
      <c r="O303" s="4" t="s">
        <v>815</v>
      </c>
      <c r="P303" s="3" t="s">
        <v>876</v>
      </c>
      <c r="Q303" s="3" t="s">
        <v>905</v>
      </c>
      <c r="R303" s="3" t="s">
        <v>907</v>
      </c>
      <c r="S303" s="3" t="s">
        <v>914</v>
      </c>
      <c r="T303" s="3"/>
      <c r="U303" s="3" t="s">
        <v>1304</v>
      </c>
      <c r="V303" s="3" t="s">
        <v>1389</v>
      </c>
      <c r="W303" s="3" t="s">
        <v>1410</v>
      </c>
      <c r="X303" s="3" t="s">
        <v>1907</v>
      </c>
      <c r="Y303" s="3" t="s">
        <v>2376</v>
      </c>
      <c r="Z303" s="3"/>
      <c r="AA303" s="3" t="s">
        <v>919</v>
      </c>
      <c r="AB303" s="3"/>
      <c r="AC303" s="4" cm="1">
        <f t="array" ref="AC303">IF(FALSE,"True," &amp; IF(_xlfn.XLOOKUP("Src_IsAny",'Scoring_Config'!$A:$A,'Scoring_Config'!$D:$D,"Yes")="Yes",_xlfn.XLOOKUP("Src_IsAny",'Scoring_Config'!$A:$A,'Scoring_Config'!$C:$C,25),0),"False,0")</f>
        <v>0</v>
      </c>
      <c r="AD303" s="4" cm="1">
        <f t="array" ref="AD303">IF(FALSE,"True," &amp; IF(_xlfn.XLOOKUP("Src_CIDR_Le_16",'Scoring_Config'!$A:$A,'Scoring_Config'!$D:$D,"Yes")="Yes",_xlfn.XLOOKUP("Src_CIDR_Le_16",'Scoring_Config'!$A:$A,'Scoring_Config'!$C:$C,25),0),"False,0")</f>
        <v>0</v>
      </c>
      <c r="AE303" s="4" cm="1">
        <f t="array" ref="AE303">IF(FALSE,"True," &amp; IF(_xlfn.XLOOKUP("Src_CIDR_17_22",'Scoring_Config'!$A:$A,'Scoring_Config'!$D:$D,"Yes")="Yes",_xlfn.XLOOKUP("Src_CIDR_17_22",'Scoring_Config'!$A:$A,'Scoring_Config'!$C:$C,15),0),"False,0")</f>
        <v>0</v>
      </c>
      <c r="AF303" s="4" cm="1">
        <f t="array" ref="AF303">IF(FALSE,"True," &amp; IF(_xlfn.XLOOKUP("Dst_IsAny",'Scoring_Config'!$A:$A,'Scoring_Config'!$D:$D,"Yes")="Yes",_xlfn.XLOOKUP("Dst_IsAny",'Scoring_Config'!$A:$A,'Scoring_Config'!$C:$C,25),0),"False,0")</f>
        <v>0</v>
      </c>
      <c r="AG303" s="5" cm="1">
        <f t="array" ref="AG303">IF(TRUE,"True," &amp; IF(_xlfn.XLOOKUP("Dst_CIDR_Le_16",'Scoring_Config'!$A:$A,'Scoring_Config'!$D:$D,"Yes")="Yes",_xlfn.XLOOKUP("Dst_CIDR_Le_16",'Scoring_Config'!$A:$A,'Scoring_Config'!$C:$C,25),0),"False,0")</f>
        <v>0</v>
      </c>
      <c r="AH303" s="4" cm="1">
        <f t="array" ref="AH303">IF(FALSE,"True," &amp; IF(_xlfn.XLOOKUP("Dst_CIDR_17_22",'Scoring_Config'!$A:$A,'Scoring_Config'!$D:$D,"Yes")="Yes",_xlfn.XLOOKUP("Dst_CIDR_17_22",'Scoring_Config'!$A:$A,'Scoring_Config'!$C:$C,15),0),"False,0")</f>
        <v>0</v>
      </c>
      <c r="AI303" s="4" cm="1">
        <f t="array" ref="AI303">IF(FALSE,"True," &amp; IF(_xlfn.XLOOKUP("SrcZone_IsAny",'Scoring_Config'!$A:$A,'Scoring_Config'!$D:$D,"Yes")="Yes",_xlfn.XLOOKUP("SrcZone_IsAny",'Scoring_Config'!$A:$A,'Scoring_Config'!$C:$C,5),0),"False,0")</f>
        <v>0</v>
      </c>
      <c r="AJ303" s="4" cm="1">
        <f t="array" ref="AJ303">IF(FALSE,"True," &amp; IF(_xlfn.XLOOKUP("DstZone_IsAny",'Scoring_Config'!$A:$A,'Scoring_Config'!$D:$D,"Yes")="Yes",_xlfn.XLOOKUP("DstZone_IsAny",'Scoring_Config'!$A:$A,'Scoring_Config'!$C:$C,5),0),"False,0")</f>
        <v>0</v>
      </c>
      <c r="AK303" s="4" cm="1">
        <f t="array" ref="AK30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3" s="4" cm="1">
        <f t="array" ref="AL303">IF(FALSE,"True," &amp; IF(_xlfn.XLOOKUP("App_Any_OR_RangeGt1000",'Scoring_Config'!$A:$A,'Scoring_Config'!$D:$D,"Yes")="Yes",_xlfn.XLOOKUP("App_Any_OR_RangeGt1000",'Scoring_Config'!$A:$A,'Scoring_Config'!$C:$C,25),0),"False,0")</f>
        <v>0</v>
      </c>
      <c r="AM303" s="4" cm="1">
        <f t="array" ref="AM303">IF(FALSE,"True," &amp; IF(_xlfn.XLOOKUP("Service_Insecure_Match",'Scoring_Config'!$A:$A,'Scoring_Config'!$D:$D,"Yes")="Yes",_xlfn.XLOOKUP("Service_Insecure_Match",'Scoring_Config'!$A:$A,'Scoring_Config'!$C:$C,20),0),"False,0")</f>
        <v>0</v>
      </c>
      <c r="AN303" s="4" cm="1">
        <f t="array" ref="AN303">IF(FALSE,"True," &amp; IF(_xlfn.XLOOKUP("Risky_Inbound",'Scoring_Config'!$A:$A,'Scoring_Config'!$D:$D,"Yes")="Yes",_xlfn.XLOOKUP("Risky_Inbound",'Scoring_Config'!$A:$A,'Scoring_Config'!$C:$C,20),0),"False,0")</f>
        <v>0</v>
      </c>
      <c r="AO303" s="4" cm="1">
        <f t="array" ref="AO303">IF(FALSE,"True," &amp; IF(_xlfn.XLOOKUP("Risky_Outbound",'Scoring_Config'!$A:$A,'Scoring_Config'!$D:$D,"Yes")="Yes",_xlfn.XLOOKUP("Risky_Outbound",'Scoring_Config'!$A:$A,'Scoring_Config'!$C:$C,10),0),"False,0")</f>
        <v>0</v>
      </c>
      <c r="AP303" s="5" t="s">
        <v>2595</v>
      </c>
      <c r="AQ303" s="4" cm="1">
        <f t="array" ref="AQ30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3" s="5" t="s">
        <v>2598</v>
      </c>
      <c r="AS303" s="5" t="s">
        <v>2595</v>
      </c>
      <c r="AT303" s="4" t="s">
        <v>2592</v>
      </c>
      <c r="AU303" s="4" cm="1">
        <f t="array" ref="AU303">IF(FALSE,"True," &amp; IF(_xlfn.XLOOKUP("Action_IsDenyOrDrop",'Scoring_Config'!$A:$A,'Scoring_Config'!$D:$D,"Yes")="Yes",_xlfn.XLOOKUP("Action_IsDenyOrDrop",'Scoring_Config'!$A:$A,'Scoring_Config'!$C:$C,0),0),"False,0")</f>
        <v>0</v>
      </c>
      <c r="AV303" s="4"/>
      <c r="AW303" s="4" cm="1">
        <f t="array" ref="AW303">IF(FALSE,"True," &amp; IF(_xlfn.XLOOKUP("Migrate_Insecure",'Scoring_Config'!$A:$A,'Scoring_Config'!$D:$D,"Yes")="Yes",_xlfn.XLOOKUP("Migrate_Insecure",'Scoring_Config'!$A:$A,'Scoring_Config'!$C:$C,15),0),"False,0")</f>
        <v>0</v>
      </c>
      <c r="AX303" s="4"/>
      <c r="AY303" s="4" cm="1">
        <f t="array" ref="AY303">IF(FALSE,"True," &amp; IF(_xlfn.XLOOKUP("Migrate_Other_Ports",'Scoring_Config'!$A:$A,'Scoring_Config'!$D:$D,"Yes")="Yes",_xlfn.XLOOKUP("Migrate_Other_Ports",'Scoring_Config'!$A:$A,'Scoring_Config'!$C:$C,5),0),"False,0")</f>
        <v>0</v>
      </c>
      <c r="AZ303" s="4" cm="1">
        <f t="array" ref="AZ303">IF(LEFT(AU303,4)="True",0,(IF(LEFT(AC303,4)="True",IF(_xlfn.XLOOKUP("Src_IsAny",'Scoring_Config'!$A:$A,'Scoring_Config'!$D:$D,"Yes")="Yes",_xlfn.XLOOKUP("Src_IsAny",'Scoring_Config'!$A:$A,'Scoring_Config'!$C:$C,25),0),0)+IF(LEFT(AD303,4)="True",IF(_xlfn.XLOOKUP("Src_CIDR_Le_16",'Scoring_Config'!$A:$A,'Scoring_Config'!$D:$D,"Yes")="Yes",_xlfn.XLOOKUP("Src_CIDR_Le_16",'Scoring_Config'!$A:$A,'Scoring_Config'!$C:$C,25),0),0)+IF(LEFT(AE303,4)="True",IF(_xlfn.XLOOKUP("Src_CIDR_17_22",'Scoring_Config'!$A:$A,'Scoring_Config'!$D:$D,"Yes")="Yes",_xlfn.XLOOKUP("Src_CIDR_17_22",'Scoring_Config'!$A:$A,'Scoring_Config'!$C:$C,15),0),0)+IF(LEFT(AF303,4)="True",IF(_xlfn.XLOOKUP("Dst_IsAny",'Scoring_Config'!$A:$A,'Scoring_Config'!$D:$D,"Yes")="Yes",_xlfn.XLOOKUP("Dst_IsAny",'Scoring_Config'!$A:$A,'Scoring_Config'!$C:$C,25),0),0)+IF(LEFT(AG303,4)="True",IF(_xlfn.XLOOKUP("Dst_CIDR_Le_16",'Scoring_Config'!$A:$A,'Scoring_Config'!$D:$D,"Yes")="Yes",_xlfn.XLOOKUP("Dst_CIDR_Le_16",'Scoring_Config'!$A:$A,'Scoring_Config'!$C:$C,25),0),0)+IF(LEFT(AH303,4)="True",IF(_xlfn.XLOOKUP("Dst_CIDR_17_22",'Scoring_Config'!$A:$A,'Scoring_Config'!$D:$D,"Yes")="Yes",_xlfn.XLOOKUP("Dst_CIDR_17_22",'Scoring_Config'!$A:$A,'Scoring_Config'!$C:$C,15),0),0)+IF(LEFT(AI303,4)="True",IF(_xlfn.XLOOKUP("SrcZone_IsAny",'Scoring_Config'!$A:$A,'Scoring_Config'!$D:$D,"Yes")="Yes",_xlfn.XLOOKUP("SrcZone_IsAny",'Scoring_Config'!$A:$A,'Scoring_Config'!$C:$C,5),0),0)+IF(LEFT(AJ303,4)="True",IF(_xlfn.XLOOKUP("DstZone_IsAny",'Scoring_Config'!$A:$A,'Scoring_Config'!$D:$D,"Yes")="Yes",_xlfn.XLOOKUP("DstZone_IsAny",'Scoring_Config'!$A:$A,'Scoring_Config'!$C:$C,5),0),0)+IF(LEFT(AK303,4)="True",IF(_xlfn.XLOOKUP("Service_Any_OR_RangeGt1000",'Scoring_Config'!$A:$A,'Scoring_Config'!$D:$D,"Yes")="Yes",_xlfn.XLOOKUP("Service_Any_OR_RangeGt1000",'Scoring_Config'!$A:$A,'Scoring_Config'!$C:$C,25),0),0)+IF(LEFT(AL303,4)="True",IF(_xlfn.XLOOKUP("App_Any_OR_RangeGt1000",'Scoring_Config'!$A:$A,'Scoring_Config'!$D:$D,"Yes")="Yes",_xlfn.XLOOKUP("App_Any_OR_RangeGt1000",'Scoring_Config'!$A:$A,'Scoring_Config'!$C:$C,25),0),0)+IF(LEFT(AM303,4)="True",IF(_xlfn.XLOOKUP("Service_Insecure_Match",'Scoring_Config'!$A:$A,'Scoring_Config'!$D:$D,"Yes")="Yes",_xlfn.XLOOKUP("Service_Insecure_Match",'Scoring_Config'!$A:$A,'Scoring_Config'!$C:$C,20),0),0)+IF(LEFT(AN303,4)="True",IF(_xlfn.XLOOKUP("Risky_Inbound",'Scoring_Config'!$A:$A,'Scoring_Config'!$D:$D,"Yes")="Yes",_xlfn.XLOOKUP("Risky_Inbound",'Scoring_Config'!$A:$A,'Scoring_Config'!$C:$C,20),0),0)+IF(LEFT(AO303,4)="True",IF(_xlfn.XLOOKUP("Risky_Outbound",'Scoring_Config'!$A:$A,'Scoring_Config'!$D:$D,"Yes")="Yes",_xlfn.XLOOKUP("Risky_Outbound",'Scoring_Config'!$A:$A,'Scoring_Config'!$C:$C,10),0),0)+IF(LEFT(AW303,4)="True",IF(_xlfn.XLOOKUP("Migrate_Insecure",'Scoring_Config'!$A:$A,'Scoring_Config'!$D:$D,"Yes")="Yes",_xlfn.XLOOKUP("Migrate_Insecure",'Scoring_Config'!$A:$A,'Scoring_Config'!$C:$C,15),0),0)+IF(LEFT(AY303,4)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303,FIND(",",AP303)+1,100)),0)+IF(LEFT(AQ303,4)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303,FIND(",",AR303)+1,100)),0)+IF(_xlfn.XLOOKUP("Profile_Scoring",'Scoring_Config'!$A:$A,'Scoring_Config'!$D:$D,"Yes")="Yes",VALUE(MID(AS303,FIND(",",AS303)+1,100)),0)+IF(_xlfn.XLOOKUP("Options_Scoring",'Scoring_Config'!$A:$A,'Scoring_Config'!$D:$D,"Yes")="Yes",VALUE(MID(AT303,FIND(",",AT303)+1,100)),0)))</f>
        <v>0</v>
      </c>
    </row>
    <row r="304" spans="1:52">
      <c r="A304" s="3" t="s">
        <v>54</v>
      </c>
      <c r="B304" s="3" t="s">
        <v>261</v>
      </c>
      <c r="C304" s="3" t="s">
        <v>331</v>
      </c>
      <c r="D304" s="3"/>
      <c r="E304" s="3" t="s">
        <v>359</v>
      </c>
      <c r="F304" s="3" t="s">
        <v>361</v>
      </c>
      <c r="G304" s="3" t="s">
        <v>462</v>
      </c>
      <c r="H304" s="3" t="s">
        <v>587</v>
      </c>
      <c r="I304" s="3" t="s">
        <v>622</v>
      </c>
      <c r="J304" s="3" t="s">
        <v>360</v>
      </c>
      <c r="K304" s="3" t="s">
        <v>489</v>
      </c>
      <c r="L304" s="3" t="s">
        <v>597</v>
      </c>
      <c r="M304" s="3" t="s">
        <v>784</v>
      </c>
      <c r="N304" s="3" t="s">
        <v>800</v>
      </c>
      <c r="O304" s="4" t="s">
        <v>825</v>
      </c>
      <c r="P304" s="3" t="s">
        <v>886</v>
      </c>
      <c r="Q304" s="3" t="s">
        <v>905</v>
      </c>
      <c r="R304" s="3" t="s">
        <v>907</v>
      </c>
      <c r="S304" s="3" t="s">
        <v>914</v>
      </c>
      <c r="T304" s="3"/>
      <c r="U304" s="3" t="s">
        <v>1286</v>
      </c>
      <c r="V304" s="3" t="s">
        <v>1386</v>
      </c>
      <c r="W304" s="3" t="s">
        <v>1549</v>
      </c>
      <c r="X304" s="3" t="s">
        <v>1908</v>
      </c>
      <c r="Y304" s="3" t="s">
        <v>2377</v>
      </c>
      <c r="Z304" s="3"/>
      <c r="AA304" s="3" t="s">
        <v>919</v>
      </c>
      <c r="AB304" s="3"/>
      <c r="AC304" s="4" cm="1">
        <f t="array" ref="AC304">IF(FALSE,"True," &amp; IF(_xlfn.XLOOKUP("Src_IsAny",'Scoring_Config'!$A:$A,'Scoring_Config'!$D:$D,"Yes")="Yes",_xlfn.XLOOKUP("Src_IsAny",'Scoring_Config'!$A:$A,'Scoring_Config'!$C:$C,25),0),"False,0")</f>
        <v>0</v>
      </c>
      <c r="AD304" s="5" cm="1">
        <f t="array" ref="AD304">IF(TRUE,"True," &amp; IF(_xlfn.XLOOKUP("Src_CIDR_Le_16",'Scoring_Config'!$A:$A,'Scoring_Config'!$D:$D,"Yes")="Yes",_xlfn.XLOOKUP("Src_CIDR_Le_16",'Scoring_Config'!$A:$A,'Scoring_Config'!$C:$C,25),0),"False,0")</f>
        <v>0</v>
      </c>
      <c r="AE304" s="4" cm="1">
        <f t="array" ref="AE304">IF(FALSE,"True," &amp; IF(_xlfn.XLOOKUP("Src_CIDR_17_22",'Scoring_Config'!$A:$A,'Scoring_Config'!$D:$D,"Yes")="Yes",_xlfn.XLOOKUP("Src_CIDR_17_22",'Scoring_Config'!$A:$A,'Scoring_Config'!$C:$C,15),0),"False,0")</f>
        <v>0</v>
      </c>
      <c r="AF304" s="4" cm="1">
        <f t="array" ref="AF304">IF(FALSE,"True," &amp; IF(_xlfn.XLOOKUP("Dst_IsAny",'Scoring_Config'!$A:$A,'Scoring_Config'!$D:$D,"Yes")="Yes",_xlfn.XLOOKUP("Dst_IsAny",'Scoring_Config'!$A:$A,'Scoring_Config'!$C:$C,25),0),"False,0")</f>
        <v>0</v>
      </c>
      <c r="AG304" s="5" cm="1">
        <f t="array" ref="AG304">IF(TRUE,"True," &amp; IF(_xlfn.XLOOKUP("Dst_CIDR_Le_16",'Scoring_Config'!$A:$A,'Scoring_Config'!$D:$D,"Yes")="Yes",_xlfn.XLOOKUP("Dst_CIDR_Le_16",'Scoring_Config'!$A:$A,'Scoring_Config'!$C:$C,25),0),"False,0")</f>
        <v>0</v>
      </c>
      <c r="AH304" s="4" cm="1">
        <f t="array" ref="AH304">IF(FALSE,"True," &amp; IF(_xlfn.XLOOKUP("Dst_CIDR_17_22",'Scoring_Config'!$A:$A,'Scoring_Config'!$D:$D,"Yes")="Yes",_xlfn.XLOOKUP("Dst_CIDR_17_22",'Scoring_Config'!$A:$A,'Scoring_Config'!$C:$C,15),0),"False,0")</f>
        <v>0</v>
      </c>
      <c r="AI304" s="4" cm="1">
        <f t="array" ref="AI304">IF(FALSE,"True," &amp; IF(_xlfn.XLOOKUP("SrcZone_IsAny",'Scoring_Config'!$A:$A,'Scoring_Config'!$D:$D,"Yes")="Yes",_xlfn.XLOOKUP("SrcZone_IsAny",'Scoring_Config'!$A:$A,'Scoring_Config'!$C:$C,5),0),"False,0")</f>
        <v>0</v>
      </c>
      <c r="AJ304" s="4" cm="1">
        <f t="array" ref="AJ304">IF(FALSE,"True," &amp; IF(_xlfn.XLOOKUP("DstZone_IsAny",'Scoring_Config'!$A:$A,'Scoring_Config'!$D:$D,"Yes")="Yes",_xlfn.XLOOKUP("DstZone_IsAny",'Scoring_Config'!$A:$A,'Scoring_Config'!$C:$C,5),0),"False,0")</f>
        <v>0</v>
      </c>
      <c r="AK304" s="4" cm="1">
        <f t="array" ref="AK30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4" s="4" cm="1">
        <f t="array" ref="AL304">IF(FALSE,"True," &amp; IF(_xlfn.XLOOKUP("App_Any_OR_RangeGt1000",'Scoring_Config'!$A:$A,'Scoring_Config'!$D:$D,"Yes")="Yes",_xlfn.XLOOKUP("App_Any_OR_RangeGt1000",'Scoring_Config'!$A:$A,'Scoring_Config'!$C:$C,25),0),"False,0")</f>
        <v>0</v>
      </c>
      <c r="AM304" s="5" cm="1">
        <f t="array" ref="AM304">IF(TRUE,"True," &amp; IF(_xlfn.XLOOKUP("Service_Insecure_Match",'Scoring_Config'!$A:$A,'Scoring_Config'!$D:$D,"Yes")="Yes",_xlfn.XLOOKUP("Service_Insecure_Match",'Scoring_Config'!$A:$A,'Scoring_Config'!$C:$C,20),0),"False,0")</f>
        <v>0</v>
      </c>
      <c r="AN304" s="4" cm="1">
        <f t="array" ref="AN304">IF(FALSE,"True," &amp; IF(_xlfn.XLOOKUP("Risky_Inbound",'Scoring_Config'!$A:$A,'Scoring_Config'!$D:$D,"Yes")="Yes",_xlfn.XLOOKUP("Risky_Inbound",'Scoring_Config'!$A:$A,'Scoring_Config'!$C:$C,20),0),"False,0")</f>
        <v>0</v>
      </c>
      <c r="AO304" s="4" cm="1">
        <f t="array" ref="AO304">IF(FALSE,"True," &amp; IF(_xlfn.XLOOKUP("Risky_Outbound",'Scoring_Config'!$A:$A,'Scoring_Config'!$D:$D,"Yes")="Yes",_xlfn.XLOOKUP("Risky_Outbound",'Scoring_Config'!$A:$A,'Scoring_Config'!$C:$C,10),0),"False,0")</f>
        <v>0</v>
      </c>
      <c r="AP304" s="5" t="s">
        <v>2595</v>
      </c>
      <c r="AQ304" s="5" cm="1">
        <f t="array" ref="AQ30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4" s="5" t="s">
        <v>2598</v>
      </c>
      <c r="AS304" s="5" t="s">
        <v>2595</v>
      </c>
      <c r="AT304" s="4" t="s">
        <v>2592</v>
      </c>
      <c r="AU304" s="4" cm="1">
        <f t="array" ref="AU304">IF(FALSE,"True," &amp; IF(_xlfn.XLOOKUP("Action_IsDenyOrDrop",'Scoring_Config'!$A:$A,'Scoring_Config'!$D:$D,"Yes")="Yes",_xlfn.XLOOKUP("Action_IsDenyOrDrop",'Scoring_Config'!$A:$A,'Scoring_Config'!$C:$C,0),0),"False,0")</f>
        <v>0</v>
      </c>
      <c r="AV304" s="4"/>
      <c r="AW304" s="4" cm="1">
        <f t="array" ref="AW304">IF(FALSE,"True," &amp; IF(_xlfn.XLOOKUP("Migrate_Insecure",'Scoring_Config'!$A:$A,'Scoring_Config'!$D:$D,"Yes")="Yes",_xlfn.XLOOKUP("Migrate_Insecure",'Scoring_Config'!$A:$A,'Scoring_Config'!$C:$C,15),0),"False,0")</f>
        <v>0</v>
      </c>
      <c r="AX304" s="4"/>
      <c r="AY304" s="4" cm="1">
        <f t="array" ref="AY304">IF(FALSE,"True," &amp; IF(_xlfn.XLOOKUP("Migrate_Other_Ports",'Scoring_Config'!$A:$A,'Scoring_Config'!$D:$D,"Yes")="Yes",_xlfn.XLOOKUP("Migrate_Other_Ports",'Scoring_Config'!$A:$A,'Scoring_Config'!$C:$C,5),0),"False,0")</f>
        <v>0</v>
      </c>
      <c r="AZ304" s="4" cm="1">
        <f t="array" ref="AZ304">IF(LEFT(AU304,4)="True",0,(IF(LEFT(AC304,4)="True",IF(_xlfn.XLOOKUP("Src_IsAny",'Scoring_Config'!$A:$A,'Scoring_Config'!$D:$D,"Yes")="Yes",_xlfn.XLOOKUP("Src_IsAny",'Scoring_Config'!$A:$A,'Scoring_Config'!$C:$C,25),0),0)+IF(LEFT(AD304,4)="True",IF(_xlfn.XLOOKUP("Src_CIDR_Le_16",'Scoring_Config'!$A:$A,'Scoring_Config'!$D:$D,"Yes")="Yes",_xlfn.XLOOKUP("Src_CIDR_Le_16",'Scoring_Config'!$A:$A,'Scoring_Config'!$C:$C,25),0),0)+IF(LEFT(AE304,4)="True",IF(_xlfn.XLOOKUP("Src_CIDR_17_22",'Scoring_Config'!$A:$A,'Scoring_Config'!$D:$D,"Yes")="Yes",_xlfn.XLOOKUP("Src_CIDR_17_22",'Scoring_Config'!$A:$A,'Scoring_Config'!$C:$C,15),0),0)+IF(LEFT(AF304,4)="True",IF(_xlfn.XLOOKUP("Dst_IsAny",'Scoring_Config'!$A:$A,'Scoring_Config'!$D:$D,"Yes")="Yes",_xlfn.XLOOKUP("Dst_IsAny",'Scoring_Config'!$A:$A,'Scoring_Config'!$C:$C,25),0),0)+IF(LEFT(AG304,4)="True",IF(_xlfn.XLOOKUP("Dst_CIDR_Le_16",'Scoring_Config'!$A:$A,'Scoring_Config'!$D:$D,"Yes")="Yes",_xlfn.XLOOKUP("Dst_CIDR_Le_16",'Scoring_Config'!$A:$A,'Scoring_Config'!$C:$C,25),0),0)+IF(LEFT(AH304,4)="True",IF(_xlfn.XLOOKUP("Dst_CIDR_17_22",'Scoring_Config'!$A:$A,'Scoring_Config'!$D:$D,"Yes")="Yes",_xlfn.XLOOKUP("Dst_CIDR_17_22",'Scoring_Config'!$A:$A,'Scoring_Config'!$C:$C,15),0),0)+IF(LEFT(AI304,4)="True",IF(_xlfn.XLOOKUP("SrcZone_IsAny",'Scoring_Config'!$A:$A,'Scoring_Config'!$D:$D,"Yes")="Yes",_xlfn.XLOOKUP("SrcZone_IsAny",'Scoring_Config'!$A:$A,'Scoring_Config'!$C:$C,5),0),0)+IF(LEFT(AJ304,4)="True",IF(_xlfn.XLOOKUP("DstZone_IsAny",'Scoring_Config'!$A:$A,'Scoring_Config'!$D:$D,"Yes")="Yes",_xlfn.XLOOKUP("DstZone_IsAny",'Scoring_Config'!$A:$A,'Scoring_Config'!$C:$C,5),0),0)+IF(LEFT(AK304,4)="True",IF(_xlfn.XLOOKUP("Service_Any_OR_RangeGt1000",'Scoring_Config'!$A:$A,'Scoring_Config'!$D:$D,"Yes")="Yes",_xlfn.XLOOKUP("Service_Any_OR_RangeGt1000",'Scoring_Config'!$A:$A,'Scoring_Config'!$C:$C,25),0),0)+IF(LEFT(AL304,4)="True",IF(_xlfn.XLOOKUP("App_Any_OR_RangeGt1000",'Scoring_Config'!$A:$A,'Scoring_Config'!$D:$D,"Yes")="Yes",_xlfn.XLOOKUP("App_Any_OR_RangeGt1000",'Scoring_Config'!$A:$A,'Scoring_Config'!$C:$C,25),0),0)+IF(LEFT(AM304,4)="True",IF(_xlfn.XLOOKUP("Service_Insecure_Match",'Scoring_Config'!$A:$A,'Scoring_Config'!$D:$D,"Yes")="Yes",_xlfn.XLOOKUP("Service_Insecure_Match",'Scoring_Config'!$A:$A,'Scoring_Config'!$C:$C,20),0),0)+IF(LEFT(AN304,4)="True",IF(_xlfn.XLOOKUP("Risky_Inbound",'Scoring_Config'!$A:$A,'Scoring_Config'!$D:$D,"Yes")="Yes",_xlfn.XLOOKUP("Risky_Inbound",'Scoring_Config'!$A:$A,'Scoring_Config'!$C:$C,20),0),0)+IF(LEFT(AO304,4)="True",IF(_xlfn.XLOOKUP("Risky_Outbound",'Scoring_Config'!$A:$A,'Scoring_Config'!$D:$D,"Yes")="Yes",_xlfn.XLOOKUP("Risky_Outbound",'Scoring_Config'!$A:$A,'Scoring_Config'!$C:$C,10),0),0)+IF(LEFT(AW304,4)="True",IF(_xlfn.XLOOKUP("Migrate_Insecure",'Scoring_Config'!$A:$A,'Scoring_Config'!$D:$D,"Yes")="Yes",_xlfn.XLOOKUP("Migrate_Insecure",'Scoring_Config'!$A:$A,'Scoring_Config'!$C:$C,15),0),0)+IF(LEFT(AY304,4)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304,FIND(",",AP304)+1,100)),0)+IF(LEFT(AQ304,4)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304,FIND(",",AR304)+1,100)),0)+IF(_xlfn.XLOOKUP("Profile_Scoring",'Scoring_Config'!$A:$A,'Scoring_Config'!$D:$D,"Yes")="Yes",VALUE(MID(AS304,FIND(",",AS304)+1,100)),0)+IF(_xlfn.XLOOKUP("Options_Scoring",'Scoring_Config'!$A:$A,'Scoring_Config'!$D:$D,"Yes")="Yes",VALUE(MID(AT304,FIND(",",AT304)+1,100)),0)))</f>
        <v>0</v>
      </c>
    </row>
    <row r="305" spans="1:52">
      <c r="A305" s="3" t="s">
        <v>54</v>
      </c>
      <c r="B305" s="3" t="s">
        <v>261</v>
      </c>
      <c r="C305" s="3" t="s">
        <v>331</v>
      </c>
      <c r="D305" s="3"/>
      <c r="E305" s="3" t="s">
        <v>359</v>
      </c>
      <c r="F305" s="3" t="s">
        <v>361</v>
      </c>
      <c r="G305" s="3" t="s">
        <v>365</v>
      </c>
      <c r="H305" s="3" t="s">
        <v>365</v>
      </c>
      <c r="I305" s="3" t="s">
        <v>622</v>
      </c>
      <c r="J305" s="3" t="s">
        <v>364</v>
      </c>
      <c r="K305" s="3" t="s">
        <v>365</v>
      </c>
      <c r="L305" s="3" t="s">
        <v>365</v>
      </c>
      <c r="M305" s="3" t="s">
        <v>365</v>
      </c>
      <c r="N305" s="3" t="s">
        <v>365</v>
      </c>
      <c r="O305" s="4" t="s">
        <v>817</v>
      </c>
      <c r="P305" s="3" t="s">
        <v>878</v>
      </c>
      <c r="Q305" s="3" t="s">
        <v>905</v>
      </c>
      <c r="R305" s="3" t="s">
        <v>907</v>
      </c>
      <c r="S305" s="3" t="s">
        <v>913</v>
      </c>
      <c r="T305" s="3"/>
      <c r="U305" s="3" t="s">
        <v>1305</v>
      </c>
      <c r="V305" s="3" t="s">
        <v>1386</v>
      </c>
      <c r="W305" s="3" t="s">
        <v>1135</v>
      </c>
      <c r="X305" s="3" t="s">
        <v>1909</v>
      </c>
      <c r="Y305" s="3" t="s">
        <v>2378</v>
      </c>
      <c r="Z305" s="3"/>
      <c r="AA305" s="3" t="s">
        <v>919</v>
      </c>
      <c r="AB305" s="3"/>
      <c r="AC305" s="5" cm="1">
        <f t="array" ref="AC305">IF(TRUE,"True," &amp; IF(_xlfn.XLOOKUP("Src_IsAny",'Scoring_Config'!$A:$A,'Scoring_Config'!$D:$D,"Yes")="Yes",_xlfn.XLOOKUP("Src_IsAny",'Scoring_Config'!$A:$A,'Scoring_Config'!$C:$C,25),0),"False,0")</f>
        <v>0</v>
      </c>
      <c r="AD305" s="4" cm="1">
        <f t="array" ref="AD305">IF(FALSE,"True," &amp; IF(_xlfn.XLOOKUP("Src_CIDR_Le_16",'Scoring_Config'!$A:$A,'Scoring_Config'!$D:$D,"Yes")="Yes",_xlfn.XLOOKUP("Src_CIDR_Le_16",'Scoring_Config'!$A:$A,'Scoring_Config'!$C:$C,25),0),"False,0")</f>
        <v>0</v>
      </c>
      <c r="AE305" s="4" cm="1">
        <f t="array" ref="AE305">IF(FALSE,"True," &amp; IF(_xlfn.XLOOKUP("Src_CIDR_17_22",'Scoring_Config'!$A:$A,'Scoring_Config'!$D:$D,"Yes")="Yes",_xlfn.XLOOKUP("Src_CIDR_17_22",'Scoring_Config'!$A:$A,'Scoring_Config'!$C:$C,15),0),"False,0")</f>
        <v>0</v>
      </c>
      <c r="AF305" s="5" cm="1">
        <f t="array" ref="AF305">IF(TRUE,"True," &amp; IF(_xlfn.XLOOKUP("Dst_IsAny",'Scoring_Config'!$A:$A,'Scoring_Config'!$D:$D,"Yes")="Yes",_xlfn.XLOOKUP("Dst_IsAny",'Scoring_Config'!$A:$A,'Scoring_Config'!$C:$C,25),0),"False,0")</f>
        <v>0</v>
      </c>
      <c r="AG305" s="4" cm="1">
        <f t="array" ref="AG305">IF(FALSE,"True," &amp; IF(_xlfn.XLOOKUP("Dst_CIDR_Le_16",'Scoring_Config'!$A:$A,'Scoring_Config'!$D:$D,"Yes")="Yes",_xlfn.XLOOKUP("Dst_CIDR_Le_16",'Scoring_Config'!$A:$A,'Scoring_Config'!$C:$C,25),0),"False,0")</f>
        <v>0</v>
      </c>
      <c r="AH305" s="4" cm="1">
        <f t="array" ref="AH305">IF(FALSE,"True," &amp; IF(_xlfn.XLOOKUP("Dst_CIDR_17_22",'Scoring_Config'!$A:$A,'Scoring_Config'!$D:$D,"Yes")="Yes",_xlfn.XLOOKUP("Dst_CIDR_17_22",'Scoring_Config'!$A:$A,'Scoring_Config'!$C:$C,15),0),"False,0")</f>
        <v>0</v>
      </c>
      <c r="AI305" s="4" cm="1">
        <f t="array" ref="AI305">IF(FALSE,"True," &amp; IF(_xlfn.XLOOKUP("SrcZone_IsAny",'Scoring_Config'!$A:$A,'Scoring_Config'!$D:$D,"Yes")="Yes",_xlfn.XLOOKUP("SrcZone_IsAny",'Scoring_Config'!$A:$A,'Scoring_Config'!$C:$C,5),0),"False,0")</f>
        <v>0</v>
      </c>
      <c r="AJ305" s="4" cm="1">
        <f t="array" ref="AJ305">IF(FALSE,"True," &amp; IF(_xlfn.XLOOKUP("DstZone_IsAny",'Scoring_Config'!$A:$A,'Scoring_Config'!$D:$D,"Yes")="Yes",_xlfn.XLOOKUP("DstZone_IsAny",'Scoring_Config'!$A:$A,'Scoring_Config'!$C:$C,5),0),"False,0")</f>
        <v>0</v>
      </c>
      <c r="AK305" s="4" cm="1">
        <f t="array" ref="AK30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5" s="5" cm="1">
        <f t="array" ref="AL305">IF(TRUE,"True," &amp; IF(_xlfn.XLOOKUP("App_Any_OR_RangeGt1000",'Scoring_Config'!$A:$A,'Scoring_Config'!$D:$D,"Yes")="Yes",_xlfn.XLOOKUP("App_Any_OR_RangeGt1000",'Scoring_Config'!$A:$A,'Scoring_Config'!$C:$C,25),0),"False,0")</f>
        <v>0</v>
      </c>
      <c r="AM305" s="5" cm="1">
        <f t="array" ref="AM305">IF(TRUE,"True," &amp; IF(_xlfn.XLOOKUP("Service_Insecure_Match",'Scoring_Config'!$A:$A,'Scoring_Config'!$D:$D,"Yes")="Yes",_xlfn.XLOOKUP("Service_Insecure_Match",'Scoring_Config'!$A:$A,'Scoring_Config'!$C:$C,20),0),"False,0")</f>
        <v>0</v>
      </c>
      <c r="AN305" s="4" cm="1">
        <f t="array" ref="AN305">IF(FALSE,"True," &amp; IF(_xlfn.XLOOKUP("Risky_Inbound",'Scoring_Config'!$A:$A,'Scoring_Config'!$D:$D,"Yes")="Yes",_xlfn.XLOOKUP("Risky_Inbound",'Scoring_Config'!$A:$A,'Scoring_Config'!$C:$C,20),0),"False,0")</f>
        <v>0</v>
      </c>
      <c r="AO305" s="4" cm="1">
        <f t="array" ref="AO305">IF(FALSE,"True," &amp; IF(_xlfn.XLOOKUP("Risky_Outbound",'Scoring_Config'!$A:$A,'Scoring_Config'!$D:$D,"Yes")="Yes",_xlfn.XLOOKUP("Risky_Outbound",'Scoring_Config'!$A:$A,'Scoring_Config'!$C:$C,10),0),"False,0")</f>
        <v>0</v>
      </c>
      <c r="AP305" s="5" t="s">
        <v>2595</v>
      </c>
      <c r="AQ305" s="4" cm="1">
        <f t="array" ref="AQ30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5" s="5" t="s">
        <v>2598</v>
      </c>
      <c r="AS305" s="5" t="s">
        <v>2595</v>
      </c>
      <c r="AT305" s="4" t="s">
        <v>2592</v>
      </c>
      <c r="AU305" s="4" cm="1">
        <f t="array" ref="AU305">IF(FALSE,"True," &amp; IF(_xlfn.XLOOKUP("Action_IsDenyOrDrop",'Scoring_Config'!$A:$A,'Scoring_Config'!$D:$D,"Yes")="Yes",_xlfn.XLOOKUP("Action_IsDenyOrDrop",'Scoring_Config'!$A:$A,'Scoring_Config'!$C:$C,0),0),"False,0")</f>
        <v>0</v>
      </c>
      <c r="AV305" s="4"/>
      <c r="AW305" s="4" cm="1">
        <f t="array" ref="AW305">IF(FALSE,"True," &amp; IF(_xlfn.XLOOKUP("Migrate_Insecure",'Scoring_Config'!$A:$A,'Scoring_Config'!$D:$D,"Yes")="Yes",_xlfn.XLOOKUP("Migrate_Insecure",'Scoring_Config'!$A:$A,'Scoring_Config'!$C:$C,15),0),"False,0")</f>
        <v>0</v>
      </c>
      <c r="AX305" s="4"/>
      <c r="AY305" s="4" cm="1">
        <f t="array" ref="AY305">IF(FALSE,"True," &amp; IF(_xlfn.XLOOKUP("Migrate_Other_Ports",'Scoring_Config'!$A:$A,'Scoring_Config'!$D:$D,"Yes")="Yes",_xlfn.XLOOKUP("Migrate_Other_Ports",'Scoring_Config'!$A:$A,'Scoring_Config'!$C:$C,5),0),"False,0")</f>
        <v>0</v>
      </c>
      <c r="AZ305" s="4" cm="1">
        <f t="array" ref="AZ305">IF(LEFT(AU305,4)="True",0,(IF(LEFT(AC305,4)="True",IF(_xlfn.XLOOKUP("Src_IsAny",'Scoring_Config'!$A:$A,'Scoring_Config'!$D:$D,"Yes")="Yes",_xlfn.XLOOKUP("Src_IsAny",'Scoring_Config'!$A:$A,'Scoring_Config'!$C:$C,25),0),0)+IF(LEFT(AD305,4)="True",IF(_xlfn.XLOOKUP("Src_CIDR_Le_16",'Scoring_Config'!$A:$A,'Scoring_Config'!$D:$D,"Yes")="Yes",_xlfn.XLOOKUP("Src_CIDR_Le_16",'Scoring_Config'!$A:$A,'Scoring_Config'!$C:$C,25),0),0)+IF(LEFT(AE305,4)="True",IF(_xlfn.XLOOKUP("Src_CIDR_17_22",'Scoring_Config'!$A:$A,'Scoring_Config'!$D:$D,"Yes")="Yes",_xlfn.XLOOKUP("Src_CIDR_17_22",'Scoring_Config'!$A:$A,'Scoring_Config'!$C:$C,15),0),0)+IF(LEFT(AF305,4)="True",IF(_xlfn.XLOOKUP("Dst_IsAny",'Scoring_Config'!$A:$A,'Scoring_Config'!$D:$D,"Yes")="Yes",_xlfn.XLOOKUP("Dst_IsAny",'Scoring_Config'!$A:$A,'Scoring_Config'!$C:$C,25),0),0)+IF(LEFT(AG305,4)="True",IF(_xlfn.XLOOKUP("Dst_CIDR_Le_16",'Scoring_Config'!$A:$A,'Scoring_Config'!$D:$D,"Yes")="Yes",_xlfn.XLOOKUP("Dst_CIDR_Le_16",'Scoring_Config'!$A:$A,'Scoring_Config'!$C:$C,25),0),0)+IF(LEFT(AH305,4)="True",IF(_xlfn.XLOOKUP("Dst_CIDR_17_22",'Scoring_Config'!$A:$A,'Scoring_Config'!$D:$D,"Yes")="Yes",_xlfn.XLOOKUP("Dst_CIDR_17_22",'Scoring_Config'!$A:$A,'Scoring_Config'!$C:$C,15),0),0)+IF(LEFT(AI305,4)="True",IF(_xlfn.XLOOKUP("SrcZone_IsAny",'Scoring_Config'!$A:$A,'Scoring_Config'!$D:$D,"Yes")="Yes",_xlfn.XLOOKUP("SrcZone_IsAny",'Scoring_Config'!$A:$A,'Scoring_Config'!$C:$C,5),0),0)+IF(LEFT(AJ305,4)="True",IF(_xlfn.XLOOKUP("DstZone_IsAny",'Scoring_Config'!$A:$A,'Scoring_Config'!$D:$D,"Yes")="Yes",_xlfn.XLOOKUP("DstZone_IsAny",'Scoring_Config'!$A:$A,'Scoring_Config'!$C:$C,5),0),0)+IF(LEFT(AK305,4)="True",IF(_xlfn.XLOOKUP("Service_Any_OR_RangeGt1000",'Scoring_Config'!$A:$A,'Scoring_Config'!$D:$D,"Yes")="Yes",_xlfn.XLOOKUP("Service_Any_OR_RangeGt1000",'Scoring_Config'!$A:$A,'Scoring_Config'!$C:$C,25),0),0)+IF(LEFT(AL305,4)="True",IF(_xlfn.XLOOKUP("App_Any_OR_RangeGt1000",'Scoring_Config'!$A:$A,'Scoring_Config'!$D:$D,"Yes")="Yes",_xlfn.XLOOKUP("App_Any_OR_RangeGt1000",'Scoring_Config'!$A:$A,'Scoring_Config'!$C:$C,25),0),0)+IF(LEFT(AM305,4)="True",IF(_xlfn.XLOOKUP("Service_Insecure_Match",'Scoring_Config'!$A:$A,'Scoring_Config'!$D:$D,"Yes")="Yes",_xlfn.XLOOKUP("Service_Insecure_Match",'Scoring_Config'!$A:$A,'Scoring_Config'!$C:$C,20),0),0)+IF(LEFT(AN305,4)="True",IF(_xlfn.XLOOKUP("Risky_Inbound",'Scoring_Config'!$A:$A,'Scoring_Config'!$D:$D,"Yes")="Yes",_xlfn.XLOOKUP("Risky_Inbound",'Scoring_Config'!$A:$A,'Scoring_Config'!$C:$C,20),0),0)+IF(LEFT(AO305,4)="True",IF(_xlfn.XLOOKUP("Risky_Outbound",'Scoring_Config'!$A:$A,'Scoring_Config'!$D:$D,"Yes")="Yes",_xlfn.XLOOKUP("Risky_Outbound",'Scoring_Config'!$A:$A,'Scoring_Config'!$C:$C,10),0),0)+IF(LEFT(AW305,4)="True",IF(_xlfn.XLOOKUP("Migrate_Insecure",'Scoring_Config'!$A:$A,'Scoring_Config'!$D:$D,"Yes")="Yes",_xlfn.XLOOKUP("Migrate_Insecure",'Scoring_Config'!$A:$A,'Scoring_Config'!$C:$C,15),0),0)+IF(LEFT(AY305,4)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305,FIND(",",AP305)+1,100)),0)+IF(LEFT(AQ305,4)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305,FIND(",",AR305)+1,100)),0)+IF(_xlfn.XLOOKUP("Profile_Scoring",'Scoring_Config'!$A:$A,'Scoring_Config'!$D:$D,"Yes")="Yes",VALUE(MID(AS305,FIND(",",AS305)+1,100)),0)+IF(_xlfn.XLOOKUP("Options_Scoring",'Scoring_Config'!$A:$A,'Scoring_Config'!$D:$D,"Yes")="Yes",VALUE(MID(AT305,FIND(",",AT305)+1,100)),0)))</f>
        <v>0</v>
      </c>
    </row>
    <row r="306" spans="1:52">
      <c r="A306" s="3" t="s">
        <v>54</v>
      </c>
      <c r="B306" s="3" t="s">
        <v>225</v>
      </c>
      <c r="C306" s="3" t="s">
        <v>331</v>
      </c>
      <c r="D306" s="3" t="s">
        <v>352</v>
      </c>
      <c r="E306" s="3" t="s">
        <v>359</v>
      </c>
      <c r="F306" s="3" t="s">
        <v>361</v>
      </c>
      <c r="G306" s="3" t="s">
        <v>365</v>
      </c>
      <c r="H306" s="3" t="s">
        <v>365</v>
      </c>
      <c r="I306" s="3" t="s">
        <v>622</v>
      </c>
      <c r="J306" s="3" t="s">
        <v>364</v>
      </c>
      <c r="K306" s="3" t="s">
        <v>705</v>
      </c>
      <c r="L306" s="3" t="s">
        <v>705</v>
      </c>
      <c r="M306" s="3" t="s">
        <v>365</v>
      </c>
      <c r="N306" s="3" t="s">
        <v>365</v>
      </c>
      <c r="O306" s="4" t="s">
        <v>845</v>
      </c>
      <c r="P306" s="3" t="s">
        <v>898</v>
      </c>
      <c r="Q306" s="3" t="s">
        <v>905</v>
      </c>
      <c r="R306" s="3" t="s">
        <v>907</v>
      </c>
      <c r="S306" s="3" t="s">
        <v>914</v>
      </c>
      <c r="T306" s="3"/>
      <c r="U306" s="3" t="s">
        <v>1306</v>
      </c>
      <c r="V306" s="3" t="s">
        <v>1388</v>
      </c>
      <c r="W306" s="3" t="s">
        <v>1550</v>
      </c>
      <c r="X306" s="3" t="s">
        <v>1910</v>
      </c>
      <c r="Y306" s="3" t="s">
        <v>2379</v>
      </c>
      <c r="Z306" s="3"/>
      <c r="AA306" s="3" t="s">
        <v>919</v>
      </c>
      <c r="AB306" s="3"/>
      <c r="AC306" s="5" cm="1">
        <f t="array" ref="AC306">IF(TRUE,"True," &amp; IF(_xlfn.XLOOKUP("Src_IsAny",'Scoring_Config'!$A:$A,'Scoring_Config'!$D:$D,"Yes")="Yes",_xlfn.XLOOKUP("Src_IsAny",'Scoring_Config'!$A:$A,'Scoring_Config'!$C:$C,25),0),"False,0")</f>
        <v>0</v>
      </c>
      <c r="AD306" s="4" cm="1">
        <f t="array" ref="AD306">IF(FALSE,"True," &amp; IF(_xlfn.XLOOKUP("Src_CIDR_Le_16",'Scoring_Config'!$A:$A,'Scoring_Config'!$D:$D,"Yes")="Yes",_xlfn.XLOOKUP("Src_CIDR_Le_16",'Scoring_Config'!$A:$A,'Scoring_Config'!$C:$C,25),0),"False,0")</f>
        <v>0</v>
      </c>
      <c r="AE306" s="4" cm="1">
        <f t="array" ref="AE306">IF(FALSE,"True," &amp; IF(_xlfn.XLOOKUP("Src_CIDR_17_22",'Scoring_Config'!$A:$A,'Scoring_Config'!$D:$D,"Yes")="Yes",_xlfn.XLOOKUP("Src_CIDR_17_22",'Scoring_Config'!$A:$A,'Scoring_Config'!$C:$C,15),0),"False,0")</f>
        <v>0</v>
      </c>
      <c r="AF306" s="4" cm="1">
        <f t="array" ref="AF306">IF(FALSE,"True," &amp; IF(_xlfn.XLOOKUP("Dst_IsAny",'Scoring_Config'!$A:$A,'Scoring_Config'!$D:$D,"Yes")="Yes",_xlfn.XLOOKUP("Dst_IsAny",'Scoring_Config'!$A:$A,'Scoring_Config'!$C:$C,25),0),"False,0")</f>
        <v>0</v>
      </c>
      <c r="AG306" s="4" cm="1">
        <f t="array" ref="AG306">IF(FALSE,"True," &amp; IF(_xlfn.XLOOKUP("Dst_CIDR_Le_16",'Scoring_Config'!$A:$A,'Scoring_Config'!$D:$D,"Yes")="Yes",_xlfn.XLOOKUP("Dst_CIDR_Le_16",'Scoring_Config'!$A:$A,'Scoring_Config'!$C:$C,25),0),"False,0")</f>
        <v>0</v>
      </c>
      <c r="AH306" s="4" cm="1">
        <f t="array" ref="AH306">IF(FALSE,"True," &amp; IF(_xlfn.XLOOKUP("Dst_CIDR_17_22",'Scoring_Config'!$A:$A,'Scoring_Config'!$D:$D,"Yes")="Yes",_xlfn.XLOOKUP("Dst_CIDR_17_22",'Scoring_Config'!$A:$A,'Scoring_Config'!$C:$C,15),0),"False,0")</f>
        <v>0</v>
      </c>
      <c r="AI306" s="4" cm="1">
        <f t="array" ref="AI306">IF(FALSE,"True," &amp; IF(_xlfn.XLOOKUP("SrcZone_IsAny",'Scoring_Config'!$A:$A,'Scoring_Config'!$D:$D,"Yes")="Yes",_xlfn.XLOOKUP("SrcZone_IsAny",'Scoring_Config'!$A:$A,'Scoring_Config'!$C:$C,5),0),"False,0")</f>
        <v>0</v>
      </c>
      <c r="AJ306" s="4" cm="1">
        <f t="array" ref="AJ306">IF(FALSE,"True," &amp; IF(_xlfn.XLOOKUP("DstZone_IsAny",'Scoring_Config'!$A:$A,'Scoring_Config'!$D:$D,"Yes")="Yes",_xlfn.XLOOKUP("DstZone_IsAny",'Scoring_Config'!$A:$A,'Scoring_Config'!$C:$C,5),0),"False,0")</f>
        <v>0</v>
      </c>
      <c r="AK306" s="4" cm="1">
        <f t="array" ref="AK30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6" s="5" cm="1">
        <f t="array" ref="AL306">IF(TRUE,"True," &amp; IF(_xlfn.XLOOKUP("App_Any_OR_RangeGt1000",'Scoring_Config'!$A:$A,'Scoring_Config'!$D:$D,"Yes")="Yes",_xlfn.XLOOKUP("App_Any_OR_RangeGt1000",'Scoring_Config'!$A:$A,'Scoring_Config'!$C:$C,25),0),"False,0")</f>
        <v>0</v>
      </c>
      <c r="AM306" s="4" cm="1">
        <f t="array" ref="AM306">IF(FALSE,"True," &amp; IF(_xlfn.XLOOKUP("Service_Insecure_Match",'Scoring_Config'!$A:$A,'Scoring_Config'!$D:$D,"Yes")="Yes",_xlfn.XLOOKUP("Service_Insecure_Match",'Scoring_Config'!$A:$A,'Scoring_Config'!$C:$C,20),0),"False,0")</f>
        <v>0</v>
      </c>
      <c r="AN306" s="4" cm="1">
        <f t="array" ref="AN306">IF(FALSE,"True," &amp; IF(_xlfn.XLOOKUP("Risky_Inbound",'Scoring_Config'!$A:$A,'Scoring_Config'!$D:$D,"Yes")="Yes",_xlfn.XLOOKUP("Risky_Inbound",'Scoring_Config'!$A:$A,'Scoring_Config'!$C:$C,20),0),"False,0")</f>
        <v>0</v>
      </c>
      <c r="AO306" s="4" cm="1">
        <f t="array" ref="AO306">IF(FALSE,"True," &amp; IF(_xlfn.XLOOKUP("Risky_Outbound",'Scoring_Config'!$A:$A,'Scoring_Config'!$D:$D,"Yes")="Yes",_xlfn.XLOOKUP("Risky_Outbound",'Scoring_Config'!$A:$A,'Scoring_Config'!$C:$C,10),0),"False,0")</f>
        <v>0</v>
      </c>
      <c r="AP306" s="5" t="s">
        <v>2595</v>
      </c>
      <c r="AQ306" s="4" cm="1">
        <f t="array" ref="AQ30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6" s="5" t="s">
        <v>2598</v>
      </c>
      <c r="AS306" s="5" t="s">
        <v>2595</v>
      </c>
      <c r="AT306" s="4" t="s">
        <v>2592</v>
      </c>
      <c r="AU306" s="4" cm="1">
        <f t="array" ref="AU306">IF(FALSE,"True," &amp; IF(_xlfn.XLOOKUP("Action_IsDenyOrDrop",'Scoring_Config'!$A:$A,'Scoring_Config'!$D:$D,"Yes")="Yes",_xlfn.XLOOKUP("Action_IsDenyOrDrop",'Scoring_Config'!$A:$A,'Scoring_Config'!$C:$C,0),0),"False,0")</f>
        <v>0</v>
      </c>
      <c r="AV306" s="4"/>
      <c r="AW306" s="4" cm="1">
        <f t="array" ref="AW306">IF(FALSE,"True," &amp; IF(_xlfn.XLOOKUP("Migrate_Insecure",'Scoring_Config'!$A:$A,'Scoring_Config'!$D:$D,"Yes")="Yes",_xlfn.XLOOKUP("Migrate_Insecure",'Scoring_Config'!$A:$A,'Scoring_Config'!$C:$C,15),0),"False,0")</f>
        <v>0</v>
      </c>
      <c r="AX306" s="4"/>
      <c r="AY306" s="4" cm="1">
        <f t="array" ref="AY306">IF(FALSE,"True," &amp; IF(_xlfn.XLOOKUP("Migrate_Other_Ports",'Scoring_Config'!$A:$A,'Scoring_Config'!$D:$D,"Yes")="Yes",_xlfn.XLOOKUP("Migrate_Other_Ports",'Scoring_Config'!$A:$A,'Scoring_Config'!$C:$C,5),0),"False,0")</f>
        <v>0</v>
      </c>
      <c r="AZ306" s="4" cm="1">
        <f t="array" ref="AZ306">IF(LEFT(AU306,4)="True",0,(IF(LEFT(AC306,4)="True",IF(_xlfn.XLOOKUP("Src_IsAny",'Scoring_Config'!$A:$A,'Scoring_Config'!$D:$D,"Yes")="Yes",_xlfn.XLOOKUP("Src_IsAny",'Scoring_Config'!$A:$A,'Scoring_Config'!$C:$C,25),0),0)+IF(LEFT(AD306,4)="True",IF(_xlfn.XLOOKUP("Src_CIDR_Le_16",'Scoring_Config'!$A:$A,'Scoring_Config'!$D:$D,"Yes")="Yes",_xlfn.XLOOKUP("Src_CIDR_Le_16",'Scoring_Config'!$A:$A,'Scoring_Config'!$C:$C,25),0),0)+IF(LEFT(AE306,4)="True",IF(_xlfn.XLOOKUP("Src_CIDR_17_22",'Scoring_Config'!$A:$A,'Scoring_Config'!$D:$D,"Yes")="Yes",_xlfn.XLOOKUP("Src_CIDR_17_22",'Scoring_Config'!$A:$A,'Scoring_Config'!$C:$C,15),0),0)+IF(LEFT(AF306,4)="True",IF(_xlfn.XLOOKUP("Dst_IsAny",'Scoring_Config'!$A:$A,'Scoring_Config'!$D:$D,"Yes")="Yes",_xlfn.XLOOKUP("Dst_IsAny",'Scoring_Config'!$A:$A,'Scoring_Config'!$C:$C,25),0),0)+IF(LEFT(AG306,4)="True",IF(_xlfn.XLOOKUP("Dst_CIDR_Le_16",'Scoring_Config'!$A:$A,'Scoring_Config'!$D:$D,"Yes")="Yes",_xlfn.XLOOKUP("Dst_CIDR_Le_16",'Scoring_Config'!$A:$A,'Scoring_Config'!$C:$C,25),0),0)+IF(LEFT(AH306,4)="True",IF(_xlfn.XLOOKUP("Dst_CIDR_17_22",'Scoring_Config'!$A:$A,'Scoring_Config'!$D:$D,"Yes")="Yes",_xlfn.XLOOKUP("Dst_CIDR_17_22",'Scoring_Config'!$A:$A,'Scoring_Config'!$C:$C,15),0),0)+IF(LEFT(AI306,4)="True",IF(_xlfn.XLOOKUP("SrcZone_IsAny",'Scoring_Config'!$A:$A,'Scoring_Config'!$D:$D,"Yes")="Yes",_xlfn.XLOOKUP("SrcZone_IsAny",'Scoring_Config'!$A:$A,'Scoring_Config'!$C:$C,5),0),0)+IF(LEFT(AJ306,4)="True",IF(_xlfn.XLOOKUP("DstZone_IsAny",'Scoring_Config'!$A:$A,'Scoring_Config'!$D:$D,"Yes")="Yes",_xlfn.XLOOKUP("DstZone_IsAny",'Scoring_Config'!$A:$A,'Scoring_Config'!$C:$C,5),0),0)+IF(LEFT(AK306,4)="True",IF(_xlfn.XLOOKUP("Service_Any_OR_RangeGt1000",'Scoring_Config'!$A:$A,'Scoring_Config'!$D:$D,"Yes")="Yes",_xlfn.XLOOKUP("Service_Any_OR_RangeGt1000",'Scoring_Config'!$A:$A,'Scoring_Config'!$C:$C,25),0),0)+IF(LEFT(AL306,4)="True",IF(_xlfn.XLOOKUP("App_Any_OR_RangeGt1000",'Scoring_Config'!$A:$A,'Scoring_Config'!$D:$D,"Yes")="Yes",_xlfn.XLOOKUP("App_Any_OR_RangeGt1000",'Scoring_Config'!$A:$A,'Scoring_Config'!$C:$C,25),0),0)+IF(LEFT(AM306,4)="True",IF(_xlfn.XLOOKUP("Service_Insecure_Match",'Scoring_Config'!$A:$A,'Scoring_Config'!$D:$D,"Yes")="Yes",_xlfn.XLOOKUP("Service_Insecure_Match",'Scoring_Config'!$A:$A,'Scoring_Config'!$C:$C,20),0),0)+IF(LEFT(AN306,4)="True",IF(_xlfn.XLOOKUP("Risky_Inbound",'Scoring_Config'!$A:$A,'Scoring_Config'!$D:$D,"Yes")="Yes",_xlfn.XLOOKUP("Risky_Inbound",'Scoring_Config'!$A:$A,'Scoring_Config'!$C:$C,20),0),0)+IF(LEFT(AO306,4)="True",IF(_xlfn.XLOOKUP("Risky_Outbound",'Scoring_Config'!$A:$A,'Scoring_Config'!$D:$D,"Yes")="Yes",_xlfn.XLOOKUP("Risky_Outbound",'Scoring_Config'!$A:$A,'Scoring_Config'!$C:$C,10),0),0)+IF(LEFT(AW306,4)="True",IF(_xlfn.XLOOKUP("Migrate_Insecure",'Scoring_Config'!$A:$A,'Scoring_Config'!$D:$D,"Yes")="Yes",_xlfn.XLOOKUP("Migrate_Insecure",'Scoring_Config'!$A:$A,'Scoring_Config'!$C:$C,15),0),0)+IF(LEFT(AY306,4)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306,FIND(",",AP306)+1,100)),0)+IF(LEFT(AQ306,4)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306,FIND(",",AR306)+1,100)),0)+IF(_xlfn.XLOOKUP("Profile_Scoring",'Scoring_Config'!$A:$A,'Scoring_Config'!$D:$D,"Yes")="Yes",VALUE(MID(AS306,FIND(",",AS306)+1,100)),0)+IF(_xlfn.XLOOKUP("Options_Scoring",'Scoring_Config'!$A:$A,'Scoring_Config'!$D:$D,"Yes")="Yes",VALUE(MID(AT306,FIND(",",AT306)+1,100)),0)))</f>
        <v>0</v>
      </c>
    </row>
    <row r="307" spans="1:52">
      <c r="A307" s="3" t="s">
        <v>54</v>
      </c>
      <c r="B307" s="3" t="s">
        <v>251</v>
      </c>
      <c r="C307" s="3" t="s">
        <v>331</v>
      </c>
      <c r="D307" s="3" t="s">
        <v>351</v>
      </c>
      <c r="E307" s="3" t="s">
        <v>359</v>
      </c>
      <c r="F307" s="3" t="s">
        <v>361</v>
      </c>
      <c r="G307" s="3" t="s">
        <v>365</v>
      </c>
      <c r="H307" s="3" t="s">
        <v>365</v>
      </c>
      <c r="I307" s="3" t="s">
        <v>624</v>
      </c>
      <c r="J307" s="3" t="s">
        <v>360</v>
      </c>
      <c r="K307" s="3" t="s">
        <v>365</v>
      </c>
      <c r="L307" s="3" t="s">
        <v>365</v>
      </c>
      <c r="M307" s="3" t="s">
        <v>365</v>
      </c>
      <c r="N307" s="3" t="s">
        <v>365</v>
      </c>
      <c r="O307" s="4" t="s">
        <v>810</v>
      </c>
      <c r="P307" s="3" t="s">
        <v>871</v>
      </c>
      <c r="Q307" s="3" t="s">
        <v>905</v>
      </c>
      <c r="R307" s="3" t="s">
        <v>907</v>
      </c>
      <c r="S307" s="3" t="s">
        <v>913</v>
      </c>
      <c r="T307" s="3"/>
      <c r="U307" s="3" t="s">
        <v>1307</v>
      </c>
      <c r="V307" s="3" t="s">
        <v>789</v>
      </c>
      <c r="W307" s="3" t="s">
        <v>1518</v>
      </c>
      <c r="X307" s="3" t="s">
        <v>1911</v>
      </c>
      <c r="Y307" s="3" t="s">
        <v>2380</v>
      </c>
      <c r="Z307" s="3"/>
      <c r="AA307" s="3" t="s">
        <v>1071</v>
      </c>
      <c r="AB307" s="3"/>
      <c r="AC307" s="5" cm="1">
        <f t="array" ref="AC307">IF(TRUE,"True," &amp; IF(_xlfn.XLOOKUP("Src_IsAny",'Scoring_Config'!$A:$A,'Scoring_Config'!$D:$D,"Yes")="Yes",_xlfn.XLOOKUP("Src_IsAny",'Scoring_Config'!$A:$A,'Scoring_Config'!$C:$C,25),0),"False,0")</f>
        <v>0</v>
      </c>
      <c r="AD307" s="4" cm="1">
        <f t="array" ref="AD307">IF(FALSE,"True," &amp; IF(_xlfn.XLOOKUP("Src_CIDR_Le_16",'Scoring_Config'!$A:$A,'Scoring_Config'!$D:$D,"Yes")="Yes",_xlfn.XLOOKUP("Src_CIDR_Le_16",'Scoring_Config'!$A:$A,'Scoring_Config'!$C:$C,25),0),"False,0")</f>
        <v>0</v>
      </c>
      <c r="AE307" s="4" cm="1">
        <f t="array" ref="AE307">IF(FALSE,"True," &amp; IF(_xlfn.XLOOKUP("Src_CIDR_17_22",'Scoring_Config'!$A:$A,'Scoring_Config'!$D:$D,"Yes")="Yes",_xlfn.XLOOKUP("Src_CIDR_17_22",'Scoring_Config'!$A:$A,'Scoring_Config'!$C:$C,15),0),"False,0")</f>
        <v>0</v>
      </c>
      <c r="AF307" s="5" cm="1">
        <f t="array" ref="AF307">IF(TRUE,"True," &amp; IF(_xlfn.XLOOKUP("Dst_IsAny",'Scoring_Config'!$A:$A,'Scoring_Config'!$D:$D,"Yes")="Yes",_xlfn.XLOOKUP("Dst_IsAny",'Scoring_Config'!$A:$A,'Scoring_Config'!$C:$C,25),0),"False,0")</f>
        <v>0</v>
      </c>
      <c r="AG307" s="4" cm="1">
        <f t="array" ref="AG307">IF(FALSE,"True," &amp; IF(_xlfn.XLOOKUP("Dst_CIDR_Le_16",'Scoring_Config'!$A:$A,'Scoring_Config'!$D:$D,"Yes")="Yes",_xlfn.XLOOKUP("Dst_CIDR_Le_16",'Scoring_Config'!$A:$A,'Scoring_Config'!$C:$C,25),0),"False,0")</f>
        <v>0</v>
      </c>
      <c r="AH307" s="4" cm="1">
        <f t="array" ref="AH307">IF(FALSE,"True," &amp; IF(_xlfn.XLOOKUP("Dst_CIDR_17_22",'Scoring_Config'!$A:$A,'Scoring_Config'!$D:$D,"Yes")="Yes",_xlfn.XLOOKUP("Dst_CIDR_17_22",'Scoring_Config'!$A:$A,'Scoring_Config'!$C:$C,15),0),"False,0")</f>
        <v>0</v>
      </c>
      <c r="AI307" s="4" cm="1">
        <f t="array" ref="AI307">IF(FALSE,"True," &amp; IF(_xlfn.XLOOKUP("SrcZone_IsAny",'Scoring_Config'!$A:$A,'Scoring_Config'!$D:$D,"Yes")="Yes",_xlfn.XLOOKUP("SrcZone_IsAny",'Scoring_Config'!$A:$A,'Scoring_Config'!$C:$C,5),0),"False,0")</f>
        <v>0</v>
      </c>
      <c r="AJ307" s="4" cm="1">
        <f t="array" ref="AJ307">IF(FALSE,"True," &amp; IF(_xlfn.XLOOKUP("DstZone_IsAny",'Scoring_Config'!$A:$A,'Scoring_Config'!$D:$D,"Yes")="Yes",_xlfn.XLOOKUP("DstZone_IsAny",'Scoring_Config'!$A:$A,'Scoring_Config'!$C:$C,5),0),"False,0")</f>
        <v>0</v>
      </c>
      <c r="AK307" s="4" cm="1">
        <f t="array" ref="AK30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7" s="5" cm="1">
        <f t="array" ref="AL307">IF(TRUE,"True," &amp; IF(_xlfn.XLOOKUP("App_Any_OR_RangeGt1000",'Scoring_Config'!$A:$A,'Scoring_Config'!$D:$D,"Yes")="Yes",_xlfn.XLOOKUP("App_Any_OR_RangeGt1000",'Scoring_Config'!$A:$A,'Scoring_Config'!$C:$C,25),0),"False,0")</f>
        <v>0</v>
      </c>
      <c r="AM307" s="5" cm="1">
        <f t="array" ref="AM307">IF(TRUE,"True," &amp; IF(_xlfn.XLOOKUP("Service_Insecure_Match",'Scoring_Config'!$A:$A,'Scoring_Config'!$D:$D,"Yes")="Yes",_xlfn.XLOOKUP("Service_Insecure_Match",'Scoring_Config'!$A:$A,'Scoring_Config'!$C:$C,20),0),"False,0")</f>
        <v>0</v>
      </c>
      <c r="AN307" s="4" cm="1">
        <f t="array" ref="AN307">IF(FALSE,"True," &amp; IF(_xlfn.XLOOKUP("Risky_Inbound",'Scoring_Config'!$A:$A,'Scoring_Config'!$D:$D,"Yes")="Yes",_xlfn.XLOOKUP("Risky_Inbound",'Scoring_Config'!$A:$A,'Scoring_Config'!$C:$C,20),0),"False,0")</f>
        <v>0</v>
      </c>
      <c r="AO307" s="4" cm="1">
        <f t="array" ref="AO307">IF(FALSE,"True," &amp; IF(_xlfn.XLOOKUP("Risky_Outbound",'Scoring_Config'!$A:$A,'Scoring_Config'!$D:$D,"Yes")="Yes",_xlfn.XLOOKUP("Risky_Outbound",'Scoring_Config'!$A:$A,'Scoring_Config'!$C:$C,10),0),"False,0")</f>
        <v>0</v>
      </c>
      <c r="AP307" s="5" t="s">
        <v>2595</v>
      </c>
      <c r="AQ307" s="4" cm="1">
        <f t="array" ref="AQ30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7" s="5" t="s">
        <v>2598</v>
      </c>
      <c r="AS307" s="5" t="s">
        <v>2595</v>
      </c>
      <c r="AT307" s="4" t="s">
        <v>2592</v>
      </c>
      <c r="AU307" s="4" cm="1">
        <f t="array" ref="AU307">IF(FALSE,"True," &amp; IF(_xlfn.XLOOKUP("Action_IsDenyOrDrop",'Scoring_Config'!$A:$A,'Scoring_Config'!$D:$D,"Yes")="Yes",_xlfn.XLOOKUP("Action_IsDenyOrDrop",'Scoring_Config'!$A:$A,'Scoring_Config'!$C:$C,0),0),"False,0")</f>
        <v>0</v>
      </c>
      <c r="AV307" s="4"/>
      <c r="AW307" s="4" cm="1">
        <f t="array" ref="AW307">IF(FALSE,"True," &amp; IF(_xlfn.XLOOKUP("Migrate_Insecure",'Scoring_Config'!$A:$A,'Scoring_Config'!$D:$D,"Yes")="Yes",_xlfn.XLOOKUP("Migrate_Insecure",'Scoring_Config'!$A:$A,'Scoring_Config'!$C:$C,15),0),"False,0")</f>
        <v>0</v>
      </c>
      <c r="AX307" s="4"/>
      <c r="AY307" s="4" cm="1">
        <f t="array" ref="AY307">IF(FALSE,"True," &amp; IF(_xlfn.XLOOKUP("Migrate_Other_Ports",'Scoring_Config'!$A:$A,'Scoring_Config'!$D:$D,"Yes")="Yes",_xlfn.XLOOKUP("Migrate_Other_Ports",'Scoring_Config'!$A:$A,'Scoring_Config'!$C:$C,5),0),"False,0")</f>
        <v>0</v>
      </c>
      <c r="AZ307" s="4" cm="1">
        <f t="array" ref="AZ307">IF(LEFT(AU307,4)="True",0,(IF(LEFT(AC307,4)="True",IF(_xlfn.XLOOKUP("Src_IsAny",'Scoring_Config'!$A:$A,'Scoring_Config'!$D:$D,"Yes")="Yes",_xlfn.XLOOKUP("Src_IsAny",'Scoring_Config'!$A:$A,'Scoring_Config'!$C:$C,25),0),0)+IF(LEFT(AD307,4)="True",IF(_xlfn.XLOOKUP("Src_CIDR_Le_16",'Scoring_Config'!$A:$A,'Scoring_Config'!$D:$D,"Yes")="Yes",_xlfn.XLOOKUP("Src_CIDR_Le_16",'Scoring_Config'!$A:$A,'Scoring_Config'!$C:$C,25),0),0)+IF(LEFT(AE307,4)="True",IF(_xlfn.XLOOKUP("Src_CIDR_17_22",'Scoring_Config'!$A:$A,'Scoring_Config'!$D:$D,"Yes")="Yes",_xlfn.XLOOKUP("Src_CIDR_17_22",'Scoring_Config'!$A:$A,'Scoring_Config'!$C:$C,15),0),0)+IF(LEFT(AF307,4)="True",IF(_xlfn.XLOOKUP("Dst_IsAny",'Scoring_Config'!$A:$A,'Scoring_Config'!$D:$D,"Yes")="Yes",_xlfn.XLOOKUP("Dst_IsAny",'Scoring_Config'!$A:$A,'Scoring_Config'!$C:$C,25),0),0)+IF(LEFT(AG307,4)="True",IF(_xlfn.XLOOKUP("Dst_CIDR_Le_16",'Scoring_Config'!$A:$A,'Scoring_Config'!$D:$D,"Yes")="Yes",_xlfn.XLOOKUP("Dst_CIDR_Le_16",'Scoring_Config'!$A:$A,'Scoring_Config'!$C:$C,25),0),0)+IF(LEFT(AH307,4)="True",IF(_xlfn.XLOOKUP("Dst_CIDR_17_22",'Scoring_Config'!$A:$A,'Scoring_Config'!$D:$D,"Yes")="Yes",_xlfn.XLOOKUP("Dst_CIDR_17_22",'Scoring_Config'!$A:$A,'Scoring_Config'!$C:$C,15),0),0)+IF(LEFT(AI307,4)="True",IF(_xlfn.XLOOKUP("SrcZone_IsAny",'Scoring_Config'!$A:$A,'Scoring_Config'!$D:$D,"Yes")="Yes",_xlfn.XLOOKUP("SrcZone_IsAny",'Scoring_Config'!$A:$A,'Scoring_Config'!$C:$C,5),0),0)+IF(LEFT(AJ307,4)="True",IF(_xlfn.XLOOKUP("DstZone_IsAny",'Scoring_Config'!$A:$A,'Scoring_Config'!$D:$D,"Yes")="Yes",_xlfn.XLOOKUP("DstZone_IsAny",'Scoring_Config'!$A:$A,'Scoring_Config'!$C:$C,5),0),0)+IF(LEFT(AK307,4)="True",IF(_xlfn.XLOOKUP("Service_Any_OR_RangeGt1000",'Scoring_Config'!$A:$A,'Scoring_Config'!$D:$D,"Yes")="Yes",_xlfn.XLOOKUP("Service_Any_OR_RangeGt1000",'Scoring_Config'!$A:$A,'Scoring_Config'!$C:$C,25),0),0)+IF(LEFT(AL307,4)="True",IF(_xlfn.XLOOKUP("App_Any_OR_RangeGt1000",'Scoring_Config'!$A:$A,'Scoring_Config'!$D:$D,"Yes")="Yes",_xlfn.XLOOKUP("App_Any_OR_RangeGt1000",'Scoring_Config'!$A:$A,'Scoring_Config'!$C:$C,25),0),0)+IF(LEFT(AM307,4)="True",IF(_xlfn.XLOOKUP("Service_Insecure_Match",'Scoring_Config'!$A:$A,'Scoring_Config'!$D:$D,"Yes")="Yes",_xlfn.XLOOKUP("Service_Insecure_Match",'Scoring_Config'!$A:$A,'Scoring_Config'!$C:$C,20),0),0)+IF(LEFT(AN307,4)="True",IF(_xlfn.XLOOKUP("Risky_Inbound",'Scoring_Config'!$A:$A,'Scoring_Config'!$D:$D,"Yes")="Yes",_xlfn.XLOOKUP("Risky_Inbound",'Scoring_Config'!$A:$A,'Scoring_Config'!$C:$C,20),0),0)+IF(LEFT(AO307,4)="True",IF(_xlfn.XLOOKUP("Risky_Outbound",'Scoring_Config'!$A:$A,'Scoring_Config'!$D:$D,"Yes")="Yes",_xlfn.XLOOKUP("Risky_Outbound",'Scoring_Config'!$A:$A,'Scoring_Config'!$C:$C,10),0),0)+IF(LEFT(AW307,4)="True",IF(_xlfn.XLOOKUP("Migrate_Insecure",'Scoring_Config'!$A:$A,'Scoring_Config'!$D:$D,"Yes")="Yes",_xlfn.XLOOKUP("Migrate_Insecure",'Scoring_Config'!$A:$A,'Scoring_Config'!$C:$C,15),0),0)+IF(LEFT(AY307,4)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307,FIND(",",AP307)+1,100)),0)+IF(LEFT(AQ307,4)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307,FIND(",",AR307)+1,100)),0)+IF(_xlfn.XLOOKUP("Profile_Scoring",'Scoring_Config'!$A:$A,'Scoring_Config'!$D:$D,"Yes")="Yes",VALUE(MID(AS307,FIND(",",AS307)+1,100)),0)+IF(_xlfn.XLOOKUP("Options_Scoring",'Scoring_Config'!$A:$A,'Scoring_Config'!$D:$D,"Yes")="Yes",VALUE(MID(AT307,FIND(",",AT307)+1,100)),0)))</f>
        <v>0</v>
      </c>
    </row>
    <row r="308" spans="1:52">
      <c r="A308" s="3" t="s">
        <v>54</v>
      </c>
      <c r="B308" s="3" t="s">
        <v>78</v>
      </c>
      <c r="C308" s="3" t="s">
        <v>331</v>
      </c>
      <c r="D308" s="3"/>
      <c r="E308" s="3" t="s">
        <v>359</v>
      </c>
      <c r="F308" s="3" t="s">
        <v>364</v>
      </c>
      <c r="G308" s="3" t="s">
        <v>365</v>
      </c>
      <c r="H308" s="3" t="s">
        <v>365</v>
      </c>
      <c r="I308" s="3" t="s">
        <v>622</v>
      </c>
      <c r="J308" s="3" t="s">
        <v>360</v>
      </c>
      <c r="K308" s="3" t="s">
        <v>493</v>
      </c>
      <c r="L308" s="3" t="s">
        <v>473</v>
      </c>
      <c r="M308" s="3" t="s">
        <v>774</v>
      </c>
      <c r="N308" s="3" t="s">
        <v>795</v>
      </c>
      <c r="O308" s="4" t="s">
        <v>848</v>
      </c>
      <c r="P308" s="3" t="s">
        <v>901</v>
      </c>
      <c r="Q308" s="3" t="s">
        <v>905</v>
      </c>
      <c r="R308" s="3" t="s">
        <v>911</v>
      </c>
      <c r="S308" s="3" t="s">
        <v>914</v>
      </c>
      <c r="T308" s="3"/>
      <c r="U308" s="3" t="s">
        <v>1268</v>
      </c>
      <c r="V308" s="3" t="s">
        <v>1386</v>
      </c>
      <c r="W308" s="3" t="s">
        <v>1014</v>
      </c>
      <c r="X308" s="3" t="s">
        <v>1912</v>
      </c>
      <c r="Y308" s="3" t="s">
        <v>2381</v>
      </c>
      <c r="Z308" s="3"/>
      <c r="AA308" s="3" t="s">
        <v>2572</v>
      </c>
      <c r="AB308" s="3"/>
      <c r="AC308" s="5" cm="1">
        <f t="array" ref="AC308">IF(TRUE,"True," &amp; IF(_xlfn.XLOOKUP("Src_IsAny",'Scoring_Config'!$A:$A,'Scoring_Config'!$D:$D,"Yes")="Yes",_xlfn.XLOOKUP("Src_IsAny",'Scoring_Config'!$A:$A,'Scoring_Config'!$C:$C,25),0),"False,0")</f>
        <v>0</v>
      </c>
      <c r="AD308" s="4" cm="1">
        <f t="array" ref="AD308">IF(FALSE,"True," &amp; IF(_xlfn.XLOOKUP("Src_CIDR_Le_16",'Scoring_Config'!$A:$A,'Scoring_Config'!$D:$D,"Yes")="Yes",_xlfn.XLOOKUP("Src_CIDR_Le_16",'Scoring_Config'!$A:$A,'Scoring_Config'!$C:$C,25),0),"False,0")</f>
        <v>0</v>
      </c>
      <c r="AE308" s="4" cm="1">
        <f t="array" ref="AE308">IF(FALSE,"True," &amp; IF(_xlfn.XLOOKUP("Src_CIDR_17_22",'Scoring_Config'!$A:$A,'Scoring_Config'!$D:$D,"Yes")="Yes",_xlfn.XLOOKUP("Src_CIDR_17_22",'Scoring_Config'!$A:$A,'Scoring_Config'!$C:$C,15),0),"False,0")</f>
        <v>0</v>
      </c>
      <c r="AF308" s="4" cm="1">
        <f t="array" ref="AF308">IF(FALSE,"True," &amp; IF(_xlfn.XLOOKUP("Dst_IsAny",'Scoring_Config'!$A:$A,'Scoring_Config'!$D:$D,"Yes")="Yes",_xlfn.XLOOKUP("Dst_IsAny",'Scoring_Config'!$A:$A,'Scoring_Config'!$C:$C,25),0),"False,0")</f>
        <v>0</v>
      </c>
      <c r="AG308" s="4" cm="1">
        <f t="array" ref="AG308">IF(FALSE,"True," &amp; IF(_xlfn.XLOOKUP("Dst_CIDR_Le_16",'Scoring_Config'!$A:$A,'Scoring_Config'!$D:$D,"Yes")="Yes",_xlfn.XLOOKUP("Dst_CIDR_Le_16",'Scoring_Config'!$A:$A,'Scoring_Config'!$C:$C,25),0),"False,0")</f>
        <v>0</v>
      </c>
      <c r="AH308" s="4" cm="1">
        <f t="array" ref="AH308">IF(FALSE,"True," &amp; IF(_xlfn.XLOOKUP("Dst_CIDR_17_22",'Scoring_Config'!$A:$A,'Scoring_Config'!$D:$D,"Yes")="Yes",_xlfn.XLOOKUP("Dst_CIDR_17_22",'Scoring_Config'!$A:$A,'Scoring_Config'!$C:$C,15),0),"False,0")</f>
        <v>0</v>
      </c>
      <c r="AI308" s="4" cm="1">
        <f t="array" ref="AI308">IF(FALSE,"True," &amp; IF(_xlfn.XLOOKUP("SrcZone_IsAny",'Scoring_Config'!$A:$A,'Scoring_Config'!$D:$D,"Yes")="Yes",_xlfn.XLOOKUP("SrcZone_IsAny",'Scoring_Config'!$A:$A,'Scoring_Config'!$C:$C,5),0),"False,0")</f>
        <v>0</v>
      </c>
      <c r="AJ308" s="4" cm="1">
        <f t="array" ref="AJ308">IF(FALSE,"True," &amp; IF(_xlfn.XLOOKUP("DstZone_IsAny",'Scoring_Config'!$A:$A,'Scoring_Config'!$D:$D,"Yes")="Yes",_xlfn.XLOOKUP("DstZone_IsAny",'Scoring_Config'!$A:$A,'Scoring_Config'!$C:$C,5),0),"False,0")</f>
        <v>0</v>
      </c>
      <c r="AK308" s="4" cm="1">
        <f t="array" ref="AK30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8" s="4" cm="1">
        <f t="array" ref="AL308">IF(FALSE,"True," &amp; IF(_xlfn.XLOOKUP("App_Any_OR_RangeGt1000",'Scoring_Config'!$A:$A,'Scoring_Config'!$D:$D,"Yes")="Yes",_xlfn.XLOOKUP("App_Any_OR_RangeGt1000",'Scoring_Config'!$A:$A,'Scoring_Config'!$C:$C,25),0),"False,0")</f>
        <v>0</v>
      </c>
      <c r="AM308" s="5" cm="1">
        <f t="array" ref="AM308">IF(TRUE,"True," &amp; IF(_xlfn.XLOOKUP("Service_Insecure_Match",'Scoring_Config'!$A:$A,'Scoring_Config'!$D:$D,"Yes")="Yes",_xlfn.XLOOKUP("Service_Insecure_Match",'Scoring_Config'!$A:$A,'Scoring_Config'!$C:$C,20),0),"False,0")</f>
        <v>0</v>
      </c>
      <c r="AN308" s="4" cm="1">
        <f t="array" ref="AN308">IF(FALSE,"True," &amp; IF(_xlfn.XLOOKUP("Risky_Inbound",'Scoring_Config'!$A:$A,'Scoring_Config'!$D:$D,"Yes")="Yes",_xlfn.XLOOKUP("Risky_Inbound",'Scoring_Config'!$A:$A,'Scoring_Config'!$C:$C,20),0),"False,0")</f>
        <v>0</v>
      </c>
      <c r="AO308" s="4" cm="1">
        <f t="array" ref="AO308">IF(FALSE,"True," &amp; IF(_xlfn.XLOOKUP("Risky_Outbound",'Scoring_Config'!$A:$A,'Scoring_Config'!$D:$D,"Yes")="Yes",_xlfn.XLOOKUP("Risky_Outbound",'Scoring_Config'!$A:$A,'Scoring_Config'!$C:$C,10),0),"False,0")</f>
        <v>0</v>
      </c>
      <c r="AP308" s="5" t="s">
        <v>2595</v>
      </c>
      <c r="AQ308" s="5" cm="1">
        <f t="array" ref="AQ30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8" s="5" t="s">
        <v>2598</v>
      </c>
      <c r="AS308" s="4" t="s">
        <v>2592</v>
      </c>
      <c r="AT308" s="4" t="s">
        <v>2592</v>
      </c>
      <c r="AU308" s="4" cm="1">
        <f t="array" ref="AU308">IF(FALSE,"True," &amp; IF(_xlfn.XLOOKUP("Action_IsDenyOrDrop",'Scoring_Config'!$A:$A,'Scoring_Config'!$D:$D,"Yes")="Yes",_xlfn.XLOOKUP("Action_IsDenyOrDrop",'Scoring_Config'!$A:$A,'Scoring_Config'!$C:$C,0),0),"False,0")</f>
        <v>0</v>
      </c>
      <c r="AV308" s="4"/>
      <c r="AW308" s="4" cm="1">
        <f t="array" ref="AW308">IF(FALSE,"True," &amp; IF(_xlfn.XLOOKUP("Migrate_Insecure",'Scoring_Config'!$A:$A,'Scoring_Config'!$D:$D,"Yes")="Yes",_xlfn.XLOOKUP("Migrate_Insecure",'Scoring_Config'!$A:$A,'Scoring_Config'!$C:$C,15),0),"False,0")</f>
        <v>0</v>
      </c>
      <c r="AX308" s="4"/>
      <c r="AY308" s="4" cm="1">
        <f t="array" ref="AY308">IF(FALSE,"True," &amp; IF(_xlfn.XLOOKUP("Migrate_Other_Ports",'Scoring_Config'!$A:$A,'Scoring_Config'!$D:$D,"Yes")="Yes",_xlfn.XLOOKUP("Migrate_Other_Ports",'Scoring_Config'!$A:$A,'Scoring_Config'!$C:$C,5),0),"False,0")</f>
        <v>0</v>
      </c>
      <c r="AZ308" s="4" cm="1">
        <f t="array" ref="AZ308">IF(LEFT(AU308,4)="True",0,(IF(LEFT(AC308,4)="True",IF(_xlfn.XLOOKUP("Src_IsAny",'Scoring_Config'!$A:$A,'Scoring_Config'!$D:$D,"Yes")="Yes",_xlfn.XLOOKUP("Src_IsAny",'Scoring_Config'!$A:$A,'Scoring_Config'!$C:$C,25),0),0)+IF(LEFT(AD308,4)="True",IF(_xlfn.XLOOKUP("Src_CIDR_Le_16",'Scoring_Config'!$A:$A,'Scoring_Config'!$D:$D,"Yes")="Yes",_xlfn.XLOOKUP("Src_CIDR_Le_16",'Scoring_Config'!$A:$A,'Scoring_Config'!$C:$C,25),0),0)+IF(LEFT(AE308,4)="True",IF(_xlfn.XLOOKUP("Src_CIDR_17_22",'Scoring_Config'!$A:$A,'Scoring_Config'!$D:$D,"Yes")="Yes",_xlfn.XLOOKUP("Src_CIDR_17_22",'Scoring_Config'!$A:$A,'Scoring_Config'!$C:$C,15),0),0)+IF(LEFT(AF308,4)="True",IF(_xlfn.XLOOKUP("Dst_IsAny",'Scoring_Config'!$A:$A,'Scoring_Config'!$D:$D,"Yes")="Yes",_xlfn.XLOOKUP("Dst_IsAny",'Scoring_Config'!$A:$A,'Scoring_Config'!$C:$C,25),0),0)+IF(LEFT(AG308,4)="True",IF(_xlfn.XLOOKUP("Dst_CIDR_Le_16",'Scoring_Config'!$A:$A,'Scoring_Config'!$D:$D,"Yes")="Yes",_xlfn.XLOOKUP("Dst_CIDR_Le_16",'Scoring_Config'!$A:$A,'Scoring_Config'!$C:$C,25),0),0)+IF(LEFT(AH308,4)="True",IF(_xlfn.XLOOKUP("Dst_CIDR_17_22",'Scoring_Config'!$A:$A,'Scoring_Config'!$D:$D,"Yes")="Yes",_xlfn.XLOOKUP("Dst_CIDR_17_22",'Scoring_Config'!$A:$A,'Scoring_Config'!$C:$C,15),0),0)+IF(LEFT(AI308,4)="True",IF(_xlfn.XLOOKUP("SrcZone_IsAny",'Scoring_Config'!$A:$A,'Scoring_Config'!$D:$D,"Yes")="Yes",_xlfn.XLOOKUP("SrcZone_IsAny",'Scoring_Config'!$A:$A,'Scoring_Config'!$C:$C,5),0),0)+IF(LEFT(AJ308,4)="True",IF(_xlfn.XLOOKUP("DstZone_IsAny",'Scoring_Config'!$A:$A,'Scoring_Config'!$D:$D,"Yes")="Yes",_xlfn.XLOOKUP("DstZone_IsAny",'Scoring_Config'!$A:$A,'Scoring_Config'!$C:$C,5),0),0)+IF(LEFT(AK308,4)="True",IF(_xlfn.XLOOKUP("Service_Any_OR_RangeGt1000",'Scoring_Config'!$A:$A,'Scoring_Config'!$D:$D,"Yes")="Yes",_xlfn.XLOOKUP("Service_Any_OR_RangeGt1000",'Scoring_Config'!$A:$A,'Scoring_Config'!$C:$C,25),0),0)+IF(LEFT(AL308,4)="True",IF(_xlfn.XLOOKUP("App_Any_OR_RangeGt1000",'Scoring_Config'!$A:$A,'Scoring_Config'!$D:$D,"Yes")="Yes",_xlfn.XLOOKUP("App_Any_OR_RangeGt1000",'Scoring_Config'!$A:$A,'Scoring_Config'!$C:$C,25),0),0)+IF(LEFT(AM308,4)="True",IF(_xlfn.XLOOKUP("Service_Insecure_Match",'Scoring_Config'!$A:$A,'Scoring_Config'!$D:$D,"Yes")="Yes",_xlfn.XLOOKUP("Service_Insecure_Match",'Scoring_Config'!$A:$A,'Scoring_Config'!$C:$C,20),0),0)+IF(LEFT(AN308,4)="True",IF(_xlfn.XLOOKUP("Risky_Inbound",'Scoring_Config'!$A:$A,'Scoring_Config'!$D:$D,"Yes")="Yes",_xlfn.XLOOKUP("Risky_Inbound",'Scoring_Config'!$A:$A,'Scoring_Config'!$C:$C,20),0),0)+IF(LEFT(AO308,4)="True",IF(_xlfn.XLOOKUP("Risky_Outbound",'Scoring_Config'!$A:$A,'Scoring_Config'!$D:$D,"Yes")="Yes",_xlfn.XLOOKUP("Risky_Outbound",'Scoring_Config'!$A:$A,'Scoring_Config'!$C:$C,10),0),0)+IF(LEFT(AW308,4)="True",IF(_xlfn.XLOOKUP("Migrate_Insecure",'Scoring_Config'!$A:$A,'Scoring_Config'!$D:$D,"Yes")="Yes",_xlfn.XLOOKUP("Migrate_Insecure",'Scoring_Config'!$A:$A,'Scoring_Config'!$C:$C,15),0),0)+IF(LEFT(AY308,4)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308,FIND(",",AP308)+1,100)),0)+IF(LEFT(AQ308,4)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308,FIND(",",AR308)+1,100)),0)+IF(_xlfn.XLOOKUP("Profile_Scoring",'Scoring_Config'!$A:$A,'Scoring_Config'!$D:$D,"Yes")="Yes",VALUE(MID(AS308,FIND(",",AS308)+1,100)),0)+IF(_xlfn.XLOOKUP("Options_Scoring",'Scoring_Config'!$A:$A,'Scoring_Config'!$D:$D,"Yes")="Yes",VALUE(MID(AT308,FIND(",",AT308)+1,100)),0)))</f>
        <v>0</v>
      </c>
    </row>
    <row r="309" spans="1:52">
      <c r="A309" s="3" t="s">
        <v>54</v>
      </c>
      <c r="B309" s="3" t="s">
        <v>158</v>
      </c>
      <c r="C309" s="3" t="s">
        <v>331</v>
      </c>
      <c r="D309" s="3"/>
      <c r="E309" s="3" t="s">
        <v>359</v>
      </c>
      <c r="F309" s="3" t="s">
        <v>361</v>
      </c>
      <c r="G309" s="3" t="s">
        <v>486</v>
      </c>
      <c r="H309" s="3" t="s">
        <v>486</v>
      </c>
      <c r="I309" s="3" t="s">
        <v>624</v>
      </c>
      <c r="J309" s="3" t="s">
        <v>363</v>
      </c>
      <c r="K309" s="3" t="s">
        <v>454</v>
      </c>
      <c r="L309" s="3" t="s">
        <v>583</v>
      </c>
      <c r="M309" s="3" t="s">
        <v>365</v>
      </c>
      <c r="N309" s="3" t="s">
        <v>365</v>
      </c>
      <c r="O309" s="4" t="s">
        <v>811</v>
      </c>
      <c r="P309" s="3" t="s">
        <v>872</v>
      </c>
      <c r="Q309" s="3" t="s">
        <v>905</v>
      </c>
      <c r="R309" s="3" t="s">
        <v>909</v>
      </c>
      <c r="S309" s="3" t="s">
        <v>916</v>
      </c>
      <c r="T309" s="3"/>
      <c r="U309" s="3" t="s">
        <v>1308</v>
      </c>
      <c r="V309" s="3" t="s">
        <v>770</v>
      </c>
      <c r="W309" s="3" t="s">
        <v>962</v>
      </c>
      <c r="X309" s="3" t="s">
        <v>1913</v>
      </c>
      <c r="Y309" s="3" t="s">
        <v>2382</v>
      </c>
      <c r="Z309" s="3"/>
      <c r="AA309" s="3" t="s">
        <v>2573</v>
      </c>
      <c r="AB309" s="3"/>
      <c r="AC309" s="4" cm="1">
        <f t="array" ref="AC309">IF(FALSE,"True," &amp; IF(_xlfn.XLOOKUP("Src_IsAny",'Scoring_Config'!$A:$A,'Scoring_Config'!$D:$D,"Yes")="Yes",_xlfn.XLOOKUP("Src_IsAny",'Scoring_Config'!$A:$A,'Scoring_Config'!$C:$C,25),0),"False,0")</f>
        <v>0</v>
      </c>
      <c r="AD309" s="4" cm="1">
        <f t="array" ref="AD309">IF(FALSE,"True," &amp; IF(_xlfn.XLOOKUP("Src_CIDR_Le_16",'Scoring_Config'!$A:$A,'Scoring_Config'!$D:$D,"Yes")="Yes",_xlfn.XLOOKUP("Src_CIDR_Le_16",'Scoring_Config'!$A:$A,'Scoring_Config'!$C:$C,25),0),"False,0")</f>
        <v>0</v>
      </c>
      <c r="AE309" s="4" cm="1">
        <f t="array" ref="AE309">IF(FALSE,"True," &amp; IF(_xlfn.XLOOKUP("Src_CIDR_17_22",'Scoring_Config'!$A:$A,'Scoring_Config'!$D:$D,"Yes")="Yes",_xlfn.XLOOKUP("Src_CIDR_17_22",'Scoring_Config'!$A:$A,'Scoring_Config'!$C:$C,15),0),"False,0")</f>
        <v>0</v>
      </c>
      <c r="AF309" s="4" cm="1">
        <f t="array" ref="AF309">IF(FALSE,"True," &amp; IF(_xlfn.XLOOKUP("Dst_IsAny",'Scoring_Config'!$A:$A,'Scoring_Config'!$D:$D,"Yes")="Yes",_xlfn.XLOOKUP("Dst_IsAny",'Scoring_Config'!$A:$A,'Scoring_Config'!$C:$C,25),0),"False,0")</f>
        <v>0</v>
      </c>
      <c r="AG309" s="4" cm="1">
        <f t="array" ref="AG309">IF(FALSE,"True," &amp; IF(_xlfn.XLOOKUP("Dst_CIDR_Le_16",'Scoring_Config'!$A:$A,'Scoring_Config'!$D:$D,"Yes")="Yes",_xlfn.XLOOKUP("Dst_CIDR_Le_16",'Scoring_Config'!$A:$A,'Scoring_Config'!$C:$C,25),0),"False,0")</f>
        <v>0</v>
      </c>
      <c r="AH309" s="4" cm="1">
        <f t="array" ref="AH309">IF(FALSE,"True," &amp; IF(_xlfn.XLOOKUP("Dst_CIDR_17_22",'Scoring_Config'!$A:$A,'Scoring_Config'!$D:$D,"Yes")="Yes",_xlfn.XLOOKUP("Dst_CIDR_17_22",'Scoring_Config'!$A:$A,'Scoring_Config'!$C:$C,15),0),"False,0")</f>
        <v>0</v>
      </c>
      <c r="AI309" s="4" cm="1">
        <f t="array" ref="AI309">IF(FALSE,"True," &amp; IF(_xlfn.XLOOKUP("SrcZone_IsAny",'Scoring_Config'!$A:$A,'Scoring_Config'!$D:$D,"Yes")="Yes",_xlfn.XLOOKUP("SrcZone_IsAny",'Scoring_Config'!$A:$A,'Scoring_Config'!$C:$C,5),0),"False,0")</f>
        <v>0</v>
      </c>
      <c r="AJ309" s="4" cm="1">
        <f t="array" ref="AJ309">IF(FALSE,"True," &amp; IF(_xlfn.XLOOKUP("DstZone_IsAny",'Scoring_Config'!$A:$A,'Scoring_Config'!$D:$D,"Yes")="Yes",_xlfn.XLOOKUP("DstZone_IsAny",'Scoring_Config'!$A:$A,'Scoring_Config'!$C:$C,5),0),"False,0")</f>
        <v>0</v>
      </c>
      <c r="AK309" s="4" cm="1">
        <f t="array" ref="AK30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09" s="5" cm="1">
        <f t="array" ref="AL309">IF(TRUE,"True," &amp; IF(_xlfn.XLOOKUP("App_Any_OR_RangeGt1000",'Scoring_Config'!$A:$A,'Scoring_Config'!$D:$D,"Yes")="Yes",_xlfn.XLOOKUP("App_Any_OR_RangeGt1000",'Scoring_Config'!$A:$A,'Scoring_Config'!$C:$C,25),0),"False,0")</f>
        <v>0</v>
      </c>
      <c r="AM309" s="5" cm="1">
        <f t="array" ref="AM309">IF(TRUE,"True," &amp; IF(_xlfn.XLOOKUP("Service_Insecure_Match",'Scoring_Config'!$A:$A,'Scoring_Config'!$D:$D,"Yes")="Yes",_xlfn.XLOOKUP("Service_Insecure_Match",'Scoring_Config'!$A:$A,'Scoring_Config'!$C:$C,20),0),"False,0")</f>
        <v>0</v>
      </c>
      <c r="AN309" s="4" cm="1">
        <f t="array" ref="AN309">IF(FALSE,"True," &amp; IF(_xlfn.XLOOKUP("Risky_Inbound",'Scoring_Config'!$A:$A,'Scoring_Config'!$D:$D,"Yes")="Yes",_xlfn.XLOOKUP("Risky_Inbound",'Scoring_Config'!$A:$A,'Scoring_Config'!$C:$C,20),0),"False,0")</f>
        <v>0</v>
      </c>
      <c r="AO309" s="4" cm="1">
        <f t="array" ref="AO309">IF(FALSE,"True," &amp; IF(_xlfn.XLOOKUP("Risky_Outbound",'Scoring_Config'!$A:$A,'Scoring_Config'!$D:$D,"Yes")="Yes",_xlfn.XLOOKUP("Risky_Outbound",'Scoring_Config'!$A:$A,'Scoring_Config'!$C:$C,10),0),"False,0")</f>
        <v>0</v>
      </c>
      <c r="AP309" s="5" t="s">
        <v>2595</v>
      </c>
      <c r="AQ309" s="4" cm="1">
        <f t="array" ref="AQ30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09" s="5" t="s">
        <v>2598</v>
      </c>
      <c r="AS309" s="4" t="s">
        <v>2592</v>
      </c>
      <c r="AT309" s="4" t="s">
        <v>2592</v>
      </c>
      <c r="AU309" s="4" cm="1">
        <f t="array" ref="AU309">IF(FALSE,"True," &amp; IF(_xlfn.XLOOKUP("Action_IsDenyOrDrop",'Scoring_Config'!$A:$A,'Scoring_Config'!$D:$D,"Yes")="Yes",_xlfn.XLOOKUP("Action_IsDenyOrDrop",'Scoring_Config'!$A:$A,'Scoring_Config'!$C:$C,0),0),"False,0")</f>
        <v>0</v>
      </c>
      <c r="AV309" s="4"/>
      <c r="AW309" s="4" cm="1">
        <f t="array" ref="AW309">IF(FALSE,"True," &amp; IF(_xlfn.XLOOKUP("Migrate_Insecure",'Scoring_Config'!$A:$A,'Scoring_Config'!$D:$D,"Yes")="Yes",_xlfn.XLOOKUP("Migrate_Insecure",'Scoring_Config'!$A:$A,'Scoring_Config'!$C:$C,15),0),"False,0")</f>
        <v>0</v>
      </c>
      <c r="AX309" s="4"/>
      <c r="AY309" s="4" cm="1">
        <f t="array" ref="AY309">IF(FALSE,"True," &amp; IF(_xlfn.XLOOKUP("Migrate_Other_Ports",'Scoring_Config'!$A:$A,'Scoring_Config'!$D:$D,"Yes")="Yes",_xlfn.XLOOKUP("Migrate_Other_Ports",'Scoring_Config'!$A:$A,'Scoring_Config'!$C:$C,5),0),"False,0")</f>
        <v>0</v>
      </c>
      <c r="AZ309" s="4" cm="1">
        <f t="array" ref="AZ309">IF(LEFT(AU309,4)="True",0,(IF(LEFT(AC309,4)="True",IF(_xlfn.XLOOKUP("Src_IsAny",'Scoring_Config'!$A:$A,'Scoring_Config'!$D:$D,"Yes")="Yes",_xlfn.XLOOKUP("Src_IsAny",'Scoring_Config'!$A:$A,'Scoring_Config'!$C:$C,25),0),0)+IF(LEFT(AD309,4)="True",IF(_xlfn.XLOOKUP("Src_CIDR_Le_16",'Scoring_Config'!$A:$A,'Scoring_Config'!$D:$D,"Yes")="Yes",_xlfn.XLOOKUP("Src_CIDR_Le_16",'Scoring_Config'!$A:$A,'Scoring_Config'!$C:$C,25),0),0)+IF(LEFT(AE309,4)="True",IF(_xlfn.XLOOKUP("Src_CIDR_17_22",'Scoring_Config'!$A:$A,'Scoring_Config'!$D:$D,"Yes")="Yes",_xlfn.XLOOKUP("Src_CIDR_17_22",'Scoring_Config'!$A:$A,'Scoring_Config'!$C:$C,15),0),0)+IF(LEFT(AF309,4)="True",IF(_xlfn.XLOOKUP("Dst_IsAny",'Scoring_Config'!$A:$A,'Scoring_Config'!$D:$D,"Yes")="Yes",_xlfn.XLOOKUP("Dst_IsAny",'Scoring_Config'!$A:$A,'Scoring_Config'!$C:$C,25),0),0)+IF(LEFT(AG309,4)="True",IF(_xlfn.XLOOKUP("Dst_CIDR_Le_16",'Scoring_Config'!$A:$A,'Scoring_Config'!$D:$D,"Yes")="Yes",_xlfn.XLOOKUP("Dst_CIDR_Le_16",'Scoring_Config'!$A:$A,'Scoring_Config'!$C:$C,25),0),0)+IF(LEFT(AH309,4)="True",IF(_xlfn.XLOOKUP("Dst_CIDR_17_22",'Scoring_Config'!$A:$A,'Scoring_Config'!$D:$D,"Yes")="Yes",_xlfn.XLOOKUP("Dst_CIDR_17_22",'Scoring_Config'!$A:$A,'Scoring_Config'!$C:$C,15),0),0)+IF(LEFT(AI309,4)="True",IF(_xlfn.XLOOKUP("SrcZone_IsAny",'Scoring_Config'!$A:$A,'Scoring_Config'!$D:$D,"Yes")="Yes",_xlfn.XLOOKUP("SrcZone_IsAny",'Scoring_Config'!$A:$A,'Scoring_Config'!$C:$C,5),0),0)+IF(LEFT(AJ309,4)="True",IF(_xlfn.XLOOKUP("DstZone_IsAny",'Scoring_Config'!$A:$A,'Scoring_Config'!$D:$D,"Yes")="Yes",_xlfn.XLOOKUP("DstZone_IsAny",'Scoring_Config'!$A:$A,'Scoring_Config'!$C:$C,5),0),0)+IF(LEFT(AK309,4)="True",IF(_xlfn.XLOOKUP("Service_Any_OR_RangeGt1000",'Scoring_Config'!$A:$A,'Scoring_Config'!$D:$D,"Yes")="Yes",_xlfn.XLOOKUP("Service_Any_OR_RangeGt1000",'Scoring_Config'!$A:$A,'Scoring_Config'!$C:$C,25),0),0)+IF(LEFT(AL309,4)="True",IF(_xlfn.XLOOKUP("App_Any_OR_RangeGt1000",'Scoring_Config'!$A:$A,'Scoring_Config'!$D:$D,"Yes")="Yes",_xlfn.XLOOKUP("App_Any_OR_RangeGt1000",'Scoring_Config'!$A:$A,'Scoring_Config'!$C:$C,25),0),0)+IF(LEFT(AM309,4)="True",IF(_xlfn.XLOOKUP("Service_Insecure_Match",'Scoring_Config'!$A:$A,'Scoring_Config'!$D:$D,"Yes")="Yes",_xlfn.XLOOKUP("Service_Insecure_Match",'Scoring_Config'!$A:$A,'Scoring_Config'!$C:$C,20),0),0)+IF(LEFT(AN309,4)="True",IF(_xlfn.XLOOKUP("Risky_Inbound",'Scoring_Config'!$A:$A,'Scoring_Config'!$D:$D,"Yes")="Yes",_xlfn.XLOOKUP("Risky_Inbound",'Scoring_Config'!$A:$A,'Scoring_Config'!$C:$C,20),0),0)+IF(LEFT(AO309,4)="True",IF(_xlfn.XLOOKUP("Risky_Outbound",'Scoring_Config'!$A:$A,'Scoring_Config'!$D:$D,"Yes")="Yes",_xlfn.XLOOKUP("Risky_Outbound",'Scoring_Config'!$A:$A,'Scoring_Config'!$C:$C,10),0),0)+IF(LEFT(AW309,4)="True",IF(_xlfn.XLOOKUP("Migrate_Insecure",'Scoring_Config'!$A:$A,'Scoring_Config'!$D:$D,"Yes")="Yes",_xlfn.XLOOKUP("Migrate_Insecure",'Scoring_Config'!$A:$A,'Scoring_Config'!$C:$C,15),0),0)+IF(LEFT(AY309,4)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309,FIND(",",AP309)+1,100)),0)+IF(LEFT(AQ309,4)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309,FIND(",",AR309)+1,100)),0)+IF(_xlfn.XLOOKUP("Profile_Scoring",'Scoring_Config'!$A:$A,'Scoring_Config'!$D:$D,"Yes")="Yes",VALUE(MID(AS309,FIND(",",AS309)+1,100)),0)+IF(_xlfn.XLOOKUP("Options_Scoring",'Scoring_Config'!$A:$A,'Scoring_Config'!$D:$D,"Yes")="Yes",VALUE(MID(AT309,FIND(",",AT309)+1,100)),0)))</f>
        <v>0</v>
      </c>
    </row>
    <row r="310" spans="1:52">
      <c r="A310" s="3" t="s">
        <v>54</v>
      </c>
      <c r="B310" s="3" t="s">
        <v>262</v>
      </c>
      <c r="C310" s="3" t="s">
        <v>331</v>
      </c>
      <c r="D310" s="3" t="s">
        <v>356</v>
      </c>
      <c r="E310" s="3" t="s">
        <v>359</v>
      </c>
      <c r="F310" s="3" t="s">
        <v>361</v>
      </c>
      <c r="G310" s="3" t="s">
        <v>487</v>
      </c>
      <c r="H310" s="3" t="s">
        <v>595</v>
      </c>
      <c r="I310" s="3" t="s">
        <v>625</v>
      </c>
      <c r="J310" s="3" t="s">
        <v>364</v>
      </c>
      <c r="K310" s="3" t="s">
        <v>594</v>
      </c>
      <c r="L310" s="3" t="s">
        <v>594</v>
      </c>
      <c r="M310" s="3" t="s">
        <v>786</v>
      </c>
      <c r="N310" s="3" t="s">
        <v>786</v>
      </c>
      <c r="O310" s="4" t="s">
        <v>808</v>
      </c>
      <c r="P310" s="3" t="s">
        <v>869</v>
      </c>
      <c r="Q310" s="3" t="s">
        <v>904</v>
      </c>
      <c r="R310" s="3" t="s">
        <v>908</v>
      </c>
      <c r="S310" s="3" t="s">
        <v>914</v>
      </c>
      <c r="T310" s="3"/>
      <c r="U310" s="3" t="s">
        <v>1309</v>
      </c>
      <c r="V310" s="3" t="s">
        <v>1386</v>
      </c>
      <c r="W310" s="3" t="s">
        <v>1551</v>
      </c>
      <c r="X310" s="3" t="s">
        <v>1914</v>
      </c>
      <c r="Y310" s="3" t="s">
        <v>2383</v>
      </c>
      <c r="Z310" s="3"/>
      <c r="AA310" s="3" t="s">
        <v>919</v>
      </c>
      <c r="AB310" s="3"/>
      <c r="AC310" s="4" cm="1">
        <f t="array" ref="AC310">IF(FALSE,"True," &amp; IF(_xlfn.XLOOKUP("Src_IsAny",'Scoring_Config'!$A:$A,'Scoring_Config'!$D:$D,"Yes")="Yes",_xlfn.XLOOKUP("Src_IsAny",'Scoring_Config'!$A:$A,'Scoring_Config'!$C:$C,25),0),"False,0")</f>
        <v>0</v>
      </c>
      <c r="AD310" s="4" cm="1">
        <f t="array" ref="AD310">IF(FALSE,"True," &amp; IF(_xlfn.XLOOKUP("Src_CIDR_Le_16",'Scoring_Config'!$A:$A,'Scoring_Config'!$D:$D,"Yes")="Yes",_xlfn.XLOOKUP("Src_CIDR_Le_16",'Scoring_Config'!$A:$A,'Scoring_Config'!$C:$C,25),0),"False,0")</f>
        <v>0</v>
      </c>
      <c r="AE310" s="4" cm="1">
        <f t="array" ref="AE310">IF(FALSE,"True," &amp; IF(_xlfn.XLOOKUP("Src_CIDR_17_22",'Scoring_Config'!$A:$A,'Scoring_Config'!$D:$D,"Yes")="Yes",_xlfn.XLOOKUP("Src_CIDR_17_22",'Scoring_Config'!$A:$A,'Scoring_Config'!$C:$C,15),0),"False,0")</f>
        <v>0</v>
      </c>
      <c r="AF310" s="4" cm="1">
        <f t="array" ref="AF310">IF(FALSE,"True," &amp; IF(_xlfn.XLOOKUP("Dst_IsAny",'Scoring_Config'!$A:$A,'Scoring_Config'!$D:$D,"Yes")="Yes",_xlfn.XLOOKUP("Dst_IsAny",'Scoring_Config'!$A:$A,'Scoring_Config'!$C:$C,25),0),"False,0")</f>
        <v>0</v>
      </c>
      <c r="AG310" s="5" cm="1">
        <f t="array" ref="AG310">IF(TRUE,"True," &amp; IF(_xlfn.XLOOKUP("Dst_CIDR_Le_16",'Scoring_Config'!$A:$A,'Scoring_Config'!$D:$D,"Yes")="Yes",_xlfn.XLOOKUP("Dst_CIDR_Le_16",'Scoring_Config'!$A:$A,'Scoring_Config'!$C:$C,25),0),"False,0")</f>
        <v>0</v>
      </c>
      <c r="AH310" s="4" cm="1">
        <f t="array" ref="AH310">IF(FALSE,"True," &amp; IF(_xlfn.XLOOKUP("Dst_CIDR_17_22",'Scoring_Config'!$A:$A,'Scoring_Config'!$D:$D,"Yes")="Yes",_xlfn.XLOOKUP("Dst_CIDR_17_22",'Scoring_Config'!$A:$A,'Scoring_Config'!$C:$C,15),0),"False,0")</f>
        <v>0</v>
      </c>
      <c r="AI310" s="4" cm="1">
        <f t="array" ref="AI310">IF(FALSE,"True," &amp; IF(_xlfn.XLOOKUP("SrcZone_IsAny",'Scoring_Config'!$A:$A,'Scoring_Config'!$D:$D,"Yes")="Yes",_xlfn.XLOOKUP("SrcZone_IsAny",'Scoring_Config'!$A:$A,'Scoring_Config'!$C:$C,5),0),"False,0")</f>
        <v>0</v>
      </c>
      <c r="AJ310" s="4" cm="1">
        <f t="array" ref="AJ310">IF(FALSE,"True," &amp; IF(_xlfn.XLOOKUP("DstZone_IsAny",'Scoring_Config'!$A:$A,'Scoring_Config'!$D:$D,"Yes")="Yes",_xlfn.XLOOKUP("DstZone_IsAny",'Scoring_Config'!$A:$A,'Scoring_Config'!$C:$C,5),0),"False,0")</f>
        <v>0</v>
      </c>
      <c r="AK310" s="4" cm="1">
        <f t="array" ref="AK31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0" s="4" cm="1">
        <f t="array" ref="AL310">IF(FALSE,"True," &amp; IF(_xlfn.XLOOKUP("App_Any_OR_RangeGt1000",'Scoring_Config'!$A:$A,'Scoring_Config'!$D:$D,"Yes")="Yes",_xlfn.XLOOKUP("App_Any_OR_RangeGt1000",'Scoring_Config'!$A:$A,'Scoring_Config'!$C:$C,25),0),"False,0")</f>
        <v>0</v>
      </c>
      <c r="AM310" s="5" cm="1">
        <f t="array" ref="AM310">IF(TRUE,"True," &amp; IF(_xlfn.XLOOKUP("Service_Insecure_Match",'Scoring_Config'!$A:$A,'Scoring_Config'!$D:$D,"Yes")="Yes",_xlfn.XLOOKUP("Service_Insecure_Match",'Scoring_Config'!$A:$A,'Scoring_Config'!$C:$C,20),0),"False,0")</f>
        <v>0</v>
      </c>
      <c r="AN310" s="4" cm="1">
        <f t="array" ref="AN310">IF(FALSE,"True," &amp; IF(_xlfn.XLOOKUP("Risky_Inbound",'Scoring_Config'!$A:$A,'Scoring_Config'!$D:$D,"Yes")="Yes",_xlfn.XLOOKUP("Risky_Inbound",'Scoring_Config'!$A:$A,'Scoring_Config'!$C:$C,20),0),"False,0")</f>
        <v>0</v>
      </c>
      <c r="AO310" s="4" cm="1">
        <f t="array" ref="AO310">IF(FALSE,"True," &amp; IF(_xlfn.XLOOKUP("Risky_Outbound",'Scoring_Config'!$A:$A,'Scoring_Config'!$D:$D,"Yes")="Yes",_xlfn.XLOOKUP("Risky_Outbound",'Scoring_Config'!$A:$A,'Scoring_Config'!$C:$C,10),0),"False,0")</f>
        <v>0</v>
      </c>
      <c r="AP310" s="5" t="s">
        <v>2595</v>
      </c>
      <c r="AQ310" s="4" cm="1">
        <f t="array" ref="AQ31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0" s="5" t="s">
        <v>2598</v>
      </c>
      <c r="AS310" s="4" t="s">
        <v>2592</v>
      </c>
      <c r="AT310" s="4" t="s">
        <v>2592</v>
      </c>
      <c r="AU310" s="5" cm="1">
        <f t="array" ref="AU310">IF(TRUE,"True," &amp; IF(_xlfn.XLOOKUP("Action_IsDenyOrDrop",'Scoring_Config'!$A:$A,'Scoring_Config'!$D:$D,"Yes")="Yes",_xlfn.XLOOKUP("Action_IsDenyOrDrop",'Scoring_Config'!$A:$A,'Scoring_Config'!$C:$C,0),0),"False,0")</f>
        <v>0</v>
      </c>
      <c r="AV310" s="4"/>
      <c r="AW310" s="4" cm="1">
        <f t="array" ref="AW310">IF(FALSE,"True," &amp; IF(_xlfn.XLOOKUP("Migrate_Insecure",'Scoring_Config'!$A:$A,'Scoring_Config'!$D:$D,"Yes")="Yes",_xlfn.XLOOKUP("Migrate_Insecure",'Scoring_Config'!$A:$A,'Scoring_Config'!$C:$C,15),0),"False,0")</f>
        <v>0</v>
      </c>
      <c r="AX310" s="4"/>
      <c r="AY310" s="4" cm="1">
        <f t="array" ref="AY310">IF(FALSE,"True," &amp; IF(_xlfn.XLOOKUP("Migrate_Other_Ports",'Scoring_Config'!$A:$A,'Scoring_Config'!$D:$D,"Yes")="Yes",_xlfn.XLOOKUP("Migrate_Other_Ports",'Scoring_Config'!$A:$A,'Scoring_Config'!$C:$C,5),0),"False,0")</f>
        <v>0</v>
      </c>
      <c r="AZ310" s="4" cm="1">
        <f t="array" ref="AZ310">IF(LEFT(AU310,4)="True",0,(IF(LEFT(AC310,4)="True",IF(_xlfn.XLOOKUP("Src_IsAny",'Scoring_Config'!$A:$A,'Scoring_Config'!$D:$D,"Yes")="Yes",_xlfn.XLOOKUP("Src_IsAny",'Scoring_Config'!$A:$A,'Scoring_Config'!$C:$C,25),0),0)+IF(LEFT(AD310,4)="True",IF(_xlfn.XLOOKUP("Src_CIDR_Le_16",'Scoring_Config'!$A:$A,'Scoring_Config'!$D:$D,"Yes")="Yes",_xlfn.XLOOKUP("Src_CIDR_Le_16",'Scoring_Config'!$A:$A,'Scoring_Config'!$C:$C,25),0),0)+IF(LEFT(AE310,4)="True",IF(_xlfn.XLOOKUP("Src_CIDR_17_22",'Scoring_Config'!$A:$A,'Scoring_Config'!$D:$D,"Yes")="Yes",_xlfn.XLOOKUP("Src_CIDR_17_22",'Scoring_Config'!$A:$A,'Scoring_Config'!$C:$C,15),0),0)+IF(LEFT(AF310,4)="True",IF(_xlfn.XLOOKUP("Dst_IsAny",'Scoring_Config'!$A:$A,'Scoring_Config'!$D:$D,"Yes")="Yes",_xlfn.XLOOKUP("Dst_IsAny",'Scoring_Config'!$A:$A,'Scoring_Config'!$C:$C,25),0),0)+IF(LEFT(AG310,4)="True",IF(_xlfn.XLOOKUP("Dst_CIDR_Le_16",'Scoring_Config'!$A:$A,'Scoring_Config'!$D:$D,"Yes")="Yes",_xlfn.XLOOKUP("Dst_CIDR_Le_16",'Scoring_Config'!$A:$A,'Scoring_Config'!$C:$C,25),0),0)+IF(LEFT(AH310,4)="True",IF(_xlfn.XLOOKUP("Dst_CIDR_17_22",'Scoring_Config'!$A:$A,'Scoring_Config'!$D:$D,"Yes")="Yes",_xlfn.XLOOKUP("Dst_CIDR_17_22",'Scoring_Config'!$A:$A,'Scoring_Config'!$C:$C,15),0),0)+IF(LEFT(AI310,4)="True",IF(_xlfn.XLOOKUP("SrcZone_IsAny",'Scoring_Config'!$A:$A,'Scoring_Config'!$D:$D,"Yes")="Yes",_xlfn.XLOOKUP("SrcZone_IsAny",'Scoring_Config'!$A:$A,'Scoring_Config'!$C:$C,5),0),0)+IF(LEFT(AJ310,4)="True",IF(_xlfn.XLOOKUP("DstZone_IsAny",'Scoring_Config'!$A:$A,'Scoring_Config'!$D:$D,"Yes")="Yes",_xlfn.XLOOKUP("DstZone_IsAny",'Scoring_Config'!$A:$A,'Scoring_Config'!$C:$C,5),0),0)+IF(LEFT(AK310,4)="True",IF(_xlfn.XLOOKUP("Service_Any_OR_RangeGt1000",'Scoring_Config'!$A:$A,'Scoring_Config'!$D:$D,"Yes")="Yes",_xlfn.XLOOKUP("Service_Any_OR_RangeGt1000",'Scoring_Config'!$A:$A,'Scoring_Config'!$C:$C,25),0),0)+IF(LEFT(AL310,4)="True",IF(_xlfn.XLOOKUP("App_Any_OR_RangeGt1000",'Scoring_Config'!$A:$A,'Scoring_Config'!$D:$D,"Yes")="Yes",_xlfn.XLOOKUP("App_Any_OR_RangeGt1000",'Scoring_Config'!$A:$A,'Scoring_Config'!$C:$C,25),0),0)+IF(LEFT(AM310,4)="True",IF(_xlfn.XLOOKUP("Service_Insecure_Match",'Scoring_Config'!$A:$A,'Scoring_Config'!$D:$D,"Yes")="Yes",_xlfn.XLOOKUP("Service_Insecure_Match",'Scoring_Config'!$A:$A,'Scoring_Config'!$C:$C,20),0),0)+IF(LEFT(AN310,4)="True",IF(_xlfn.XLOOKUP("Risky_Inbound",'Scoring_Config'!$A:$A,'Scoring_Config'!$D:$D,"Yes")="Yes",_xlfn.XLOOKUP("Risky_Inbound",'Scoring_Config'!$A:$A,'Scoring_Config'!$C:$C,20),0),0)+IF(LEFT(AO310,4)="True",IF(_xlfn.XLOOKUP("Risky_Outbound",'Scoring_Config'!$A:$A,'Scoring_Config'!$D:$D,"Yes")="Yes",_xlfn.XLOOKUP("Risky_Outbound",'Scoring_Config'!$A:$A,'Scoring_Config'!$C:$C,10),0),0)+IF(LEFT(AW310,4)="True",IF(_xlfn.XLOOKUP("Migrate_Insecure",'Scoring_Config'!$A:$A,'Scoring_Config'!$D:$D,"Yes")="Yes",_xlfn.XLOOKUP("Migrate_Insecure",'Scoring_Config'!$A:$A,'Scoring_Config'!$C:$C,15),0),0)+IF(LEFT(AY310,4)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310,FIND(",",AP310)+1,100)),0)+IF(LEFT(AQ310,4)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310,FIND(",",AR310)+1,100)),0)+IF(_xlfn.XLOOKUP("Profile_Scoring",'Scoring_Config'!$A:$A,'Scoring_Config'!$D:$D,"Yes")="Yes",VALUE(MID(AS310,FIND(",",AS310)+1,100)),0)+IF(_xlfn.XLOOKUP("Options_Scoring",'Scoring_Config'!$A:$A,'Scoring_Config'!$D:$D,"Yes")="Yes",VALUE(MID(AT310,FIND(",",AT310)+1,100)),0)))</f>
        <v>0</v>
      </c>
    </row>
    <row r="311" spans="1:52">
      <c r="A311" s="3" t="s">
        <v>54</v>
      </c>
      <c r="B311" s="3" t="s">
        <v>70</v>
      </c>
      <c r="C311" s="3" t="s">
        <v>331</v>
      </c>
      <c r="D311" s="3"/>
      <c r="E311" s="3" t="s">
        <v>359</v>
      </c>
      <c r="F311" s="3" t="s">
        <v>362</v>
      </c>
      <c r="G311" s="3" t="s">
        <v>365</v>
      </c>
      <c r="H311" s="3" t="s">
        <v>365</v>
      </c>
      <c r="I311" s="3" t="s">
        <v>625</v>
      </c>
      <c r="J311" s="3" t="s">
        <v>363</v>
      </c>
      <c r="K311" s="3" t="s">
        <v>479</v>
      </c>
      <c r="L311" s="3" t="s">
        <v>479</v>
      </c>
      <c r="M311" s="3" t="s">
        <v>770</v>
      </c>
      <c r="N311" s="3" t="s">
        <v>770</v>
      </c>
      <c r="O311" s="4" t="s">
        <v>847</v>
      </c>
      <c r="P311" s="3" t="s">
        <v>900</v>
      </c>
      <c r="Q311" s="3" t="s">
        <v>905</v>
      </c>
      <c r="R311" s="3" t="s">
        <v>909</v>
      </c>
      <c r="S311" s="3" t="s">
        <v>914</v>
      </c>
      <c r="T311" s="3"/>
      <c r="U311" s="3" t="s">
        <v>1150</v>
      </c>
      <c r="V311" s="3" t="s">
        <v>1389</v>
      </c>
      <c r="W311" s="3" t="s">
        <v>1510</v>
      </c>
      <c r="X311" s="3" t="s">
        <v>1915</v>
      </c>
      <c r="Y311" s="3" t="s">
        <v>2384</v>
      </c>
      <c r="Z311" s="3"/>
      <c r="AA311" s="3" t="s">
        <v>1452</v>
      </c>
      <c r="AB311" s="3"/>
      <c r="AC311" s="5" cm="1">
        <f t="array" ref="AC311">IF(TRUE,"True," &amp; IF(_xlfn.XLOOKUP("Src_IsAny",'Scoring_Config'!$A:$A,'Scoring_Config'!$D:$D,"Yes")="Yes",_xlfn.XLOOKUP("Src_IsAny",'Scoring_Config'!$A:$A,'Scoring_Config'!$C:$C,25),0),"False,0")</f>
        <v>0</v>
      </c>
      <c r="AD311" s="4" cm="1">
        <f t="array" ref="AD311">IF(FALSE,"True," &amp; IF(_xlfn.XLOOKUP("Src_CIDR_Le_16",'Scoring_Config'!$A:$A,'Scoring_Config'!$D:$D,"Yes")="Yes",_xlfn.XLOOKUP("Src_CIDR_Le_16",'Scoring_Config'!$A:$A,'Scoring_Config'!$C:$C,25),0),"False,0")</f>
        <v>0</v>
      </c>
      <c r="AE311" s="4" cm="1">
        <f t="array" ref="AE311">IF(FALSE,"True," &amp; IF(_xlfn.XLOOKUP("Src_CIDR_17_22",'Scoring_Config'!$A:$A,'Scoring_Config'!$D:$D,"Yes")="Yes",_xlfn.XLOOKUP("Src_CIDR_17_22",'Scoring_Config'!$A:$A,'Scoring_Config'!$C:$C,15),0),"False,0")</f>
        <v>0</v>
      </c>
      <c r="AF311" s="4" cm="1">
        <f t="array" ref="AF311">IF(FALSE,"True," &amp; IF(_xlfn.XLOOKUP("Dst_IsAny",'Scoring_Config'!$A:$A,'Scoring_Config'!$D:$D,"Yes")="Yes",_xlfn.XLOOKUP("Dst_IsAny",'Scoring_Config'!$A:$A,'Scoring_Config'!$C:$C,25),0),"False,0")</f>
        <v>0</v>
      </c>
      <c r="AG311" s="4" cm="1">
        <f t="array" ref="AG311">IF(FALSE,"True," &amp; IF(_xlfn.XLOOKUP("Dst_CIDR_Le_16",'Scoring_Config'!$A:$A,'Scoring_Config'!$D:$D,"Yes")="Yes",_xlfn.XLOOKUP("Dst_CIDR_Le_16",'Scoring_Config'!$A:$A,'Scoring_Config'!$C:$C,25),0),"False,0")</f>
        <v>0</v>
      </c>
      <c r="AH311" s="4" cm="1">
        <f t="array" ref="AH311">IF(FALSE,"True," &amp; IF(_xlfn.XLOOKUP("Dst_CIDR_17_22",'Scoring_Config'!$A:$A,'Scoring_Config'!$D:$D,"Yes")="Yes",_xlfn.XLOOKUP("Dst_CIDR_17_22",'Scoring_Config'!$A:$A,'Scoring_Config'!$C:$C,15),0),"False,0")</f>
        <v>0</v>
      </c>
      <c r="AI311" s="4" cm="1">
        <f t="array" ref="AI311">IF(FALSE,"True," &amp; IF(_xlfn.XLOOKUP("SrcZone_IsAny",'Scoring_Config'!$A:$A,'Scoring_Config'!$D:$D,"Yes")="Yes",_xlfn.XLOOKUP("SrcZone_IsAny",'Scoring_Config'!$A:$A,'Scoring_Config'!$C:$C,5),0),"False,0")</f>
        <v>0</v>
      </c>
      <c r="AJ311" s="4" cm="1">
        <f t="array" ref="AJ311">IF(FALSE,"True," &amp; IF(_xlfn.XLOOKUP("DstZone_IsAny",'Scoring_Config'!$A:$A,'Scoring_Config'!$D:$D,"Yes")="Yes",_xlfn.XLOOKUP("DstZone_IsAny",'Scoring_Config'!$A:$A,'Scoring_Config'!$C:$C,5),0),"False,0")</f>
        <v>0</v>
      </c>
      <c r="AK311" s="4" cm="1">
        <f t="array" ref="AK31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1" s="4" cm="1">
        <f t="array" ref="AL311">IF(FALSE,"True," &amp; IF(_xlfn.XLOOKUP("App_Any_OR_RangeGt1000",'Scoring_Config'!$A:$A,'Scoring_Config'!$D:$D,"Yes")="Yes",_xlfn.XLOOKUP("App_Any_OR_RangeGt1000",'Scoring_Config'!$A:$A,'Scoring_Config'!$C:$C,25),0),"False,0")</f>
        <v>0</v>
      </c>
      <c r="AM311" s="4" cm="1">
        <f t="array" ref="AM311">IF(FALSE,"True," &amp; IF(_xlfn.XLOOKUP("Service_Insecure_Match",'Scoring_Config'!$A:$A,'Scoring_Config'!$D:$D,"Yes")="Yes",_xlfn.XLOOKUP("Service_Insecure_Match",'Scoring_Config'!$A:$A,'Scoring_Config'!$C:$C,20),0),"False,0")</f>
        <v>0</v>
      </c>
      <c r="AN311" s="4" cm="1">
        <f t="array" ref="AN311">IF(FALSE,"True," &amp; IF(_xlfn.XLOOKUP("Risky_Inbound",'Scoring_Config'!$A:$A,'Scoring_Config'!$D:$D,"Yes")="Yes",_xlfn.XLOOKUP("Risky_Inbound",'Scoring_Config'!$A:$A,'Scoring_Config'!$C:$C,20),0),"False,0")</f>
        <v>0</v>
      </c>
      <c r="AO311" s="4" cm="1">
        <f t="array" ref="AO311">IF(FALSE,"True," &amp; IF(_xlfn.XLOOKUP("Risky_Outbound",'Scoring_Config'!$A:$A,'Scoring_Config'!$D:$D,"Yes")="Yes",_xlfn.XLOOKUP("Risky_Outbound",'Scoring_Config'!$A:$A,'Scoring_Config'!$C:$C,10),0),"False,0")</f>
        <v>0</v>
      </c>
      <c r="AP311" s="5" t="s">
        <v>2595</v>
      </c>
      <c r="AQ311" s="5" cm="1">
        <f t="array" ref="AQ31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1" s="5" t="s">
        <v>2598</v>
      </c>
      <c r="AS311" s="4" t="s">
        <v>2592</v>
      </c>
      <c r="AT311" s="4" t="s">
        <v>2592</v>
      </c>
      <c r="AU311" s="4" cm="1">
        <f t="array" ref="AU311">IF(FALSE,"True," &amp; IF(_xlfn.XLOOKUP("Action_IsDenyOrDrop",'Scoring_Config'!$A:$A,'Scoring_Config'!$D:$D,"Yes")="Yes",_xlfn.XLOOKUP("Action_IsDenyOrDrop",'Scoring_Config'!$A:$A,'Scoring_Config'!$C:$C,0),0),"False,0")</f>
        <v>0</v>
      </c>
      <c r="AV311" s="4"/>
      <c r="AW311" s="4" cm="1">
        <f t="array" ref="AW311">IF(FALSE,"True," &amp; IF(_xlfn.XLOOKUP("Migrate_Insecure",'Scoring_Config'!$A:$A,'Scoring_Config'!$D:$D,"Yes")="Yes",_xlfn.XLOOKUP("Migrate_Insecure",'Scoring_Config'!$A:$A,'Scoring_Config'!$C:$C,15),0),"False,0")</f>
        <v>0</v>
      </c>
      <c r="AX311" s="4"/>
      <c r="AY311" s="4" cm="1">
        <f t="array" ref="AY311">IF(FALSE,"True," &amp; IF(_xlfn.XLOOKUP("Migrate_Other_Ports",'Scoring_Config'!$A:$A,'Scoring_Config'!$D:$D,"Yes")="Yes",_xlfn.XLOOKUP("Migrate_Other_Ports",'Scoring_Config'!$A:$A,'Scoring_Config'!$C:$C,5),0),"False,0")</f>
        <v>0</v>
      </c>
      <c r="AZ311" s="4" cm="1">
        <f t="array" ref="AZ311">IF(LEFT(AU311,4)="True",0,(IF(LEFT(AC311,4)="True",IF(_xlfn.XLOOKUP("Src_IsAny",'Scoring_Config'!$A:$A,'Scoring_Config'!$D:$D,"Yes")="Yes",_xlfn.XLOOKUP("Src_IsAny",'Scoring_Config'!$A:$A,'Scoring_Config'!$C:$C,25),0),0)+IF(LEFT(AD311,4)="True",IF(_xlfn.XLOOKUP("Src_CIDR_Le_16",'Scoring_Config'!$A:$A,'Scoring_Config'!$D:$D,"Yes")="Yes",_xlfn.XLOOKUP("Src_CIDR_Le_16",'Scoring_Config'!$A:$A,'Scoring_Config'!$C:$C,25),0),0)+IF(LEFT(AE311,4)="True",IF(_xlfn.XLOOKUP("Src_CIDR_17_22",'Scoring_Config'!$A:$A,'Scoring_Config'!$D:$D,"Yes")="Yes",_xlfn.XLOOKUP("Src_CIDR_17_22",'Scoring_Config'!$A:$A,'Scoring_Config'!$C:$C,15),0),0)+IF(LEFT(AF311,4)="True",IF(_xlfn.XLOOKUP("Dst_IsAny",'Scoring_Config'!$A:$A,'Scoring_Config'!$D:$D,"Yes")="Yes",_xlfn.XLOOKUP("Dst_IsAny",'Scoring_Config'!$A:$A,'Scoring_Config'!$C:$C,25),0),0)+IF(LEFT(AG311,4)="True",IF(_xlfn.XLOOKUP("Dst_CIDR_Le_16",'Scoring_Config'!$A:$A,'Scoring_Config'!$D:$D,"Yes")="Yes",_xlfn.XLOOKUP("Dst_CIDR_Le_16",'Scoring_Config'!$A:$A,'Scoring_Config'!$C:$C,25),0),0)+IF(LEFT(AH311,4)="True",IF(_xlfn.XLOOKUP("Dst_CIDR_17_22",'Scoring_Config'!$A:$A,'Scoring_Config'!$D:$D,"Yes")="Yes",_xlfn.XLOOKUP("Dst_CIDR_17_22",'Scoring_Config'!$A:$A,'Scoring_Config'!$C:$C,15),0),0)+IF(LEFT(AI311,4)="True",IF(_xlfn.XLOOKUP("SrcZone_IsAny",'Scoring_Config'!$A:$A,'Scoring_Config'!$D:$D,"Yes")="Yes",_xlfn.XLOOKUP("SrcZone_IsAny",'Scoring_Config'!$A:$A,'Scoring_Config'!$C:$C,5),0),0)+IF(LEFT(AJ311,4)="True",IF(_xlfn.XLOOKUP("DstZone_IsAny",'Scoring_Config'!$A:$A,'Scoring_Config'!$D:$D,"Yes")="Yes",_xlfn.XLOOKUP("DstZone_IsAny",'Scoring_Config'!$A:$A,'Scoring_Config'!$C:$C,5),0),0)+IF(LEFT(AK311,4)="True",IF(_xlfn.XLOOKUP("Service_Any_OR_RangeGt1000",'Scoring_Config'!$A:$A,'Scoring_Config'!$D:$D,"Yes")="Yes",_xlfn.XLOOKUP("Service_Any_OR_RangeGt1000",'Scoring_Config'!$A:$A,'Scoring_Config'!$C:$C,25),0),0)+IF(LEFT(AL311,4)="True",IF(_xlfn.XLOOKUP("App_Any_OR_RangeGt1000",'Scoring_Config'!$A:$A,'Scoring_Config'!$D:$D,"Yes")="Yes",_xlfn.XLOOKUP("App_Any_OR_RangeGt1000",'Scoring_Config'!$A:$A,'Scoring_Config'!$C:$C,25),0),0)+IF(LEFT(AM311,4)="True",IF(_xlfn.XLOOKUP("Service_Insecure_Match",'Scoring_Config'!$A:$A,'Scoring_Config'!$D:$D,"Yes")="Yes",_xlfn.XLOOKUP("Service_Insecure_Match",'Scoring_Config'!$A:$A,'Scoring_Config'!$C:$C,20),0),0)+IF(LEFT(AN311,4)="True",IF(_xlfn.XLOOKUP("Risky_Inbound",'Scoring_Config'!$A:$A,'Scoring_Config'!$D:$D,"Yes")="Yes",_xlfn.XLOOKUP("Risky_Inbound",'Scoring_Config'!$A:$A,'Scoring_Config'!$C:$C,20),0),0)+IF(LEFT(AO311,4)="True",IF(_xlfn.XLOOKUP("Risky_Outbound",'Scoring_Config'!$A:$A,'Scoring_Config'!$D:$D,"Yes")="Yes",_xlfn.XLOOKUP("Risky_Outbound",'Scoring_Config'!$A:$A,'Scoring_Config'!$C:$C,10),0),0)+IF(LEFT(AW311,4)="True",IF(_xlfn.XLOOKUP("Migrate_Insecure",'Scoring_Config'!$A:$A,'Scoring_Config'!$D:$D,"Yes")="Yes",_xlfn.XLOOKUP("Migrate_Insecure",'Scoring_Config'!$A:$A,'Scoring_Config'!$C:$C,15),0),0)+IF(LEFT(AY311,4)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311,FIND(",",AP311)+1,100)),0)+IF(LEFT(AQ311,4)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311,FIND(",",AR311)+1,100)),0)+IF(_xlfn.XLOOKUP("Profile_Scoring",'Scoring_Config'!$A:$A,'Scoring_Config'!$D:$D,"Yes")="Yes",VALUE(MID(AS311,FIND(",",AS311)+1,100)),0)+IF(_xlfn.XLOOKUP("Options_Scoring",'Scoring_Config'!$A:$A,'Scoring_Config'!$D:$D,"Yes")="Yes",VALUE(MID(AT311,FIND(",",AT311)+1,100)),0)))</f>
        <v>0</v>
      </c>
    </row>
    <row r="312" spans="1:52">
      <c r="A312" s="3" t="s">
        <v>54</v>
      </c>
      <c r="B312" s="3" t="s">
        <v>263</v>
      </c>
      <c r="C312" s="3" t="s">
        <v>331</v>
      </c>
      <c r="D312" s="3" t="s">
        <v>335</v>
      </c>
      <c r="E312" s="3" t="s">
        <v>359</v>
      </c>
      <c r="F312" s="3" t="s">
        <v>361</v>
      </c>
      <c r="G312" s="3" t="s">
        <v>365</v>
      </c>
      <c r="H312" s="3" t="s">
        <v>365</v>
      </c>
      <c r="I312" s="3" t="s">
        <v>624</v>
      </c>
      <c r="J312" s="3" t="s">
        <v>360</v>
      </c>
      <c r="K312" s="3" t="s">
        <v>365</v>
      </c>
      <c r="L312" s="3" t="s">
        <v>365</v>
      </c>
      <c r="M312" s="3" t="s">
        <v>365</v>
      </c>
      <c r="N312" s="3" t="s">
        <v>365</v>
      </c>
      <c r="O312" s="4" t="s">
        <v>817</v>
      </c>
      <c r="P312" s="3" t="s">
        <v>878</v>
      </c>
      <c r="Q312" s="3" t="s">
        <v>905</v>
      </c>
      <c r="R312" s="3" t="s">
        <v>907</v>
      </c>
      <c r="S312" s="3" t="s">
        <v>913</v>
      </c>
      <c r="T312" s="3"/>
      <c r="U312" s="3" t="s">
        <v>1268</v>
      </c>
      <c r="V312" s="3" t="s">
        <v>789</v>
      </c>
      <c r="W312" s="3" t="s">
        <v>1430</v>
      </c>
      <c r="X312" s="3" t="s">
        <v>1916</v>
      </c>
      <c r="Y312" s="3" t="s">
        <v>2385</v>
      </c>
      <c r="Z312" s="3"/>
      <c r="AA312" s="3" t="s">
        <v>2574</v>
      </c>
      <c r="AB312" s="3"/>
      <c r="AC312" s="5" cm="1">
        <f t="array" ref="AC312">IF(TRUE,"True," &amp; IF(_xlfn.XLOOKUP("Src_IsAny",'Scoring_Config'!$A:$A,'Scoring_Config'!$D:$D,"Yes")="Yes",_xlfn.XLOOKUP("Src_IsAny",'Scoring_Config'!$A:$A,'Scoring_Config'!$C:$C,25),0),"False,0")</f>
        <v>0</v>
      </c>
      <c r="AD312" s="4" cm="1">
        <f t="array" ref="AD312">IF(FALSE,"True," &amp; IF(_xlfn.XLOOKUP("Src_CIDR_Le_16",'Scoring_Config'!$A:$A,'Scoring_Config'!$D:$D,"Yes")="Yes",_xlfn.XLOOKUP("Src_CIDR_Le_16",'Scoring_Config'!$A:$A,'Scoring_Config'!$C:$C,25),0),"False,0")</f>
        <v>0</v>
      </c>
      <c r="AE312" s="4" cm="1">
        <f t="array" ref="AE312">IF(FALSE,"True," &amp; IF(_xlfn.XLOOKUP("Src_CIDR_17_22",'Scoring_Config'!$A:$A,'Scoring_Config'!$D:$D,"Yes")="Yes",_xlfn.XLOOKUP("Src_CIDR_17_22",'Scoring_Config'!$A:$A,'Scoring_Config'!$C:$C,15),0),"False,0")</f>
        <v>0</v>
      </c>
      <c r="AF312" s="5" cm="1">
        <f t="array" ref="AF312">IF(TRUE,"True," &amp; IF(_xlfn.XLOOKUP("Dst_IsAny",'Scoring_Config'!$A:$A,'Scoring_Config'!$D:$D,"Yes")="Yes",_xlfn.XLOOKUP("Dst_IsAny",'Scoring_Config'!$A:$A,'Scoring_Config'!$C:$C,25),0),"False,0")</f>
        <v>0</v>
      </c>
      <c r="AG312" s="4" cm="1">
        <f t="array" ref="AG312">IF(FALSE,"True," &amp; IF(_xlfn.XLOOKUP("Dst_CIDR_Le_16",'Scoring_Config'!$A:$A,'Scoring_Config'!$D:$D,"Yes")="Yes",_xlfn.XLOOKUP("Dst_CIDR_Le_16",'Scoring_Config'!$A:$A,'Scoring_Config'!$C:$C,25),0),"False,0")</f>
        <v>0</v>
      </c>
      <c r="AH312" s="4" cm="1">
        <f t="array" ref="AH312">IF(FALSE,"True," &amp; IF(_xlfn.XLOOKUP("Dst_CIDR_17_22",'Scoring_Config'!$A:$A,'Scoring_Config'!$D:$D,"Yes")="Yes",_xlfn.XLOOKUP("Dst_CIDR_17_22",'Scoring_Config'!$A:$A,'Scoring_Config'!$C:$C,15),0),"False,0")</f>
        <v>0</v>
      </c>
      <c r="AI312" s="4" cm="1">
        <f t="array" ref="AI312">IF(FALSE,"True," &amp; IF(_xlfn.XLOOKUP("SrcZone_IsAny",'Scoring_Config'!$A:$A,'Scoring_Config'!$D:$D,"Yes")="Yes",_xlfn.XLOOKUP("SrcZone_IsAny",'Scoring_Config'!$A:$A,'Scoring_Config'!$C:$C,5),0),"False,0")</f>
        <v>0</v>
      </c>
      <c r="AJ312" s="4" cm="1">
        <f t="array" ref="AJ312">IF(FALSE,"True," &amp; IF(_xlfn.XLOOKUP("DstZone_IsAny",'Scoring_Config'!$A:$A,'Scoring_Config'!$D:$D,"Yes")="Yes",_xlfn.XLOOKUP("DstZone_IsAny",'Scoring_Config'!$A:$A,'Scoring_Config'!$C:$C,5),0),"False,0")</f>
        <v>0</v>
      </c>
      <c r="AK312" s="4" cm="1">
        <f t="array" ref="AK31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2" s="5" cm="1">
        <f t="array" ref="AL312">IF(TRUE,"True," &amp; IF(_xlfn.XLOOKUP("App_Any_OR_RangeGt1000",'Scoring_Config'!$A:$A,'Scoring_Config'!$D:$D,"Yes")="Yes",_xlfn.XLOOKUP("App_Any_OR_RangeGt1000",'Scoring_Config'!$A:$A,'Scoring_Config'!$C:$C,25),0),"False,0")</f>
        <v>0</v>
      </c>
      <c r="AM312" s="5" cm="1">
        <f t="array" ref="AM312">IF(TRUE,"True," &amp; IF(_xlfn.XLOOKUP("Service_Insecure_Match",'Scoring_Config'!$A:$A,'Scoring_Config'!$D:$D,"Yes")="Yes",_xlfn.XLOOKUP("Service_Insecure_Match",'Scoring_Config'!$A:$A,'Scoring_Config'!$C:$C,20),0),"False,0")</f>
        <v>0</v>
      </c>
      <c r="AN312" s="4" cm="1">
        <f t="array" ref="AN312">IF(FALSE,"True," &amp; IF(_xlfn.XLOOKUP("Risky_Inbound",'Scoring_Config'!$A:$A,'Scoring_Config'!$D:$D,"Yes")="Yes",_xlfn.XLOOKUP("Risky_Inbound",'Scoring_Config'!$A:$A,'Scoring_Config'!$C:$C,20),0),"False,0")</f>
        <v>0</v>
      </c>
      <c r="AO312" s="4" cm="1">
        <f t="array" ref="AO312">IF(FALSE,"True," &amp; IF(_xlfn.XLOOKUP("Risky_Outbound",'Scoring_Config'!$A:$A,'Scoring_Config'!$D:$D,"Yes")="Yes",_xlfn.XLOOKUP("Risky_Outbound",'Scoring_Config'!$A:$A,'Scoring_Config'!$C:$C,10),0),"False,0")</f>
        <v>0</v>
      </c>
      <c r="AP312" s="5" t="s">
        <v>2595</v>
      </c>
      <c r="AQ312" s="5" cm="1">
        <f t="array" ref="AQ31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2" s="5" t="s">
        <v>2598</v>
      </c>
      <c r="AS312" s="5" t="s">
        <v>2595</v>
      </c>
      <c r="AT312" s="4" t="s">
        <v>2592</v>
      </c>
      <c r="AU312" s="4" cm="1">
        <f t="array" ref="AU312">IF(FALSE,"True," &amp; IF(_xlfn.XLOOKUP("Action_IsDenyOrDrop",'Scoring_Config'!$A:$A,'Scoring_Config'!$D:$D,"Yes")="Yes",_xlfn.XLOOKUP("Action_IsDenyOrDrop",'Scoring_Config'!$A:$A,'Scoring_Config'!$C:$C,0),0),"False,0")</f>
        <v>0</v>
      </c>
      <c r="AV312" s="4"/>
      <c r="AW312" s="4" cm="1">
        <f t="array" ref="AW312">IF(FALSE,"True," &amp; IF(_xlfn.XLOOKUP("Migrate_Insecure",'Scoring_Config'!$A:$A,'Scoring_Config'!$D:$D,"Yes")="Yes",_xlfn.XLOOKUP("Migrate_Insecure",'Scoring_Config'!$A:$A,'Scoring_Config'!$C:$C,15),0),"False,0")</f>
        <v>0</v>
      </c>
      <c r="AX312" s="4"/>
      <c r="AY312" s="4" cm="1">
        <f t="array" ref="AY312">IF(FALSE,"True," &amp; IF(_xlfn.XLOOKUP("Migrate_Other_Ports",'Scoring_Config'!$A:$A,'Scoring_Config'!$D:$D,"Yes")="Yes",_xlfn.XLOOKUP("Migrate_Other_Ports",'Scoring_Config'!$A:$A,'Scoring_Config'!$C:$C,5),0),"False,0")</f>
        <v>0</v>
      </c>
      <c r="AZ312" s="4" cm="1">
        <f t="array" ref="AZ312">IF(LEFT(AU312,4)="True",0,(IF(LEFT(AC312,4)="True",IF(_xlfn.XLOOKUP("Src_IsAny",'Scoring_Config'!$A:$A,'Scoring_Config'!$D:$D,"Yes")="Yes",_xlfn.XLOOKUP("Src_IsAny",'Scoring_Config'!$A:$A,'Scoring_Config'!$C:$C,25),0),0)+IF(LEFT(AD312,4)="True",IF(_xlfn.XLOOKUP("Src_CIDR_Le_16",'Scoring_Config'!$A:$A,'Scoring_Config'!$D:$D,"Yes")="Yes",_xlfn.XLOOKUP("Src_CIDR_Le_16",'Scoring_Config'!$A:$A,'Scoring_Config'!$C:$C,25),0),0)+IF(LEFT(AE312,4)="True",IF(_xlfn.XLOOKUP("Src_CIDR_17_22",'Scoring_Config'!$A:$A,'Scoring_Config'!$D:$D,"Yes")="Yes",_xlfn.XLOOKUP("Src_CIDR_17_22",'Scoring_Config'!$A:$A,'Scoring_Config'!$C:$C,15),0),0)+IF(LEFT(AF312,4)="True",IF(_xlfn.XLOOKUP("Dst_IsAny",'Scoring_Config'!$A:$A,'Scoring_Config'!$D:$D,"Yes")="Yes",_xlfn.XLOOKUP("Dst_IsAny",'Scoring_Config'!$A:$A,'Scoring_Config'!$C:$C,25),0),0)+IF(LEFT(AG312,4)="True",IF(_xlfn.XLOOKUP("Dst_CIDR_Le_16",'Scoring_Config'!$A:$A,'Scoring_Config'!$D:$D,"Yes")="Yes",_xlfn.XLOOKUP("Dst_CIDR_Le_16",'Scoring_Config'!$A:$A,'Scoring_Config'!$C:$C,25),0),0)+IF(LEFT(AH312,4)="True",IF(_xlfn.XLOOKUP("Dst_CIDR_17_22",'Scoring_Config'!$A:$A,'Scoring_Config'!$D:$D,"Yes")="Yes",_xlfn.XLOOKUP("Dst_CIDR_17_22",'Scoring_Config'!$A:$A,'Scoring_Config'!$C:$C,15),0),0)+IF(LEFT(AI312,4)="True",IF(_xlfn.XLOOKUP("SrcZone_IsAny",'Scoring_Config'!$A:$A,'Scoring_Config'!$D:$D,"Yes")="Yes",_xlfn.XLOOKUP("SrcZone_IsAny",'Scoring_Config'!$A:$A,'Scoring_Config'!$C:$C,5),0),0)+IF(LEFT(AJ312,4)="True",IF(_xlfn.XLOOKUP("DstZone_IsAny",'Scoring_Config'!$A:$A,'Scoring_Config'!$D:$D,"Yes")="Yes",_xlfn.XLOOKUP("DstZone_IsAny",'Scoring_Config'!$A:$A,'Scoring_Config'!$C:$C,5),0),0)+IF(LEFT(AK312,4)="True",IF(_xlfn.XLOOKUP("Service_Any_OR_RangeGt1000",'Scoring_Config'!$A:$A,'Scoring_Config'!$D:$D,"Yes")="Yes",_xlfn.XLOOKUP("Service_Any_OR_RangeGt1000",'Scoring_Config'!$A:$A,'Scoring_Config'!$C:$C,25),0),0)+IF(LEFT(AL312,4)="True",IF(_xlfn.XLOOKUP("App_Any_OR_RangeGt1000",'Scoring_Config'!$A:$A,'Scoring_Config'!$D:$D,"Yes")="Yes",_xlfn.XLOOKUP("App_Any_OR_RangeGt1000",'Scoring_Config'!$A:$A,'Scoring_Config'!$C:$C,25),0),0)+IF(LEFT(AM312,4)="True",IF(_xlfn.XLOOKUP("Service_Insecure_Match",'Scoring_Config'!$A:$A,'Scoring_Config'!$D:$D,"Yes")="Yes",_xlfn.XLOOKUP("Service_Insecure_Match",'Scoring_Config'!$A:$A,'Scoring_Config'!$C:$C,20),0),0)+IF(LEFT(AN312,4)="True",IF(_xlfn.XLOOKUP("Risky_Inbound",'Scoring_Config'!$A:$A,'Scoring_Config'!$D:$D,"Yes")="Yes",_xlfn.XLOOKUP("Risky_Inbound",'Scoring_Config'!$A:$A,'Scoring_Config'!$C:$C,20),0),0)+IF(LEFT(AO312,4)="True",IF(_xlfn.XLOOKUP("Risky_Outbound",'Scoring_Config'!$A:$A,'Scoring_Config'!$D:$D,"Yes")="Yes",_xlfn.XLOOKUP("Risky_Outbound",'Scoring_Config'!$A:$A,'Scoring_Config'!$C:$C,10),0),0)+IF(LEFT(AW312,4)="True",IF(_xlfn.XLOOKUP("Migrate_Insecure",'Scoring_Config'!$A:$A,'Scoring_Config'!$D:$D,"Yes")="Yes",_xlfn.XLOOKUP("Migrate_Insecure",'Scoring_Config'!$A:$A,'Scoring_Config'!$C:$C,15),0),0)+IF(LEFT(AY312,4)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312,FIND(",",AP312)+1,100)),0)+IF(LEFT(AQ312,4)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312,FIND(",",AR312)+1,100)),0)+IF(_xlfn.XLOOKUP("Profile_Scoring",'Scoring_Config'!$A:$A,'Scoring_Config'!$D:$D,"Yes")="Yes",VALUE(MID(AS312,FIND(",",AS312)+1,100)),0)+IF(_xlfn.XLOOKUP("Options_Scoring",'Scoring_Config'!$A:$A,'Scoring_Config'!$D:$D,"Yes")="Yes",VALUE(MID(AT312,FIND(",",AT312)+1,100)),0)))</f>
        <v>0</v>
      </c>
    </row>
    <row r="313" spans="1:52">
      <c r="A313" s="3" t="s">
        <v>54</v>
      </c>
      <c r="B313" s="3" t="s">
        <v>264</v>
      </c>
      <c r="C313" s="3" t="s">
        <v>331</v>
      </c>
      <c r="D313" s="3"/>
      <c r="E313" s="3" t="s">
        <v>359</v>
      </c>
      <c r="F313" s="3" t="s">
        <v>362</v>
      </c>
      <c r="G313" s="3" t="s">
        <v>488</v>
      </c>
      <c r="H313" s="3" t="s">
        <v>596</v>
      </c>
      <c r="I313" s="3" t="s">
        <v>625</v>
      </c>
      <c r="J313" s="3" t="s">
        <v>360</v>
      </c>
      <c r="K313" s="3" t="s">
        <v>494</v>
      </c>
      <c r="L313" s="3" t="s">
        <v>494</v>
      </c>
      <c r="M313" s="3" t="s">
        <v>777</v>
      </c>
      <c r="N313" s="3" t="s">
        <v>777</v>
      </c>
      <c r="O313" s="4" t="s">
        <v>831</v>
      </c>
      <c r="P313" s="3" t="s">
        <v>892</v>
      </c>
      <c r="Q313" s="3" t="s">
        <v>905</v>
      </c>
      <c r="R313" s="3" t="s">
        <v>907</v>
      </c>
      <c r="S313" s="3" t="s">
        <v>914</v>
      </c>
      <c r="T313" s="3"/>
      <c r="U313" s="3" t="s">
        <v>1310</v>
      </c>
      <c r="V313" s="3" t="s">
        <v>1389</v>
      </c>
      <c r="W313" s="3" t="s">
        <v>994</v>
      </c>
      <c r="X313" s="3" t="s">
        <v>1917</v>
      </c>
      <c r="Y313" s="3" t="s">
        <v>2386</v>
      </c>
      <c r="Z313" s="3"/>
      <c r="AA313" s="3" t="s">
        <v>2575</v>
      </c>
      <c r="AB313" s="3"/>
      <c r="AC313" s="4" cm="1">
        <f t="array" ref="AC313">IF(FALSE,"True," &amp; IF(_xlfn.XLOOKUP("Src_IsAny",'Scoring_Config'!$A:$A,'Scoring_Config'!$D:$D,"Yes")="Yes",_xlfn.XLOOKUP("Src_IsAny",'Scoring_Config'!$A:$A,'Scoring_Config'!$C:$C,25),0),"False,0")</f>
        <v>0</v>
      </c>
      <c r="AD313" s="5" cm="1">
        <f t="array" ref="AD313">IF(TRUE,"True," &amp; IF(_xlfn.XLOOKUP("Src_CIDR_Le_16",'Scoring_Config'!$A:$A,'Scoring_Config'!$D:$D,"Yes")="Yes",_xlfn.XLOOKUP("Src_CIDR_Le_16",'Scoring_Config'!$A:$A,'Scoring_Config'!$C:$C,25),0),"False,0")</f>
        <v>0</v>
      </c>
      <c r="AE313" s="4" cm="1">
        <f t="array" ref="AE313">IF(FALSE,"True," &amp; IF(_xlfn.XLOOKUP("Src_CIDR_17_22",'Scoring_Config'!$A:$A,'Scoring_Config'!$D:$D,"Yes")="Yes",_xlfn.XLOOKUP("Src_CIDR_17_22",'Scoring_Config'!$A:$A,'Scoring_Config'!$C:$C,15),0),"False,0")</f>
        <v>0</v>
      </c>
      <c r="AF313" s="4" cm="1">
        <f t="array" ref="AF313">IF(FALSE,"True," &amp; IF(_xlfn.XLOOKUP("Dst_IsAny",'Scoring_Config'!$A:$A,'Scoring_Config'!$D:$D,"Yes")="Yes",_xlfn.XLOOKUP("Dst_IsAny",'Scoring_Config'!$A:$A,'Scoring_Config'!$C:$C,25),0),"False,0")</f>
        <v>0</v>
      </c>
      <c r="AG313" s="4" cm="1">
        <f t="array" ref="AG313">IF(FALSE,"True," &amp; IF(_xlfn.XLOOKUP("Dst_CIDR_Le_16",'Scoring_Config'!$A:$A,'Scoring_Config'!$D:$D,"Yes")="Yes",_xlfn.XLOOKUP("Dst_CIDR_Le_16",'Scoring_Config'!$A:$A,'Scoring_Config'!$C:$C,25),0),"False,0")</f>
        <v>0</v>
      </c>
      <c r="AH313" s="4" cm="1">
        <f t="array" ref="AH313">IF(FALSE,"True," &amp; IF(_xlfn.XLOOKUP("Dst_CIDR_17_22",'Scoring_Config'!$A:$A,'Scoring_Config'!$D:$D,"Yes")="Yes",_xlfn.XLOOKUP("Dst_CIDR_17_22",'Scoring_Config'!$A:$A,'Scoring_Config'!$C:$C,15),0),"False,0")</f>
        <v>0</v>
      </c>
      <c r="AI313" s="4" cm="1">
        <f t="array" ref="AI313">IF(FALSE,"True," &amp; IF(_xlfn.XLOOKUP("SrcZone_IsAny",'Scoring_Config'!$A:$A,'Scoring_Config'!$D:$D,"Yes")="Yes",_xlfn.XLOOKUP("SrcZone_IsAny",'Scoring_Config'!$A:$A,'Scoring_Config'!$C:$C,5),0),"False,0")</f>
        <v>0</v>
      </c>
      <c r="AJ313" s="4" cm="1">
        <f t="array" ref="AJ313">IF(FALSE,"True," &amp; IF(_xlfn.XLOOKUP("DstZone_IsAny",'Scoring_Config'!$A:$A,'Scoring_Config'!$D:$D,"Yes")="Yes",_xlfn.XLOOKUP("DstZone_IsAny",'Scoring_Config'!$A:$A,'Scoring_Config'!$C:$C,5),0),"False,0")</f>
        <v>0</v>
      </c>
      <c r="AK313" s="4" cm="1">
        <f t="array" ref="AK31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3" s="4" cm="1">
        <f t="array" ref="AL313">IF(FALSE,"True," &amp; IF(_xlfn.XLOOKUP("App_Any_OR_RangeGt1000",'Scoring_Config'!$A:$A,'Scoring_Config'!$D:$D,"Yes")="Yes",_xlfn.XLOOKUP("App_Any_OR_RangeGt1000",'Scoring_Config'!$A:$A,'Scoring_Config'!$C:$C,25),0),"False,0")</f>
        <v>0</v>
      </c>
      <c r="AM313" s="5" cm="1">
        <f t="array" ref="AM313">IF(TRUE,"True," &amp; IF(_xlfn.XLOOKUP("Service_Insecure_Match",'Scoring_Config'!$A:$A,'Scoring_Config'!$D:$D,"Yes")="Yes",_xlfn.XLOOKUP("Service_Insecure_Match",'Scoring_Config'!$A:$A,'Scoring_Config'!$C:$C,20),0),"False,0")</f>
        <v>0</v>
      </c>
      <c r="AN313" s="4" cm="1">
        <f t="array" ref="AN313">IF(FALSE,"True," &amp; IF(_xlfn.XLOOKUP("Risky_Inbound",'Scoring_Config'!$A:$A,'Scoring_Config'!$D:$D,"Yes")="Yes",_xlfn.XLOOKUP("Risky_Inbound",'Scoring_Config'!$A:$A,'Scoring_Config'!$C:$C,20),0),"False,0")</f>
        <v>0</v>
      </c>
      <c r="AO313" s="4" cm="1">
        <f t="array" ref="AO313">IF(FALSE,"True," &amp; IF(_xlfn.XLOOKUP("Risky_Outbound",'Scoring_Config'!$A:$A,'Scoring_Config'!$D:$D,"Yes")="Yes",_xlfn.XLOOKUP("Risky_Outbound",'Scoring_Config'!$A:$A,'Scoring_Config'!$C:$C,10),0),"False,0")</f>
        <v>0</v>
      </c>
      <c r="AP313" s="5" t="s">
        <v>2595</v>
      </c>
      <c r="AQ313" s="4" cm="1">
        <f t="array" ref="AQ31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3" s="5" t="s">
        <v>2598</v>
      </c>
      <c r="AS313" s="5" t="s">
        <v>2595</v>
      </c>
      <c r="AT313" s="4" t="s">
        <v>2592</v>
      </c>
      <c r="AU313" s="4" cm="1">
        <f t="array" ref="AU313">IF(FALSE,"True," &amp; IF(_xlfn.XLOOKUP("Action_IsDenyOrDrop",'Scoring_Config'!$A:$A,'Scoring_Config'!$D:$D,"Yes")="Yes",_xlfn.XLOOKUP("Action_IsDenyOrDrop",'Scoring_Config'!$A:$A,'Scoring_Config'!$C:$C,0),0),"False,0")</f>
        <v>0</v>
      </c>
      <c r="AV313" s="4"/>
      <c r="AW313" s="4" cm="1">
        <f t="array" ref="AW313">IF(FALSE,"True," &amp; IF(_xlfn.XLOOKUP("Migrate_Insecure",'Scoring_Config'!$A:$A,'Scoring_Config'!$D:$D,"Yes")="Yes",_xlfn.XLOOKUP("Migrate_Insecure",'Scoring_Config'!$A:$A,'Scoring_Config'!$C:$C,15),0),"False,0")</f>
        <v>0</v>
      </c>
      <c r="AX313" s="4"/>
      <c r="AY313" s="4" cm="1">
        <f t="array" ref="AY313">IF(FALSE,"True," &amp; IF(_xlfn.XLOOKUP("Migrate_Other_Ports",'Scoring_Config'!$A:$A,'Scoring_Config'!$D:$D,"Yes")="Yes",_xlfn.XLOOKUP("Migrate_Other_Ports",'Scoring_Config'!$A:$A,'Scoring_Config'!$C:$C,5),0),"False,0")</f>
        <v>0</v>
      </c>
      <c r="AZ313" s="4" cm="1">
        <f t="array" ref="AZ313">IF(LEFT(AU313,4)="True",0,(IF(LEFT(AC313,4)="True",IF(_xlfn.XLOOKUP("Src_IsAny",'Scoring_Config'!$A:$A,'Scoring_Config'!$D:$D,"Yes")="Yes",_xlfn.XLOOKUP("Src_IsAny",'Scoring_Config'!$A:$A,'Scoring_Config'!$C:$C,25),0),0)+IF(LEFT(AD313,4)="True",IF(_xlfn.XLOOKUP("Src_CIDR_Le_16",'Scoring_Config'!$A:$A,'Scoring_Config'!$D:$D,"Yes")="Yes",_xlfn.XLOOKUP("Src_CIDR_Le_16",'Scoring_Config'!$A:$A,'Scoring_Config'!$C:$C,25),0),0)+IF(LEFT(AE313,4)="True",IF(_xlfn.XLOOKUP("Src_CIDR_17_22",'Scoring_Config'!$A:$A,'Scoring_Config'!$D:$D,"Yes")="Yes",_xlfn.XLOOKUP("Src_CIDR_17_22",'Scoring_Config'!$A:$A,'Scoring_Config'!$C:$C,15),0),0)+IF(LEFT(AF313,4)="True",IF(_xlfn.XLOOKUP("Dst_IsAny",'Scoring_Config'!$A:$A,'Scoring_Config'!$D:$D,"Yes")="Yes",_xlfn.XLOOKUP("Dst_IsAny",'Scoring_Config'!$A:$A,'Scoring_Config'!$C:$C,25),0),0)+IF(LEFT(AG313,4)="True",IF(_xlfn.XLOOKUP("Dst_CIDR_Le_16",'Scoring_Config'!$A:$A,'Scoring_Config'!$D:$D,"Yes")="Yes",_xlfn.XLOOKUP("Dst_CIDR_Le_16",'Scoring_Config'!$A:$A,'Scoring_Config'!$C:$C,25),0),0)+IF(LEFT(AH313,4)="True",IF(_xlfn.XLOOKUP("Dst_CIDR_17_22",'Scoring_Config'!$A:$A,'Scoring_Config'!$D:$D,"Yes")="Yes",_xlfn.XLOOKUP("Dst_CIDR_17_22",'Scoring_Config'!$A:$A,'Scoring_Config'!$C:$C,15),0),0)+IF(LEFT(AI313,4)="True",IF(_xlfn.XLOOKUP("SrcZone_IsAny",'Scoring_Config'!$A:$A,'Scoring_Config'!$D:$D,"Yes")="Yes",_xlfn.XLOOKUP("SrcZone_IsAny",'Scoring_Config'!$A:$A,'Scoring_Config'!$C:$C,5),0),0)+IF(LEFT(AJ313,4)="True",IF(_xlfn.XLOOKUP("DstZone_IsAny",'Scoring_Config'!$A:$A,'Scoring_Config'!$D:$D,"Yes")="Yes",_xlfn.XLOOKUP("DstZone_IsAny",'Scoring_Config'!$A:$A,'Scoring_Config'!$C:$C,5),0),0)+IF(LEFT(AK313,4)="True",IF(_xlfn.XLOOKUP("Service_Any_OR_RangeGt1000",'Scoring_Config'!$A:$A,'Scoring_Config'!$D:$D,"Yes")="Yes",_xlfn.XLOOKUP("Service_Any_OR_RangeGt1000",'Scoring_Config'!$A:$A,'Scoring_Config'!$C:$C,25),0),0)+IF(LEFT(AL313,4)="True",IF(_xlfn.XLOOKUP("App_Any_OR_RangeGt1000",'Scoring_Config'!$A:$A,'Scoring_Config'!$D:$D,"Yes")="Yes",_xlfn.XLOOKUP("App_Any_OR_RangeGt1000",'Scoring_Config'!$A:$A,'Scoring_Config'!$C:$C,25),0),0)+IF(LEFT(AM313,4)="True",IF(_xlfn.XLOOKUP("Service_Insecure_Match",'Scoring_Config'!$A:$A,'Scoring_Config'!$D:$D,"Yes")="Yes",_xlfn.XLOOKUP("Service_Insecure_Match",'Scoring_Config'!$A:$A,'Scoring_Config'!$C:$C,20),0),0)+IF(LEFT(AN313,4)="True",IF(_xlfn.XLOOKUP("Risky_Inbound",'Scoring_Config'!$A:$A,'Scoring_Config'!$D:$D,"Yes")="Yes",_xlfn.XLOOKUP("Risky_Inbound",'Scoring_Config'!$A:$A,'Scoring_Config'!$C:$C,20),0),0)+IF(LEFT(AO313,4)="True",IF(_xlfn.XLOOKUP("Risky_Outbound",'Scoring_Config'!$A:$A,'Scoring_Config'!$D:$D,"Yes")="Yes",_xlfn.XLOOKUP("Risky_Outbound",'Scoring_Config'!$A:$A,'Scoring_Config'!$C:$C,10),0),0)+IF(LEFT(AW313,4)="True",IF(_xlfn.XLOOKUP("Migrate_Insecure",'Scoring_Config'!$A:$A,'Scoring_Config'!$D:$D,"Yes")="Yes",_xlfn.XLOOKUP("Migrate_Insecure",'Scoring_Config'!$A:$A,'Scoring_Config'!$C:$C,15),0),0)+IF(LEFT(AY313,4)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313,FIND(",",AP313)+1,100)),0)+IF(LEFT(AQ313,4)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313,FIND(",",AR313)+1,100)),0)+IF(_xlfn.XLOOKUP("Profile_Scoring",'Scoring_Config'!$A:$A,'Scoring_Config'!$D:$D,"Yes")="Yes",VALUE(MID(AS313,FIND(",",AS313)+1,100)),0)+IF(_xlfn.XLOOKUP("Options_Scoring",'Scoring_Config'!$A:$A,'Scoring_Config'!$D:$D,"Yes")="Yes",VALUE(MID(AT313,FIND(",",AT313)+1,100)),0)))</f>
        <v>0</v>
      </c>
    </row>
    <row r="314" spans="1:52">
      <c r="A314" s="3" t="s">
        <v>54</v>
      </c>
      <c r="B314" s="3" t="s">
        <v>132</v>
      </c>
      <c r="C314" s="3" t="s">
        <v>331</v>
      </c>
      <c r="D314" s="3"/>
      <c r="E314" s="3" t="s">
        <v>359</v>
      </c>
      <c r="F314" s="3" t="s">
        <v>361</v>
      </c>
      <c r="G314" s="3" t="s">
        <v>489</v>
      </c>
      <c r="H314" s="3" t="s">
        <v>597</v>
      </c>
      <c r="I314" s="3" t="s">
        <v>624</v>
      </c>
      <c r="J314" s="3" t="s">
        <v>360</v>
      </c>
      <c r="K314" s="3" t="s">
        <v>469</v>
      </c>
      <c r="L314" s="3" t="s">
        <v>590</v>
      </c>
      <c r="M314" s="3" t="s">
        <v>785</v>
      </c>
      <c r="N314" s="3" t="s">
        <v>785</v>
      </c>
      <c r="O314" s="4" t="s">
        <v>832</v>
      </c>
      <c r="P314" s="3" t="s">
        <v>893</v>
      </c>
      <c r="Q314" s="3" t="s">
        <v>905</v>
      </c>
      <c r="R314" s="3" t="s">
        <v>908</v>
      </c>
      <c r="S314" s="3" t="s">
        <v>914</v>
      </c>
      <c r="T314" s="3"/>
      <c r="U314" s="3" t="s">
        <v>1286</v>
      </c>
      <c r="V314" s="3" t="s">
        <v>770</v>
      </c>
      <c r="W314" s="3" t="s">
        <v>1421</v>
      </c>
      <c r="X314" s="3" t="s">
        <v>1918</v>
      </c>
      <c r="Y314" s="3" t="s">
        <v>2387</v>
      </c>
      <c r="Z314" s="3"/>
      <c r="AA314" s="3" t="s">
        <v>1469</v>
      </c>
      <c r="AB314" s="3"/>
      <c r="AC314" s="4" cm="1">
        <f t="array" ref="AC314">IF(FALSE,"True," &amp; IF(_xlfn.XLOOKUP("Src_IsAny",'Scoring_Config'!$A:$A,'Scoring_Config'!$D:$D,"Yes")="Yes",_xlfn.XLOOKUP("Src_IsAny",'Scoring_Config'!$A:$A,'Scoring_Config'!$C:$C,25),0),"False,0")</f>
        <v>0</v>
      </c>
      <c r="AD314" s="5" cm="1">
        <f t="array" ref="AD314">IF(TRUE,"True," &amp; IF(_xlfn.XLOOKUP("Src_CIDR_Le_16",'Scoring_Config'!$A:$A,'Scoring_Config'!$D:$D,"Yes")="Yes",_xlfn.XLOOKUP("Src_CIDR_Le_16",'Scoring_Config'!$A:$A,'Scoring_Config'!$C:$C,25),0),"False,0")</f>
        <v>0</v>
      </c>
      <c r="AE314" s="4" cm="1">
        <f t="array" ref="AE314">IF(FALSE,"True," &amp; IF(_xlfn.XLOOKUP("Src_CIDR_17_22",'Scoring_Config'!$A:$A,'Scoring_Config'!$D:$D,"Yes")="Yes",_xlfn.XLOOKUP("Src_CIDR_17_22",'Scoring_Config'!$A:$A,'Scoring_Config'!$C:$C,15),0),"False,0")</f>
        <v>0</v>
      </c>
      <c r="AF314" s="5" cm="1">
        <f t="array" ref="AF314">IF(TRUE,"True," &amp; IF(_xlfn.XLOOKUP("Dst_IsAny",'Scoring_Config'!$A:$A,'Scoring_Config'!$D:$D,"Yes")="Yes",_xlfn.XLOOKUP("Dst_IsAny",'Scoring_Config'!$A:$A,'Scoring_Config'!$C:$C,25),0),"False,0")</f>
        <v>0</v>
      </c>
      <c r="AG314" s="5" cm="1">
        <f t="array" ref="AG314">IF(TRUE,"True," &amp; IF(_xlfn.XLOOKUP("Dst_CIDR_Le_16",'Scoring_Config'!$A:$A,'Scoring_Config'!$D:$D,"Yes")="Yes",_xlfn.XLOOKUP("Dst_CIDR_Le_16",'Scoring_Config'!$A:$A,'Scoring_Config'!$C:$C,25),0),"False,0")</f>
        <v>0</v>
      </c>
      <c r="AH314" s="4" cm="1">
        <f t="array" ref="AH314">IF(FALSE,"True," &amp; IF(_xlfn.XLOOKUP("Dst_CIDR_17_22",'Scoring_Config'!$A:$A,'Scoring_Config'!$D:$D,"Yes")="Yes",_xlfn.XLOOKUP("Dst_CIDR_17_22",'Scoring_Config'!$A:$A,'Scoring_Config'!$C:$C,15),0),"False,0")</f>
        <v>0</v>
      </c>
      <c r="AI314" s="4" cm="1">
        <f t="array" ref="AI314">IF(FALSE,"True," &amp; IF(_xlfn.XLOOKUP("SrcZone_IsAny",'Scoring_Config'!$A:$A,'Scoring_Config'!$D:$D,"Yes")="Yes",_xlfn.XLOOKUP("SrcZone_IsAny",'Scoring_Config'!$A:$A,'Scoring_Config'!$C:$C,5),0),"False,0")</f>
        <v>0</v>
      </c>
      <c r="AJ314" s="4" cm="1">
        <f t="array" ref="AJ314">IF(FALSE,"True," &amp; IF(_xlfn.XLOOKUP("DstZone_IsAny",'Scoring_Config'!$A:$A,'Scoring_Config'!$D:$D,"Yes")="Yes",_xlfn.XLOOKUP("DstZone_IsAny",'Scoring_Config'!$A:$A,'Scoring_Config'!$C:$C,5),0),"False,0")</f>
        <v>0</v>
      </c>
      <c r="AK314" s="4" cm="1">
        <f t="array" ref="AK31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4" s="4" cm="1">
        <f t="array" ref="AL314">IF(FALSE,"True," &amp; IF(_xlfn.XLOOKUP("App_Any_OR_RangeGt1000",'Scoring_Config'!$A:$A,'Scoring_Config'!$D:$D,"Yes")="Yes",_xlfn.XLOOKUP("App_Any_OR_RangeGt1000",'Scoring_Config'!$A:$A,'Scoring_Config'!$C:$C,25),0),"False,0")</f>
        <v>0</v>
      </c>
      <c r="AM314" s="5" cm="1">
        <f t="array" ref="AM314">IF(TRUE,"True," &amp; IF(_xlfn.XLOOKUP("Service_Insecure_Match",'Scoring_Config'!$A:$A,'Scoring_Config'!$D:$D,"Yes")="Yes",_xlfn.XLOOKUP("Service_Insecure_Match",'Scoring_Config'!$A:$A,'Scoring_Config'!$C:$C,20),0),"False,0")</f>
        <v>0</v>
      </c>
      <c r="AN314" s="4" cm="1">
        <f t="array" ref="AN314">IF(FALSE,"True," &amp; IF(_xlfn.XLOOKUP("Risky_Inbound",'Scoring_Config'!$A:$A,'Scoring_Config'!$D:$D,"Yes")="Yes",_xlfn.XLOOKUP("Risky_Inbound",'Scoring_Config'!$A:$A,'Scoring_Config'!$C:$C,20),0),"False,0")</f>
        <v>0</v>
      </c>
      <c r="AO314" s="4" cm="1">
        <f t="array" ref="AO314">IF(FALSE,"True," &amp; IF(_xlfn.XLOOKUP("Risky_Outbound",'Scoring_Config'!$A:$A,'Scoring_Config'!$D:$D,"Yes")="Yes",_xlfn.XLOOKUP("Risky_Outbound",'Scoring_Config'!$A:$A,'Scoring_Config'!$C:$C,10),0),"False,0")</f>
        <v>0</v>
      </c>
      <c r="AP314" s="5" t="s">
        <v>2595</v>
      </c>
      <c r="AQ314" s="5" cm="1">
        <f t="array" ref="AQ31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4" s="5" t="s">
        <v>2598</v>
      </c>
      <c r="AS314" s="4" t="s">
        <v>2592</v>
      </c>
      <c r="AT314" s="4" t="s">
        <v>2592</v>
      </c>
      <c r="AU314" s="4" cm="1">
        <f t="array" ref="AU314">IF(FALSE,"True," &amp; IF(_xlfn.XLOOKUP("Action_IsDenyOrDrop",'Scoring_Config'!$A:$A,'Scoring_Config'!$D:$D,"Yes")="Yes",_xlfn.XLOOKUP("Action_IsDenyOrDrop",'Scoring_Config'!$A:$A,'Scoring_Config'!$C:$C,0),0),"False,0")</f>
        <v>0</v>
      </c>
      <c r="AV314" s="4"/>
      <c r="AW314" s="4" cm="1">
        <f t="array" ref="AW314">IF(FALSE,"True," &amp; IF(_xlfn.XLOOKUP("Migrate_Insecure",'Scoring_Config'!$A:$A,'Scoring_Config'!$D:$D,"Yes")="Yes",_xlfn.XLOOKUP("Migrate_Insecure",'Scoring_Config'!$A:$A,'Scoring_Config'!$C:$C,15),0),"False,0")</f>
        <v>0</v>
      </c>
      <c r="AX314" s="4"/>
      <c r="AY314" s="4" cm="1">
        <f t="array" ref="AY314">IF(FALSE,"True," &amp; IF(_xlfn.XLOOKUP("Migrate_Other_Ports",'Scoring_Config'!$A:$A,'Scoring_Config'!$D:$D,"Yes")="Yes",_xlfn.XLOOKUP("Migrate_Other_Ports",'Scoring_Config'!$A:$A,'Scoring_Config'!$C:$C,5),0),"False,0")</f>
        <v>0</v>
      </c>
      <c r="AZ314" s="4" cm="1">
        <f t="array" ref="AZ314">IF(LEFT(AU314,4)="True",0,(IF(LEFT(AC314,4)="True",IF(_xlfn.XLOOKUP("Src_IsAny",'Scoring_Config'!$A:$A,'Scoring_Config'!$D:$D,"Yes")="Yes",_xlfn.XLOOKUP("Src_IsAny",'Scoring_Config'!$A:$A,'Scoring_Config'!$C:$C,25),0),0)+IF(LEFT(AD314,4)="True",IF(_xlfn.XLOOKUP("Src_CIDR_Le_16",'Scoring_Config'!$A:$A,'Scoring_Config'!$D:$D,"Yes")="Yes",_xlfn.XLOOKUP("Src_CIDR_Le_16",'Scoring_Config'!$A:$A,'Scoring_Config'!$C:$C,25),0),0)+IF(LEFT(AE314,4)="True",IF(_xlfn.XLOOKUP("Src_CIDR_17_22",'Scoring_Config'!$A:$A,'Scoring_Config'!$D:$D,"Yes")="Yes",_xlfn.XLOOKUP("Src_CIDR_17_22",'Scoring_Config'!$A:$A,'Scoring_Config'!$C:$C,15),0),0)+IF(LEFT(AF314,4)="True",IF(_xlfn.XLOOKUP("Dst_IsAny",'Scoring_Config'!$A:$A,'Scoring_Config'!$D:$D,"Yes")="Yes",_xlfn.XLOOKUP("Dst_IsAny",'Scoring_Config'!$A:$A,'Scoring_Config'!$C:$C,25),0),0)+IF(LEFT(AG314,4)="True",IF(_xlfn.XLOOKUP("Dst_CIDR_Le_16",'Scoring_Config'!$A:$A,'Scoring_Config'!$D:$D,"Yes")="Yes",_xlfn.XLOOKUP("Dst_CIDR_Le_16",'Scoring_Config'!$A:$A,'Scoring_Config'!$C:$C,25),0),0)+IF(LEFT(AH314,4)="True",IF(_xlfn.XLOOKUP("Dst_CIDR_17_22",'Scoring_Config'!$A:$A,'Scoring_Config'!$D:$D,"Yes")="Yes",_xlfn.XLOOKUP("Dst_CIDR_17_22",'Scoring_Config'!$A:$A,'Scoring_Config'!$C:$C,15),0),0)+IF(LEFT(AI314,4)="True",IF(_xlfn.XLOOKUP("SrcZone_IsAny",'Scoring_Config'!$A:$A,'Scoring_Config'!$D:$D,"Yes")="Yes",_xlfn.XLOOKUP("SrcZone_IsAny",'Scoring_Config'!$A:$A,'Scoring_Config'!$C:$C,5),0),0)+IF(LEFT(AJ314,4)="True",IF(_xlfn.XLOOKUP("DstZone_IsAny",'Scoring_Config'!$A:$A,'Scoring_Config'!$D:$D,"Yes")="Yes",_xlfn.XLOOKUP("DstZone_IsAny",'Scoring_Config'!$A:$A,'Scoring_Config'!$C:$C,5),0),0)+IF(LEFT(AK314,4)="True",IF(_xlfn.XLOOKUP("Service_Any_OR_RangeGt1000",'Scoring_Config'!$A:$A,'Scoring_Config'!$D:$D,"Yes")="Yes",_xlfn.XLOOKUP("Service_Any_OR_RangeGt1000",'Scoring_Config'!$A:$A,'Scoring_Config'!$C:$C,25),0),0)+IF(LEFT(AL314,4)="True",IF(_xlfn.XLOOKUP("App_Any_OR_RangeGt1000",'Scoring_Config'!$A:$A,'Scoring_Config'!$D:$D,"Yes")="Yes",_xlfn.XLOOKUP("App_Any_OR_RangeGt1000",'Scoring_Config'!$A:$A,'Scoring_Config'!$C:$C,25),0),0)+IF(LEFT(AM314,4)="True",IF(_xlfn.XLOOKUP("Service_Insecure_Match",'Scoring_Config'!$A:$A,'Scoring_Config'!$D:$D,"Yes")="Yes",_xlfn.XLOOKUP("Service_Insecure_Match",'Scoring_Config'!$A:$A,'Scoring_Config'!$C:$C,20),0),0)+IF(LEFT(AN314,4)="True",IF(_xlfn.XLOOKUP("Risky_Inbound",'Scoring_Config'!$A:$A,'Scoring_Config'!$D:$D,"Yes")="Yes",_xlfn.XLOOKUP("Risky_Inbound",'Scoring_Config'!$A:$A,'Scoring_Config'!$C:$C,20),0),0)+IF(LEFT(AO314,4)="True",IF(_xlfn.XLOOKUP("Risky_Outbound",'Scoring_Config'!$A:$A,'Scoring_Config'!$D:$D,"Yes")="Yes",_xlfn.XLOOKUP("Risky_Outbound",'Scoring_Config'!$A:$A,'Scoring_Config'!$C:$C,10),0),0)+IF(LEFT(AW314,4)="True",IF(_xlfn.XLOOKUP("Migrate_Insecure",'Scoring_Config'!$A:$A,'Scoring_Config'!$D:$D,"Yes")="Yes",_xlfn.XLOOKUP("Migrate_Insecure",'Scoring_Config'!$A:$A,'Scoring_Config'!$C:$C,15),0),0)+IF(LEFT(AY314,4)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314,FIND(",",AP314)+1,100)),0)+IF(LEFT(AQ314,4)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314,FIND(",",AR314)+1,100)),0)+IF(_xlfn.XLOOKUP("Profile_Scoring",'Scoring_Config'!$A:$A,'Scoring_Config'!$D:$D,"Yes")="Yes",VALUE(MID(AS314,FIND(",",AS314)+1,100)),0)+IF(_xlfn.XLOOKUP("Options_Scoring",'Scoring_Config'!$A:$A,'Scoring_Config'!$D:$D,"Yes")="Yes",VALUE(MID(AT314,FIND(",",AT314)+1,100)),0)))</f>
        <v>0</v>
      </c>
    </row>
    <row r="315" spans="1:52">
      <c r="A315" s="3" t="s">
        <v>54</v>
      </c>
      <c r="B315" s="3" t="s">
        <v>223</v>
      </c>
      <c r="C315" s="3" t="s">
        <v>331</v>
      </c>
      <c r="D315" s="3"/>
      <c r="E315" s="3" t="s">
        <v>359</v>
      </c>
      <c r="F315" s="3" t="s">
        <v>363</v>
      </c>
      <c r="G315" s="3" t="s">
        <v>459</v>
      </c>
      <c r="H315" s="3" t="s">
        <v>459</v>
      </c>
      <c r="I315" s="3" t="s">
        <v>625</v>
      </c>
      <c r="J315" s="3" t="s">
        <v>364</v>
      </c>
      <c r="K315" s="3" t="s">
        <v>706</v>
      </c>
      <c r="L315" s="3" t="s">
        <v>706</v>
      </c>
      <c r="M315" s="3" t="s">
        <v>778</v>
      </c>
      <c r="N315" s="3" t="s">
        <v>791</v>
      </c>
      <c r="O315" s="4" t="s">
        <v>812</v>
      </c>
      <c r="P315" s="3" t="s">
        <v>873</v>
      </c>
      <c r="Q315" s="3" t="s">
        <v>905</v>
      </c>
      <c r="R315" s="3" t="s">
        <v>909</v>
      </c>
      <c r="S315" s="3" t="s">
        <v>914</v>
      </c>
      <c r="T315" s="3"/>
      <c r="U315" s="3" t="s">
        <v>1282</v>
      </c>
      <c r="V315" s="3" t="s">
        <v>1388</v>
      </c>
      <c r="W315" s="3" t="s">
        <v>1552</v>
      </c>
      <c r="X315" s="3" t="s">
        <v>1919</v>
      </c>
      <c r="Y315" s="3" t="s">
        <v>2388</v>
      </c>
      <c r="Z315" s="3"/>
      <c r="AA315" s="3" t="s">
        <v>2576</v>
      </c>
      <c r="AB315" s="3"/>
      <c r="AC315" s="4" cm="1">
        <f t="array" ref="AC315">IF(FALSE,"True," &amp; IF(_xlfn.XLOOKUP("Src_IsAny",'Scoring_Config'!$A:$A,'Scoring_Config'!$D:$D,"Yes")="Yes",_xlfn.XLOOKUP("Src_IsAny",'Scoring_Config'!$A:$A,'Scoring_Config'!$C:$C,25),0),"False,0")</f>
        <v>0</v>
      </c>
      <c r="AD315" s="4" cm="1">
        <f t="array" ref="AD315">IF(FALSE,"True," &amp; IF(_xlfn.XLOOKUP("Src_CIDR_Le_16",'Scoring_Config'!$A:$A,'Scoring_Config'!$D:$D,"Yes")="Yes",_xlfn.XLOOKUP("Src_CIDR_Le_16",'Scoring_Config'!$A:$A,'Scoring_Config'!$C:$C,25),0),"False,0")</f>
        <v>0</v>
      </c>
      <c r="AE315" s="4" cm="1">
        <f t="array" ref="AE315">IF(FALSE,"True," &amp; IF(_xlfn.XLOOKUP("Src_CIDR_17_22",'Scoring_Config'!$A:$A,'Scoring_Config'!$D:$D,"Yes")="Yes",_xlfn.XLOOKUP("Src_CIDR_17_22",'Scoring_Config'!$A:$A,'Scoring_Config'!$C:$C,15),0),"False,0")</f>
        <v>0</v>
      </c>
      <c r="AF315" s="4" cm="1">
        <f t="array" ref="AF315">IF(FALSE,"True," &amp; IF(_xlfn.XLOOKUP("Dst_IsAny",'Scoring_Config'!$A:$A,'Scoring_Config'!$D:$D,"Yes")="Yes",_xlfn.XLOOKUP("Dst_IsAny",'Scoring_Config'!$A:$A,'Scoring_Config'!$C:$C,25),0),"False,0")</f>
        <v>0</v>
      </c>
      <c r="AG315" s="4" cm="1">
        <f t="array" ref="AG315">IF(FALSE,"True," &amp; IF(_xlfn.XLOOKUP("Dst_CIDR_Le_16",'Scoring_Config'!$A:$A,'Scoring_Config'!$D:$D,"Yes")="Yes",_xlfn.XLOOKUP("Dst_CIDR_Le_16",'Scoring_Config'!$A:$A,'Scoring_Config'!$C:$C,25),0),"False,0")</f>
        <v>0</v>
      </c>
      <c r="AH315" s="4" cm="1">
        <f t="array" ref="AH315">IF(FALSE,"True," &amp; IF(_xlfn.XLOOKUP("Dst_CIDR_17_22",'Scoring_Config'!$A:$A,'Scoring_Config'!$D:$D,"Yes")="Yes",_xlfn.XLOOKUP("Dst_CIDR_17_22",'Scoring_Config'!$A:$A,'Scoring_Config'!$C:$C,15),0),"False,0")</f>
        <v>0</v>
      </c>
      <c r="AI315" s="4" cm="1">
        <f t="array" ref="AI315">IF(FALSE,"True," &amp; IF(_xlfn.XLOOKUP("SrcZone_IsAny",'Scoring_Config'!$A:$A,'Scoring_Config'!$D:$D,"Yes")="Yes",_xlfn.XLOOKUP("SrcZone_IsAny",'Scoring_Config'!$A:$A,'Scoring_Config'!$C:$C,5),0),"False,0")</f>
        <v>0</v>
      </c>
      <c r="AJ315" s="4" cm="1">
        <f t="array" ref="AJ315">IF(FALSE,"True," &amp; IF(_xlfn.XLOOKUP("DstZone_IsAny",'Scoring_Config'!$A:$A,'Scoring_Config'!$D:$D,"Yes")="Yes",_xlfn.XLOOKUP("DstZone_IsAny",'Scoring_Config'!$A:$A,'Scoring_Config'!$C:$C,5),0),"False,0")</f>
        <v>0</v>
      </c>
      <c r="AK315" s="4" cm="1">
        <f t="array" ref="AK31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5" s="5" cm="1">
        <f t="array" ref="AL315">IF(TRUE,"True," &amp; IF(_xlfn.XLOOKUP("App_Any_OR_RangeGt1000",'Scoring_Config'!$A:$A,'Scoring_Config'!$D:$D,"Yes")="Yes",_xlfn.XLOOKUP("App_Any_OR_RangeGt1000",'Scoring_Config'!$A:$A,'Scoring_Config'!$C:$C,25),0),"False,0")</f>
        <v>0</v>
      </c>
      <c r="AM315" s="4" cm="1">
        <f t="array" ref="AM315">IF(FALSE,"True," &amp; IF(_xlfn.XLOOKUP("Service_Insecure_Match",'Scoring_Config'!$A:$A,'Scoring_Config'!$D:$D,"Yes")="Yes",_xlfn.XLOOKUP("Service_Insecure_Match",'Scoring_Config'!$A:$A,'Scoring_Config'!$C:$C,20),0),"False,0")</f>
        <v>0</v>
      </c>
      <c r="AN315" s="4" cm="1">
        <f t="array" ref="AN315">IF(FALSE,"True," &amp; IF(_xlfn.XLOOKUP("Risky_Inbound",'Scoring_Config'!$A:$A,'Scoring_Config'!$D:$D,"Yes")="Yes",_xlfn.XLOOKUP("Risky_Inbound",'Scoring_Config'!$A:$A,'Scoring_Config'!$C:$C,20),0),"False,0")</f>
        <v>0</v>
      </c>
      <c r="AO315" s="4" cm="1">
        <f t="array" ref="AO315">IF(FALSE,"True," &amp; IF(_xlfn.XLOOKUP("Risky_Outbound",'Scoring_Config'!$A:$A,'Scoring_Config'!$D:$D,"Yes")="Yes",_xlfn.XLOOKUP("Risky_Outbound",'Scoring_Config'!$A:$A,'Scoring_Config'!$C:$C,10),0),"False,0")</f>
        <v>0</v>
      </c>
      <c r="AP315" s="5" t="s">
        <v>2595</v>
      </c>
      <c r="AQ315" s="5" cm="1">
        <f t="array" ref="AQ31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5" s="5" t="s">
        <v>2598</v>
      </c>
      <c r="AS315" s="4" t="s">
        <v>2592</v>
      </c>
      <c r="AT315" s="4" t="s">
        <v>2592</v>
      </c>
      <c r="AU315" s="4" cm="1">
        <f t="array" ref="AU315">IF(FALSE,"True," &amp; IF(_xlfn.XLOOKUP("Action_IsDenyOrDrop",'Scoring_Config'!$A:$A,'Scoring_Config'!$D:$D,"Yes")="Yes",_xlfn.XLOOKUP("Action_IsDenyOrDrop",'Scoring_Config'!$A:$A,'Scoring_Config'!$C:$C,0),0),"False,0")</f>
        <v>0</v>
      </c>
      <c r="AV315" s="4"/>
      <c r="AW315" s="4" cm="1">
        <f t="array" ref="AW315">IF(FALSE,"True," &amp; IF(_xlfn.XLOOKUP("Migrate_Insecure",'Scoring_Config'!$A:$A,'Scoring_Config'!$D:$D,"Yes")="Yes",_xlfn.XLOOKUP("Migrate_Insecure",'Scoring_Config'!$A:$A,'Scoring_Config'!$C:$C,15),0),"False,0")</f>
        <v>0</v>
      </c>
      <c r="AX315" s="4"/>
      <c r="AY315" s="4" cm="1">
        <f t="array" ref="AY315">IF(FALSE,"True," &amp; IF(_xlfn.XLOOKUP("Migrate_Other_Ports",'Scoring_Config'!$A:$A,'Scoring_Config'!$D:$D,"Yes")="Yes",_xlfn.XLOOKUP("Migrate_Other_Ports",'Scoring_Config'!$A:$A,'Scoring_Config'!$C:$C,5),0),"False,0")</f>
        <v>0</v>
      </c>
      <c r="AZ315" s="4" cm="1">
        <f t="array" ref="AZ315">IF(LEFT(AU315,4)="True",0,(IF(LEFT(AC315,4)="True",IF(_xlfn.XLOOKUP("Src_IsAny",'Scoring_Config'!$A:$A,'Scoring_Config'!$D:$D,"Yes")="Yes",_xlfn.XLOOKUP("Src_IsAny",'Scoring_Config'!$A:$A,'Scoring_Config'!$C:$C,25),0),0)+IF(LEFT(AD315,4)="True",IF(_xlfn.XLOOKUP("Src_CIDR_Le_16",'Scoring_Config'!$A:$A,'Scoring_Config'!$D:$D,"Yes")="Yes",_xlfn.XLOOKUP("Src_CIDR_Le_16",'Scoring_Config'!$A:$A,'Scoring_Config'!$C:$C,25),0),0)+IF(LEFT(AE315,4)="True",IF(_xlfn.XLOOKUP("Src_CIDR_17_22",'Scoring_Config'!$A:$A,'Scoring_Config'!$D:$D,"Yes")="Yes",_xlfn.XLOOKUP("Src_CIDR_17_22",'Scoring_Config'!$A:$A,'Scoring_Config'!$C:$C,15),0),0)+IF(LEFT(AF315,4)="True",IF(_xlfn.XLOOKUP("Dst_IsAny",'Scoring_Config'!$A:$A,'Scoring_Config'!$D:$D,"Yes")="Yes",_xlfn.XLOOKUP("Dst_IsAny",'Scoring_Config'!$A:$A,'Scoring_Config'!$C:$C,25),0),0)+IF(LEFT(AG315,4)="True",IF(_xlfn.XLOOKUP("Dst_CIDR_Le_16",'Scoring_Config'!$A:$A,'Scoring_Config'!$D:$D,"Yes")="Yes",_xlfn.XLOOKUP("Dst_CIDR_Le_16",'Scoring_Config'!$A:$A,'Scoring_Config'!$C:$C,25),0),0)+IF(LEFT(AH315,4)="True",IF(_xlfn.XLOOKUP("Dst_CIDR_17_22",'Scoring_Config'!$A:$A,'Scoring_Config'!$D:$D,"Yes")="Yes",_xlfn.XLOOKUP("Dst_CIDR_17_22",'Scoring_Config'!$A:$A,'Scoring_Config'!$C:$C,15),0),0)+IF(LEFT(AI315,4)="True",IF(_xlfn.XLOOKUP("SrcZone_IsAny",'Scoring_Config'!$A:$A,'Scoring_Config'!$D:$D,"Yes")="Yes",_xlfn.XLOOKUP("SrcZone_IsAny",'Scoring_Config'!$A:$A,'Scoring_Config'!$C:$C,5),0),0)+IF(LEFT(AJ315,4)="True",IF(_xlfn.XLOOKUP("DstZone_IsAny",'Scoring_Config'!$A:$A,'Scoring_Config'!$D:$D,"Yes")="Yes",_xlfn.XLOOKUP("DstZone_IsAny",'Scoring_Config'!$A:$A,'Scoring_Config'!$C:$C,5),0),0)+IF(LEFT(AK315,4)="True",IF(_xlfn.XLOOKUP("Service_Any_OR_RangeGt1000",'Scoring_Config'!$A:$A,'Scoring_Config'!$D:$D,"Yes")="Yes",_xlfn.XLOOKUP("Service_Any_OR_RangeGt1000",'Scoring_Config'!$A:$A,'Scoring_Config'!$C:$C,25),0),0)+IF(LEFT(AL315,4)="True",IF(_xlfn.XLOOKUP("App_Any_OR_RangeGt1000",'Scoring_Config'!$A:$A,'Scoring_Config'!$D:$D,"Yes")="Yes",_xlfn.XLOOKUP("App_Any_OR_RangeGt1000",'Scoring_Config'!$A:$A,'Scoring_Config'!$C:$C,25),0),0)+IF(LEFT(AM315,4)="True",IF(_xlfn.XLOOKUP("Service_Insecure_Match",'Scoring_Config'!$A:$A,'Scoring_Config'!$D:$D,"Yes")="Yes",_xlfn.XLOOKUP("Service_Insecure_Match",'Scoring_Config'!$A:$A,'Scoring_Config'!$C:$C,20),0),0)+IF(LEFT(AN315,4)="True",IF(_xlfn.XLOOKUP("Risky_Inbound",'Scoring_Config'!$A:$A,'Scoring_Config'!$D:$D,"Yes")="Yes",_xlfn.XLOOKUP("Risky_Inbound",'Scoring_Config'!$A:$A,'Scoring_Config'!$C:$C,20),0),0)+IF(LEFT(AO315,4)="True",IF(_xlfn.XLOOKUP("Risky_Outbound",'Scoring_Config'!$A:$A,'Scoring_Config'!$D:$D,"Yes")="Yes",_xlfn.XLOOKUP("Risky_Outbound",'Scoring_Config'!$A:$A,'Scoring_Config'!$C:$C,10),0),0)+IF(LEFT(AW315,4)="True",IF(_xlfn.XLOOKUP("Migrate_Insecure",'Scoring_Config'!$A:$A,'Scoring_Config'!$D:$D,"Yes")="Yes",_xlfn.XLOOKUP("Migrate_Insecure",'Scoring_Config'!$A:$A,'Scoring_Config'!$C:$C,15),0),0)+IF(LEFT(AY315,4)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315,FIND(",",AP315)+1,100)),0)+IF(LEFT(AQ315,4)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315,FIND(",",AR315)+1,100)),0)+IF(_xlfn.XLOOKUP("Profile_Scoring",'Scoring_Config'!$A:$A,'Scoring_Config'!$D:$D,"Yes")="Yes",VALUE(MID(AS315,FIND(",",AS315)+1,100)),0)+IF(_xlfn.XLOOKUP("Options_Scoring",'Scoring_Config'!$A:$A,'Scoring_Config'!$D:$D,"Yes")="Yes",VALUE(MID(AT315,FIND(",",AT315)+1,100)),0)))</f>
        <v>0</v>
      </c>
    </row>
    <row r="316" spans="1:52">
      <c r="A316" s="3" t="s">
        <v>54</v>
      </c>
      <c r="B316" s="3" t="s">
        <v>265</v>
      </c>
      <c r="C316" s="3" t="s">
        <v>331</v>
      </c>
      <c r="D316" s="3"/>
      <c r="E316" s="3" t="s">
        <v>359</v>
      </c>
      <c r="F316" s="3" t="s">
        <v>361</v>
      </c>
      <c r="G316" s="3" t="s">
        <v>365</v>
      </c>
      <c r="H316" s="3" t="s">
        <v>365</v>
      </c>
      <c r="I316" s="3" t="s">
        <v>365</v>
      </c>
      <c r="J316" s="3" t="s">
        <v>364</v>
      </c>
      <c r="K316" s="3" t="s">
        <v>707</v>
      </c>
      <c r="L316" s="3" t="s">
        <v>707</v>
      </c>
      <c r="M316" s="3" t="s">
        <v>778</v>
      </c>
      <c r="N316" s="3" t="s">
        <v>791</v>
      </c>
      <c r="O316" s="4" t="s">
        <v>853</v>
      </c>
      <c r="P316" s="3" t="s">
        <v>865</v>
      </c>
      <c r="Q316" s="3" t="s">
        <v>905</v>
      </c>
      <c r="R316" s="3" t="s">
        <v>910</v>
      </c>
      <c r="S316" s="3" t="s">
        <v>914</v>
      </c>
      <c r="T316" s="3"/>
      <c r="U316" s="3" t="s">
        <v>1286</v>
      </c>
      <c r="V316" s="3" t="s">
        <v>772</v>
      </c>
      <c r="W316" s="3" t="s">
        <v>1042</v>
      </c>
      <c r="X316" s="3" t="s">
        <v>1920</v>
      </c>
      <c r="Y316" s="3" t="s">
        <v>2389</v>
      </c>
      <c r="Z316" s="3"/>
      <c r="AA316" s="3" t="s">
        <v>2577</v>
      </c>
      <c r="AB316" s="3"/>
      <c r="AC316" s="5" cm="1">
        <f t="array" ref="AC316">IF(TRUE,"True," &amp; IF(_xlfn.XLOOKUP("Src_IsAny",'Scoring_Config'!$A:$A,'Scoring_Config'!$D:$D,"Yes")="Yes",_xlfn.XLOOKUP("Src_IsAny",'Scoring_Config'!$A:$A,'Scoring_Config'!$C:$C,25),0),"False,0")</f>
        <v>0</v>
      </c>
      <c r="AD316" s="4" cm="1">
        <f t="array" ref="AD316">IF(FALSE,"True," &amp; IF(_xlfn.XLOOKUP("Src_CIDR_Le_16",'Scoring_Config'!$A:$A,'Scoring_Config'!$D:$D,"Yes")="Yes",_xlfn.XLOOKUP("Src_CIDR_Le_16",'Scoring_Config'!$A:$A,'Scoring_Config'!$C:$C,25),0),"False,0")</f>
        <v>0</v>
      </c>
      <c r="AE316" s="4" cm="1">
        <f t="array" ref="AE316">IF(FALSE,"True," &amp; IF(_xlfn.XLOOKUP("Src_CIDR_17_22",'Scoring_Config'!$A:$A,'Scoring_Config'!$D:$D,"Yes")="Yes",_xlfn.XLOOKUP("Src_CIDR_17_22",'Scoring_Config'!$A:$A,'Scoring_Config'!$C:$C,15),0),"False,0")</f>
        <v>0</v>
      </c>
      <c r="AF316" s="4" cm="1">
        <f t="array" ref="AF316">IF(FALSE,"True," &amp; IF(_xlfn.XLOOKUP("Dst_IsAny",'Scoring_Config'!$A:$A,'Scoring_Config'!$D:$D,"Yes")="Yes",_xlfn.XLOOKUP("Dst_IsAny",'Scoring_Config'!$A:$A,'Scoring_Config'!$C:$C,25),0),"False,0")</f>
        <v>0</v>
      </c>
      <c r="AG316" s="4" cm="1">
        <f t="array" ref="AG316">IF(FALSE,"True," &amp; IF(_xlfn.XLOOKUP("Dst_CIDR_Le_16",'Scoring_Config'!$A:$A,'Scoring_Config'!$D:$D,"Yes")="Yes",_xlfn.XLOOKUP("Dst_CIDR_Le_16",'Scoring_Config'!$A:$A,'Scoring_Config'!$C:$C,25),0),"False,0")</f>
        <v>0</v>
      </c>
      <c r="AH316" s="4" cm="1">
        <f t="array" ref="AH316">IF(FALSE,"True," &amp; IF(_xlfn.XLOOKUP("Dst_CIDR_17_22",'Scoring_Config'!$A:$A,'Scoring_Config'!$D:$D,"Yes")="Yes",_xlfn.XLOOKUP("Dst_CIDR_17_22",'Scoring_Config'!$A:$A,'Scoring_Config'!$C:$C,15),0),"False,0")</f>
        <v>0</v>
      </c>
      <c r="AI316" s="4" cm="1">
        <f t="array" ref="AI316">IF(FALSE,"True," &amp; IF(_xlfn.XLOOKUP("SrcZone_IsAny",'Scoring_Config'!$A:$A,'Scoring_Config'!$D:$D,"Yes")="Yes",_xlfn.XLOOKUP("SrcZone_IsAny",'Scoring_Config'!$A:$A,'Scoring_Config'!$C:$C,5),0),"False,0")</f>
        <v>0</v>
      </c>
      <c r="AJ316" s="4" cm="1">
        <f t="array" ref="AJ316">IF(FALSE,"True," &amp; IF(_xlfn.XLOOKUP("DstZone_IsAny",'Scoring_Config'!$A:$A,'Scoring_Config'!$D:$D,"Yes")="Yes",_xlfn.XLOOKUP("DstZone_IsAny",'Scoring_Config'!$A:$A,'Scoring_Config'!$C:$C,5),0),"False,0")</f>
        <v>0</v>
      </c>
      <c r="AK316" s="4" cm="1">
        <f t="array" ref="AK31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6" s="5" cm="1">
        <f t="array" ref="AL316">IF(TRUE,"True," &amp; IF(_xlfn.XLOOKUP("App_Any_OR_RangeGt1000",'Scoring_Config'!$A:$A,'Scoring_Config'!$D:$D,"Yes")="Yes",_xlfn.XLOOKUP("App_Any_OR_RangeGt1000",'Scoring_Config'!$A:$A,'Scoring_Config'!$C:$C,25),0),"False,0")</f>
        <v>0</v>
      </c>
      <c r="AM316" s="5" cm="1">
        <f t="array" ref="AM316">IF(TRUE,"True," &amp; IF(_xlfn.XLOOKUP("Service_Insecure_Match",'Scoring_Config'!$A:$A,'Scoring_Config'!$D:$D,"Yes")="Yes",_xlfn.XLOOKUP("Service_Insecure_Match",'Scoring_Config'!$A:$A,'Scoring_Config'!$C:$C,20),0),"False,0")</f>
        <v>0</v>
      </c>
      <c r="AN316" s="4" cm="1">
        <f t="array" ref="AN316">IF(FALSE,"True," &amp; IF(_xlfn.XLOOKUP("Risky_Inbound",'Scoring_Config'!$A:$A,'Scoring_Config'!$D:$D,"Yes")="Yes",_xlfn.XLOOKUP("Risky_Inbound",'Scoring_Config'!$A:$A,'Scoring_Config'!$C:$C,20),0),"False,0")</f>
        <v>0</v>
      </c>
      <c r="AO316" s="4" cm="1">
        <f t="array" ref="AO316">IF(FALSE,"True," &amp; IF(_xlfn.XLOOKUP("Risky_Outbound",'Scoring_Config'!$A:$A,'Scoring_Config'!$D:$D,"Yes")="Yes",_xlfn.XLOOKUP("Risky_Outbound",'Scoring_Config'!$A:$A,'Scoring_Config'!$C:$C,10),0),"False,0")</f>
        <v>0</v>
      </c>
      <c r="AP316" s="5" t="s">
        <v>2595</v>
      </c>
      <c r="AQ316" s="5" cm="1">
        <f t="array" ref="AQ31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6" s="4" t="s">
        <v>2592</v>
      </c>
      <c r="AS316" s="4" t="s">
        <v>2592</v>
      </c>
      <c r="AT316" s="4" t="s">
        <v>2592</v>
      </c>
      <c r="AU316" s="4" cm="1">
        <f t="array" ref="AU316">IF(FALSE,"True," &amp; IF(_xlfn.XLOOKUP("Action_IsDenyOrDrop",'Scoring_Config'!$A:$A,'Scoring_Config'!$D:$D,"Yes")="Yes",_xlfn.XLOOKUP("Action_IsDenyOrDrop",'Scoring_Config'!$A:$A,'Scoring_Config'!$C:$C,0),0),"False,0")</f>
        <v>0</v>
      </c>
      <c r="AV316" s="4"/>
      <c r="AW316" s="4" cm="1">
        <f t="array" ref="AW316">IF(FALSE,"True," &amp; IF(_xlfn.XLOOKUP("Migrate_Insecure",'Scoring_Config'!$A:$A,'Scoring_Config'!$D:$D,"Yes")="Yes",_xlfn.XLOOKUP("Migrate_Insecure",'Scoring_Config'!$A:$A,'Scoring_Config'!$C:$C,15),0),"False,0")</f>
        <v>0</v>
      </c>
      <c r="AX316" s="4"/>
      <c r="AY316" s="4" cm="1">
        <f t="array" ref="AY316">IF(FALSE,"True," &amp; IF(_xlfn.XLOOKUP("Migrate_Other_Ports",'Scoring_Config'!$A:$A,'Scoring_Config'!$D:$D,"Yes")="Yes",_xlfn.XLOOKUP("Migrate_Other_Ports",'Scoring_Config'!$A:$A,'Scoring_Config'!$C:$C,5),0),"False,0")</f>
        <v>0</v>
      </c>
      <c r="AZ316" s="4" cm="1">
        <f t="array" ref="AZ316">IF(LEFT(AU316,4)="True",0,(IF(LEFT(AC316,4)="True",IF(_xlfn.XLOOKUP("Src_IsAny",'Scoring_Config'!$A:$A,'Scoring_Config'!$D:$D,"Yes")="Yes",_xlfn.XLOOKUP("Src_IsAny",'Scoring_Config'!$A:$A,'Scoring_Config'!$C:$C,25),0),0)+IF(LEFT(AD316,4)="True",IF(_xlfn.XLOOKUP("Src_CIDR_Le_16",'Scoring_Config'!$A:$A,'Scoring_Config'!$D:$D,"Yes")="Yes",_xlfn.XLOOKUP("Src_CIDR_Le_16",'Scoring_Config'!$A:$A,'Scoring_Config'!$C:$C,25),0),0)+IF(LEFT(AE316,4)="True",IF(_xlfn.XLOOKUP("Src_CIDR_17_22",'Scoring_Config'!$A:$A,'Scoring_Config'!$D:$D,"Yes")="Yes",_xlfn.XLOOKUP("Src_CIDR_17_22",'Scoring_Config'!$A:$A,'Scoring_Config'!$C:$C,15),0),0)+IF(LEFT(AF316,4)="True",IF(_xlfn.XLOOKUP("Dst_IsAny",'Scoring_Config'!$A:$A,'Scoring_Config'!$D:$D,"Yes")="Yes",_xlfn.XLOOKUP("Dst_IsAny",'Scoring_Config'!$A:$A,'Scoring_Config'!$C:$C,25),0),0)+IF(LEFT(AG316,4)="True",IF(_xlfn.XLOOKUP("Dst_CIDR_Le_16",'Scoring_Config'!$A:$A,'Scoring_Config'!$D:$D,"Yes")="Yes",_xlfn.XLOOKUP("Dst_CIDR_Le_16",'Scoring_Config'!$A:$A,'Scoring_Config'!$C:$C,25),0),0)+IF(LEFT(AH316,4)="True",IF(_xlfn.XLOOKUP("Dst_CIDR_17_22",'Scoring_Config'!$A:$A,'Scoring_Config'!$D:$D,"Yes")="Yes",_xlfn.XLOOKUP("Dst_CIDR_17_22",'Scoring_Config'!$A:$A,'Scoring_Config'!$C:$C,15),0),0)+IF(LEFT(AI316,4)="True",IF(_xlfn.XLOOKUP("SrcZone_IsAny",'Scoring_Config'!$A:$A,'Scoring_Config'!$D:$D,"Yes")="Yes",_xlfn.XLOOKUP("SrcZone_IsAny",'Scoring_Config'!$A:$A,'Scoring_Config'!$C:$C,5),0),0)+IF(LEFT(AJ316,4)="True",IF(_xlfn.XLOOKUP("DstZone_IsAny",'Scoring_Config'!$A:$A,'Scoring_Config'!$D:$D,"Yes")="Yes",_xlfn.XLOOKUP("DstZone_IsAny",'Scoring_Config'!$A:$A,'Scoring_Config'!$C:$C,5),0),0)+IF(LEFT(AK316,4)="True",IF(_xlfn.XLOOKUP("Service_Any_OR_RangeGt1000",'Scoring_Config'!$A:$A,'Scoring_Config'!$D:$D,"Yes")="Yes",_xlfn.XLOOKUP("Service_Any_OR_RangeGt1000",'Scoring_Config'!$A:$A,'Scoring_Config'!$C:$C,25),0),0)+IF(LEFT(AL316,4)="True",IF(_xlfn.XLOOKUP("App_Any_OR_RangeGt1000",'Scoring_Config'!$A:$A,'Scoring_Config'!$D:$D,"Yes")="Yes",_xlfn.XLOOKUP("App_Any_OR_RangeGt1000",'Scoring_Config'!$A:$A,'Scoring_Config'!$C:$C,25),0),0)+IF(LEFT(AM316,4)="True",IF(_xlfn.XLOOKUP("Service_Insecure_Match",'Scoring_Config'!$A:$A,'Scoring_Config'!$D:$D,"Yes")="Yes",_xlfn.XLOOKUP("Service_Insecure_Match",'Scoring_Config'!$A:$A,'Scoring_Config'!$C:$C,20),0),0)+IF(LEFT(AN316,4)="True",IF(_xlfn.XLOOKUP("Risky_Inbound",'Scoring_Config'!$A:$A,'Scoring_Config'!$D:$D,"Yes")="Yes",_xlfn.XLOOKUP("Risky_Inbound",'Scoring_Config'!$A:$A,'Scoring_Config'!$C:$C,20),0),0)+IF(LEFT(AO316,4)="True",IF(_xlfn.XLOOKUP("Risky_Outbound",'Scoring_Config'!$A:$A,'Scoring_Config'!$D:$D,"Yes")="Yes",_xlfn.XLOOKUP("Risky_Outbound",'Scoring_Config'!$A:$A,'Scoring_Config'!$C:$C,10),0),0)+IF(LEFT(AW316,4)="True",IF(_xlfn.XLOOKUP("Migrate_Insecure",'Scoring_Config'!$A:$A,'Scoring_Config'!$D:$D,"Yes")="Yes",_xlfn.XLOOKUP("Migrate_Insecure",'Scoring_Config'!$A:$A,'Scoring_Config'!$C:$C,15),0),0)+IF(LEFT(AY316,4)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316,FIND(",",AP316)+1,100)),0)+IF(LEFT(AQ316,4)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316,FIND(",",AR316)+1,100)),0)+IF(_xlfn.XLOOKUP("Profile_Scoring",'Scoring_Config'!$A:$A,'Scoring_Config'!$D:$D,"Yes")="Yes",VALUE(MID(AS316,FIND(",",AS316)+1,100)),0)+IF(_xlfn.XLOOKUP("Options_Scoring",'Scoring_Config'!$A:$A,'Scoring_Config'!$D:$D,"Yes")="Yes",VALUE(MID(AT316,FIND(",",AT316)+1,100)),0)))</f>
        <v>0</v>
      </c>
    </row>
    <row r="317" spans="1:52">
      <c r="A317" s="3" t="s">
        <v>54</v>
      </c>
      <c r="B317" s="3" t="s">
        <v>261</v>
      </c>
      <c r="C317" s="3" t="s">
        <v>331</v>
      </c>
      <c r="D317" s="3"/>
      <c r="E317" s="3" t="s">
        <v>359</v>
      </c>
      <c r="F317" s="3" t="s">
        <v>361</v>
      </c>
      <c r="G317" s="3" t="s">
        <v>459</v>
      </c>
      <c r="H317" s="3" t="s">
        <v>459</v>
      </c>
      <c r="I317" s="3" t="s">
        <v>624</v>
      </c>
      <c r="J317" s="3" t="s">
        <v>360</v>
      </c>
      <c r="K317" s="3" t="s">
        <v>459</v>
      </c>
      <c r="L317" s="3" t="s">
        <v>459</v>
      </c>
      <c r="M317" s="3" t="s">
        <v>787</v>
      </c>
      <c r="N317" s="3" t="s">
        <v>787</v>
      </c>
      <c r="O317" s="4" t="s">
        <v>817</v>
      </c>
      <c r="P317" s="3" t="s">
        <v>878</v>
      </c>
      <c r="Q317" s="3" t="s">
        <v>905</v>
      </c>
      <c r="R317" s="3" t="s">
        <v>907</v>
      </c>
      <c r="S317" s="3" t="s">
        <v>907</v>
      </c>
      <c r="T317" s="3"/>
      <c r="U317" s="3" t="s">
        <v>1268</v>
      </c>
      <c r="V317" s="3" t="s">
        <v>1387</v>
      </c>
      <c r="W317" s="3" t="s">
        <v>1014</v>
      </c>
      <c r="X317" s="3" t="s">
        <v>1921</v>
      </c>
      <c r="Y317" s="3" t="s">
        <v>2390</v>
      </c>
      <c r="Z317" s="3"/>
      <c r="AA317" s="3" t="s">
        <v>2578</v>
      </c>
      <c r="AB317" s="3"/>
      <c r="AC317" s="4" cm="1">
        <f t="array" ref="AC317">IF(FALSE,"True," &amp; IF(_xlfn.XLOOKUP("Src_IsAny",'Scoring_Config'!$A:$A,'Scoring_Config'!$D:$D,"Yes")="Yes",_xlfn.XLOOKUP("Src_IsAny",'Scoring_Config'!$A:$A,'Scoring_Config'!$C:$C,25),0),"False,0")</f>
        <v>0</v>
      </c>
      <c r="AD317" s="4" cm="1">
        <f t="array" ref="AD317">IF(FALSE,"True," &amp; IF(_xlfn.XLOOKUP("Src_CIDR_Le_16",'Scoring_Config'!$A:$A,'Scoring_Config'!$D:$D,"Yes")="Yes",_xlfn.XLOOKUP("Src_CIDR_Le_16",'Scoring_Config'!$A:$A,'Scoring_Config'!$C:$C,25),0),"False,0")</f>
        <v>0</v>
      </c>
      <c r="AE317" s="4" cm="1">
        <f t="array" ref="AE317">IF(FALSE,"True," &amp; IF(_xlfn.XLOOKUP("Src_CIDR_17_22",'Scoring_Config'!$A:$A,'Scoring_Config'!$D:$D,"Yes")="Yes",_xlfn.XLOOKUP("Src_CIDR_17_22",'Scoring_Config'!$A:$A,'Scoring_Config'!$C:$C,15),0),"False,0")</f>
        <v>0</v>
      </c>
      <c r="AF317" s="4" cm="1">
        <f t="array" ref="AF317">IF(FALSE,"True," &amp; IF(_xlfn.XLOOKUP("Dst_IsAny",'Scoring_Config'!$A:$A,'Scoring_Config'!$D:$D,"Yes")="Yes",_xlfn.XLOOKUP("Dst_IsAny",'Scoring_Config'!$A:$A,'Scoring_Config'!$C:$C,25),0),"False,0")</f>
        <v>0</v>
      </c>
      <c r="AG317" s="4" cm="1">
        <f t="array" ref="AG317">IF(FALSE,"True," &amp; IF(_xlfn.XLOOKUP("Dst_CIDR_Le_16",'Scoring_Config'!$A:$A,'Scoring_Config'!$D:$D,"Yes")="Yes",_xlfn.XLOOKUP("Dst_CIDR_Le_16",'Scoring_Config'!$A:$A,'Scoring_Config'!$C:$C,25),0),"False,0")</f>
        <v>0</v>
      </c>
      <c r="AH317" s="4" cm="1">
        <f t="array" ref="AH317">IF(FALSE,"True," &amp; IF(_xlfn.XLOOKUP("Dst_CIDR_17_22",'Scoring_Config'!$A:$A,'Scoring_Config'!$D:$D,"Yes")="Yes",_xlfn.XLOOKUP("Dst_CIDR_17_22",'Scoring_Config'!$A:$A,'Scoring_Config'!$C:$C,15),0),"False,0")</f>
        <v>0</v>
      </c>
      <c r="AI317" s="4" cm="1">
        <f t="array" ref="AI317">IF(FALSE,"True," &amp; IF(_xlfn.XLOOKUP("SrcZone_IsAny",'Scoring_Config'!$A:$A,'Scoring_Config'!$D:$D,"Yes")="Yes",_xlfn.XLOOKUP("SrcZone_IsAny",'Scoring_Config'!$A:$A,'Scoring_Config'!$C:$C,5),0),"False,0")</f>
        <v>0</v>
      </c>
      <c r="AJ317" s="4" cm="1">
        <f t="array" ref="AJ317">IF(FALSE,"True," &amp; IF(_xlfn.XLOOKUP("DstZone_IsAny",'Scoring_Config'!$A:$A,'Scoring_Config'!$D:$D,"Yes")="Yes",_xlfn.XLOOKUP("DstZone_IsAny",'Scoring_Config'!$A:$A,'Scoring_Config'!$C:$C,5),0),"False,0")</f>
        <v>0</v>
      </c>
      <c r="AK317" s="4" cm="1">
        <f t="array" ref="AK31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7" s="4" cm="1">
        <f t="array" ref="AL317">IF(FALSE,"True," &amp; IF(_xlfn.XLOOKUP("App_Any_OR_RangeGt1000",'Scoring_Config'!$A:$A,'Scoring_Config'!$D:$D,"Yes")="Yes",_xlfn.XLOOKUP("App_Any_OR_RangeGt1000",'Scoring_Config'!$A:$A,'Scoring_Config'!$C:$C,25),0),"False,0")</f>
        <v>0</v>
      </c>
      <c r="AM317" s="5" cm="1">
        <f t="array" ref="AM317">IF(TRUE,"True," &amp; IF(_xlfn.XLOOKUP("Service_Insecure_Match",'Scoring_Config'!$A:$A,'Scoring_Config'!$D:$D,"Yes")="Yes",_xlfn.XLOOKUP("Service_Insecure_Match",'Scoring_Config'!$A:$A,'Scoring_Config'!$C:$C,20),0),"False,0")</f>
        <v>0</v>
      </c>
      <c r="AN317" s="4" cm="1">
        <f t="array" ref="AN317">IF(FALSE,"True," &amp; IF(_xlfn.XLOOKUP("Risky_Inbound",'Scoring_Config'!$A:$A,'Scoring_Config'!$D:$D,"Yes")="Yes",_xlfn.XLOOKUP("Risky_Inbound",'Scoring_Config'!$A:$A,'Scoring_Config'!$C:$C,20),0),"False,0")</f>
        <v>0</v>
      </c>
      <c r="AO317" s="4" cm="1">
        <f t="array" ref="AO317">IF(FALSE,"True," &amp; IF(_xlfn.XLOOKUP("Risky_Outbound",'Scoring_Config'!$A:$A,'Scoring_Config'!$D:$D,"Yes")="Yes",_xlfn.XLOOKUP("Risky_Outbound",'Scoring_Config'!$A:$A,'Scoring_Config'!$C:$C,10),0),"False,0")</f>
        <v>0</v>
      </c>
      <c r="AP317" s="5" t="s">
        <v>2595</v>
      </c>
      <c r="AQ317" s="5" cm="1">
        <f t="array" ref="AQ31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7" s="5" t="s">
        <v>2598</v>
      </c>
      <c r="AS317" s="5" t="s">
        <v>2595</v>
      </c>
      <c r="AT317" s="5" t="s">
        <v>2595</v>
      </c>
      <c r="AU317" s="4" cm="1">
        <f t="array" ref="AU317">IF(FALSE,"True," &amp; IF(_xlfn.XLOOKUP("Action_IsDenyOrDrop",'Scoring_Config'!$A:$A,'Scoring_Config'!$D:$D,"Yes")="Yes",_xlfn.XLOOKUP("Action_IsDenyOrDrop",'Scoring_Config'!$A:$A,'Scoring_Config'!$C:$C,0),0),"False,0")</f>
        <v>0</v>
      </c>
      <c r="AV317" s="4"/>
      <c r="AW317" s="4" cm="1">
        <f t="array" ref="AW317">IF(FALSE,"True," &amp; IF(_xlfn.XLOOKUP("Migrate_Insecure",'Scoring_Config'!$A:$A,'Scoring_Config'!$D:$D,"Yes")="Yes",_xlfn.XLOOKUP("Migrate_Insecure",'Scoring_Config'!$A:$A,'Scoring_Config'!$C:$C,15),0),"False,0")</f>
        <v>0</v>
      </c>
      <c r="AX317" s="4"/>
      <c r="AY317" s="4" cm="1">
        <f t="array" ref="AY317">IF(FALSE,"True," &amp; IF(_xlfn.XLOOKUP("Migrate_Other_Ports",'Scoring_Config'!$A:$A,'Scoring_Config'!$D:$D,"Yes")="Yes",_xlfn.XLOOKUP("Migrate_Other_Ports",'Scoring_Config'!$A:$A,'Scoring_Config'!$C:$C,5),0),"False,0")</f>
        <v>0</v>
      </c>
      <c r="AZ317" s="4" cm="1">
        <f t="array" ref="AZ317">IF(LEFT(AU317,4)="True",0,(IF(LEFT(AC317,4)="True",IF(_xlfn.XLOOKUP("Src_IsAny",'Scoring_Config'!$A:$A,'Scoring_Config'!$D:$D,"Yes")="Yes",_xlfn.XLOOKUP("Src_IsAny",'Scoring_Config'!$A:$A,'Scoring_Config'!$C:$C,25),0),0)+IF(LEFT(AD317,4)="True",IF(_xlfn.XLOOKUP("Src_CIDR_Le_16",'Scoring_Config'!$A:$A,'Scoring_Config'!$D:$D,"Yes")="Yes",_xlfn.XLOOKUP("Src_CIDR_Le_16",'Scoring_Config'!$A:$A,'Scoring_Config'!$C:$C,25),0),0)+IF(LEFT(AE317,4)="True",IF(_xlfn.XLOOKUP("Src_CIDR_17_22",'Scoring_Config'!$A:$A,'Scoring_Config'!$D:$D,"Yes")="Yes",_xlfn.XLOOKUP("Src_CIDR_17_22",'Scoring_Config'!$A:$A,'Scoring_Config'!$C:$C,15),0),0)+IF(LEFT(AF317,4)="True",IF(_xlfn.XLOOKUP("Dst_IsAny",'Scoring_Config'!$A:$A,'Scoring_Config'!$D:$D,"Yes")="Yes",_xlfn.XLOOKUP("Dst_IsAny",'Scoring_Config'!$A:$A,'Scoring_Config'!$C:$C,25),0),0)+IF(LEFT(AG317,4)="True",IF(_xlfn.XLOOKUP("Dst_CIDR_Le_16",'Scoring_Config'!$A:$A,'Scoring_Config'!$D:$D,"Yes")="Yes",_xlfn.XLOOKUP("Dst_CIDR_Le_16",'Scoring_Config'!$A:$A,'Scoring_Config'!$C:$C,25),0),0)+IF(LEFT(AH317,4)="True",IF(_xlfn.XLOOKUP("Dst_CIDR_17_22",'Scoring_Config'!$A:$A,'Scoring_Config'!$D:$D,"Yes")="Yes",_xlfn.XLOOKUP("Dst_CIDR_17_22",'Scoring_Config'!$A:$A,'Scoring_Config'!$C:$C,15),0),0)+IF(LEFT(AI317,4)="True",IF(_xlfn.XLOOKUP("SrcZone_IsAny",'Scoring_Config'!$A:$A,'Scoring_Config'!$D:$D,"Yes")="Yes",_xlfn.XLOOKUP("SrcZone_IsAny",'Scoring_Config'!$A:$A,'Scoring_Config'!$C:$C,5),0),0)+IF(LEFT(AJ317,4)="True",IF(_xlfn.XLOOKUP("DstZone_IsAny",'Scoring_Config'!$A:$A,'Scoring_Config'!$D:$D,"Yes")="Yes",_xlfn.XLOOKUP("DstZone_IsAny",'Scoring_Config'!$A:$A,'Scoring_Config'!$C:$C,5),0),0)+IF(LEFT(AK317,4)="True",IF(_xlfn.XLOOKUP("Service_Any_OR_RangeGt1000",'Scoring_Config'!$A:$A,'Scoring_Config'!$D:$D,"Yes")="Yes",_xlfn.XLOOKUP("Service_Any_OR_RangeGt1000",'Scoring_Config'!$A:$A,'Scoring_Config'!$C:$C,25),0),0)+IF(LEFT(AL317,4)="True",IF(_xlfn.XLOOKUP("App_Any_OR_RangeGt1000",'Scoring_Config'!$A:$A,'Scoring_Config'!$D:$D,"Yes")="Yes",_xlfn.XLOOKUP("App_Any_OR_RangeGt1000",'Scoring_Config'!$A:$A,'Scoring_Config'!$C:$C,25),0),0)+IF(LEFT(AM317,4)="True",IF(_xlfn.XLOOKUP("Service_Insecure_Match",'Scoring_Config'!$A:$A,'Scoring_Config'!$D:$D,"Yes")="Yes",_xlfn.XLOOKUP("Service_Insecure_Match",'Scoring_Config'!$A:$A,'Scoring_Config'!$C:$C,20),0),0)+IF(LEFT(AN317,4)="True",IF(_xlfn.XLOOKUP("Risky_Inbound",'Scoring_Config'!$A:$A,'Scoring_Config'!$D:$D,"Yes")="Yes",_xlfn.XLOOKUP("Risky_Inbound",'Scoring_Config'!$A:$A,'Scoring_Config'!$C:$C,20),0),0)+IF(LEFT(AO317,4)="True",IF(_xlfn.XLOOKUP("Risky_Outbound",'Scoring_Config'!$A:$A,'Scoring_Config'!$D:$D,"Yes")="Yes",_xlfn.XLOOKUP("Risky_Outbound",'Scoring_Config'!$A:$A,'Scoring_Config'!$C:$C,10),0),0)+IF(LEFT(AW317,4)="True",IF(_xlfn.XLOOKUP("Migrate_Insecure",'Scoring_Config'!$A:$A,'Scoring_Config'!$D:$D,"Yes")="Yes",_xlfn.XLOOKUP("Migrate_Insecure",'Scoring_Config'!$A:$A,'Scoring_Config'!$C:$C,15),0),0)+IF(LEFT(AY317,4)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317,FIND(",",AP317)+1,100)),0)+IF(LEFT(AQ317,4)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317,FIND(",",AR317)+1,100)),0)+IF(_xlfn.XLOOKUP("Profile_Scoring",'Scoring_Config'!$A:$A,'Scoring_Config'!$D:$D,"Yes")="Yes",VALUE(MID(AS317,FIND(",",AS317)+1,100)),0)+IF(_xlfn.XLOOKUP("Options_Scoring",'Scoring_Config'!$A:$A,'Scoring_Config'!$D:$D,"Yes")="Yes",VALUE(MID(AT317,FIND(",",AT317)+1,100)),0)))</f>
        <v>0</v>
      </c>
    </row>
    <row r="318" spans="1:52">
      <c r="A318" s="3" t="s">
        <v>54</v>
      </c>
      <c r="B318" s="3" t="s">
        <v>266</v>
      </c>
      <c r="C318" s="3" t="s">
        <v>331</v>
      </c>
      <c r="D318" s="3" t="s">
        <v>345</v>
      </c>
      <c r="E318" s="3" t="s">
        <v>359</v>
      </c>
      <c r="F318" s="3" t="s">
        <v>361</v>
      </c>
      <c r="G318" s="3" t="s">
        <v>365</v>
      </c>
      <c r="H318" s="3" t="s">
        <v>365</v>
      </c>
      <c r="I318" s="3" t="s">
        <v>623</v>
      </c>
      <c r="J318" s="3" t="s">
        <v>364</v>
      </c>
      <c r="K318" s="3" t="s">
        <v>365</v>
      </c>
      <c r="L318" s="3" t="s">
        <v>365</v>
      </c>
      <c r="M318" s="3" t="s">
        <v>365</v>
      </c>
      <c r="N318" s="3" t="s">
        <v>365</v>
      </c>
      <c r="O318" s="4" t="s">
        <v>842</v>
      </c>
      <c r="P318" s="3" t="s">
        <v>878</v>
      </c>
      <c r="Q318" s="3" t="s">
        <v>905</v>
      </c>
      <c r="R318" s="3" t="s">
        <v>907</v>
      </c>
      <c r="S318" s="3" t="s">
        <v>907</v>
      </c>
      <c r="T318" s="3"/>
      <c r="U318" s="3"/>
      <c r="V318" s="3" t="s">
        <v>772</v>
      </c>
      <c r="W318" s="3" t="s">
        <v>1553</v>
      </c>
      <c r="X318" s="3" t="s">
        <v>1922</v>
      </c>
      <c r="Y318" s="3" t="s">
        <v>2391</v>
      </c>
      <c r="Z318" s="3"/>
      <c r="AA318" s="3" t="s">
        <v>2579</v>
      </c>
      <c r="AB318" s="3"/>
      <c r="AC318" s="5" cm="1">
        <f t="array" ref="AC318">IF(TRUE,"True," &amp; IF(_xlfn.XLOOKUP("Src_IsAny",'Scoring_Config'!$A:$A,'Scoring_Config'!$D:$D,"Yes")="Yes",_xlfn.XLOOKUP("Src_IsAny",'Scoring_Config'!$A:$A,'Scoring_Config'!$C:$C,25),0),"False,0")</f>
        <v>0</v>
      </c>
      <c r="AD318" s="4" cm="1">
        <f t="array" ref="AD318">IF(FALSE,"True," &amp; IF(_xlfn.XLOOKUP("Src_CIDR_Le_16",'Scoring_Config'!$A:$A,'Scoring_Config'!$D:$D,"Yes")="Yes",_xlfn.XLOOKUP("Src_CIDR_Le_16",'Scoring_Config'!$A:$A,'Scoring_Config'!$C:$C,25),0),"False,0")</f>
        <v>0</v>
      </c>
      <c r="AE318" s="4" cm="1">
        <f t="array" ref="AE318">IF(FALSE,"True," &amp; IF(_xlfn.XLOOKUP("Src_CIDR_17_22",'Scoring_Config'!$A:$A,'Scoring_Config'!$D:$D,"Yes")="Yes",_xlfn.XLOOKUP("Src_CIDR_17_22",'Scoring_Config'!$A:$A,'Scoring_Config'!$C:$C,15),0),"False,0")</f>
        <v>0</v>
      </c>
      <c r="AF318" s="5" cm="1">
        <f t="array" ref="AF318">IF(TRUE,"True," &amp; IF(_xlfn.XLOOKUP("Dst_IsAny",'Scoring_Config'!$A:$A,'Scoring_Config'!$D:$D,"Yes")="Yes",_xlfn.XLOOKUP("Dst_IsAny",'Scoring_Config'!$A:$A,'Scoring_Config'!$C:$C,25),0),"False,0")</f>
        <v>0</v>
      </c>
      <c r="AG318" s="4" cm="1">
        <f t="array" ref="AG318">IF(FALSE,"True," &amp; IF(_xlfn.XLOOKUP("Dst_CIDR_Le_16",'Scoring_Config'!$A:$A,'Scoring_Config'!$D:$D,"Yes")="Yes",_xlfn.XLOOKUP("Dst_CIDR_Le_16",'Scoring_Config'!$A:$A,'Scoring_Config'!$C:$C,25),0),"False,0")</f>
        <v>0</v>
      </c>
      <c r="AH318" s="4" cm="1">
        <f t="array" ref="AH318">IF(FALSE,"True," &amp; IF(_xlfn.XLOOKUP("Dst_CIDR_17_22",'Scoring_Config'!$A:$A,'Scoring_Config'!$D:$D,"Yes")="Yes",_xlfn.XLOOKUP("Dst_CIDR_17_22",'Scoring_Config'!$A:$A,'Scoring_Config'!$C:$C,15),0),"False,0")</f>
        <v>0</v>
      </c>
      <c r="AI318" s="4" cm="1">
        <f t="array" ref="AI318">IF(FALSE,"True," &amp; IF(_xlfn.XLOOKUP("SrcZone_IsAny",'Scoring_Config'!$A:$A,'Scoring_Config'!$D:$D,"Yes")="Yes",_xlfn.XLOOKUP("SrcZone_IsAny",'Scoring_Config'!$A:$A,'Scoring_Config'!$C:$C,5),0),"False,0")</f>
        <v>0</v>
      </c>
      <c r="AJ318" s="4" cm="1">
        <f t="array" ref="AJ318">IF(FALSE,"True," &amp; IF(_xlfn.XLOOKUP("DstZone_IsAny",'Scoring_Config'!$A:$A,'Scoring_Config'!$D:$D,"Yes")="Yes",_xlfn.XLOOKUP("DstZone_IsAny",'Scoring_Config'!$A:$A,'Scoring_Config'!$C:$C,5),0),"False,0")</f>
        <v>0</v>
      </c>
      <c r="AK318" s="4" cm="1">
        <f t="array" ref="AK31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8" s="5" cm="1">
        <f t="array" ref="AL318">IF(TRUE,"True," &amp; IF(_xlfn.XLOOKUP("App_Any_OR_RangeGt1000",'Scoring_Config'!$A:$A,'Scoring_Config'!$D:$D,"Yes")="Yes",_xlfn.XLOOKUP("App_Any_OR_RangeGt1000",'Scoring_Config'!$A:$A,'Scoring_Config'!$C:$C,25),0),"False,0")</f>
        <v>0</v>
      </c>
      <c r="AM318" s="5" cm="1">
        <f t="array" ref="AM318">IF(TRUE,"True," &amp; IF(_xlfn.XLOOKUP("Service_Insecure_Match",'Scoring_Config'!$A:$A,'Scoring_Config'!$D:$D,"Yes")="Yes",_xlfn.XLOOKUP("Service_Insecure_Match",'Scoring_Config'!$A:$A,'Scoring_Config'!$C:$C,20),0),"False,0")</f>
        <v>0</v>
      </c>
      <c r="AN318" s="4" cm="1">
        <f t="array" ref="AN318">IF(FALSE,"True," &amp; IF(_xlfn.XLOOKUP("Risky_Inbound",'Scoring_Config'!$A:$A,'Scoring_Config'!$D:$D,"Yes")="Yes",_xlfn.XLOOKUP("Risky_Inbound",'Scoring_Config'!$A:$A,'Scoring_Config'!$C:$C,20),0),"False,0")</f>
        <v>0</v>
      </c>
      <c r="AO318" s="4" cm="1">
        <f t="array" ref="AO318">IF(FALSE,"True," &amp; IF(_xlfn.XLOOKUP("Risky_Outbound",'Scoring_Config'!$A:$A,'Scoring_Config'!$D:$D,"Yes")="Yes",_xlfn.XLOOKUP("Risky_Outbound",'Scoring_Config'!$A:$A,'Scoring_Config'!$C:$C,10),0),"False,0")</f>
        <v>0</v>
      </c>
      <c r="AP318" s="5" t="s">
        <v>2595</v>
      </c>
      <c r="AQ318" s="5" cm="1">
        <f t="array" ref="AQ31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8" s="5" t="s">
        <v>2598</v>
      </c>
      <c r="AS318" s="5" t="s">
        <v>2595</v>
      </c>
      <c r="AT318" s="5" t="s">
        <v>2595</v>
      </c>
      <c r="AU318" s="4" cm="1">
        <f t="array" ref="AU318">IF(FALSE,"True," &amp; IF(_xlfn.XLOOKUP("Action_IsDenyOrDrop",'Scoring_Config'!$A:$A,'Scoring_Config'!$D:$D,"Yes")="Yes",_xlfn.XLOOKUP("Action_IsDenyOrDrop",'Scoring_Config'!$A:$A,'Scoring_Config'!$C:$C,0),0),"False,0")</f>
        <v>0</v>
      </c>
      <c r="AV318" s="4"/>
      <c r="AW318" s="4" cm="1">
        <f t="array" ref="AW318">IF(FALSE,"True," &amp; IF(_xlfn.XLOOKUP("Migrate_Insecure",'Scoring_Config'!$A:$A,'Scoring_Config'!$D:$D,"Yes")="Yes",_xlfn.XLOOKUP("Migrate_Insecure",'Scoring_Config'!$A:$A,'Scoring_Config'!$C:$C,15),0),"False,0")</f>
        <v>0</v>
      </c>
      <c r="AX318" s="4"/>
      <c r="AY318" s="4" cm="1">
        <f t="array" ref="AY318">IF(FALSE,"True," &amp; IF(_xlfn.XLOOKUP("Migrate_Other_Ports",'Scoring_Config'!$A:$A,'Scoring_Config'!$D:$D,"Yes")="Yes",_xlfn.XLOOKUP("Migrate_Other_Ports",'Scoring_Config'!$A:$A,'Scoring_Config'!$C:$C,5),0),"False,0")</f>
        <v>0</v>
      </c>
      <c r="AZ318" s="4" cm="1">
        <f t="array" ref="AZ318">IF(LEFT(AU318,4)="True",0,(IF(LEFT(AC318,4)="True",IF(_xlfn.XLOOKUP("Src_IsAny",'Scoring_Config'!$A:$A,'Scoring_Config'!$D:$D,"Yes")="Yes",_xlfn.XLOOKUP("Src_IsAny",'Scoring_Config'!$A:$A,'Scoring_Config'!$C:$C,25),0),0)+IF(LEFT(AD318,4)="True",IF(_xlfn.XLOOKUP("Src_CIDR_Le_16",'Scoring_Config'!$A:$A,'Scoring_Config'!$D:$D,"Yes")="Yes",_xlfn.XLOOKUP("Src_CIDR_Le_16",'Scoring_Config'!$A:$A,'Scoring_Config'!$C:$C,25),0),0)+IF(LEFT(AE318,4)="True",IF(_xlfn.XLOOKUP("Src_CIDR_17_22",'Scoring_Config'!$A:$A,'Scoring_Config'!$D:$D,"Yes")="Yes",_xlfn.XLOOKUP("Src_CIDR_17_22",'Scoring_Config'!$A:$A,'Scoring_Config'!$C:$C,15),0),0)+IF(LEFT(AF318,4)="True",IF(_xlfn.XLOOKUP("Dst_IsAny",'Scoring_Config'!$A:$A,'Scoring_Config'!$D:$D,"Yes")="Yes",_xlfn.XLOOKUP("Dst_IsAny",'Scoring_Config'!$A:$A,'Scoring_Config'!$C:$C,25),0),0)+IF(LEFT(AG318,4)="True",IF(_xlfn.XLOOKUP("Dst_CIDR_Le_16",'Scoring_Config'!$A:$A,'Scoring_Config'!$D:$D,"Yes")="Yes",_xlfn.XLOOKUP("Dst_CIDR_Le_16",'Scoring_Config'!$A:$A,'Scoring_Config'!$C:$C,25),0),0)+IF(LEFT(AH318,4)="True",IF(_xlfn.XLOOKUP("Dst_CIDR_17_22",'Scoring_Config'!$A:$A,'Scoring_Config'!$D:$D,"Yes")="Yes",_xlfn.XLOOKUP("Dst_CIDR_17_22",'Scoring_Config'!$A:$A,'Scoring_Config'!$C:$C,15),0),0)+IF(LEFT(AI318,4)="True",IF(_xlfn.XLOOKUP("SrcZone_IsAny",'Scoring_Config'!$A:$A,'Scoring_Config'!$D:$D,"Yes")="Yes",_xlfn.XLOOKUP("SrcZone_IsAny",'Scoring_Config'!$A:$A,'Scoring_Config'!$C:$C,5),0),0)+IF(LEFT(AJ318,4)="True",IF(_xlfn.XLOOKUP("DstZone_IsAny",'Scoring_Config'!$A:$A,'Scoring_Config'!$D:$D,"Yes")="Yes",_xlfn.XLOOKUP("DstZone_IsAny",'Scoring_Config'!$A:$A,'Scoring_Config'!$C:$C,5),0),0)+IF(LEFT(AK318,4)="True",IF(_xlfn.XLOOKUP("Service_Any_OR_RangeGt1000",'Scoring_Config'!$A:$A,'Scoring_Config'!$D:$D,"Yes")="Yes",_xlfn.XLOOKUP("Service_Any_OR_RangeGt1000",'Scoring_Config'!$A:$A,'Scoring_Config'!$C:$C,25),0),0)+IF(LEFT(AL318,4)="True",IF(_xlfn.XLOOKUP("App_Any_OR_RangeGt1000",'Scoring_Config'!$A:$A,'Scoring_Config'!$D:$D,"Yes")="Yes",_xlfn.XLOOKUP("App_Any_OR_RangeGt1000",'Scoring_Config'!$A:$A,'Scoring_Config'!$C:$C,25),0),0)+IF(LEFT(AM318,4)="True",IF(_xlfn.XLOOKUP("Service_Insecure_Match",'Scoring_Config'!$A:$A,'Scoring_Config'!$D:$D,"Yes")="Yes",_xlfn.XLOOKUP("Service_Insecure_Match",'Scoring_Config'!$A:$A,'Scoring_Config'!$C:$C,20),0),0)+IF(LEFT(AN318,4)="True",IF(_xlfn.XLOOKUP("Risky_Inbound",'Scoring_Config'!$A:$A,'Scoring_Config'!$D:$D,"Yes")="Yes",_xlfn.XLOOKUP("Risky_Inbound",'Scoring_Config'!$A:$A,'Scoring_Config'!$C:$C,20),0),0)+IF(LEFT(AO318,4)="True",IF(_xlfn.XLOOKUP("Risky_Outbound",'Scoring_Config'!$A:$A,'Scoring_Config'!$D:$D,"Yes")="Yes",_xlfn.XLOOKUP("Risky_Outbound",'Scoring_Config'!$A:$A,'Scoring_Config'!$C:$C,10),0),0)+IF(LEFT(AW318,4)="True",IF(_xlfn.XLOOKUP("Migrate_Insecure",'Scoring_Config'!$A:$A,'Scoring_Config'!$D:$D,"Yes")="Yes",_xlfn.XLOOKUP("Migrate_Insecure",'Scoring_Config'!$A:$A,'Scoring_Config'!$C:$C,15),0),0)+IF(LEFT(AY318,4)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318,FIND(",",AP318)+1,100)),0)+IF(LEFT(AQ318,4)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318,FIND(",",AR318)+1,100)),0)+IF(_xlfn.XLOOKUP("Profile_Scoring",'Scoring_Config'!$A:$A,'Scoring_Config'!$D:$D,"Yes")="Yes",VALUE(MID(AS318,FIND(",",AS318)+1,100)),0)+IF(_xlfn.XLOOKUP("Options_Scoring",'Scoring_Config'!$A:$A,'Scoring_Config'!$D:$D,"Yes")="Yes",VALUE(MID(AT318,FIND(",",AT318)+1,100)),0)))</f>
        <v>0</v>
      </c>
    </row>
    <row r="319" spans="1:52">
      <c r="A319" s="3" t="s">
        <v>54</v>
      </c>
      <c r="B319" s="3" t="s">
        <v>128</v>
      </c>
      <c r="C319" s="3" t="s">
        <v>331</v>
      </c>
      <c r="D319" s="3" t="s">
        <v>335</v>
      </c>
      <c r="E319" s="3" t="s">
        <v>359</v>
      </c>
      <c r="F319" s="3" t="s">
        <v>361</v>
      </c>
      <c r="G319" s="3" t="s">
        <v>365</v>
      </c>
      <c r="H319" s="3" t="s">
        <v>365</v>
      </c>
      <c r="I319" s="3" t="s">
        <v>624</v>
      </c>
      <c r="J319" s="3" t="s">
        <v>364</v>
      </c>
      <c r="K319" s="3" t="s">
        <v>365</v>
      </c>
      <c r="L319" s="3" t="s">
        <v>365</v>
      </c>
      <c r="M319" s="3" t="s">
        <v>365</v>
      </c>
      <c r="N319" s="3" t="s">
        <v>365</v>
      </c>
      <c r="O319" s="4" t="s">
        <v>821</v>
      </c>
      <c r="P319" s="3" t="s">
        <v>882</v>
      </c>
      <c r="Q319" s="3" t="s">
        <v>905</v>
      </c>
      <c r="R319" s="3" t="s">
        <v>907</v>
      </c>
      <c r="S319" s="3" t="s">
        <v>913</v>
      </c>
      <c r="T319" s="3"/>
      <c r="U319" s="3" t="s">
        <v>1150</v>
      </c>
      <c r="V319" s="3" t="s">
        <v>772</v>
      </c>
      <c r="W319" s="3" t="s">
        <v>1540</v>
      </c>
      <c r="X319" s="3" t="s">
        <v>1923</v>
      </c>
      <c r="Y319" s="3" t="s">
        <v>2392</v>
      </c>
      <c r="Z319" s="3"/>
      <c r="AA319" s="3" t="s">
        <v>2580</v>
      </c>
      <c r="AB319" s="3"/>
      <c r="AC319" s="5" cm="1">
        <f t="array" ref="AC319">IF(TRUE,"True," &amp; IF(_xlfn.XLOOKUP("Src_IsAny",'Scoring_Config'!$A:$A,'Scoring_Config'!$D:$D,"Yes")="Yes",_xlfn.XLOOKUP("Src_IsAny",'Scoring_Config'!$A:$A,'Scoring_Config'!$C:$C,25),0),"False,0")</f>
        <v>0</v>
      </c>
      <c r="AD319" s="4" cm="1">
        <f t="array" ref="AD319">IF(FALSE,"True," &amp; IF(_xlfn.XLOOKUP("Src_CIDR_Le_16",'Scoring_Config'!$A:$A,'Scoring_Config'!$D:$D,"Yes")="Yes",_xlfn.XLOOKUP("Src_CIDR_Le_16",'Scoring_Config'!$A:$A,'Scoring_Config'!$C:$C,25),0),"False,0")</f>
        <v>0</v>
      </c>
      <c r="AE319" s="4" cm="1">
        <f t="array" ref="AE319">IF(FALSE,"True," &amp; IF(_xlfn.XLOOKUP("Src_CIDR_17_22",'Scoring_Config'!$A:$A,'Scoring_Config'!$D:$D,"Yes")="Yes",_xlfn.XLOOKUP("Src_CIDR_17_22",'Scoring_Config'!$A:$A,'Scoring_Config'!$C:$C,15),0),"False,0")</f>
        <v>0</v>
      </c>
      <c r="AF319" s="5" cm="1">
        <f t="array" ref="AF319">IF(TRUE,"True," &amp; IF(_xlfn.XLOOKUP("Dst_IsAny",'Scoring_Config'!$A:$A,'Scoring_Config'!$D:$D,"Yes")="Yes",_xlfn.XLOOKUP("Dst_IsAny",'Scoring_Config'!$A:$A,'Scoring_Config'!$C:$C,25),0),"False,0")</f>
        <v>0</v>
      </c>
      <c r="AG319" s="4" cm="1">
        <f t="array" ref="AG319">IF(FALSE,"True," &amp; IF(_xlfn.XLOOKUP("Dst_CIDR_Le_16",'Scoring_Config'!$A:$A,'Scoring_Config'!$D:$D,"Yes")="Yes",_xlfn.XLOOKUP("Dst_CIDR_Le_16",'Scoring_Config'!$A:$A,'Scoring_Config'!$C:$C,25),0),"False,0")</f>
        <v>0</v>
      </c>
      <c r="AH319" s="4" cm="1">
        <f t="array" ref="AH319">IF(FALSE,"True," &amp; IF(_xlfn.XLOOKUP("Dst_CIDR_17_22",'Scoring_Config'!$A:$A,'Scoring_Config'!$D:$D,"Yes")="Yes",_xlfn.XLOOKUP("Dst_CIDR_17_22",'Scoring_Config'!$A:$A,'Scoring_Config'!$C:$C,15),0),"False,0")</f>
        <v>0</v>
      </c>
      <c r="AI319" s="4" cm="1">
        <f t="array" ref="AI319">IF(FALSE,"True," &amp; IF(_xlfn.XLOOKUP("SrcZone_IsAny",'Scoring_Config'!$A:$A,'Scoring_Config'!$D:$D,"Yes")="Yes",_xlfn.XLOOKUP("SrcZone_IsAny",'Scoring_Config'!$A:$A,'Scoring_Config'!$C:$C,5),0),"False,0")</f>
        <v>0</v>
      </c>
      <c r="AJ319" s="4" cm="1">
        <f t="array" ref="AJ319">IF(FALSE,"True," &amp; IF(_xlfn.XLOOKUP("DstZone_IsAny",'Scoring_Config'!$A:$A,'Scoring_Config'!$D:$D,"Yes")="Yes",_xlfn.XLOOKUP("DstZone_IsAny",'Scoring_Config'!$A:$A,'Scoring_Config'!$C:$C,5),0),"False,0")</f>
        <v>0</v>
      </c>
      <c r="AK319" s="4" cm="1">
        <f t="array" ref="AK31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19" s="5" cm="1">
        <f t="array" ref="AL319">IF(TRUE,"True," &amp; IF(_xlfn.XLOOKUP("App_Any_OR_RangeGt1000",'Scoring_Config'!$A:$A,'Scoring_Config'!$D:$D,"Yes")="Yes",_xlfn.XLOOKUP("App_Any_OR_RangeGt1000",'Scoring_Config'!$A:$A,'Scoring_Config'!$C:$C,25),0),"False,0")</f>
        <v>0</v>
      </c>
      <c r="AM319" s="5" cm="1">
        <f t="array" ref="AM319">IF(TRUE,"True," &amp; IF(_xlfn.XLOOKUP("Service_Insecure_Match",'Scoring_Config'!$A:$A,'Scoring_Config'!$D:$D,"Yes")="Yes",_xlfn.XLOOKUP("Service_Insecure_Match",'Scoring_Config'!$A:$A,'Scoring_Config'!$C:$C,20),0),"False,0")</f>
        <v>0</v>
      </c>
      <c r="AN319" s="4" cm="1">
        <f t="array" ref="AN319">IF(FALSE,"True," &amp; IF(_xlfn.XLOOKUP("Risky_Inbound",'Scoring_Config'!$A:$A,'Scoring_Config'!$D:$D,"Yes")="Yes",_xlfn.XLOOKUP("Risky_Inbound",'Scoring_Config'!$A:$A,'Scoring_Config'!$C:$C,20),0),"False,0")</f>
        <v>0</v>
      </c>
      <c r="AO319" s="4" cm="1">
        <f t="array" ref="AO319">IF(FALSE,"True," &amp; IF(_xlfn.XLOOKUP("Risky_Outbound",'Scoring_Config'!$A:$A,'Scoring_Config'!$D:$D,"Yes")="Yes",_xlfn.XLOOKUP("Risky_Outbound",'Scoring_Config'!$A:$A,'Scoring_Config'!$C:$C,10),0),"False,0")</f>
        <v>0</v>
      </c>
      <c r="AP319" s="5" t="s">
        <v>2595</v>
      </c>
      <c r="AQ319" s="5" cm="1">
        <f t="array" ref="AQ31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19" s="5" t="s">
        <v>2598</v>
      </c>
      <c r="AS319" s="5" t="s">
        <v>2595</v>
      </c>
      <c r="AT319" s="4" t="s">
        <v>2592</v>
      </c>
      <c r="AU319" s="4" cm="1">
        <f t="array" ref="AU319">IF(FALSE,"True," &amp; IF(_xlfn.XLOOKUP("Action_IsDenyOrDrop",'Scoring_Config'!$A:$A,'Scoring_Config'!$D:$D,"Yes")="Yes",_xlfn.XLOOKUP("Action_IsDenyOrDrop",'Scoring_Config'!$A:$A,'Scoring_Config'!$C:$C,0),0),"False,0")</f>
        <v>0</v>
      </c>
      <c r="AV319" s="4"/>
      <c r="AW319" s="4" cm="1">
        <f t="array" ref="AW319">IF(FALSE,"True," &amp; IF(_xlfn.XLOOKUP("Migrate_Insecure",'Scoring_Config'!$A:$A,'Scoring_Config'!$D:$D,"Yes")="Yes",_xlfn.XLOOKUP("Migrate_Insecure",'Scoring_Config'!$A:$A,'Scoring_Config'!$C:$C,15),0),"False,0")</f>
        <v>0</v>
      </c>
      <c r="AX319" s="4"/>
      <c r="AY319" s="4" cm="1">
        <f t="array" ref="AY319">IF(FALSE,"True," &amp; IF(_xlfn.XLOOKUP("Migrate_Other_Ports",'Scoring_Config'!$A:$A,'Scoring_Config'!$D:$D,"Yes")="Yes",_xlfn.XLOOKUP("Migrate_Other_Ports",'Scoring_Config'!$A:$A,'Scoring_Config'!$C:$C,5),0),"False,0")</f>
        <v>0</v>
      </c>
      <c r="AZ319" s="4" cm="1">
        <f t="array" ref="AZ319">IF(LEFT(AU319,4)="True",0,(IF(LEFT(AC319,4)="True",IF(_xlfn.XLOOKUP("Src_IsAny",'Scoring_Config'!$A:$A,'Scoring_Config'!$D:$D,"Yes")="Yes",_xlfn.XLOOKUP("Src_IsAny",'Scoring_Config'!$A:$A,'Scoring_Config'!$C:$C,25),0),0)+IF(LEFT(AD319,4)="True",IF(_xlfn.XLOOKUP("Src_CIDR_Le_16",'Scoring_Config'!$A:$A,'Scoring_Config'!$D:$D,"Yes")="Yes",_xlfn.XLOOKUP("Src_CIDR_Le_16",'Scoring_Config'!$A:$A,'Scoring_Config'!$C:$C,25),0),0)+IF(LEFT(AE319,4)="True",IF(_xlfn.XLOOKUP("Src_CIDR_17_22",'Scoring_Config'!$A:$A,'Scoring_Config'!$D:$D,"Yes")="Yes",_xlfn.XLOOKUP("Src_CIDR_17_22",'Scoring_Config'!$A:$A,'Scoring_Config'!$C:$C,15),0),0)+IF(LEFT(AF319,4)="True",IF(_xlfn.XLOOKUP("Dst_IsAny",'Scoring_Config'!$A:$A,'Scoring_Config'!$D:$D,"Yes")="Yes",_xlfn.XLOOKUP("Dst_IsAny",'Scoring_Config'!$A:$A,'Scoring_Config'!$C:$C,25),0),0)+IF(LEFT(AG319,4)="True",IF(_xlfn.XLOOKUP("Dst_CIDR_Le_16",'Scoring_Config'!$A:$A,'Scoring_Config'!$D:$D,"Yes")="Yes",_xlfn.XLOOKUP("Dst_CIDR_Le_16",'Scoring_Config'!$A:$A,'Scoring_Config'!$C:$C,25),0),0)+IF(LEFT(AH319,4)="True",IF(_xlfn.XLOOKUP("Dst_CIDR_17_22",'Scoring_Config'!$A:$A,'Scoring_Config'!$D:$D,"Yes")="Yes",_xlfn.XLOOKUP("Dst_CIDR_17_22",'Scoring_Config'!$A:$A,'Scoring_Config'!$C:$C,15),0),0)+IF(LEFT(AI319,4)="True",IF(_xlfn.XLOOKUP("SrcZone_IsAny",'Scoring_Config'!$A:$A,'Scoring_Config'!$D:$D,"Yes")="Yes",_xlfn.XLOOKUP("SrcZone_IsAny",'Scoring_Config'!$A:$A,'Scoring_Config'!$C:$C,5),0),0)+IF(LEFT(AJ319,4)="True",IF(_xlfn.XLOOKUP("DstZone_IsAny",'Scoring_Config'!$A:$A,'Scoring_Config'!$D:$D,"Yes")="Yes",_xlfn.XLOOKUP("DstZone_IsAny",'Scoring_Config'!$A:$A,'Scoring_Config'!$C:$C,5),0),0)+IF(LEFT(AK319,4)="True",IF(_xlfn.XLOOKUP("Service_Any_OR_RangeGt1000",'Scoring_Config'!$A:$A,'Scoring_Config'!$D:$D,"Yes")="Yes",_xlfn.XLOOKUP("Service_Any_OR_RangeGt1000",'Scoring_Config'!$A:$A,'Scoring_Config'!$C:$C,25),0),0)+IF(LEFT(AL319,4)="True",IF(_xlfn.XLOOKUP("App_Any_OR_RangeGt1000",'Scoring_Config'!$A:$A,'Scoring_Config'!$D:$D,"Yes")="Yes",_xlfn.XLOOKUP("App_Any_OR_RangeGt1000",'Scoring_Config'!$A:$A,'Scoring_Config'!$C:$C,25),0),0)+IF(LEFT(AM319,4)="True",IF(_xlfn.XLOOKUP("Service_Insecure_Match",'Scoring_Config'!$A:$A,'Scoring_Config'!$D:$D,"Yes")="Yes",_xlfn.XLOOKUP("Service_Insecure_Match",'Scoring_Config'!$A:$A,'Scoring_Config'!$C:$C,20),0),0)+IF(LEFT(AN319,4)="True",IF(_xlfn.XLOOKUP("Risky_Inbound",'Scoring_Config'!$A:$A,'Scoring_Config'!$D:$D,"Yes")="Yes",_xlfn.XLOOKUP("Risky_Inbound",'Scoring_Config'!$A:$A,'Scoring_Config'!$C:$C,20),0),0)+IF(LEFT(AO319,4)="True",IF(_xlfn.XLOOKUP("Risky_Outbound",'Scoring_Config'!$A:$A,'Scoring_Config'!$D:$D,"Yes")="Yes",_xlfn.XLOOKUP("Risky_Outbound",'Scoring_Config'!$A:$A,'Scoring_Config'!$C:$C,10),0),0)+IF(LEFT(AW319,4)="True",IF(_xlfn.XLOOKUP("Migrate_Insecure",'Scoring_Config'!$A:$A,'Scoring_Config'!$D:$D,"Yes")="Yes",_xlfn.XLOOKUP("Migrate_Insecure",'Scoring_Config'!$A:$A,'Scoring_Config'!$C:$C,15),0),0)+IF(LEFT(AY319,4)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319,FIND(",",AP319)+1,100)),0)+IF(LEFT(AQ319,4)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319,FIND(",",AR319)+1,100)),0)+IF(_xlfn.XLOOKUP("Profile_Scoring",'Scoring_Config'!$A:$A,'Scoring_Config'!$D:$D,"Yes")="Yes",VALUE(MID(AS319,FIND(",",AS319)+1,100)),0)+IF(_xlfn.XLOOKUP("Options_Scoring",'Scoring_Config'!$A:$A,'Scoring_Config'!$D:$D,"Yes")="Yes",VALUE(MID(AT319,FIND(",",AT319)+1,100)),0)))</f>
        <v>0</v>
      </c>
    </row>
    <row r="320" spans="1:52">
      <c r="A320" s="3" t="s">
        <v>54</v>
      </c>
      <c r="B320" s="3" t="s">
        <v>103</v>
      </c>
      <c r="C320" s="3" t="s">
        <v>331</v>
      </c>
      <c r="D320" s="3"/>
      <c r="E320" s="3" t="s">
        <v>359</v>
      </c>
      <c r="F320" s="3" t="s">
        <v>361</v>
      </c>
      <c r="G320" s="3" t="s">
        <v>473</v>
      </c>
      <c r="H320" s="3" t="s">
        <v>473</v>
      </c>
      <c r="I320" s="3" t="s">
        <v>365</v>
      </c>
      <c r="J320" s="3" t="s">
        <v>364</v>
      </c>
      <c r="K320" s="3" t="s">
        <v>365</v>
      </c>
      <c r="L320" s="3" t="s">
        <v>365</v>
      </c>
      <c r="M320" s="3" t="s">
        <v>365</v>
      </c>
      <c r="N320" s="3" t="s">
        <v>365</v>
      </c>
      <c r="O320" s="4" t="s">
        <v>830</v>
      </c>
      <c r="P320" s="3" t="s">
        <v>891</v>
      </c>
      <c r="Q320" s="3" t="s">
        <v>905</v>
      </c>
      <c r="R320" s="3" t="s">
        <v>910</v>
      </c>
      <c r="S320" s="3" t="s">
        <v>907</v>
      </c>
      <c r="T320" s="3"/>
      <c r="U320" s="3" t="s">
        <v>1150</v>
      </c>
      <c r="V320" s="3" t="s">
        <v>1386</v>
      </c>
      <c r="W320" s="3" t="s">
        <v>1475</v>
      </c>
      <c r="X320" s="3" t="s">
        <v>1924</v>
      </c>
      <c r="Y320" s="3" t="s">
        <v>2393</v>
      </c>
      <c r="Z320" s="3"/>
      <c r="AA320" s="3" t="s">
        <v>2581</v>
      </c>
      <c r="AB320" s="3"/>
      <c r="AC320" s="4" cm="1">
        <f t="array" ref="AC320">IF(FALSE,"True," &amp; IF(_xlfn.XLOOKUP("Src_IsAny",'Scoring_Config'!$A:$A,'Scoring_Config'!$D:$D,"Yes")="Yes",_xlfn.XLOOKUP("Src_IsAny",'Scoring_Config'!$A:$A,'Scoring_Config'!$C:$C,25),0),"False,0")</f>
        <v>0</v>
      </c>
      <c r="AD320" s="4" cm="1">
        <f t="array" ref="AD320">IF(FALSE,"True," &amp; IF(_xlfn.XLOOKUP("Src_CIDR_Le_16",'Scoring_Config'!$A:$A,'Scoring_Config'!$D:$D,"Yes")="Yes",_xlfn.XLOOKUP("Src_CIDR_Le_16",'Scoring_Config'!$A:$A,'Scoring_Config'!$C:$C,25),0),"False,0")</f>
        <v>0</v>
      </c>
      <c r="AE320" s="4" cm="1">
        <f t="array" ref="AE320">IF(FALSE,"True," &amp; IF(_xlfn.XLOOKUP("Src_CIDR_17_22",'Scoring_Config'!$A:$A,'Scoring_Config'!$D:$D,"Yes")="Yes",_xlfn.XLOOKUP("Src_CIDR_17_22",'Scoring_Config'!$A:$A,'Scoring_Config'!$C:$C,15),0),"False,0")</f>
        <v>0</v>
      </c>
      <c r="AF320" s="5" cm="1">
        <f t="array" ref="AF320">IF(TRUE,"True," &amp; IF(_xlfn.XLOOKUP("Dst_IsAny",'Scoring_Config'!$A:$A,'Scoring_Config'!$D:$D,"Yes")="Yes",_xlfn.XLOOKUP("Dst_IsAny",'Scoring_Config'!$A:$A,'Scoring_Config'!$C:$C,25),0),"False,0")</f>
        <v>0</v>
      </c>
      <c r="AG320" s="4" cm="1">
        <f t="array" ref="AG320">IF(FALSE,"True," &amp; IF(_xlfn.XLOOKUP("Dst_CIDR_Le_16",'Scoring_Config'!$A:$A,'Scoring_Config'!$D:$D,"Yes")="Yes",_xlfn.XLOOKUP("Dst_CIDR_Le_16",'Scoring_Config'!$A:$A,'Scoring_Config'!$C:$C,25),0),"False,0")</f>
        <v>0</v>
      </c>
      <c r="AH320" s="4" cm="1">
        <f t="array" ref="AH320">IF(FALSE,"True," &amp; IF(_xlfn.XLOOKUP("Dst_CIDR_17_22",'Scoring_Config'!$A:$A,'Scoring_Config'!$D:$D,"Yes")="Yes",_xlfn.XLOOKUP("Dst_CIDR_17_22",'Scoring_Config'!$A:$A,'Scoring_Config'!$C:$C,15),0),"False,0")</f>
        <v>0</v>
      </c>
      <c r="AI320" s="4" cm="1">
        <f t="array" ref="AI320">IF(FALSE,"True," &amp; IF(_xlfn.XLOOKUP("SrcZone_IsAny",'Scoring_Config'!$A:$A,'Scoring_Config'!$D:$D,"Yes")="Yes",_xlfn.XLOOKUP("SrcZone_IsAny",'Scoring_Config'!$A:$A,'Scoring_Config'!$C:$C,5),0),"False,0")</f>
        <v>0</v>
      </c>
      <c r="AJ320" s="4" cm="1">
        <f t="array" ref="AJ320">IF(FALSE,"True," &amp; IF(_xlfn.XLOOKUP("DstZone_IsAny",'Scoring_Config'!$A:$A,'Scoring_Config'!$D:$D,"Yes")="Yes",_xlfn.XLOOKUP("DstZone_IsAny",'Scoring_Config'!$A:$A,'Scoring_Config'!$C:$C,5),0),"False,0")</f>
        <v>0</v>
      </c>
      <c r="AK320" s="4" cm="1">
        <f t="array" ref="AK32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0" s="5" cm="1">
        <f t="array" ref="AL320">IF(TRUE,"True," &amp; IF(_xlfn.XLOOKUP("App_Any_OR_RangeGt1000",'Scoring_Config'!$A:$A,'Scoring_Config'!$D:$D,"Yes")="Yes",_xlfn.XLOOKUP("App_Any_OR_RangeGt1000",'Scoring_Config'!$A:$A,'Scoring_Config'!$C:$C,25),0),"False,0")</f>
        <v>0</v>
      </c>
      <c r="AM320" s="5" cm="1">
        <f t="array" ref="AM320">IF(TRUE,"True," &amp; IF(_xlfn.XLOOKUP("Service_Insecure_Match",'Scoring_Config'!$A:$A,'Scoring_Config'!$D:$D,"Yes")="Yes",_xlfn.XLOOKUP("Service_Insecure_Match",'Scoring_Config'!$A:$A,'Scoring_Config'!$C:$C,20),0),"False,0")</f>
        <v>0</v>
      </c>
      <c r="AN320" s="4" cm="1">
        <f t="array" ref="AN320">IF(FALSE,"True," &amp; IF(_xlfn.XLOOKUP("Risky_Inbound",'Scoring_Config'!$A:$A,'Scoring_Config'!$D:$D,"Yes")="Yes",_xlfn.XLOOKUP("Risky_Inbound",'Scoring_Config'!$A:$A,'Scoring_Config'!$C:$C,20),0),"False,0")</f>
        <v>0</v>
      </c>
      <c r="AO320" s="4" cm="1">
        <f t="array" ref="AO320">IF(FALSE,"True," &amp; IF(_xlfn.XLOOKUP("Risky_Outbound",'Scoring_Config'!$A:$A,'Scoring_Config'!$D:$D,"Yes")="Yes",_xlfn.XLOOKUP("Risky_Outbound",'Scoring_Config'!$A:$A,'Scoring_Config'!$C:$C,10),0),"False,0")</f>
        <v>0</v>
      </c>
      <c r="AP320" s="5" t="s">
        <v>2595</v>
      </c>
      <c r="AQ320" s="5" cm="1">
        <f t="array" ref="AQ32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0" s="4" t="s">
        <v>2592</v>
      </c>
      <c r="AS320" s="4" t="s">
        <v>2592</v>
      </c>
      <c r="AT320" s="5" t="s">
        <v>2595</v>
      </c>
      <c r="AU320" s="4" cm="1">
        <f t="array" ref="AU320">IF(FALSE,"True," &amp; IF(_xlfn.XLOOKUP("Action_IsDenyOrDrop",'Scoring_Config'!$A:$A,'Scoring_Config'!$D:$D,"Yes")="Yes",_xlfn.XLOOKUP("Action_IsDenyOrDrop",'Scoring_Config'!$A:$A,'Scoring_Config'!$C:$C,0),0),"False,0")</f>
        <v>0</v>
      </c>
      <c r="AV320" s="4"/>
      <c r="AW320" s="4" cm="1">
        <f t="array" ref="AW320">IF(FALSE,"True," &amp; IF(_xlfn.XLOOKUP("Migrate_Insecure",'Scoring_Config'!$A:$A,'Scoring_Config'!$D:$D,"Yes")="Yes",_xlfn.XLOOKUP("Migrate_Insecure",'Scoring_Config'!$A:$A,'Scoring_Config'!$C:$C,15),0),"False,0")</f>
        <v>0</v>
      </c>
      <c r="AX320" s="4"/>
      <c r="AY320" s="4" cm="1">
        <f t="array" ref="AY320">IF(FALSE,"True," &amp; IF(_xlfn.XLOOKUP("Migrate_Other_Ports",'Scoring_Config'!$A:$A,'Scoring_Config'!$D:$D,"Yes")="Yes",_xlfn.XLOOKUP("Migrate_Other_Ports",'Scoring_Config'!$A:$A,'Scoring_Config'!$C:$C,5),0),"False,0")</f>
        <v>0</v>
      </c>
      <c r="AZ320" s="4" cm="1">
        <f t="array" ref="AZ320">IF(LEFT(AU320,4)="True",0,(IF(LEFT(AC320,4)="True",IF(_xlfn.XLOOKUP("Src_IsAny",'Scoring_Config'!$A:$A,'Scoring_Config'!$D:$D,"Yes")="Yes",_xlfn.XLOOKUP("Src_IsAny",'Scoring_Config'!$A:$A,'Scoring_Config'!$C:$C,25),0),0)+IF(LEFT(AD320,4)="True",IF(_xlfn.XLOOKUP("Src_CIDR_Le_16",'Scoring_Config'!$A:$A,'Scoring_Config'!$D:$D,"Yes")="Yes",_xlfn.XLOOKUP("Src_CIDR_Le_16",'Scoring_Config'!$A:$A,'Scoring_Config'!$C:$C,25),0),0)+IF(LEFT(AE320,4)="True",IF(_xlfn.XLOOKUP("Src_CIDR_17_22",'Scoring_Config'!$A:$A,'Scoring_Config'!$D:$D,"Yes")="Yes",_xlfn.XLOOKUP("Src_CIDR_17_22",'Scoring_Config'!$A:$A,'Scoring_Config'!$C:$C,15),0),0)+IF(LEFT(AF320,4)="True",IF(_xlfn.XLOOKUP("Dst_IsAny",'Scoring_Config'!$A:$A,'Scoring_Config'!$D:$D,"Yes")="Yes",_xlfn.XLOOKUP("Dst_IsAny",'Scoring_Config'!$A:$A,'Scoring_Config'!$C:$C,25),0),0)+IF(LEFT(AG320,4)="True",IF(_xlfn.XLOOKUP("Dst_CIDR_Le_16",'Scoring_Config'!$A:$A,'Scoring_Config'!$D:$D,"Yes")="Yes",_xlfn.XLOOKUP("Dst_CIDR_Le_16",'Scoring_Config'!$A:$A,'Scoring_Config'!$C:$C,25),0),0)+IF(LEFT(AH320,4)="True",IF(_xlfn.XLOOKUP("Dst_CIDR_17_22",'Scoring_Config'!$A:$A,'Scoring_Config'!$D:$D,"Yes")="Yes",_xlfn.XLOOKUP("Dst_CIDR_17_22",'Scoring_Config'!$A:$A,'Scoring_Config'!$C:$C,15),0),0)+IF(LEFT(AI320,4)="True",IF(_xlfn.XLOOKUP("SrcZone_IsAny",'Scoring_Config'!$A:$A,'Scoring_Config'!$D:$D,"Yes")="Yes",_xlfn.XLOOKUP("SrcZone_IsAny",'Scoring_Config'!$A:$A,'Scoring_Config'!$C:$C,5),0),0)+IF(LEFT(AJ320,4)="True",IF(_xlfn.XLOOKUP("DstZone_IsAny",'Scoring_Config'!$A:$A,'Scoring_Config'!$D:$D,"Yes")="Yes",_xlfn.XLOOKUP("DstZone_IsAny",'Scoring_Config'!$A:$A,'Scoring_Config'!$C:$C,5),0),0)+IF(LEFT(AK320,4)="True",IF(_xlfn.XLOOKUP("Service_Any_OR_RangeGt1000",'Scoring_Config'!$A:$A,'Scoring_Config'!$D:$D,"Yes")="Yes",_xlfn.XLOOKUP("Service_Any_OR_RangeGt1000",'Scoring_Config'!$A:$A,'Scoring_Config'!$C:$C,25),0),0)+IF(LEFT(AL320,4)="True",IF(_xlfn.XLOOKUP("App_Any_OR_RangeGt1000",'Scoring_Config'!$A:$A,'Scoring_Config'!$D:$D,"Yes")="Yes",_xlfn.XLOOKUP("App_Any_OR_RangeGt1000",'Scoring_Config'!$A:$A,'Scoring_Config'!$C:$C,25),0),0)+IF(LEFT(AM320,4)="True",IF(_xlfn.XLOOKUP("Service_Insecure_Match",'Scoring_Config'!$A:$A,'Scoring_Config'!$D:$D,"Yes")="Yes",_xlfn.XLOOKUP("Service_Insecure_Match",'Scoring_Config'!$A:$A,'Scoring_Config'!$C:$C,20),0),0)+IF(LEFT(AN320,4)="True",IF(_xlfn.XLOOKUP("Risky_Inbound",'Scoring_Config'!$A:$A,'Scoring_Config'!$D:$D,"Yes")="Yes",_xlfn.XLOOKUP("Risky_Inbound",'Scoring_Config'!$A:$A,'Scoring_Config'!$C:$C,20),0),0)+IF(LEFT(AO320,4)="True",IF(_xlfn.XLOOKUP("Risky_Outbound",'Scoring_Config'!$A:$A,'Scoring_Config'!$D:$D,"Yes")="Yes",_xlfn.XLOOKUP("Risky_Outbound",'Scoring_Config'!$A:$A,'Scoring_Config'!$C:$C,10),0),0)+IF(LEFT(AW320,4)="True",IF(_xlfn.XLOOKUP("Migrate_Insecure",'Scoring_Config'!$A:$A,'Scoring_Config'!$D:$D,"Yes")="Yes",_xlfn.XLOOKUP("Migrate_Insecure",'Scoring_Config'!$A:$A,'Scoring_Config'!$C:$C,15),0),0)+IF(LEFT(AY320,4)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320,FIND(",",AP320)+1,100)),0)+IF(LEFT(AQ320,4)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320,FIND(",",AR320)+1,100)),0)+IF(_xlfn.XLOOKUP("Profile_Scoring",'Scoring_Config'!$A:$A,'Scoring_Config'!$D:$D,"Yes")="Yes",VALUE(MID(AS320,FIND(",",AS320)+1,100)),0)+IF(_xlfn.XLOOKUP("Options_Scoring",'Scoring_Config'!$A:$A,'Scoring_Config'!$D:$D,"Yes")="Yes",VALUE(MID(AT320,FIND(",",AT320)+1,100)),0)))</f>
        <v>0</v>
      </c>
    </row>
    <row r="321" spans="1:52">
      <c r="A321" s="3" t="s">
        <v>54</v>
      </c>
      <c r="B321" s="3" t="s">
        <v>105</v>
      </c>
      <c r="C321" s="3" t="s">
        <v>331</v>
      </c>
      <c r="D321" s="3"/>
      <c r="E321" s="3" t="s">
        <v>359</v>
      </c>
      <c r="F321" s="3" t="s">
        <v>361</v>
      </c>
      <c r="G321" s="3" t="s">
        <v>402</v>
      </c>
      <c r="H321" s="3" t="s">
        <v>402</v>
      </c>
      <c r="I321" s="3" t="s">
        <v>624</v>
      </c>
      <c r="J321" s="3" t="s">
        <v>364</v>
      </c>
      <c r="K321" s="3" t="s">
        <v>365</v>
      </c>
      <c r="L321" s="3" t="s">
        <v>365</v>
      </c>
      <c r="M321" s="3" t="s">
        <v>783</v>
      </c>
      <c r="N321" s="3" t="s">
        <v>799</v>
      </c>
      <c r="O321" s="4" t="s">
        <v>846</v>
      </c>
      <c r="P321" s="3" t="s">
        <v>899</v>
      </c>
      <c r="Q321" s="3" t="s">
        <v>905</v>
      </c>
      <c r="R321" s="3" t="s">
        <v>907</v>
      </c>
      <c r="S321" s="3" t="s">
        <v>913</v>
      </c>
      <c r="T321" s="3"/>
      <c r="U321" s="3" t="s">
        <v>1311</v>
      </c>
      <c r="V321" s="3" t="s">
        <v>772</v>
      </c>
      <c r="W321" s="3" t="s">
        <v>1554</v>
      </c>
      <c r="X321" s="3" t="s">
        <v>1925</v>
      </c>
      <c r="Y321" s="3" t="s">
        <v>2394</v>
      </c>
      <c r="Z321" s="3"/>
      <c r="AA321" s="3" t="s">
        <v>1100</v>
      </c>
      <c r="AB321" s="3"/>
      <c r="AC321" s="4" cm="1">
        <f t="array" ref="AC321">IF(FALSE,"True," &amp; IF(_xlfn.XLOOKUP("Src_IsAny",'Scoring_Config'!$A:$A,'Scoring_Config'!$D:$D,"Yes")="Yes",_xlfn.XLOOKUP("Src_IsAny",'Scoring_Config'!$A:$A,'Scoring_Config'!$C:$C,25),0),"False,0")</f>
        <v>0</v>
      </c>
      <c r="AD321" s="4" cm="1">
        <f t="array" ref="AD321">IF(FALSE,"True," &amp; IF(_xlfn.XLOOKUP("Src_CIDR_Le_16",'Scoring_Config'!$A:$A,'Scoring_Config'!$D:$D,"Yes")="Yes",_xlfn.XLOOKUP("Src_CIDR_Le_16",'Scoring_Config'!$A:$A,'Scoring_Config'!$C:$C,25),0),"False,0")</f>
        <v>0</v>
      </c>
      <c r="AE321" s="4" cm="1">
        <f t="array" ref="AE321">IF(FALSE,"True," &amp; IF(_xlfn.XLOOKUP("Src_CIDR_17_22",'Scoring_Config'!$A:$A,'Scoring_Config'!$D:$D,"Yes")="Yes",_xlfn.XLOOKUP("Src_CIDR_17_22",'Scoring_Config'!$A:$A,'Scoring_Config'!$C:$C,15),0),"False,0")</f>
        <v>0</v>
      </c>
      <c r="AF321" s="5" cm="1">
        <f t="array" ref="AF321">IF(TRUE,"True," &amp; IF(_xlfn.XLOOKUP("Dst_IsAny",'Scoring_Config'!$A:$A,'Scoring_Config'!$D:$D,"Yes")="Yes",_xlfn.XLOOKUP("Dst_IsAny",'Scoring_Config'!$A:$A,'Scoring_Config'!$C:$C,25),0),"False,0")</f>
        <v>0</v>
      </c>
      <c r="AG321" s="4" cm="1">
        <f t="array" ref="AG321">IF(FALSE,"True," &amp; IF(_xlfn.XLOOKUP("Dst_CIDR_Le_16",'Scoring_Config'!$A:$A,'Scoring_Config'!$D:$D,"Yes")="Yes",_xlfn.XLOOKUP("Dst_CIDR_Le_16",'Scoring_Config'!$A:$A,'Scoring_Config'!$C:$C,25),0),"False,0")</f>
        <v>0</v>
      </c>
      <c r="AH321" s="4" cm="1">
        <f t="array" ref="AH321">IF(FALSE,"True," &amp; IF(_xlfn.XLOOKUP("Dst_CIDR_17_22",'Scoring_Config'!$A:$A,'Scoring_Config'!$D:$D,"Yes")="Yes",_xlfn.XLOOKUP("Dst_CIDR_17_22",'Scoring_Config'!$A:$A,'Scoring_Config'!$C:$C,15),0),"False,0")</f>
        <v>0</v>
      </c>
      <c r="AI321" s="4" cm="1">
        <f t="array" ref="AI321">IF(FALSE,"True," &amp; IF(_xlfn.XLOOKUP("SrcZone_IsAny",'Scoring_Config'!$A:$A,'Scoring_Config'!$D:$D,"Yes")="Yes",_xlfn.XLOOKUP("SrcZone_IsAny",'Scoring_Config'!$A:$A,'Scoring_Config'!$C:$C,5),0),"False,0")</f>
        <v>0</v>
      </c>
      <c r="AJ321" s="4" cm="1">
        <f t="array" ref="AJ321">IF(FALSE,"True," &amp; IF(_xlfn.XLOOKUP("DstZone_IsAny",'Scoring_Config'!$A:$A,'Scoring_Config'!$D:$D,"Yes")="Yes",_xlfn.XLOOKUP("DstZone_IsAny",'Scoring_Config'!$A:$A,'Scoring_Config'!$C:$C,5),0),"False,0")</f>
        <v>0</v>
      </c>
      <c r="AK321" s="4" cm="1">
        <f t="array" ref="AK32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1" s="4" cm="1">
        <f t="array" ref="AL321">IF(FALSE,"True," &amp; IF(_xlfn.XLOOKUP("App_Any_OR_RangeGt1000",'Scoring_Config'!$A:$A,'Scoring_Config'!$D:$D,"Yes")="Yes",_xlfn.XLOOKUP("App_Any_OR_RangeGt1000",'Scoring_Config'!$A:$A,'Scoring_Config'!$C:$C,25),0),"False,0")</f>
        <v>0</v>
      </c>
      <c r="AM321" s="5" cm="1">
        <f t="array" ref="AM321">IF(TRUE,"True," &amp; IF(_xlfn.XLOOKUP("Service_Insecure_Match",'Scoring_Config'!$A:$A,'Scoring_Config'!$D:$D,"Yes")="Yes",_xlfn.XLOOKUP("Service_Insecure_Match",'Scoring_Config'!$A:$A,'Scoring_Config'!$C:$C,20),0),"False,0")</f>
        <v>0</v>
      </c>
      <c r="AN321" s="4" cm="1">
        <f t="array" ref="AN321">IF(FALSE,"True," &amp; IF(_xlfn.XLOOKUP("Risky_Inbound",'Scoring_Config'!$A:$A,'Scoring_Config'!$D:$D,"Yes")="Yes",_xlfn.XLOOKUP("Risky_Inbound",'Scoring_Config'!$A:$A,'Scoring_Config'!$C:$C,20),0),"False,0")</f>
        <v>0</v>
      </c>
      <c r="AO321" s="4" cm="1">
        <f t="array" ref="AO321">IF(FALSE,"True," &amp; IF(_xlfn.XLOOKUP("Risky_Outbound",'Scoring_Config'!$A:$A,'Scoring_Config'!$D:$D,"Yes")="Yes",_xlfn.XLOOKUP("Risky_Outbound",'Scoring_Config'!$A:$A,'Scoring_Config'!$C:$C,10),0),"False,0")</f>
        <v>0</v>
      </c>
      <c r="AP321" s="5" t="s">
        <v>2595</v>
      </c>
      <c r="AQ321" s="4" cm="1">
        <f t="array" ref="AQ32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1" s="5" t="s">
        <v>2598</v>
      </c>
      <c r="AS321" s="5" t="s">
        <v>2595</v>
      </c>
      <c r="AT321" s="4" t="s">
        <v>2592</v>
      </c>
      <c r="AU321" s="4" cm="1">
        <f t="array" ref="AU321">IF(FALSE,"True," &amp; IF(_xlfn.XLOOKUP("Action_IsDenyOrDrop",'Scoring_Config'!$A:$A,'Scoring_Config'!$D:$D,"Yes")="Yes",_xlfn.XLOOKUP("Action_IsDenyOrDrop",'Scoring_Config'!$A:$A,'Scoring_Config'!$C:$C,0),0),"False,0")</f>
        <v>0</v>
      </c>
      <c r="AV321" s="4" t="s">
        <v>783</v>
      </c>
      <c r="AW321" s="5" cm="1">
        <f t="array" ref="AW321">IF(TRUE,"True," &amp; IF(_xlfn.XLOOKUP("Migrate_Insecure",'Scoring_Config'!$A:$A,'Scoring_Config'!$D:$D,"Yes")="Yes",_xlfn.XLOOKUP("Migrate_Insecure",'Scoring_Config'!$A:$A,'Scoring_Config'!$C:$C,15),0),"False,0")</f>
        <v>0</v>
      </c>
      <c r="AX321" s="4"/>
      <c r="AY321" s="4" cm="1">
        <f t="array" ref="AY321">IF(FALSE,"True," &amp; IF(_xlfn.XLOOKUP("Migrate_Other_Ports",'Scoring_Config'!$A:$A,'Scoring_Config'!$D:$D,"Yes")="Yes",_xlfn.XLOOKUP("Migrate_Other_Ports",'Scoring_Config'!$A:$A,'Scoring_Config'!$C:$C,5),0),"False,0")</f>
        <v>0</v>
      </c>
      <c r="AZ321" s="4" cm="1">
        <f t="array" ref="AZ321">IF(LEFT(AU321,4)="True",0,(IF(LEFT(AC321,4)="True",IF(_xlfn.XLOOKUP("Src_IsAny",'Scoring_Config'!$A:$A,'Scoring_Config'!$D:$D,"Yes")="Yes",_xlfn.XLOOKUP("Src_IsAny",'Scoring_Config'!$A:$A,'Scoring_Config'!$C:$C,25),0),0)+IF(LEFT(AD321,4)="True",IF(_xlfn.XLOOKUP("Src_CIDR_Le_16",'Scoring_Config'!$A:$A,'Scoring_Config'!$D:$D,"Yes")="Yes",_xlfn.XLOOKUP("Src_CIDR_Le_16",'Scoring_Config'!$A:$A,'Scoring_Config'!$C:$C,25),0),0)+IF(LEFT(AE321,4)="True",IF(_xlfn.XLOOKUP("Src_CIDR_17_22",'Scoring_Config'!$A:$A,'Scoring_Config'!$D:$D,"Yes")="Yes",_xlfn.XLOOKUP("Src_CIDR_17_22",'Scoring_Config'!$A:$A,'Scoring_Config'!$C:$C,15),0),0)+IF(LEFT(AF321,4)="True",IF(_xlfn.XLOOKUP("Dst_IsAny",'Scoring_Config'!$A:$A,'Scoring_Config'!$D:$D,"Yes")="Yes",_xlfn.XLOOKUP("Dst_IsAny",'Scoring_Config'!$A:$A,'Scoring_Config'!$C:$C,25),0),0)+IF(LEFT(AG321,4)="True",IF(_xlfn.XLOOKUP("Dst_CIDR_Le_16",'Scoring_Config'!$A:$A,'Scoring_Config'!$D:$D,"Yes")="Yes",_xlfn.XLOOKUP("Dst_CIDR_Le_16",'Scoring_Config'!$A:$A,'Scoring_Config'!$C:$C,25),0),0)+IF(LEFT(AH321,4)="True",IF(_xlfn.XLOOKUP("Dst_CIDR_17_22",'Scoring_Config'!$A:$A,'Scoring_Config'!$D:$D,"Yes")="Yes",_xlfn.XLOOKUP("Dst_CIDR_17_22",'Scoring_Config'!$A:$A,'Scoring_Config'!$C:$C,15),0),0)+IF(LEFT(AI321,4)="True",IF(_xlfn.XLOOKUP("SrcZone_IsAny",'Scoring_Config'!$A:$A,'Scoring_Config'!$D:$D,"Yes")="Yes",_xlfn.XLOOKUP("SrcZone_IsAny",'Scoring_Config'!$A:$A,'Scoring_Config'!$C:$C,5),0),0)+IF(LEFT(AJ321,4)="True",IF(_xlfn.XLOOKUP("DstZone_IsAny",'Scoring_Config'!$A:$A,'Scoring_Config'!$D:$D,"Yes")="Yes",_xlfn.XLOOKUP("DstZone_IsAny",'Scoring_Config'!$A:$A,'Scoring_Config'!$C:$C,5),0),0)+IF(LEFT(AK321,4)="True",IF(_xlfn.XLOOKUP("Service_Any_OR_RangeGt1000",'Scoring_Config'!$A:$A,'Scoring_Config'!$D:$D,"Yes")="Yes",_xlfn.XLOOKUP("Service_Any_OR_RangeGt1000",'Scoring_Config'!$A:$A,'Scoring_Config'!$C:$C,25),0),0)+IF(LEFT(AL321,4)="True",IF(_xlfn.XLOOKUP("App_Any_OR_RangeGt1000",'Scoring_Config'!$A:$A,'Scoring_Config'!$D:$D,"Yes")="Yes",_xlfn.XLOOKUP("App_Any_OR_RangeGt1000",'Scoring_Config'!$A:$A,'Scoring_Config'!$C:$C,25),0),0)+IF(LEFT(AM321,4)="True",IF(_xlfn.XLOOKUP("Service_Insecure_Match",'Scoring_Config'!$A:$A,'Scoring_Config'!$D:$D,"Yes")="Yes",_xlfn.XLOOKUP("Service_Insecure_Match",'Scoring_Config'!$A:$A,'Scoring_Config'!$C:$C,20),0),0)+IF(LEFT(AN321,4)="True",IF(_xlfn.XLOOKUP("Risky_Inbound",'Scoring_Config'!$A:$A,'Scoring_Config'!$D:$D,"Yes")="Yes",_xlfn.XLOOKUP("Risky_Inbound",'Scoring_Config'!$A:$A,'Scoring_Config'!$C:$C,20),0),0)+IF(LEFT(AO321,4)="True",IF(_xlfn.XLOOKUP("Risky_Outbound",'Scoring_Config'!$A:$A,'Scoring_Config'!$D:$D,"Yes")="Yes",_xlfn.XLOOKUP("Risky_Outbound",'Scoring_Config'!$A:$A,'Scoring_Config'!$C:$C,10),0),0)+IF(LEFT(AW321,4)="True",IF(_xlfn.XLOOKUP("Migrate_Insecure",'Scoring_Config'!$A:$A,'Scoring_Config'!$D:$D,"Yes")="Yes",_xlfn.XLOOKUP("Migrate_Insecure",'Scoring_Config'!$A:$A,'Scoring_Config'!$C:$C,15),0),0)+IF(LEFT(AY321,4)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321,FIND(",",AP321)+1,100)),0)+IF(LEFT(AQ321,4)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321,FIND(",",AR321)+1,100)),0)+IF(_xlfn.XLOOKUP("Profile_Scoring",'Scoring_Config'!$A:$A,'Scoring_Config'!$D:$D,"Yes")="Yes",VALUE(MID(AS321,FIND(",",AS321)+1,100)),0)+IF(_xlfn.XLOOKUP("Options_Scoring",'Scoring_Config'!$A:$A,'Scoring_Config'!$D:$D,"Yes")="Yes",VALUE(MID(AT321,FIND(",",AT321)+1,100)),0)))</f>
        <v>0</v>
      </c>
    </row>
    <row r="322" spans="1:52">
      <c r="A322" s="3" t="s">
        <v>54</v>
      </c>
      <c r="B322" s="3" t="s">
        <v>267</v>
      </c>
      <c r="C322" s="3" t="s">
        <v>331</v>
      </c>
      <c r="D322" s="3"/>
      <c r="E322" s="3" t="s">
        <v>359</v>
      </c>
      <c r="F322" s="3" t="s">
        <v>363</v>
      </c>
      <c r="G322" s="3" t="s">
        <v>486</v>
      </c>
      <c r="H322" s="3" t="s">
        <v>486</v>
      </c>
      <c r="I322" s="3" t="s">
        <v>624</v>
      </c>
      <c r="J322" s="3" t="s">
        <v>364</v>
      </c>
      <c r="K322" s="3" t="s">
        <v>708</v>
      </c>
      <c r="L322" s="3" t="s">
        <v>467</v>
      </c>
      <c r="M322" s="3" t="s">
        <v>365</v>
      </c>
      <c r="N322" s="3" t="s">
        <v>365</v>
      </c>
      <c r="O322" s="4" t="s">
        <v>847</v>
      </c>
      <c r="P322" s="3" t="s">
        <v>900</v>
      </c>
      <c r="Q322" s="3" t="s">
        <v>904</v>
      </c>
      <c r="R322" s="3" t="s">
        <v>910</v>
      </c>
      <c r="S322" s="3" t="s">
        <v>914</v>
      </c>
      <c r="T322" s="3"/>
      <c r="U322" s="3" t="s">
        <v>1312</v>
      </c>
      <c r="V322" s="3" t="s">
        <v>1386</v>
      </c>
      <c r="W322" s="3" t="s">
        <v>1402</v>
      </c>
      <c r="X322" s="3" t="s">
        <v>1926</v>
      </c>
      <c r="Y322" s="3" t="s">
        <v>2395</v>
      </c>
      <c r="Z322" s="3"/>
      <c r="AA322" s="3" t="s">
        <v>919</v>
      </c>
      <c r="AB322" s="3"/>
      <c r="AC322" s="4" cm="1">
        <f t="array" ref="AC322">IF(FALSE,"True," &amp; IF(_xlfn.XLOOKUP("Src_IsAny",'Scoring_Config'!$A:$A,'Scoring_Config'!$D:$D,"Yes")="Yes",_xlfn.XLOOKUP("Src_IsAny",'Scoring_Config'!$A:$A,'Scoring_Config'!$C:$C,25),0),"False,0")</f>
        <v>0</v>
      </c>
      <c r="AD322" s="4" cm="1">
        <f t="array" ref="AD322">IF(FALSE,"True," &amp; IF(_xlfn.XLOOKUP("Src_CIDR_Le_16",'Scoring_Config'!$A:$A,'Scoring_Config'!$D:$D,"Yes")="Yes",_xlfn.XLOOKUP("Src_CIDR_Le_16",'Scoring_Config'!$A:$A,'Scoring_Config'!$C:$C,25),0),"False,0")</f>
        <v>0</v>
      </c>
      <c r="AE322" s="4" cm="1">
        <f t="array" ref="AE322">IF(FALSE,"True," &amp; IF(_xlfn.XLOOKUP("Src_CIDR_17_22",'Scoring_Config'!$A:$A,'Scoring_Config'!$D:$D,"Yes")="Yes",_xlfn.XLOOKUP("Src_CIDR_17_22",'Scoring_Config'!$A:$A,'Scoring_Config'!$C:$C,15),0),"False,0")</f>
        <v>0</v>
      </c>
      <c r="AF322" s="4" cm="1">
        <f t="array" ref="AF322">IF(FALSE,"True," &amp; IF(_xlfn.XLOOKUP("Dst_IsAny",'Scoring_Config'!$A:$A,'Scoring_Config'!$D:$D,"Yes")="Yes",_xlfn.XLOOKUP("Dst_IsAny",'Scoring_Config'!$A:$A,'Scoring_Config'!$C:$C,25),0),"False,0")</f>
        <v>0</v>
      </c>
      <c r="AG322" s="4" cm="1">
        <f t="array" ref="AG322">IF(FALSE,"True," &amp; IF(_xlfn.XLOOKUP("Dst_CIDR_Le_16",'Scoring_Config'!$A:$A,'Scoring_Config'!$D:$D,"Yes")="Yes",_xlfn.XLOOKUP("Dst_CIDR_Le_16",'Scoring_Config'!$A:$A,'Scoring_Config'!$C:$C,25),0),"False,0")</f>
        <v>0</v>
      </c>
      <c r="AH322" s="4" cm="1">
        <f t="array" ref="AH322">IF(FALSE,"True," &amp; IF(_xlfn.XLOOKUP("Dst_CIDR_17_22",'Scoring_Config'!$A:$A,'Scoring_Config'!$D:$D,"Yes")="Yes",_xlfn.XLOOKUP("Dst_CIDR_17_22",'Scoring_Config'!$A:$A,'Scoring_Config'!$C:$C,15),0),"False,0")</f>
        <v>0</v>
      </c>
      <c r="AI322" s="4" cm="1">
        <f t="array" ref="AI322">IF(FALSE,"True," &amp; IF(_xlfn.XLOOKUP("SrcZone_IsAny",'Scoring_Config'!$A:$A,'Scoring_Config'!$D:$D,"Yes")="Yes",_xlfn.XLOOKUP("SrcZone_IsAny",'Scoring_Config'!$A:$A,'Scoring_Config'!$C:$C,5),0),"False,0")</f>
        <v>0</v>
      </c>
      <c r="AJ322" s="4" cm="1">
        <f t="array" ref="AJ322">IF(FALSE,"True," &amp; IF(_xlfn.XLOOKUP("DstZone_IsAny",'Scoring_Config'!$A:$A,'Scoring_Config'!$D:$D,"Yes")="Yes",_xlfn.XLOOKUP("DstZone_IsAny",'Scoring_Config'!$A:$A,'Scoring_Config'!$C:$C,5),0),"False,0")</f>
        <v>0</v>
      </c>
      <c r="AK322" s="4" cm="1">
        <f t="array" ref="AK32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2" s="5" cm="1">
        <f t="array" ref="AL322">IF(TRUE,"True," &amp; IF(_xlfn.XLOOKUP("App_Any_OR_RangeGt1000",'Scoring_Config'!$A:$A,'Scoring_Config'!$D:$D,"Yes")="Yes",_xlfn.XLOOKUP("App_Any_OR_RangeGt1000",'Scoring_Config'!$A:$A,'Scoring_Config'!$C:$C,25),0),"False,0")</f>
        <v>0</v>
      </c>
      <c r="AM322" s="4" cm="1">
        <f t="array" ref="AM322">IF(FALSE,"True," &amp; IF(_xlfn.XLOOKUP("Service_Insecure_Match",'Scoring_Config'!$A:$A,'Scoring_Config'!$D:$D,"Yes")="Yes",_xlfn.XLOOKUP("Service_Insecure_Match",'Scoring_Config'!$A:$A,'Scoring_Config'!$C:$C,20),0),"False,0")</f>
        <v>0</v>
      </c>
      <c r="AN322" s="4" cm="1">
        <f t="array" ref="AN322">IF(FALSE,"True," &amp; IF(_xlfn.XLOOKUP("Risky_Inbound",'Scoring_Config'!$A:$A,'Scoring_Config'!$D:$D,"Yes")="Yes",_xlfn.XLOOKUP("Risky_Inbound",'Scoring_Config'!$A:$A,'Scoring_Config'!$C:$C,20),0),"False,0")</f>
        <v>0</v>
      </c>
      <c r="AO322" s="4" cm="1">
        <f t="array" ref="AO322">IF(FALSE,"True," &amp; IF(_xlfn.XLOOKUP("Risky_Outbound",'Scoring_Config'!$A:$A,'Scoring_Config'!$D:$D,"Yes")="Yes",_xlfn.XLOOKUP("Risky_Outbound",'Scoring_Config'!$A:$A,'Scoring_Config'!$C:$C,10),0),"False,0")</f>
        <v>0</v>
      </c>
      <c r="AP322" s="5" t="s">
        <v>2595</v>
      </c>
      <c r="AQ322" s="4" cm="1">
        <f t="array" ref="AQ32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2" s="5" t="s">
        <v>2598</v>
      </c>
      <c r="AS322" s="4" t="s">
        <v>2592</v>
      </c>
      <c r="AT322" s="4" t="s">
        <v>2592</v>
      </c>
      <c r="AU322" s="5" cm="1">
        <f t="array" ref="AU322">IF(TRUE,"True," &amp; IF(_xlfn.XLOOKUP("Action_IsDenyOrDrop",'Scoring_Config'!$A:$A,'Scoring_Config'!$D:$D,"Yes")="Yes",_xlfn.XLOOKUP("Action_IsDenyOrDrop",'Scoring_Config'!$A:$A,'Scoring_Config'!$C:$C,0),0),"False,0")</f>
        <v>0</v>
      </c>
      <c r="AV322" s="4"/>
      <c r="AW322" s="4" cm="1">
        <f t="array" ref="AW322">IF(FALSE,"True," &amp; IF(_xlfn.XLOOKUP("Migrate_Insecure",'Scoring_Config'!$A:$A,'Scoring_Config'!$D:$D,"Yes")="Yes",_xlfn.XLOOKUP("Migrate_Insecure",'Scoring_Config'!$A:$A,'Scoring_Config'!$C:$C,15),0),"False,0")</f>
        <v>0</v>
      </c>
      <c r="AX322" s="4"/>
      <c r="AY322" s="4" cm="1">
        <f t="array" ref="AY322">IF(FALSE,"True," &amp; IF(_xlfn.XLOOKUP("Migrate_Other_Ports",'Scoring_Config'!$A:$A,'Scoring_Config'!$D:$D,"Yes")="Yes",_xlfn.XLOOKUP("Migrate_Other_Ports",'Scoring_Config'!$A:$A,'Scoring_Config'!$C:$C,5),0),"False,0")</f>
        <v>0</v>
      </c>
      <c r="AZ322" s="4" cm="1">
        <f t="array" ref="AZ322">IF(LEFT(AU322,4)="True",0,(IF(LEFT(AC322,4)="True",IF(_xlfn.XLOOKUP("Src_IsAny",'Scoring_Config'!$A:$A,'Scoring_Config'!$D:$D,"Yes")="Yes",_xlfn.XLOOKUP("Src_IsAny",'Scoring_Config'!$A:$A,'Scoring_Config'!$C:$C,25),0),0)+IF(LEFT(AD322,4)="True",IF(_xlfn.XLOOKUP("Src_CIDR_Le_16",'Scoring_Config'!$A:$A,'Scoring_Config'!$D:$D,"Yes")="Yes",_xlfn.XLOOKUP("Src_CIDR_Le_16",'Scoring_Config'!$A:$A,'Scoring_Config'!$C:$C,25),0),0)+IF(LEFT(AE322,4)="True",IF(_xlfn.XLOOKUP("Src_CIDR_17_22",'Scoring_Config'!$A:$A,'Scoring_Config'!$D:$D,"Yes")="Yes",_xlfn.XLOOKUP("Src_CIDR_17_22",'Scoring_Config'!$A:$A,'Scoring_Config'!$C:$C,15),0),0)+IF(LEFT(AF322,4)="True",IF(_xlfn.XLOOKUP("Dst_IsAny",'Scoring_Config'!$A:$A,'Scoring_Config'!$D:$D,"Yes")="Yes",_xlfn.XLOOKUP("Dst_IsAny",'Scoring_Config'!$A:$A,'Scoring_Config'!$C:$C,25),0),0)+IF(LEFT(AG322,4)="True",IF(_xlfn.XLOOKUP("Dst_CIDR_Le_16",'Scoring_Config'!$A:$A,'Scoring_Config'!$D:$D,"Yes")="Yes",_xlfn.XLOOKUP("Dst_CIDR_Le_16",'Scoring_Config'!$A:$A,'Scoring_Config'!$C:$C,25),0),0)+IF(LEFT(AH322,4)="True",IF(_xlfn.XLOOKUP("Dst_CIDR_17_22",'Scoring_Config'!$A:$A,'Scoring_Config'!$D:$D,"Yes")="Yes",_xlfn.XLOOKUP("Dst_CIDR_17_22",'Scoring_Config'!$A:$A,'Scoring_Config'!$C:$C,15),0),0)+IF(LEFT(AI322,4)="True",IF(_xlfn.XLOOKUP("SrcZone_IsAny",'Scoring_Config'!$A:$A,'Scoring_Config'!$D:$D,"Yes")="Yes",_xlfn.XLOOKUP("SrcZone_IsAny",'Scoring_Config'!$A:$A,'Scoring_Config'!$C:$C,5),0),0)+IF(LEFT(AJ322,4)="True",IF(_xlfn.XLOOKUP("DstZone_IsAny",'Scoring_Config'!$A:$A,'Scoring_Config'!$D:$D,"Yes")="Yes",_xlfn.XLOOKUP("DstZone_IsAny",'Scoring_Config'!$A:$A,'Scoring_Config'!$C:$C,5),0),0)+IF(LEFT(AK322,4)="True",IF(_xlfn.XLOOKUP("Service_Any_OR_RangeGt1000",'Scoring_Config'!$A:$A,'Scoring_Config'!$D:$D,"Yes")="Yes",_xlfn.XLOOKUP("Service_Any_OR_RangeGt1000",'Scoring_Config'!$A:$A,'Scoring_Config'!$C:$C,25),0),0)+IF(LEFT(AL322,4)="True",IF(_xlfn.XLOOKUP("App_Any_OR_RangeGt1000",'Scoring_Config'!$A:$A,'Scoring_Config'!$D:$D,"Yes")="Yes",_xlfn.XLOOKUP("App_Any_OR_RangeGt1000",'Scoring_Config'!$A:$A,'Scoring_Config'!$C:$C,25),0),0)+IF(LEFT(AM322,4)="True",IF(_xlfn.XLOOKUP("Service_Insecure_Match",'Scoring_Config'!$A:$A,'Scoring_Config'!$D:$D,"Yes")="Yes",_xlfn.XLOOKUP("Service_Insecure_Match",'Scoring_Config'!$A:$A,'Scoring_Config'!$C:$C,20),0),0)+IF(LEFT(AN322,4)="True",IF(_xlfn.XLOOKUP("Risky_Inbound",'Scoring_Config'!$A:$A,'Scoring_Config'!$D:$D,"Yes")="Yes",_xlfn.XLOOKUP("Risky_Inbound",'Scoring_Config'!$A:$A,'Scoring_Config'!$C:$C,20),0),0)+IF(LEFT(AO322,4)="True",IF(_xlfn.XLOOKUP("Risky_Outbound",'Scoring_Config'!$A:$A,'Scoring_Config'!$D:$D,"Yes")="Yes",_xlfn.XLOOKUP("Risky_Outbound",'Scoring_Config'!$A:$A,'Scoring_Config'!$C:$C,10),0),0)+IF(LEFT(AW322,4)="True",IF(_xlfn.XLOOKUP("Migrate_Insecure",'Scoring_Config'!$A:$A,'Scoring_Config'!$D:$D,"Yes")="Yes",_xlfn.XLOOKUP("Migrate_Insecure",'Scoring_Config'!$A:$A,'Scoring_Config'!$C:$C,15),0),0)+IF(LEFT(AY322,4)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322,FIND(",",AP322)+1,100)),0)+IF(LEFT(AQ322,4)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322,FIND(",",AR322)+1,100)),0)+IF(_xlfn.XLOOKUP("Profile_Scoring",'Scoring_Config'!$A:$A,'Scoring_Config'!$D:$D,"Yes")="Yes",VALUE(MID(AS322,FIND(",",AS322)+1,100)),0)+IF(_xlfn.XLOOKUP("Options_Scoring",'Scoring_Config'!$A:$A,'Scoring_Config'!$D:$D,"Yes")="Yes",VALUE(MID(AT322,FIND(",",AT322)+1,100)),0)))</f>
        <v>0</v>
      </c>
    </row>
    <row r="323" spans="1:52">
      <c r="A323" s="3" t="s">
        <v>54</v>
      </c>
      <c r="B323" s="3" t="s">
        <v>88</v>
      </c>
      <c r="C323" s="3" t="s">
        <v>331</v>
      </c>
      <c r="D323" s="3"/>
      <c r="E323" s="3" t="s">
        <v>359</v>
      </c>
      <c r="F323" s="3" t="s">
        <v>361</v>
      </c>
      <c r="G323" s="3" t="s">
        <v>365</v>
      </c>
      <c r="H323" s="3" t="s">
        <v>365</v>
      </c>
      <c r="I323" s="3" t="s">
        <v>622</v>
      </c>
      <c r="J323" s="3" t="s">
        <v>364</v>
      </c>
      <c r="K323" s="3" t="s">
        <v>365</v>
      </c>
      <c r="L323" s="3" t="s">
        <v>365</v>
      </c>
      <c r="M323" s="3" t="s">
        <v>365</v>
      </c>
      <c r="N323" s="3" t="s">
        <v>365</v>
      </c>
      <c r="O323" s="4" t="s">
        <v>821</v>
      </c>
      <c r="P323" s="3" t="s">
        <v>882</v>
      </c>
      <c r="Q323" s="3" t="s">
        <v>905</v>
      </c>
      <c r="R323" s="3" t="s">
        <v>907</v>
      </c>
      <c r="S323" s="3" t="s">
        <v>912</v>
      </c>
      <c r="T323" s="3"/>
      <c r="U323" s="3" t="s">
        <v>1313</v>
      </c>
      <c r="V323" s="3" t="s">
        <v>772</v>
      </c>
      <c r="W323" s="3" t="s">
        <v>1555</v>
      </c>
      <c r="X323" s="3" t="s">
        <v>1927</v>
      </c>
      <c r="Y323" s="3" t="s">
        <v>2396</v>
      </c>
      <c r="Z323" s="3"/>
      <c r="AA323" s="3" t="s">
        <v>919</v>
      </c>
      <c r="AB323" s="3"/>
      <c r="AC323" s="5" cm="1">
        <f t="array" ref="AC323">IF(TRUE,"True," &amp; IF(_xlfn.XLOOKUP("Src_IsAny",'Scoring_Config'!$A:$A,'Scoring_Config'!$D:$D,"Yes")="Yes",_xlfn.XLOOKUP("Src_IsAny",'Scoring_Config'!$A:$A,'Scoring_Config'!$C:$C,25),0),"False,0")</f>
        <v>0</v>
      </c>
      <c r="AD323" s="4" cm="1">
        <f t="array" ref="AD323">IF(FALSE,"True," &amp; IF(_xlfn.XLOOKUP("Src_CIDR_Le_16",'Scoring_Config'!$A:$A,'Scoring_Config'!$D:$D,"Yes")="Yes",_xlfn.XLOOKUP("Src_CIDR_Le_16",'Scoring_Config'!$A:$A,'Scoring_Config'!$C:$C,25),0),"False,0")</f>
        <v>0</v>
      </c>
      <c r="AE323" s="4" cm="1">
        <f t="array" ref="AE323">IF(FALSE,"True," &amp; IF(_xlfn.XLOOKUP("Src_CIDR_17_22",'Scoring_Config'!$A:$A,'Scoring_Config'!$D:$D,"Yes")="Yes",_xlfn.XLOOKUP("Src_CIDR_17_22",'Scoring_Config'!$A:$A,'Scoring_Config'!$C:$C,15),0),"False,0")</f>
        <v>0</v>
      </c>
      <c r="AF323" s="5" cm="1">
        <f t="array" ref="AF323">IF(TRUE,"True," &amp; IF(_xlfn.XLOOKUP("Dst_IsAny",'Scoring_Config'!$A:$A,'Scoring_Config'!$D:$D,"Yes")="Yes",_xlfn.XLOOKUP("Dst_IsAny",'Scoring_Config'!$A:$A,'Scoring_Config'!$C:$C,25),0),"False,0")</f>
        <v>0</v>
      </c>
      <c r="AG323" s="4" cm="1">
        <f t="array" ref="AG323">IF(FALSE,"True," &amp; IF(_xlfn.XLOOKUP("Dst_CIDR_Le_16",'Scoring_Config'!$A:$A,'Scoring_Config'!$D:$D,"Yes")="Yes",_xlfn.XLOOKUP("Dst_CIDR_Le_16",'Scoring_Config'!$A:$A,'Scoring_Config'!$C:$C,25),0),"False,0")</f>
        <v>0</v>
      </c>
      <c r="AH323" s="4" cm="1">
        <f t="array" ref="AH323">IF(FALSE,"True," &amp; IF(_xlfn.XLOOKUP("Dst_CIDR_17_22",'Scoring_Config'!$A:$A,'Scoring_Config'!$D:$D,"Yes")="Yes",_xlfn.XLOOKUP("Dst_CIDR_17_22",'Scoring_Config'!$A:$A,'Scoring_Config'!$C:$C,15),0),"False,0")</f>
        <v>0</v>
      </c>
      <c r="AI323" s="4" cm="1">
        <f t="array" ref="AI323">IF(FALSE,"True," &amp; IF(_xlfn.XLOOKUP("SrcZone_IsAny",'Scoring_Config'!$A:$A,'Scoring_Config'!$D:$D,"Yes")="Yes",_xlfn.XLOOKUP("SrcZone_IsAny",'Scoring_Config'!$A:$A,'Scoring_Config'!$C:$C,5),0),"False,0")</f>
        <v>0</v>
      </c>
      <c r="AJ323" s="4" cm="1">
        <f t="array" ref="AJ323">IF(FALSE,"True," &amp; IF(_xlfn.XLOOKUP("DstZone_IsAny",'Scoring_Config'!$A:$A,'Scoring_Config'!$D:$D,"Yes")="Yes",_xlfn.XLOOKUP("DstZone_IsAny",'Scoring_Config'!$A:$A,'Scoring_Config'!$C:$C,5),0),"False,0")</f>
        <v>0</v>
      </c>
      <c r="AK323" s="4" cm="1">
        <f t="array" ref="AK32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3" s="5" cm="1">
        <f t="array" ref="AL323">IF(TRUE,"True," &amp; IF(_xlfn.XLOOKUP("App_Any_OR_RangeGt1000",'Scoring_Config'!$A:$A,'Scoring_Config'!$D:$D,"Yes")="Yes",_xlfn.XLOOKUP("App_Any_OR_RangeGt1000",'Scoring_Config'!$A:$A,'Scoring_Config'!$C:$C,25),0),"False,0")</f>
        <v>0</v>
      </c>
      <c r="AM323" s="5" cm="1">
        <f t="array" ref="AM323">IF(TRUE,"True," &amp; IF(_xlfn.XLOOKUP("Service_Insecure_Match",'Scoring_Config'!$A:$A,'Scoring_Config'!$D:$D,"Yes")="Yes",_xlfn.XLOOKUP("Service_Insecure_Match",'Scoring_Config'!$A:$A,'Scoring_Config'!$C:$C,20),0),"False,0")</f>
        <v>0</v>
      </c>
      <c r="AN323" s="4" cm="1">
        <f t="array" ref="AN323">IF(FALSE,"True," &amp; IF(_xlfn.XLOOKUP("Risky_Inbound",'Scoring_Config'!$A:$A,'Scoring_Config'!$D:$D,"Yes")="Yes",_xlfn.XLOOKUP("Risky_Inbound",'Scoring_Config'!$A:$A,'Scoring_Config'!$C:$C,20),0),"False,0")</f>
        <v>0</v>
      </c>
      <c r="AO323" s="4" cm="1">
        <f t="array" ref="AO323">IF(FALSE,"True," &amp; IF(_xlfn.XLOOKUP("Risky_Outbound",'Scoring_Config'!$A:$A,'Scoring_Config'!$D:$D,"Yes")="Yes",_xlfn.XLOOKUP("Risky_Outbound",'Scoring_Config'!$A:$A,'Scoring_Config'!$C:$C,10),0),"False,0")</f>
        <v>0</v>
      </c>
      <c r="AP323" s="5" t="s">
        <v>2595</v>
      </c>
      <c r="AQ323" s="4" cm="1">
        <f t="array" ref="AQ32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3" s="5" t="s">
        <v>2598</v>
      </c>
      <c r="AS323" s="5" t="s">
        <v>2595</v>
      </c>
      <c r="AT323" s="4" t="s">
        <v>2592</v>
      </c>
      <c r="AU323" s="4" cm="1">
        <f t="array" ref="AU323">IF(FALSE,"True," &amp; IF(_xlfn.XLOOKUP("Action_IsDenyOrDrop",'Scoring_Config'!$A:$A,'Scoring_Config'!$D:$D,"Yes")="Yes",_xlfn.XLOOKUP("Action_IsDenyOrDrop",'Scoring_Config'!$A:$A,'Scoring_Config'!$C:$C,0),0),"False,0")</f>
        <v>0</v>
      </c>
      <c r="AV323" s="4"/>
      <c r="AW323" s="4" cm="1">
        <f t="array" ref="AW323">IF(FALSE,"True," &amp; IF(_xlfn.XLOOKUP("Migrate_Insecure",'Scoring_Config'!$A:$A,'Scoring_Config'!$D:$D,"Yes")="Yes",_xlfn.XLOOKUP("Migrate_Insecure",'Scoring_Config'!$A:$A,'Scoring_Config'!$C:$C,15),0),"False,0")</f>
        <v>0</v>
      </c>
      <c r="AX323" s="4"/>
      <c r="AY323" s="4" cm="1">
        <f t="array" ref="AY323">IF(FALSE,"True," &amp; IF(_xlfn.XLOOKUP("Migrate_Other_Ports",'Scoring_Config'!$A:$A,'Scoring_Config'!$D:$D,"Yes")="Yes",_xlfn.XLOOKUP("Migrate_Other_Ports",'Scoring_Config'!$A:$A,'Scoring_Config'!$C:$C,5),0),"False,0")</f>
        <v>0</v>
      </c>
      <c r="AZ323" s="4" cm="1">
        <f t="array" ref="AZ323">IF(LEFT(AU323,4)="True",0,(IF(LEFT(AC323,4)="True",IF(_xlfn.XLOOKUP("Src_IsAny",'Scoring_Config'!$A:$A,'Scoring_Config'!$D:$D,"Yes")="Yes",_xlfn.XLOOKUP("Src_IsAny",'Scoring_Config'!$A:$A,'Scoring_Config'!$C:$C,25),0),0)+IF(LEFT(AD323,4)="True",IF(_xlfn.XLOOKUP("Src_CIDR_Le_16",'Scoring_Config'!$A:$A,'Scoring_Config'!$D:$D,"Yes")="Yes",_xlfn.XLOOKUP("Src_CIDR_Le_16",'Scoring_Config'!$A:$A,'Scoring_Config'!$C:$C,25),0),0)+IF(LEFT(AE323,4)="True",IF(_xlfn.XLOOKUP("Src_CIDR_17_22",'Scoring_Config'!$A:$A,'Scoring_Config'!$D:$D,"Yes")="Yes",_xlfn.XLOOKUP("Src_CIDR_17_22",'Scoring_Config'!$A:$A,'Scoring_Config'!$C:$C,15),0),0)+IF(LEFT(AF323,4)="True",IF(_xlfn.XLOOKUP("Dst_IsAny",'Scoring_Config'!$A:$A,'Scoring_Config'!$D:$D,"Yes")="Yes",_xlfn.XLOOKUP("Dst_IsAny",'Scoring_Config'!$A:$A,'Scoring_Config'!$C:$C,25),0),0)+IF(LEFT(AG323,4)="True",IF(_xlfn.XLOOKUP("Dst_CIDR_Le_16",'Scoring_Config'!$A:$A,'Scoring_Config'!$D:$D,"Yes")="Yes",_xlfn.XLOOKUP("Dst_CIDR_Le_16",'Scoring_Config'!$A:$A,'Scoring_Config'!$C:$C,25),0),0)+IF(LEFT(AH323,4)="True",IF(_xlfn.XLOOKUP("Dst_CIDR_17_22",'Scoring_Config'!$A:$A,'Scoring_Config'!$D:$D,"Yes")="Yes",_xlfn.XLOOKUP("Dst_CIDR_17_22",'Scoring_Config'!$A:$A,'Scoring_Config'!$C:$C,15),0),0)+IF(LEFT(AI323,4)="True",IF(_xlfn.XLOOKUP("SrcZone_IsAny",'Scoring_Config'!$A:$A,'Scoring_Config'!$D:$D,"Yes")="Yes",_xlfn.XLOOKUP("SrcZone_IsAny",'Scoring_Config'!$A:$A,'Scoring_Config'!$C:$C,5),0),0)+IF(LEFT(AJ323,4)="True",IF(_xlfn.XLOOKUP("DstZone_IsAny",'Scoring_Config'!$A:$A,'Scoring_Config'!$D:$D,"Yes")="Yes",_xlfn.XLOOKUP("DstZone_IsAny",'Scoring_Config'!$A:$A,'Scoring_Config'!$C:$C,5),0),0)+IF(LEFT(AK323,4)="True",IF(_xlfn.XLOOKUP("Service_Any_OR_RangeGt1000",'Scoring_Config'!$A:$A,'Scoring_Config'!$D:$D,"Yes")="Yes",_xlfn.XLOOKUP("Service_Any_OR_RangeGt1000",'Scoring_Config'!$A:$A,'Scoring_Config'!$C:$C,25),0),0)+IF(LEFT(AL323,4)="True",IF(_xlfn.XLOOKUP("App_Any_OR_RangeGt1000",'Scoring_Config'!$A:$A,'Scoring_Config'!$D:$D,"Yes")="Yes",_xlfn.XLOOKUP("App_Any_OR_RangeGt1000",'Scoring_Config'!$A:$A,'Scoring_Config'!$C:$C,25),0),0)+IF(LEFT(AM323,4)="True",IF(_xlfn.XLOOKUP("Service_Insecure_Match",'Scoring_Config'!$A:$A,'Scoring_Config'!$D:$D,"Yes")="Yes",_xlfn.XLOOKUP("Service_Insecure_Match",'Scoring_Config'!$A:$A,'Scoring_Config'!$C:$C,20),0),0)+IF(LEFT(AN323,4)="True",IF(_xlfn.XLOOKUP("Risky_Inbound",'Scoring_Config'!$A:$A,'Scoring_Config'!$D:$D,"Yes")="Yes",_xlfn.XLOOKUP("Risky_Inbound",'Scoring_Config'!$A:$A,'Scoring_Config'!$C:$C,20),0),0)+IF(LEFT(AO323,4)="True",IF(_xlfn.XLOOKUP("Risky_Outbound",'Scoring_Config'!$A:$A,'Scoring_Config'!$D:$D,"Yes")="Yes",_xlfn.XLOOKUP("Risky_Outbound",'Scoring_Config'!$A:$A,'Scoring_Config'!$C:$C,10),0),0)+IF(LEFT(AW323,4)="True",IF(_xlfn.XLOOKUP("Migrate_Insecure",'Scoring_Config'!$A:$A,'Scoring_Config'!$D:$D,"Yes")="Yes",_xlfn.XLOOKUP("Migrate_Insecure",'Scoring_Config'!$A:$A,'Scoring_Config'!$C:$C,15),0),0)+IF(LEFT(AY323,4)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323,FIND(",",AP323)+1,100)),0)+IF(LEFT(AQ323,4)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323,FIND(",",AR323)+1,100)),0)+IF(_xlfn.XLOOKUP("Profile_Scoring",'Scoring_Config'!$A:$A,'Scoring_Config'!$D:$D,"Yes")="Yes",VALUE(MID(AS323,FIND(",",AS323)+1,100)),0)+IF(_xlfn.XLOOKUP("Options_Scoring",'Scoring_Config'!$A:$A,'Scoring_Config'!$D:$D,"Yes")="Yes",VALUE(MID(AT323,FIND(",",AT323)+1,100)),0)))</f>
        <v>0</v>
      </c>
    </row>
    <row r="324" spans="1:52">
      <c r="A324" s="3" t="s">
        <v>54</v>
      </c>
      <c r="B324" s="3" t="s">
        <v>268</v>
      </c>
      <c r="C324" s="3" t="s">
        <v>331</v>
      </c>
      <c r="D324" s="3"/>
      <c r="E324" s="3" t="s">
        <v>359</v>
      </c>
      <c r="F324" s="3" t="s">
        <v>361</v>
      </c>
      <c r="G324" s="3" t="s">
        <v>365</v>
      </c>
      <c r="H324" s="3" t="s">
        <v>365</v>
      </c>
      <c r="I324" s="3" t="s">
        <v>365</v>
      </c>
      <c r="J324" s="3" t="s">
        <v>364</v>
      </c>
      <c r="K324" s="3" t="s">
        <v>365</v>
      </c>
      <c r="L324" s="3" t="s">
        <v>365</v>
      </c>
      <c r="M324" s="3" t="s">
        <v>365</v>
      </c>
      <c r="N324" s="3" t="s">
        <v>365</v>
      </c>
      <c r="O324" s="4" t="s">
        <v>814</v>
      </c>
      <c r="P324" s="3" t="s">
        <v>875</v>
      </c>
      <c r="Q324" s="3" t="s">
        <v>905</v>
      </c>
      <c r="R324" s="3" t="s">
        <v>907</v>
      </c>
      <c r="S324" s="3" t="s">
        <v>915</v>
      </c>
      <c r="T324" s="3"/>
      <c r="U324" s="3" t="s">
        <v>1314</v>
      </c>
      <c r="V324" s="3" t="s">
        <v>1387</v>
      </c>
      <c r="W324" s="3" t="s">
        <v>1556</v>
      </c>
      <c r="X324" s="3" t="s">
        <v>1928</v>
      </c>
      <c r="Y324" s="3" t="s">
        <v>2397</v>
      </c>
      <c r="Z324" s="3"/>
      <c r="AA324" s="3" t="s">
        <v>1589</v>
      </c>
      <c r="AB324" s="3"/>
      <c r="AC324" s="5" cm="1">
        <f t="array" ref="AC324">IF(TRUE,"True," &amp; IF(_xlfn.XLOOKUP("Src_IsAny",'Scoring_Config'!$A:$A,'Scoring_Config'!$D:$D,"Yes")="Yes",_xlfn.XLOOKUP("Src_IsAny",'Scoring_Config'!$A:$A,'Scoring_Config'!$C:$C,25),0),"False,0")</f>
        <v>0</v>
      </c>
      <c r="AD324" s="4" cm="1">
        <f t="array" ref="AD324">IF(FALSE,"True," &amp; IF(_xlfn.XLOOKUP("Src_CIDR_Le_16",'Scoring_Config'!$A:$A,'Scoring_Config'!$D:$D,"Yes")="Yes",_xlfn.XLOOKUP("Src_CIDR_Le_16",'Scoring_Config'!$A:$A,'Scoring_Config'!$C:$C,25),0),"False,0")</f>
        <v>0</v>
      </c>
      <c r="AE324" s="4" cm="1">
        <f t="array" ref="AE324">IF(FALSE,"True," &amp; IF(_xlfn.XLOOKUP("Src_CIDR_17_22",'Scoring_Config'!$A:$A,'Scoring_Config'!$D:$D,"Yes")="Yes",_xlfn.XLOOKUP("Src_CIDR_17_22",'Scoring_Config'!$A:$A,'Scoring_Config'!$C:$C,15),0),"False,0")</f>
        <v>0</v>
      </c>
      <c r="AF324" s="5" cm="1">
        <f t="array" ref="AF324">IF(TRUE,"True," &amp; IF(_xlfn.XLOOKUP("Dst_IsAny",'Scoring_Config'!$A:$A,'Scoring_Config'!$D:$D,"Yes")="Yes",_xlfn.XLOOKUP("Dst_IsAny",'Scoring_Config'!$A:$A,'Scoring_Config'!$C:$C,25),0),"False,0")</f>
        <v>0</v>
      </c>
      <c r="AG324" s="4" cm="1">
        <f t="array" ref="AG324">IF(FALSE,"True," &amp; IF(_xlfn.XLOOKUP("Dst_CIDR_Le_16",'Scoring_Config'!$A:$A,'Scoring_Config'!$D:$D,"Yes")="Yes",_xlfn.XLOOKUP("Dst_CIDR_Le_16",'Scoring_Config'!$A:$A,'Scoring_Config'!$C:$C,25),0),"False,0")</f>
        <v>0</v>
      </c>
      <c r="AH324" s="4" cm="1">
        <f t="array" ref="AH324">IF(FALSE,"True," &amp; IF(_xlfn.XLOOKUP("Dst_CIDR_17_22",'Scoring_Config'!$A:$A,'Scoring_Config'!$D:$D,"Yes")="Yes",_xlfn.XLOOKUP("Dst_CIDR_17_22",'Scoring_Config'!$A:$A,'Scoring_Config'!$C:$C,15),0),"False,0")</f>
        <v>0</v>
      </c>
      <c r="AI324" s="4" cm="1">
        <f t="array" ref="AI324">IF(FALSE,"True," &amp; IF(_xlfn.XLOOKUP("SrcZone_IsAny",'Scoring_Config'!$A:$A,'Scoring_Config'!$D:$D,"Yes")="Yes",_xlfn.XLOOKUP("SrcZone_IsAny",'Scoring_Config'!$A:$A,'Scoring_Config'!$C:$C,5),0),"False,0")</f>
        <v>0</v>
      </c>
      <c r="AJ324" s="4" cm="1">
        <f t="array" ref="AJ324">IF(FALSE,"True," &amp; IF(_xlfn.XLOOKUP("DstZone_IsAny",'Scoring_Config'!$A:$A,'Scoring_Config'!$D:$D,"Yes")="Yes",_xlfn.XLOOKUP("DstZone_IsAny",'Scoring_Config'!$A:$A,'Scoring_Config'!$C:$C,5),0),"False,0")</f>
        <v>0</v>
      </c>
      <c r="AK324" s="4" cm="1">
        <f t="array" ref="AK32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4" s="5" cm="1">
        <f t="array" ref="AL324">IF(TRUE,"True," &amp; IF(_xlfn.XLOOKUP("App_Any_OR_RangeGt1000",'Scoring_Config'!$A:$A,'Scoring_Config'!$D:$D,"Yes")="Yes",_xlfn.XLOOKUP("App_Any_OR_RangeGt1000",'Scoring_Config'!$A:$A,'Scoring_Config'!$C:$C,25),0),"False,0")</f>
        <v>0</v>
      </c>
      <c r="AM324" s="5" cm="1">
        <f t="array" ref="AM324">IF(TRUE,"True," &amp; IF(_xlfn.XLOOKUP("Service_Insecure_Match",'Scoring_Config'!$A:$A,'Scoring_Config'!$D:$D,"Yes")="Yes",_xlfn.XLOOKUP("Service_Insecure_Match",'Scoring_Config'!$A:$A,'Scoring_Config'!$C:$C,20),0),"False,0")</f>
        <v>0</v>
      </c>
      <c r="AN324" s="4" cm="1">
        <f t="array" ref="AN324">IF(FALSE,"True," &amp; IF(_xlfn.XLOOKUP("Risky_Inbound",'Scoring_Config'!$A:$A,'Scoring_Config'!$D:$D,"Yes")="Yes",_xlfn.XLOOKUP("Risky_Inbound",'Scoring_Config'!$A:$A,'Scoring_Config'!$C:$C,20),0),"False,0")</f>
        <v>0</v>
      </c>
      <c r="AO324" s="4" cm="1">
        <f t="array" ref="AO324">IF(FALSE,"True," &amp; IF(_xlfn.XLOOKUP("Risky_Outbound",'Scoring_Config'!$A:$A,'Scoring_Config'!$D:$D,"Yes")="Yes",_xlfn.XLOOKUP("Risky_Outbound",'Scoring_Config'!$A:$A,'Scoring_Config'!$C:$C,10),0),"False,0")</f>
        <v>0</v>
      </c>
      <c r="AP324" s="5" t="s">
        <v>2595</v>
      </c>
      <c r="AQ324" s="4" cm="1">
        <f t="array" ref="AQ32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4" s="4" t="s">
        <v>2592</v>
      </c>
      <c r="AS324" s="5" t="s">
        <v>2595</v>
      </c>
      <c r="AT324" s="4" t="s">
        <v>2592</v>
      </c>
      <c r="AU324" s="4" cm="1">
        <f t="array" ref="AU324">IF(FALSE,"True," &amp; IF(_xlfn.XLOOKUP("Action_IsDenyOrDrop",'Scoring_Config'!$A:$A,'Scoring_Config'!$D:$D,"Yes")="Yes",_xlfn.XLOOKUP("Action_IsDenyOrDrop",'Scoring_Config'!$A:$A,'Scoring_Config'!$C:$C,0),0),"False,0")</f>
        <v>0</v>
      </c>
      <c r="AV324" s="4"/>
      <c r="AW324" s="4" cm="1">
        <f t="array" ref="AW324">IF(FALSE,"True," &amp; IF(_xlfn.XLOOKUP("Migrate_Insecure",'Scoring_Config'!$A:$A,'Scoring_Config'!$D:$D,"Yes")="Yes",_xlfn.XLOOKUP("Migrate_Insecure",'Scoring_Config'!$A:$A,'Scoring_Config'!$C:$C,15),0),"False,0")</f>
        <v>0</v>
      </c>
      <c r="AX324" s="4"/>
      <c r="AY324" s="4" cm="1">
        <f t="array" ref="AY324">IF(FALSE,"True," &amp; IF(_xlfn.XLOOKUP("Migrate_Other_Ports",'Scoring_Config'!$A:$A,'Scoring_Config'!$D:$D,"Yes")="Yes",_xlfn.XLOOKUP("Migrate_Other_Ports",'Scoring_Config'!$A:$A,'Scoring_Config'!$C:$C,5),0),"False,0")</f>
        <v>0</v>
      </c>
      <c r="AZ324" s="4" cm="1">
        <f t="array" ref="AZ324">IF(LEFT(AU324,4)="True",0,(IF(LEFT(AC324,4)="True",IF(_xlfn.XLOOKUP("Src_IsAny",'Scoring_Config'!$A:$A,'Scoring_Config'!$D:$D,"Yes")="Yes",_xlfn.XLOOKUP("Src_IsAny",'Scoring_Config'!$A:$A,'Scoring_Config'!$C:$C,25),0),0)+IF(LEFT(AD324,4)="True",IF(_xlfn.XLOOKUP("Src_CIDR_Le_16",'Scoring_Config'!$A:$A,'Scoring_Config'!$D:$D,"Yes")="Yes",_xlfn.XLOOKUP("Src_CIDR_Le_16",'Scoring_Config'!$A:$A,'Scoring_Config'!$C:$C,25),0),0)+IF(LEFT(AE324,4)="True",IF(_xlfn.XLOOKUP("Src_CIDR_17_22",'Scoring_Config'!$A:$A,'Scoring_Config'!$D:$D,"Yes")="Yes",_xlfn.XLOOKUP("Src_CIDR_17_22",'Scoring_Config'!$A:$A,'Scoring_Config'!$C:$C,15),0),0)+IF(LEFT(AF324,4)="True",IF(_xlfn.XLOOKUP("Dst_IsAny",'Scoring_Config'!$A:$A,'Scoring_Config'!$D:$D,"Yes")="Yes",_xlfn.XLOOKUP("Dst_IsAny",'Scoring_Config'!$A:$A,'Scoring_Config'!$C:$C,25),0),0)+IF(LEFT(AG324,4)="True",IF(_xlfn.XLOOKUP("Dst_CIDR_Le_16",'Scoring_Config'!$A:$A,'Scoring_Config'!$D:$D,"Yes")="Yes",_xlfn.XLOOKUP("Dst_CIDR_Le_16",'Scoring_Config'!$A:$A,'Scoring_Config'!$C:$C,25),0),0)+IF(LEFT(AH324,4)="True",IF(_xlfn.XLOOKUP("Dst_CIDR_17_22",'Scoring_Config'!$A:$A,'Scoring_Config'!$D:$D,"Yes")="Yes",_xlfn.XLOOKUP("Dst_CIDR_17_22",'Scoring_Config'!$A:$A,'Scoring_Config'!$C:$C,15),0),0)+IF(LEFT(AI324,4)="True",IF(_xlfn.XLOOKUP("SrcZone_IsAny",'Scoring_Config'!$A:$A,'Scoring_Config'!$D:$D,"Yes")="Yes",_xlfn.XLOOKUP("SrcZone_IsAny",'Scoring_Config'!$A:$A,'Scoring_Config'!$C:$C,5),0),0)+IF(LEFT(AJ324,4)="True",IF(_xlfn.XLOOKUP("DstZone_IsAny",'Scoring_Config'!$A:$A,'Scoring_Config'!$D:$D,"Yes")="Yes",_xlfn.XLOOKUP("DstZone_IsAny",'Scoring_Config'!$A:$A,'Scoring_Config'!$C:$C,5),0),0)+IF(LEFT(AK324,4)="True",IF(_xlfn.XLOOKUP("Service_Any_OR_RangeGt1000",'Scoring_Config'!$A:$A,'Scoring_Config'!$D:$D,"Yes")="Yes",_xlfn.XLOOKUP("Service_Any_OR_RangeGt1000",'Scoring_Config'!$A:$A,'Scoring_Config'!$C:$C,25),0),0)+IF(LEFT(AL324,4)="True",IF(_xlfn.XLOOKUP("App_Any_OR_RangeGt1000",'Scoring_Config'!$A:$A,'Scoring_Config'!$D:$D,"Yes")="Yes",_xlfn.XLOOKUP("App_Any_OR_RangeGt1000",'Scoring_Config'!$A:$A,'Scoring_Config'!$C:$C,25),0),0)+IF(LEFT(AM324,4)="True",IF(_xlfn.XLOOKUP("Service_Insecure_Match",'Scoring_Config'!$A:$A,'Scoring_Config'!$D:$D,"Yes")="Yes",_xlfn.XLOOKUP("Service_Insecure_Match",'Scoring_Config'!$A:$A,'Scoring_Config'!$C:$C,20),0),0)+IF(LEFT(AN324,4)="True",IF(_xlfn.XLOOKUP("Risky_Inbound",'Scoring_Config'!$A:$A,'Scoring_Config'!$D:$D,"Yes")="Yes",_xlfn.XLOOKUP("Risky_Inbound",'Scoring_Config'!$A:$A,'Scoring_Config'!$C:$C,20),0),0)+IF(LEFT(AO324,4)="True",IF(_xlfn.XLOOKUP("Risky_Outbound",'Scoring_Config'!$A:$A,'Scoring_Config'!$D:$D,"Yes")="Yes",_xlfn.XLOOKUP("Risky_Outbound",'Scoring_Config'!$A:$A,'Scoring_Config'!$C:$C,10),0),0)+IF(LEFT(AW324,4)="True",IF(_xlfn.XLOOKUP("Migrate_Insecure",'Scoring_Config'!$A:$A,'Scoring_Config'!$D:$D,"Yes")="Yes",_xlfn.XLOOKUP("Migrate_Insecure",'Scoring_Config'!$A:$A,'Scoring_Config'!$C:$C,15),0),0)+IF(LEFT(AY324,4)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324,FIND(",",AP324)+1,100)),0)+IF(LEFT(AQ324,4)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324,FIND(",",AR324)+1,100)),0)+IF(_xlfn.XLOOKUP("Profile_Scoring",'Scoring_Config'!$A:$A,'Scoring_Config'!$D:$D,"Yes")="Yes",VALUE(MID(AS324,FIND(",",AS324)+1,100)),0)+IF(_xlfn.XLOOKUP("Options_Scoring",'Scoring_Config'!$A:$A,'Scoring_Config'!$D:$D,"Yes")="Yes",VALUE(MID(AT324,FIND(",",AT324)+1,100)),0)))</f>
        <v>0</v>
      </c>
    </row>
    <row r="325" spans="1:52">
      <c r="A325" s="3" t="s">
        <v>54</v>
      </c>
      <c r="B325" s="3" t="s">
        <v>220</v>
      </c>
      <c r="C325" s="3" t="s">
        <v>331</v>
      </c>
      <c r="D325" s="3"/>
      <c r="E325" s="3" t="s">
        <v>359</v>
      </c>
      <c r="F325" s="3" t="s">
        <v>364</v>
      </c>
      <c r="G325" s="3" t="s">
        <v>470</v>
      </c>
      <c r="H325" s="3" t="s">
        <v>591</v>
      </c>
      <c r="I325" s="3" t="s">
        <v>624</v>
      </c>
      <c r="J325" s="3" t="s">
        <v>362</v>
      </c>
      <c r="K325" s="3" t="s">
        <v>488</v>
      </c>
      <c r="L325" s="3" t="s">
        <v>596</v>
      </c>
      <c r="M325" s="3" t="s">
        <v>772</v>
      </c>
      <c r="N325" s="3" t="s">
        <v>794</v>
      </c>
      <c r="O325" s="4" t="s">
        <v>811</v>
      </c>
      <c r="P325" s="3" t="s">
        <v>872</v>
      </c>
      <c r="Q325" s="3" t="s">
        <v>905</v>
      </c>
      <c r="R325" s="3" t="s">
        <v>907</v>
      </c>
      <c r="S325" s="3" t="s">
        <v>914</v>
      </c>
      <c r="T325" s="3"/>
      <c r="U325" s="3" t="s">
        <v>1157</v>
      </c>
      <c r="V325" s="3" t="s">
        <v>772</v>
      </c>
      <c r="W325" s="3" t="s">
        <v>1557</v>
      </c>
      <c r="X325" s="3" t="s">
        <v>1929</v>
      </c>
      <c r="Y325" s="3" t="s">
        <v>2398</v>
      </c>
      <c r="Z325" s="3"/>
      <c r="AA325" s="3" t="s">
        <v>2582</v>
      </c>
      <c r="AB325" s="3"/>
      <c r="AC325" s="4" cm="1">
        <f t="array" ref="AC325">IF(FALSE,"True," &amp; IF(_xlfn.XLOOKUP("Src_IsAny",'Scoring_Config'!$A:$A,'Scoring_Config'!$D:$D,"Yes")="Yes",_xlfn.XLOOKUP("Src_IsAny",'Scoring_Config'!$A:$A,'Scoring_Config'!$C:$C,25),0),"False,0")</f>
        <v>0</v>
      </c>
      <c r="AD325" s="5" cm="1">
        <f t="array" ref="AD325">IF(TRUE,"True," &amp; IF(_xlfn.XLOOKUP("Src_CIDR_Le_16",'Scoring_Config'!$A:$A,'Scoring_Config'!$D:$D,"Yes")="Yes",_xlfn.XLOOKUP("Src_CIDR_Le_16",'Scoring_Config'!$A:$A,'Scoring_Config'!$C:$C,25),0),"False,0")</f>
        <v>0</v>
      </c>
      <c r="AE325" s="4" cm="1">
        <f t="array" ref="AE325">IF(FALSE,"True," &amp; IF(_xlfn.XLOOKUP("Src_CIDR_17_22",'Scoring_Config'!$A:$A,'Scoring_Config'!$D:$D,"Yes")="Yes",_xlfn.XLOOKUP("Src_CIDR_17_22",'Scoring_Config'!$A:$A,'Scoring_Config'!$C:$C,15),0),"False,0")</f>
        <v>0</v>
      </c>
      <c r="AF325" s="4" cm="1">
        <f t="array" ref="AF325">IF(FALSE,"True," &amp; IF(_xlfn.XLOOKUP("Dst_IsAny",'Scoring_Config'!$A:$A,'Scoring_Config'!$D:$D,"Yes")="Yes",_xlfn.XLOOKUP("Dst_IsAny",'Scoring_Config'!$A:$A,'Scoring_Config'!$C:$C,25),0),"False,0")</f>
        <v>0</v>
      </c>
      <c r="AG325" s="5" cm="1">
        <f t="array" ref="AG325">IF(TRUE,"True," &amp; IF(_xlfn.XLOOKUP("Dst_CIDR_Le_16",'Scoring_Config'!$A:$A,'Scoring_Config'!$D:$D,"Yes")="Yes",_xlfn.XLOOKUP("Dst_CIDR_Le_16",'Scoring_Config'!$A:$A,'Scoring_Config'!$C:$C,25),0),"False,0")</f>
        <v>0</v>
      </c>
      <c r="AH325" s="4" cm="1">
        <f t="array" ref="AH325">IF(FALSE,"True," &amp; IF(_xlfn.XLOOKUP("Dst_CIDR_17_22",'Scoring_Config'!$A:$A,'Scoring_Config'!$D:$D,"Yes")="Yes",_xlfn.XLOOKUP("Dst_CIDR_17_22",'Scoring_Config'!$A:$A,'Scoring_Config'!$C:$C,15),0),"False,0")</f>
        <v>0</v>
      </c>
      <c r="AI325" s="4" cm="1">
        <f t="array" ref="AI325">IF(FALSE,"True," &amp; IF(_xlfn.XLOOKUP("SrcZone_IsAny",'Scoring_Config'!$A:$A,'Scoring_Config'!$D:$D,"Yes")="Yes",_xlfn.XLOOKUP("SrcZone_IsAny",'Scoring_Config'!$A:$A,'Scoring_Config'!$C:$C,5),0),"False,0")</f>
        <v>0</v>
      </c>
      <c r="AJ325" s="4" cm="1">
        <f t="array" ref="AJ325">IF(FALSE,"True," &amp; IF(_xlfn.XLOOKUP("DstZone_IsAny",'Scoring_Config'!$A:$A,'Scoring_Config'!$D:$D,"Yes")="Yes",_xlfn.XLOOKUP("DstZone_IsAny",'Scoring_Config'!$A:$A,'Scoring_Config'!$C:$C,5),0),"False,0")</f>
        <v>0</v>
      </c>
      <c r="AK325" s="4" cm="1">
        <f t="array" ref="AK32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5" s="4" cm="1">
        <f t="array" ref="AL325">IF(FALSE,"True," &amp; IF(_xlfn.XLOOKUP("App_Any_OR_RangeGt1000",'Scoring_Config'!$A:$A,'Scoring_Config'!$D:$D,"Yes")="Yes",_xlfn.XLOOKUP("App_Any_OR_RangeGt1000",'Scoring_Config'!$A:$A,'Scoring_Config'!$C:$C,25),0),"False,0")</f>
        <v>0</v>
      </c>
      <c r="AM325" s="5" cm="1">
        <f t="array" ref="AM325">IF(TRUE,"True," &amp; IF(_xlfn.XLOOKUP("Service_Insecure_Match",'Scoring_Config'!$A:$A,'Scoring_Config'!$D:$D,"Yes")="Yes",_xlfn.XLOOKUP("Service_Insecure_Match",'Scoring_Config'!$A:$A,'Scoring_Config'!$C:$C,20),0),"False,0")</f>
        <v>0</v>
      </c>
      <c r="AN325" s="4" cm="1">
        <f t="array" ref="AN325">IF(FALSE,"True," &amp; IF(_xlfn.XLOOKUP("Risky_Inbound",'Scoring_Config'!$A:$A,'Scoring_Config'!$D:$D,"Yes")="Yes",_xlfn.XLOOKUP("Risky_Inbound",'Scoring_Config'!$A:$A,'Scoring_Config'!$C:$C,20),0),"False,0")</f>
        <v>0</v>
      </c>
      <c r="AO325" s="4" cm="1">
        <f t="array" ref="AO325">IF(FALSE,"True," &amp; IF(_xlfn.XLOOKUP("Risky_Outbound",'Scoring_Config'!$A:$A,'Scoring_Config'!$D:$D,"Yes")="Yes",_xlfn.XLOOKUP("Risky_Outbound",'Scoring_Config'!$A:$A,'Scoring_Config'!$C:$C,10),0),"False,0")</f>
        <v>0</v>
      </c>
      <c r="AP325" s="5" t="s">
        <v>2595</v>
      </c>
      <c r="AQ325" s="5" cm="1">
        <f t="array" ref="AQ32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5" s="5" t="s">
        <v>2598</v>
      </c>
      <c r="AS325" s="5" t="s">
        <v>2595</v>
      </c>
      <c r="AT325" s="4" t="s">
        <v>2592</v>
      </c>
      <c r="AU325" s="4" cm="1">
        <f t="array" ref="AU325">IF(FALSE,"True," &amp; IF(_xlfn.XLOOKUP("Action_IsDenyOrDrop",'Scoring_Config'!$A:$A,'Scoring_Config'!$D:$D,"Yes")="Yes",_xlfn.XLOOKUP("Action_IsDenyOrDrop",'Scoring_Config'!$A:$A,'Scoring_Config'!$C:$C,0),0),"False,0")</f>
        <v>0</v>
      </c>
      <c r="AV325" s="4"/>
      <c r="AW325" s="4" cm="1">
        <f t="array" ref="AW325">IF(FALSE,"True," &amp; IF(_xlfn.XLOOKUP("Migrate_Insecure",'Scoring_Config'!$A:$A,'Scoring_Config'!$D:$D,"Yes")="Yes",_xlfn.XLOOKUP("Migrate_Insecure",'Scoring_Config'!$A:$A,'Scoring_Config'!$C:$C,15),0),"False,0")</f>
        <v>0</v>
      </c>
      <c r="AX325" s="4"/>
      <c r="AY325" s="4" cm="1">
        <f t="array" ref="AY325">IF(FALSE,"True," &amp; IF(_xlfn.XLOOKUP("Migrate_Other_Ports",'Scoring_Config'!$A:$A,'Scoring_Config'!$D:$D,"Yes")="Yes",_xlfn.XLOOKUP("Migrate_Other_Ports",'Scoring_Config'!$A:$A,'Scoring_Config'!$C:$C,5),0),"False,0")</f>
        <v>0</v>
      </c>
      <c r="AZ325" s="4" cm="1">
        <f t="array" ref="AZ325">IF(LEFT(AU325,4)="True",0,(IF(LEFT(AC325,4)="True",IF(_xlfn.XLOOKUP("Src_IsAny",'Scoring_Config'!$A:$A,'Scoring_Config'!$D:$D,"Yes")="Yes",_xlfn.XLOOKUP("Src_IsAny",'Scoring_Config'!$A:$A,'Scoring_Config'!$C:$C,25),0),0)+IF(LEFT(AD325,4)="True",IF(_xlfn.XLOOKUP("Src_CIDR_Le_16",'Scoring_Config'!$A:$A,'Scoring_Config'!$D:$D,"Yes")="Yes",_xlfn.XLOOKUP("Src_CIDR_Le_16",'Scoring_Config'!$A:$A,'Scoring_Config'!$C:$C,25),0),0)+IF(LEFT(AE325,4)="True",IF(_xlfn.XLOOKUP("Src_CIDR_17_22",'Scoring_Config'!$A:$A,'Scoring_Config'!$D:$D,"Yes")="Yes",_xlfn.XLOOKUP("Src_CIDR_17_22",'Scoring_Config'!$A:$A,'Scoring_Config'!$C:$C,15),0),0)+IF(LEFT(AF325,4)="True",IF(_xlfn.XLOOKUP("Dst_IsAny",'Scoring_Config'!$A:$A,'Scoring_Config'!$D:$D,"Yes")="Yes",_xlfn.XLOOKUP("Dst_IsAny",'Scoring_Config'!$A:$A,'Scoring_Config'!$C:$C,25),0),0)+IF(LEFT(AG325,4)="True",IF(_xlfn.XLOOKUP("Dst_CIDR_Le_16",'Scoring_Config'!$A:$A,'Scoring_Config'!$D:$D,"Yes")="Yes",_xlfn.XLOOKUP("Dst_CIDR_Le_16",'Scoring_Config'!$A:$A,'Scoring_Config'!$C:$C,25),0),0)+IF(LEFT(AH325,4)="True",IF(_xlfn.XLOOKUP("Dst_CIDR_17_22",'Scoring_Config'!$A:$A,'Scoring_Config'!$D:$D,"Yes")="Yes",_xlfn.XLOOKUP("Dst_CIDR_17_22",'Scoring_Config'!$A:$A,'Scoring_Config'!$C:$C,15),0),0)+IF(LEFT(AI325,4)="True",IF(_xlfn.XLOOKUP("SrcZone_IsAny",'Scoring_Config'!$A:$A,'Scoring_Config'!$D:$D,"Yes")="Yes",_xlfn.XLOOKUP("SrcZone_IsAny",'Scoring_Config'!$A:$A,'Scoring_Config'!$C:$C,5),0),0)+IF(LEFT(AJ325,4)="True",IF(_xlfn.XLOOKUP("DstZone_IsAny",'Scoring_Config'!$A:$A,'Scoring_Config'!$D:$D,"Yes")="Yes",_xlfn.XLOOKUP("DstZone_IsAny",'Scoring_Config'!$A:$A,'Scoring_Config'!$C:$C,5),0),0)+IF(LEFT(AK325,4)="True",IF(_xlfn.XLOOKUP("Service_Any_OR_RangeGt1000",'Scoring_Config'!$A:$A,'Scoring_Config'!$D:$D,"Yes")="Yes",_xlfn.XLOOKUP("Service_Any_OR_RangeGt1000",'Scoring_Config'!$A:$A,'Scoring_Config'!$C:$C,25),0),0)+IF(LEFT(AL325,4)="True",IF(_xlfn.XLOOKUP("App_Any_OR_RangeGt1000",'Scoring_Config'!$A:$A,'Scoring_Config'!$D:$D,"Yes")="Yes",_xlfn.XLOOKUP("App_Any_OR_RangeGt1000",'Scoring_Config'!$A:$A,'Scoring_Config'!$C:$C,25),0),0)+IF(LEFT(AM325,4)="True",IF(_xlfn.XLOOKUP("Service_Insecure_Match",'Scoring_Config'!$A:$A,'Scoring_Config'!$D:$D,"Yes")="Yes",_xlfn.XLOOKUP("Service_Insecure_Match",'Scoring_Config'!$A:$A,'Scoring_Config'!$C:$C,20),0),0)+IF(LEFT(AN325,4)="True",IF(_xlfn.XLOOKUP("Risky_Inbound",'Scoring_Config'!$A:$A,'Scoring_Config'!$D:$D,"Yes")="Yes",_xlfn.XLOOKUP("Risky_Inbound",'Scoring_Config'!$A:$A,'Scoring_Config'!$C:$C,20),0),0)+IF(LEFT(AO325,4)="True",IF(_xlfn.XLOOKUP("Risky_Outbound",'Scoring_Config'!$A:$A,'Scoring_Config'!$D:$D,"Yes")="Yes",_xlfn.XLOOKUP("Risky_Outbound",'Scoring_Config'!$A:$A,'Scoring_Config'!$C:$C,10),0),0)+IF(LEFT(AW325,4)="True",IF(_xlfn.XLOOKUP("Migrate_Insecure",'Scoring_Config'!$A:$A,'Scoring_Config'!$D:$D,"Yes")="Yes",_xlfn.XLOOKUP("Migrate_Insecure",'Scoring_Config'!$A:$A,'Scoring_Config'!$C:$C,15),0),0)+IF(LEFT(AY325,4)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325,FIND(",",AP325)+1,100)),0)+IF(LEFT(AQ325,4)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325,FIND(",",AR325)+1,100)),0)+IF(_xlfn.XLOOKUP("Profile_Scoring",'Scoring_Config'!$A:$A,'Scoring_Config'!$D:$D,"Yes")="Yes",VALUE(MID(AS325,FIND(",",AS325)+1,100)),0)+IF(_xlfn.XLOOKUP("Options_Scoring",'Scoring_Config'!$A:$A,'Scoring_Config'!$D:$D,"Yes")="Yes",VALUE(MID(AT325,FIND(",",AT325)+1,100)),0)))</f>
        <v>0</v>
      </c>
    </row>
    <row r="326" spans="1:52">
      <c r="A326" s="3" t="s">
        <v>54</v>
      </c>
      <c r="B326" s="3" t="s">
        <v>225</v>
      </c>
      <c r="C326" s="3" t="s">
        <v>331</v>
      </c>
      <c r="D326" s="3" t="s">
        <v>335</v>
      </c>
      <c r="E326" s="3" t="s">
        <v>359</v>
      </c>
      <c r="F326" s="3" t="s">
        <v>361</v>
      </c>
      <c r="G326" s="3" t="s">
        <v>457</v>
      </c>
      <c r="H326" s="3" t="s">
        <v>585</v>
      </c>
      <c r="I326" s="3" t="s">
        <v>622</v>
      </c>
      <c r="J326" s="3" t="s">
        <v>364</v>
      </c>
      <c r="K326" s="3" t="s">
        <v>386</v>
      </c>
      <c r="L326" s="3" t="s">
        <v>386</v>
      </c>
      <c r="M326" s="3" t="s">
        <v>365</v>
      </c>
      <c r="N326" s="3" t="s">
        <v>365</v>
      </c>
      <c r="O326" s="4" t="s">
        <v>853</v>
      </c>
      <c r="P326" s="3" t="s">
        <v>865</v>
      </c>
      <c r="Q326" s="3" t="s">
        <v>905</v>
      </c>
      <c r="R326" s="3" t="s">
        <v>908</v>
      </c>
      <c r="S326" s="3" t="s">
        <v>913</v>
      </c>
      <c r="T326" s="3"/>
      <c r="U326" s="3" t="s">
        <v>1315</v>
      </c>
      <c r="V326" s="3" t="s">
        <v>789</v>
      </c>
      <c r="W326" s="3" t="s">
        <v>1558</v>
      </c>
      <c r="X326" s="3" t="s">
        <v>1930</v>
      </c>
      <c r="Y326" s="3" t="s">
        <v>2399</v>
      </c>
      <c r="Z326" s="3"/>
      <c r="AA326" s="3" t="s">
        <v>1071</v>
      </c>
      <c r="AB326" s="3"/>
      <c r="AC326" s="4" cm="1">
        <f t="array" ref="AC326">IF(FALSE,"True," &amp; IF(_xlfn.XLOOKUP("Src_IsAny",'Scoring_Config'!$A:$A,'Scoring_Config'!$D:$D,"Yes")="Yes",_xlfn.XLOOKUP("Src_IsAny",'Scoring_Config'!$A:$A,'Scoring_Config'!$C:$C,25),0),"False,0")</f>
        <v>0</v>
      </c>
      <c r="AD326" s="4" cm="1">
        <f t="array" ref="AD326">IF(FALSE,"True," &amp; IF(_xlfn.XLOOKUP("Src_CIDR_Le_16",'Scoring_Config'!$A:$A,'Scoring_Config'!$D:$D,"Yes")="Yes",_xlfn.XLOOKUP("Src_CIDR_Le_16",'Scoring_Config'!$A:$A,'Scoring_Config'!$C:$C,25),0),"False,0")</f>
        <v>0</v>
      </c>
      <c r="AE326" s="4" cm="1">
        <f t="array" ref="AE326">IF(FALSE,"True," &amp; IF(_xlfn.XLOOKUP("Src_CIDR_17_22",'Scoring_Config'!$A:$A,'Scoring_Config'!$D:$D,"Yes")="Yes",_xlfn.XLOOKUP("Src_CIDR_17_22",'Scoring_Config'!$A:$A,'Scoring_Config'!$C:$C,15),0),"False,0")</f>
        <v>0</v>
      </c>
      <c r="AF326" s="4" cm="1">
        <f t="array" ref="AF326">IF(FALSE,"True," &amp; IF(_xlfn.XLOOKUP("Dst_IsAny",'Scoring_Config'!$A:$A,'Scoring_Config'!$D:$D,"Yes")="Yes",_xlfn.XLOOKUP("Dst_IsAny",'Scoring_Config'!$A:$A,'Scoring_Config'!$C:$C,25),0),"False,0")</f>
        <v>0</v>
      </c>
      <c r="AG326" s="4" cm="1">
        <f t="array" ref="AG326">IF(FALSE,"True," &amp; IF(_xlfn.XLOOKUP("Dst_CIDR_Le_16",'Scoring_Config'!$A:$A,'Scoring_Config'!$D:$D,"Yes")="Yes",_xlfn.XLOOKUP("Dst_CIDR_Le_16",'Scoring_Config'!$A:$A,'Scoring_Config'!$C:$C,25),0),"False,0")</f>
        <v>0</v>
      </c>
      <c r="AH326" s="4" cm="1">
        <f t="array" ref="AH326">IF(FALSE,"True," &amp; IF(_xlfn.XLOOKUP("Dst_CIDR_17_22",'Scoring_Config'!$A:$A,'Scoring_Config'!$D:$D,"Yes")="Yes",_xlfn.XLOOKUP("Dst_CIDR_17_22",'Scoring_Config'!$A:$A,'Scoring_Config'!$C:$C,15),0),"False,0")</f>
        <v>0</v>
      </c>
      <c r="AI326" s="4" cm="1">
        <f t="array" ref="AI326">IF(FALSE,"True," &amp; IF(_xlfn.XLOOKUP("SrcZone_IsAny",'Scoring_Config'!$A:$A,'Scoring_Config'!$D:$D,"Yes")="Yes",_xlfn.XLOOKUP("SrcZone_IsAny",'Scoring_Config'!$A:$A,'Scoring_Config'!$C:$C,5),0),"False,0")</f>
        <v>0</v>
      </c>
      <c r="AJ326" s="4" cm="1">
        <f t="array" ref="AJ326">IF(FALSE,"True," &amp; IF(_xlfn.XLOOKUP("DstZone_IsAny",'Scoring_Config'!$A:$A,'Scoring_Config'!$D:$D,"Yes")="Yes",_xlfn.XLOOKUP("DstZone_IsAny",'Scoring_Config'!$A:$A,'Scoring_Config'!$C:$C,5),0),"False,0")</f>
        <v>0</v>
      </c>
      <c r="AK326" s="4" cm="1">
        <f t="array" ref="AK32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6" s="5" cm="1">
        <f t="array" ref="AL326">IF(TRUE,"True," &amp; IF(_xlfn.XLOOKUP("App_Any_OR_RangeGt1000",'Scoring_Config'!$A:$A,'Scoring_Config'!$D:$D,"Yes")="Yes",_xlfn.XLOOKUP("App_Any_OR_RangeGt1000",'Scoring_Config'!$A:$A,'Scoring_Config'!$C:$C,25),0),"False,0")</f>
        <v>0</v>
      </c>
      <c r="AM326" s="5" cm="1">
        <f t="array" ref="AM326">IF(TRUE,"True," &amp; IF(_xlfn.XLOOKUP("Service_Insecure_Match",'Scoring_Config'!$A:$A,'Scoring_Config'!$D:$D,"Yes")="Yes",_xlfn.XLOOKUP("Service_Insecure_Match",'Scoring_Config'!$A:$A,'Scoring_Config'!$C:$C,20),0),"False,0")</f>
        <v>0</v>
      </c>
      <c r="AN326" s="4" cm="1">
        <f t="array" ref="AN326">IF(FALSE,"True," &amp; IF(_xlfn.XLOOKUP("Risky_Inbound",'Scoring_Config'!$A:$A,'Scoring_Config'!$D:$D,"Yes")="Yes",_xlfn.XLOOKUP("Risky_Inbound",'Scoring_Config'!$A:$A,'Scoring_Config'!$C:$C,20),0),"False,0")</f>
        <v>0</v>
      </c>
      <c r="AO326" s="4" cm="1">
        <f t="array" ref="AO326">IF(FALSE,"True," &amp; IF(_xlfn.XLOOKUP("Risky_Outbound",'Scoring_Config'!$A:$A,'Scoring_Config'!$D:$D,"Yes")="Yes",_xlfn.XLOOKUP("Risky_Outbound",'Scoring_Config'!$A:$A,'Scoring_Config'!$C:$C,10),0),"False,0")</f>
        <v>0</v>
      </c>
      <c r="AP326" s="5" t="s">
        <v>2595</v>
      </c>
      <c r="AQ326" s="4" cm="1">
        <f t="array" ref="AQ32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6" s="5" t="s">
        <v>2598</v>
      </c>
      <c r="AS326" s="4" t="s">
        <v>2592</v>
      </c>
      <c r="AT326" s="4" t="s">
        <v>2592</v>
      </c>
      <c r="AU326" s="4" cm="1">
        <f t="array" ref="AU326">IF(FALSE,"True," &amp; IF(_xlfn.XLOOKUP("Action_IsDenyOrDrop",'Scoring_Config'!$A:$A,'Scoring_Config'!$D:$D,"Yes")="Yes",_xlfn.XLOOKUP("Action_IsDenyOrDrop",'Scoring_Config'!$A:$A,'Scoring_Config'!$C:$C,0),0),"False,0")</f>
        <v>0</v>
      </c>
      <c r="AV326" s="4"/>
      <c r="AW326" s="4" cm="1">
        <f t="array" ref="AW326">IF(FALSE,"True," &amp; IF(_xlfn.XLOOKUP("Migrate_Insecure",'Scoring_Config'!$A:$A,'Scoring_Config'!$D:$D,"Yes")="Yes",_xlfn.XLOOKUP("Migrate_Insecure",'Scoring_Config'!$A:$A,'Scoring_Config'!$C:$C,15),0),"False,0")</f>
        <v>0</v>
      </c>
      <c r="AX326" s="4"/>
      <c r="AY326" s="4" cm="1">
        <f t="array" ref="AY326">IF(FALSE,"True," &amp; IF(_xlfn.XLOOKUP("Migrate_Other_Ports",'Scoring_Config'!$A:$A,'Scoring_Config'!$D:$D,"Yes")="Yes",_xlfn.XLOOKUP("Migrate_Other_Ports",'Scoring_Config'!$A:$A,'Scoring_Config'!$C:$C,5),0),"False,0")</f>
        <v>0</v>
      </c>
      <c r="AZ326" s="4" cm="1">
        <f t="array" ref="AZ326">IF(LEFT(AU326,4)="True",0,(IF(LEFT(AC326,4)="True",IF(_xlfn.XLOOKUP("Src_IsAny",'Scoring_Config'!$A:$A,'Scoring_Config'!$D:$D,"Yes")="Yes",_xlfn.XLOOKUP("Src_IsAny",'Scoring_Config'!$A:$A,'Scoring_Config'!$C:$C,25),0),0)+IF(LEFT(AD326,4)="True",IF(_xlfn.XLOOKUP("Src_CIDR_Le_16",'Scoring_Config'!$A:$A,'Scoring_Config'!$D:$D,"Yes")="Yes",_xlfn.XLOOKUP("Src_CIDR_Le_16",'Scoring_Config'!$A:$A,'Scoring_Config'!$C:$C,25),0),0)+IF(LEFT(AE326,4)="True",IF(_xlfn.XLOOKUP("Src_CIDR_17_22",'Scoring_Config'!$A:$A,'Scoring_Config'!$D:$D,"Yes")="Yes",_xlfn.XLOOKUP("Src_CIDR_17_22",'Scoring_Config'!$A:$A,'Scoring_Config'!$C:$C,15),0),0)+IF(LEFT(AF326,4)="True",IF(_xlfn.XLOOKUP("Dst_IsAny",'Scoring_Config'!$A:$A,'Scoring_Config'!$D:$D,"Yes")="Yes",_xlfn.XLOOKUP("Dst_IsAny",'Scoring_Config'!$A:$A,'Scoring_Config'!$C:$C,25),0),0)+IF(LEFT(AG326,4)="True",IF(_xlfn.XLOOKUP("Dst_CIDR_Le_16",'Scoring_Config'!$A:$A,'Scoring_Config'!$D:$D,"Yes")="Yes",_xlfn.XLOOKUP("Dst_CIDR_Le_16",'Scoring_Config'!$A:$A,'Scoring_Config'!$C:$C,25),0),0)+IF(LEFT(AH326,4)="True",IF(_xlfn.XLOOKUP("Dst_CIDR_17_22",'Scoring_Config'!$A:$A,'Scoring_Config'!$D:$D,"Yes")="Yes",_xlfn.XLOOKUP("Dst_CIDR_17_22",'Scoring_Config'!$A:$A,'Scoring_Config'!$C:$C,15),0),0)+IF(LEFT(AI326,4)="True",IF(_xlfn.XLOOKUP("SrcZone_IsAny",'Scoring_Config'!$A:$A,'Scoring_Config'!$D:$D,"Yes")="Yes",_xlfn.XLOOKUP("SrcZone_IsAny",'Scoring_Config'!$A:$A,'Scoring_Config'!$C:$C,5),0),0)+IF(LEFT(AJ326,4)="True",IF(_xlfn.XLOOKUP("DstZone_IsAny",'Scoring_Config'!$A:$A,'Scoring_Config'!$D:$D,"Yes")="Yes",_xlfn.XLOOKUP("DstZone_IsAny",'Scoring_Config'!$A:$A,'Scoring_Config'!$C:$C,5),0),0)+IF(LEFT(AK326,4)="True",IF(_xlfn.XLOOKUP("Service_Any_OR_RangeGt1000",'Scoring_Config'!$A:$A,'Scoring_Config'!$D:$D,"Yes")="Yes",_xlfn.XLOOKUP("Service_Any_OR_RangeGt1000",'Scoring_Config'!$A:$A,'Scoring_Config'!$C:$C,25),0),0)+IF(LEFT(AL326,4)="True",IF(_xlfn.XLOOKUP("App_Any_OR_RangeGt1000",'Scoring_Config'!$A:$A,'Scoring_Config'!$D:$D,"Yes")="Yes",_xlfn.XLOOKUP("App_Any_OR_RangeGt1000",'Scoring_Config'!$A:$A,'Scoring_Config'!$C:$C,25),0),0)+IF(LEFT(AM326,4)="True",IF(_xlfn.XLOOKUP("Service_Insecure_Match",'Scoring_Config'!$A:$A,'Scoring_Config'!$D:$D,"Yes")="Yes",_xlfn.XLOOKUP("Service_Insecure_Match",'Scoring_Config'!$A:$A,'Scoring_Config'!$C:$C,20),0),0)+IF(LEFT(AN326,4)="True",IF(_xlfn.XLOOKUP("Risky_Inbound",'Scoring_Config'!$A:$A,'Scoring_Config'!$D:$D,"Yes")="Yes",_xlfn.XLOOKUP("Risky_Inbound",'Scoring_Config'!$A:$A,'Scoring_Config'!$C:$C,20),0),0)+IF(LEFT(AO326,4)="True",IF(_xlfn.XLOOKUP("Risky_Outbound",'Scoring_Config'!$A:$A,'Scoring_Config'!$D:$D,"Yes")="Yes",_xlfn.XLOOKUP("Risky_Outbound",'Scoring_Config'!$A:$A,'Scoring_Config'!$C:$C,10),0),0)+IF(LEFT(AW326,4)="True",IF(_xlfn.XLOOKUP("Migrate_Insecure",'Scoring_Config'!$A:$A,'Scoring_Config'!$D:$D,"Yes")="Yes",_xlfn.XLOOKUP("Migrate_Insecure",'Scoring_Config'!$A:$A,'Scoring_Config'!$C:$C,15),0),0)+IF(LEFT(AY326,4)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326,FIND(",",AP326)+1,100)),0)+IF(LEFT(AQ326,4)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326,FIND(",",AR326)+1,100)),0)+IF(_xlfn.XLOOKUP("Profile_Scoring",'Scoring_Config'!$A:$A,'Scoring_Config'!$D:$D,"Yes")="Yes",VALUE(MID(AS326,FIND(",",AS326)+1,100)),0)+IF(_xlfn.XLOOKUP("Options_Scoring",'Scoring_Config'!$A:$A,'Scoring_Config'!$D:$D,"Yes")="Yes",VALUE(MID(AT326,FIND(",",AT326)+1,100)),0)))</f>
        <v>0</v>
      </c>
    </row>
    <row r="327" spans="1:52">
      <c r="A327" s="3" t="s">
        <v>54</v>
      </c>
      <c r="B327" s="3" t="s">
        <v>269</v>
      </c>
      <c r="C327" s="3" t="s">
        <v>331</v>
      </c>
      <c r="D327" s="3" t="s">
        <v>357</v>
      </c>
      <c r="E327" s="3" t="s">
        <v>359</v>
      </c>
      <c r="F327" s="3" t="s">
        <v>360</v>
      </c>
      <c r="G327" s="3" t="s">
        <v>489</v>
      </c>
      <c r="H327" s="3" t="s">
        <v>597</v>
      </c>
      <c r="I327" s="3" t="s">
        <v>623</v>
      </c>
      <c r="J327" s="3" t="s">
        <v>362</v>
      </c>
      <c r="K327" s="3" t="s">
        <v>371</v>
      </c>
      <c r="L327" s="3" t="s">
        <v>371</v>
      </c>
      <c r="M327" s="3" t="s">
        <v>782</v>
      </c>
      <c r="N327" s="3" t="s">
        <v>782</v>
      </c>
      <c r="O327" s="4" t="s">
        <v>847</v>
      </c>
      <c r="P327" s="3" t="s">
        <v>900</v>
      </c>
      <c r="Q327" s="3" t="s">
        <v>905</v>
      </c>
      <c r="R327" s="3" t="s">
        <v>908</v>
      </c>
      <c r="S327" s="3" t="s">
        <v>914</v>
      </c>
      <c r="T327" s="3"/>
      <c r="U327" s="3" t="s">
        <v>1157</v>
      </c>
      <c r="V327" s="3" t="s">
        <v>1387</v>
      </c>
      <c r="W327" s="3" t="s">
        <v>1484</v>
      </c>
      <c r="X327" s="3" t="s">
        <v>1931</v>
      </c>
      <c r="Y327" s="3" t="s">
        <v>2400</v>
      </c>
      <c r="Z327" s="3"/>
      <c r="AA327" s="3" t="s">
        <v>1460</v>
      </c>
      <c r="AB327" s="3"/>
      <c r="AC327" s="4" cm="1">
        <f t="array" ref="AC327">IF(FALSE,"True," &amp; IF(_xlfn.XLOOKUP("Src_IsAny",'Scoring_Config'!$A:$A,'Scoring_Config'!$D:$D,"Yes")="Yes",_xlfn.XLOOKUP("Src_IsAny",'Scoring_Config'!$A:$A,'Scoring_Config'!$C:$C,25),0),"False,0")</f>
        <v>0</v>
      </c>
      <c r="AD327" s="5" cm="1">
        <f t="array" ref="AD327">IF(TRUE,"True," &amp; IF(_xlfn.XLOOKUP("Src_CIDR_Le_16",'Scoring_Config'!$A:$A,'Scoring_Config'!$D:$D,"Yes")="Yes",_xlfn.XLOOKUP("Src_CIDR_Le_16",'Scoring_Config'!$A:$A,'Scoring_Config'!$C:$C,25),0),"False,0")</f>
        <v>0</v>
      </c>
      <c r="AE327" s="4" cm="1">
        <f t="array" ref="AE327">IF(FALSE,"True," &amp; IF(_xlfn.XLOOKUP("Src_CIDR_17_22",'Scoring_Config'!$A:$A,'Scoring_Config'!$D:$D,"Yes")="Yes",_xlfn.XLOOKUP("Src_CIDR_17_22",'Scoring_Config'!$A:$A,'Scoring_Config'!$C:$C,15),0),"False,0")</f>
        <v>0</v>
      </c>
      <c r="AF327" s="4" cm="1">
        <f t="array" ref="AF327">IF(FALSE,"True," &amp; IF(_xlfn.XLOOKUP("Dst_IsAny",'Scoring_Config'!$A:$A,'Scoring_Config'!$D:$D,"Yes")="Yes",_xlfn.XLOOKUP("Dst_IsAny",'Scoring_Config'!$A:$A,'Scoring_Config'!$C:$C,25),0),"False,0")</f>
        <v>0</v>
      </c>
      <c r="AG327" s="4" cm="1">
        <f t="array" ref="AG327">IF(FALSE,"True," &amp; IF(_xlfn.XLOOKUP("Dst_CIDR_Le_16",'Scoring_Config'!$A:$A,'Scoring_Config'!$D:$D,"Yes")="Yes",_xlfn.XLOOKUP("Dst_CIDR_Le_16",'Scoring_Config'!$A:$A,'Scoring_Config'!$C:$C,25),0),"False,0")</f>
        <v>0</v>
      </c>
      <c r="AH327" s="4" cm="1">
        <f t="array" ref="AH327">IF(FALSE,"True," &amp; IF(_xlfn.XLOOKUP("Dst_CIDR_17_22",'Scoring_Config'!$A:$A,'Scoring_Config'!$D:$D,"Yes")="Yes",_xlfn.XLOOKUP("Dst_CIDR_17_22",'Scoring_Config'!$A:$A,'Scoring_Config'!$C:$C,15),0),"False,0")</f>
        <v>0</v>
      </c>
      <c r="AI327" s="4" cm="1">
        <f t="array" ref="AI327">IF(FALSE,"True," &amp; IF(_xlfn.XLOOKUP("SrcZone_IsAny",'Scoring_Config'!$A:$A,'Scoring_Config'!$D:$D,"Yes")="Yes",_xlfn.XLOOKUP("SrcZone_IsAny",'Scoring_Config'!$A:$A,'Scoring_Config'!$C:$C,5),0),"False,0")</f>
        <v>0</v>
      </c>
      <c r="AJ327" s="4" cm="1">
        <f t="array" ref="AJ327">IF(FALSE,"True," &amp; IF(_xlfn.XLOOKUP("DstZone_IsAny",'Scoring_Config'!$A:$A,'Scoring_Config'!$D:$D,"Yes")="Yes",_xlfn.XLOOKUP("DstZone_IsAny",'Scoring_Config'!$A:$A,'Scoring_Config'!$C:$C,5),0),"False,0")</f>
        <v>0</v>
      </c>
      <c r="AK327" s="4" cm="1">
        <f t="array" ref="AK32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7" s="4" cm="1">
        <f t="array" ref="AL327">IF(FALSE,"True," &amp; IF(_xlfn.XLOOKUP("App_Any_OR_RangeGt1000",'Scoring_Config'!$A:$A,'Scoring_Config'!$D:$D,"Yes")="Yes",_xlfn.XLOOKUP("App_Any_OR_RangeGt1000",'Scoring_Config'!$A:$A,'Scoring_Config'!$C:$C,25),0),"False,0")</f>
        <v>0</v>
      </c>
      <c r="AM327" s="4" cm="1">
        <f t="array" ref="AM327">IF(FALSE,"True," &amp; IF(_xlfn.XLOOKUP("Service_Insecure_Match",'Scoring_Config'!$A:$A,'Scoring_Config'!$D:$D,"Yes")="Yes",_xlfn.XLOOKUP("Service_Insecure_Match",'Scoring_Config'!$A:$A,'Scoring_Config'!$C:$C,20),0),"False,0")</f>
        <v>0</v>
      </c>
      <c r="AN327" s="4" cm="1">
        <f t="array" ref="AN327">IF(FALSE,"True," &amp; IF(_xlfn.XLOOKUP("Risky_Inbound",'Scoring_Config'!$A:$A,'Scoring_Config'!$D:$D,"Yes")="Yes",_xlfn.XLOOKUP("Risky_Inbound",'Scoring_Config'!$A:$A,'Scoring_Config'!$C:$C,20),0),"False,0")</f>
        <v>0</v>
      </c>
      <c r="AO327" s="4" cm="1">
        <f t="array" ref="AO327">IF(FALSE,"True," &amp; IF(_xlfn.XLOOKUP("Risky_Outbound",'Scoring_Config'!$A:$A,'Scoring_Config'!$D:$D,"Yes")="Yes",_xlfn.XLOOKUP("Risky_Outbound",'Scoring_Config'!$A:$A,'Scoring_Config'!$C:$C,10),0),"False,0")</f>
        <v>0</v>
      </c>
      <c r="AP327" s="5" t="s">
        <v>2595</v>
      </c>
      <c r="AQ327" s="5" cm="1">
        <f t="array" ref="AQ32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7" s="5" t="s">
        <v>2598</v>
      </c>
      <c r="AS327" s="4" t="s">
        <v>2592</v>
      </c>
      <c r="AT327" s="4" t="s">
        <v>2592</v>
      </c>
      <c r="AU327" s="4" cm="1">
        <f t="array" ref="AU327">IF(FALSE,"True," &amp; IF(_xlfn.XLOOKUP("Action_IsDenyOrDrop",'Scoring_Config'!$A:$A,'Scoring_Config'!$D:$D,"Yes")="Yes",_xlfn.XLOOKUP("Action_IsDenyOrDrop",'Scoring_Config'!$A:$A,'Scoring_Config'!$C:$C,0),0),"False,0")</f>
        <v>0</v>
      </c>
      <c r="AV327" s="4"/>
      <c r="AW327" s="4" cm="1">
        <f t="array" ref="AW327">IF(FALSE,"True," &amp; IF(_xlfn.XLOOKUP("Migrate_Insecure",'Scoring_Config'!$A:$A,'Scoring_Config'!$D:$D,"Yes")="Yes",_xlfn.XLOOKUP("Migrate_Insecure",'Scoring_Config'!$A:$A,'Scoring_Config'!$C:$C,15),0),"False,0")</f>
        <v>0</v>
      </c>
      <c r="AX327" s="4"/>
      <c r="AY327" s="4" cm="1">
        <f t="array" ref="AY327">IF(FALSE,"True," &amp; IF(_xlfn.XLOOKUP("Migrate_Other_Ports",'Scoring_Config'!$A:$A,'Scoring_Config'!$D:$D,"Yes")="Yes",_xlfn.XLOOKUP("Migrate_Other_Ports",'Scoring_Config'!$A:$A,'Scoring_Config'!$C:$C,5),0),"False,0")</f>
        <v>0</v>
      </c>
      <c r="AZ327" s="4" cm="1">
        <f t="array" ref="AZ327">IF(LEFT(AU327,4)="True",0,(IF(LEFT(AC327,4)="True",IF(_xlfn.XLOOKUP("Src_IsAny",'Scoring_Config'!$A:$A,'Scoring_Config'!$D:$D,"Yes")="Yes",_xlfn.XLOOKUP("Src_IsAny",'Scoring_Config'!$A:$A,'Scoring_Config'!$C:$C,25),0),0)+IF(LEFT(AD327,4)="True",IF(_xlfn.XLOOKUP("Src_CIDR_Le_16",'Scoring_Config'!$A:$A,'Scoring_Config'!$D:$D,"Yes")="Yes",_xlfn.XLOOKUP("Src_CIDR_Le_16",'Scoring_Config'!$A:$A,'Scoring_Config'!$C:$C,25),0),0)+IF(LEFT(AE327,4)="True",IF(_xlfn.XLOOKUP("Src_CIDR_17_22",'Scoring_Config'!$A:$A,'Scoring_Config'!$D:$D,"Yes")="Yes",_xlfn.XLOOKUP("Src_CIDR_17_22",'Scoring_Config'!$A:$A,'Scoring_Config'!$C:$C,15),0),0)+IF(LEFT(AF327,4)="True",IF(_xlfn.XLOOKUP("Dst_IsAny",'Scoring_Config'!$A:$A,'Scoring_Config'!$D:$D,"Yes")="Yes",_xlfn.XLOOKUP("Dst_IsAny",'Scoring_Config'!$A:$A,'Scoring_Config'!$C:$C,25),0),0)+IF(LEFT(AG327,4)="True",IF(_xlfn.XLOOKUP("Dst_CIDR_Le_16",'Scoring_Config'!$A:$A,'Scoring_Config'!$D:$D,"Yes")="Yes",_xlfn.XLOOKUP("Dst_CIDR_Le_16",'Scoring_Config'!$A:$A,'Scoring_Config'!$C:$C,25),0),0)+IF(LEFT(AH327,4)="True",IF(_xlfn.XLOOKUP("Dst_CIDR_17_22",'Scoring_Config'!$A:$A,'Scoring_Config'!$D:$D,"Yes")="Yes",_xlfn.XLOOKUP("Dst_CIDR_17_22",'Scoring_Config'!$A:$A,'Scoring_Config'!$C:$C,15),0),0)+IF(LEFT(AI327,4)="True",IF(_xlfn.XLOOKUP("SrcZone_IsAny",'Scoring_Config'!$A:$A,'Scoring_Config'!$D:$D,"Yes")="Yes",_xlfn.XLOOKUP("SrcZone_IsAny",'Scoring_Config'!$A:$A,'Scoring_Config'!$C:$C,5),0),0)+IF(LEFT(AJ327,4)="True",IF(_xlfn.XLOOKUP("DstZone_IsAny",'Scoring_Config'!$A:$A,'Scoring_Config'!$D:$D,"Yes")="Yes",_xlfn.XLOOKUP("DstZone_IsAny",'Scoring_Config'!$A:$A,'Scoring_Config'!$C:$C,5),0),0)+IF(LEFT(AK327,4)="True",IF(_xlfn.XLOOKUP("Service_Any_OR_RangeGt1000",'Scoring_Config'!$A:$A,'Scoring_Config'!$D:$D,"Yes")="Yes",_xlfn.XLOOKUP("Service_Any_OR_RangeGt1000",'Scoring_Config'!$A:$A,'Scoring_Config'!$C:$C,25),0),0)+IF(LEFT(AL327,4)="True",IF(_xlfn.XLOOKUP("App_Any_OR_RangeGt1000",'Scoring_Config'!$A:$A,'Scoring_Config'!$D:$D,"Yes")="Yes",_xlfn.XLOOKUP("App_Any_OR_RangeGt1000",'Scoring_Config'!$A:$A,'Scoring_Config'!$C:$C,25),0),0)+IF(LEFT(AM327,4)="True",IF(_xlfn.XLOOKUP("Service_Insecure_Match",'Scoring_Config'!$A:$A,'Scoring_Config'!$D:$D,"Yes")="Yes",_xlfn.XLOOKUP("Service_Insecure_Match",'Scoring_Config'!$A:$A,'Scoring_Config'!$C:$C,20),0),0)+IF(LEFT(AN327,4)="True",IF(_xlfn.XLOOKUP("Risky_Inbound",'Scoring_Config'!$A:$A,'Scoring_Config'!$D:$D,"Yes")="Yes",_xlfn.XLOOKUP("Risky_Inbound",'Scoring_Config'!$A:$A,'Scoring_Config'!$C:$C,20),0),0)+IF(LEFT(AO327,4)="True",IF(_xlfn.XLOOKUP("Risky_Outbound",'Scoring_Config'!$A:$A,'Scoring_Config'!$D:$D,"Yes")="Yes",_xlfn.XLOOKUP("Risky_Outbound",'Scoring_Config'!$A:$A,'Scoring_Config'!$C:$C,10),0),0)+IF(LEFT(AW327,4)="True",IF(_xlfn.XLOOKUP("Migrate_Insecure",'Scoring_Config'!$A:$A,'Scoring_Config'!$D:$D,"Yes")="Yes",_xlfn.XLOOKUP("Migrate_Insecure",'Scoring_Config'!$A:$A,'Scoring_Config'!$C:$C,15),0),0)+IF(LEFT(AY327,4)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327,FIND(",",AP327)+1,100)),0)+IF(LEFT(AQ327,4)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327,FIND(",",AR327)+1,100)),0)+IF(_xlfn.XLOOKUP("Profile_Scoring",'Scoring_Config'!$A:$A,'Scoring_Config'!$D:$D,"Yes")="Yes",VALUE(MID(AS327,FIND(",",AS327)+1,100)),0)+IF(_xlfn.XLOOKUP("Options_Scoring",'Scoring_Config'!$A:$A,'Scoring_Config'!$D:$D,"Yes")="Yes",VALUE(MID(AT327,FIND(",",AT327)+1,100)),0)))</f>
        <v>0</v>
      </c>
    </row>
    <row r="328" spans="1:52">
      <c r="A328" s="3" t="s">
        <v>54</v>
      </c>
      <c r="B328" s="3" t="s">
        <v>225</v>
      </c>
      <c r="C328" s="3" t="s">
        <v>331</v>
      </c>
      <c r="D328" s="3"/>
      <c r="E328" s="3" t="s">
        <v>359</v>
      </c>
      <c r="F328" s="3" t="s">
        <v>361</v>
      </c>
      <c r="G328" s="3" t="s">
        <v>365</v>
      </c>
      <c r="H328" s="3" t="s">
        <v>365</v>
      </c>
      <c r="I328" s="3" t="s">
        <v>623</v>
      </c>
      <c r="J328" s="3" t="s">
        <v>364</v>
      </c>
      <c r="K328" s="3" t="s">
        <v>463</v>
      </c>
      <c r="L328" s="3" t="s">
        <v>482</v>
      </c>
      <c r="M328" s="3" t="s">
        <v>365</v>
      </c>
      <c r="N328" s="3" t="s">
        <v>365</v>
      </c>
      <c r="O328" s="4" t="s">
        <v>810</v>
      </c>
      <c r="P328" s="3" t="s">
        <v>871</v>
      </c>
      <c r="Q328" s="3" t="s">
        <v>905</v>
      </c>
      <c r="R328" s="3" t="s">
        <v>910</v>
      </c>
      <c r="S328" s="3" t="s">
        <v>916</v>
      </c>
      <c r="T328" s="3"/>
      <c r="U328" s="3" t="s">
        <v>1268</v>
      </c>
      <c r="V328" s="3" t="s">
        <v>1387</v>
      </c>
      <c r="W328" s="3" t="s">
        <v>1005</v>
      </c>
      <c r="X328" s="3" t="s">
        <v>1932</v>
      </c>
      <c r="Y328" s="3" t="s">
        <v>2401</v>
      </c>
      <c r="Z328" s="3"/>
      <c r="AA328" s="3" t="s">
        <v>2583</v>
      </c>
      <c r="AB328" s="3"/>
      <c r="AC328" s="5" cm="1">
        <f t="array" ref="AC328">IF(TRUE,"True," &amp; IF(_xlfn.XLOOKUP("Src_IsAny",'Scoring_Config'!$A:$A,'Scoring_Config'!$D:$D,"Yes")="Yes",_xlfn.XLOOKUP("Src_IsAny",'Scoring_Config'!$A:$A,'Scoring_Config'!$C:$C,25),0),"False,0")</f>
        <v>0</v>
      </c>
      <c r="AD328" s="4" cm="1">
        <f t="array" ref="AD328">IF(FALSE,"True," &amp; IF(_xlfn.XLOOKUP("Src_CIDR_Le_16",'Scoring_Config'!$A:$A,'Scoring_Config'!$D:$D,"Yes")="Yes",_xlfn.XLOOKUP("Src_CIDR_Le_16",'Scoring_Config'!$A:$A,'Scoring_Config'!$C:$C,25),0),"False,0")</f>
        <v>0</v>
      </c>
      <c r="AE328" s="4" cm="1">
        <f t="array" ref="AE328">IF(FALSE,"True," &amp; IF(_xlfn.XLOOKUP("Src_CIDR_17_22",'Scoring_Config'!$A:$A,'Scoring_Config'!$D:$D,"Yes")="Yes",_xlfn.XLOOKUP("Src_CIDR_17_22",'Scoring_Config'!$A:$A,'Scoring_Config'!$C:$C,15),0),"False,0")</f>
        <v>0</v>
      </c>
      <c r="AF328" s="4" cm="1">
        <f t="array" ref="AF328">IF(FALSE,"True," &amp; IF(_xlfn.XLOOKUP("Dst_IsAny",'Scoring_Config'!$A:$A,'Scoring_Config'!$D:$D,"Yes")="Yes",_xlfn.XLOOKUP("Dst_IsAny",'Scoring_Config'!$A:$A,'Scoring_Config'!$C:$C,25),0),"False,0")</f>
        <v>0</v>
      </c>
      <c r="AG328" s="4" cm="1">
        <f t="array" ref="AG328">IF(FALSE,"True," &amp; IF(_xlfn.XLOOKUP("Dst_CIDR_Le_16",'Scoring_Config'!$A:$A,'Scoring_Config'!$D:$D,"Yes")="Yes",_xlfn.XLOOKUP("Dst_CIDR_Le_16",'Scoring_Config'!$A:$A,'Scoring_Config'!$C:$C,25),0),"False,0")</f>
        <v>0</v>
      </c>
      <c r="AH328" s="4" cm="1">
        <f t="array" ref="AH328">IF(FALSE,"True," &amp; IF(_xlfn.XLOOKUP("Dst_CIDR_17_22",'Scoring_Config'!$A:$A,'Scoring_Config'!$D:$D,"Yes")="Yes",_xlfn.XLOOKUP("Dst_CIDR_17_22",'Scoring_Config'!$A:$A,'Scoring_Config'!$C:$C,15),0),"False,0")</f>
        <v>0</v>
      </c>
      <c r="AI328" s="4" cm="1">
        <f t="array" ref="AI328">IF(FALSE,"True," &amp; IF(_xlfn.XLOOKUP("SrcZone_IsAny",'Scoring_Config'!$A:$A,'Scoring_Config'!$D:$D,"Yes")="Yes",_xlfn.XLOOKUP("SrcZone_IsAny",'Scoring_Config'!$A:$A,'Scoring_Config'!$C:$C,5),0),"False,0")</f>
        <v>0</v>
      </c>
      <c r="AJ328" s="4" cm="1">
        <f t="array" ref="AJ328">IF(FALSE,"True," &amp; IF(_xlfn.XLOOKUP("DstZone_IsAny",'Scoring_Config'!$A:$A,'Scoring_Config'!$D:$D,"Yes")="Yes",_xlfn.XLOOKUP("DstZone_IsAny",'Scoring_Config'!$A:$A,'Scoring_Config'!$C:$C,5),0),"False,0")</f>
        <v>0</v>
      </c>
      <c r="AK328" s="4" cm="1">
        <f t="array" ref="AK32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8" s="5" cm="1">
        <f t="array" ref="AL328">IF(TRUE,"True," &amp; IF(_xlfn.XLOOKUP("App_Any_OR_RangeGt1000",'Scoring_Config'!$A:$A,'Scoring_Config'!$D:$D,"Yes")="Yes",_xlfn.XLOOKUP("App_Any_OR_RangeGt1000",'Scoring_Config'!$A:$A,'Scoring_Config'!$C:$C,25),0),"False,0")</f>
        <v>0</v>
      </c>
      <c r="AM328" s="5" cm="1">
        <f t="array" ref="AM328">IF(TRUE,"True," &amp; IF(_xlfn.XLOOKUP("Service_Insecure_Match",'Scoring_Config'!$A:$A,'Scoring_Config'!$D:$D,"Yes")="Yes",_xlfn.XLOOKUP("Service_Insecure_Match",'Scoring_Config'!$A:$A,'Scoring_Config'!$C:$C,20),0),"False,0")</f>
        <v>0</v>
      </c>
      <c r="AN328" s="4" cm="1">
        <f t="array" ref="AN328">IF(FALSE,"True," &amp; IF(_xlfn.XLOOKUP("Risky_Inbound",'Scoring_Config'!$A:$A,'Scoring_Config'!$D:$D,"Yes")="Yes",_xlfn.XLOOKUP("Risky_Inbound",'Scoring_Config'!$A:$A,'Scoring_Config'!$C:$C,20),0),"False,0")</f>
        <v>0</v>
      </c>
      <c r="AO328" s="4" cm="1">
        <f t="array" ref="AO328">IF(FALSE,"True," &amp; IF(_xlfn.XLOOKUP("Risky_Outbound",'Scoring_Config'!$A:$A,'Scoring_Config'!$D:$D,"Yes")="Yes",_xlfn.XLOOKUP("Risky_Outbound",'Scoring_Config'!$A:$A,'Scoring_Config'!$C:$C,10),0),"False,0")</f>
        <v>0</v>
      </c>
      <c r="AP328" s="5" t="s">
        <v>2595</v>
      </c>
      <c r="AQ328" s="5" cm="1">
        <f t="array" ref="AQ32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8" s="5" t="s">
        <v>2598</v>
      </c>
      <c r="AS328" s="4" t="s">
        <v>2592</v>
      </c>
      <c r="AT328" s="4" t="s">
        <v>2592</v>
      </c>
      <c r="AU328" s="4" cm="1">
        <f t="array" ref="AU328">IF(FALSE,"True," &amp; IF(_xlfn.XLOOKUP("Action_IsDenyOrDrop",'Scoring_Config'!$A:$A,'Scoring_Config'!$D:$D,"Yes")="Yes",_xlfn.XLOOKUP("Action_IsDenyOrDrop",'Scoring_Config'!$A:$A,'Scoring_Config'!$C:$C,0),0),"False,0")</f>
        <v>0</v>
      </c>
      <c r="AV328" s="4"/>
      <c r="AW328" s="4" cm="1">
        <f t="array" ref="AW328">IF(FALSE,"True," &amp; IF(_xlfn.XLOOKUP("Migrate_Insecure",'Scoring_Config'!$A:$A,'Scoring_Config'!$D:$D,"Yes")="Yes",_xlfn.XLOOKUP("Migrate_Insecure",'Scoring_Config'!$A:$A,'Scoring_Config'!$C:$C,15),0),"False,0")</f>
        <v>0</v>
      </c>
      <c r="AX328" s="4"/>
      <c r="AY328" s="4" cm="1">
        <f t="array" ref="AY328">IF(FALSE,"True," &amp; IF(_xlfn.XLOOKUP("Migrate_Other_Ports",'Scoring_Config'!$A:$A,'Scoring_Config'!$D:$D,"Yes")="Yes",_xlfn.XLOOKUP("Migrate_Other_Ports",'Scoring_Config'!$A:$A,'Scoring_Config'!$C:$C,5),0),"False,0")</f>
        <v>0</v>
      </c>
      <c r="AZ328" s="4" cm="1">
        <f t="array" ref="AZ328">IF(LEFT(AU328,4)="True",0,(IF(LEFT(AC328,4)="True",IF(_xlfn.XLOOKUP("Src_IsAny",'Scoring_Config'!$A:$A,'Scoring_Config'!$D:$D,"Yes")="Yes",_xlfn.XLOOKUP("Src_IsAny",'Scoring_Config'!$A:$A,'Scoring_Config'!$C:$C,25),0),0)+IF(LEFT(AD328,4)="True",IF(_xlfn.XLOOKUP("Src_CIDR_Le_16",'Scoring_Config'!$A:$A,'Scoring_Config'!$D:$D,"Yes")="Yes",_xlfn.XLOOKUP("Src_CIDR_Le_16",'Scoring_Config'!$A:$A,'Scoring_Config'!$C:$C,25),0),0)+IF(LEFT(AE328,4)="True",IF(_xlfn.XLOOKUP("Src_CIDR_17_22",'Scoring_Config'!$A:$A,'Scoring_Config'!$D:$D,"Yes")="Yes",_xlfn.XLOOKUP("Src_CIDR_17_22",'Scoring_Config'!$A:$A,'Scoring_Config'!$C:$C,15),0),0)+IF(LEFT(AF328,4)="True",IF(_xlfn.XLOOKUP("Dst_IsAny",'Scoring_Config'!$A:$A,'Scoring_Config'!$D:$D,"Yes")="Yes",_xlfn.XLOOKUP("Dst_IsAny",'Scoring_Config'!$A:$A,'Scoring_Config'!$C:$C,25),0),0)+IF(LEFT(AG328,4)="True",IF(_xlfn.XLOOKUP("Dst_CIDR_Le_16",'Scoring_Config'!$A:$A,'Scoring_Config'!$D:$D,"Yes")="Yes",_xlfn.XLOOKUP("Dst_CIDR_Le_16",'Scoring_Config'!$A:$A,'Scoring_Config'!$C:$C,25),0),0)+IF(LEFT(AH328,4)="True",IF(_xlfn.XLOOKUP("Dst_CIDR_17_22",'Scoring_Config'!$A:$A,'Scoring_Config'!$D:$D,"Yes")="Yes",_xlfn.XLOOKUP("Dst_CIDR_17_22",'Scoring_Config'!$A:$A,'Scoring_Config'!$C:$C,15),0),0)+IF(LEFT(AI328,4)="True",IF(_xlfn.XLOOKUP("SrcZone_IsAny",'Scoring_Config'!$A:$A,'Scoring_Config'!$D:$D,"Yes")="Yes",_xlfn.XLOOKUP("SrcZone_IsAny",'Scoring_Config'!$A:$A,'Scoring_Config'!$C:$C,5),0),0)+IF(LEFT(AJ328,4)="True",IF(_xlfn.XLOOKUP("DstZone_IsAny",'Scoring_Config'!$A:$A,'Scoring_Config'!$D:$D,"Yes")="Yes",_xlfn.XLOOKUP("DstZone_IsAny",'Scoring_Config'!$A:$A,'Scoring_Config'!$C:$C,5),0),0)+IF(LEFT(AK328,4)="True",IF(_xlfn.XLOOKUP("Service_Any_OR_RangeGt1000",'Scoring_Config'!$A:$A,'Scoring_Config'!$D:$D,"Yes")="Yes",_xlfn.XLOOKUP("Service_Any_OR_RangeGt1000",'Scoring_Config'!$A:$A,'Scoring_Config'!$C:$C,25),0),0)+IF(LEFT(AL328,4)="True",IF(_xlfn.XLOOKUP("App_Any_OR_RangeGt1000",'Scoring_Config'!$A:$A,'Scoring_Config'!$D:$D,"Yes")="Yes",_xlfn.XLOOKUP("App_Any_OR_RangeGt1000",'Scoring_Config'!$A:$A,'Scoring_Config'!$C:$C,25),0),0)+IF(LEFT(AM328,4)="True",IF(_xlfn.XLOOKUP("Service_Insecure_Match",'Scoring_Config'!$A:$A,'Scoring_Config'!$D:$D,"Yes")="Yes",_xlfn.XLOOKUP("Service_Insecure_Match",'Scoring_Config'!$A:$A,'Scoring_Config'!$C:$C,20),0),0)+IF(LEFT(AN328,4)="True",IF(_xlfn.XLOOKUP("Risky_Inbound",'Scoring_Config'!$A:$A,'Scoring_Config'!$D:$D,"Yes")="Yes",_xlfn.XLOOKUP("Risky_Inbound",'Scoring_Config'!$A:$A,'Scoring_Config'!$C:$C,20),0),0)+IF(LEFT(AO328,4)="True",IF(_xlfn.XLOOKUP("Risky_Outbound",'Scoring_Config'!$A:$A,'Scoring_Config'!$D:$D,"Yes")="Yes",_xlfn.XLOOKUP("Risky_Outbound",'Scoring_Config'!$A:$A,'Scoring_Config'!$C:$C,10),0),0)+IF(LEFT(AW328,4)="True",IF(_xlfn.XLOOKUP("Migrate_Insecure",'Scoring_Config'!$A:$A,'Scoring_Config'!$D:$D,"Yes")="Yes",_xlfn.XLOOKUP("Migrate_Insecure",'Scoring_Config'!$A:$A,'Scoring_Config'!$C:$C,15),0),0)+IF(LEFT(AY328,4)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328,FIND(",",AP328)+1,100)),0)+IF(LEFT(AQ328,4)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328,FIND(",",AR328)+1,100)),0)+IF(_xlfn.XLOOKUP("Profile_Scoring",'Scoring_Config'!$A:$A,'Scoring_Config'!$D:$D,"Yes")="Yes",VALUE(MID(AS328,FIND(",",AS328)+1,100)),0)+IF(_xlfn.XLOOKUP("Options_Scoring",'Scoring_Config'!$A:$A,'Scoring_Config'!$D:$D,"Yes")="Yes",VALUE(MID(AT328,FIND(",",AT328)+1,100)),0)))</f>
        <v>0</v>
      </c>
    </row>
    <row r="329" spans="1:52">
      <c r="A329" s="3" t="s">
        <v>54</v>
      </c>
      <c r="B329" s="3" t="s">
        <v>214</v>
      </c>
      <c r="C329" s="3" t="s">
        <v>331</v>
      </c>
      <c r="D329" s="3"/>
      <c r="E329" s="3" t="s">
        <v>359</v>
      </c>
      <c r="F329" s="3" t="s">
        <v>361</v>
      </c>
      <c r="G329" s="3" t="s">
        <v>365</v>
      </c>
      <c r="H329" s="3" t="s">
        <v>365</v>
      </c>
      <c r="I329" s="3" t="s">
        <v>625</v>
      </c>
      <c r="J329" s="3" t="s">
        <v>362</v>
      </c>
      <c r="K329" s="3" t="s">
        <v>365</v>
      </c>
      <c r="L329" s="3" t="s">
        <v>365</v>
      </c>
      <c r="M329" s="3" t="s">
        <v>788</v>
      </c>
      <c r="N329" s="3" t="s">
        <v>788</v>
      </c>
      <c r="O329" s="4" t="s">
        <v>814</v>
      </c>
      <c r="P329" s="3" t="s">
        <v>875</v>
      </c>
      <c r="Q329" s="3" t="s">
        <v>905</v>
      </c>
      <c r="R329" s="3" t="s">
        <v>911</v>
      </c>
      <c r="S329" s="3" t="s">
        <v>913</v>
      </c>
      <c r="T329" s="3"/>
      <c r="U329" s="3" t="s">
        <v>1316</v>
      </c>
      <c r="V329" s="3" t="s">
        <v>1389</v>
      </c>
      <c r="W329" s="3" t="s">
        <v>1538</v>
      </c>
      <c r="X329" s="3" t="s">
        <v>1933</v>
      </c>
      <c r="Y329" s="3" t="s">
        <v>2402</v>
      </c>
      <c r="Z329" s="3"/>
      <c r="AA329" s="3" t="s">
        <v>1053</v>
      </c>
      <c r="AB329" s="3"/>
      <c r="AC329" s="5" cm="1">
        <f t="array" ref="AC329">IF(TRUE,"True," &amp; IF(_xlfn.XLOOKUP("Src_IsAny",'Scoring_Config'!$A:$A,'Scoring_Config'!$D:$D,"Yes")="Yes",_xlfn.XLOOKUP("Src_IsAny",'Scoring_Config'!$A:$A,'Scoring_Config'!$C:$C,25),0),"False,0")</f>
        <v>0</v>
      </c>
      <c r="AD329" s="4" cm="1">
        <f t="array" ref="AD329">IF(FALSE,"True," &amp; IF(_xlfn.XLOOKUP("Src_CIDR_Le_16",'Scoring_Config'!$A:$A,'Scoring_Config'!$D:$D,"Yes")="Yes",_xlfn.XLOOKUP("Src_CIDR_Le_16",'Scoring_Config'!$A:$A,'Scoring_Config'!$C:$C,25),0),"False,0")</f>
        <v>0</v>
      </c>
      <c r="AE329" s="4" cm="1">
        <f t="array" ref="AE329">IF(FALSE,"True," &amp; IF(_xlfn.XLOOKUP("Src_CIDR_17_22",'Scoring_Config'!$A:$A,'Scoring_Config'!$D:$D,"Yes")="Yes",_xlfn.XLOOKUP("Src_CIDR_17_22",'Scoring_Config'!$A:$A,'Scoring_Config'!$C:$C,15),0),"False,0")</f>
        <v>0</v>
      </c>
      <c r="AF329" s="5" cm="1">
        <f t="array" ref="AF329">IF(TRUE,"True," &amp; IF(_xlfn.XLOOKUP("Dst_IsAny",'Scoring_Config'!$A:$A,'Scoring_Config'!$D:$D,"Yes")="Yes",_xlfn.XLOOKUP("Dst_IsAny",'Scoring_Config'!$A:$A,'Scoring_Config'!$C:$C,25),0),"False,0")</f>
        <v>0</v>
      </c>
      <c r="AG329" s="4" cm="1">
        <f t="array" ref="AG329">IF(FALSE,"True," &amp; IF(_xlfn.XLOOKUP("Dst_CIDR_Le_16",'Scoring_Config'!$A:$A,'Scoring_Config'!$D:$D,"Yes")="Yes",_xlfn.XLOOKUP("Dst_CIDR_Le_16",'Scoring_Config'!$A:$A,'Scoring_Config'!$C:$C,25),0),"False,0")</f>
        <v>0</v>
      </c>
      <c r="AH329" s="4" cm="1">
        <f t="array" ref="AH329">IF(FALSE,"True," &amp; IF(_xlfn.XLOOKUP("Dst_CIDR_17_22",'Scoring_Config'!$A:$A,'Scoring_Config'!$D:$D,"Yes")="Yes",_xlfn.XLOOKUP("Dst_CIDR_17_22",'Scoring_Config'!$A:$A,'Scoring_Config'!$C:$C,15),0),"False,0")</f>
        <v>0</v>
      </c>
      <c r="AI329" s="4" cm="1">
        <f t="array" ref="AI329">IF(FALSE,"True," &amp; IF(_xlfn.XLOOKUP("SrcZone_IsAny",'Scoring_Config'!$A:$A,'Scoring_Config'!$D:$D,"Yes")="Yes",_xlfn.XLOOKUP("SrcZone_IsAny",'Scoring_Config'!$A:$A,'Scoring_Config'!$C:$C,5),0),"False,0")</f>
        <v>0</v>
      </c>
      <c r="AJ329" s="4" cm="1">
        <f t="array" ref="AJ329">IF(FALSE,"True," &amp; IF(_xlfn.XLOOKUP("DstZone_IsAny",'Scoring_Config'!$A:$A,'Scoring_Config'!$D:$D,"Yes")="Yes",_xlfn.XLOOKUP("DstZone_IsAny",'Scoring_Config'!$A:$A,'Scoring_Config'!$C:$C,5),0),"False,0")</f>
        <v>0</v>
      </c>
      <c r="AK329" s="4" cm="1">
        <f t="array" ref="AK32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29" s="4" cm="1">
        <f t="array" ref="AL329">IF(FALSE,"True," &amp; IF(_xlfn.XLOOKUP("App_Any_OR_RangeGt1000",'Scoring_Config'!$A:$A,'Scoring_Config'!$D:$D,"Yes")="Yes",_xlfn.XLOOKUP("App_Any_OR_RangeGt1000",'Scoring_Config'!$A:$A,'Scoring_Config'!$C:$C,25),0),"False,0")</f>
        <v>0</v>
      </c>
      <c r="AM329" s="5" cm="1">
        <f t="array" ref="AM329">IF(TRUE,"True," &amp; IF(_xlfn.XLOOKUP("Service_Insecure_Match",'Scoring_Config'!$A:$A,'Scoring_Config'!$D:$D,"Yes")="Yes",_xlfn.XLOOKUP("Service_Insecure_Match",'Scoring_Config'!$A:$A,'Scoring_Config'!$C:$C,20),0),"False,0")</f>
        <v>0</v>
      </c>
      <c r="AN329" s="4" cm="1">
        <f t="array" ref="AN329">IF(FALSE,"True," &amp; IF(_xlfn.XLOOKUP("Risky_Inbound",'Scoring_Config'!$A:$A,'Scoring_Config'!$D:$D,"Yes")="Yes",_xlfn.XLOOKUP("Risky_Inbound",'Scoring_Config'!$A:$A,'Scoring_Config'!$C:$C,20),0),"False,0")</f>
        <v>0</v>
      </c>
      <c r="AO329" s="4" cm="1">
        <f t="array" ref="AO329">IF(FALSE,"True," &amp; IF(_xlfn.XLOOKUP("Risky_Outbound",'Scoring_Config'!$A:$A,'Scoring_Config'!$D:$D,"Yes")="Yes",_xlfn.XLOOKUP("Risky_Outbound",'Scoring_Config'!$A:$A,'Scoring_Config'!$C:$C,10),0),"False,0")</f>
        <v>0</v>
      </c>
      <c r="AP329" s="5" t="s">
        <v>2595</v>
      </c>
      <c r="AQ329" s="4" cm="1">
        <f t="array" ref="AQ32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29" s="5" t="s">
        <v>2598</v>
      </c>
      <c r="AS329" s="4" t="s">
        <v>2592</v>
      </c>
      <c r="AT329" s="4" t="s">
        <v>2592</v>
      </c>
      <c r="AU329" s="4" cm="1">
        <f t="array" ref="AU329">IF(FALSE,"True," &amp; IF(_xlfn.XLOOKUP("Action_IsDenyOrDrop",'Scoring_Config'!$A:$A,'Scoring_Config'!$D:$D,"Yes")="Yes",_xlfn.XLOOKUP("Action_IsDenyOrDrop",'Scoring_Config'!$A:$A,'Scoring_Config'!$C:$C,0),0),"False,0")</f>
        <v>0</v>
      </c>
      <c r="AV329" s="4"/>
      <c r="AW329" s="4" cm="1">
        <f t="array" ref="AW329">IF(FALSE,"True," &amp; IF(_xlfn.XLOOKUP("Migrate_Insecure",'Scoring_Config'!$A:$A,'Scoring_Config'!$D:$D,"Yes")="Yes",_xlfn.XLOOKUP("Migrate_Insecure",'Scoring_Config'!$A:$A,'Scoring_Config'!$C:$C,15),0),"False,0")</f>
        <v>0</v>
      </c>
      <c r="AX329" s="4"/>
      <c r="AY329" s="4" cm="1">
        <f t="array" ref="AY329">IF(FALSE,"True," &amp; IF(_xlfn.XLOOKUP("Migrate_Other_Ports",'Scoring_Config'!$A:$A,'Scoring_Config'!$D:$D,"Yes")="Yes",_xlfn.XLOOKUP("Migrate_Other_Ports",'Scoring_Config'!$A:$A,'Scoring_Config'!$C:$C,5),0),"False,0")</f>
        <v>0</v>
      </c>
      <c r="AZ329" s="4" cm="1">
        <f t="array" ref="AZ329">IF(LEFT(AU329,4)="True",0,(IF(LEFT(AC329,4)="True",IF(_xlfn.XLOOKUP("Src_IsAny",'Scoring_Config'!$A:$A,'Scoring_Config'!$D:$D,"Yes")="Yes",_xlfn.XLOOKUP("Src_IsAny",'Scoring_Config'!$A:$A,'Scoring_Config'!$C:$C,25),0),0)+IF(LEFT(AD329,4)="True",IF(_xlfn.XLOOKUP("Src_CIDR_Le_16",'Scoring_Config'!$A:$A,'Scoring_Config'!$D:$D,"Yes")="Yes",_xlfn.XLOOKUP("Src_CIDR_Le_16",'Scoring_Config'!$A:$A,'Scoring_Config'!$C:$C,25),0),0)+IF(LEFT(AE329,4)="True",IF(_xlfn.XLOOKUP("Src_CIDR_17_22",'Scoring_Config'!$A:$A,'Scoring_Config'!$D:$D,"Yes")="Yes",_xlfn.XLOOKUP("Src_CIDR_17_22",'Scoring_Config'!$A:$A,'Scoring_Config'!$C:$C,15),0),0)+IF(LEFT(AF329,4)="True",IF(_xlfn.XLOOKUP("Dst_IsAny",'Scoring_Config'!$A:$A,'Scoring_Config'!$D:$D,"Yes")="Yes",_xlfn.XLOOKUP("Dst_IsAny",'Scoring_Config'!$A:$A,'Scoring_Config'!$C:$C,25),0),0)+IF(LEFT(AG329,4)="True",IF(_xlfn.XLOOKUP("Dst_CIDR_Le_16",'Scoring_Config'!$A:$A,'Scoring_Config'!$D:$D,"Yes")="Yes",_xlfn.XLOOKUP("Dst_CIDR_Le_16",'Scoring_Config'!$A:$A,'Scoring_Config'!$C:$C,25),0),0)+IF(LEFT(AH329,4)="True",IF(_xlfn.XLOOKUP("Dst_CIDR_17_22",'Scoring_Config'!$A:$A,'Scoring_Config'!$D:$D,"Yes")="Yes",_xlfn.XLOOKUP("Dst_CIDR_17_22",'Scoring_Config'!$A:$A,'Scoring_Config'!$C:$C,15),0),0)+IF(LEFT(AI329,4)="True",IF(_xlfn.XLOOKUP("SrcZone_IsAny",'Scoring_Config'!$A:$A,'Scoring_Config'!$D:$D,"Yes")="Yes",_xlfn.XLOOKUP("SrcZone_IsAny",'Scoring_Config'!$A:$A,'Scoring_Config'!$C:$C,5),0),0)+IF(LEFT(AJ329,4)="True",IF(_xlfn.XLOOKUP("DstZone_IsAny",'Scoring_Config'!$A:$A,'Scoring_Config'!$D:$D,"Yes")="Yes",_xlfn.XLOOKUP("DstZone_IsAny",'Scoring_Config'!$A:$A,'Scoring_Config'!$C:$C,5),0),0)+IF(LEFT(AK329,4)="True",IF(_xlfn.XLOOKUP("Service_Any_OR_RangeGt1000",'Scoring_Config'!$A:$A,'Scoring_Config'!$D:$D,"Yes")="Yes",_xlfn.XLOOKUP("Service_Any_OR_RangeGt1000",'Scoring_Config'!$A:$A,'Scoring_Config'!$C:$C,25),0),0)+IF(LEFT(AL329,4)="True",IF(_xlfn.XLOOKUP("App_Any_OR_RangeGt1000",'Scoring_Config'!$A:$A,'Scoring_Config'!$D:$D,"Yes")="Yes",_xlfn.XLOOKUP("App_Any_OR_RangeGt1000",'Scoring_Config'!$A:$A,'Scoring_Config'!$C:$C,25),0),0)+IF(LEFT(AM329,4)="True",IF(_xlfn.XLOOKUP("Service_Insecure_Match",'Scoring_Config'!$A:$A,'Scoring_Config'!$D:$D,"Yes")="Yes",_xlfn.XLOOKUP("Service_Insecure_Match",'Scoring_Config'!$A:$A,'Scoring_Config'!$C:$C,20),0),0)+IF(LEFT(AN329,4)="True",IF(_xlfn.XLOOKUP("Risky_Inbound",'Scoring_Config'!$A:$A,'Scoring_Config'!$D:$D,"Yes")="Yes",_xlfn.XLOOKUP("Risky_Inbound",'Scoring_Config'!$A:$A,'Scoring_Config'!$C:$C,20),0),0)+IF(LEFT(AO329,4)="True",IF(_xlfn.XLOOKUP("Risky_Outbound",'Scoring_Config'!$A:$A,'Scoring_Config'!$D:$D,"Yes")="Yes",_xlfn.XLOOKUP("Risky_Outbound",'Scoring_Config'!$A:$A,'Scoring_Config'!$C:$C,10),0),0)+IF(LEFT(AW329,4)="True",IF(_xlfn.XLOOKUP("Migrate_Insecure",'Scoring_Config'!$A:$A,'Scoring_Config'!$D:$D,"Yes")="Yes",_xlfn.XLOOKUP("Migrate_Insecure",'Scoring_Config'!$A:$A,'Scoring_Config'!$C:$C,15),0),0)+IF(LEFT(AY329,4)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329,FIND(",",AP329)+1,100)),0)+IF(LEFT(AQ329,4)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329,FIND(",",AR329)+1,100)),0)+IF(_xlfn.XLOOKUP("Profile_Scoring",'Scoring_Config'!$A:$A,'Scoring_Config'!$D:$D,"Yes")="Yes",VALUE(MID(AS329,FIND(",",AS329)+1,100)),0)+IF(_xlfn.XLOOKUP("Options_Scoring",'Scoring_Config'!$A:$A,'Scoring_Config'!$D:$D,"Yes")="Yes",VALUE(MID(AT329,FIND(",",AT329)+1,100)),0)))</f>
        <v>0</v>
      </c>
    </row>
    <row r="330" spans="1:52">
      <c r="A330" s="3" t="s">
        <v>54</v>
      </c>
      <c r="B330" s="3" t="s">
        <v>270</v>
      </c>
      <c r="C330" s="3" t="s">
        <v>331</v>
      </c>
      <c r="D330" s="3"/>
      <c r="E330" s="3" t="s">
        <v>359</v>
      </c>
      <c r="F330" s="3" t="s">
        <v>364</v>
      </c>
      <c r="G330" s="3" t="s">
        <v>453</v>
      </c>
      <c r="H330" s="3" t="s">
        <v>582</v>
      </c>
      <c r="I330" s="3" t="s">
        <v>625</v>
      </c>
      <c r="J330" s="3" t="s">
        <v>360</v>
      </c>
      <c r="K330" s="3" t="s">
        <v>494</v>
      </c>
      <c r="L330" s="3" t="s">
        <v>494</v>
      </c>
      <c r="M330" s="3" t="s">
        <v>784</v>
      </c>
      <c r="N330" s="3" t="s">
        <v>800</v>
      </c>
      <c r="O330" s="4" t="s">
        <v>845</v>
      </c>
      <c r="P330" s="3" t="s">
        <v>898</v>
      </c>
      <c r="Q330" s="3" t="s">
        <v>905</v>
      </c>
      <c r="R330" s="3" t="s">
        <v>911</v>
      </c>
      <c r="S330" s="3" t="s">
        <v>916</v>
      </c>
      <c r="T330" s="3"/>
      <c r="U330" s="3" t="s">
        <v>1157</v>
      </c>
      <c r="V330" s="3" t="s">
        <v>770</v>
      </c>
      <c r="W330" s="3" t="s">
        <v>998</v>
      </c>
      <c r="X330" s="3" t="s">
        <v>1934</v>
      </c>
      <c r="Y330" s="3" t="s">
        <v>2403</v>
      </c>
      <c r="Z330" s="3"/>
      <c r="AA330" s="3" t="s">
        <v>1523</v>
      </c>
      <c r="AB330" s="3"/>
      <c r="AC330" s="4" cm="1">
        <f t="array" ref="AC330">IF(FALSE,"True," &amp; IF(_xlfn.XLOOKUP("Src_IsAny",'Scoring_Config'!$A:$A,'Scoring_Config'!$D:$D,"Yes")="Yes",_xlfn.XLOOKUP("Src_IsAny",'Scoring_Config'!$A:$A,'Scoring_Config'!$C:$C,25),0),"False,0")</f>
        <v>0</v>
      </c>
      <c r="AD330" s="4" cm="1">
        <f t="array" ref="AD330">IF(FALSE,"True," &amp; IF(_xlfn.XLOOKUP("Src_CIDR_Le_16",'Scoring_Config'!$A:$A,'Scoring_Config'!$D:$D,"Yes")="Yes",_xlfn.XLOOKUP("Src_CIDR_Le_16",'Scoring_Config'!$A:$A,'Scoring_Config'!$C:$C,25),0),"False,0")</f>
        <v>0</v>
      </c>
      <c r="AE330" s="4" cm="1">
        <f t="array" ref="AE330">IF(FALSE,"True," &amp; IF(_xlfn.XLOOKUP("Src_CIDR_17_22",'Scoring_Config'!$A:$A,'Scoring_Config'!$D:$D,"Yes")="Yes",_xlfn.XLOOKUP("Src_CIDR_17_22",'Scoring_Config'!$A:$A,'Scoring_Config'!$C:$C,15),0),"False,0")</f>
        <v>0</v>
      </c>
      <c r="AF330" s="4" cm="1">
        <f t="array" ref="AF330">IF(FALSE,"True," &amp; IF(_xlfn.XLOOKUP("Dst_IsAny",'Scoring_Config'!$A:$A,'Scoring_Config'!$D:$D,"Yes")="Yes",_xlfn.XLOOKUP("Dst_IsAny",'Scoring_Config'!$A:$A,'Scoring_Config'!$C:$C,25),0),"False,0")</f>
        <v>0</v>
      </c>
      <c r="AG330" s="4" cm="1">
        <f t="array" ref="AG330">IF(FALSE,"True," &amp; IF(_xlfn.XLOOKUP("Dst_CIDR_Le_16",'Scoring_Config'!$A:$A,'Scoring_Config'!$D:$D,"Yes")="Yes",_xlfn.XLOOKUP("Dst_CIDR_Le_16",'Scoring_Config'!$A:$A,'Scoring_Config'!$C:$C,25),0),"False,0")</f>
        <v>0</v>
      </c>
      <c r="AH330" s="4" cm="1">
        <f t="array" ref="AH330">IF(FALSE,"True," &amp; IF(_xlfn.XLOOKUP("Dst_CIDR_17_22",'Scoring_Config'!$A:$A,'Scoring_Config'!$D:$D,"Yes")="Yes",_xlfn.XLOOKUP("Dst_CIDR_17_22",'Scoring_Config'!$A:$A,'Scoring_Config'!$C:$C,15),0),"False,0")</f>
        <v>0</v>
      </c>
      <c r="AI330" s="4" cm="1">
        <f t="array" ref="AI330">IF(FALSE,"True," &amp; IF(_xlfn.XLOOKUP("SrcZone_IsAny",'Scoring_Config'!$A:$A,'Scoring_Config'!$D:$D,"Yes")="Yes",_xlfn.XLOOKUP("SrcZone_IsAny",'Scoring_Config'!$A:$A,'Scoring_Config'!$C:$C,5),0),"False,0")</f>
        <v>0</v>
      </c>
      <c r="AJ330" s="4" cm="1">
        <f t="array" ref="AJ330">IF(FALSE,"True," &amp; IF(_xlfn.XLOOKUP("DstZone_IsAny",'Scoring_Config'!$A:$A,'Scoring_Config'!$D:$D,"Yes")="Yes",_xlfn.XLOOKUP("DstZone_IsAny",'Scoring_Config'!$A:$A,'Scoring_Config'!$C:$C,5),0),"False,0")</f>
        <v>0</v>
      </c>
      <c r="AK330" s="4" cm="1">
        <f t="array" ref="AK33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0" s="4" cm="1">
        <f t="array" ref="AL330">IF(FALSE,"True," &amp; IF(_xlfn.XLOOKUP("App_Any_OR_RangeGt1000",'Scoring_Config'!$A:$A,'Scoring_Config'!$D:$D,"Yes")="Yes",_xlfn.XLOOKUP("App_Any_OR_RangeGt1000",'Scoring_Config'!$A:$A,'Scoring_Config'!$C:$C,25),0),"False,0")</f>
        <v>0</v>
      </c>
      <c r="AM330" s="4" cm="1">
        <f t="array" ref="AM330">IF(FALSE,"True," &amp; IF(_xlfn.XLOOKUP("Service_Insecure_Match",'Scoring_Config'!$A:$A,'Scoring_Config'!$D:$D,"Yes")="Yes",_xlfn.XLOOKUP("Service_Insecure_Match",'Scoring_Config'!$A:$A,'Scoring_Config'!$C:$C,20),0),"False,0")</f>
        <v>0</v>
      </c>
      <c r="AN330" s="4" cm="1">
        <f t="array" ref="AN330">IF(FALSE,"True," &amp; IF(_xlfn.XLOOKUP("Risky_Inbound",'Scoring_Config'!$A:$A,'Scoring_Config'!$D:$D,"Yes")="Yes",_xlfn.XLOOKUP("Risky_Inbound",'Scoring_Config'!$A:$A,'Scoring_Config'!$C:$C,20),0),"False,0")</f>
        <v>0</v>
      </c>
      <c r="AO330" s="4" cm="1">
        <f t="array" ref="AO330">IF(FALSE,"True," &amp; IF(_xlfn.XLOOKUP("Risky_Outbound",'Scoring_Config'!$A:$A,'Scoring_Config'!$D:$D,"Yes")="Yes",_xlfn.XLOOKUP("Risky_Outbound",'Scoring_Config'!$A:$A,'Scoring_Config'!$C:$C,10),0),"False,0")</f>
        <v>0</v>
      </c>
      <c r="AP330" s="5" t="s">
        <v>2595</v>
      </c>
      <c r="AQ330" s="5" cm="1">
        <f t="array" ref="AQ33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0" s="5" t="s">
        <v>2598</v>
      </c>
      <c r="AS330" s="4" t="s">
        <v>2592</v>
      </c>
      <c r="AT330" s="4" t="s">
        <v>2592</v>
      </c>
      <c r="AU330" s="4" cm="1">
        <f t="array" ref="AU330">IF(FALSE,"True," &amp; IF(_xlfn.XLOOKUP("Action_IsDenyOrDrop",'Scoring_Config'!$A:$A,'Scoring_Config'!$D:$D,"Yes")="Yes",_xlfn.XLOOKUP("Action_IsDenyOrDrop",'Scoring_Config'!$A:$A,'Scoring_Config'!$C:$C,0),0),"False,0")</f>
        <v>0</v>
      </c>
      <c r="AV330" s="4"/>
      <c r="AW330" s="4" cm="1">
        <f t="array" ref="AW330">IF(FALSE,"True," &amp; IF(_xlfn.XLOOKUP("Migrate_Insecure",'Scoring_Config'!$A:$A,'Scoring_Config'!$D:$D,"Yes")="Yes",_xlfn.XLOOKUP("Migrate_Insecure",'Scoring_Config'!$A:$A,'Scoring_Config'!$C:$C,15),0),"False,0")</f>
        <v>0</v>
      </c>
      <c r="AX330" s="4"/>
      <c r="AY330" s="4" cm="1">
        <f t="array" ref="AY330">IF(FALSE,"True," &amp; IF(_xlfn.XLOOKUP("Migrate_Other_Ports",'Scoring_Config'!$A:$A,'Scoring_Config'!$D:$D,"Yes")="Yes",_xlfn.XLOOKUP("Migrate_Other_Ports",'Scoring_Config'!$A:$A,'Scoring_Config'!$C:$C,5),0),"False,0")</f>
        <v>0</v>
      </c>
      <c r="AZ330" s="4" cm="1">
        <f t="array" ref="AZ330">IF(LEFT(AU330,4)="True",0,(IF(LEFT(AC330,4)="True",IF(_xlfn.XLOOKUP("Src_IsAny",'Scoring_Config'!$A:$A,'Scoring_Config'!$D:$D,"Yes")="Yes",_xlfn.XLOOKUP("Src_IsAny",'Scoring_Config'!$A:$A,'Scoring_Config'!$C:$C,25),0),0)+IF(LEFT(AD330,4)="True",IF(_xlfn.XLOOKUP("Src_CIDR_Le_16",'Scoring_Config'!$A:$A,'Scoring_Config'!$D:$D,"Yes")="Yes",_xlfn.XLOOKUP("Src_CIDR_Le_16",'Scoring_Config'!$A:$A,'Scoring_Config'!$C:$C,25),0),0)+IF(LEFT(AE330,4)="True",IF(_xlfn.XLOOKUP("Src_CIDR_17_22",'Scoring_Config'!$A:$A,'Scoring_Config'!$D:$D,"Yes")="Yes",_xlfn.XLOOKUP("Src_CIDR_17_22",'Scoring_Config'!$A:$A,'Scoring_Config'!$C:$C,15),0),0)+IF(LEFT(AF330,4)="True",IF(_xlfn.XLOOKUP("Dst_IsAny",'Scoring_Config'!$A:$A,'Scoring_Config'!$D:$D,"Yes")="Yes",_xlfn.XLOOKUP("Dst_IsAny",'Scoring_Config'!$A:$A,'Scoring_Config'!$C:$C,25),0),0)+IF(LEFT(AG330,4)="True",IF(_xlfn.XLOOKUP("Dst_CIDR_Le_16",'Scoring_Config'!$A:$A,'Scoring_Config'!$D:$D,"Yes")="Yes",_xlfn.XLOOKUP("Dst_CIDR_Le_16",'Scoring_Config'!$A:$A,'Scoring_Config'!$C:$C,25),0),0)+IF(LEFT(AH330,4)="True",IF(_xlfn.XLOOKUP("Dst_CIDR_17_22",'Scoring_Config'!$A:$A,'Scoring_Config'!$D:$D,"Yes")="Yes",_xlfn.XLOOKUP("Dst_CIDR_17_22",'Scoring_Config'!$A:$A,'Scoring_Config'!$C:$C,15),0),0)+IF(LEFT(AI330,4)="True",IF(_xlfn.XLOOKUP("SrcZone_IsAny",'Scoring_Config'!$A:$A,'Scoring_Config'!$D:$D,"Yes")="Yes",_xlfn.XLOOKUP("SrcZone_IsAny",'Scoring_Config'!$A:$A,'Scoring_Config'!$C:$C,5),0),0)+IF(LEFT(AJ330,4)="True",IF(_xlfn.XLOOKUP("DstZone_IsAny",'Scoring_Config'!$A:$A,'Scoring_Config'!$D:$D,"Yes")="Yes",_xlfn.XLOOKUP("DstZone_IsAny",'Scoring_Config'!$A:$A,'Scoring_Config'!$C:$C,5),0),0)+IF(LEFT(AK330,4)="True",IF(_xlfn.XLOOKUP("Service_Any_OR_RangeGt1000",'Scoring_Config'!$A:$A,'Scoring_Config'!$D:$D,"Yes")="Yes",_xlfn.XLOOKUP("Service_Any_OR_RangeGt1000",'Scoring_Config'!$A:$A,'Scoring_Config'!$C:$C,25),0),0)+IF(LEFT(AL330,4)="True",IF(_xlfn.XLOOKUP("App_Any_OR_RangeGt1000",'Scoring_Config'!$A:$A,'Scoring_Config'!$D:$D,"Yes")="Yes",_xlfn.XLOOKUP("App_Any_OR_RangeGt1000",'Scoring_Config'!$A:$A,'Scoring_Config'!$C:$C,25),0),0)+IF(LEFT(AM330,4)="True",IF(_xlfn.XLOOKUP("Service_Insecure_Match",'Scoring_Config'!$A:$A,'Scoring_Config'!$D:$D,"Yes")="Yes",_xlfn.XLOOKUP("Service_Insecure_Match",'Scoring_Config'!$A:$A,'Scoring_Config'!$C:$C,20),0),0)+IF(LEFT(AN330,4)="True",IF(_xlfn.XLOOKUP("Risky_Inbound",'Scoring_Config'!$A:$A,'Scoring_Config'!$D:$D,"Yes")="Yes",_xlfn.XLOOKUP("Risky_Inbound",'Scoring_Config'!$A:$A,'Scoring_Config'!$C:$C,20),0),0)+IF(LEFT(AO330,4)="True",IF(_xlfn.XLOOKUP("Risky_Outbound",'Scoring_Config'!$A:$A,'Scoring_Config'!$D:$D,"Yes")="Yes",_xlfn.XLOOKUP("Risky_Outbound",'Scoring_Config'!$A:$A,'Scoring_Config'!$C:$C,10),0),0)+IF(LEFT(AW330,4)="True",IF(_xlfn.XLOOKUP("Migrate_Insecure",'Scoring_Config'!$A:$A,'Scoring_Config'!$D:$D,"Yes")="Yes",_xlfn.XLOOKUP("Migrate_Insecure",'Scoring_Config'!$A:$A,'Scoring_Config'!$C:$C,15),0),0)+IF(LEFT(AY330,4)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330,FIND(",",AP330)+1,100)),0)+IF(LEFT(AQ330,4)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330,FIND(",",AR330)+1,100)),0)+IF(_xlfn.XLOOKUP("Profile_Scoring",'Scoring_Config'!$A:$A,'Scoring_Config'!$D:$D,"Yes")="Yes",VALUE(MID(AS330,FIND(",",AS330)+1,100)),0)+IF(_xlfn.XLOOKUP("Options_Scoring",'Scoring_Config'!$A:$A,'Scoring_Config'!$D:$D,"Yes")="Yes",VALUE(MID(AT330,FIND(",",AT330)+1,100)),0)))</f>
        <v>0</v>
      </c>
    </row>
    <row r="331" spans="1:52">
      <c r="A331" s="3" t="s">
        <v>54</v>
      </c>
      <c r="B331" s="3" t="s">
        <v>244</v>
      </c>
      <c r="C331" s="3" t="s">
        <v>331</v>
      </c>
      <c r="D331" s="3" t="s">
        <v>352</v>
      </c>
      <c r="E331" s="3" t="s">
        <v>359</v>
      </c>
      <c r="F331" s="3" t="s">
        <v>360</v>
      </c>
      <c r="G331" s="3" t="s">
        <v>490</v>
      </c>
      <c r="H331" s="3" t="s">
        <v>598</v>
      </c>
      <c r="I331" s="3" t="s">
        <v>624</v>
      </c>
      <c r="J331" s="3" t="s">
        <v>362</v>
      </c>
      <c r="K331" s="3" t="s">
        <v>365</v>
      </c>
      <c r="L331" s="3" t="s">
        <v>365</v>
      </c>
      <c r="M331" s="3" t="s">
        <v>365</v>
      </c>
      <c r="N331" s="3" t="s">
        <v>365</v>
      </c>
      <c r="O331" s="4" t="s">
        <v>822</v>
      </c>
      <c r="P331" s="3" t="s">
        <v>883</v>
      </c>
      <c r="Q331" s="3" t="s">
        <v>905</v>
      </c>
      <c r="R331" s="3" t="s">
        <v>910</v>
      </c>
      <c r="S331" s="3" t="s">
        <v>916</v>
      </c>
      <c r="T331" s="3"/>
      <c r="U331" s="3" t="s">
        <v>1282</v>
      </c>
      <c r="V331" s="3" t="s">
        <v>1389</v>
      </c>
      <c r="W331" s="3" t="s">
        <v>1559</v>
      </c>
      <c r="X331" s="3" t="s">
        <v>1935</v>
      </c>
      <c r="Y331" s="3" t="s">
        <v>2404</v>
      </c>
      <c r="Z331" s="3"/>
      <c r="AA331" s="3" t="s">
        <v>1422</v>
      </c>
      <c r="AB331" s="3"/>
      <c r="AC331" s="4" cm="1">
        <f t="array" ref="AC331">IF(FALSE,"True," &amp; IF(_xlfn.XLOOKUP("Src_IsAny",'Scoring_Config'!$A:$A,'Scoring_Config'!$D:$D,"Yes")="Yes",_xlfn.XLOOKUP("Src_IsAny",'Scoring_Config'!$A:$A,'Scoring_Config'!$C:$C,25),0),"False,0")</f>
        <v>0</v>
      </c>
      <c r="AD331" s="4" cm="1">
        <f t="array" ref="AD331">IF(FALSE,"True," &amp; IF(_xlfn.XLOOKUP("Src_CIDR_Le_16",'Scoring_Config'!$A:$A,'Scoring_Config'!$D:$D,"Yes")="Yes",_xlfn.XLOOKUP("Src_CIDR_Le_16",'Scoring_Config'!$A:$A,'Scoring_Config'!$C:$C,25),0),"False,0")</f>
        <v>0</v>
      </c>
      <c r="AE331" s="4" cm="1">
        <f t="array" ref="AE331">IF(FALSE,"True," &amp; IF(_xlfn.XLOOKUP("Src_CIDR_17_22",'Scoring_Config'!$A:$A,'Scoring_Config'!$D:$D,"Yes")="Yes",_xlfn.XLOOKUP("Src_CIDR_17_22",'Scoring_Config'!$A:$A,'Scoring_Config'!$C:$C,15),0),"False,0")</f>
        <v>0</v>
      </c>
      <c r="AF331" s="5" cm="1">
        <f t="array" ref="AF331">IF(TRUE,"True," &amp; IF(_xlfn.XLOOKUP("Dst_IsAny",'Scoring_Config'!$A:$A,'Scoring_Config'!$D:$D,"Yes")="Yes",_xlfn.XLOOKUP("Dst_IsAny",'Scoring_Config'!$A:$A,'Scoring_Config'!$C:$C,25),0),"False,0")</f>
        <v>0</v>
      </c>
      <c r="AG331" s="4" cm="1">
        <f t="array" ref="AG331">IF(FALSE,"True," &amp; IF(_xlfn.XLOOKUP("Dst_CIDR_Le_16",'Scoring_Config'!$A:$A,'Scoring_Config'!$D:$D,"Yes")="Yes",_xlfn.XLOOKUP("Dst_CIDR_Le_16",'Scoring_Config'!$A:$A,'Scoring_Config'!$C:$C,25),0),"False,0")</f>
        <v>0</v>
      </c>
      <c r="AH331" s="4" cm="1">
        <f t="array" ref="AH331">IF(FALSE,"True," &amp; IF(_xlfn.XLOOKUP("Dst_CIDR_17_22",'Scoring_Config'!$A:$A,'Scoring_Config'!$D:$D,"Yes")="Yes",_xlfn.XLOOKUP("Dst_CIDR_17_22",'Scoring_Config'!$A:$A,'Scoring_Config'!$C:$C,15),0),"False,0")</f>
        <v>0</v>
      </c>
      <c r="AI331" s="4" cm="1">
        <f t="array" ref="AI331">IF(FALSE,"True," &amp; IF(_xlfn.XLOOKUP("SrcZone_IsAny",'Scoring_Config'!$A:$A,'Scoring_Config'!$D:$D,"Yes")="Yes",_xlfn.XLOOKUP("SrcZone_IsAny",'Scoring_Config'!$A:$A,'Scoring_Config'!$C:$C,5),0),"False,0")</f>
        <v>0</v>
      </c>
      <c r="AJ331" s="4" cm="1">
        <f t="array" ref="AJ331">IF(FALSE,"True," &amp; IF(_xlfn.XLOOKUP("DstZone_IsAny",'Scoring_Config'!$A:$A,'Scoring_Config'!$D:$D,"Yes")="Yes",_xlfn.XLOOKUP("DstZone_IsAny",'Scoring_Config'!$A:$A,'Scoring_Config'!$C:$C,5),0),"False,0")</f>
        <v>0</v>
      </c>
      <c r="AK331" s="5" cm="1">
        <f t="array" ref="AK331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31" s="5" cm="1">
        <f t="array" ref="AL331">IF(TRUE,"True," &amp; IF(_xlfn.XLOOKUP("App_Any_OR_RangeGt1000",'Scoring_Config'!$A:$A,'Scoring_Config'!$D:$D,"Yes")="Yes",_xlfn.XLOOKUP("App_Any_OR_RangeGt1000",'Scoring_Config'!$A:$A,'Scoring_Config'!$C:$C,25),0),"False,0")</f>
        <v>0</v>
      </c>
      <c r="AM331" s="5" cm="1">
        <f t="array" ref="AM331">IF(TRUE,"True," &amp; IF(_xlfn.XLOOKUP("Service_Insecure_Match",'Scoring_Config'!$A:$A,'Scoring_Config'!$D:$D,"Yes")="Yes",_xlfn.XLOOKUP("Service_Insecure_Match",'Scoring_Config'!$A:$A,'Scoring_Config'!$C:$C,20),0),"False,0")</f>
        <v>0</v>
      </c>
      <c r="AN331" s="4" cm="1">
        <f t="array" ref="AN331">IF(FALSE,"True," &amp; IF(_xlfn.XLOOKUP("Risky_Inbound",'Scoring_Config'!$A:$A,'Scoring_Config'!$D:$D,"Yes")="Yes",_xlfn.XLOOKUP("Risky_Inbound",'Scoring_Config'!$A:$A,'Scoring_Config'!$C:$C,20),0),"False,0")</f>
        <v>0</v>
      </c>
      <c r="AO331" s="4" cm="1">
        <f t="array" ref="AO331">IF(FALSE,"True," &amp; IF(_xlfn.XLOOKUP("Risky_Outbound",'Scoring_Config'!$A:$A,'Scoring_Config'!$D:$D,"Yes")="Yes",_xlfn.XLOOKUP("Risky_Outbound",'Scoring_Config'!$A:$A,'Scoring_Config'!$C:$C,10),0),"False,0")</f>
        <v>0</v>
      </c>
      <c r="AP331" s="5" t="s">
        <v>2595</v>
      </c>
      <c r="AQ331" s="5" cm="1">
        <f t="array" ref="AQ33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1" s="5" t="s">
        <v>2598</v>
      </c>
      <c r="AS331" s="4" t="s">
        <v>2592</v>
      </c>
      <c r="AT331" s="4" t="s">
        <v>2592</v>
      </c>
      <c r="AU331" s="4" cm="1">
        <f t="array" ref="AU331">IF(FALSE,"True," &amp; IF(_xlfn.XLOOKUP("Action_IsDenyOrDrop",'Scoring_Config'!$A:$A,'Scoring_Config'!$D:$D,"Yes")="Yes",_xlfn.XLOOKUP("Action_IsDenyOrDrop",'Scoring_Config'!$A:$A,'Scoring_Config'!$C:$C,0),0),"False,0")</f>
        <v>0</v>
      </c>
      <c r="AV331" s="4"/>
      <c r="AW331" s="4" cm="1">
        <f t="array" ref="AW331">IF(FALSE,"True," &amp; IF(_xlfn.XLOOKUP("Migrate_Insecure",'Scoring_Config'!$A:$A,'Scoring_Config'!$D:$D,"Yes")="Yes",_xlfn.XLOOKUP("Migrate_Insecure",'Scoring_Config'!$A:$A,'Scoring_Config'!$C:$C,15),0),"False,0")</f>
        <v>0</v>
      </c>
      <c r="AX331" s="4"/>
      <c r="AY331" s="4" cm="1">
        <f t="array" ref="AY331">IF(FALSE,"True," &amp; IF(_xlfn.XLOOKUP("Migrate_Other_Ports",'Scoring_Config'!$A:$A,'Scoring_Config'!$D:$D,"Yes")="Yes",_xlfn.XLOOKUP("Migrate_Other_Ports",'Scoring_Config'!$A:$A,'Scoring_Config'!$C:$C,5),0),"False,0")</f>
        <v>0</v>
      </c>
      <c r="AZ331" s="4" cm="1">
        <f t="array" ref="AZ331">IF(LEFT(AU331,4)="True",0,(IF(LEFT(AC331,4)="True",IF(_xlfn.XLOOKUP("Src_IsAny",'Scoring_Config'!$A:$A,'Scoring_Config'!$D:$D,"Yes")="Yes",_xlfn.XLOOKUP("Src_IsAny",'Scoring_Config'!$A:$A,'Scoring_Config'!$C:$C,25),0),0)+IF(LEFT(AD331,4)="True",IF(_xlfn.XLOOKUP("Src_CIDR_Le_16",'Scoring_Config'!$A:$A,'Scoring_Config'!$D:$D,"Yes")="Yes",_xlfn.XLOOKUP("Src_CIDR_Le_16",'Scoring_Config'!$A:$A,'Scoring_Config'!$C:$C,25),0),0)+IF(LEFT(AE331,4)="True",IF(_xlfn.XLOOKUP("Src_CIDR_17_22",'Scoring_Config'!$A:$A,'Scoring_Config'!$D:$D,"Yes")="Yes",_xlfn.XLOOKUP("Src_CIDR_17_22",'Scoring_Config'!$A:$A,'Scoring_Config'!$C:$C,15),0),0)+IF(LEFT(AF331,4)="True",IF(_xlfn.XLOOKUP("Dst_IsAny",'Scoring_Config'!$A:$A,'Scoring_Config'!$D:$D,"Yes")="Yes",_xlfn.XLOOKUP("Dst_IsAny",'Scoring_Config'!$A:$A,'Scoring_Config'!$C:$C,25),0),0)+IF(LEFT(AG331,4)="True",IF(_xlfn.XLOOKUP("Dst_CIDR_Le_16",'Scoring_Config'!$A:$A,'Scoring_Config'!$D:$D,"Yes")="Yes",_xlfn.XLOOKUP("Dst_CIDR_Le_16",'Scoring_Config'!$A:$A,'Scoring_Config'!$C:$C,25),0),0)+IF(LEFT(AH331,4)="True",IF(_xlfn.XLOOKUP("Dst_CIDR_17_22",'Scoring_Config'!$A:$A,'Scoring_Config'!$D:$D,"Yes")="Yes",_xlfn.XLOOKUP("Dst_CIDR_17_22",'Scoring_Config'!$A:$A,'Scoring_Config'!$C:$C,15),0),0)+IF(LEFT(AI331,4)="True",IF(_xlfn.XLOOKUP("SrcZone_IsAny",'Scoring_Config'!$A:$A,'Scoring_Config'!$D:$D,"Yes")="Yes",_xlfn.XLOOKUP("SrcZone_IsAny",'Scoring_Config'!$A:$A,'Scoring_Config'!$C:$C,5),0),0)+IF(LEFT(AJ331,4)="True",IF(_xlfn.XLOOKUP("DstZone_IsAny",'Scoring_Config'!$A:$A,'Scoring_Config'!$D:$D,"Yes")="Yes",_xlfn.XLOOKUP("DstZone_IsAny",'Scoring_Config'!$A:$A,'Scoring_Config'!$C:$C,5),0),0)+IF(LEFT(AK331,4)="True",IF(_xlfn.XLOOKUP("Service_Any_OR_RangeGt1000",'Scoring_Config'!$A:$A,'Scoring_Config'!$D:$D,"Yes")="Yes",_xlfn.XLOOKUP("Service_Any_OR_RangeGt1000",'Scoring_Config'!$A:$A,'Scoring_Config'!$C:$C,25),0),0)+IF(LEFT(AL331,4)="True",IF(_xlfn.XLOOKUP("App_Any_OR_RangeGt1000",'Scoring_Config'!$A:$A,'Scoring_Config'!$D:$D,"Yes")="Yes",_xlfn.XLOOKUP("App_Any_OR_RangeGt1000",'Scoring_Config'!$A:$A,'Scoring_Config'!$C:$C,25),0),0)+IF(LEFT(AM331,4)="True",IF(_xlfn.XLOOKUP("Service_Insecure_Match",'Scoring_Config'!$A:$A,'Scoring_Config'!$D:$D,"Yes")="Yes",_xlfn.XLOOKUP("Service_Insecure_Match",'Scoring_Config'!$A:$A,'Scoring_Config'!$C:$C,20),0),0)+IF(LEFT(AN331,4)="True",IF(_xlfn.XLOOKUP("Risky_Inbound",'Scoring_Config'!$A:$A,'Scoring_Config'!$D:$D,"Yes")="Yes",_xlfn.XLOOKUP("Risky_Inbound",'Scoring_Config'!$A:$A,'Scoring_Config'!$C:$C,20),0),0)+IF(LEFT(AO331,4)="True",IF(_xlfn.XLOOKUP("Risky_Outbound",'Scoring_Config'!$A:$A,'Scoring_Config'!$D:$D,"Yes")="Yes",_xlfn.XLOOKUP("Risky_Outbound",'Scoring_Config'!$A:$A,'Scoring_Config'!$C:$C,10),0),0)+IF(LEFT(AW331,4)="True",IF(_xlfn.XLOOKUP("Migrate_Insecure",'Scoring_Config'!$A:$A,'Scoring_Config'!$D:$D,"Yes")="Yes",_xlfn.XLOOKUP("Migrate_Insecure",'Scoring_Config'!$A:$A,'Scoring_Config'!$C:$C,15),0),0)+IF(LEFT(AY331,4)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331,FIND(",",AP331)+1,100)),0)+IF(LEFT(AQ331,4)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331,FIND(",",AR331)+1,100)),0)+IF(_xlfn.XLOOKUP("Profile_Scoring",'Scoring_Config'!$A:$A,'Scoring_Config'!$D:$D,"Yes")="Yes",VALUE(MID(AS331,FIND(",",AS331)+1,100)),0)+IF(_xlfn.XLOOKUP("Options_Scoring",'Scoring_Config'!$A:$A,'Scoring_Config'!$D:$D,"Yes")="Yes",VALUE(MID(AT331,FIND(",",AT331)+1,100)),0)))</f>
        <v>0</v>
      </c>
    </row>
    <row r="332" spans="1:52">
      <c r="A332" s="3" t="s">
        <v>54</v>
      </c>
      <c r="B332" s="3" t="s">
        <v>142</v>
      </c>
      <c r="C332" s="3" t="s">
        <v>331</v>
      </c>
      <c r="D332" s="3"/>
      <c r="E332" s="3" t="s">
        <v>359</v>
      </c>
      <c r="F332" s="3" t="s">
        <v>361</v>
      </c>
      <c r="G332" s="3" t="s">
        <v>365</v>
      </c>
      <c r="H332" s="3" t="s">
        <v>365</v>
      </c>
      <c r="I332" s="3" t="s">
        <v>624</v>
      </c>
      <c r="J332" s="3" t="s">
        <v>364</v>
      </c>
      <c r="K332" s="3" t="s">
        <v>365</v>
      </c>
      <c r="L332" s="3" t="s">
        <v>365</v>
      </c>
      <c r="M332" s="3" t="s">
        <v>365</v>
      </c>
      <c r="N332" s="3" t="s">
        <v>365</v>
      </c>
      <c r="O332" s="4" t="s">
        <v>808</v>
      </c>
      <c r="P332" s="3" t="s">
        <v>869</v>
      </c>
      <c r="Q332" s="3" t="s">
        <v>905</v>
      </c>
      <c r="R332" s="3" t="s">
        <v>907</v>
      </c>
      <c r="S332" s="3" t="s">
        <v>913</v>
      </c>
      <c r="T332" s="3"/>
      <c r="U332" s="3" t="s">
        <v>1268</v>
      </c>
      <c r="V332" s="3" t="s">
        <v>789</v>
      </c>
      <c r="W332" s="3" t="s">
        <v>1560</v>
      </c>
      <c r="X332" s="3" t="s">
        <v>1936</v>
      </c>
      <c r="Y332" s="3" t="s">
        <v>2405</v>
      </c>
      <c r="Z332" s="3"/>
      <c r="AA332" s="3" t="s">
        <v>2584</v>
      </c>
      <c r="AB332" s="3"/>
      <c r="AC332" s="5" cm="1">
        <f t="array" ref="AC332">IF(TRUE,"True," &amp; IF(_xlfn.XLOOKUP("Src_IsAny",'Scoring_Config'!$A:$A,'Scoring_Config'!$D:$D,"Yes")="Yes",_xlfn.XLOOKUP("Src_IsAny",'Scoring_Config'!$A:$A,'Scoring_Config'!$C:$C,25),0),"False,0")</f>
        <v>0</v>
      </c>
      <c r="AD332" s="4" cm="1">
        <f t="array" ref="AD332">IF(FALSE,"True," &amp; IF(_xlfn.XLOOKUP("Src_CIDR_Le_16",'Scoring_Config'!$A:$A,'Scoring_Config'!$D:$D,"Yes")="Yes",_xlfn.XLOOKUP("Src_CIDR_Le_16",'Scoring_Config'!$A:$A,'Scoring_Config'!$C:$C,25),0),"False,0")</f>
        <v>0</v>
      </c>
      <c r="AE332" s="4" cm="1">
        <f t="array" ref="AE332">IF(FALSE,"True," &amp; IF(_xlfn.XLOOKUP("Src_CIDR_17_22",'Scoring_Config'!$A:$A,'Scoring_Config'!$D:$D,"Yes")="Yes",_xlfn.XLOOKUP("Src_CIDR_17_22",'Scoring_Config'!$A:$A,'Scoring_Config'!$C:$C,15),0),"False,0")</f>
        <v>0</v>
      </c>
      <c r="AF332" s="5" cm="1">
        <f t="array" ref="AF332">IF(TRUE,"True," &amp; IF(_xlfn.XLOOKUP("Dst_IsAny",'Scoring_Config'!$A:$A,'Scoring_Config'!$D:$D,"Yes")="Yes",_xlfn.XLOOKUP("Dst_IsAny",'Scoring_Config'!$A:$A,'Scoring_Config'!$C:$C,25),0),"False,0")</f>
        <v>0</v>
      </c>
      <c r="AG332" s="4" cm="1">
        <f t="array" ref="AG332">IF(FALSE,"True," &amp; IF(_xlfn.XLOOKUP("Dst_CIDR_Le_16",'Scoring_Config'!$A:$A,'Scoring_Config'!$D:$D,"Yes")="Yes",_xlfn.XLOOKUP("Dst_CIDR_Le_16",'Scoring_Config'!$A:$A,'Scoring_Config'!$C:$C,25),0),"False,0")</f>
        <v>0</v>
      </c>
      <c r="AH332" s="4" cm="1">
        <f t="array" ref="AH332">IF(FALSE,"True," &amp; IF(_xlfn.XLOOKUP("Dst_CIDR_17_22",'Scoring_Config'!$A:$A,'Scoring_Config'!$D:$D,"Yes")="Yes",_xlfn.XLOOKUP("Dst_CIDR_17_22",'Scoring_Config'!$A:$A,'Scoring_Config'!$C:$C,15),0),"False,0")</f>
        <v>0</v>
      </c>
      <c r="AI332" s="4" cm="1">
        <f t="array" ref="AI332">IF(FALSE,"True," &amp; IF(_xlfn.XLOOKUP("SrcZone_IsAny",'Scoring_Config'!$A:$A,'Scoring_Config'!$D:$D,"Yes")="Yes",_xlfn.XLOOKUP("SrcZone_IsAny",'Scoring_Config'!$A:$A,'Scoring_Config'!$C:$C,5),0),"False,0")</f>
        <v>0</v>
      </c>
      <c r="AJ332" s="4" cm="1">
        <f t="array" ref="AJ332">IF(FALSE,"True," &amp; IF(_xlfn.XLOOKUP("DstZone_IsAny",'Scoring_Config'!$A:$A,'Scoring_Config'!$D:$D,"Yes")="Yes",_xlfn.XLOOKUP("DstZone_IsAny",'Scoring_Config'!$A:$A,'Scoring_Config'!$C:$C,5),0),"False,0")</f>
        <v>0</v>
      </c>
      <c r="AK332" s="4" cm="1">
        <f t="array" ref="AK33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2" s="5" cm="1">
        <f t="array" ref="AL332">IF(TRUE,"True," &amp; IF(_xlfn.XLOOKUP("App_Any_OR_RangeGt1000",'Scoring_Config'!$A:$A,'Scoring_Config'!$D:$D,"Yes")="Yes",_xlfn.XLOOKUP("App_Any_OR_RangeGt1000",'Scoring_Config'!$A:$A,'Scoring_Config'!$C:$C,25),0),"False,0")</f>
        <v>0</v>
      </c>
      <c r="AM332" s="5" cm="1">
        <f t="array" ref="AM332">IF(TRUE,"True," &amp; IF(_xlfn.XLOOKUP("Service_Insecure_Match",'Scoring_Config'!$A:$A,'Scoring_Config'!$D:$D,"Yes")="Yes",_xlfn.XLOOKUP("Service_Insecure_Match",'Scoring_Config'!$A:$A,'Scoring_Config'!$C:$C,20),0),"False,0")</f>
        <v>0</v>
      </c>
      <c r="AN332" s="4" cm="1">
        <f t="array" ref="AN332">IF(FALSE,"True," &amp; IF(_xlfn.XLOOKUP("Risky_Inbound",'Scoring_Config'!$A:$A,'Scoring_Config'!$D:$D,"Yes")="Yes",_xlfn.XLOOKUP("Risky_Inbound",'Scoring_Config'!$A:$A,'Scoring_Config'!$C:$C,20),0),"False,0")</f>
        <v>0</v>
      </c>
      <c r="AO332" s="4" cm="1">
        <f t="array" ref="AO332">IF(FALSE,"True," &amp; IF(_xlfn.XLOOKUP("Risky_Outbound",'Scoring_Config'!$A:$A,'Scoring_Config'!$D:$D,"Yes")="Yes",_xlfn.XLOOKUP("Risky_Outbound",'Scoring_Config'!$A:$A,'Scoring_Config'!$C:$C,10),0),"False,0")</f>
        <v>0</v>
      </c>
      <c r="AP332" s="5" t="s">
        <v>2595</v>
      </c>
      <c r="AQ332" s="5" cm="1">
        <f t="array" ref="AQ33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2" s="5" t="s">
        <v>2598</v>
      </c>
      <c r="AS332" s="5" t="s">
        <v>2595</v>
      </c>
      <c r="AT332" s="4" t="s">
        <v>2592</v>
      </c>
      <c r="AU332" s="4" cm="1">
        <f t="array" ref="AU332">IF(FALSE,"True," &amp; IF(_xlfn.XLOOKUP("Action_IsDenyOrDrop",'Scoring_Config'!$A:$A,'Scoring_Config'!$D:$D,"Yes")="Yes",_xlfn.XLOOKUP("Action_IsDenyOrDrop",'Scoring_Config'!$A:$A,'Scoring_Config'!$C:$C,0),0),"False,0")</f>
        <v>0</v>
      </c>
      <c r="AV332" s="4"/>
      <c r="AW332" s="4" cm="1">
        <f t="array" ref="AW332">IF(FALSE,"True," &amp; IF(_xlfn.XLOOKUP("Migrate_Insecure",'Scoring_Config'!$A:$A,'Scoring_Config'!$D:$D,"Yes")="Yes",_xlfn.XLOOKUP("Migrate_Insecure",'Scoring_Config'!$A:$A,'Scoring_Config'!$C:$C,15),0),"False,0")</f>
        <v>0</v>
      </c>
      <c r="AX332" s="4"/>
      <c r="AY332" s="4" cm="1">
        <f t="array" ref="AY332">IF(FALSE,"True," &amp; IF(_xlfn.XLOOKUP("Migrate_Other_Ports",'Scoring_Config'!$A:$A,'Scoring_Config'!$D:$D,"Yes")="Yes",_xlfn.XLOOKUP("Migrate_Other_Ports",'Scoring_Config'!$A:$A,'Scoring_Config'!$C:$C,5),0),"False,0")</f>
        <v>0</v>
      </c>
      <c r="AZ332" s="4" cm="1">
        <f t="array" ref="AZ332">IF(LEFT(AU332,4)="True",0,(IF(LEFT(AC332,4)="True",IF(_xlfn.XLOOKUP("Src_IsAny",'Scoring_Config'!$A:$A,'Scoring_Config'!$D:$D,"Yes")="Yes",_xlfn.XLOOKUP("Src_IsAny",'Scoring_Config'!$A:$A,'Scoring_Config'!$C:$C,25),0),0)+IF(LEFT(AD332,4)="True",IF(_xlfn.XLOOKUP("Src_CIDR_Le_16",'Scoring_Config'!$A:$A,'Scoring_Config'!$D:$D,"Yes")="Yes",_xlfn.XLOOKUP("Src_CIDR_Le_16",'Scoring_Config'!$A:$A,'Scoring_Config'!$C:$C,25),0),0)+IF(LEFT(AE332,4)="True",IF(_xlfn.XLOOKUP("Src_CIDR_17_22",'Scoring_Config'!$A:$A,'Scoring_Config'!$D:$D,"Yes")="Yes",_xlfn.XLOOKUP("Src_CIDR_17_22",'Scoring_Config'!$A:$A,'Scoring_Config'!$C:$C,15),0),0)+IF(LEFT(AF332,4)="True",IF(_xlfn.XLOOKUP("Dst_IsAny",'Scoring_Config'!$A:$A,'Scoring_Config'!$D:$D,"Yes")="Yes",_xlfn.XLOOKUP("Dst_IsAny",'Scoring_Config'!$A:$A,'Scoring_Config'!$C:$C,25),0),0)+IF(LEFT(AG332,4)="True",IF(_xlfn.XLOOKUP("Dst_CIDR_Le_16",'Scoring_Config'!$A:$A,'Scoring_Config'!$D:$D,"Yes")="Yes",_xlfn.XLOOKUP("Dst_CIDR_Le_16",'Scoring_Config'!$A:$A,'Scoring_Config'!$C:$C,25),0),0)+IF(LEFT(AH332,4)="True",IF(_xlfn.XLOOKUP("Dst_CIDR_17_22",'Scoring_Config'!$A:$A,'Scoring_Config'!$D:$D,"Yes")="Yes",_xlfn.XLOOKUP("Dst_CIDR_17_22",'Scoring_Config'!$A:$A,'Scoring_Config'!$C:$C,15),0),0)+IF(LEFT(AI332,4)="True",IF(_xlfn.XLOOKUP("SrcZone_IsAny",'Scoring_Config'!$A:$A,'Scoring_Config'!$D:$D,"Yes")="Yes",_xlfn.XLOOKUP("SrcZone_IsAny",'Scoring_Config'!$A:$A,'Scoring_Config'!$C:$C,5),0),0)+IF(LEFT(AJ332,4)="True",IF(_xlfn.XLOOKUP("DstZone_IsAny",'Scoring_Config'!$A:$A,'Scoring_Config'!$D:$D,"Yes")="Yes",_xlfn.XLOOKUP("DstZone_IsAny",'Scoring_Config'!$A:$A,'Scoring_Config'!$C:$C,5),0),0)+IF(LEFT(AK332,4)="True",IF(_xlfn.XLOOKUP("Service_Any_OR_RangeGt1000",'Scoring_Config'!$A:$A,'Scoring_Config'!$D:$D,"Yes")="Yes",_xlfn.XLOOKUP("Service_Any_OR_RangeGt1000",'Scoring_Config'!$A:$A,'Scoring_Config'!$C:$C,25),0),0)+IF(LEFT(AL332,4)="True",IF(_xlfn.XLOOKUP("App_Any_OR_RangeGt1000",'Scoring_Config'!$A:$A,'Scoring_Config'!$D:$D,"Yes")="Yes",_xlfn.XLOOKUP("App_Any_OR_RangeGt1000",'Scoring_Config'!$A:$A,'Scoring_Config'!$C:$C,25),0),0)+IF(LEFT(AM332,4)="True",IF(_xlfn.XLOOKUP("Service_Insecure_Match",'Scoring_Config'!$A:$A,'Scoring_Config'!$D:$D,"Yes")="Yes",_xlfn.XLOOKUP("Service_Insecure_Match",'Scoring_Config'!$A:$A,'Scoring_Config'!$C:$C,20),0),0)+IF(LEFT(AN332,4)="True",IF(_xlfn.XLOOKUP("Risky_Inbound",'Scoring_Config'!$A:$A,'Scoring_Config'!$D:$D,"Yes")="Yes",_xlfn.XLOOKUP("Risky_Inbound",'Scoring_Config'!$A:$A,'Scoring_Config'!$C:$C,20),0),0)+IF(LEFT(AO332,4)="True",IF(_xlfn.XLOOKUP("Risky_Outbound",'Scoring_Config'!$A:$A,'Scoring_Config'!$D:$D,"Yes")="Yes",_xlfn.XLOOKUP("Risky_Outbound",'Scoring_Config'!$A:$A,'Scoring_Config'!$C:$C,10),0),0)+IF(LEFT(AW332,4)="True",IF(_xlfn.XLOOKUP("Migrate_Insecure",'Scoring_Config'!$A:$A,'Scoring_Config'!$D:$D,"Yes")="Yes",_xlfn.XLOOKUP("Migrate_Insecure",'Scoring_Config'!$A:$A,'Scoring_Config'!$C:$C,15),0),0)+IF(LEFT(AY332,4)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332,FIND(",",AP332)+1,100)),0)+IF(LEFT(AQ332,4)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332,FIND(",",AR332)+1,100)),0)+IF(_xlfn.XLOOKUP("Profile_Scoring",'Scoring_Config'!$A:$A,'Scoring_Config'!$D:$D,"Yes")="Yes",VALUE(MID(AS332,FIND(",",AS332)+1,100)),0)+IF(_xlfn.XLOOKUP("Options_Scoring",'Scoring_Config'!$A:$A,'Scoring_Config'!$D:$D,"Yes")="Yes",VALUE(MID(AT332,FIND(",",AT332)+1,100)),0)))</f>
        <v>0</v>
      </c>
    </row>
    <row r="333" spans="1:52">
      <c r="A333" s="3" t="s">
        <v>54</v>
      </c>
      <c r="B333" s="3" t="s">
        <v>271</v>
      </c>
      <c r="C333" s="3" t="s">
        <v>331</v>
      </c>
      <c r="D333" s="3" t="s">
        <v>358</v>
      </c>
      <c r="E333" s="3" t="s">
        <v>359</v>
      </c>
      <c r="F333" s="3" t="s">
        <v>363</v>
      </c>
      <c r="G333" s="3" t="s">
        <v>491</v>
      </c>
      <c r="H333" s="3" t="s">
        <v>599</v>
      </c>
      <c r="I333" s="3" t="s">
        <v>624</v>
      </c>
      <c r="J333" s="3" t="s">
        <v>362</v>
      </c>
      <c r="K333" s="3" t="s">
        <v>709</v>
      </c>
      <c r="L333" s="3" t="s">
        <v>552</v>
      </c>
      <c r="M333" s="3" t="s">
        <v>785</v>
      </c>
      <c r="N333" s="3" t="s">
        <v>785</v>
      </c>
      <c r="O333" s="4" t="s">
        <v>812</v>
      </c>
      <c r="P333" s="3" t="s">
        <v>873</v>
      </c>
      <c r="Q333" s="3" t="s">
        <v>905</v>
      </c>
      <c r="R333" s="3" t="s">
        <v>907</v>
      </c>
      <c r="S333" s="3" t="s">
        <v>916</v>
      </c>
      <c r="T333" s="3"/>
      <c r="U333" s="3" t="s">
        <v>1157</v>
      </c>
      <c r="V333" s="3" t="s">
        <v>1386</v>
      </c>
      <c r="W333" s="3" t="s">
        <v>1466</v>
      </c>
      <c r="X333" s="3" t="s">
        <v>1937</v>
      </c>
      <c r="Y333" s="3" t="s">
        <v>2406</v>
      </c>
      <c r="Z333" s="3"/>
      <c r="AA333" s="3" t="s">
        <v>919</v>
      </c>
      <c r="AB333" s="3"/>
      <c r="AC333" s="4" cm="1">
        <f t="array" ref="AC333">IF(FALSE,"True," &amp; IF(_xlfn.XLOOKUP("Src_IsAny",'Scoring_Config'!$A:$A,'Scoring_Config'!$D:$D,"Yes")="Yes",_xlfn.XLOOKUP("Src_IsAny",'Scoring_Config'!$A:$A,'Scoring_Config'!$C:$C,25),0),"False,0")</f>
        <v>0</v>
      </c>
      <c r="AD333" s="4" cm="1">
        <f t="array" ref="AD333">IF(FALSE,"True," &amp; IF(_xlfn.XLOOKUP("Src_CIDR_Le_16",'Scoring_Config'!$A:$A,'Scoring_Config'!$D:$D,"Yes")="Yes",_xlfn.XLOOKUP("Src_CIDR_Le_16",'Scoring_Config'!$A:$A,'Scoring_Config'!$C:$C,25),0),"False,0")</f>
        <v>0</v>
      </c>
      <c r="AE333" s="4" cm="1">
        <f t="array" ref="AE333">IF(FALSE,"True," &amp; IF(_xlfn.XLOOKUP("Src_CIDR_17_22",'Scoring_Config'!$A:$A,'Scoring_Config'!$D:$D,"Yes")="Yes",_xlfn.XLOOKUP("Src_CIDR_17_22",'Scoring_Config'!$A:$A,'Scoring_Config'!$C:$C,15),0),"False,0")</f>
        <v>0</v>
      </c>
      <c r="AF333" s="4" cm="1">
        <f t="array" ref="AF333">IF(FALSE,"True," &amp; IF(_xlfn.XLOOKUP("Dst_IsAny",'Scoring_Config'!$A:$A,'Scoring_Config'!$D:$D,"Yes")="Yes",_xlfn.XLOOKUP("Dst_IsAny",'Scoring_Config'!$A:$A,'Scoring_Config'!$C:$C,25),0),"False,0")</f>
        <v>0</v>
      </c>
      <c r="AG333" s="4" cm="1">
        <f t="array" ref="AG333">IF(FALSE,"True," &amp; IF(_xlfn.XLOOKUP("Dst_CIDR_Le_16",'Scoring_Config'!$A:$A,'Scoring_Config'!$D:$D,"Yes")="Yes",_xlfn.XLOOKUP("Dst_CIDR_Le_16",'Scoring_Config'!$A:$A,'Scoring_Config'!$C:$C,25),0),"False,0")</f>
        <v>0</v>
      </c>
      <c r="AH333" s="4" cm="1">
        <f t="array" ref="AH333">IF(FALSE,"True," &amp; IF(_xlfn.XLOOKUP("Dst_CIDR_17_22",'Scoring_Config'!$A:$A,'Scoring_Config'!$D:$D,"Yes")="Yes",_xlfn.XLOOKUP("Dst_CIDR_17_22",'Scoring_Config'!$A:$A,'Scoring_Config'!$C:$C,15),0),"False,0")</f>
        <v>0</v>
      </c>
      <c r="AI333" s="4" cm="1">
        <f t="array" ref="AI333">IF(FALSE,"True," &amp; IF(_xlfn.XLOOKUP("SrcZone_IsAny",'Scoring_Config'!$A:$A,'Scoring_Config'!$D:$D,"Yes")="Yes",_xlfn.XLOOKUP("SrcZone_IsAny",'Scoring_Config'!$A:$A,'Scoring_Config'!$C:$C,5),0),"False,0")</f>
        <v>0</v>
      </c>
      <c r="AJ333" s="4" cm="1">
        <f t="array" ref="AJ333">IF(FALSE,"True," &amp; IF(_xlfn.XLOOKUP("DstZone_IsAny",'Scoring_Config'!$A:$A,'Scoring_Config'!$D:$D,"Yes")="Yes",_xlfn.XLOOKUP("DstZone_IsAny",'Scoring_Config'!$A:$A,'Scoring_Config'!$C:$C,5),0),"False,0")</f>
        <v>0</v>
      </c>
      <c r="AK333" s="4" cm="1">
        <f t="array" ref="AK33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3" s="4" cm="1">
        <f t="array" ref="AL333">IF(FALSE,"True," &amp; IF(_xlfn.XLOOKUP("App_Any_OR_RangeGt1000",'Scoring_Config'!$A:$A,'Scoring_Config'!$D:$D,"Yes")="Yes",_xlfn.XLOOKUP("App_Any_OR_RangeGt1000",'Scoring_Config'!$A:$A,'Scoring_Config'!$C:$C,25),0),"False,0")</f>
        <v>0</v>
      </c>
      <c r="AM333" s="4" cm="1">
        <f t="array" ref="AM333">IF(FALSE,"True," &amp; IF(_xlfn.XLOOKUP("Service_Insecure_Match",'Scoring_Config'!$A:$A,'Scoring_Config'!$D:$D,"Yes")="Yes",_xlfn.XLOOKUP("Service_Insecure_Match",'Scoring_Config'!$A:$A,'Scoring_Config'!$C:$C,20),0),"False,0")</f>
        <v>0</v>
      </c>
      <c r="AN333" s="4" cm="1">
        <f t="array" ref="AN333">IF(FALSE,"True," &amp; IF(_xlfn.XLOOKUP("Risky_Inbound",'Scoring_Config'!$A:$A,'Scoring_Config'!$D:$D,"Yes")="Yes",_xlfn.XLOOKUP("Risky_Inbound",'Scoring_Config'!$A:$A,'Scoring_Config'!$C:$C,20),0),"False,0")</f>
        <v>0</v>
      </c>
      <c r="AO333" s="4" cm="1">
        <f t="array" ref="AO333">IF(FALSE,"True," &amp; IF(_xlfn.XLOOKUP("Risky_Outbound",'Scoring_Config'!$A:$A,'Scoring_Config'!$D:$D,"Yes")="Yes",_xlfn.XLOOKUP("Risky_Outbound",'Scoring_Config'!$A:$A,'Scoring_Config'!$C:$C,10),0),"False,0")</f>
        <v>0</v>
      </c>
      <c r="AP333" s="5" t="s">
        <v>2595</v>
      </c>
      <c r="AQ333" s="5" cm="1">
        <f t="array" ref="AQ33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3" s="5" t="s">
        <v>2598</v>
      </c>
      <c r="AS333" s="5" t="s">
        <v>2595</v>
      </c>
      <c r="AT333" s="4" t="s">
        <v>2592</v>
      </c>
      <c r="AU333" s="4" cm="1">
        <f t="array" ref="AU333">IF(FALSE,"True," &amp; IF(_xlfn.XLOOKUP("Action_IsDenyOrDrop",'Scoring_Config'!$A:$A,'Scoring_Config'!$D:$D,"Yes")="Yes",_xlfn.XLOOKUP("Action_IsDenyOrDrop",'Scoring_Config'!$A:$A,'Scoring_Config'!$C:$C,0),0),"False,0")</f>
        <v>0</v>
      </c>
      <c r="AV333" s="4"/>
      <c r="AW333" s="4" cm="1">
        <f t="array" ref="AW333">IF(FALSE,"True," &amp; IF(_xlfn.XLOOKUP("Migrate_Insecure",'Scoring_Config'!$A:$A,'Scoring_Config'!$D:$D,"Yes")="Yes",_xlfn.XLOOKUP("Migrate_Insecure",'Scoring_Config'!$A:$A,'Scoring_Config'!$C:$C,15),0),"False,0")</f>
        <v>0</v>
      </c>
      <c r="AX333" s="4"/>
      <c r="AY333" s="4" cm="1">
        <f t="array" ref="AY333">IF(FALSE,"True," &amp; IF(_xlfn.XLOOKUP("Migrate_Other_Ports",'Scoring_Config'!$A:$A,'Scoring_Config'!$D:$D,"Yes")="Yes",_xlfn.XLOOKUP("Migrate_Other_Ports",'Scoring_Config'!$A:$A,'Scoring_Config'!$C:$C,5),0),"False,0")</f>
        <v>0</v>
      </c>
      <c r="AZ333" s="4" cm="1">
        <f t="array" ref="AZ333">IF(LEFT(AU333,4)="True",0,(IF(LEFT(AC333,4)="True",IF(_xlfn.XLOOKUP("Src_IsAny",'Scoring_Config'!$A:$A,'Scoring_Config'!$D:$D,"Yes")="Yes",_xlfn.XLOOKUP("Src_IsAny",'Scoring_Config'!$A:$A,'Scoring_Config'!$C:$C,25),0),0)+IF(LEFT(AD333,4)="True",IF(_xlfn.XLOOKUP("Src_CIDR_Le_16",'Scoring_Config'!$A:$A,'Scoring_Config'!$D:$D,"Yes")="Yes",_xlfn.XLOOKUP("Src_CIDR_Le_16",'Scoring_Config'!$A:$A,'Scoring_Config'!$C:$C,25),0),0)+IF(LEFT(AE333,4)="True",IF(_xlfn.XLOOKUP("Src_CIDR_17_22",'Scoring_Config'!$A:$A,'Scoring_Config'!$D:$D,"Yes")="Yes",_xlfn.XLOOKUP("Src_CIDR_17_22",'Scoring_Config'!$A:$A,'Scoring_Config'!$C:$C,15),0),0)+IF(LEFT(AF333,4)="True",IF(_xlfn.XLOOKUP("Dst_IsAny",'Scoring_Config'!$A:$A,'Scoring_Config'!$D:$D,"Yes")="Yes",_xlfn.XLOOKUP("Dst_IsAny",'Scoring_Config'!$A:$A,'Scoring_Config'!$C:$C,25),0),0)+IF(LEFT(AG333,4)="True",IF(_xlfn.XLOOKUP("Dst_CIDR_Le_16",'Scoring_Config'!$A:$A,'Scoring_Config'!$D:$D,"Yes")="Yes",_xlfn.XLOOKUP("Dst_CIDR_Le_16",'Scoring_Config'!$A:$A,'Scoring_Config'!$C:$C,25),0),0)+IF(LEFT(AH333,4)="True",IF(_xlfn.XLOOKUP("Dst_CIDR_17_22",'Scoring_Config'!$A:$A,'Scoring_Config'!$D:$D,"Yes")="Yes",_xlfn.XLOOKUP("Dst_CIDR_17_22",'Scoring_Config'!$A:$A,'Scoring_Config'!$C:$C,15),0),0)+IF(LEFT(AI333,4)="True",IF(_xlfn.XLOOKUP("SrcZone_IsAny",'Scoring_Config'!$A:$A,'Scoring_Config'!$D:$D,"Yes")="Yes",_xlfn.XLOOKUP("SrcZone_IsAny",'Scoring_Config'!$A:$A,'Scoring_Config'!$C:$C,5),0),0)+IF(LEFT(AJ333,4)="True",IF(_xlfn.XLOOKUP("DstZone_IsAny",'Scoring_Config'!$A:$A,'Scoring_Config'!$D:$D,"Yes")="Yes",_xlfn.XLOOKUP("DstZone_IsAny",'Scoring_Config'!$A:$A,'Scoring_Config'!$C:$C,5),0),0)+IF(LEFT(AK333,4)="True",IF(_xlfn.XLOOKUP("Service_Any_OR_RangeGt1000",'Scoring_Config'!$A:$A,'Scoring_Config'!$D:$D,"Yes")="Yes",_xlfn.XLOOKUP("Service_Any_OR_RangeGt1000",'Scoring_Config'!$A:$A,'Scoring_Config'!$C:$C,25),0),0)+IF(LEFT(AL333,4)="True",IF(_xlfn.XLOOKUP("App_Any_OR_RangeGt1000",'Scoring_Config'!$A:$A,'Scoring_Config'!$D:$D,"Yes")="Yes",_xlfn.XLOOKUP("App_Any_OR_RangeGt1000",'Scoring_Config'!$A:$A,'Scoring_Config'!$C:$C,25),0),0)+IF(LEFT(AM333,4)="True",IF(_xlfn.XLOOKUP("Service_Insecure_Match",'Scoring_Config'!$A:$A,'Scoring_Config'!$D:$D,"Yes")="Yes",_xlfn.XLOOKUP("Service_Insecure_Match",'Scoring_Config'!$A:$A,'Scoring_Config'!$C:$C,20),0),0)+IF(LEFT(AN333,4)="True",IF(_xlfn.XLOOKUP("Risky_Inbound",'Scoring_Config'!$A:$A,'Scoring_Config'!$D:$D,"Yes")="Yes",_xlfn.XLOOKUP("Risky_Inbound",'Scoring_Config'!$A:$A,'Scoring_Config'!$C:$C,20),0),0)+IF(LEFT(AO333,4)="True",IF(_xlfn.XLOOKUP("Risky_Outbound",'Scoring_Config'!$A:$A,'Scoring_Config'!$D:$D,"Yes")="Yes",_xlfn.XLOOKUP("Risky_Outbound",'Scoring_Config'!$A:$A,'Scoring_Config'!$C:$C,10),0),0)+IF(LEFT(AW333,4)="True",IF(_xlfn.XLOOKUP("Migrate_Insecure",'Scoring_Config'!$A:$A,'Scoring_Config'!$D:$D,"Yes")="Yes",_xlfn.XLOOKUP("Migrate_Insecure",'Scoring_Config'!$A:$A,'Scoring_Config'!$C:$C,15),0),0)+IF(LEFT(AY333,4)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333,FIND(",",AP333)+1,100)),0)+IF(LEFT(AQ333,4)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333,FIND(",",AR333)+1,100)),0)+IF(_xlfn.XLOOKUP("Profile_Scoring",'Scoring_Config'!$A:$A,'Scoring_Config'!$D:$D,"Yes")="Yes",VALUE(MID(AS333,FIND(",",AS333)+1,100)),0)+IF(_xlfn.XLOOKUP("Options_Scoring",'Scoring_Config'!$A:$A,'Scoring_Config'!$D:$D,"Yes")="Yes",VALUE(MID(AT333,FIND(",",AT333)+1,100)),0)))</f>
        <v>0</v>
      </c>
    </row>
    <row r="334" spans="1:52">
      <c r="A334" s="3" t="s">
        <v>54</v>
      </c>
      <c r="B334" s="3" t="s">
        <v>250</v>
      </c>
      <c r="C334" s="3" t="s">
        <v>331</v>
      </c>
      <c r="D334" s="3"/>
      <c r="E334" s="3" t="s">
        <v>359</v>
      </c>
      <c r="F334" s="3" t="s">
        <v>363</v>
      </c>
      <c r="G334" s="3" t="s">
        <v>488</v>
      </c>
      <c r="H334" s="3" t="s">
        <v>596</v>
      </c>
      <c r="I334" s="3" t="s">
        <v>625</v>
      </c>
      <c r="J334" s="3" t="s">
        <v>363</v>
      </c>
      <c r="K334" s="3" t="s">
        <v>454</v>
      </c>
      <c r="L334" s="3" t="s">
        <v>583</v>
      </c>
      <c r="M334" s="3" t="s">
        <v>789</v>
      </c>
      <c r="N334" s="3" t="s">
        <v>789</v>
      </c>
      <c r="O334" s="4" t="s">
        <v>854</v>
      </c>
      <c r="P334" s="3" t="s">
        <v>885</v>
      </c>
      <c r="Q334" s="3" t="s">
        <v>905</v>
      </c>
      <c r="R334" s="3" t="s">
        <v>909</v>
      </c>
      <c r="S334" s="3" t="s">
        <v>914</v>
      </c>
      <c r="T334" s="3"/>
      <c r="U334" s="3" t="s">
        <v>1317</v>
      </c>
      <c r="V334" s="3" t="s">
        <v>770</v>
      </c>
      <c r="W334" s="3" t="s">
        <v>1397</v>
      </c>
      <c r="X334" s="3" t="s">
        <v>1938</v>
      </c>
      <c r="Y334" s="3" t="s">
        <v>2407</v>
      </c>
      <c r="Z334" s="3"/>
      <c r="AA334" s="3" t="s">
        <v>2585</v>
      </c>
      <c r="AB334" s="3"/>
      <c r="AC334" s="4" cm="1">
        <f t="array" ref="AC334">IF(FALSE,"True," &amp; IF(_xlfn.XLOOKUP("Src_IsAny",'Scoring_Config'!$A:$A,'Scoring_Config'!$D:$D,"Yes")="Yes",_xlfn.XLOOKUP("Src_IsAny",'Scoring_Config'!$A:$A,'Scoring_Config'!$C:$C,25),0),"False,0")</f>
        <v>0</v>
      </c>
      <c r="AD334" s="5" cm="1">
        <f t="array" ref="AD334">IF(TRUE,"True," &amp; IF(_xlfn.XLOOKUP("Src_CIDR_Le_16",'Scoring_Config'!$A:$A,'Scoring_Config'!$D:$D,"Yes")="Yes",_xlfn.XLOOKUP("Src_CIDR_Le_16",'Scoring_Config'!$A:$A,'Scoring_Config'!$C:$C,25),0),"False,0")</f>
        <v>0</v>
      </c>
      <c r="AE334" s="4" cm="1">
        <f t="array" ref="AE334">IF(FALSE,"True," &amp; IF(_xlfn.XLOOKUP("Src_CIDR_17_22",'Scoring_Config'!$A:$A,'Scoring_Config'!$D:$D,"Yes")="Yes",_xlfn.XLOOKUP("Src_CIDR_17_22",'Scoring_Config'!$A:$A,'Scoring_Config'!$C:$C,15),0),"False,0")</f>
        <v>0</v>
      </c>
      <c r="AF334" s="4" cm="1">
        <f t="array" ref="AF334">IF(FALSE,"True," &amp; IF(_xlfn.XLOOKUP("Dst_IsAny",'Scoring_Config'!$A:$A,'Scoring_Config'!$D:$D,"Yes")="Yes",_xlfn.XLOOKUP("Dst_IsAny",'Scoring_Config'!$A:$A,'Scoring_Config'!$C:$C,25),0),"False,0")</f>
        <v>0</v>
      </c>
      <c r="AG334" s="4" cm="1">
        <f t="array" ref="AG334">IF(FALSE,"True," &amp; IF(_xlfn.XLOOKUP("Dst_CIDR_Le_16",'Scoring_Config'!$A:$A,'Scoring_Config'!$D:$D,"Yes")="Yes",_xlfn.XLOOKUP("Dst_CIDR_Le_16",'Scoring_Config'!$A:$A,'Scoring_Config'!$C:$C,25),0),"False,0")</f>
        <v>0</v>
      </c>
      <c r="AH334" s="4" cm="1">
        <f t="array" ref="AH334">IF(FALSE,"True," &amp; IF(_xlfn.XLOOKUP("Dst_CIDR_17_22",'Scoring_Config'!$A:$A,'Scoring_Config'!$D:$D,"Yes")="Yes",_xlfn.XLOOKUP("Dst_CIDR_17_22",'Scoring_Config'!$A:$A,'Scoring_Config'!$C:$C,15),0),"False,0")</f>
        <v>0</v>
      </c>
      <c r="AI334" s="4" cm="1">
        <f t="array" ref="AI334">IF(FALSE,"True," &amp; IF(_xlfn.XLOOKUP("SrcZone_IsAny",'Scoring_Config'!$A:$A,'Scoring_Config'!$D:$D,"Yes")="Yes",_xlfn.XLOOKUP("SrcZone_IsAny",'Scoring_Config'!$A:$A,'Scoring_Config'!$C:$C,5),0),"False,0")</f>
        <v>0</v>
      </c>
      <c r="AJ334" s="4" cm="1">
        <f t="array" ref="AJ334">IF(FALSE,"True," &amp; IF(_xlfn.XLOOKUP("DstZone_IsAny",'Scoring_Config'!$A:$A,'Scoring_Config'!$D:$D,"Yes")="Yes",_xlfn.XLOOKUP("DstZone_IsAny",'Scoring_Config'!$A:$A,'Scoring_Config'!$C:$C,5),0),"False,0")</f>
        <v>0</v>
      </c>
      <c r="AK334" s="4" cm="1">
        <f t="array" ref="AK33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4" s="4" cm="1">
        <f t="array" ref="AL334">IF(FALSE,"True," &amp; IF(_xlfn.XLOOKUP("App_Any_OR_RangeGt1000",'Scoring_Config'!$A:$A,'Scoring_Config'!$D:$D,"Yes")="Yes",_xlfn.XLOOKUP("App_Any_OR_RangeGt1000",'Scoring_Config'!$A:$A,'Scoring_Config'!$C:$C,25),0),"False,0")</f>
        <v>0</v>
      </c>
      <c r="AM334" s="5" cm="1">
        <f t="array" ref="AM334">IF(TRUE,"True," &amp; IF(_xlfn.XLOOKUP("Service_Insecure_Match",'Scoring_Config'!$A:$A,'Scoring_Config'!$D:$D,"Yes")="Yes",_xlfn.XLOOKUP("Service_Insecure_Match",'Scoring_Config'!$A:$A,'Scoring_Config'!$C:$C,20),0),"False,0")</f>
        <v>0</v>
      </c>
      <c r="AN334" s="4" cm="1">
        <f t="array" ref="AN334">IF(FALSE,"True," &amp; IF(_xlfn.XLOOKUP("Risky_Inbound",'Scoring_Config'!$A:$A,'Scoring_Config'!$D:$D,"Yes")="Yes",_xlfn.XLOOKUP("Risky_Inbound",'Scoring_Config'!$A:$A,'Scoring_Config'!$C:$C,20),0),"False,0")</f>
        <v>0</v>
      </c>
      <c r="AO334" s="4" cm="1">
        <f t="array" ref="AO334">IF(FALSE,"True," &amp; IF(_xlfn.XLOOKUP("Risky_Outbound",'Scoring_Config'!$A:$A,'Scoring_Config'!$D:$D,"Yes")="Yes",_xlfn.XLOOKUP("Risky_Outbound",'Scoring_Config'!$A:$A,'Scoring_Config'!$C:$C,10),0),"False,0")</f>
        <v>0</v>
      </c>
      <c r="AP334" s="5" t="s">
        <v>2595</v>
      </c>
      <c r="AQ334" s="4" cm="1">
        <f t="array" ref="AQ33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4" s="5" t="s">
        <v>2598</v>
      </c>
      <c r="AS334" s="4" t="s">
        <v>2592</v>
      </c>
      <c r="AT334" s="4" t="s">
        <v>2592</v>
      </c>
      <c r="AU334" s="4" cm="1">
        <f t="array" ref="AU334">IF(FALSE,"True," &amp; IF(_xlfn.XLOOKUP("Action_IsDenyOrDrop",'Scoring_Config'!$A:$A,'Scoring_Config'!$D:$D,"Yes")="Yes",_xlfn.XLOOKUP("Action_IsDenyOrDrop",'Scoring_Config'!$A:$A,'Scoring_Config'!$C:$C,0),0),"False,0")</f>
        <v>0</v>
      </c>
      <c r="AV334" s="4"/>
      <c r="AW334" s="4" cm="1">
        <f t="array" ref="AW334">IF(FALSE,"True," &amp; IF(_xlfn.XLOOKUP("Migrate_Insecure",'Scoring_Config'!$A:$A,'Scoring_Config'!$D:$D,"Yes")="Yes",_xlfn.XLOOKUP("Migrate_Insecure",'Scoring_Config'!$A:$A,'Scoring_Config'!$C:$C,15),0),"False,0")</f>
        <v>0</v>
      </c>
      <c r="AX334" s="4"/>
      <c r="AY334" s="4" cm="1">
        <f t="array" ref="AY334">IF(FALSE,"True," &amp; IF(_xlfn.XLOOKUP("Migrate_Other_Ports",'Scoring_Config'!$A:$A,'Scoring_Config'!$D:$D,"Yes")="Yes",_xlfn.XLOOKUP("Migrate_Other_Ports",'Scoring_Config'!$A:$A,'Scoring_Config'!$C:$C,5),0),"False,0")</f>
        <v>0</v>
      </c>
      <c r="AZ334" s="4" cm="1">
        <f t="array" ref="AZ334">IF(LEFT(AU334,4)="True",0,(IF(LEFT(AC334,4)="True",IF(_xlfn.XLOOKUP("Src_IsAny",'Scoring_Config'!$A:$A,'Scoring_Config'!$D:$D,"Yes")="Yes",_xlfn.XLOOKUP("Src_IsAny",'Scoring_Config'!$A:$A,'Scoring_Config'!$C:$C,25),0),0)+IF(LEFT(AD334,4)="True",IF(_xlfn.XLOOKUP("Src_CIDR_Le_16",'Scoring_Config'!$A:$A,'Scoring_Config'!$D:$D,"Yes")="Yes",_xlfn.XLOOKUP("Src_CIDR_Le_16",'Scoring_Config'!$A:$A,'Scoring_Config'!$C:$C,25),0),0)+IF(LEFT(AE334,4)="True",IF(_xlfn.XLOOKUP("Src_CIDR_17_22",'Scoring_Config'!$A:$A,'Scoring_Config'!$D:$D,"Yes")="Yes",_xlfn.XLOOKUP("Src_CIDR_17_22",'Scoring_Config'!$A:$A,'Scoring_Config'!$C:$C,15),0),0)+IF(LEFT(AF334,4)="True",IF(_xlfn.XLOOKUP("Dst_IsAny",'Scoring_Config'!$A:$A,'Scoring_Config'!$D:$D,"Yes")="Yes",_xlfn.XLOOKUP("Dst_IsAny",'Scoring_Config'!$A:$A,'Scoring_Config'!$C:$C,25),0),0)+IF(LEFT(AG334,4)="True",IF(_xlfn.XLOOKUP("Dst_CIDR_Le_16",'Scoring_Config'!$A:$A,'Scoring_Config'!$D:$D,"Yes")="Yes",_xlfn.XLOOKUP("Dst_CIDR_Le_16",'Scoring_Config'!$A:$A,'Scoring_Config'!$C:$C,25),0),0)+IF(LEFT(AH334,4)="True",IF(_xlfn.XLOOKUP("Dst_CIDR_17_22",'Scoring_Config'!$A:$A,'Scoring_Config'!$D:$D,"Yes")="Yes",_xlfn.XLOOKUP("Dst_CIDR_17_22",'Scoring_Config'!$A:$A,'Scoring_Config'!$C:$C,15),0),0)+IF(LEFT(AI334,4)="True",IF(_xlfn.XLOOKUP("SrcZone_IsAny",'Scoring_Config'!$A:$A,'Scoring_Config'!$D:$D,"Yes")="Yes",_xlfn.XLOOKUP("SrcZone_IsAny",'Scoring_Config'!$A:$A,'Scoring_Config'!$C:$C,5),0),0)+IF(LEFT(AJ334,4)="True",IF(_xlfn.XLOOKUP("DstZone_IsAny",'Scoring_Config'!$A:$A,'Scoring_Config'!$D:$D,"Yes")="Yes",_xlfn.XLOOKUP("DstZone_IsAny",'Scoring_Config'!$A:$A,'Scoring_Config'!$C:$C,5),0),0)+IF(LEFT(AK334,4)="True",IF(_xlfn.XLOOKUP("Service_Any_OR_RangeGt1000",'Scoring_Config'!$A:$A,'Scoring_Config'!$D:$D,"Yes")="Yes",_xlfn.XLOOKUP("Service_Any_OR_RangeGt1000",'Scoring_Config'!$A:$A,'Scoring_Config'!$C:$C,25),0),0)+IF(LEFT(AL334,4)="True",IF(_xlfn.XLOOKUP("App_Any_OR_RangeGt1000",'Scoring_Config'!$A:$A,'Scoring_Config'!$D:$D,"Yes")="Yes",_xlfn.XLOOKUP("App_Any_OR_RangeGt1000",'Scoring_Config'!$A:$A,'Scoring_Config'!$C:$C,25),0),0)+IF(LEFT(AM334,4)="True",IF(_xlfn.XLOOKUP("Service_Insecure_Match",'Scoring_Config'!$A:$A,'Scoring_Config'!$D:$D,"Yes")="Yes",_xlfn.XLOOKUP("Service_Insecure_Match",'Scoring_Config'!$A:$A,'Scoring_Config'!$C:$C,20),0),0)+IF(LEFT(AN334,4)="True",IF(_xlfn.XLOOKUP("Risky_Inbound",'Scoring_Config'!$A:$A,'Scoring_Config'!$D:$D,"Yes")="Yes",_xlfn.XLOOKUP("Risky_Inbound",'Scoring_Config'!$A:$A,'Scoring_Config'!$C:$C,20),0),0)+IF(LEFT(AO334,4)="True",IF(_xlfn.XLOOKUP("Risky_Outbound",'Scoring_Config'!$A:$A,'Scoring_Config'!$D:$D,"Yes")="Yes",_xlfn.XLOOKUP("Risky_Outbound",'Scoring_Config'!$A:$A,'Scoring_Config'!$C:$C,10),0),0)+IF(LEFT(AW334,4)="True",IF(_xlfn.XLOOKUP("Migrate_Insecure",'Scoring_Config'!$A:$A,'Scoring_Config'!$D:$D,"Yes")="Yes",_xlfn.XLOOKUP("Migrate_Insecure",'Scoring_Config'!$A:$A,'Scoring_Config'!$C:$C,15),0),0)+IF(LEFT(AY334,4)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334,FIND(",",AP334)+1,100)),0)+IF(LEFT(AQ334,4)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334,FIND(",",AR334)+1,100)),0)+IF(_xlfn.XLOOKUP("Profile_Scoring",'Scoring_Config'!$A:$A,'Scoring_Config'!$D:$D,"Yes")="Yes",VALUE(MID(AS334,FIND(",",AS334)+1,100)),0)+IF(_xlfn.XLOOKUP("Options_Scoring",'Scoring_Config'!$A:$A,'Scoring_Config'!$D:$D,"Yes")="Yes",VALUE(MID(AT334,FIND(",",AT334)+1,100)),0)))</f>
        <v>0</v>
      </c>
    </row>
    <row r="335" spans="1:52">
      <c r="A335" s="3" t="s">
        <v>54</v>
      </c>
      <c r="B335" s="3" t="s">
        <v>260</v>
      </c>
      <c r="C335" s="3" t="s">
        <v>331</v>
      </c>
      <c r="D335" s="3"/>
      <c r="E335" s="3" t="s">
        <v>359</v>
      </c>
      <c r="F335" s="3" t="s">
        <v>360</v>
      </c>
      <c r="G335" s="3" t="s">
        <v>467</v>
      </c>
      <c r="H335" s="3" t="s">
        <v>467</v>
      </c>
      <c r="I335" s="3" t="s">
        <v>624</v>
      </c>
      <c r="J335" s="3" t="s">
        <v>362</v>
      </c>
      <c r="K335" s="3" t="s">
        <v>707</v>
      </c>
      <c r="L335" s="3" t="s">
        <v>707</v>
      </c>
      <c r="M335" s="3" t="s">
        <v>784</v>
      </c>
      <c r="N335" s="3" t="s">
        <v>800</v>
      </c>
      <c r="O335" s="4" t="s">
        <v>830</v>
      </c>
      <c r="P335" s="3" t="s">
        <v>891</v>
      </c>
      <c r="Q335" s="3" t="s">
        <v>905</v>
      </c>
      <c r="R335" s="3" t="s">
        <v>910</v>
      </c>
      <c r="S335" s="3" t="s">
        <v>914</v>
      </c>
      <c r="T335" s="3"/>
      <c r="U335" s="3" t="s">
        <v>1150</v>
      </c>
      <c r="V335" s="3" t="s">
        <v>772</v>
      </c>
      <c r="W335" s="3" t="s">
        <v>1524</v>
      </c>
      <c r="X335" s="3" t="s">
        <v>1939</v>
      </c>
      <c r="Y335" s="3" t="s">
        <v>2408</v>
      </c>
      <c r="Z335" s="3"/>
      <c r="AA335" s="3" t="s">
        <v>919</v>
      </c>
      <c r="AB335" s="3"/>
      <c r="AC335" s="4" cm="1">
        <f t="array" ref="AC335">IF(FALSE,"True," &amp; IF(_xlfn.XLOOKUP("Src_IsAny",'Scoring_Config'!$A:$A,'Scoring_Config'!$D:$D,"Yes")="Yes",_xlfn.XLOOKUP("Src_IsAny",'Scoring_Config'!$A:$A,'Scoring_Config'!$C:$C,25),0),"False,0")</f>
        <v>0</v>
      </c>
      <c r="AD335" s="4" cm="1">
        <f t="array" ref="AD335">IF(FALSE,"True," &amp; IF(_xlfn.XLOOKUP("Src_CIDR_Le_16",'Scoring_Config'!$A:$A,'Scoring_Config'!$D:$D,"Yes")="Yes",_xlfn.XLOOKUP("Src_CIDR_Le_16",'Scoring_Config'!$A:$A,'Scoring_Config'!$C:$C,25),0),"False,0")</f>
        <v>0</v>
      </c>
      <c r="AE335" s="4" cm="1">
        <f t="array" ref="AE335">IF(FALSE,"True," &amp; IF(_xlfn.XLOOKUP("Src_CIDR_17_22",'Scoring_Config'!$A:$A,'Scoring_Config'!$D:$D,"Yes")="Yes",_xlfn.XLOOKUP("Src_CIDR_17_22",'Scoring_Config'!$A:$A,'Scoring_Config'!$C:$C,15),0),"False,0")</f>
        <v>0</v>
      </c>
      <c r="AF335" s="4" cm="1">
        <f t="array" ref="AF335">IF(FALSE,"True," &amp; IF(_xlfn.XLOOKUP("Dst_IsAny",'Scoring_Config'!$A:$A,'Scoring_Config'!$D:$D,"Yes")="Yes",_xlfn.XLOOKUP("Dst_IsAny",'Scoring_Config'!$A:$A,'Scoring_Config'!$C:$C,25),0),"False,0")</f>
        <v>0</v>
      </c>
      <c r="AG335" s="4" cm="1">
        <f t="array" ref="AG335">IF(FALSE,"True," &amp; IF(_xlfn.XLOOKUP("Dst_CIDR_Le_16",'Scoring_Config'!$A:$A,'Scoring_Config'!$D:$D,"Yes")="Yes",_xlfn.XLOOKUP("Dst_CIDR_Le_16",'Scoring_Config'!$A:$A,'Scoring_Config'!$C:$C,25),0),"False,0")</f>
        <v>0</v>
      </c>
      <c r="AH335" s="4" cm="1">
        <f t="array" ref="AH335">IF(FALSE,"True," &amp; IF(_xlfn.XLOOKUP("Dst_CIDR_17_22",'Scoring_Config'!$A:$A,'Scoring_Config'!$D:$D,"Yes")="Yes",_xlfn.XLOOKUP("Dst_CIDR_17_22",'Scoring_Config'!$A:$A,'Scoring_Config'!$C:$C,15),0),"False,0")</f>
        <v>0</v>
      </c>
      <c r="AI335" s="4" cm="1">
        <f t="array" ref="AI335">IF(FALSE,"True," &amp; IF(_xlfn.XLOOKUP("SrcZone_IsAny",'Scoring_Config'!$A:$A,'Scoring_Config'!$D:$D,"Yes")="Yes",_xlfn.XLOOKUP("SrcZone_IsAny",'Scoring_Config'!$A:$A,'Scoring_Config'!$C:$C,5),0),"False,0")</f>
        <v>0</v>
      </c>
      <c r="AJ335" s="4" cm="1">
        <f t="array" ref="AJ335">IF(FALSE,"True," &amp; IF(_xlfn.XLOOKUP("DstZone_IsAny",'Scoring_Config'!$A:$A,'Scoring_Config'!$D:$D,"Yes")="Yes",_xlfn.XLOOKUP("DstZone_IsAny",'Scoring_Config'!$A:$A,'Scoring_Config'!$C:$C,5),0),"False,0")</f>
        <v>0</v>
      </c>
      <c r="AK335" s="4" cm="1">
        <f t="array" ref="AK33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5" s="4" cm="1">
        <f t="array" ref="AL335">IF(FALSE,"True," &amp; IF(_xlfn.XLOOKUP("App_Any_OR_RangeGt1000",'Scoring_Config'!$A:$A,'Scoring_Config'!$D:$D,"Yes")="Yes",_xlfn.XLOOKUP("App_Any_OR_RangeGt1000",'Scoring_Config'!$A:$A,'Scoring_Config'!$C:$C,25),0),"False,0")</f>
        <v>0</v>
      </c>
      <c r="AM335" s="5" cm="1">
        <f t="array" ref="AM335">IF(TRUE,"True," &amp; IF(_xlfn.XLOOKUP("Service_Insecure_Match",'Scoring_Config'!$A:$A,'Scoring_Config'!$D:$D,"Yes")="Yes",_xlfn.XLOOKUP("Service_Insecure_Match",'Scoring_Config'!$A:$A,'Scoring_Config'!$C:$C,20),0),"False,0")</f>
        <v>0</v>
      </c>
      <c r="AN335" s="4" cm="1">
        <f t="array" ref="AN335">IF(FALSE,"True," &amp; IF(_xlfn.XLOOKUP("Risky_Inbound",'Scoring_Config'!$A:$A,'Scoring_Config'!$D:$D,"Yes")="Yes",_xlfn.XLOOKUP("Risky_Inbound",'Scoring_Config'!$A:$A,'Scoring_Config'!$C:$C,20),0),"False,0")</f>
        <v>0</v>
      </c>
      <c r="AO335" s="4" cm="1">
        <f t="array" ref="AO335">IF(FALSE,"True," &amp; IF(_xlfn.XLOOKUP("Risky_Outbound",'Scoring_Config'!$A:$A,'Scoring_Config'!$D:$D,"Yes")="Yes",_xlfn.XLOOKUP("Risky_Outbound",'Scoring_Config'!$A:$A,'Scoring_Config'!$C:$C,10),0),"False,0")</f>
        <v>0</v>
      </c>
      <c r="AP335" s="5" t="s">
        <v>2595</v>
      </c>
      <c r="AQ335" s="5" cm="1">
        <f t="array" ref="AQ33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5" s="5" t="s">
        <v>2598</v>
      </c>
      <c r="AS335" s="4" t="s">
        <v>2592</v>
      </c>
      <c r="AT335" s="4" t="s">
        <v>2592</v>
      </c>
      <c r="AU335" s="4" cm="1">
        <f t="array" ref="AU335">IF(FALSE,"True," &amp; IF(_xlfn.XLOOKUP("Action_IsDenyOrDrop",'Scoring_Config'!$A:$A,'Scoring_Config'!$D:$D,"Yes")="Yes",_xlfn.XLOOKUP("Action_IsDenyOrDrop",'Scoring_Config'!$A:$A,'Scoring_Config'!$C:$C,0),0),"False,0")</f>
        <v>0</v>
      </c>
      <c r="AV335" s="4"/>
      <c r="AW335" s="4" cm="1">
        <f t="array" ref="AW335">IF(FALSE,"True," &amp; IF(_xlfn.XLOOKUP("Migrate_Insecure",'Scoring_Config'!$A:$A,'Scoring_Config'!$D:$D,"Yes")="Yes",_xlfn.XLOOKUP("Migrate_Insecure",'Scoring_Config'!$A:$A,'Scoring_Config'!$C:$C,15),0),"False,0")</f>
        <v>0</v>
      </c>
      <c r="AX335" s="4"/>
      <c r="AY335" s="4" cm="1">
        <f t="array" ref="AY335">IF(FALSE,"True," &amp; IF(_xlfn.XLOOKUP("Migrate_Other_Ports",'Scoring_Config'!$A:$A,'Scoring_Config'!$D:$D,"Yes")="Yes",_xlfn.XLOOKUP("Migrate_Other_Ports",'Scoring_Config'!$A:$A,'Scoring_Config'!$C:$C,5),0),"False,0")</f>
        <v>0</v>
      </c>
      <c r="AZ335" s="4" cm="1">
        <f t="array" ref="AZ335">IF(LEFT(AU335,4)="True",0,(IF(LEFT(AC335,4)="True",IF(_xlfn.XLOOKUP("Src_IsAny",'Scoring_Config'!$A:$A,'Scoring_Config'!$D:$D,"Yes")="Yes",_xlfn.XLOOKUP("Src_IsAny",'Scoring_Config'!$A:$A,'Scoring_Config'!$C:$C,25),0),0)+IF(LEFT(AD335,4)="True",IF(_xlfn.XLOOKUP("Src_CIDR_Le_16",'Scoring_Config'!$A:$A,'Scoring_Config'!$D:$D,"Yes")="Yes",_xlfn.XLOOKUP("Src_CIDR_Le_16",'Scoring_Config'!$A:$A,'Scoring_Config'!$C:$C,25),0),0)+IF(LEFT(AE335,4)="True",IF(_xlfn.XLOOKUP("Src_CIDR_17_22",'Scoring_Config'!$A:$A,'Scoring_Config'!$D:$D,"Yes")="Yes",_xlfn.XLOOKUP("Src_CIDR_17_22",'Scoring_Config'!$A:$A,'Scoring_Config'!$C:$C,15),0),0)+IF(LEFT(AF335,4)="True",IF(_xlfn.XLOOKUP("Dst_IsAny",'Scoring_Config'!$A:$A,'Scoring_Config'!$D:$D,"Yes")="Yes",_xlfn.XLOOKUP("Dst_IsAny",'Scoring_Config'!$A:$A,'Scoring_Config'!$C:$C,25),0),0)+IF(LEFT(AG335,4)="True",IF(_xlfn.XLOOKUP("Dst_CIDR_Le_16",'Scoring_Config'!$A:$A,'Scoring_Config'!$D:$D,"Yes")="Yes",_xlfn.XLOOKUP("Dst_CIDR_Le_16",'Scoring_Config'!$A:$A,'Scoring_Config'!$C:$C,25),0),0)+IF(LEFT(AH335,4)="True",IF(_xlfn.XLOOKUP("Dst_CIDR_17_22",'Scoring_Config'!$A:$A,'Scoring_Config'!$D:$D,"Yes")="Yes",_xlfn.XLOOKUP("Dst_CIDR_17_22",'Scoring_Config'!$A:$A,'Scoring_Config'!$C:$C,15),0),0)+IF(LEFT(AI335,4)="True",IF(_xlfn.XLOOKUP("SrcZone_IsAny",'Scoring_Config'!$A:$A,'Scoring_Config'!$D:$D,"Yes")="Yes",_xlfn.XLOOKUP("SrcZone_IsAny",'Scoring_Config'!$A:$A,'Scoring_Config'!$C:$C,5),0),0)+IF(LEFT(AJ335,4)="True",IF(_xlfn.XLOOKUP("DstZone_IsAny",'Scoring_Config'!$A:$A,'Scoring_Config'!$D:$D,"Yes")="Yes",_xlfn.XLOOKUP("DstZone_IsAny",'Scoring_Config'!$A:$A,'Scoring_Config'!$C:$C,5),0),0)+IF(LEFT(AK335,4)="True",IF(_xlfn.XLOOKUP("Service_Any_OR_RangeGt1000",'Scoring_Config'!$A:$A,'Scoring_Config'!$D:$D,"Yes")="Yes",_xlfn.XLOOKUP("Service_Any_OR_RangeGt1000",'Scoring_Config'!$A:$A,'Scoring_Config'!$C:$C,25),0),0)+IF(LEFT(AL335,4)="True",IF(_xlfn.XLOOKUP("App_Any_OR_RangeGt1000",'Scoring_Config'!$A:$A,'Scoring_Config'!$D:$D,"Yes")="Yes",_xlfn.XLOOKUP("App_Any_OR_RangeGt1000",'Scoring_Config'!$A:$A,'Scoring_Config'!$C:$C,25),0),0)+IF(LEFT(AM335,4)="True",IF(_xlfn.XLOOKUP("Service_Insecure_Match",'Scoring_Config'!$A:$A,'Scoring_Config'!$D:$D,"Yes")="Yes",_xlfn.XLOOKUP("Service_Insecure_Match",'Scoring_Config'!$A:$A,'Scoring_Config'!$C:$C,20),0),0)+IF(LEFT(AN335,4)="True",IF(_xlfn.XLOOKUP("Risky_Inbound",'Scoring_Config'!$A:$A,'Scoring_Config'!$D:$D,"Yes")="Yes",_xlfn.XLOOKUP("Risky_Inbound",'Scoring_Config'!$A:$A,'Scoring_Config'!$C:$C,20),0),0)+IF(LEFT(AO335,4)="True",IF(_xlfn.XLOOKUP("Risky_Outbound",'Scoring_Config'!$A:$A,'Scoring_Config'!$D:$D,"Yes")="Yes",_xlfn.XLOOKUP("Risky_Outbound",'Scoring_Config'!$A:$A,'Scoring_Config'!$C:$C,10),0),0)+IF(LEFT(AW335,4)="True",IF(_xlfn.XLOOKUP("Migrate_Insecure",'Scoring_Config'!$A:$A,'Scoring_Config'!$D:$D,"Yes")="Yes",_xlfn.XLOOKUP("Migrate_Insecure",'Scoring_Config'!$A:$A,'Scoring_Config'!$C:$C,15),0),0)+IF(LEFT(AY335,4)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335,FIND(",",AP335)+1,100)),0)+IF(LEFT(AQ335,4)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335,FIND(",",AR335)+1,100)),0)+IF(_xlfn.XLOOKUP("Profile_Scoring",'Scoring_Config'!$A:$A,'Scoring_Config'!$D:$D,"Yes")="Yes",VALUE(MID(AS335,FIND(",",AS335)+1,100)),0)+IF(_xlfn.XLOOKUP("Options_Scoring",'Scoring_Config'!$A:$A,'Scoring_Config'!$D:$D,"Yes")="Yes",VALUE(MID(AT335,FIND(",",AT335)+1,100)),0)))</f>
        <v>0</v>
      </c>
    </row>
    <row r="336" spans="1:52">
      <c r="A336" s="3" t="s">
        <v>54</v>
      </c>
      <c r="B336" s="3" t="s">
        <v>272</v>
      </c>
      <c r="C336" s="3" t="s">
        <v>331</v>
      </c>
      <c r="D336" s="3" t="s">
        <v>334</v>
      </c>
      <c r="E336" s="3" t="s">
        <v>359</v>
      </c>
      <c r="F336" s="3" t="s">
        <v>361</v>
      </c>
      <c r="G336" s="3" t="s">
        <v>470</v>
      </c>
      <c r="H336" s="3" t="s">
        <v>591</v>
      </c>
      <c r="I336" s="3" t="s">
        <v>622</v>
      </c>
      <c r="J336" s="3" t="s">
        <v>360</v>
      </c>
      <c r="K336" s="3" t="s">
        <v>700</v>
      </c>
      <c r="L336" s="3" t="s">
        <v>760</v>
      </c>
      <c r="M336" s="3" t="s">
        <v>777</v>
      </c>
      <c r="N336" s="3" t="s">
        <v>777</v>
      </c>
      <c r="O336" s="4" t="s">
        <v>848</v>
      </c>
      <c r="P336" s="3" t="s">
        <v>901</v>
      </c>
      <c r="Q336" s="3" t="s">
        <v>904</v>
      </c>
      <c r="R336" s="3" t="s">
        <v>911</v>
      </c>
      <c r="S336" s="3" t="s">
        <v>914</v>
      </c>
      <c r="T336" s="3"/>
      <c r="U336" s="3" t="s">
        <v>1318</v>
      </c>
      <c r="V336" s="3" t="s">
        <v>1388</v>
      </c>
      <c r="W336" s="3" t="s">
        <v>946</v>
      </c>
      <c r="X336" s="3" t="s">
        <v>1940</v>
      </c>
      <c r="Y336" s="3" t="s">
        <v>2409</v>
      </c>
      <c r="Z336" s="3"/>
      <c r="AA336" s="3" t="s">
        <v>1455</v>
      </c>
      <c r="AB336" s="3"/>
      <c r="AC336" s="4" cm="1">
        <f t="array" ref="AC336">IF(FALSE,"True," &amp; IF(_xlfn.XLOOKUP("Src_IsAny",'Scoring_Config'!$A:$A,'Scoring_Config'!$D:$D,"Yes")="Yes",_xlfn.XLOOKUP("Src_IsAny",'Scoring_Config'!$A:$A,'Scoring_Config'!$C:$C,25),0),"False,0")</f>
        <v>0</v>
      </c>
      <c r="AD336" s="5" cm="1">
        <f t="array" ref="AD336">IF(TRUE,"True," &amp; IF(_xlfn.XLOOKUP("Src_CIDR_Le_16",'Scoring_Config'!$A:$A,'Scoring_Config'!$D:$D,"Yes")="Yes",_xlfn.XLOOKUP("Src_CIDR_Le_16",'Scoring_Config'!$A:$A,'Scoring_Config'!$C:$C,25),0),"False,0")</f>
        <v>0</v>
      </c>
      <c r="AE336" s="4" cm="1">
        <f t="array" ref="AE336">IF(FALSE,"True," &amp; IF(_xlfn.XLOOKUP("Src_CIDR_17_22",'Scoring_Config'!$A:$A,'Scoring_Config'!$D:$D,"Yes")="Yes",_xlfn.XLOOKUP("Src_CIDR_17_22",'Scoring_Config'!$A:$A,'Scoring_Config'!$C:$C,15),0),"False,0")</f>
        <v>0</v>
      </c>
      <c r="AF336" s="4" cm="1">
        <f t="array" ref="AF336">IF(FALSE,"True," &amp; IF(_xlfn.XLOOKUP("Dst_IsAny",'Scoring_Config'!$A:$A,'Scoring_Config'!$D:$D,"Yes")="Yes",_xlfn.XLOOKUP("Dst_IsAny",'Scoring_Config'!$A:$A,'Scoring_Config'!$C:$C,25),0),"False,0")</f>
        <v>0</v>
      </c>
      <c r="AG336" s="5" cm="1">
        <f t="array" ref="AG336">IF(TRUE,"True," &amp; IF(_xlfn.XLOOKUP("Dst_CIDR_Le_16",'Scoring_Config'!$A:$A,'Scoring_Config'!$D:$D,"Yes")="Yes",_xlfn.XLOOKUP("Dst_CIDR_Le_16",'Scoring_Config'!$A:$A,'Scoring_Config'!$C:$C,25),0),"False,0")</f>
        <v>0</v>
      </c>
      <c r="AH336" s="4" cm="1">
        <f t="array" ref="AH336">IF(FALSE,"True," &amp; IF(_xlfn.XLOOKUP("Dst_CIDR_17_22",'Scoring_Config'!$A:$A,'Scoring_Config'!$D:$D,"Yes")="Yes",_xlfn.XLOOKUP("Dst_CIDR_17_22",'Scoring_Config'!$A:$A,'Scoring_Config'!$C:$C,15),0),"False,0")</f>
        <v>0</v>
      </c>
      <c r="AI336" s="4" cm="1">
        <f t="array" ref="AI336">IF(FALSE,"True," &amp; IF(_xlfn.XLOOKUP("SrcZone_IsAny",'Scoring_Config'!$A:$A,'Scoring_Config'!$D:$D,"Yes")="Yes",_xlfn.XLOOKUP("SrcZone_IsAny",'Scoring_Config'!$A:$A,'Scoring_Config'!$C:$C,5),0),"False,0")</f>
        <v>0</v>
      </c>
      <c r="AJ336" s="4" cm="1">
        <f t="array" ref="AJ336">IF(FALSE,"True," &amp; IF(_xlfn.XLOOKUP("DstZone_IsAny",'Scoring_Config'!$A:$A,'Scoring_Config'!$D:$D,"Yes")="Yes",_xlfn.XLOOKUP("DstZone_IsAny",'Scoring_Config'!$A:$A,'Scoring_Config'!$C:$C,5),0),"False,0")</f>
        <v>0</v>
      </c>
      <c r="AK336" s="4" cm="1">
        <f t="array" ref="AK33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6" s="4" cm="1">
        <f t="array" ref="AL336">IF(FALSE,"True," &amp; IF(_xlfn.XLOOKUP("App_Any_OR_RangeGt1000",'Scoring_Config'!$A:$A,'Scoring_Config'!$D:$D,"Yes")="Yes",_xlfn.XLOOKUP("App_Any_OR_RangeGt1000",'Scoring_Config'!$A:$A,'Scoring_Config'!$C:$C,25),0),"False,0")</f>
        <v>0</v>
      </c>
      <c r="AM336" s="5" cm="1">
        <f t="array" ref="AM336">IF(TRUE,"True," &amp; IF(_xlfn.XLOOKUP("Service_Insecure_Match",'Scoring_Config'!$A:$A,'Scoring_Config'!$D:$D,"Yes")="Yes",_xlfn.XLOOKUP("Service_Insecure_Match",'Scoring_Config'!$A:$A,'Scoring_Config'!$C:$C,20),0),"False,0")</f>
        <v>0</v>
      </c>
      <c r="AN336" s="4" cm="1">
        <f t="array" ref="AN336">IF(FALSE,"True," &amp; IF(_xlfn.XLOOKUP("Risky_Inbound",'Scoring_Config'!$A:$A,'Scoring_Config'!$D:$D,"Yes")="Yes",_xlfn.XLOOKUP("Risky_Inbound",'Scoring_Config'!$A:$A,'Scoring_Config'!$C:$C,20),0),"False,0")</f>
        <v>0</v>
      </c>
      <c r="AO336" s="4" cm="1">
        <f t="array" ref="AO336">IF(FALSE,"True," &amp; IF(_xlfn.XLOOKUP("Risky_Outbound",'Scoring_Config'!$A:$A,'Scoring_Config'!$D:$D,"Yes")="Yes",_xlfn.XLOOKUP("Risky_Outbound",'Scoring_Config'!$A:$A,'Scoring_Config'!$C:$C,10),0),"False,0")</f>
        <v>0</v>
      </c>
      <c r="AP336" s="5" t="s">
        <v>2595</v>
      </c>
      <c r="AQ336" s="4" cm="1">
        <f t="array" ref="AQ33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6" s="5" t="s">
        <v>2598</v>
      </c>
      <c r="AS336" s="4" t="s">
        <v>2592</v>
      </c>
      <c r="AT336" s="4" t="s">
        <v>2592</v>
      </c>
      <c r="AU336" s="5" cm="1">
        <f t="array" ref="AU336">IF(TRUE,"True," &amp; IF(_xlfn.XLOOKUP("Action_IsDenyOrDrop",'Scoring_Config'!$A:$A,'Scoring_Config'!$D:$D,"Yes")="Yes",_xlfn.XLOOKUP("Action_IsDenyOrDrop",'Scoring_Config'!$A:$A,'Scoring_Config'!$C:$C,0),0),"False,0")</f>
        <v>0</v>
      </c>
      <c r="AV336" s="4"/>
      <c r="AW336" s="4" cm="1">
        <f t="array" ref="AW336">IF(FALSE,"True," &amp; IF(_xlfn.XLOOKUP("Migrate_Insecure",'Scoring_Config'!$A:$A,'Scoring_Config'!$D:$D,"Yes")="Yes",_xlfn.XLOOKUP("Migrate_Insecure",'Scoring_Config'!$A:$A,'Scoring_Config'!$C:$C,15),0),"False,0")</f>
        <v>0</v>
      </c>
      <c r="AX336" s="4"/>
      <c r="AY336" s="4" cm="1">
        <f t="array" ref="AY336">IF(FALSE,"True," &amp; IF(_xlfn.XLOOKUP("Migrate_Other_Ports",'Scoring_Config'!$A:$A,'Scoring_Config'!$D:$D,"Yes")="Yes",_xlfn.XLOOKUP("Migrate_Other_Ports",'Scoring_Config'!$A:$A,'Scoring_Config'!$C:$C,5),0),"False,0")</f>
        <v>0</v>
      </c>
      <c r="AZ336" s="4" cm="1">
        <f t="array" ref="AZ336">IF(LEFT(AU336,4)="True",0,(IF(LEFT(AC336,4)="True",IF(_xlfn.XLOOKUP("Src_IsAny",'Scoring_Config'!$A:$A,'Scoring_Config'!$D:$D,"Yes")="Yes",_xlfn.XLOOKUP("Src_IsAny",'Scoring_Config'!$A:$A,'Scoring_Config'!$C:$C,25),0),0)+IF(LEFT(AD336,4)="True",IF(_xlfn.XLOOKUP("Src_CIDR_Le_16",'Scoring_Config'!$A:$A,'Scoring_Config'!$D:$D,"Yes")="Yes",_xlfn.XLOOKUP("Src_CIDR_Le_16",'Scoring_Config'!$A:$A,'Scoring_Config'!$C:$C,25),0),0)+IF(LEFT(AE336,4)="True",IF(_xlfn.XLOOKUP("Src_CIDR_17_22",'Scoring_Config'!$A:$A,'Scoring_Config'!$D:$D,"Yes")="Yes",_xlfn.XLOOKUP("Src_CIDR_17_22",'Scoring_Config'!$A:$A,'Scoring_Config'!$C:$C,15),0),0)+IF(LEFT(AF336,4)="True",IF(_xlfn.XLOOKUP("Dst_IsAny",'Scoring_Config'!$A:$A,'Scoring_Config'!$D:$D,"Yes")="Yes",_xlfn.XLOOKUP("Dst_IsAny",'Scoring_Config'!$A:$A,'Scoring_Config'!$C:$C,25),0),0)+IF(LEFT(AG336,4)="True",IF(_xlfn.XLOOKUP("Dst_CIDR_Le_16",'Scoring_Config'!$A:$A,'Scoring_Config'!$D:$D,"Yes")="Yes",_xlfn.XLOOKUP("Dst_CIDR_Le_16",'Scoring_Config'!$A:$A,'Scoring_Config'!$C:$C,25),0),0)+IF(LEFT(AH336,4)="True",IF(_xlfn.XLOOKUP("Dst_CIDR_17_22",'Scoring_Config'!$A:$A,'Scoring_Config'!$D:$D,"Yes")="Yes",_xlfn.XLOOKUP("Dst_CIDR_17_22",'Scoring_Config'!$A:$A,'Scoring_Config'!$C:$C,15),0),0)+IF(LEFT(AI336,4)="True",IF(_xlfn.XLOOKUP("SrcZone_IsAny",'Scoring_Config'!$A:$A,'Scoring_Config'!$D:$D,"Yes")="Yes",_xlfn.XLOOKUP("SrcZone_IsAny",'Scoring_Config'!$A:$A,'Scoring_Config'!$C:$C,5),0),0)+IF(LEFT(AJ336,4)="True",IF(_xlfn.XLOOKUP("DstZone_IsAny",'Scoring_Config'!$A:$A,'Scoring_Config'!$D:$D,"Yes")="Yes",_xlfn.XLOOKUP("DstZone_IsAny",'Scoring_Config'!$A:$A,'Scoring_Config'!$C:$C,5),0),0)+IF(LEFT(AK336,4)="True",IF(_xlfn.XLOOKUP("Service_Any_OR_RangeGt1000",'Scoring_Config'!$A:$A,'Scoring_Config'!$D:$D,"Yes")="Yes",_xlfn.XLOOKUP("Service_Any_OR_RangeGt1000",'Scoring_Config'!$A:$A,'Scoring_Config'!$C:$C,25),0),0)+IF(LEFT(AL336,4)="True",IF(_xlfn.XLOOKUP("App_Any_OR_RangeGt1000",'Scoring_Config'!$A:$A,'Scoring_Config'!$D:$D,"Yes")="Yes",_xlfn.XLOOKUP("App_Any_OR_RangeGt1000",'Scoring_Config'!$A:$A,'Scoring_Config'!$C:$C,25),0),0)+IF(LEFT(AM336,4)="True",IF(_xlfn.XLOOKUP("Service_Insecure_Match",'Scoring_Config'!$A:$A,'Scoring_Config'!$D:$D,"Yes")="Yes",_xlfn.XLOOKUP("Service_Insecure_Match",'Scoring_Config'!$A:$A,'Scoring_Config'!$C:$C,20),0),0)+IF(LEFT(AN336,4)="True",IF(_xlfn.XLOOKUP("Risky_Inbound",'Scoring_Config'!$A:$A,'Scoring_Config'!$D:$D,"Yes")="Yes",_xlfn.XLOOKUP("Risky_Inbound",'Scoring_Config'!$A:$A,'Scoring_Config'!$C:$C,20),0),0)+IF(LEFT(AO336,4)="True",IF(_xlfn.XLOOKUP("Risky_Outbound",'Scoring_Config'!$A:$A,'Scoring_Config'!$D:$D,"Yes")="Yes",_xlfn.XLOOKUP("Risky_Outbound",'Scoring_Config'!$A:$A,'Scoring_Config'!$C:$C,10),0),0)+IF(LEFT(AW336,4)="True",IF(_xlfn.XLOOKUP("Migrate_Insecure",'Scoring_Config'!$A:$A,'Scoring_Config'!$D:$D,"Yes")="Yes",_xlfn.XLOOKUP("Migrate_Insecure",'Scoring_Config'!$A:$A,'Scoring_Config'!$C:$C,15),0),0)+IF(LEFT(AY336,4)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336,FIND(",",AP336)+1,100)),0)+IF(LEFT(AQ336,4)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336,FIND(",",AR336)+1,100)),0)+IF(_xlfn.XLOOKUP("Profile_Scoring",'Scoring_Config'!$A:$A,'Scoring_Config'!$D:$D,"Yes")="Yes",VALUE(MID(AS336,FIND(",",AS336)+1,100)),0)+IF(_xlfn.XLOOKUP("Options_Scoring",'Scoring_Config'!$A:$A,'Scoring_Config'!$D:$D,"Yes")="Yes",VALUE(MID(AT336,FIND(",",AT336)+1,100)),0)))</f>
        <v>0</v>
      </c>
    </row>
    <row r="337" spans="1:52">
      <c r="A337" s="3" t="s">
        <v>54</v>
      </c>
      <c r="B337" s="3" t="s">
        <v>84</v>
      </c>
      <c r="C337" s="3" t="s">
        <v>331</v>
      </c>
      <c r="D337" s="3"/>
      <c r="E337" s="3" t="s">
        <v>359</v>
      </c>
      <c r="F337" s="3" t="s">
        <v>362</v>
      </c>
      <c r="G337" s="3" t="s">
        <v>365</v>
      </c>
      <c r="H337" s="3" t="s">
        <v>365</v>
      </c>
      <c r="I337" s="3" t="s">
        <v>365</v>
      </c>
      <c r="J337" s="3" t="s">
        <v>360</v>
      </c>
      <c r="K337" s="3" t="s">
        <v>365</v>
      </c>
      <c r="L337" s="3" t="s">
        <v>365</v>
      </c>
      <c r="M337" s="3" t="s">
        <v>774</v>
      </c>
      <c r="N337" s="3" t="s">
        <v>795</v>
      </c>
      <c r="O337" s="4" t="s">
        <v>816</v>
      </c>
      <c r="P337" s="3" t="s">
        <v>877</v>
      </c>
      <c r="Q337" s="3" t="s">
        <v>905</v>
      </c>
      <c r="R337" s="3" t="s">
        <v>910</v>
      </c>
      <c r="S337" s="3" t="s">
        <v>913</v>
      </c>
      <c r="T337" s="3"/>
      <c r="U337" s="3" t="s">
        <v>1286</v>
      </c>
      <c r="V337" s="3" t="s">
        <v>772</v>
      </c>
      <c r="W337" s="3" t="s">
        <v>1561</v>
      </c>
      <c r="X337" s="3" t="s">
        <v>1941</v>
      </c>
      <c r="Y337" s="3" t="s">
        <v>2410</v>
      </c>
      <c r="Z337" s="3"/>
      <c r="AA337" s="3" t="s">
        <v>1133</v>
      </c>
      <c r="AB337" s="3"/>
      <c r="AC337" s="5" cm="1">
        <f t="array" ref="AC337">IF(TRUE,"True," &amp; IF(_xlfn.XLOOKUP("Src_IsAny",'Scoring_Config'!$A:$A,'Scoring_Config'!$D:$D,"Yes")="Yes",_xlfn.XLOOKUP("Src_IsAny",'Scoring_Config'!$A:$A,'Scoring_Config'!$C:$C,25),0),"False,0")</f>
        <v>0</v>
      </c>
      <c r="AD337" s="4" cm="1">
        <f t="array" ref="AD337">IF(FALSE,"True," &amp; IF(_xlfn.XLOOKUP("Src_CIDR_Le_16",'Scoring_Config'!$A:$A,'Scoring_Config'!$D:$D,"Yes")="Yes",_xlfn.XLOOKUP("Src_CIDR_Le_16",'Scoring_Config'!$A:$A,'Scoring_Config'!$C:$C,25),0),"False,0")</f>
        <v>0</v>
      </c>
      <c r="AE337" s="4" cm="1">
        <f t="array" ref="AE337">IF(FALSE,"True," &amp; IF(_xlfn.XLOOKUP("Src_CIDR_17_22",'Scoring_Config'!$A:$A,'Scoring_Config'!$D:$D,"Yes")="Yes",_xlfn.XLOOKUP("Src_CIDR_17_22",'Scoring_Config'!$A:$A,'Scoring_Config'!$C:$C,15),0),"False,0")</f>
        <v>0</v>
      </c>
      <c r="AF337" s="5" cm="1">
        <f t="array" ref="AF337">IF(TRUE,"True," &amp; IF(_xlfn.XLOOKUP("Dst_IsAny",'Scoring_Config'!$A:$A,'Scoring_Config'!$D:$D,"Yes")="Yes",_xlfn.XLOOKUP("Dst_IsAny",'Scoring_Config'!$A:$A,'Scoring_Config'!$C:$C,25),0),"False,0")</f>
        <v>0</v>
      </c>
      <c r="AG337" s="4" cm="1">
        <f t="array" ref="AG337">IF(FALSE,"True," &amp; IF(_xlfn.XLOOKUP("Dst_CIDR_Le_16",'Scoring_Config'!$A:$A,'Scoring_Config'!$D:$D,"Yes")="Yes",_xlfn.XLOOKUP("Dst_CIDR_Le_16",'Scoring_Config'!$A:$A,'Scoring_Config'!$C:$C,25),0),"False,0")</f>
        <v>0</v>
      </c>
      <c r="AH337" s="4" cm="1">
        <f t="array" ref="AH337">IF(FALSE,"True," &amp; IF(_xlfn.XLOOKUP("Dst_CIDR_17_22",'Scoring_Config'!$A:$A,'Scoring_Config'!$D:$D,"Yes")="Yes",_xlfn.XLOOKUP("Dst_CIDR_17_22",'Scoring_Config'!$A:$A,'Scoring_Config'!$C:$C,15),0),"False,0")</f>
        <v>0</v>
      </c>
      <c r="AI337" s="4" cm="1">
        <f t="array" ref="AI337">IF(FALSE,"True," &amp; IF(_xlfn.XLOOKUP("SrcZone_IsAny",'Scoring_Config'!$A:$A,'Scoring_Config'!$D:$D,"Yes")="Yes",_xlfn.XLOOKUP("SrcZone_IsAny",'Scoring_Config'!$A:$A,'Scoring_Config'!$C:$C,5),0),"False,0")</f>
        <v>0</v>
      </c>
      <c r="AJ337" s="4" cm="1">
        <f t="array" ref="AJ337">IF(FALSE,"True," &amp; IF(_xlfn.XLOOKUP("DstZone_IsAny",'Scoring_Config'!$A:$A,'Scoring_Config'!$D:$D,"Yes")="Yes",_xlfn.XLOOKUP("DstZone_IsAny",'Scoring_Config'!$A:$A,'Scoring_Config'!$C:$C,5),0),"False,0")</f>
        <v>0</v>
      </c>
      <c r="AK337" s="4" cm="1">
        <f t="array" ref="AK33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7" s="4" cm="1">
        <f t="array" ref="AL337">IF(FALSE,"True," &amp; IF(_xlfn.XLOOKUP("App_Any_OR_RangeGt1000",'Scoring_Config'!$A:$A,'Scoring_Config'!$D:$D,"Yes")="Yes",_xlfn.XLOOKUP("App_Any_OR_RangeGt1000",'Scoring_Config'!$A:$A,'Scoring_Config'!$C:$C,25),0),"False,0")</f>
        <v>0</v>
      </c>
      <c r="AM337" s="5" cm="1">
        <f t="array" ref="AM337">IF(TRUE,"True," &amp; IF(_xlfn.XLOOKUP("Service_Insecure_Match",'Scoring_Config'!$A:$A,'Scoring_Config'!$D:$D,"Yes")="Yes",_xlfn.XLOOKUP("Service_Insecure_Match",'Scoring_Config'!$A:$A,'Scoring_Config'!$C:$C,20),0),"False,0")</f>
        <v>0</v>
      </c>
      <c r="AN337" s="4" cm="1">
        <f t="array" ref="AN337">IF(FALSE,"True," &amp; IF(_xlfn.XLOOKUP("Risky_Inbound",'Scoring_Config'!$A:$A,'Scoring_Config'!$D:$D,"Yes")="Yes",_xlfn.XLOOKUP("Risky_Inbound",'Scoring_Config'!$A:$A,'Scoring_Config'!$C:$C,20),0),"False,0")</f>
        <v>0</v>
      </c>
      <c r="AO337" s="4" cm="1">
        <f t="array" ref="AO337">IF(FALSE,"True," &amp; IF(_xlfn.XLOOKUP("Risky_Outbound",'Scoring_Config'!$A:$A,'Scoring_Config'!$D:$D,"Yes")="Yes",_xlfn.XLOOKUP("Risky_Outbound",'Scoring_Config'!$A:$A,'Scoring_Config'!$C:$C,10),0),"False,0")</f>
        <v>0</v>
      </c>
      <c r="AP337" s="5" t="s">
        <v>2595</v>
      </c>
      <c r="AQ337" s="5" cm="1">
        <f t="array" ref="AQ33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7" s="4" t="s">
        <v>2592</v>
      </c>
      <c r="AS337" s="4" t="s">
        <v>2592</v>
      </c>
      <c r="AT337" s="4" t="s">
        <v>2592</v>
      </c>
      <c r="AU337" s="4" cm="1">
        <f t="array" ref="AU337">IF(FALSE,"True," &amp; IF(_xlfn.XLOOKUP("Action_IsDenyOrDrop",'Scoring_Config'!$A:$A,'Scoring_Config'!$D:$D,"Yes")="Yes",_xlfn.XLOOKUP("Action_IsDenyOrDrop",'Scoring_Config'!$A:$A,'Scoring_Config'!$C:$C,0),0),"False,0")</f>
        <v>0</v>
      </c>
      <c r="AV337" s="4"/>
      <c r="AW337" s="4" cm="1">
        <f t="array" ref="AW337">IF(FALSE,"True," &amp; IF(_xlfn.XLOOKUP("Migrate_Insecure",'Scoring_Config'!$A:$A,'Scoring_Config'!$D:$D,"Yes")="Yes",_xlfn.XLOOKUP("Migrate_Insecure",'Scoring_Config'!$A:$A,'Scoring_Config'!$C:$C,15),0),"False,0")</f>
        <v>0</v>
      </c>
      <c r="AX337" s="4"/>
      <c r="AY337" s="4" cm="1">
        <f t="array" ref="AY337">IF(FALSE,"True," &amp; IF(_xlfn.XLOOKUP("Migrate_Other_Ports",'Scoring_Config'!$A:$A,'Scoring_Config'!$D:$D,"Yes")="Yes",_xlfn.XLOOKUP("Migrate_Other_Ports",'Scoring_Config'!$A:$A,'Scoring_Config'!$C:$C,5),0),"False,0")</f>
        <v>0</v>
      </c>
      <c r="AZ337" s="4" cm="1">
        <f t="array" ref="AZ337">IF(LEFT(AU337,4)="True",0,(IF(LEFT(AC337,4)="True",IF(_xlfn.XLOOKUP("Src_IsAny",'Scoring_Config'!$A:$A,'Scoring_Config'!$D:$D,"Yes")="Yes",_xlfn.XLOOKUP("Src_IsAny",'Scoring_Config'!$A:$A,'Scoring_Config'!$C:$C,25),0),0)+IF(LEFT(AD337,4)="True",IF(_xlfn.XLOOKUP("Src_CIDR_Le_16",'Scoring_Config'!$A:$A,'Scoring_Config'!$D:$D,"Yes")="Yes",_xlfn.XLOOKUP("Src_CIDR_Le_16",'Scoring_Config'!$A:$A,'Scoring_Config'!$C:$C,25),0),0)+IF(LEFT(AE337,4)="True",IF(_xlfn.XLOOKUP("Src_CIDR_17_22",'Scoring_Config'!$A:$A,'Scoring_Config'!$D:$D,"Yes")="Yes",_xlfn.XLOOKUP("Src_CIDR_17_22",'Scoring_Config'!$A:$A,'Scoring_Config'!$C:$C,15),0),0)+IF(LEFT(AF337,4)="True",IF(_xlfn.XLOOKUP("Dst_IsAny",'Scoring_Config'!$A:$A,'Scoring_Config'!$D:$D,"Yes")="Yes",_xlfn.XLOOKUP("Dst_IsAny",'Scoring_Config'!$A:$A,'Scoring_Config'!$C:$C,25),0),0)+IF(LEFT(AG337,4)="True",IF(_xlfn.XLOOKUP("Dst_CIDR_Le_16",'Scoring_Config'!$A:$A,'Scoring_Config'!$D:$D,"Yes")="Yes",_xlfn.XLOOKUP("Dst_CIDR_Le_16",'Scoring_Config'!$A:$A,'Scoring_Config'!$C:$C,25),0),0)+IF(LEFT(AH337,4)="True",IF(_xlfn.XLOOKUP("Dst_CIDR_17_22",'Scoring_Config'!$A:$A,'Scoring_Config'!$D:$D,"Yes")="Yes",_xlfn.XLOOKUP("Dst_CIDR_17_22",'Scoring_Config'!$A:$A,'Scoring_Config'!$C:$C,15),0),0)+IF(LEFT(AI337,4)="True",IF(_xlfn.XLOOKUP("SrcZone_IsAny",'Scoring_Config'!$A:$A,'Scoring_Config'!$D:$D,"Yes")="Yes",_xlfn.XLOOKUP("SrcZone_IsAny",'Scoring_Config'!$A:$A,'Scoring_Config'!$C:$C,5),0),0)+IF(LEFT(AJ337,4)="True",IF(_xlfn.XLOOKUP("DstZone_IsAny",'Scoring_Config'!$A:$A,'Scoring_Config'!$D:$D,"Yes")="Yes",_xlfn.XLOOKUP("DstZone_IsAny",'Scoring_Config'!$A:$A,'Scoring_Config'!$C:$C,5),0),0)+IF(LEFT(AK337,4)="True",IF(_xlfn.XLOOKUP("Service_Any_OR_RangeGt1000",'Scoring_Config'!$A:$A,'Scoring_Config'!$D:$D,"Yes")="Yes",_xlfn.XLOOKUP("Service_Any_OR_RangeGt1000",'Scoring_Config'!$A:$A,'Scoring_Config'!$C:$C,25),0),0)+IF(LEFT(AL337,4)="True",IF(_xlfn.XLOOKUP("App_Any_OR_RangeGt1000",'Scoring_Config'!$A:$A,'Scoring_Config'!$D:$D,"Yes")="Yes",_xlfn.XLOOKUP("App_Any_OR_RangeGt1000",'Scoring_Config'!$A:$A,'Scoring_Config'!$C:$C,25),0),0)+IF(LEFT(AM337,4)="True",IF(_xlfn.XLOOKUP("Service_Insecure_Match",'Scoring_Config'!$A:$A,'Scoring_Config'!$D:$D,"Yes")="Yes",_xlfn.XLOOKUP("Service_Insecure_Match",'Scoring_Config'!$A:$A,'Scoring_Config'!$C:$C,20),0),0)+IF(LEFT(AN337,4)="True",IF(_xlfn.XLOOKUP("Risky_Inbound",'Scoring_Config'!$A:$A,'Scoring_Config'!$D:$D,"Yes")="Yes",_xlfn.XLOOKUP("Risky_Inbound",'Scoring_Config'!$A:$A,'Scoring_Config'!$C:$C,20),0),0)+IF(LEFT(AO337,4)="True",IF(_xlfn.XLOOKUP("Risky_Outbound",'Scoring_Config'!$A:$A,'Scoring_Config'!$D:$D,"Yes")="Yes",_xlfn.XLOOKUP("Risky_Outbound",'Scoring_Config'!$A:$A,'Scoring_Config'!$C:$C,10),0),0)+IF(LEFT(AW337,4)="True",IF(_xlfn.XLOOKUP("Migrate_Insecure",'Scoring_Config'!$A:$A,'Scoring_Config'!$D:$D,"Yes")="Yes",_xlfn.XLOOKUP("Migrate_Insecure",'Scoring_Config'!$A:$A,'Scoring_Config'!$C:$C,15),0),0)+IF(LEFT(AY337,4)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337,FIND(",",AP337)+1,100)),0)+IF(LEFT(AQ337,4)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337,FIND(",",AR337)+1,100)),0)+IF(_xlfn.XLOOKUP("Profile_Scoring",'Scoring_Config'!$A:$A,'Scoring_Config'!$D:$D,"Yes")="Yes",VALUE(MID(AS337,FIND(",",AS337)+1,100)),0)+IF(_xlfn.XLOOKUP("Options_Scoring",'Scoring_Config'!$A:$A,'Scoring_Config'!$D:$D,"Yes")="Yes",VALUE(MID(AT337,FIND(",",AT337)+1,100)),0)))</f>
        <v>0</v>
      </c>
    </row>
    <row r="338" spans="1:52">
      <c r="A338" s="3" t="s">
        <v>54</v>
      </c>
      <c r="B338" s="3" t="s">
        <v>273</v>
      </c>
      <c r="C338" s="3" t="s">
        <v>331</v>
      </c>
      <c r="D338" s="3" t="s">
        <v>348</v>
      </c>
      <c r="E338" s="3" t="s">
        <v>359</v>
      </c>
      <c r="F338" s="3" t="s">
        <v>361</v>
      </c>
      <c r="G338" s="3" t="s">
        <v>365</v>
      </c>
      <c r="H338" s="3" t="s">
        <v>365</v>
      </c>
      <c r="I338" s="3" t="s">
        <v>625</v>
      </c>
      <c r="J338" s="3" t="s">
        <v>364</v>
      </c>
      <c r="K338" s="3" t="s">
        <v>489</v>
      </c>
      <c r="L338" s="3" t="s">
        <v>597</v>
      </c>
      <c r="M338" s="3" t="s">
        <v>365</v>
      </c>
      <c r="N338" s="3" t="s">
        <v>365</v>
      </c>
      <c r="O338" s="4" t="s">
        <v>853</v>
      </c>
      <c r="P338" s="3" t="s">
        <v>865</v>
      </c>
      <c r="Q338" s="3" t="s">
        <v>904</v>
      </c>
      <c r="R338" s="3" t="s">
        <v>908</v>
      </c>
      <c r="S338" s="3" t="s">
        <v>912</v>
      </c>
      <c r="T338" s="3"/>
      <c r="U338" s="3" t="s">
        <v>1268</v>
      </c>
      <c r="V338" s="3" t="s">
        <v>1387</v>
      </c>
      <c r="W338" s="3" t="s">
        <v>1426</v>
      </c>
      <c r="X338" s="3" t="s">
        <v>1942</v>
      </c>
      <c r="Y338" s="3" t="s">
        <v>2411</v>
      </c>
      <c r="Z338" s="3"/>
      <c r="AA338" s="3" t="s">
        <v>934</v>
      </c>
      <c r="AB338" s="3"/>
      <c r="AC338" s="5" cm="1">
        <f t="array" ref="AC338">IF(TRUE,"True," &amp; IF(_xlfn.XLOOKUP("Src_IsAny",'Scoring_Config'!$A:$A,'Scoring_Config'!$D:$D,"Yes")="Yes",_xlfn.XLOOKUP("Src_IsAny",'Scoring_Config'!$A:$A,'Scoring_Config'!$C:$C,25),0),"False,0")</f>
        <v>0</v>
      </c>
      <c r="AD338" s="4" cm="1">
        <f t="array" ref="AD338">IF(FALSE,"True," &amp; IF(_xlfn.XLOOKUP("Src_CIDR_Le_16",'Scoring_Config'!$A:$A,'Scoring_Config'!$D:$D,"Yes")="Yes",_xlfn.XLOOKUP("Src_CIDR_Le_16",'Scoring_Config'!$A:$A,'Scoring_Config'!$C:$C,25),0),"False,0")</f>
        <v>0</v>
      </c>
      <c r="AE338" s="4" cm="1">
        <f t="array" ref="AE338">IF(FALSE,"True," &amp; IF(_xlfn.XLOOKUP("Src_CIDR_17_22",'Scoring_Config'!$A:$A,'Scoring_Config'!$D:$D,"Yes")="Yes",_xlfn.XLOOKUP("Src_CIDR_17_22",'Scoring_Config'!$A:$A,'Scoring_Config'!$C:$C,15),0),"False,0")</f>
        <v>0</v>
      </c>
      <c r="AF338" s="4" cm="1">
        <f t="array" ref="AF338">IF(FALSE,"True," &amp; IF(_xlfn.XLOOKUP("Dst_IsAny",'Scoring_Config'!$A:$A,'Scoring_Config'!$D:$D,"Yes")="Yes",_xlfn.XLOOKUP("Dst_IsAny",'Scoring_Config'!$A:$A,'Scoring_Config'!$C:$C,25),0),"False,0")</f>
        <v>0</v>
      </c>
      <c r="AG338" s="5" cm="1">
        <f t="array" ref="AG338">IF(TRUE,"True," &amp; IF(_xlfn.XLOOKUP("Dst_CIDR_Le_16",'Scoring_Config'!$A:$A,'Scoring_Config'!$D:$D,"Yes")="Yes",_xlfn.XLOOKUP("Dst_CIDR_Le_16",'Scoring_Config'!$A:$A,'Scoring_Config'!$C:$C,25),0),"False,0")</f>
        <v>0</v>
      </c>
      <c r="AH338" s="4" cm="1">
        <f t="array" ref="AH338">IF(FALSE,"True," &amp; IF(_xlfn.XLOOKUP("Dst_CIDR_17_22",'Scoring_Config'!$A:$A,'Scoring_Config'!$D:$D,"Yes")="Yes",_xlfn.XLOOKUP("Dst_CIDR_17_22",'Scoring_Config'!$A:$A,'Scoring_Config'!$C:$C,15),0),"False,0")</f>
        <v>0</v>
      </c>
      <c r="AI338" s="4" cm="1">
        <f t="array" ref="AI338">IF(FALSE,"True," &amp; IF(_xlfn.XLOOKUP("SrcZone_IsAny",'Scoring_Config'!$A:$A,'Scoring_Config'!$D:$D,"Yes")="Yes",_xlfn.XLOOKUP("SrcZone_IsAny",'Scoring_Config'!$A:$A,'Scoring_Config'!$C:$C,5),0),"False,0")</f>
        <v>0</v>
      </c>
      <c r="AJ338" s="4" cm="1">
        <f t="array" ref="AJ338">IF(FALSE,"True," &amp; IF(_xlfn.XLOOKUP("DstZone_IsAny",'Scoring_Config'!$A:$A,'Scoring_Config'!$D:$D,"Yes")="Yes",_xlfn.XLOOKUP("DstZone_IsAny",'Scoring_Config'!$A:$A,'Scoring_Config'!$C:$C,5),0),"False,0")</f>
        <v>0</v>
      </c>
      <c r="AK338" s="4" cm="1">
        <f t="array" ref="AK33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8" s="5" cm="1">
        <f t="array" ref="AL338">IF(TRUE,"True," &amp; IF(_xlfn.XLOOKUP("App_Any_OR_RangeGt1000",'Scoring_Config'!$A:$A,'Scoring_Config'!$D:$D,"Yes")="Yes",_xlfn.XLOOKUP("App_Any_OR_RangeGt1000",'Scoring_Config'!$A:$A,'Scoring_Config'!$C:$C,25),0),"False,0")</f>
        <v>0</v>
      </c>
      <c r="AM338" s="5" cm="1">
        <f t="array" ref="AM338">IF(TRUE,"True," &amp; IF(_xlfn.XLOOKUP("Service_Insecure_Match",'Scoring_Config'!$A:$A,'Scoring_Config'!$D:$D,"Yes")="Yes",_xlfn.XLOOKUP("Service_Insecure_Match",'Scoring_Config'!$A:$A,'Scoring_Config'!$C:$C,20),0),"False,0")</f>
        <v>0</v>
      </c>
      <c r="AN338" s="4" cm="1">
        <f t="array" ref="AN338">IF(FALSE,"True," &amp; IF(_xlfn.XLOOKUP("Risky_Inbound",'Scoring_Config'!$A:$A,'Scoring_Config'!$D:$D,"Yes")="Yes",_xlfn.XLOOKUP("Risky_Inbound",'Scoring_Config'!$A:$A,'Scoring_Config'!$C:$C,20),0),"False,0")</f>
        <v>0</v>
      </c>
      <c r="AO338" s="4" cm="1">
        <f t="array" ref="AO338">IF(FALSE,"True," &amp; IF(_xlfn.XLOOKUP("Risky_Outbound",'Scoring_Config'!$A:$A,'Scoring_Config'!$D:$D,"Yes")="Yes",_xlfn.XLOOKUP("Risky_Outbound",'Scoring_Config'!$A:$A,'Scoring_Config'!$C:$C,10),0),"False,0")</f>
        <v>0</v>
      </c>
      <c r="AP338" s="5" t="s">
        <v>2595</v>
      </c>
      <c r="AQ338" s="5" cm="1">
        <f t="array" ref="AQ33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8" s="5" t="s">
        <v>2598</v>
      </c>
      <c r="AS338" s="4" t="s">
        <v>2592</v>
      </c>
      <c r="AT338" s="4" t="s">
        <v>2592</v>
      </c>
      <c r="AU338" s="5" cm="1">
        <f t="array" ref="AU338">IF(TRUE,"True," &amp; IF(_xlfn.XLOOKUP("Action_IsDenyOrDrop",'Scoring_Config'!$A:$A,'Scoring_Config'!$D:$D,"Yes")="Yes",_xlfn.XLOOKUP("Action_IsDenyOrDrop",'Scoring_Config'!$A:$A,'Scoring_Config'!$C:$C,0),0),"False,0")</f>
        <v>0</v>
      </c>
      <c r="AV338" s="4"/>
      <c r="AW338" s="4" cm="1">
        <f t="array" ref="AW338">IF(FALSE,"True," &amp; IF(_xlfn.XLOOKUP("Migrate_Insecure",'Scoring_Config'!$A:$A,'Scoring_Config'!$D:$D,"Yes")="Yes",_xlfn.XLOOKUP("Migrate_Insecure",'Scoring_Config'!$A:$A,'Scoring_Config'!$C:$C,15),0),"False,0")</f>
        <v>0</v>
      </c>
      <c r="AX338" s="4"/>
      <c r="AY338" s="4" cm="1">
        <f t="array" ref="AY338">IF(FALSE,"True," &amp; IF(_xlfn.XLOOKUP("Migrate_Other_Ports",'Scoring_Config'!$A:$A,'Scoring_Config'!$D:$D,"Yes")="Yes",_xlfn.XLOOKUP("Migrate_Other_Ports",'Scoring_Config'!$A:$A,'Scoring_Config'!$C:$C,5),0),"False,0")</f>
        <v>0</v>
      </c>
      <c r="AZ338" s="4" cm="1">
        <f t="array" ref="AZ338">IF(LEFT(AU338,4)="True",0,(IF(LEFT(AC338,4)="True",IF(_xlfn.XLOOKUP("Src_IsAny",'Scoring_Config'!$A:$A,'Scoring_Config'!$D:$D,"Yes")="Yes",_xlfn.XLOOKUP("Src_IsAny",'Scoring_Config'!$A:$A,'Scoring_Config'!$C:$C,25),0),0)+IF(LEFT(AD338,4)="True",IF(_xlfn.XLOOKUP("Src_CIDR_Le_16",'Scoring_Config'!$A:$A,'Scoring_Config'!$D:$D,"Yes")="Yes",_xlfn.XLOOKUP("Src_CIDR_Le_16",'Scoring_Config'!$A:$A,'Scoring_Config'!$C:$C,25),0),0)+IF(LEFT(AE338,4)="True",IF(_xlfn.XLOOKUP("Src_CIDR_17_22",'Scoring_Config'!$A:$A,'Scoring_Config'!$D:$D,"Yes")="Yes",_xlfn.XLOOKUP("Src_CIDR_17_22",'Scoring_Config'!$A:$A,'Scoring_Config'!$C:$C,15),0),0)+IF(LEFT(AF338,4)="True",IF(_xlfn.XLOOKUP("Dst_IsAny",'Scoring_Config'!$A:$A,'Scoring_Config'!$D:$D,"Yes")="Yes",_xlfn.XLOOKUP("Dst_IsAny",'Scoring_Config'!$A:$A,'Scoring_Config'!$C:$C,25),0),0)+IF(LEFT(AG338,4)="True",IF(_xlfn.XLOOKUP("Dst_CIDR_Le_16",'Scoring_Config'!$A:$A,'Scoring_Config'!$D:$D,"Yes")="Yes",_xlfn.XLOOKUP("Dst_CIDR_Le_16",'Scoring_Config'!$A:$A,'Scoring_Config'!$C:$C,25),0),0)+IF(LEFT(AH338,4)="True",IF(_xlfn.XLOOKUP("Dst_CIDR_17_22",'Scoring_Config'!$A:$A,'Scoring_Config'!$D:$D,"Yes")="Yes",_xlfn.XLOOKUP("Dst_CIDR_17_22",'Scoring_Config'!$A:$A,'Scoring_Config'!$C:$C,15),0),0)+IF(LEFT(AI338,4)="True",IF(_xlfn.XLOOKUP("SrcZone_IsAny",'Scoring_Config'!$A:$A,'Scoring_Config'!$D:$D,"Yes")="Yes",_xlfn.XLOOKUP("SrcZone_IsAny",'Scoring_Config'!$A:$A,'Scoring_Config'!$C:$C,5),0),0)+IF(LEFT(AJ338,4)="True",IF(_xlfn.XLOOKUP("DstZone_IsAny",'Scoring_Config'!$A:$A,'Scoring_Config'!$D:$D,"Yes")="Yes",_xlfn.XLOOKUP("DstZone_IsAny",'Scoring_Config'!$A:$A,'Scoring_Config'!$C:$C,5),0),0)+IF(LEFT(AK338,4)="True",IF(_xlfn.XLOOKUP("Service_Any_OR_RangeGt1000",'Scoring_Config'!$A:$A,'Scoring_Config'!$D:$D,"Yes")="Yes",_xlfn.XLOOKUP("Service_Any_OR_RangeGt1000",'Scoring_Config'!$A:$A,'Scoring_Config'!$C:$C,25),0),0)+IF(LEFT(AL338,4)="True",IF(_xlfn.XLOOKUP("App_Any_OR_RangeGt1000",'Scoring_Config'!$A:$A,'Scoring_Config'!$D:$D,"Yes")="Yes",_xlfn.XLOOKUP("App_Any_OR_RangeGt1000",'Scoring_Config'!$A:$A,'Scoring_Config'!$C:$C,25),0),0)+IF(LEFT(AM338,4)="True",IF(_xlfn.XLOOKUP("Service_Insecure_Match",'Scoring_Config'!$A:$A,'Scoring_Config'!$D:$D,"Yes")="Yes",_xlfn.XLOOKUP("Service_Insecure_Match",'Scoring_Config'!$A:$A,'Scoring_Config'!$C:$C,20),0),0)+IF(LEFT(AN338,4)="True",IF(_xlfn.XLOOKUP("Risky_Inbound",'Scoring_Config'!$A:$A,'Scoring_Config'!$D:$D,"Yes")="Yes",_xlfn.XLOOKUP("Risky_Inbound",'Scoring_Config'!$A:$A,'Scoring_Config'!$C:$C,20),0),0)+IF(LEFT(AO338,4)="True",IF(_xlfn.XLOOKUP("Risky_Outbound",'Scoring_Config'!$A:$A,'Scoring_Config'!$D:$D,"Yes")="Yes",_xlfn.XLOOKUP("Risky_Outbound",'Scoring_Config'!$A:$A,'Scoring_Config'!$C:$C,10),0),0)+IF(LEFT(AW338,4)="True",IF(_xlfn.XLOOKUP("Migrate_Insecure",'Scoring_Config'!$A:$A,'Scoring_Config'!$D:$D,"Yes")="Yes",_xlfn.XLOOKUP("Migrate_Insecure",'Scoring_Config'!$A:$A,'Scoring_Config'!$C:$C,15),0),0)+IF(LEFT(AY338,4)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338,FIND(",",AP338)+1,100)),0)+IF(LEFT(AQ338,4)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338,FIND(",",AR338)+1,100)),0)+IF(_xlfn.XLOOKUP("Profile_Scoring",'Scoring_Config'!$A:$A,'Scoring_Config'!$D:$D,"Yes")="Yes",VALUE(MID(AS338,FIND(",",AS338)+1,100)),0)+IF(_xlfn.XLOOKUP("Options_Scoring",'Scoring_Config'!$A:$A,'Scoring_Config'!$D:$D,"Yes")="Yes",VALUE(MID(AT338,FIND(",",AT338)+1,100)),0)))</f>
        <v>0</v>
      </c>
    </row>
    <row r="339" spans="1:52">
      <c r="A339" s="3" t="s">
        <v>54</v>
      </c>
      <c r="B339" s="3" t="s">
        <v>225</v>
      </c>
      <c r="C339" s="3" t="s">
        <v>331</v>
      </c>
      <c r="D339" s="3"/>
      <c r="E339" s="3" t="s">
        <v>359</v>
      </c>
      <c r="F339" s="3" t="s">
        <v>361</v>
      </c>
      <c r="G339" s="3" t="s">
        <v>492</v>
      </c>
      <c r="H339" s="3" t="s">
        <v>492</v>
      </c>
      <c r="I339" s="3" t="s">
        <v>625</v>
      </c>
      <c r="J339" s="3" t="s">
        <v>364</v>
      </c>
      <c r="K339" s="3" t="s">
        <v>477</v>
      </c>
      <c r="L339" s="3" t="s">
        <v>477</v>
      </c>
      <c r="M339" s="3" t="s">
        <v>779</v>
      </c>
      <c r="N339" s="3" t="s">
        <v>797</v>
      </c>
      <c r="O339" s="4" t="s">
        <v>823</v>
      </c>
      <c r="P339" s="3" t="s">
        <v>884</v>
      </c>
      <c r="Q339" s="3" t="s">
        <v>905</v>
      </c>
      <c r="R339" s="3" t="s">
        <v>908</v>
      </c>
      <c r="S339" s="3" t="s">
        <v>914</v>
      </c>
      <c r="T339" s="3"/>
      <c r="U339" s="3" t="s">
        <v>1319</v>
      </c>
      <c r="V339" s="3" t="s">
        <v>1389</v>
      </c>
      <c r="W339" s="3" t="s">
        <v>1480</v>
      </c>
      <c r="X339" s="3" t="s">
        <v>1943</v>
      </c>
      <c r="Y339" s="3" t="s">
        <v>2412</v>
      </c>
      <c r="Z339" s="3"/>
      <c r="AA339" s="3" t="s">
        <v>919</v>
      </c>
      <c r="AB339" s="3"/>
      <c r="AC339" s="4" cm="1">
        <f t="array" ref="AC339">IF(FALSE,"True," &amp; IF(_xlfn.XLOOKUP("Src_IsAny",'Scoring_Config'!$A:$A,'Scoring_Config'!$D:$D,"Yes")="Yes",_xlfn.XLOOKUP("Src_IsAny",'Scoring_Config'!$A:$A,'Scoring_Config'!$C:$C,25),0),"False,0")</f>
        <v>0</v>
      </c>
      <c r="AD339" s="4" cm="1">
        <f t="array" ref="AD339">IF(FALSE,"True," &amp; IF(_xlfn.XLOOKUP("Src_CIDR_Le_16",'Scoring_Config'!$A:$A,'Scoring_Config'!$D:$D,"Yes")="Yes",_xlfn.XLOOKUP("Src_CIDR_Le_16",'Scoring_Config'!$A:$A,'Scoring_Config'!$C:$C,25),0),"False,0")</f>
        <v>0</v>
      </c>
      <c r="AE339" s="4" cm="1">
        <f t="array" ref="AE339">IF(FALSE,"True," &amp; IF(_xlfn.XLOOKUP("Src_CIDR_17_22",'Scoring_Config'!$A:$A,'Scoring_Config'!$D:$D,"Yes")="Yes",_xlfn.XLOOKUP("Src_CIDR_17_22",'Scoring_Config'!$A:$A,'Scoring_Config'!$C:$C,15),0),"False,0")</f>
        <v>0</v>
      </c>
      <c r="AF339" s="4" cm="1">
        <f t="array" ref="AF339">IF(FALSE,"True," &amp; IF(_xlfn.XLOOKUP("Dst_IsAny",'Scoring_Config'!$A:$A,'Scoring_Config'!$D:$D,"Yes")="Yes",_xlfn.XLOOKUP("Dst_IsAny",'Scoring_Config'!$A:$A,'Scoring_Config'!$C:$C,25),0),"False,0")</f>
        <v>0</v>
      </c>
      <c r="AG339" s="4" cm="1">
        <f t="array" ref="AG339">IF(FALSE,"True," &amp; IF(_xlfn.XLOOKUP("Dst_CIDR_Le_16",'Scoring_Config'!$A:$A,'Scoring_Config'!$D:$D,"Yes")="Yes",_xlfn.XLOOKUP("Dst_CIDR_Le_16",'Scoring_Config'!$A:$A,'Scoring_Config'!$C:$C,25),0),"False,0")</f>
        <v>0</v>
      </c>
      <c r="AH339" s="4" cm="1">
        <f t="array" ref="AH339">IF(FALSE,"True," &amp; IF(_xlfn.XLOOKUP("Dst_CIDR_17_22",'Scoring_Config'!$A:$A,'Scoring_Config'!$D:$D,"Yes")="Yes",_xlfn.XLOOKUP("Dst_CIDR_17_22",'Scoring_Config'!$A:$A,'Scoring_Config'!$C:$C,15),0),"False,0")</f>
        <v>0</v>
      </c>
      <c r="AI339" s="4" cm="1">
        <f t="array" ref="AI339">IF(FALSE,"True," &amp; IF(_xlfn.XLOOKUP("SrcZone_IsAny",'Scoring_Config'!$A:$A,'Scoring_Config'!$D:$D,"Yes")="Yes",_xlfn.XLOOKUP("SrcZone_IsAny",'Scoring_Config'!$A:$A,'Scoring_Config'!$C:$C,5),0),"False,0")</f>
        <v>0</v>
      </c>
      <c r="AJ339" s="4" cm="1">
        <f t="array" ref="AJ339">IF(FALSE,"True," &amp; IF(_xlfn.XLOOKUP("DstZone_IsAny",'Scoring_Config'!$A:$A,'Scoring_Config'!$D:$D,"Yes")="Yes",_xlfn.XLOOKUP("DstZone_IsAny",'Scoring_Config'!$A:$A,'Scoring_Config'!$C:$C,5),0),"False,0")</f>
        <v>0</v>
      </c>
      <c r="AK339" s="4" cm="1">
        <f t="array" ref="AK33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39" s="4" cm="1">
        <f t="array" ref="AL339">IF(FALSE,"True," &amp; IF(_xlfn.XLOOKUP("App_Any_OR_RangeGt1000",'Scoring_Config'!$A:$A,'Scoring_Config'!$D:$D,"Yes")="Yes",_xlfn.XLOOKUP("App_Any_OR_RangeGt1000",'Scoring_Config'!$A:$A,'Scoring_Config'!$C:$C,25),0),"False,0")</f>
        <v>0</v>
      </c>
      <c r="AM339" s="5" cm="1">
        <f t="array" ref="AM339">IF(TRUE,"True," &amp; IF(_xlfn.XLOOKUP("Service_Insecure_Match",'Scoring_Config'!$A:$A,'Scoring_Config'!$D:$D,"Yes")="Yes",_xlfn.XLOOKUP("Service_Insecure_Match",'Scoring_Config'!$A:$A,'Scoring_Config'!$C:$C,20),0),"False,0")</f>
        <v>0</v>
      </c>
      <c r="AN339" s="4" cm="1">
        <f t="array" ref="AN339">IF(FALSE,"True," &amp; IF(_xlfn.XLOOKUP("Risky_Inbound",'Scoring_Config'!$A:$A,'Scoring_Config'!$D:$D,"Yes")="Yes",_xlfn.XLOOKUP("Risky_Inbound",'Scoring_Config'!$A:$A,'Scoring_Config'!$C:$C,20),0),"False,0")</f>
        <v>0</v>
      </c>
      <c r="AO339" s="4" cm="1">
        <f t="array" ref="AO339">IF(FALSE,"True," &amp; IF(_xlfn.XLOOKUP("Risky_Outbound",'Scoring_Config'!$A:$A,'Scoring_Config'!$D:$D,"Yes")="Yes",_xlfn.XLOOKUP("Risky_Outbound",'Scoring_Config'!$A:$A,'Scoring_Config'!$C:$C,10),0),"False,0")</f>
        <v>0</v>
      </c>
      <c r="AP339" s="5" t="s">
        <v>2595</v>
      </c>
      <c r="AQ339" s="4" cm="1">
        <f t="array" ref="AQ33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39" s="5" t="s">
        <v>2598</v>
      </c>
      <c r="AS339" s="4" t="s">
        <v>2592</v>
      </c>
      <c r="AT339" s="4" t="s">
        <v>2592</v>
      </c>
      <c r="AU339" s="4" cm="1">
        <f t="array" ref="AU339">IF(FALSE,"True," &amp; IF(_xlfn.XLOOKUP("Action_IsDenyOrDrop",'Scoring_Config'!$A:$A,'Scoring_Config'!$D:$D,"Yes")="Yes",_xlfn.XLOOKUP("Action_IsDenyOrDrop",'Scoring_Config'!$A:$A,'Scoring_Config'!$C:$C,0),0),"False,0")</f>
        <v>0</v>
      </c>
      <c r="AV339" s="4"/>
      <c r="AW339" s="4" cm="1">
        <f t="array" ref="AW339">IF(FALSE,"True," &amp; IF(_xlfn.XLOOKUP("Migrate_Insecure",'Scoring_Config'!$A:$A,'Scoring_Config'!$D:$D,"Yes")="Yes",_xlfn.XLOOKUP("Migrate_Insecure",'Scoring_Config'!$A:$A,'Scoring_Config'!$C:$C,15),0),"False,0")</f>
        <v>0</v>
      </c>
      <c r="AX339" s="4"/>
      <c r="AY339" s="4" cm="1">
        <f t="array" ref="AY339">IF(FALSE,"True," &amp; IF(_xlfn.XLOOKUP("Migrate_Other_Ports",'Scoring_Config'!$A:$A,'Scoring_Config'!$D:$D,"Yes")="Yes",_xlfn.XLOOKUP("Migrate_Other_Ports",'Scoring_Config'!$A:$A,'Scoring_Config'!$C:$C,5),0),"False,0")</f>
        <v>0</v>
      </c>
      <c r="AZ339" s="4" cm="1">
        <f t="array" ref="AZ339">IF(LEFT(AU339,4)="True",0,(IF(LEFT(AC339,4)="True",IF(_xlfn.XLOOKUP("Src_IsAny",'Scoring_Config'!$A:$A,'Scoring_Config'!$D:$D,"Yes")="Yes",_xlfn.XLOOKUP("Src_IsAny",'Scoring_Config'!$A:$A,'Scoring_Config'!$C:$C,25),0),0)+IF(LEFT(AD339,4)="True",IF(_xlfn.XLOOKUP("Src_CIDR_Le_16",'Scoring_Config'!$A:$A,'Scoring_Config'!$D:$D,"Yes")="Yes",_xlfn.XLOOKUP("Src_CIDR_Le_16",'Scoring_Config'!$A:$A,'Scoring_Config'!$C:$C,25),0),0)+IF(LEFT(AE339,4)="True",IF(_xlfn.XLOOKUP("Src_CIDR_17_22",'Scoring_Config'!$A:$A,'Scoring_Config'!$D:$D,"Yes")="Yes",_xlfn.XLOOKUP("Src_CIDR_17_22",'Scoring_Config'!$A:$A,'Scoring_Config'!$C:$C,15),0),0)+IF(LEFT(AF339,4)="True",IF(_xlfn.XLOOKUP("Dst_IsAny",'Scoring_Config'!$A:$A,'Scoring_Config'!$D:$D,"Yes")="Yes",_xlfn.XLOOKUP("Dst_IsAny",'Scoring_Config'!$A:$A,'Scoring_Config'!$C:$C,25),0),0)+IF(LEFT(AG339,4)="True",IF(_xlfn.XLOOKUP("Dst_CIDR_Le_16",'Scoring_Config'!$A:$A,'Scoring_Config'!$D:$D,"Yes")="Yes",_xlfn.XLOOKUP("Dst_CIDR_Le_16",'Scoring_Config'!$A:$A,'Scoring_Config'!$C:$C,25),0),0)+IF(LEFT(AH339,4)="True",IF(_xlfn.XLOOKUP("Dst_CIDR_17_22",'Scoring_Config'!$A:$A,'Scoring_Config'!$D:$D,"Yes")="Yes",_xlfn.XLOOKUP("Dst_CIDR_17_22",'Scoring_Config'!$A:$A,'Scoring_Config'!$C:$C,15),0),0)+IF(LEFT(AI339,4)="True",IF(_xlfn.XLOOKUP("SrcZone_IsAny",'Scoring_Config'!$A:$A,'Scoring_Config'!$D:$D,"Yes")="Yes",_xlfn.XLOOKUP("SrcZone_IsAny",'Scoring_Config'!$A:$A,'Scoring_Config'!$C:$C,5),0),0)+IF(LEFT(AJ339,4)="True",IF(_xlfn.XLOOKUP("DstZone_IsAny",'Scoring_Config'!$A:$A,'Scoring_Config'!$D:$D,"Yes")="Yes",_xlfn.XLOOKUP("DstZone_IsAny",'Scoring_Config'!$A:$A,'Scoring_Config'!$C:$C,5),0),0)+IF(LEFT(AK339,4)="True",IF(_xlfn.XLOOKUP("Service_Any_OR_RangeGt1000",'Scoring_Config'!$A:$A,'Scoring_Config'!$D:$D,"Yes")="Yes",_xlfn.XLOOKUP("Service_Any_OR_RangeGt1000",'Scoring_Config'!$A:$A,'Scoring_Config'!$C:$C,25),0),0)+IF(LEFT(AL339,4)="True",IF(_xlfn.XLOOKUP("App_Any_OR_RangeGt1000",'Scoring_Config'!$A:$A,'Scoring_Config'!$D:$D,"Yes")="Yes",_xlfn.XLOOKUP("App_Any_OR_RangeGt1000",'Scoring_Config'!$A:$A,'Scoring_Config'!$C:$C,25),0),0)+IF(LEFT(AM339,4)="True",IF(_xlfn.XLOOKUP("Service_Insecure_Match",'Scoring_Config'!$A:$A,'Scoring_Config'!$D:$D,"Yes")="Yes",_xlfn.XLOOKUP("Service_Insecure_Match",'Scoring_Config'!$A:$A,'Scoring_Config'!$C:$C,20),0),0)+IF(LEFT(AN339,4)="True",IF(_xlfn.XLOOKUP("Risky_Inbound",'Scoring_Config'!$A:$A,'Scoring_Config'!$D:$D,"Yes")="Yes",_xlfn.XLOOKUP("Risky_Inbound",'Scoring_Config'!$A:$A,'Scoring_Config'!$C:$C,20),0),0)+IF(LEFT(AO339,4)="True",IF(_xlfn.XLOOKUP("Risky_Outbound",'Scoring_Config'!$A:$A,'Scoring_Config'!$D:$D,"Yes")="Yes",_xlfn.XLOOKUP("Risky_Outbound",'Scoring_Config'!$A:$A,'Scoring_Config'!$C:$C,10),0),0)+IF(LEFT(AW339,4)="True",IF(_xlfn.XLOOKUP("Migrate_Insecure",'Scoring_Config'!$A:$A,'Scoring_Config'!$D:$D,"Yes")="Yes",_xlfn.XLOOKUP("Migrate_Insecure",'Scoring_Config'!$A:$A,'Scoring_Config'!$C:$C,15),0),0)+IF(LEFT(AY339,4)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339,FIND(",",AP339)+1,100)),0)+IF(LEFT(AQ339,4)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339,FIND(",",AR339)+1,100)),0)+IF(_xlfn.XLOOKUP("Profile_Scoring",'Scoring_Config'!$A:$A,'Scoring_Config'!$D:$D,"Yes")="Yes",VALUE(MID(AS339,FIND(",",AS339)+1,100)),0)+IF(_xlfn.XLOOKUP("Options_Scoring",'Scoring_Config'!$A:$A,'Scoring_Config'!$D:$D,"Yes")="Yes",VALUE(MID(AT339,FIND(",",AT339)+1,100)),0)))</f>
        <v>0</v>
      </c>
    </row>
    <row r="340" spans="1:52">
      <c r="A340" s="3" t="s">
        <v>54</v>
      </c>
      <c r="B340" s="3" t="s">
        <v>243</v>
      </c>
      <c r="C340" s="3" t="s">
        <v>331</v>
      </c>
      <c r="D340" s="3" t="s">
        <v>335</v>
      </c>
      <c r="E340" s="3" t="s">
        <v>359</v>
      </c>
      <c r="F340" s="3" t="s">
        <v>361</v>
      </c>
      <c r="G340" s="3" t="s">
        <v>457</v>
      </c>
      <c r="H340" s="3" t="s">
        <v>585</v>
      </c>
      <c r="I340" s="3" t="s">
        <v>624</v>
      </c>
      <c r="J340" s="3" t="s">
        <v>364</v>
      </c>
      <c r="K340" s="3" t="s">
        <v>365</v>
      </c>
      <c r="L340" s="3" t="s">
        <v>365</v>
      </c>
      <c r="M340" s="3" t="s">
        <v>779</v>
      </c>
      <c r="N340" s="3" t="s">
        <v>797</v>
      </c>
      <c r="O340" s="4" t="s">
        <v>833</v>
      </c>
      <c r="P340" s="3" t="s">
        <v>894</v>
      </c>
      <c r="Q340" s="3" t="s">
        <v>905</v>
      </c>
      <c r="R340" s="3" t="s">
        <v>907</v>
      </c>
      <c r="S340" s="3" t="s">
        <v>907</v>
      </c>
      <c r="T340" s="3"/>
      <c r="U340" s="3" t="s">
        <v>1320</v>
      </c>
      <c r="V340" s="3" t="s">
        <v>770</v>
      </c>
      <c r="W340" s="3" t="s">
        <v>1562</v>
      </c>
      <c r="X340" s="3" t="s">
        <v>1944</v>
      </c>
      <c r="Y340" s="3" t="s">
        <v>2413</v>
      </c>
      <c r="Z340" s="3"/>
      <c r="AA340" s="3" t="s">
        <v>1133</v>
      </c>
      <c r="AB340" s="3"/>
      <c r="AC340" s="4" cm="1">
        <f t="array" ref="AC340">IF(FALSE,"True," &amp; IF(_xlfn.XLOOKUP("Src_IsAny",'Scoring_Config'!$A:$A,'Scoring_Config'!$D:$D,"Yes")="Yes",_xlfn.XLOOKUP("Src_IsAny",'Scoring_Config'!$A:$A,'Scoring_Config'!$C:$C,25),0),"False,0")</f>
        <v>0</v>
      </c>
      <c r="AD340" s="4" cm="1">
        <f t="array" ref="AD340">IF(FALSE,"True," &amp; IF(_xlfn.XLOOKUP("Src_CIDR_Le_16",'Scoring_Config'!$A:$A,'Scoring_Config'!$D:$D,"Yes")="Yes",_xlfn.XLOOKUP("Src_CIDR_Le_16",'Scoring_Config'!$A:$A,'Scoring_Config'!$C:$C,25),0),"False,0")</f>
        <v>0</v>
      </c>
      <c r="AE340" s="4" cm="1">
        <f t="array" ref="AE340">IF(FALSE,"True," &amp; IF(_xlfn.XLOOKUP("Src_CIDR_17_22",'Scoring_Config'!$A:$A,'Scoring_Config'!$D:$D,"Yes")="Yes",_xlfn.XLOOKUP("Src_CIDR_17_22",'Scoring_Config'!$A:$A,'Scoring_Config'!$C:$C,15),0),"False,0")</f>
        <v>0</v>
      </c>
      <c r="AF340" s="5" cm="1">
        <f t="array" ref="AF340">IF(TRUE,"True," &amp; IF(_xlfn.XLOOKUP("Dst_IsAny",'Scoring_Config'!$A:$A,'Scoring_Config'!$D:$D,"Yes")="Yes",_xlfn.XLOOKUP("Dst_IsAny",'Scoring_Config'!$A:$A,'Scoring_Config'!$C:$C,25),0),"False,0")</f>
        <v>0</v>
      </c>
      <c r="AG340" s="4" cm="1">
        <f t="array" ref="AG340">IF(FALSE,"True," &amp; IF(_xlfn.XLOOKUP("Dst_CIDR_Le_16",'Scoring_Config'!$A:$A,'Scoring_Config'!$D:$D,"Yes")="Yes",_xlfn.XLOOKUP("Dst_CIDR_Le_16",'Scoring_Config'!$A:$A,'Scoring_Config'!$C:$C,25),0),"False,0")</f>
        <v>0</v>
      </c>
      <c r="AH340" s="4" cm="1">
        <f t="array" ref="AH340">IF(FALSE,"True," &amp; IF(_xlfn.XLOOKUP("Dst_CIDR_17_22",'Scoring_Config'!$A:$A,'Scoring_Config'!$D:$D,"Yes")="Yes",_xlfn.XLOOKUP("Dst_CIDR_17_22",'Scoring_Config'!$A:$A,'Scoring_Config'!$C:$C,15),0),"False,0")</f>
        <v>0</v>
      </c>
      <c r="AI340" s="4" cm="1">
        <f t="array" ref="AI340">IF(FALSE,"True," &amp; IF(_xlfn.XLOOKUP("SrcZone_IsAny",'Scoring_Config'!$A:$A,'Scoring_Config'!$D:$D,"Yes")="Yes",_xlfn.XLOOKUP("SrcZone_IsAny",'Scoring_Config'!$A:$A,'Scoring_Config'!$C:$C,5),0),"False,0")</f>
        <v>0</v>
      </c>
      <c r="AJ340" s="4" cm="1">
        <f t="array" ref="AJ340">IF(FALSE,"True," &amp; IF(_xlfn.XLOOKUP("DstZone_IsAny",'Scoring_Config'!$A:$A,'Scoring_Config'!$D:$D,"Yes")="Yes",_xlfn.XLOOKUP("DstZone_IsAny",'Scoring_Config'!$A:$A,'Scoring_Config'!$C:$C,5),0),"False,0")</f>
        <v>0</v>
      </c>
      <c r="AK340" s="5" cm="1">
        <f t="array" ref="AK340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40" s="4" cm="1">
        <f t="array" ref="AL340">IF(FALSE,"True," &amp; IF(_xlfn.XLOOKUP("App_Any_OR_RangeGt1000",'Scoring_Config'!$A:$A,'Scoring_Config'!$D:$D,"Yes")="Yes",_xlfn.XLOOKUP("App_Any_OR_RangeGt1000",'Scoring_Config'!$A:$A,'Scoring_Config'!$C:$C,25),0),"False,0")</f>
        <v>0</v>
      </c>
      <c r="AM340" s="5" cm="1">
        <f t="array" ref="AM340">IF(TRUE,"True," &amp; IF(_xlfn.XLOOKUP("Service_Insecure_Match",'Scoring_Config'!$A:$A,'Scoring_Config'!$D:$D,"Yes")="Yes",_xlfn.XLOOKUP("Service_Insecure_Match",'Scoring_Config'!$A:$A,'Scoring_Config'!$C:$C,20),0),"False,0")</f>
        <v>0</v>
      </c>
      <c r="AN340" s="4" cm="1">
        <f t="array" ref="AN340">IF(FALSE,"True," &amp; IF(_xlfn.XLOOKUP("Risky_Inbound",'Scoring_Config'!$A:$A,'Scoring_Config'!$D:$D,"Yes")="Yes",_xlfn.XLOOKUP("Risky_Inbound",'Scoring_Config'!$A:$A,'Scoring_Config'!$C:$C,20),0),"False,0")</f>
        <v>0</v>
      </c>
      <c r="AO340" s="4" cm="1">
        <f t="array" ref="AO340">IF(FALSE,"True," &amp; IF(_xlfn.XLOOKUP("Risky_Outbound",'Scoring_Config'!$A:$A,'Scoring_Config'!$D:$D,"Yes")="Yes",_xlfn.XLOOKUP("Risky_Outbound",'Scoring_Config'!$A:$A,'Scoring_Config'!$C:$C,10),0),"False,0")</f>
        <v>0</v>
      </c>
      <c r="AP340" s="5" t="s">
        <v>2595</v>
      </c>
      <c r="AQ340" s="4" cm="1">
        <f t="array" ref="AQ34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0" s="5" t="s">
        <v>2598</v>
      </c>
      <c r="AS340" s="5" t="s">
        <v>2595</v>
      </c>
      <c r="AT340" s="5" t="s">
        <v>2595</v>
      </c>
      <c r="AU340" s="4" cm="1">
        <f t="array" ref="AU340">IF(FALSE,"True," &amp; IF(_xlfn.XLOOKUP("Action_IsDenyOrDrop",'Scoring_Config'!$A:$A,'Scoring_Config'!$D:$D,"Yes")="Yes",_xlfn.XLOOKUP("Action_IsDenyOrDrop",'Scoring_Config'!$A:$A,'Scoring_Config'!$C:$C,0),0),"False,0")</f>
        <v>0</v>
      </c>
      <c r="AV340" s="4"/>
      <c r="AW340" s="4" cm="1">
        <f t="array" ref="AW340">IF(FALSE,"True," &amp; IF(_xlfn.XLOOKUP("Migrate_Insecure",'Scoring_Config'!$A:$A,'Scoring_Config'!$D:$D,"Yes")="Yes",_xlfn.XLOOKUP("Migrate_Insecure",'Scoring_Config'!$A:$A,'Scoring_Config'!$C:$C,15),0),"False,0")</f>
        <v>0</v>
      </c>
      <c r="AX340" s="4"/>
      <c r="AY340" s="4" cm="1">
        <f t="array" ref="AY340">IF(FALSE,"True," &amp; IF(_xlfn.XLOOKUP("Migrate_Other_Ports",'Scoring_Config'!$A:$A,'Scoring_Config'!$D:$D,"Yes")="Yes",_xlfn.XLOOKUP("Migrate_Other_Ports",'Scoring_Config'!$A:$A,'Scoring_Config'!$C:$C,5),0),"False,0")</f>
        <v>0</v>
      </c>
      <c r="AZ340" s="4" cm="1">
        <f t="array" ref="AZ340">IF(LEFT(AU340,4)="True",0,(IF(LEFT(AC340,4)="True",IF(_xlfn.XLOOKUP("Src_IsAny",'Scoring_Config'!$A:$A,'Scoring_Config'!$D:$D,"Yes")="Yes",_xlfn.XLOOKUP("Src_IsAny",'Scoring_Config'!$A:$A,'Scoring_Config'!$C:$C,25),0),0)+IF(LEFT(AD340,4)="True",IF(_xlfn.XLOOKUP("Src_CIDR_Le_16",'Scoring_Config'!$A:$A,'Scoring_Config'!$D:$D,"Yes")="Yes",_xlfn.XLOOKUP("Src_CIDR_Le_16",'Scoring_Config'!$A:$A,'Scoring_Config'!$C:$C,25),0),0)+IF(LEFT(AE340,4)="True",IF(_xlfn.XLOOKUP("Src_CIDR_17_22",'Scoring_Config'!$A:$A,'Scoring_Config'!$D:$D,"Yes")="Yes",_xlfn.XLOOKUP("Src_CIDR_17_22",'Scoring_Config'!$A:$A,'Scoring_Config'!$C:$C,15),0),0)+IF(LEFT(AF340,4)="True",IF(_xlfn.XLOOKUP("Dst_IsAny",'Scoring_Config'!$A:$A,'Scoring_Config'!$D:$D,"Yes")="Yes",_xlfn.XLOOKUP("Dst_IsAny",'Scoring_Config'!$A:$A,'Scoring_Config'!$C:$C,25),0),0)+IF(LEFT(AG340,4)="True",IF(_xlfn.XLOOKUP("Dst_CIDR_Le_16",'Scoring_Config'!$A:$A,'Scoring_Config'!$D:$D,"Yes")="Yes",_xlfn.XLOOKUP("Dst_CIDR_Le_16",'Scoring_Config'!$A:$A,'Scoring_Config'!$C:$C,25),0),0)+IF(LEFT(AH340,4)="True",IF(_xlfn.XLOOKUP("Dst_CIDR_17_22",'Scoring_Config'!$A:$A,'Scoring_Config'!$D:$D,"Yes")="Yes",_xlfn.XLOOKUP("Dst_CIDR_17_22",'Scoring_Config'!$A:$A,'Scoring_Config'!$C:$C,15),0),0)+IF(LEFT(AI340,4)="True",IF(_xlfn.XLOOKUP("SrcZone_IsAny",'Scoring_Config'!$A:$A,'Scoring_Config'!$D:$D,"Yes")="Yes",_xlfn.XLOOKUP("SrcZone_IsAny",'Scoring_Config'!$A:$A,'Scoring_Config'!$C:$C,5),0),0)+IF(LEFT(AJ340,4)="True",IF(_xlfn.XLOOKUP("DstZone_IsAny",'Scoring_Config'!$A:$A,'Scoring_Config'!$D:$D,"Yes")="Yes",_xlfn.XLOOKUP("DstZone_IsAny",'Scoring_Config'!$A:$A,'Scoring_Config'!$C:$C,5),0),0)+IF(LEFT(AK340,4)="True",IF(_xlfn.XLOOKUP("Service_Any_OR_RangeGt1000",'Scoring_Config'!$A:$A,'Scoring_Config'!$D:$D,"Yes")="Yes",_xlfn.XLOOKUP("Service_Any_OR_RangeGt1000",'Scoring_Config'!$A:$A,'Scoring_Config'!$C:$C,25),0),0)+IF(LEFT(AL340,4)="True",IF(_xlfn.XLOOKUP("App_Any_OR_RangeGt1000",'Scoring_Config'!$A:$A,'Scoring_Config'!$D:$D,"Yes")="Yes",_xlfn.XLOOKUP("App_Any_OR_RangeGt1000",'Scoring_Config'!$A:$A,'Scoring_Config'!$C:$C,25),0),0)+IF(LEFT(AM340,4)="True",IF(_xlfn.XLOOKUP("Service_Insecure_Match",'Scoring_Config'!$A:$A,'Scoring_Config'!$D:$D,"Yes")="Yes",_xlfn.XLOOKUP("Service_Insecure_Match",'Scoring_Config'!$A:$A,'Scoring_Config'!$C:$C,20),0),0)+IF(LEFT(AN340,4)="True",IF(_xlfn.XLOOKUP("Risky_Inbound",'Scoring_Config'!$A:$A,'Scoring_Config'!$D:$D,"Yes")="Yes",_xlfn.XLOOKUP("Risky_Inbound",'Scoring_Config'!$A:$A,'Scoring_Config'!$C:$C,20),0),0)+IF(LEFT(AO340,4)="True",IF(_xlfn.XLOOKUP("Risky_Outbound",'Scoring_Config'!$A:$A,'Scoring_Config'!$D:$D,"Yes")="Yes",_xlfn.XLOOKUP("Risky_Outbound",'Scoring_Config'!$A:$A,'Scoring_Config'!$C:$C,10),0),0)+IF(LEFT(AW340,4)="True",IF(_xlfn.XLOOKUP("Migrate_Insecure",'Scoring_Config'!$A:$A,'Scoring_Config'!$D:$D,"Yes")="Yes",_xlfn.XLOOKUP("Migrate_Insecure",'Scoring_Config'!$A:$A,'Scoring_Config'!$C:$C,15),0),0)+IF(LEFT(AY340,4)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340,FIND(",",AP340)+1,100)),0)+IF(LEFT(AQ340,4)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340,FIND(",",AR340)+1,100)),0)+IF(_xlfn.XLOOKUP("Profile_Scoring",'Scoring_Config'!$A:$A,'Scoring_Config'!$D:$D,"Yes")="Yes",VALUE(MID(AS340,FIND(",",AS340)+1,100)),0)+IF(_xlfn.XLOOKUP("Options_Scoring",'Scoring_Config'!$A:$A,'Scoring_Config'!$D:$D,"Yes")="Yes",VALUE(MID(AT340,FIND(",",AT340)+1,100)),0)))</f>
        <v>0</v>
      </c>
    </row>
    <row r="341" spans="1:52">
      <c r="A341" s="3" t="s">
        <v>54</v>
      </c>
      <c r="B341" s="3" t="s">
        <v>78</v>
      </c>
      <c r="C341" s="3" t="s">
        <v>331</v>
      </c>
      <c r="D341" s="3"/>
      <c r="E341" s="3" t="s">
        <v>359</v>
      </c>
      <c r="F341" s="3" t="s">
        <v>364</v>
      </c>
      <c r="G341" s="3" t="s">
        <v>365</v>
      </c>
      <c r="H341" s="3" t="s">
        <v>365</v>
      </c>
      <c r="I341" s="3" t="s">
        <v>624</v>
      </c>
      <c r="J341" s="3" t="s">
        <v>360</v>
      </c>
      <c r="K341" s="3" t="s">
        <v>710</v>
      </c>
      <c r="L341" s="3" t="s">
        <v>479</v>
      </c>
      <c r="M341" s="3" t="s">
        <v>365</v>
      </c>
      <c r="N341" s="3" t="s">
        <v>365</v>
      </c>
      <c r="O341" s="4" t="s">
        <v>855</v>
      </c>
      <c r="P341" s="3" t="s">
        <v>903</v>
      </c>
      <c r="Q341" s="3" t="s">
        <v>905</v>
      </c>
      <c r="R341" s="3" t="s">
        <v>906</v>
      </c>
      <c r="S341" s="3" t="s">
        <v>914</v>
      </c>
      <c r="T341" s="3"/>
      <c r="U341" s="3" t="s">
        <v>1268</v>
      </c>
      <c r="V341" s="3" t="s">
        <v>1387</v>
      </c>
      <c r="W341" s="3" t="s">
        <v>1008</v>
      </c>
      <c r="X341" s="3" t="s">
        <v>1945</v>
      </c>
      <c r="Y341" s="3" t="s">
        <v>2414</v>
      </c>
      <c r="Z341" s="3"/>
      <c r="AA341" s="3" t="s">
        <v>2550</v>
      </c>
      <c r="AB341" s="3"/>
      <c r="AC341" s="5" cm="1">
        <f t="array" ref="AC341">IF(TRUE,"True," &amp; IF(_xlfn.XLOOKUP("Src_IsAny",'Scoring_Config'!$A:$A,'Scoring_Config'!$D:$D,"Yes")="Yes",_xlfn.XLOOKUP("Src_IsAny",'Scoring_Config'!$A:$A,'Scoring_Config'!$C:$C,25),0),"False,0")</f>
        <v>0</v>
      </c>
      <c r="AD341" s="4" cm="1">
        <f t="array" ref="AD341">IF(FALSE,"True," &amp; IF(_xlfn.XLOOKUP("Src_CIDR_Le_16",'Scoring_Config'!$A:$A,'Scoring_Config'!$D:$D,"Yes")="Yes",_xlfn.XLOOKUP("Src_CIDR_Le_16",'Scoring_Config'!$A:$A,'Scoring_Config'!$C:$C,25),0),"False,0")</f>
        <v>0</v>
      </c>
      <c r="AE341" s="4" cm="1">
        <f t="array" ref="AE341">IF(FALSE,"True," &amp; IF(_xlfn.XLOOKUP("Src_CIDR_17_22",'Scoring_Config'!$A:$A,'Scoring_Config'!$D:$D,"Yes")="Yes",_xlfn.XLOOKUP("Src_CIDR_17_22",'Scoring_Config'!$A:$A,'Scoring_Config'!$C:$C,15),0),"False,0")</f>
        <v>0</v>
      </c>
      <c r="AF341" s="4" cm="1">
        <f t="array" ref="AF341">IF(FALSE,"True," &amp; IF(_xlfn.XLOOKUP("Dst_IsAny",'Scoring_Config'!$A:$A,'Scoring_Config'!$D:$D,"Yes")="Yes",_xlfn.XLOOKUP("Dst_IsAny",'Scoring_Config'!$A:$A,'Scoring_Config'!$C:$C,25),0),"False,0")</f>
        <v>0</v>
      </c>
      <c r="AG341" s="4" cm="1">
        <f t="array" ref="AG341">IF(FALSE,"True," &amp; IF(_xlfn.XLOOKUP("Dst_CIDR_Le_16",'Scoring_Config'!$A:$A,'Scoring_Config'!$D:$D,"Yes")="Yes",_xlfn.XLOOKUP("Dst_CIDR_Le_16",'Scoring_Config'!$A:$A,'Scoring_Config'!$C:$C,25),0),"False,0")</f>
        <v>0</v>
      </c>
      <c r="AH341" s="4" cm="1">
        <f t="array" ref="AH341">IF(FALSE,"True," &amp; IF(_xlfn.XLOOKUP("Dst_CIDR_17_22",'Scoring_Config'!$A:$A,'Scoring_Config'!$D:$D,"Yes")="Yes",_xlfn.XLOOKUP("Dst_CIDR_17_22",'Scoring_Config'!$A:$A,'Scoring_Config'!$C:$C,15),0),"False,0")</f>
        <v>0</v>
      </c>
      <c r="AI341" s="4" cm="1">
        <f t="array" ref="AI341">IF(FALSE,"True," &amp; IF(_xlfn.XLOOKUP("SrcZone_IsAny",'Scoring_Config'!$A:$A,'Scoring_Config'!$D:$D,"Yes")="Yes",_xlfn.XLOOKUP("SrcZone_IsAny",'Scoring_Config'!$A:$A,'Scoring_Config'!$C:$C,5),0),"False,0")</f>
        <v>0</v>
      </c>
      <c r="AJ341" s="4" cm="1">
        <f t="array" ref="AJ341">IF(FALSE,"True," &amp; IF(_xlfn.XLOOKUP("DstZone_IsAny",'Scoring_Config'!$A:$A,'Scoring_Config'!$D:$D,"Yes")="Yes",_xlfn.XLOOKUP("DstZone_IsAny",'Scoring_Config'!$A:$A,'Scoring_Config'!$C:$C,5),0),"False,0")</f>
        <v>0</v>
      </c>
      <c r="AK341" s="4" cm="1">
        <f t="array" ref="AK34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1" s="5" cm="1">
        <f t="array" ref="AL341">IF(TRUE,"True," &amp; IF(_xlfn.XLOOKUP("App_Any_OR_RangeGt1000",'Scoring_Config'!$A:$A,'Scoring_Config'!$D:$D,"Yes")="Yes",_xlfn.XLOOKUP("App_Any_OR_RangeGt1000",'Scoring_Config'!$A:$A,'Scoring_Config'!$C:$C,25),0),"False,0")</f>
        <v>0</v>
      </c>
      <c r="AM341" s="4" cm="1">
        <f t="array" ref="AM341">IF(FALSE,"True," &amp; IF(_xlfn.XLOOKUP("Service_Insecure_Match",'Scoring_Config'!$A:$A,'Scoring_Config'!$D:$D,"Yes")="Yes",_xlfn.XLOOKUP("Service_Insecure_Match",'Scoring_Config'!$A:$A,'Scoring_Config'!$C:$C,20),0),"False,0")</f>
        <v>0</v>
      </c>
      <c r="AN341" s="4" cm="1">
        <f t="array" ref="AN341">IF(FALSE,"True," &amp; IF(_xlfn.XLOOKUP("Risky_Inbound",'Scoring_Config'!$A:$A,'Scoring_Config'!$D:$D,"Yes")="Yes",_xlfn.XLOOKUP("Risky_Inbound",'Scoring_Config'!$A:$A,'Scoring_Config'!$C:$C,20),0),"False,0")</f>
        <v>0</v>
      </c>
      <c r="AO341" s="4" cm="1">
        <f t="array" ref="AO341">IF(FALSE,"True," &amp; IF(_xlfn.XLOOKUP("Risky_Outbound",'Scoring_Config'!$A:$A,'Scoring_Config'!$D:$D,"Yes")="Yes",_xlfn.XLOOKUP("Risky_Outbound",'Scoring_Config'!$A:$A,'Scoring_Config'!$C:$C,10),0),"False,0")</f>
        <v>0</v>
      </c>
      <c r="AP341" s="5" t="s">
        <v>2595</v>
      </c>
      <c r="AQ341" s="5" cm="1">
        <f t="array" ref="AQ34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1" s="5" t="s">
        <v>2598</v>
      </c>
      <c r="AS341" s="4" t="s">
        <v>2592</v>
      </c>
      <c r="AT341" s="4" t="s">
        <v>2592</v>
      </c>
      <c r="AU341" s="4" cm="1">
        <f t="array" ref="AU341">IF(FALSE,"True," &amp; IF(_xlfn.XLOOKUP("Action_IsDenyOrDrop",'Scoring_Config'!$A:$A,'Scoring_Config'!$D:$D,"Yes")="Yes",_xlfn.XLOOKUP("Action_IsDenyOrDrop",'Scoring_Config'!$A:$A,'Scoring_Config'!$C:$C,0),0),"False,0")</f>
        <v>0</v>
      </c>
      <c r="AV341" s="4"/>
      <c r="AW341" s="4" cm="1">
        <f t="array" ref="AW341">IF(FALSE,"True," &amp; IF(_xlfn.XLOOKUP("Migrate_Insecure",'Scoring_Config'!$A:$A,'Scoring_Config'!$D:$D,"Yes")="Yes",_xlfn.XLOOKUP("Migrate_Insecure",'Scoring_Config'!$A:$A,'Scoring_Config'!$C:$C,15),0),"False,0")</f>
        <v>0</v>
      </c>
      <c r="AX341" s="4"/>
      <c r="AY341" s="4" cm="1">
        <f t="array" ref="AY341">IF(FALSE,"True," &amp; IF(_xlfn.XLOOKUP("Migrate_Other_Ports",'Scoring_Config'!$A:$A,'Scoring_Config'!$D:$D,"Yes")="Yes",_xlfn.XLOOKUP("Migrate_Other_Ports",'Scoring_Config'!$A:$A,'Scoring_Config'!$C:$C,5),0),"False,0")</f>
        <v>0</v>
      </c>
      <c r="AZ341" s="4" cm="1">
        <f t="array" ref="AZ341">IF(LEFT(AU341,4)="True",0,(IF(LEFT(AC341,4)="True",IF(_xlfn.XLOOKUP("Src_IsAny",'Scoring_Config'!$A:$A,'Scoring_Config'!$D:$D,"Yes")="Yes",_xlfn.XLOOKUP("Src_IsAny",'Scoring_Config'!$A:$A,'Scoring_Config'!$C:$C,25),0),0)+IF(LEFT(AD341,4)="True",IF(_xlfn.XLOOKUP("Src_CIDR_Le_16",'Scoring_Config'!$A:$A,'Scoring_Config'!$D:$D,"Yes")="Yes",_xlfn.XLOOKUP("Src_CIDR_Le_16",'Scoring_Config'!$A:$A,'Scoring_Config'!$C:$C,25),0),0)+IF(LEFT(AE341,4)="True",IF(_xlfn.XLOOKUP("Src_CIDR_17_22",'Scoring_Config'!$A:$A,'Scoring_Config'!$D:$D,"Yes")="Yes",_xlfn.XLOOKUP("Src_CIDR_17_22",'Scoring_Config'!$A:$A,'Scoring_Config'!$C:$C,15),0),0)+IF(LEFT(AF341,4)="True",IF(_xlfn.XLOOKUP("Dst_IsAny",'Scoring_Config'!$A:$A,'Scoring_Config'!$D:$D,"Yes")="Yes",_xlfn.XLOOKUP("Dst_IsAny",'Scoring_Config'!$A:$A,'Scoring_Config'!$C:$C,25),0),0)+IF(LEFT(AG341,4)="True",IF(_xlfn.XLOOKUP("Dst_CIDR_Le_16",'Scoring_Config'!$A:$A,'Scoring_Config'!$D:$D,"Yes")="Yes",_xlfn.XLOOKUP("Dst_CIDR_Le_16",'Scoring_Config'!$A:$A,'Scoring_Config'!$C:$C,25),0),0)+IF(LEFT(AH341,4)="True",IF(_xlfn.XLOOKUP("Dst_CIDR_17_22",'Scoring_Config'!$A:$A,'Scoring_Config'!$D:$D,"Yes")="Yes",_xlfn.XLOOKUP("Dst_CIDR_17_22",'Scoring_Config'!$A:$A,'Scoring_Config'!$C:$C,15),0),0)+IF(LEFT(AI341,4)="True",IF(_xlfn.XLOOKUP("SrcZone_IsAny",'Scoring_Config'!$A:$A,'Scoring_Config'!$D:$D,"Yes")="Yes",_xlfn.XLOOKUP("SrcZone_IsAny",'Scoring_Config'!$A:$A,'Scoring_Config'!$C:$C,5),0),0)+IF(LEFT(AJ341,4)="True",IF(_xlfn.XLOOKUP("DstZone_IsAny",'Scoring_Config'!$A:$A,'Scoring_Config'!$D:$D,"Yes")="Yes",_xlfn.XLOOKUP("DstZone_IsAny",'Scoring_Config'!$A:$A,'Scoring_Config'!$C:$C,5),0),0)+IF(LEFT(AK341,4)="True",IF(_xlfn.XLOOKUP("Service_Any_OR_RangeGt1000",'Scoring_Config'!$A:$A,'Scoring_Config'!$D:$D,"Yes")="Yes",_xlfn.XLOOKUP("Service_Any_OR_RangeGt1000",'Scoring_Config'!$A:$A,'Scoring_Config'!$C:$C,25),0),0)+IF(LEFT(AL341,4)="True",IF(_xlfn.XLOOKUP("App_Any_OR_RangeGt1000",'Scoring_Config'!$A:$A,'Scoring_Config'!$D:$D,"Yes")="Yes",_xlfn.XLOOKUP("App_Any_OR_RangeGt1000",'Scoring_Config'!$A:$A,'Scoring_Config'!$C:$C,25),0),0)+IF(LEFT(AM341,4)="True",IF(_xlfn.XLOOKUP("Service_Insecure_Match",'Scoring_Config'!$A:$A,'Scoring_Config'!$D:$D,"Yes")="Yes",_xlfn.XLOOKUP("Service_Insecure_Match",'Scoring_Config'!$A:$A,'Scoring_Config'!$C:$C,20),0),0)+IF(LEFT(AN341,4)="True",IF(_xlfn.XLOOKUP("Risky_Inbound",'Scoring_Config'!$A:$A,'Scoring_Config'!$D:$D,"Yes")="Yes",_xlfn.XLOOKUP("Risky_Inbound",'Scoring_Config'!$A:$A,'Scoring_Config'!$C:$C,20),0),0)+IF(LEFT(AO341,4)="True",IF(_xlfn.XLOOKUP("Risky_Outbound",'Scoring_Config'!$A:$A,'Scoring_Config'!$D:$D,"Yes")="Yes",_xlfn.XLOOKUP("Risky_Outbound",'Scoring_Config'!$A:$A,'Scoring_Config'!$C:$C,10),0),0)+IF(LEFT(AW341,4)="True",IF(_xlfn.XLOOKUP("Migrate_Insecure",'Scoring_Config'!$A:$A,'Scoring_Config'!$D:$D,"Yes")="Yes",_xlfn.XLOOKUP("Migrate_Insecure",'Scoring_Config'!$A:$A,'Scoring_Config'!$C:$C,15),0),0)+IF(LEFT(AY341,4)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341,FIND(",",AP341)+1,100)),0)+IF(LEFT(AQ341,4)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341,FIND(",",AR341)+1,100)),0)+IF(_xlfn.XLOOKUP("Profile_Scoring",'Scoring_Config'!$A:$A,'Scoring_Config'!$D:$D,"Yes")="Yes",VALUE(MID(AS341,FIND(",",AS341)+1,100)),0)+IF(_xlfn.XLOOKUP("Options_Scoring",'Scoring_Config'!$A:$A,'Scoring_Config'!$D:$D,"Yes")="Yes",VALUE(MID(AT341,FIND(",",AT341)+1,100)),0)))</f>
        <v>0</v>
      </c>
    </row>
    <row r="342" spans="1:52">
      <c r="A342" s="3" t="s">
        <v>54</v>
      </c>
      <c r="B342" s="3" t="s">
        <v>274</v>
      </c>
      <c r="C342" s="3" t="s">
        <v>331</v>
      </c>
      <c r="D342" s="3"/>
      <c r="E342" s="3" t="s">
        <v>359</v>
      </c>
      <c r="F342" s="3" t="s">
        <v>364</v>
      </c>
      <c r="G342" s="3" t="s">
        <v>489</v>
      </c>
      <c r="H342" s="3" t="s">
        <v>597</v>
      </c>
      <c r="I342" s="3" t="s">
        <v>622</v>
      </c>
      <c r="J342" s="3" t="s">
        <v>364</v>
      </c>
      <c r="K342" s="3" t="s">
        <v>711</v>
      </c>
      <c r="L342" s="3" t="s">
        <v>711</v>
      </c>
      <c r="M342" s="3" t="s">
        <v>775</v>
      </c>
      <c r="N342" s="3" t="s">
        <v>796</v>
      </c>
      <c r="O342" s="4" t="s">
        <v>801</v>
      </c>
      <c r="P342" s="3" t="s">
        <v>862</v>
      </c>
      <c r="Q342" s="3" t="s">
        <v>904</v>
      </c>
      <c r="R342" s="3" t="s">
        <v>910</v>
      </c>
      <c r="S342" s="3" t="s">
        <v>914</v>
      </c>
      <c r="T342" s="3"/>
      <c r="U342" s="3" t="s">
        <v>1157</v>
      </c>
      <c r="V342" s="3" t="s">
        <v>789</v>
      </c>
      <c r="W342" s="3" t="s">
        <v>1563</v>
      </c>
      <c r="X342" s="3" t="s">
        <v>1946</v>
      </c>
      <c r="Y342" s="3" t="s">
        <v>2415</v>
      </c>
      <c r="Z342" s="3"/>
      <c r="AA342" s="3" t="s">
        <v>919</v>
      </c>
      <c r="AB342" s="3"/>
      <c r="AC342" s="4" cm="1">
        <f t="array" ref="AC342">IF(FALSE,"True," &amp; IF(_xlfn.XLOOKUP("Src_IsAny",'Scoring_Config'!$A:$A,'Scoring_Config'!$D:$D,"Yes")="Yes",_xlfn.XLOOKUP("Src_IsAny",'Scoring_Config'!$A:$A,'Scoring_Config'!$C:$C,25),0),"False,0")</f>
        <v>0</v>
      </c>
      <c r="AD342" s="5" cm="1">
        <f t="array" ref="AD342">IF(TRUE,"True," &amp; IF(_xlfn.XLOOKUP("Src_CIDR_Le_16",'Scoring_Config'!$A:$A,'Scoring_Config'!$D:$D,"Yes")="Yes",_xlfn.XLOOKUP("Src_CIDR_Le_16",'Scoring_Config'!$A:$A,'Scoring_Config'!$C:$C,25),0),"False,0")</f>
        <v>0</v>
      </c>
      <c r="AE342" s="4" cm="1">
        <f t="array" ref="AE342">IF(FALSE,"True," &amp; IF(_xlfn.XLOOKUP("Src_CIDR_17_22",'Scoring_Config'!$A:$A,'Scoring_Config'!$D:$D,"Yes")="Yes",_xlfn.XLOOKUP("Src_CIDR_17_22",'Scoring_Config'!$A:$A,'Scoring_Config'!$C:$C,15),0),"False,0")</f>
        <v>0</v>
      </c>
      <c r="AF342" s="4" cm="1">
        <f t="array" ref="AF342">IF(FALSE,"True," &amp; IF(_xlfn.XLOOKUP("Dst_IsAny",'Scoring_Config'!$A:$A,'Scoring_Config'!$D:$D,"Yes")="Yes",_xlfn.XLOOKUP("Dst_IsAny",'Scoring_Config'!$A:$A,'Scoring_Config'!$C:$C,25),0),"False,0")</f>
        <v>0</v>
      </c>
      <c r="AG342" s="4" cm="1">
        <f t="array" ref="AG342">IF(FALSE,"True," &amp; IF(_xlfn.XLOOKUP("Dst_CIDR_Le_16",'Scoring_Config'!$A:$A,'Scoring_Config'!$D:$D,"Yes")="Yes",_xlfn.XLOOKUP("Dst_CIDR_Le_16",'Scoring_Config'!$A:$A,'Scoring_Config'!$C:$C,25),0),"False,0")</f>
        <v>0</v>
      </c>
      <c r="AH342" s="5" cm="1">
        <f t="array" ref="AH342">IF(TRUE,"True," &amp; IF(_xlfn.XLOOKUP("Dst_CIDR_17_22",'Scoring_Config'!$A:$A,'Scoring_Config'!$D:$D,"Yes")="Yes",_xlfn.XLOOKUP("Dst_CIDR_17_22",'Scoring_Config'!$A:$A,'Scoring_Config'!$C:$C,15),0),"False,0")</f>
        <v>0</v>
      </c>
      <c r="AI342" s="4" cm="1">
        <f t="array" ref="AI342">IF(FALSE,"True," &amp; IF(_xlfn.XLOOKUP("SrcZone_IsAny",'Scoring_Config'!$A:$A,'Scoring_Config'!$D:$D,"Yes")="Yes",_xlfn.XLOOKUP("SrcZone_IsAny",'Scoring_Config'!$A:$A,'Scoring_Config'!$C:$C,5),0),"False,0")</f>
        <v>0</v>
      </c>
      <c r="AJ342" s="4" cm="1">
        <f t="array" ref="AJ342">IF(FALSE,"True," &amp; IF(_xlfn.XLOOKUP("DstZone_IsAny",'Scoring_Config'!$A:$A,'Scoring_Config'!$D:$D,"Yes")="Yes",_xlfn.XLOOKUP("DstZone_IsAny",'Scoring_Config'!$A:$A,'Scoring_Config'!$C:$C,5),0),"False,0")</f>
        <v>0</v>
      </c>
      <c r="AK342" s="4" cm="1">
        <f t="array" ref="AK34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2" s="4" cm="1">
        <f t="array" ref="AL342">IF(FALSE,"True," &amp; IF(_xlfn.XLOOKUP("App_Any_OR_RangeGt1000",'Scoring_Config'!$A:$A,'Scoring_Config'!$D:$D,"Yes")="Yes",_xlfn.XLOOKUP("App_Any_OR_RangeGt1000",'Scoring_Config'!$A:$A,'Scoring_Config'!$C:$C,25),0),"False,0")</f>
        <v>0</v>
      </c>
      <c r="AM342" s="5" cm="1">
        <f t="array" ref="AM342">IF(TRUE,"True," &amp; IF(_xlfn.XLOOKUP("Service_Insecure_Match",'Scoring_Config'!$A:$A,'Scoring_Config'!$D:$D,"Yes")="Yes",_xlfn.XLOOKUP("Service_Insecure_Match",'Scoring_Config'!$A:$A,'Scoring_Config'!$C:$C,20),0),"False,0")</f>
        <v>0</v>
      </c>
      <c r="AN342" s="4" cm="1">
        <f t="array" ref="AN342">IF(FALSE,"True," &amp; IF(_xlfn.XLOOKUP("Risky_Inbound",'Scoring_Config'!$A:$A,'Scoring_Config'!$D:$D,"Yes")="Yes",_xlfn.XLOOKUP("Risky_Inbound",'Scoring_Config'!$A:$A,'Scoring_Config'!$C:$C,20),0),"False,0")</f>
        <v>0</v>
      </c>
      <c r="AO342" s="4" cm="1">
        <f t="array" ref="AO342">IF(FALSE,"True," &amp; IF(_xlfn.XLOOKUP("Risky_Outbound",'Scoring_Config'!$A:$A,'Scoring_Config'!$D:$D,"Yes")="Yes",_xlfn.XLOOKUP("Risky_Outbound",'Scoring_Config'!$A:$A,'Scoring_Config'!$C:$C,10),0),"False,0")</f>
        <v>0</v>
      </c>
      <c r="AP342" s="5" t="s">
        <v>2595</v>
      </c>
      <c r="AQ342" s="5" cm="1">
        <f t="array" ref="AQ34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2" s="5" t="s">
        <v>2598</v>
      </c>
      <c r="AS342" s="4" t="s">
        <v>2592</v>
      </c>
      <c r="AT342" s="4" t="s">
        <v>2592</v>
      </c>
      <c r="AU342" s="5" cm="1">
        <f t="array" ref="AU342">IF(TRUE,"True," &amp; IF(_xlfn.XLOOKUP("Action_IsDenyOrDrop",'Scoring_Config'!$A:$A,'Scoring_Config'!$D:$D,"Yes")="Yes",_xlfn.XLOOKUP("Action_IsDenyOrDrop",'Scoring_Config'!$A:$A,'Scoring_Config'!$C:$C,0),0),"False,0")</f>
        <v>0</v>
      </c>
      <c r="AV342" s="4"/>
      <c r="AW342" s="4" cm="1">
        <f t="array" ref="AW342">IF(FALSE,"True," &amp; IF(_xlfn.XLOOKUP("Migrate_Insecure",'Scoring_Config'!$A:$A,'Scoring_Config'!$D:$D,"Yes")="Yes",_xlfn.XLOOKUP("Migrate_Insecure",'Scoring_Config'!$A:$A,'Scoring_Config'!$C:$C,15),0),"False,0")</f>
        <v>0</v>
      </c>
      <c r="AX342" s="4"/>
      <c r="AY342" s="4" cm="1">
        <f t="array" ref="AY342">IF(FALSE,"True," &amp; IF(_xlfn.XLOOKUP("Migrate_Other_Ports",'Scoring_Config'!$A:$A,'Scoring_Config'!$D:$D,"Yes")="Yes",_xlfn.XLOOKUP("Migrate_Other_Ports",'Scoring_Config'!$A:$A,'Scoring_Config'!$C:$C,5),0),"False,0")</f>
        <v>0</v>
      </c>
      <c r="AZ342" s="4" cm="1">
        <f t="array" ref="AZ342">IF(LEFT(AU342,4)="True",0,(IF(LEFT(AC342,4)="True",IF(_xlfn.XLOOKUP("Src_IsAny",'Scoring_Config'!$A:$A,'Scoring_Config'!$D:$D,"Yes")="Yes",_xlfn.XLOOKUP("Src_IsAny",'Scoring_Config'!$A:$A,'Scoring_Config'!$C:$C,25),0),0)+IF(LEFT(AD342,4)="True",IF(_xlfn.XLOOKUP("Src_CIDR_Le_16",'Scoring_Config'!$A:$A,'Scoring_Config'!$D:$D,"Yes")="Yes",_xlfn.XLOOKUP("Src_CIDR_Le_16",'Scoring_Config'!$A:$A,'Scoring_Config'!$C:$C,25),0),0)+IF(LEFT(AE342,4)="True",IF(_xlfn.XLOOKUP("Src_CIDR_17_22",'Scoring_Config'!$A:$A,'Scoring_Config'!$D:$D,"Yes")="Yes",_xlfn.XLOOKUP("Src_CIDR_17_22",'Scoring_Config'!$A:$A,'Scoring_Config'!$C:$C,15),0),0)+IF(LEFT(AF342,4)="True",IF(_xlfn.XLOOKUP("Dst_IsAny",'Scoring_Config'!$A:$A,'Scoring_Config'!$D:$D,"Yes")="Yes",_xlfn.XLOOKUP("Dst_IsAny",'Scoring_Config'!$A:$A,'Scoring_Config'!$C:$C,25),0),0)+IF(LEFT(AG342,4)="True",IF(_xlfn.XLOOKUP("Dst_CIDR_Le_16",'Scoring_Config'!$A:$A,'Scoring_Config'!$D:$D,"Yes")="Yes",_xlfn.XLOOKUP("Dst_CIDR_Le_16",'Scoring_Config'!$A:$A,'Scoring_Config'!$C:$C,25),0),0)+IF(LEFT(AH342,4)="True",IF(_xlfn.XLOOKUP("Dst_CIDR_17_22",'Scoring_Config'!$A:$A,'Scoring_Config'!$D:$D,"Yes")="Yes",_xlfn.XLOOKUP("Dst_CIDR_17_22",'Scoring_Config'!$A:$A,'Scoring_Config'!$C:$C,15),0),0)+IF(LEFT(AI342,4)="True",IF(_xlfn.XLOOKUP("SrcZone_IsAny",'Scoring_Config'!$A:$A,'Scoring_Config'!$D:$D,"Yes")="Yes",_xlfn.XLOOKUP("SrcZone_IsAny",'Scoring_Config'!$A:$A,'Scoring_Config'!$C:$C,5),0),0)+IF(LEFT(AJ342,4)="True",IF(_xlfn.XLOOKUP("DstZone_IsAny",'Scoring_Config'!$A:$A,'Scoring_Config'!$D:$D,"Yes")="Yes",_xlfn.XLOOKUP("DstZone_IsAny",'Scoring_Config'!$A:$A,'Scoring_Config'!$C:$C,5),0),0)+IF(LEFT(AK342,4)="True",IF(_xlfn.XLOOKUP("Service_Any_OR_RangeGt1000",'Scoring_Config'!$A:$A,'Scoring_Config'!$D:$D,"Yes")="Yes",_xlfn.XLOOKUP("Service_Any_OR_RangeGt1000",'Scoring_Config'!$A:$A,'Scoring_Config'!$C:$C,25),0),0)+IF(LEFT(AL342,4)="True",IF(_xlfn.XLOOKUP("App_Any_OR_RangeGt1000",'Scoring_Config'!$A:$A,'Scoring_Config'!$D:$D,"Yes")="Yes",_xlfn.XLOOKUP("App_Any_OR_RangeGt1000",'Scoring_Config'!$A:$A,'Scoring_Config'!$C:$C,25),0),0)+IF(LEFT(AM342,4)="True",IF(_xlfn.XLOOKUP("Service_Insecure_Match",'Scoring_Config'!$A:$A,'Scoring_Config'!$D:$D,"Yes")="Yes",_xlfn.XLOOKUP("Service_Insecure_Match",'Scoring_Config'!$A:$A,'Scoring_Config'!$C:$C,20),0),0)+IF(LEFT(AN342,4)="True",IF(_xlfn.XLOOKUP("Risky_Inbound",'Scoring_Config'!$A:$A,'Scoring_Config'!$D:$D,"Yes")="Yes",_xlfn.XLOOKUP("Risky_Inbound",'Scoring_Config'!$A:$A,'Scoring_Config'!$C:$C,20),0),0)+IF(LEFT(AO342,4)="True",IF(_xlfn.XLOOKUP("Risky_Outbound",'Scoring_Config'!$A:$A,'Scoring_Config'!$D:$D,"Yes")="Yes",_xlfn.XLOOKUP("Risky_Outbound",'Scoring_Config'!$A:$A,'Scoring_Config'!$C:$C,10),0),0)+IF(LEFT(AW342,4)="True",IF(_xlfn.XLOOKUP("Migrate_Insecure",'Scoring_Config'!$A:$A,'Scoring_Config'!$D:$D,"Yes")="Yes",_xlfn.XLOOKUP("Migrate_Insecure",'Scoring_Config'!$A:$A,'Scoring_Config'!$C:$C,15),0),0)+IF(LEFT(AY342,4)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342,FIND(",",AP342)+1,100)),0)+IF(LEFT(AQ342,4)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342,FIND(",",AR342)+1,100)),0)+IF(_xlfn.XLOOKUP("Profile_Scoring",'Scoring_Config'!$A:$A,'Scoring_Config'!$D:$D,"Yes")="Yes",VALUE(MID(AS342,FIND(",",AS342)+1,100)),0)+IF(_xlfn.XLOOKUP("Options_Scoring",'Scoring_Config'!$A:$A,'Scoring_Config'!$D:$D,"Yes")="Yes",VALUE(MID(AT342,FIND(",",AT342)+1,100)),0)))</f>
        <v>0</v>
      </c>
    </row>
    <row r="343" spans="1:52">
      <c r="A343" s="3" t="s">
        <v>54</v>
      </c>
      <c r="B343" s="3" t="s">
        <v>275</v>
      </c>
      <c r="C343" s="3" t="s">
        <v>331</v>
      </c>
      <c r="D343" s="3"/>
      <c r="E343" s="3" t="s">
        <v>359</v>
      </c>
      <c r="F343" s="3" t="s">
        <v>363</v>
      </c>
      <c r="G343" s="3" t="s">
        <v>365</v>
      </c>
      <c r="H343" s="3" t="s">
        <v>365</v>
      </c>
      <c r="I343" s="3" t="s">
        <v>624</v>
      </c>
      <c r="J343" s="3" t="s">
        <v>362</v>
      </c>
      <c r="K343" s="3" t="s">
        <v>712</v>
      </c>
      <c r="L343" s="3" t="s">
        <v>712</v>
      </c>
      <c r="M343" s="3" t="s">
        <v>778</v>
      </c>
      <c r="N343" s="3" t="s">
        <v>791</v>
      </c>
      <c r="O343" s="4" t="s">
        <v>852</v>
      </c>
      <c r="P343" s="3" t="s">
        <v>887</v>
      </c>
      <c r="Q343" s="3" t="s">
        <v>905</v>
      </c>
      <c r="R343" s="3" t="s">
        <v>908</v>
      </c>
      <c r="S343" s="3" t="s">
        <v>907</v>
      </c>
      <c r="T343" s="3"/>
      <c r="U343" s="3" t="s">
        <v>1157</v>
      </c>
      <c r="V343" s="3" t="s">
        <v>789</v>
      </c>
      <c r="W343" s="3" t="s">
        <v>1564</v>
      </c>
      <c r="X343" s="3" t="s">
        <v>1947</v>
      </c>
      <c r="Y343" s="3" t="s">
        <v>2416</v>
      </c>
      <c r="Z343" s="3"/>
      <c r="AA343" s="3" t="s">
        <v>2586</v>
      </c>
      <c r="AB343" s="3"/>
      <c r="AC343" s="5" cm="1">
        <f t="array" ref="AC343">IF(TRUE,"True," &amp; IF(_xlfn.XLOOKUP("Src_IsAny",'Scoring_Config'!$A:$A,'Scoring_Config'!$D:$D,"Yes")="Yes",_xlfn.XLOOKUP("Src_IsAny",'Scoring_Config'!$A:$A,'Scoring_Config'!$C:$C,25),0),"False,0")</f>
        <v>0</v>
      </c>
      <c r="AD343" s="4" cm="1">
        <f t="array" ref="AD343">IF(FALSE,"True," &amp; IF(_xlfn.XLOOKUP("Src_CIDR_Le_16",'Scoring_Config'!$A:$A,'Scoring_Config'!$D:$D,"Yes")="Yes",_xlfn.XLOOKUP("Src_CIDR_Le_16",'Scoring_Config'!$A:$A,'Scoring_Config'!$C:$C,25),0),"False,0")</f>
        <v>0</v>
      </c>
      <c r="AE343" s="4" cm="1">
        <f t="array" ref="AE343">IF(FALSE,"True," &amp; IF(_xlfn.XLOOKUP("Src_CIDR_17_22",'Scoring_Config'!$A:$A,'Scoring_Config'!$D:$D,"Yes")="Yes",_xlfn.XLOOKUP("Src_CIDR_17_22",'Scoring_Config'!$A:$A,'Scoring_Config'!$C:$C,15),0),"False,0")</f>
        <v>0</v>
      </c>
      <c r="AF343" s="4" cm="1">
        <f t="array" ref="AF343">IF(FALSE,"True," &amp; IF(_xlfn.XLOOKUP("Dst_IsAny",'Scoring_Config'!$A:$A,'Scoring_Config'!$D:$D,"Yes")="Yes",_xlfn.XLOOKUP("Dst_IsAny",'Scoring_Config'!$A:$A,'Scoring_Config'!$C:$C,25),0),"False,0")</f>
        <v>0</v>
      </c>
      <c r="AG343" s="4" cm="1">
        <f t="array" ref="AG343">IF(FALSE,"True," &amp; IF(_xlfn.XLOOKUP("Dst_CIDR_Le_16",'Scoring_Config'!$A:$A,'Scoring_Config'!$D:$D,"Yes")="Yes",_xlfn.XLOOKUP("Dst_CIDR_Le_16",'Scoring_Config'!$A:$A,'Scoring_Config'!$C:$C,25),0),"False,0")</f>
        <v>0</v>
      </c>
      <c r="AH343" s="5" cm="1">
        <f t="array" ref="AH343">IF(TRUE,"True," &amp; IF(_xlfn.XLOOKUP("Dst_CIDR_17_22",'Scoring_Config'!$A:$A,'Scoring_Config'!$D:$D,"Yes")="Yes",_xlfn.XLOOKUP("Dst_CIDR_17_22",'Scoring_Config'!$A:$A,'Scoring_Config'!$C:$C,15),0),"False,0")</f>
        <v>0</v>
      </c>
      <c r="AI343" s="4" cm="1">
        <f t="array" ref="AI343">IF(FALSE,"True," &amp; IF(_xlfn.XLOOKUP("SrcZone_IsAny",'Scoring_Config'!$A:$A,'Scoring_Config'!$D:$D,"Yes")="Yes",_xlfn.XLOOKUP("SrcZone_IsAny",'Scoring_Config'!$A:$A,'Scoring_Config'!$C:$C,5),0),"False,0")</f>
        <v>0</v>
      </c>
      <c r="AJ343" s="4" cm="1">
        <f t="array" ref="AJ343">IF(FALSE,"True," &amp; IF(_xlfn.XLOOKUP("DstZone_IsAny",'Scoring_Config'!$A:$A,'Scoring_Config'!$D:$D,"Yes")="Yes",_xlfn.XLOOKUP("DstZone_IsAny",'Scoring_Config'!$A:$A,'Scoring_Config'!$C:$C,5),0),"False,0")</f>
        <v>0</v>
      </c>
      <c r="AK343" s="4" cm="1">
        <f t="array" ref="AK34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3" s="5" cm="1">
        <f t="array" ref="AL343">IF(TRUE,"True," &amp; IF(_xlfn.XLOOKUP("App_Any_OR_RangeGt1000",'Scoring_Config'!$A:$A,'Scoring_Config'!$D:$D,"Yes")="Yes",_xlfn.XLOOKUP("App_Any_OR_RangeGt1000",'Scoring_Config'!$A:$A,'Scoring_Config'!$C:$C,25),0),"False,0")</f>
        <v>0</v>
      </c>
      <c r="AM343" s="5" cm="1">
        <f t="array" ref="AM343">IF(TRUE,"True," &amp; IF(_xlfn.XLOOKUP("Service_Insecure_Match",'Scoring_Config'!$A:$A,'Scoring_Config'!$D:$D,"Yes")="Yes",_xlfn.XLOOKUP("Service_Insecure_Match",'Scoring_Config'!$A:$A,'Scoring_Config'!$C:$C,20),0),"False,0")</f>
        <v>0</v>
      </c>
      <c r="AN343" s="4" cm="1">
        <f t="array" ref="AN343">IF(FALSE,"True," &amp; IF(_xlfn.XLOOKUP("Risky_Inbound",'Scoring_Config'!$A:$A,'Scoring_Config'!$D:$D,"Yes")="Yes",_xlfn.XLOOKUP("Risky_Inbound",'Scoring_Config'!$A:$A,'Scoring_Config'!$C:$C,20),0),"False,0")</f>
        <v>0</v>
      </c>
      <c r="AO343" s="4" cm="1">
        <f t="array" ref="AO343">IF(FALSE,"True," &amp; IF(_xlfn.XLOOKUP("Risky_Outbound",'Scoring_Config'!$A:$A,'Scoring_Config'!$D:$D,"Yes")="Yes",_xlfn.XLOOKUP("Risky_Outbound",'Scoring_Config'!$A:$A,'Scoring_Config'!$C:$C,10),0),"False,0")</f>
        <v>0</v>
      </c>
      <c r="AP343" s="5" t="s">
        <v>2595</v>
      </c>
      <c r="AQ343" s="5" cm="1">
        <f t="array" ref="AQ34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3" s="5" t="s">
        <v>2598</v>
      </c>
      <c r="AS343" s="4" t="s">
        <v>2592</v>
      </c>
      <c r="AT343" s="5" t="s">
        <v>2595</v>
      </c>
      <c r="AU343" s="4" cm="1">
        <f t="array" ref="AU343">IF(FALSE,"True," &amp; IF(_xlfn.XLOOKUP("Action_IsDenyOrDrop",'Scoring_Config'!$A:$A,'Scoring_Config'!$D:$D,"Yes")="Yes",_xlfn.XLOOKUP("Action_IsDenyOrDrop",'Scoring_Config'!$A:$A,'Scoring_Config'!$C:$C,0),0),"False,0")</f>
        <v>0</v>
      </c>
      <c r="AV343" s="4"/>
      <c r="AW343" s="4" cm="1">
        <f t="array" ref="AW343">IF(FALSE,"True," &amp; IF(_xlfn.XLOOKUP("Migrate_Insecure",'Scoring_Config'!$A:$A,'Scoring_Config'!$D:$D,"Yes")="Yes",_xlfn.XLOOKUP("Migrate_Insecure",'Scoring_Config'!$A:$A,'Scoring_Config'!$C:$C,15),0),"False,0")</f>
        <v>0</v>
      </c>
      <c r="AX343" s="4"/>
      <c r="AY343" s="4" cm="1">
        <f t="array" ref="AY343">IF(FALSE,"True," &amp; IF(_xlfn.XLOOKUP("Migrate_Other_Ports",'Scoring_Config'!$A:$A,'Scoring_Config'!$D:$D,"Yes")="Yes",_xlfn.XLOOKUP("Migrate_Other_Ports",'Scoring_Config'!$A:$A,'Scoring_Config'!$C:$C,5),0),"False,0")</f>
        <v>0</v>
      </c>
      <c r="AZ343" s="4" cm="1">
        <f t="array" ref="AZ343">IF(LEFT(AU343,4)="True",0,(IF(LEFT(AC343,4)="True",IF(_xlfn.XLOOKUP("Src_IsAny",'Scoring_Config'!$A:$A,'Scoring_Config'!$D:$D,"Yes")="Yes",_xlfn.XLOOKUP("Src_IsAny",'Scoring_Config'!$A:$A,'Scoring_Config'!$C:$C,25),0),0)+IF(LEFT(AD343,4)="True",IF(_xlfn.XLOOKUP("Src_CIDR_Le_16",'Scoring_Config'!$A:$A,'Scoring_Config'!$D:$D,"Yes")="Yes",_xlfn.XLOOKUP("Src_CIDR_Le_16",'Scoring_Config'!$A:$A,'Scoring_Config'!$C:$C,25),0),0)+IF(LEFT(AE343,4)="True",IF(_xlfn.XLOOKUP("Src_CIDR_17_22",'Scoring_Config'!$A:$A,'Scoring_Config'!$D:$D,"Yes")="Yes",_xlfn.XLOOKUP("Src_CIDR_17_22",'Scoring_Config'!$A:$A,'Scoring_Config'!$C:$C,15),0),0)+IF(LEFT(AF343,4)="True",IF(_xlfn.XLOOKUP("Dst_IsAny",'Scoring_Config'!$A:$A,'Scoring_Config'!$D:$D,"Yes")="Yes",_xlfn.XLOOKUP("Dst_IsAny",'Scoring_Config'!$A:$A,'Scoring_Config'!$C:$C,25),0),0)+IF(LEFT(AG343,4)="True",IF(_xlfn.XLOOKUP("Dst_CIDR_Le_16",'Scoring_Config'!$A:$A,'Scoring_Config'!$D:$D,"Yes")="Yes",_xlfn.XLOOKUP("Dst_CIDR_Le_16",'Scoring_Config'!$A:$A,'Scoring_Config'!$C:$C,25),0),0)+IF(LEFT(AH343,4)="True",IF(_xlfn.XLOOKUP("Dst_CIDR_17_22",'Scoring_Config'!$A:$A,'Scoring_Config'!$D:$D,"Yes")="Yes",_xlfn.XLOOKUP("Dst_CIDR_17_22",'Scoring_Config'!$A:$A,'Scoring_Config'!$C:$C,15),0),0)+IF(LEFT(AI343,4)="True",IF(_xlfn.XLOOKUP("SrcZone_IsAny",'Scoring_Config'!$A:$A,'Scoring_Config'!$D:$D,"Yes")="Yes",_xlfn.XLOOKUP("SrcZone_IsAny",'Scoring_Config'!$A:$A,'Scoring_Config'!$C:$C,5),0),0)+IF(LEFT(AJ343,4)="True",IF(_xlfn.XLOOKUP("DstZone_IsAny",'Scoring_Config'!$A:$A,'Scoring_Config'!$D:$D,"Yes")="Yes",_xlfn.XLOOKUP("DstZone_IsAny",'Scoring_Config'!$A:$A,'Scoring_Config'!$C:$C,5),0),0)+IF(LEFT(AK343,4)="True",IF(_xlfn.XLOOKUP("Service_Any_OR_RangeGt1000",'Scoring_Config'!$A:$A,'Scoring_Config'!$D:$D,"Yes")="Yes",_xlfn.XLOOKUP("Service_Any_OR_RangeGt1000",'Scoring_Config'!$A:$A,'Scoring_Config'!$C:$C,25),0),0)+IF(LEFT(AL343,4)="True",IF(_xlfn.XLOOKUP("App_Any_OR_RangeGt1000",'Scoring_Config'!$A:$A,'Scoring_Config'!$D:$D,"Yes")="Yes",_xlfn.XLOOKUP("App_Any_OR_RangeGt1000",'Scoring_Config'!$A:$A,'Scoring_Config'!$C:$C,25),0),0)+IF(LEFT(AM343,4)="True",IF(_xlfn.XLOOKUP("Service_Insecure_Match",'Scoring_Config'!$A:$A,'Scoring_Config'!$D:$D,"Yes")="Yes",_xlfn.XLOOKUP("Service_Insecure_Match",'Scoring_Config'!$A:$A,'Scoring_Config'!$C:$C,20),0),0)+IF(LEFT(AN343,4)="True",IF(_xlfn.XLOOKUP("Risky_Inbound",'Scoring_Config'!$A:$A,'Scoring_Config'!$D:$D,"Yes")="Yes",_xlfn.XLOOKUP("Risky_Inbound",'Scoring_Config'!$A:$A,'Scoring_Config'!$C:$C,20),0),0)+IF(LEFT(AO343,4)="True",IF(_xlfn.XLOOKUP("Risky_Outbound",'Scoring_Config'!$A:$A,'Scoring_Config'!$D:$D,"Yes")="Yes",_xlfn.XLOOKUP("Risky_Outbound",'Scoring_Config'!$A:$A,'Scoring_Config'!$C:$C,10),0),0)+IF(LEFT(AW343,4)="True",IF(_xlfn.XLOOKUP("Migrate_Insecure",'Scoring_Config'!$A:$A,'Scoring_Config'!$D:$D,"Yes")="Yes",_xlfn.XLOOKUP("Migrate_Insecure",'Scoring_Config'!$A:$A,'Scoring_Config'!$C:$C,15),0),0)+IF(LEFT(AY343,4)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343,FIND(",",AP343)+1,100)),0)+IF(LEFT(AQ343,4)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343,FIND(",",AR343)+1,100)),0)+IF(_xlfn.XLOOKUP("Profile_Scoring",'Scoring_Config'!$A:$A,'Scoring_Config'!$D:$D,"Yes")="Yes",VALUE(MID(AS343,FIND(",",AS343)+1,100)),0)+IF(_xlfn.XLOOKUP("Options_Scoring",'Scoring_Config'!$A:$A,'Scoring_Config'!$D:$D,"Yes")="Yes",VALUE(MID(AT343,FIND(",",AT343)+1,100)),0)))</f>
        <v>0</v>
      </c>
    </row>
    <row r="344" spans="1:52">
      <c r="A344" s="3" t="s">
        <v>54</v>
      </c>
      <c r="B344" s="3" t="s">
        <v>179</v>
      </c>
      <c r="C344" s="3" t="s">
        <v>331</v>
      </c>
      <c r="D344" s="3"/>
      <c r="E344" s="3" t="s">
        <v>359</v>
      </c>
      <c r="F344" s="3" t="s">
        <v>363</v>
      </c>
      <c r="G344" s="3" t="s">
        <v>365</v>
      </c>
      <c r="H344" s="3" t="s">
        <v>365</v>
      </c>
      <c r="I344" s="3" t="s">
        <v>623</v>
      </c>
      <c r="J344" s="3" t="s">
        <v>362</v>
      </c>
      <c r="K344" s="3" t="s">
        <v>713</v>
      </c>
      <c r="L344" s="3" t="s">
        <v>713</v>
      </c>
      <c r="M344" s="3" t="s">
        <v>770</v>
      </c>
      <c r="N344" s="3" t="s">
        <v>770</v>
      </c>
      <c r="O344" s="4" t="s">
        <v>832</v>
      </c>
      <c r="P344" s="3" t="s">
        <v>893</v>
      </c>
      <c r="Q344" s="3" t="s">
        <v>905</v>
      </c>
      <c r="R344" s="3" t="s">
        <v>907</v>
      </c>
      <c r="S344" s="3" t="s">
        <v>912</v>
      </c>
      <c r="T344" s="3"/>
      <c r="U344" s="3" t="s">
        <v>1321</v>
      </c>
      <c r="V344" s="3" t="s">
        <v>789</v>
      </c>
      <c r="W344" s="3" t="s">
        <v>1480</v>
      </c>
      <c r="X344" s="3" t="s">
        <v>1948</v>
      </c>
      <c r="Y344" s="3" t="s">
        <v>2417</v>
      </c>
      <c r="Z344" s="3"/>
      <c r="AA344" s="3" t="s">
        <v>919</v>
      </c>
      <c r="AB344" s="3"/>
      <c r="AC344" s="5" cm="1">
        <f t="array" ref="AC344">IF(TRUE,"True," &amp; IF(_xlfn.XLOOKUP("Src_IsAny",'Scoring_Config'!$A:$A,'Scoring_Config'!$D:$D,"Yes")="Yes",_xlfn.XLOOKUP("Src_IsAny",'Scoring_Config'!$A:$A,'Scoring_Config'!$C:$C,25),0),"False,0")</f>
        <v>0</v>
      </c>
      <c r="AD344" s="4" cm="1">
        <f t="array" ref="AD344">IF(FALSE,"True," &amp; IF(_xlfn.XLOOKUP("Src_CIDR_Le_16",'Scoring_Config'!$A:$A,'Scoring_Config'!$D:$D,"Yes")="Yes",_xlfn.XLOOKUP("Src_CIDR_Le_16",'Scoring_Config'!$A:$A,'Scoring_Config'!$C:$C,25),0),"False,0")</f>
        <v>0</v>
      </c>
      <c r="AE344" s="4" cm="1">
        <f t="array" ref="AE344">IF(FALSE,"True," &amp; IF(_xlfn.XLOOKUP("Src_CIDR_17_22",'Scoring_Config'!$A:$A,'Scoring_Config'!$D:$D,"Yes")="Yes",_xlfn.XLOOKUP("Src_CIDR_17_22",'Scoring_Config'!$A:$A,'Scoring_Config'!$C:$C,15),0),"False,0")</f>
        <v>0</v>
      </c>
      <c r="AF344" s="4" cm="1">
        <f t="array" ref="AF344">IF(FALSE,"True," &amp; IF(_xlfn.XLOOKUP("Dst_IsAny",'Scoring_Config'!$A:$A,'Scoring_Config'!$D:$D,"Yes")="Yes",_xlfn.XLOOKUP("Dst_IsAny",'Scoring_Config'!$A:$A,'Scoring_Config'!$C:$C,25),0),"False,0")</f>
        <v>0</v>
      </c>
      <c r="AG344" s="4" cm="1">
        <f t="array" ref="AG344">IF(FALSE,"True," &amp; IF(_xlfn.XLOOKUP("Dst_CIDR_Le_16",'Scoring_Config'!$A:$A,'Scoring_Config'!$D:$D,"Yes")="Yes",_xlfn.XLOOKUP("Dst_CIDR_Le_16",'Scoring_Config'!$A:$A,'Scoring_Config'!$C:$C,25),0),"False,0")</f>
        <v>0</v>
      </c>
      <c r="AH344" s="5" cm="1">
        <f t="array" ref="AH344">IF(TRUE,"True," &amp; IF(_xlfn.XLOOKUP("Dst_CIDR_17_22",'Scoring_Config'!$A:$A,'Scoring_Config'!$D:$D,"Yes")="Yes",_xlfn.XLOOKUP("Dst_CIDR_17_22",'Scoring_Config'!$A:$A,'Scoring_Config'!$C:$C,15),0),"False,0")</f>
        <v>0</v>
      </c>
      <c r="AI344" s="4" cm="1">
        <f t="array" ref="AI344">IF(FALSE,"True," &amp; IF(_xlfn.XLOOKUP("SrcZone_IsAny",'Scoring_Config'!$A:$A,'Scoring_Config'!$D:$D,"Yes")="Yes",_xlfn.XLOOKUP("SrcZone_IsAny",'Scoring_Config'!$A:$A,'Scoring_Config'!$C:$C,5),0),"False,0")</f>
        <v>0</v>
      </c>
      <c r="AJ344" s="4" cm="1">
        <f t="array" ref="AJ344">IF(FALSE,"True," &amp; IF(_xlfn.XLOOKUP("DstZone_IsAny",'Scoring_Config'!$A:$A,'Scoring_Config'!$D:$D,"Yes")="Yes",_xlfn.XLOOKUP("DstZone_IsAny",'Scoring_Config'!$A:$A,'Scoring_Config'!$C:$C,5),0),"False,0")</f>
        <v>0</v>
      </c>
      <c r="AK344" s="4" cm="1">
        <f t="array" ref="AK34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4" s="4" cm="1">
        <f t="array" ref="AL344">IF(FALSE,"True," &amp; IF(_xlfn.XLOOKUP("App_Any_OR_RangeGt1000",'Scoring_Config'!$A:$A,'Scoring_Config'!$D:$D,"Yes")="Yes",_xlfn.XLOOKUP("App_Any_OR_RangeGt1000",'Scoring_Config'!$A:$A,'Scoring_Config'!$C:$C,25),0),"False,0")</f>
        <v>0</v>
      </c>
      <c r="AM344" s="5" cm="1">
        <f t="array" ref="AM344">IF(TRUE,"True," &amp; IF(_xlfn.XLOOKUP("Service_Insecure_Match",'Scoring_Config'!$A:$A,'Scoring_Config'!$D:$D,"Yes")="Yes",_xlfn.XLOOKUP("Service_Insecure_Match",'Scoring_Config'!$A:$A,'Scoring_Config'!$C:$C,20),0),"False,0")</f>
        <v>0</v>
      </c>
      <c r="AN344" s="4" cm="1">
        <f t="array" ref="AN344">IF(FALSE,"True," &amp; IF(_xlfn.XLOOKUP("Risky_Inbound",'Scoring_Config'!$A:$A,'Scoring_Config'!$D:$D,"Yes")="Yes",_xlfn.XLOOKUP("Risky_Inbound",'Scoring_Config'!$A:$A,'Scoring_Config'!$C:$C,20),0),"False,0")</f>
        <v>0</v>
      </c>
      <c r="AO344" s="4" cm="1">
        <f t="array" ref="AO344">IF(FALSE,"True," &amp; IF(_xlfn.XLOOKUP("Risky_Outbound",'Scoring_Config'!$A:$A,'Scoring_Config'!$D:$D,"Yes")="Yes",_xlfn.XLOOKUP("Risky_Outbound",'Scoring_Config'!$A:$A,'Scoring_Config'!$C:$C,10),0),"False,0")</f>
        <v>0</v>
      </c>
      <c r="AP344" s="5" t="s">
        <v>2595</v>
      </c>
      <c r="AQ344" s="4" cm="1">
        <f t="array" ref="AQ34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4" s="5" t="s">
        <v>2598</v>
      </c>
      <c r="AS344" s="5" t="s">
        <v>2595</v>
      </c>
      <c r="AT344" s="4" t="s">
        <v>2592</v>
      </c>
      <c r="AU344" s="4" cm="1">
        <f t="array" ref="AU344">IF(FALSE,"True," &amp; IF(_xlfn.XLOOKUP("Action_IsDenyOrDrop",'Scoring_Config'!$A:$A,'Scoring_Config'!$D:$D,"Yes")="Yes",_xlfn.XLOOKUP("Action_IsDenyOrDrop",'Scoring_Config'!$A:$A,'Scoring_Config'!$C:$C,0),0),"False,0")</f>
        <v>0</v>
      </c>
      <c r="AV344" s="4"/>
      <c r="AW344" s="4" cm="1">
        <f t="array" ref="AW344">IF(FALSE,"True," &amp; IF(_xlfn.XLOOKUP("Migrate_Insecure",'Scoring_Config'!$A:$A,'Scoring_Config'!$D:$D,"Yes")="Yes",_xlfn.XLOOKUP("Migrate_Insecure",'Scoring_Config'!$A:$A,'Scoring_Config'!$C:$C,15),0),"False,0")</f>
        <v>0</v>
      </c>
      <c r="AX344" s="4"/>
      <c r="AY344" s="4" cm="1">
        <f t="array" ref="AY344">IF(FALSE,"True," &amp; IF(_xlfn.XLOOKUP("Migrate_Other_Ports",'Scoring_Config'!$A:$A,'Scoring_Config'!$D:$D,"Yes")="Yes",_xlfn.XLOOKUP("Migrate_Other_Ports",'Scoring_Config'!$A:$A,'Scoring_Config'!$C:$C,5),0),"False,0")</f>
        <v>0</v>
      </c>
      <c r="AZ344" s="4" cm="1">
        <f t="array" ref="AZ344">IF(LEFT(AU344,4)="True",0,(IF(LEFT(AC344,4)="True",IF(_xlfn.XLOOKUP("Src_IsAny",'Scoring_Config'!$A:$A,'Scoring_Config'!$D:$D,"Yes")="Yes",_xlfn.XLOOKUP("Src_IsAny",'Scoring_Config'!$A:$A,'Scoring_Config'!$C:$C,25),0),0)+IF(LEFT(AD344,4)="True",IF(_xlfn.XLOOKUP("Src_CIDR_Le_16",'Scoring_Config'!$A:$A,'Scoring_Config'!$D:$D,"Yes")="Yes",_xlfn.XLOOKUP("Src_CIDR_Le_16",'Scoring_Config'!$A:$A,'Scoring_Config'!$C:$C,25),0),0)+IF(LEFT(AE344,4)="True",IF(_xlfn.XLOOKUP("Src_CIDR_17_22",'Scoring_Config'!$A:$A,'Scoring_Config'!$D:$D,"Yes")="Yes",_xlfn.XLOOKUP("Src_CIDR_17_22",'Scoring_Config'!$A:$A,'Scoring_Config'!$C:$C,15),0),0)+IF(LEFT(AF344,4)="True",IF(_xlfn.XLOOKUP("Dst_IsAny",'Scoring_Config'!$A:$A,'Scoring_Config'!$D:$D,"Yes")="Yes",_xlfn.XLOOKUP("Dst_IsAny",'Scoring_Config'!$A:$A,'Scoring_Config'!$C:$C,25),0),0)+IF(LEFT(AG344,4)="True",IF(_xlfn.XLOOKUP("Dst_CIDR_Le_16",'Scoring_Config'!$A:$A,'Scoring_Config'!$D:$D,"Yes")="Yes",_xlfn.XLOOKUP("Dst_CIDR_Le_16",'Scoring_Config'!$A:$A,'Scoring_Config'!$C:$C,25),0),0)+IF(LEFT(AH344,4)="True",IF(_xlfn.XLOOKUP("Dst_CIDR_17_22",'Scoring_Config'!$A:$A,'Scoring_Config'!$D:$D,"Yes")="Yes",_xlfn.XLOOKUP("Dst_CIDR_17_22",'Scoring_Config'!$A:$A,'Scoring_Config'!$C:$C,15),0),0)+IF(LEFT(AI344,4)="True",IF(_xlfn.XLOOKUP("SrcZone_IsAny",'Scoring_Config'!$A:$A,'Scoring_Config'!$D:$D,"Yes")="Yes",_xlfn.XLOOKUP("SrcZone_IsAny",'Scoring_Config'!$A:$A,'Scoring_Config'!$C:$C,5),0),0)+IF(LEFT(AJ344,4)="True",IF(_xlfn.XLOOKUP("DstZone_IsAny",'Scoring_Config'!$A:$A,'Scoring_Config'!$D:$D,"Yes")="Yes",_xlfn.XLOOKUP("DstZone_IsAny",'Scoring_Config'!$A:$A,'Scoring_Config'!$C:$C,5),0),0)+IF(LEFT(AK344,4)="True",IF(_xlfn.XLOOKUP("Service_Any_OR_RangeGt1000",'Scoring_Config'!$A:$A,'Scoring_Config'!$D:$D,"Yes")="Yes",_xlfn.XLOOKUP("Service_Any_OR_RangeGt1000",'Scoring_Config'!$A:$A,'Scoring_Config'!$C:$C,25),0),0)+IF(LEFT(AL344,4)="True",IF(_xlfn.XLOOKUP("App_Any_OR_RangeGt1000",'Scoring_Config'!$A:$A,'Scoring_Config'!$D:$D,"Yes")="Yes",_xlfn.XLOOKUP("App_Any_OR_RangeGt1000",'Scoring_Config'!$A:$A,'Scoring_Config'!$C:$C,25),0),0)+IF(LEFT(AM344,4)="True",IF(_xlfn.XLOOKUP("Service_Insecure_Match",'Scoring_Config'!$A:$A,'Scoring_Config'!$D:$D,"Yes")="Yes",_xlfn.XLOOKUP("Service_Insecure_Match",'Scoring_Config'!$A:$A,'Scoring_Config'!$C:$C,20),0),0)+IF(LEFT(AN344,4)="True",IF(_xlfn.XLOOKUP("Risky_Inbound",'Scoring_Config'!$A:$A,'Scoring_Config'!$D:$D,"Yes")="Yes",_xlfn.XLOOKUP("Risky_Inbound",'Scoring_Config'!$A:$A,'Scoring_Config'!$C:$C,20),0),0)+IF(LEFT(AO344,4)="True",IF(_xlfn.XLOOKUP("Risky_Outbound",'Scoring_Config'!$A:$A,'Scoring_Config'!$D:$D,"Yes")="Yes",_xlfn.XLOOKUP("Risky_Outbound",'Scoring_Config'!$A:$A,'Scoring_Config'!$C:$C,10),0),0)+IF(LEFT(AW344,4)="True",IF(_xlfn.XLOOKUP("Migrate_Insecure",'Scoring_Config'!$A:$A,'Scoring_Config'!$D:$D,"Yes")="Yes",_xlfn.XLOOKUP("Migrate_Insecure",'Scoring_Config'!$A:$A,'Scoring_Config'!$C:$C,15),0),0)+IF(LEFT(AY344,4)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344,FIND(",",AP344)+1,100)),0)+IF(LEFT(AQ344,4)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344,FIND(",",AR344)+1,100)),0)+IF(_xlfn.XLOOKUP("Profile_Scoring",'Scoring_Config'!$A:$A,'Scoring_Config'!$D:$D,"Yes")="Yes",VALUE(MID(AS344,FIND(",",AS344)+1,100)),0)+IF(_xlfn.XLOOKUP("Options_Scoring",'Scoring_Config'!$A:$A,'Scoring_Config'!$D:$D,"Yes")="Yes",VALUE(MID(AT344,FIND(",",AT344)+1,100)),0)))</f>
        <v>0</v>
      </c>
    </row>
    <row r="345" spans="1:52">
      <c r="A345" s="3" t="s">
        <v>54</v>
      </c>
      <c r="B345" s="3" t="s">
        <v>276</v>
      </c>
      <c r="C345" s="3" t="s">
        <v>331</v>
      </c>
      <c r="D345" s="3"/>
      <c r="E345" s="3" t="s">
        <v>359</v>
      </c>
      <c r="F345" s="3" t="s">
        <v>365</v>
      </c>
      <c r="G345" s="3" t="s">
        <v>493</v>
      </c>
      <c r="H345" s="3" t="s">
        <v>473</v>
      </c>
      <c r="I345" s="3" t="s">
        <v>623</v>
      </c>
      <c r="J345" s="3" t="s">
        <v>364</v>
      </c>
      <c r="K345" s="3" t="s">
        <v>365</v>
      </c>
      <c r="L345" s="3" t="s">
        <v>365</v>
      </c>
      <c r="M345" s="3" t="s">
        <v>778</v>
      </c>
      <c r="N345" s="3" t="s">
        <v>791</v>
      </c>
      <c r="O345" s="4" t="s">
        <v>834</v>
      </c>
      <c r="P345" s="3" t="s">
        <v>895</v>
      </c>
      <c r="Q345" s="3" t="s">
        <v>905</v>
      </c>
      <c r="R345" s="3" t="s">
        <v>906</v>
      </c>
      <c r="S345" s="3" t="s">
        <v>912</v>
      </c>
      <c r="T345" s="3"/>
      <c r="U345" s="3"/>
      <c r="V345" s="3" t="s">
        <v>1389</v>
      </c>
      <c r="W345" s="3" t="s">
        <v>1565</v>
      </c>
      <c r="X345" s="3" t="s">
        <v>1949</v>
      </c>
      <c r="Y345" s="3" t="s">
        <v>2418</v>
      </c>
      <c r="Z345" s="3"/>
      <c r="AA345" s="3" t="s">
        <v>2587</v>
      </c>
      <c r="AB345" s="3"/>
      <c r="AC345" s="4" cm="1">
        <f t="array" ref="AC345">IF(FALSE,"True," &amp; IF(_xlfn.XLOOKUP("Src_IsAny",'Scoring_Config'!$A:$A,'Scoring_Config'!$D:$D,"Yes")="Yes",_xlfn.XLOOKUP("Src_IsAny",'Scoring_Config'!$A:$A,'Scoring_Config'!$C:$C,25),0),"False,0")</f>
        <v>0</v>
      </c>
      <c r="AD345" s="4" cm="1">
        <f t="array" ref="AD345">IF(FALSE,"True," &amp; IF(_xlfn.XLOOKUP("Src_CIDR_Le_16",'Scoring_Config'!$A:$A,'Scoring_Config'!$D:$D,"Yes")="Yes",_xlfn.XLOOKUP("Src_CIDR_Le_16",'Scoring_Config'!$A:$A,'Scoring_Config'!$C:$C,25),0),"False,0")</f>
        <v>0</v>
      </c>
      <c r="AE345" s="4" cm="1">
        <f t="array" ref="AE345">IF(FALSE,"True," &amp; IF(_xlfn.XLOOKUP("Src_CIDR_17_22",'Scoring_Config'!$A:$A,'Scoring_Config'!$D:$D,"Yes")="Yes",_xlfn.XLOOKUP("Src_CIDR_17_22",'Scoring_Config'!$A:$A,'Scoring_Config'!$C:$C,15),0),"False,0")</f>
        <v>0</v>
      </c>
      <c r="AF345" s="5" cm="1">
        <f t="array" ref="AF345">IF(TRUE,"True," &amp; IF(_xlfn.XLOOKUP("Dst_IsAny",'Scoring_Config'!$A:$A,'Scoring_Config'!$D:$D,"Yes")="Yes",_xlfn.XLOOKUP("Dst_IsAny",'Scoring_Config'!$A:$A,'Scoring_Config'!$C:$C,25),0),"False,0")</f>
        <v>0</v>
      </c>
      <c r="AG345" s="4" cm="1">
        <f t="array" ref="AG345">IF(FALSE,"True," &amp; IF(_xlfn.XLOOKUP("Dst_CIDR_Le_16",'Scoring_Config'!$A:$A,'Scoring_Config'!$D:$D,"Yes")="Yes",_xlfn.XLOOKUP("Dst_CIDR_Le_16",'Scoring_Config'!$A:$A,'Scoring_Config'!$C:$C,25),0),"False,0")</f>
        <v>0</v>
      </c>
      <c r="AH345" s="4" cm="1">
        <f t="array" ref="AH345">IF(FALSE,"True," &amp; IF(_xlfn.XLOOKUP("Dst_CIDR_17_22",'Scoring_Config'!$A:$A,'Scoring_Config'!$D:$D,"Yes")="Yes",_xlfn.XLOOKUP("Dst_CIDR_17_22",'Scoring_Config'!$A:$A,'Scoring_Config'!$C:$C,15),0),"False,0")</f>
        <v>0</v>
      </c>
      <c r="AI345" s="5" cm="1">
        <f t="array" ref="AI345">IF(TRUE,"True," &amp; IF(_xlfn.XLOOKUP("SrcZone_IsAny",'Scoring_Config'!$A:$A,'Scoring_Config'!$D:$D,"Yes")="Yes",_xlfn.XLOOKUP("SrcZone_IsAny",'Scoring_Config'!$A:$A,'Scoring_Config'!$C:$C,5),0),"False,0")</f>
        <v>0</v>
      </c>
      <c r="AJ345" s="4" cm="1">
        <f t="array" ref="AJ345">IF(FALSE,"True," &amp; IF(_xlfn.XLOOKUP("DstZone_IsAny",'Scoring_Config'!$A:$A,'Scoring_Config'!$D:$D,"Yes")="Yes",_xlfn.XLOOKUP("DstZone_IsAny",'Scoring_Config'!$A:$A,'Scoring_Config'!$C:$C,5),0),"False,0")</f>
        <v>0</v>
      </c>
      <c r="AK345" s="4" cm="1">
        <f t="array" ref="AK34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5" s="5" cm="1">
        <f t="array" ref="AL345">IF(TRUE,"True," &amp; IF(_xlfn.XLOOKUP("App_Any_OR_RangeGt1000",'Scoring_Config'!$A:$A,'Scoring_Config'!$D:$D,"Yes")="Yes",_xlfn.XLOOKUP("App_Any_OR_RangeGt1000",'Scoring_Config'!$A:$A,'Scoring_Config'!$C:$C,25),0),"False,0")</f>
        <v>0</v>
      </c>
      <c r="AM345" s="5" cm="1">
        <f t="array" ref="AM345">IF(TRUE,"True," &amp; IF(_xlfn.XLOOKUP("Service_Insecure_Match",'Scoring_Config'!$A:$A,'Scoring_Config'!$D:$D,"Yes")="Yes",_xlfn.XLOOKUP("Service_Insecure_Match",'Scoring_Config'!$A:$A,'Scoring_Config'!$C:$C,20),0),"False,0")</f>
        <v>0</v>
      </c>
      <c r="AN345" s="4" cm="1">
        <f t="array" ref="AN345">IF(FALSE,"True," &amp; IF(_xlfn.XLOOKUP("Risky_Inbound",'Scoring_Config'!$A:$A,'Scoring_Config'!$D:$D,"Yes")="Yes",_xlfn.XLOOKUP("Risky_Inbound",'Scoring_Config'!$A:$A,'Scoring_Config'!$C:$C,20),0),"False,0")</f>
        <v>0</v>
      </c>
      <c r="AO345" s="4" cm="1">
        <f t="array" ref="AO345">IF(FALSE,"True," &amp; IF(_xlfn.XLOOKUP("Risky_Outbound",'Scoring_Config'!$A:$A,'Scoring_Config'!$D:$D,"Yes")="Yes",_xlfn.XLOOKUP("Risky_Outbound",'Scoring_Config'!$A:$A,'Scoring_Config'!$C:$C,10),0),"False,0")</f>
        <v>0</v>
      </c>
      <c r="AP345" s="5" t="s">
        <v>2595</v>
      </c>
      <c r="AQ345" s="5" cm="1">
        <f t="array" ref="AQ34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5" s="5" t="s">
        <v>2598</v>
      </c>
      <c r="AS345" s="4" t="s">
        <v>2592</v>
      </c>
      <c r="AT345" s="4" t="s">
        <v>2592</v>
      </c>
      <c r="AU345" s="4" cm="1">
        <f t="array" ref="AU345">IF(FALSE,"True," &amp; IF(_xlfn.XLOOKUP("Action_IsDenyOrDrop",'Scoring_Config'!$A:$A,'Scoring_Config'!$D:$D,"Yes")="Yes",_xlfn.XLOOKUP("Action_IsDenyOrDrop",'Scoring_Config'!$A:$A,'Scoring_Config'!$C:$C,0),0),"False,0")</f>
        <v>0</v>
      </c>
      <c r="AV345" s="4"/>
      <c r="AW345" s="4" cm="1">
        <f t="array" ref="AW345">IF(FALSE,"True," &amp; IF(_xlfn.XLOOKUP("Migrate_Insecure",'Scoring_Config'!$A:$A,'Scoring_Config'!$D:$D,"Yes")="Yes",_xlfn.XLOOKUP("Migrate_Insecure",'Scoring_Config'!$A:$A,'Scoring_Config'!$C:$C,15),0),"False,0")</f>
        <v>0</v>
      </c>
      <c r="AX345" s="4"/>
      <c r="AY345" s="4" cm="1">
        <f t="array" ref="AY345">IF(FALSE,"True," &amp; IF(_xlfn.XLOOKUP("Migrate_Other_Ports",'Scoring_Config'!$A:$A,'Scoring_Config'!$D:$D,"Yes")="Yes",_xlfn.XLOOKUP("Migrate_Other_Ports",'Scoring_Config'!$A:$A,'Scoring_Config'!$C:$C,5),0),"False,0")</f>
        <v>0</v>
      </c>
      <c r="AZ345" s="4" cm="1">
        <f t="array" ref="AZ345">IF(LEFT(AU345,4)="True",0,(IF(LEFT(AC345,4)="True",IF(_xlfn.XLOOKUP("Src_IsAny",'Scoring_Config'!$A:$A,'Scoring_Config'!$D:$D,"Yes")="Yes",_xlfn.XLOOKUP("Src_IsAny",'Scoring_Config'!$A:$A,'Scoring_Config'!$C:$C,25),0),0)+IF(LEFT(AD345,4)="True",IF(_xlfn.XLOOKUP("Src_CIDR_Le_16",'Scoring_Config'!$A:$A,'Scoring_Config'!$D:$D,"Yes")="Yes",_xlfn.XLOOKUP("Src_CIDR_Le_16",'Scoring_Config'!$A:$A,'Scoring_Config'!$C:$C,25),0),0)+IF(LEFT(AE345,4)="True",IF(_xlfn.XLOOKUP("Src_CIDR_17_22",'Scoring_Config'!$A:$A,'Scoring_Config'!$D:$D,"Yes")="Yes",_xlfn.XLOOKUP("Src_CIDR_17_22",'Scoring_Config'!$A:$A,'Scoring_Config'!$C:$C,15),0),0)+IF(LEFT(AF345,4)="True",IF(_xlfn.XLOOKUP("Dst_IsAny",'Scoring_Config'!$A:$A,'Scoring_Config'!$D:$D,"Yes")="Yes",_xlfn.XLOOKUP("Dst_IsAny",'Scoring_Config'!$A:$A,'Scoring_Config'!$C:$C,25),0),0)+IF(LEFT(AG345,4)="True",IF(_xlfn.XLOOKUP("Dst_CIDR_Le_16",'Scoring_Config'!$A:$A,'Scoring_Config'!$D:$D,"Yes")="Yes",_xlfn.XLOOKUP("Dst_CIDR_Le_16",'Scoring_Config'!$A:$A,'Scoring_Config'!$C:$C,25),0),0)+IF(LEFT(AH345,4)="True",IF(_xlfn.XLOOKUP("Dst_CIDR_17_22",'Scoring_Config'!$A:$A,'Scoring_Config'!$D:$D,"Yes")="Yes",_xlfn.XLOOKUP("Dst_CIDR_17_22",'Scoring_Config'!$A:$A,'Scoring_Config'!$C:$C,15),0),0)+IF(LEFT(AI345,4)="True",IF(_xlfn.XLOOKUP("SrcZone_IsAny",'Scoring_Config'!$A:$A,'Scoring_Config'!$D:$D,"Yes")="Yes",_xlfn.XLOOKUP("SrcZone_IsAny",'Scoring_Config'!$A:$A,'Scoring_Config'!$C:$C,5),0),0)+IF(LEFT(AJ345,4)="True",IF(_xlfn.XLOOKUP("DstZone_IsAny",'Scoring_Config'!$A:$A,'Scoring_Config'!$D:$D,"Yes")="Yes",_xlfn.XLOOKUP("DstZone_IsAny",'Scoring_Config'!$A:$A,'Scoring_Config'!$C:$C,5),0),0)+IF(LEFT(AK345,4)="True",IF(_xlfn.XLOOKUP("Service_Any_OR_RangeGt1000",'Scoring_Config'!$A:$A,'Scoring_Config'!$D:$D,"Yes")="Yes",_xlfn.XLOOKUP("Service_Any_OR_RangeGt1000",'Scoring_Config'!$A:$A,'Scoring_Config'!$C:$C,25),0),0)+IF(LEFT(AL345,4)="True",IF(_xlfn.XLOOKUP("App_Any_OR_RangeGt1000",'Scoring_Config'!$A:$A,'Scoring_Config'!$D:$D,"Yes")="Yes",_xlfn.XLOOKUP("App_Any_OR_RangeGt1000",'Scoring_Config'!$A:$A,'Scoring_Config'!$C:$C,25),0),0)+IF(LEFT(AM345,4)="True",IF(_xlfn.XLOOKUP("Service_Insecure_Match",'Scoring_Config'!$A:$A,'Scoring_Config'!$D:$D,"Yes")="Yes",_xlfn.XLOOKUP("Service_Insecure_Match",'Scoring_Config'!$A:$A,'Scoring_Config'!$C:$C,20),0),0)+IF(LEFT(AN345,4)="True",IF(_xlfn.XLOOKUP("Risky_Inbound",'Scoring_Config'!$A:$A,'Scoring_Config'!$D:$D,"Yes")="Yes",_xlfn.XLOOKUP("Risky_Inbound",'Scoring_Config'!$A:$A,'Scoring_Config'!$C:$C,20),0),0)+IF(LEFT(AO345,4)="True",IF(_xlfn.XLOOKUP("Risky_Outbound",'Scoring_Config'!$A:$A,'Scoring_Config'!$D:$D,"Yes")="Yes",_xlfn.XLOOKUP("Risky_Outbound",'Scoring_Config'!$A:$A,'Scoring_Config'!$C:$C,10),0),0)+IF(LEFT(AW345,4)="True",IF(_xlfn.XLOOKUP("Migrate_Insecure",'Scoring_Config'!$A:$A,'Scoring_Config'!$D:$D,"Yes")="Yes",_xlfn.XLOOKUP("Migrate_Insecure",'Scoring_Config'!$A:$A,'Scoring_Config'!$C:$C,15),0),0)+IF(LEFT(AY345,4)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345,FIND(",",AP345)+1,100)),0)+IF(LEFT(AQ345,4)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345,FIND(",",AR345)+1,100)),0)+IF(_xlfn.XLOOKUP("Profile_Scoring",'Scoring_Config'!$A:$A,'Scoring_Config'!$D:$D,"Yes")="Yes",VALUE(MID(AS345,FIND(",",AS345)+1,100)),0)+IF(_xlfn.XLOOKUP("Options_Scoring",'Scoring_Config'!$A:$A,'Scoring_Config'!$D:$D,"Yes")="Yes",VALUE(MID(AT345,FIND(",",AT345)+1,100)),0)))</f>
        <v>0</v>
      </c>
    </row>
    <row r="346" spans="1:52">
      <c r="A346" s="3" t="s">
        <v>54</v>
      </c>
      <c r="B346" s="3" t="s">
        <v>277</v>
      </c>
      <c r="C346" s="3" t="s">
        <v>331</v>
      </c>
      <c r="D346" s="3"/>
      <c r="E346" s="3" t="s">
        <v>359</v>
      </c>
      <c r="F346" s="3" t="s">
        <v>365</v>
      </c>
      <c r="G346" s="3" t="s">
        <v>469</v>
      </c>
      <c r="H346" s="3" t="s">
        <v>590</v>
      </c>
      <c r="I346" s="3" t="s">
        <v>623</v>
      </c>
      <c r="J346" s="3" t="s">
        <v>362</v>
      </c>
      <c r="K346" s="3" t="s">
        <v>714</v>
      </c>
      <c r="L346" s="3" t="s">
        <v>761</v>
      </c>
      <c r="M346" s="3" t="s">
        <v>365</v>
      </c>
      <c r="N346" s="3" t="s">
        <v>365</v>
      </c>
      <c r="O346" s="4" t="s">
        <v>849</v>
      </c>
      <c r="P346" s="3" t="s">
        <v>866</v>
      </c>
      <c r="Q346" s="3" t="s">
        <v>905</v>
      </c>
      <c r="R346" s="3" t="s">
        <v>910</v>
      </c>
      <c r="S346" s="3" t="s">
        <v>914</v>
      </c>
      <c r="T346" s="3"/>
      <c r="U346" s="3"/>
      <c r="V346" s="3" t="s">
        <v>1387</v>
      </c>
      <c r="W346" s="3" t="s">
        <v>1431</v>
      </c>
      <c r="X346" s="3" t="s">
        <v>1950</v>
      </c>
      <c r="Y346" s="3" t="s">
        <v>2419</v>
      </c>
      <c r="Z346" s="3"/>
      <c r="AA346" s="3" t="s">
        <v>1514</v>
      </c>
      <c r="AB346" s="3"/>
      <c r="AC346" s="5" cm="1">
        <f t="array" ref="AC346">IF(TRUE,"True," &amp; IF(_xlfn.XLOOKUP("Src_IsAny",'Scoring_Config'!$A:$A,'Scoring_Config'!$D:$D,"Yes")="Yes",_xlfn.XLOOKUP("Src_IsAny",'Scoring_Config'!$A:$A,'Scoring_Config'!$C:$C,25),0),"False,0")</f>
        <v>0</v>
      </c>
      <c r="AD346" s="5" cm="1">
        <f t="array" ref="AD346">IF(TRUE,"True," &amp; IF(_xlfn.XLOOKUP("Src_CIDR_Le_16",'Scoring_Config'!$A:$A,'Scoring_Config'!$D:$D,"Yes")="Yes",_xlfn.XLOOKUP("Src_CIDR_Le_16",'Scoring_Config'!$A:$A,'Scoring_Config'!$C:$C,25),0),"False,0")</f>
        <v>0</v>
      </c>
      <c r="AE346" s="4" cm="1">
        <f t="array" ref="AE346">IF(FALSE,"True," &amp; IF(_xlfn.XLOOKUP("Src_CIDR_17_22",'Scoring_Config'!$A:$A,'Scoring_Config'!$D:$D,"Yes")="Yes",_xlfn.XLOOKUP("Src_CIDR_17_22",'Scoring_Config'!$A:$A,'Scoring_Config'!$C:$C,15),0),"False,0")</f>
        <v>0</v>
      </c>
      <c r="AF346" s="4" cm="1">
        <f t="array" ref="AF346">IF(FALSE,"True," &amp; IF(_xlfn.XLOOKUP("Dst_IsAny",'Scoring_Config'!$A:$A,'Scoring_Config'!$D:$D,"Yes")="Yes",_xlfn.XLOOKUP("Dst_IsAny",'Scoring_Config'!$A:$A,'Scoring_Config'!$C:$C,25),0),"False,0")</f>
        <v>0</v>
      </c>
      <c r="AG346" s="5" cm="1">
        <f t="array" ref="AG346">IF(TRUE,"True," &amp; IF(_xlfn.XLOOKUP("Dst_CIDR_Le_16",'Scoring_Config'!$A:$A,'Scoring_Config'!$D:$D,"Yes")="Yes",_xlfn.XLOOKUP("Dst_CIDR_Le_16",'Scoring_Config'!$A:$A,'Scoring_Config'!$C:$C,25),0),"False,0")</f>
        <v>0</v>
      </c>
      <c r="AH346" s="4" cm="1">
        <f t="array" ref="AH346">IF(FALSE,"True," &amp; IF(_xlfn.XLOOKUP("Dst_CIDR_17_22",'Scoring_Config'!$A:$A,'Scoring_Config'!$D:$D,"Yes")="Yes",_xlfn.XLOOKUP("Dst_CIDR_17_22",'Scoring_Config'!$A:$A,'Scoring_Config'!$C:$C,15),0),"False,0")</f>
        <v>0</v>
      </c>
      <c r="AI346" s="5" cm="1">
        <f t="array" ref="AI346">IF(TRUE,"True," &amp; IF(_xlfn.XLOOKUP("SrcZone_IsAny",'Scoring_Config'!$A:$A,'Scoring_Config'!$D:$D,"Yes")="Yes",_xlfn.XLOOKUP("SrcZone_IsAny",'Scoring_Config'!$A:$A,'Scoring_Config'!$C:$C,5),0),"False,0")</f>
        <v>0</v>
      </c>
      <c r="AJ346" s="4" cm="1">
        <f t="array" ref="AJ346">IF(FALSE,"True," &amp; IF(_xlfn.XLOOKUP("DstZone_IsAny",'Scoring_Config'!$A:$A,'Scoring_Config'!$D:$D,"Yes")="Yes",_xlfn.XLOOKUP("DstZone_IsAny",'Scoring_Config'!$A:$A,'Scoring_Config'!$C:$C,5),0),"False,0")</f>
        <v>0</v>
      </c>
      <c r="AK346" s="4" cm="1">
        <f t="array" ref="AK34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6" s="5" cm="1">
        <f t="array" ref="AL346">IF(TRUE,"True," &amp; IF(_xlfn.XLOOKUP("App_Any_OR_RangeGt1000",'Scoring_Config'!$A:$A,'Scoring_Config'!$D:$D,"Yes")="Yes",_xlfn.XLOOKUP("App_Any_OR_RangeGt1000",'Scoring_Config'!$A:$A,'Scoring_Config'!$C:$C,25),0),"False,0")</f>
        <v>0</v>
      </c>
      <c r="AM346" s="5" cm="1">
        <f t="array" ref="AM346">IF(TRUE,"True," &amp; IF(_xlfn.XLOOKUP("Service_Insecure_Match",'Scoring_Config'!$A:$A,'Scoring_Config'!$D:$D,"Yes")="Yes",_xlfn.XLOOKUP("Service_Insecure_Match",'Scoring_Config'!$A:$A,'Scoring_Config'!$C:$C,20),0),"False,0")</f>
        <v>0</v>
      </c>
      <c r="AN346" s="5" cm="1">
        <f t="array" ref="AN346">IF(TRUE,"True," &amp; IF(_xlfn.XLOOKUP("Risky_Inbound",'Scoring_Config'!$A:$A,'Scoring_Config'!$D:$D,"Yes")="Yes",_xlfn.XLOOKUP("Risky_Inbound",'Scoring_Config'!$A:$A,'Scoring_Config'!$C:$C,20),0),"False,0")</f>
        <v>0</v>
      </c>
      <c r="AO346" s="4" cm="1">
        <f t="array" ref="AO346">IF(FALSE,"True," &amp; IF(_xlfn.XLOOKUP("Risky_Outbound",'Scoring_Config'!$A:$A,'Scoring_Config'!$D:$D,"Yes")="Yes",_xlfn.XLOOKUP("Risky_Outbound",'Scoring_Config'!$A:$A,'Scoring_Config'!$C:$C,10),0),"False,0")</f>
        <v>0</v>
      </c>
      <c r="AP346" s="5" t="s">
        <v>2595</v>
      </c>
      <c r="AQ346" s="5" cm="1">
        <f t="array" ref="AQ34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6" s="5" t="s">
        <v>2598</v>
      </c>
      <c r="AS346" s="4" t="s">
        <v>2592</v>
      </c>
      <c r="AT346" s="4" t="s">
        <v>2592</v>
      </c>
      <c r="AU346" s="4" cm="1">
        <f t="array" ref="AU346">IF(FALSE,"True," &amp; IF(_xlfn.XLOOKUP("Action_IsDenyOrDrop",'Scoring_Config'!$A:$A,'Scoring_Config'!$D:$D,"Yes")="Yes",_xlfn.XLOOKUP("Action_IsDenyOrDrop",'Scoring_Config'!$A:$A,'Scoring_Config'!$C:$C,0),0),"False,0")</f>
        <v>0</v>
      </c>
      <c r="AV346" s="4"/>
      <c r="AW346" s="4" cm="1">
        <f t="array" ref="AW346">IF(FALSE,"True," &amp; IF(_xlfn.XLOOKUP("Migrate_Insecure",'Scoring_Config'!$A:$A,'Scoring_Config'!$D:$D,"Yes")="Yes",_xlfn.XLOOKUP("Migrate_Insecure",'Scoring_Config'!$A:$A,'Scoring_Config'!$C:$C,15),0),"False,0")</f>
        <v>0</v>
      </c>
      <c r="AX346" s="4"/>
      <c r="AY346" s="4" cm="1">
        <f t="array" ref="AY346">IF(FALSE,"True," &amp; IF(_xlfn.XLOOKUP("Migrate_Other_Ports",'Scoring_Config'!$A:$A,'Scoring_Config'!$D:$D,"Yes")="Yes",_xlfn.XLOOKUP("Migrate_Other_Ports",'Scoring_Config'!$A:$A,'Scoring_Config'!$C:$C,5),0),"False,0")</f>
        <v>0</v>
      </c>
      <c r="AZ346" s="4" cm="1">
        <f t="array" ref="AZ346">IF(LEFT(AU346,4)="True",0,(IF(LEFT(AC346,4)="True",IF(_xlfn.XLOOKUP("Src_IsAny",'Scoring_Config'!$A:$A,'Scoring_Config'!$D:$D,"Yes")="Yes",_xlfn.XLOOKUP("Src_IsAny",'Scoring_Config'!$A:$A,'Scoring_Config'!$C:$C,25),0),0)+IF(LEFT(AD346,4)="True",IF(_xlfn.XLOOKUP("Src_CIDR_Le_16",'Scoring_Config'!$A:$A,'Scoring_Config'!$D:$D,"Yes")="Yes",_xlfn.XLOOKUP("Src_CIDR_Le_16",'Scoring_Config'!$A:$A,'Scoring_Config'!$C:$C,25),0),0)+IF(LEFT(AE346,4)="True",IF(_xlfn.XLOOKUP("Src_CIDR_17_22",'Scoring_Config'!$A:$A,'Scoring_Config'!$D:$D,"Yes")="Yes",_xlfn.XLOOKUP("Src_CIDR_17_22",'Scoring_Config'!$A:$A,'Scoring_Config'!$C:$C,15),0),0)+IF(LEFT(AF346,4)="True",IF(_xlfn.XLOOKUP("Dst_IsAny",'Scoring_Config'!$A:$A,'Scoring_Config'!$D:$D,"Yes")="Yes",_xlfn.XLOOKUP("Dst_IsAny",'Scoring_Config'!$A:$A,'Scoring_Config'!$C:$C,25),0),0)+IF(LEFT(AG346,4)="True",IF(_xlfn.XLOOKUP("Dst_CIDR_Le_16",'Scoring_Config'!$A:$A,'Scoring_Config'!$D:$D,"Yes")="Yes",_xlfn.XLOOKUP("Dst_CIDR_Le_16",'Scoring_Config'!$A:$A,'Scoring_Config'!$C:$C,25),0),0)+IF(LEFT(AH346,4)="True",IF(_xlfn.XLOOKUP("Dst_CIDR_17_22",'Scoring_Config'!$A:$A,'Scoring_Config'!$D:$D,"Yes")="Yes",_xlfn.XLOOKUP("Dst_CIDR_17_22",'Scoring_Config'!$A:$A,'Scoring_Config'!$C:$C,15),0),0)+IF(LEFT(AI346,4)="True",IF(_xlfn.XLOOKUP("SrcZone_IsAny",'Scoring_Config'!$A:$A,'Scoring_Config'!$D:$D,"Yes")="Yes",_xlfn.XLOOKUP("SrcZone_IsAny",'Scoring_Config'!$A:$A,'Scoring_Config'!$C:$C,5),0),0)+IF(LEFT(AJ346,4)="True",IF(_xlfn.XLOOKUP("DstZone_IsAny",'Scoring_Config'!$A:$A,'Scoring_Config'!$D:$D,"Yes")="Yes",_xlfn.XLOOKUP("DstZone_IsAny",'Scoring_Config'!$A:$A,'Scoring_Config'!$C:$C,5),0),0)+IF(LEFT(AK346,4)="True",IF(_xlfn.XLOOKUP("Service_Any_OR_RangeGt1000",'Scoring_Config'!$A:$A,'Scoring_Config'!$D:$D,"Yes")="Yes",_xlfn.XLOOKUP("Service_Any_OR_RangeGt1000",'Scoring_Config'!$A:$A,'Scoring_Config'!$C:$C,25),0),0)+IF(LEFT(AL346,4)="True",IF(_xlfn.XLOOKUP("App_Any_OR_RangeGt1000",'Scoring_Config'!$A:$A,'Scoring_Config'!$D:$D,"Yes")="Yes",_xlfn.XLOOKUP("App_Any_OR_RangeGt1000",'Scoring_Config'!$A:$A,'Scoring_Config'!$C:$C,25),0),0)+IF(LEFT(AM346,4)="True",IF(_xlfn.XLOOKUP("Service_Insecure_Match",'Scoring_Config'!$A:$A,'Scoring_Config'!$D:$D,"Yes")="Yes",_xlfn.XLOOKUP("Service_Insecure_Match",'Scoring_Config'!$A:$A,'Scoring_Config'!$C:$C,20),0),0)+IF(LEFT(AN346,4)="True",IF(_xlfn.XLOOKUP("Risky_Inbound",'Scoring_Config'!$A:$A,'Scoring_Config'!$D:$D,"Yes")="Yes",_xlfn.XLOOKUP("Risky_Inbound",'Scoring_Config'!$A:$A,'Scoring_Config'!$C:$C,20),0),0)+IF(LEFT(AO346,4)="True",IF(_xlfn.XLOOKUP("Risky_Outbound",'Scoring_Config'!$A:$A,'Scoring_Config'!$D:$D,"Yes")="Yes",_xlfn.XLOOKUP("Risky_Outbound",'Scoring_Config'!$A:$A,'Scoring_Config'!$C:$C,10),0),0)+IF(LEFT(AW346,4)="True",IF(_xlfn.XLOOKUP("Migrate_Insecure",'Scoring_Config'!$A:$A,'Scoring_Config'!$D:$D,"Yes")="Yes",_xlfn.XLOOKUP("Migrate_Insecure",'Scoring_Config'!$A:$A,'Scoring_Config'!$C:$C,15),0),0)+IF(LEFT(AY346,4)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346,FIND(",",AP346)+1,100)),0)+IF(LEFT(AQ346,4)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346,FIND(",",AR346)+1,100)),0)+IF(_xlfn.XLOOKUP("Profile_Scoring",'Scoring_Config'!$A:$A,'Scoring_Config'!$D:$D,"Yes")="Yes",VALUE(MID(AS346,FIND(",",AS346)+1,100)),0)+IF(_xlfn.XLOOKUP("Options_Scoring",'Scoring_Config'!$A:$A,'Scoring_Config'!$D:$D,"Yes")="Yes",VALUE(MID(AT346,FIND(",",AT346)+1,100)),0)))</f>
        <v>0</v>
      </c>
    </row>
    <row r="347" spans="1:52">
      <c r="A347" s="3" t="s">
        <v>54</v>
      </c>
      <c r="B347" s="3" t="s">
        <v>278</v>
      </c>
      <c r="C347" s="3" t="s">
        <v>331</v>
      </c>
      <c r="D347" s="3"/>
      <c r="E347" s="3" t="s">
        <v>359</v>
      </c>
      <c r="F347" s="3" t="s">
        <v>362</v>
      </c>
      <c r="G347" s="3" t="s">
        <v>494</v>
      </c>
      <c r="H347" s="3" t="s">
        <v>494</v>
      </c>
      <c r="I347" s="3" t="s">
        <v>365</v>
      </c>
      <c r="J347" s="3" t="s">
        <v>365</v>
      </c>
      <c r="K347" s="3" t="s">
        <v>484</v>
      </c>
      <c r="L347" s="3" t="s">
        <v>484</v>
      </c>
      <c r="M347" s="3" t="s">
        <v>778</v>
      </c>
      <c r="N347" s="3" t="s">
        <v>791</v>
      </c>
      <c r="O347" s="4" t="s">
        <v>817</v>
      </c>
      <c r="P347" s="3" t="s">
        <v>878</v>
      </c>
      <c r="Q347" s="3" t="s">
        <v>905</v>
      </c>
      <c r="R347" s="3" t="s">
        <v>906</v>
      </c>
      <c r="S347" s="3" t="s">
        <v>913</v>
      </c>
      <c r="T347" s="3"/>
      <c r="U347" s="3"/>
      <c r="V347" s="3" t="s">
        <v>1387</v>
      </c>
      <c r="W347" s="3" t="s">
        <v>1548</v>
      </c>
      <c r="X347" s="3" t="s">
        <v>1951</v>
      </c>
      <c r="Y347" s="3" t="s">
        <v>2420</v>
      </c>
      <c r="Z347" s="3"/>
      <c r="AA347" s="3" t="s">
        <v>2588</v>
      </c>
      <c r="AB347" s="3"/>
      <c r="AC347" s="4" cm="1">
        <f t="array" ref="AC347">IF(FALSE,"True," &amp; IF(_xlfn.XLOOKUP("Src_IsAny",'Scoring_Config'!$A:$A,'Scoring_Config'!$D:$D,"Yes")="Yes",_xlfn.XLOOKUP("Src_IsAny",'Scoring_Config'!$A:$A,'Scoring_Config'!$C:$C,25),0),"False,0")</f>
        <v>0</v>
      </c>
      <c r="AD347" s="4" cm="1">
        <f t="array" ref="AD347">IF(FALSE,"True," &amp; IF(_xlfn.XLOOKUP("Src_CIDR_Le_16",'Scoring_Config'!$A:$A,'Scoring_Config'!$D:$D,"Yes")="Yes",_xlfn.XLOOKUP("Src_CIDR_Le_16",'Scoring_Config'!$A:$A,'Scoring_Config'!$C:$C,25),0),"False,0")</f>
        <v>0</v>
      </c>
      <c r="AE347" s="4" cm="1">
        <f t="array" ref="AE347">IF(FALSE,"True," &amp; IF(_xlfn.XLOOKUP("Src_CIDR_17_22",'Scoring_Config'!$A:$A,'Scoring_Config'!$D:$D,"Yes")="Yes",_xlfn.XLOOKUP("Src_CIDR_17_22",'Scoring_Config'!$A:$A,'Scoring_Config'!$C:$C,15),0),"False,0")</f>
        <v>0</v>
      </c>
      <c r="AF347" s="4" cm="1">
        <f t="array" ref="AF347">IF(FALSE,"True," &amp; IF(_xlfn.XLOOKUP("Dst_IsAny",'Scoring_Config'!$A:$A,'Scoring_Config'!$D:$D,"Yes")="Yes",_xlfn.XLOOKUP("Dst_IsAny",'Scoring_Config'!$A:$A,'Scoring_Config'!$C:$C,25),0),"False,0")</f>
        <v>0</v>
      </c>
      <c r="AG347" s="4" cm="1">
        <f t="array" ref="AG347">IF(FALSE,"True," &amp; IF(_xlfn.XLOOKUP("Dst_CIDR_Le_16",'Scoring_Config'!$A:$A,'Scoring_Config'!$D:$D,"Yes")="Yes",_xlfn.XLOOKUP("Dst_CIDR_Le_16",'Scoring_Config'!$A:$A,'Scoring_Config'!$C:$C,25),0),"False,0")</f>
        <v>0</v>
      </c>
      <c r="AH347" s="4" cm="1">
        <f t="array" ref="AH347">IF(FALSE,"True," &amp; IF(_xlfn.XLOOKUP("Dst_CIDR_17_22",'Scoring_Config'!$A:$A,'Scoring_Config'!$D:$D,"Yes")="Yes",_xlfn.XLOOKUP("Dst_CIDR_17_22",'Scoring_Config'!$A:$A,'Scoring_Config'!$C:$C,15),0),"False,0")</f>
        <v>0</v>
      </c>
      <c r="AI347" s="4" cm="1">
        <f t="array" ref="AI347">IF(FALSE,"True," &amp; IF(_xlfn.XLOOKUP("SrcZone_IsAny",'Scoring_Config'!$A:$A,'Scoring_Config'!$D:$D,"Yes")="Yes",_xlfn.XLOOKUP("SrcZone_IsAny",'Scoring_Config'!$A:$A,'Scoring_Config'!$C:$C,5),0),"False,0")</f>
        <v>0</v>
      </c>
      <c r="AJ347" s="5" cm="1">
        <f t="array" ref="AJ347">IF(TRUE,"True," &amp; IF(_xlfn.XLOOKUP("DstZone_IsAny",'Scoring_Config'!$A:$A,'Scoring_Config'!$D:$D,"Yes")="Yes",_xlfn.XLOOKUP("DstZone_IsAny",'Scoring_Config'!$A:$A,'Scoring_Config'!$C:$C,5),0),"False,0")</f>
        <v>0</v>
      </c>
      <c r="AK347" s="4" cm="1">
        <f t="array" ref="AK34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7" s="5" cm="1">
        <f t="array" ref="AL347">IF(TRUE,"True," &amp; IF(_xlfn.XLOOKUP("App_Any_OR_RangeGt1000",'Scoring_Config'!$A:$A,'Scoring_Config'!$D:$D,"Yes")="Yes",_xlfn.XLOOKUP("App_Any_OR_RangeGt1000",'Scoring_Config'!$A:$A,'Scoring_Config'!$C:$C,25),0),"False,0")</f>
        <v>0</v>
      </c>
      <c r="AM347" s="5" cm="1">
        <f t="array" ref="AM347">IF(TRUE,"True," &amp; IF(_xlfn.XLOOKUP("Service_Insecure_Match",'Scoring_Config'!$A:$A,'Scoring_Config'!$D:$D,"Yes")="Yes",_xlfn.XLOOKUP("Service_Insecure_Match",'Scoring_Config'!$A:$A,'Scoring_Config'!$C:$C,20),0),"False,0")</f>
        <v>0</v>
      </c>
      <c r="AN347" s="4" cm="1">
        <f t="array" ref="AN347">IF(FALSE,"True," &amp; IF(_xlfn.XLOOKUP("Risky_Inbound",'Scoring_Config'!$A:$A,'Scoring_Config'!$D:$D,"Yes")="Yes",_xlfn.XLOOKUP("Risky_Inbound",'Scoring_Config'!$A:$A,'Scoring_Config'!$C:$C,20),0),"False,0")</f>
        <v>0</v>
      </c>
      <c r="AO347" s="4" cm="1">
        <f t="array" ref="AO347">IF(FALSE,"True," &amp; IF(_xlfn.XLOOKUP("Risky_Outbound",'Scoring_Config'!$A:$A,'Scoring_Config'!$D:$D,"Yes")="Yes",_xlfn.XLOOKUP("Risky_Outbound",'Scoring_Config'!$A:$A,'Scoring_Config'!$C:$C,10),0),"False,0")</f>
        <v>0</v>
      </c>
      <c r="AP347" s="5" t="s">
        <v>2595</v>
      </c>
      <c r="AQ347" s="5" cm="1">
        <f t="array" ref="AQ34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7" s="4" t="s">
        <v>2592</v>
      </c>
      <c r="AS347" s="4" t="s">
        <v>2592</v>
      </c>
      <c r="AT347" s="4" t="s">
        <v>2592</v>
      </c>
      <c r="AU347" s="4" cm="1">
        <f t="array" ref="AU347">IF(FALSE,"True," &amp; IF(_xlfn.XLOOKUP("Action_IsDenyOrDrop",'Scoring_Config'!$A:$A,'Scoring_Config'!$D:$D,"Yes")="Yes",_xlfn.XLOOKUP("Action_IsDenyOrDrop",'Scoring_Config'!$A:$A,'Scoring_Config'!$C:$C,0),0),"False,0")</f>
        <v>0</v>
      </c>
      <c r="AV347" s="4"/>
      <c r="AW347" s="4" cm="1">
        <f t="array" ref="AW347">IF(FALSE,"True," &amp; IF(_xlfn.XLOOKUP("Migrate_Insecure",'Scoring_Config'!$A:$A,'Scoring_Config'!$D:$D,"Yes")="Yes",_xlfn.XLOOKUP("Migrate_Insecure",'Scoring_Config'!$A:$A,'Scoring_Config'!$C:$C,15),0),"False,0")</f>
        <v>0</v>
      </c>
      <c r="AX347" s="4"/>
      <c r="AY347" s="4" cm="1">
        <f t="array" ref="AY347">IF(FALSE,"True," &amp; IF(_xlfn.XLOOKUP("Migrate_Other_Ports",'Scoring_Config'!$A:$A,'Scoring_Config'!$D:$D,"Yes")="Yes",_xlfn.XLOOKUP("Migrate_Other_Ports",'Scoring_Config'!$A:$A,'Scoring_Config'!$C:$C,5),0),"False,0")</f>
        <v>0</v>
      </c>
      <c r="AZ347" s="4" cm="1">
        <f t="array" ref="AZ347">IF(LEFT(AU347,4)="True",0,(IF(LEFT(AC347,4)="True",IF(_xlfn.XLOOKUP("Src_IsAny",'Scoring_Config'!$A:$A,'Scoring_Config'!$D:$D,"Yes")="Yes",_xlfn.XLOOKUP("Src_IsAny",'Scoring_Config'!$A:$A,'Scoring_Config'!$C:$C,25),0),0)+IF(LEFT(AD347,4)="True",IF(_xlfn.XLOOKUP("Src_CIDR_Le_16",'Scoring_Config'!$A:$A,'Scoring_Config'!$D:$D,"Yes")="Yes",_xlfn.XLOOKUP("Src_CIDR_Le_16",'Scoring_Config'!$A:$A,'Scoring_Config'!$C:$C,25),0),0)+IF(LEFT(AE347,4)="True",IF(_xlfn.XLOOKUP("Src_CIDR_17_22",'Scoring_Config'!$A:$A,'Scoring_Config'!$D:$D,"Yes")="Yes",_xlfn.XLOOKUP("Src_CIDR_17_22",'Scoring_Config'!$A:$A,'Scoring_Config'!$C:$C,15),0),0)+IF(LEFT(AF347,4)="True",IF(_xlfn.XLOOKUP("Dst_IsAny",'Scoring_Config'!$A:$A,'Scoring_Config'!$D:$D,"Yes")="Yes",_xlfn.XLOOKUP("Dst_IsAny",'Scoring_Config'!$A:$A,'Scoring_Config'!$C:$C,25),0),0)+IF(LEFT(AG347,4)="True",IF(_xlfn.XLOOKUP("Dst_CIDR_Le_16",'Scoring_Config'!$A:$A,'Scoring_Config'!$D:$D,"Yes")="Yes",_xlfn.XLOOKUP("Dst_CIDR_Le_16",'Scoring_Config'!$A:$A,'Scoring_Config'!$C:$C,25),0),0)+IF(LEFT(AH347,4)="True",IF(_xlfn.XLOOKUP("Dst_CIDR_17_22",'Scoring_Config'!$A:$A,'Scoring_Config'!$D:$D,"Yes")="Yes",_xlfn.XLOOKUP("Dst_CIDR_17_22",'Scoring_Config'!$A:$A,'Scoring_Config'!$C:$C,15),0),0)+IF(LEFT(AI347,4)="True",IF(_xlfn.XLOOKUP("SrcZone_IsAny",'Scoring_Config'!$A:$A,'Scoring_Config'!$D:$D,"Yes")="Yes",_xlfn.XLOOKUP("SrcZone_IsAny",'Scoring_Config'!$A:$A,'Scoring_Config'!$C:$C,5),0),0)+IF(LEFT(AJ347,4)="True",IF(_xlfn.XLOOKUP("DstZone_IsAny",'Scoring_Config'!$A:$A,'Scoring_Config'!$D:$D,"Yes")="Yes",_xlfn.XLOOKUP("DstZone_IsAny",'Scoring_Config'!$A:$A,'Scoring_Config'!$C:$C,5),0),0)+IF(LEFT(AK347,4)="True",IF(_xlfn.XLOOKUP("Service_Any_OR_RangeGt1000",'Scoring_Config'!$A:$A,'Scoring_Config'!$D:$D,"Yes")="Yes",_xlfn.XLOOKUP("Service_Any_OR_RangeGt1000",'Scoring_Config'!$A:$A,'Scoring_Config'!$C:$C,25),0),0)+IF(LEFT(AL347,4)="True",IF(_xlfn.XLOOKUP("App_Any_OR_RangeGt1000",'Scoring_Config'!$A:$A,'Scoring_Config'!$D:$D,"Yes")="Yes",_xlfn.XLOOKUP("App_Any_OR_RangeGt1000",'Scoring_Config'!$A:$A,'Scoring_Config'!$C:$C,25),0),0)+IF(LEFT(AM347,4)="True",IF(_xlfn.XLOOKUP("Service_Insecure_Match",'Scoring_Config'!$A:$A,'Scoring_Config'!$D:$D,"Yes")="Yes",_xlfn.XLOOKUP("Service_Insecure_Match",'Scoring_Config'!$A:$A,'Scoring_Config'!$C:$C,20),0),0)+IF(LEFT(AN347,4)="True",IF(_xlfn.XLOOKUP("Risky_Inbound",'Scoring_Config'!$A:$A,'Scoring_Config'!$D:$D,"Yes")="Yes",_xlfn.XLOOKUP("Risky_Inbound",'Scoring_Config'!$A:$A,'Scoring_Config'!$C:$C,20),0),0)+IF(LEFT(AO347,4)="True",IF(_xlfn.XLOOKUP("Risky_Outbound",'Scoring_Config'!$A:$A,'Scoring_Config'!$D:$D,"Yes")="Yes",_xlfn.XLOOKUP("Risky_Outbound",'Scoring_Config'!$A:$A,'Scoring_Config'!$C:$C,10),0),0)+IF(LEFT(AW347,4)="True",IF(_xlfn.XLOOKUP("Migrate_Insecure",'Scoring_Config'!$A:$A,'Scoring_Config'!$D:$D,"Yes")="Yes",_xlfn.XLOOKUP("Migrate_Insecure",'Scoring_Config'!$A:$A,'Scoring_Config'!$C:$C,15),0),0)+IF(LEFT(AY347,4)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347,FIND(",",AP347)+1,100)),0)+IF(LEFT(AQ347,4)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347,FIND(",",AR347)+1,100)),0)+IF(_xlfn.XLOOKUP("Profile_Scoring",'Scoring_Config'!$A:$A,'Scoring_Config'!$D:$D,"Yes")="Yes",VALUE(MID(AS347,FIND(",",AS347)+1,100)),0)+IF(_xlfn.XLOOKUP("Options_Scoring",'Scoring_Config'!$A:$A,'Scoring_Config'!$D:$D,"Yes")="Yes",VALUE(MID(AT347,FIND(",",AT347)+1,100)),0)))</f>
        <v>0</v>
      </c>
    </row>
    <row r="348" spans="1:52">
      <c r="A348" s="3" t="s">
        <v>54</v>
      </c>
      <c r="B348" s="3" t="s">
        <v>279</v>
      </c>
      <c r="C348" s="3" t="s">
        <v>331</v>
      </c>
      <c r="D348" s="3"/>
      <c r="E348" s="3" t="s">
        <v>359</v>
      </c>
      <c r="F348" s="3" t="s">
        <v>362</v>
      </c>
      <c r="G348" s="3" t="s">
        <v>490</v>
      </c>
      <c r="H348" s="3" t="s">
        <v>598</v>
      </c>
      <c r="I348" s="3" t="s">
        <v>625</v>
      </c>
      <c r="J348" s="3" t="s">
        <v>365</v>
      </c>
      <c r="K348" s="3" t="s">
        <v>365</v>
      </c>
      <c r="L348" s="3" t="s">
        <v>365</v>
      </c>
      <c r="M348" s="3" t="s">
        <v>778</v>
      </c>
      <c r="N348" s="3" t="s">
        <v>791</v>
      </c>
      <c r="O348" s="4" t="s">
        <v>833</v>
      </c>
      <c r="P348" s="3" t="s">
        <v>894</v>
      </c>
      <c r="Q348" s="3" t="s">
        <v>905</v>
      </c>
      <c r="R348" s="3" t="s">
        <v>911</v>
      </c>
      <c r="S348" s="3" t="s">
        <v>913</v>
      </c>
      <c r="T348" s="3"/>
      <c r="U348" s="3"/>
      <c r="V348" s="3" t="s">
        <v>789</v>
      </c>
      <c r="W348" s="3" t="s">
        <v>1531</v>
      </c>
      <c r="X348" s="3" t="s">
        <v>1952</v>
      </c>
      <c r="Y348" s="3" t="s">
        <v>2421</v>
      </c>
      <c r="Z348" s="3"/>
      <c r="AA348" s="3" t="s">
        <v>2589</v>
      </c>
      <c r="AB348" s="3"/>
      <c r="AC348" s="4" cm="1">
        <f t="array" ref="AC348">IF(FALSE,"True," &amp; IF(_xlfn.XLOOKUP("Src_IsAny",'Scoring_Config'!$A:$A,'Scoring_Config'!$D:$D,"Yes")="Yes",_xlfn.XLOOKUP("Src_IsAny",'Scoring_Config'!$A:$A,'Scoring_Config'!$C:$C,25),0),"False,0")</f>
        <v>0</v>
      </c>
      <c r="AD348" s="4" cm="1">
        <f t="array" ref="AD348">IF(FALSE,"True," &amp; IF(_xlfn.XLOOKUP("Src_CIDR_Le_16",'Scoring_Config'!$A:$A,'Scoring_Config'!$D:$D,"Yes")="Yes",_xlfn.XLOOKUP("Src_CIDR_Le_16",'Scoring_Config'!$A:$A,'Scoring_Config'!$C:$C,25),0),"False,0")</f>
        <v>0</v>
      </c>
      <c r="AE348" s="4" cm="1">
        <f t="array" ref="AE348">IF(FALSE,"True," &amp; IF(_xlfn.XLOOKUP("Src_CIDR_17_22",'Scoring_Config'!$A:$A,'Scoring_Config'!$D:$D,"Yes")="Yes",_xlfn.XLOOKUP("Src_CIDR_17_22",'Scoring_Config'!$A:$A,'Scoring_Config'!$C:$C,15),0),"False,0")</f>
        <v>0</v>
      </c>
      <c r="AF348" s="5" cm="1">
        <f t="array" ref="AF348">IF(TRUE,"True," &amp; IF(_xlfn.XLOOKUP("Dst_IsAny",'Scoring_Config'!$A:$A,'Scoring_Config'!$D:$D,"Yes")="Yes",_xlfn.XLOOKUP("Dst_IsAny",'Scoring_Config'!$A:$A,'Scoring_Config'!$C:$C,25),0),"False,0")</f>
        <v>0</v>
      </c>
      <c r="AG348" s="4" cm="1">
        <f t="array" ref="AG348">IF(FALSE,"True," &amp; IF(_xlfn.XLOOKUP("Dst_CIDR_Le_16",'Scoring_Config'!$A:$A,'Scoring_Config'!$D:$D,"Yes")="Yes",_xlfn.XLOOKUP("Dst_CIDR_Le_16",'Scoring_Config'!$A:$A,'Scoring_Config'!$C:$C,25),0),"False,0")</f>
        <v>0</v>
      </c>
      <c r="AH348" s="4" cm="1">
        <f t="array" ref="AH348">IF(FALSE,"True," &amp; IF(_xlfn.XLOOKUP("Dst_CIDR_17_22",'Scoring_Config'!$A:$A,'Scoring_Config'!$D:$D,"Yes")="Yes",_xlfn.XLOOKUP("Dst_CIDR_17_22",'Scoring_Config'!$A:$A,'Scoring_Config'!$C:$C,15),0),"False,0")</f>
        <v>0</v>
      </c>
      <c r="AI348" s="4" cm="1">
        <f t="array" ref="AI348">IF(FALSE,"True," &amp; IF(_xlfn.XLOOKUP("SrcZone_IsAny",'Scoring_Config'!$A:$A,'Scoring_Config'!$D:$D,"Yes")="Yes",_xlfn.XLOOKUP("SrcZone_IsAny",'Scoring_Config'!$A:$A,'Scoring_Config'!$C:$C,5),0),"False,0")</f>
        <v>0</v>
      </c>
      <c r="AJ348" s="5" cm="1">
        <f t="array" ref="AJ348">IF(TRUE,"True," &amp; IF(_xlfn.XLOOKUP("DstZone_IsAny",'Scoring_Config'!$A:$A,'Scoring_Config'!$D:$D,"Yes")="Yes",_xlfn.XLOOKUP("DstZone_IsAny",'Scoring_Config'!$A:$A,'Scoring_Config'!$C:$C,5),0),"False,0")</f>
        <v>0</v>
      </c>
      <c r="AK348" s="5" cm="1">
        <f t="array" ref="AK348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48" s="5" cm="1">
        <f t="array" ref="AL348">IF(TRUE,"True," &amp; IF(_xlfn.XLOOKUP("App_Any_OR_RangeGt1000",'Scoring_Config'!$A:$A,'Scoring_Config'!$D:$D,"Yes")="Yes",_xlfn.XLOOKUP("App_Any_OR_RangeGt1000",'Scoring_Config'!$A:$A,'Scoring_Config'!$C:$C,25),0),"False,0")</f>
        <v>0</v>
      </c>
      <c r="AM348" s="5" cm="1">
        <f t="array" ref="AM348">IF(TRUE,"True," &amp; IF(_xlfn.XLOOKUP("Service_Insecure_Match",'Scoring_Config'!$A:$A,'Scoring_Config'!$D:$D,"Yes")="Yes",_xlfn.XLOOKUP("Service_Insecure_Match",'Scoring_Config'!$A:$A,'Scoring_Config'!$C:$C,20),0),"False,0")</f>
        <v>0</v>
      </c>
      <c r="AN348" s="4" cm="1">
        <f t="array" ref="AN348">IF(FALSE,"True," &amp; IF(_xlfn.XLOOKUP("Risky_Inbound",'Scoring_Config'!$A:$A,'Scoring_Config'!$D:$D,"Yes")="Yes",_xlfn.XLOOKUP("Risky_Inbound",'Scoring_Config'!$A:$A,'Scoring_Config'!$C:$C,20),0),"False,0")</f>
        <v>0</v>
      </c>
      <c r="AO348" s="4" cm="1">
        <f t="array" ref="AO348">IF(FALSE,"True," &amp; IF(_xlfn.XLOOKUP("Risky_Outbound",'Scoring_Config'!$A:$A,'Scoring_Config'!$D:$D,"Yes")="Yes",_xlfn.XLOOKUP("Risky_Outbound",'Scoring_Config'!$A:$A,'Scoring_Config'!$C:$C,10),0),"False,0")</f>
        <v>0</v>
      </c>
      <c r="AP348" s="5" t="s">
        <v>2595</v>
      </c>
      <c r="AQ348" s="5" cm="1">
        <f t="array" ref="AQ34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8" s="5" t="s">
        <v>2598</v>
      </c>
      <c r="AS348" s="4" t="s">
        <v>2592</v>
      </c>
      <c r="AT348" s="4" t="s">
        <v>2592</v>
      </c>
      <c r="AU348" s="4" cm="1">
        <f t="array" ref="AU348">IF(FALSE,"True," &amp; IF(_xlfn.XLOOKUP("Action_IsDenyOrDrop",'Scoring_Config'!$A:$A,'Scoring_Config'!$D:$D,"Yes")="Yes",_xlfn.XLOOKUP("Action_IsDenyOrDrop",'Scoring_Config'!$A:$A,'Scoring_Config'!$C:$C,0),0),"False,0")</f>
        <v>0</v>
      </c>
      <c r="AV348" s="4"/>
      <c r="AW348" s="4" cm="1">
        <f t="array" ref="AW348">IF(FALSE,"True," &amp; IF(_xlfn.XLOOKUP("Migrate_Insecure",'Scoring_Config'!$A:$A,'Scoring_Config'!$D:$D,"Yes")="Yes",_xlfn.XLOOKUP("Migrate_Insecure",'Scoring_Config'!$A:$A,'Scoring_Config'!$C:$C,15),0),"False,0")</f>
        <v>0</v>
      </c>
      <c r="AX348" s="4"/>
      <c r="AY348" s="4" cm="1">
        <f t="array" ref="AY348">IF(FALSE,"True," &amp; IF(_xlfn.XLOOKUP("Migrate_Other_Ports",'Scoring_Config'!$A:$A,'Scoring_Config'!$D:$D,"Yes")="Yes",_xlfn.XLOOKUP("Migrate_Other_Ports",'Scoring_Config'!$A:$A,'Scoring_Config'!$C:$C,5),0),"False,0")</f>
        <v>0</v>
      </c>
      <c r="AZ348" s="4" cm="1">
        <f t="array" ref="AZ348">IF(LEFT(AU348,4)="True",0,(IF(LEFT(AC348,4)="True",IF(_xlfn.XLOOKUP("Src_IsAny",'Scoring_Config'!$A:$A,'Scoring_Config'!$D:$D,"Yes")="Yes",_xlfn.XLOOKUP("Src_IsAny",'Scoring_Config'!$A:$A,'Scoring_Config'!$C:$C,25),0),0)+IF(LEFT(AD348,4)="True",IF(_xlfn.XLOOKUP("Src_CIDR_Le_16",'Scoring_Config'!$A:$A,'Scoring_Config'!$D:$D,"Yes")="Yes",_xlfn.XLOOKUP("Src_CIDR_Le_16",'Scoring_Config'!$A:$A,'Scoring_Config'!$C:$C,25),0),0)+IF(LEFT(AE348,4)="True",IF(_xlfn.XLOOKUP("Src_CIDR_17_22",'Scoring_Config'!$A:$A,'Scoring_Config'!$D:$D,"Yes")="Yes",_xlfn.XLOOKUP("Src_CIDR_17_22",'Scoring_Config'!$A:$A,'Scoring_Config'!$C:$C,15),0),0)+IF(LEFT(AF348,4)="True",IF(_xlfn.XLOOKUP("Dst_IsAny",'Scoring_Config'!$A:$A,'Scoring_Config'!$D:$D,"Yes")="Yes",_xlfn.XLOOKUP("Dst_IsAny",'Scoring_Config'!$A:$A,'Scoring_Config'!$C:$C,25),0),0)+IF(LEFT(AG348,4)="True",IF(_xlfn.XLOOKUP("Dst_CIDR_Le_16",'Scoring_Config'!$A:$A,'Scoring_Config'!$D:$D,"Yes")="Yes",_xlfn.XLOOKUP("Dst_CIDR_Le_16",'Scoring_Config'!$A:$A,'Scoring_Config'!$C:$C,25),0),0)+IF(LEFT(AH348,4)="True",IF(_xlfn.XLOOKUP("Dst_CIDR_17_22",'Scoring_Config'!$A:$A,'Scoring_Config'!$D:$D,"Yes")="Yes",_xlfn.XLOOKUP("Dst_CIDR_17_22",'Scoring_Config'!$A:$A,'Scoring_Config'!$C:$C,15),0),0)+IF(LEFT(AI348,4)="True",IF(_xlfn.XLOOKUP("SrcZone_IsAny",'Scoring_Config'!$A:$A,'Scoring_Config'!$D:$D,"Yes")="Yes",_xlfn.XLOOKUP("SrcZone_IsAny",'Scoring_Config'!$A:$A,'Scoring_Config'!$C:$C,5),0),0)+IF(LEFT(AJ348,4)="True",IF(_xlfn.XLOOKUP("DstZone_IsAny",'Scoring_Config'!$A:$A,'Scoring_Config'!$D:$D,"Yes")="Yes",_xlfn.XLOOKUP("DstZone_IsAny",'Scoring_Config'!$A:$A,'Scoring_Config'!$C:$C,5),0),0)+IF(LEFT(AK348,4)="True",IF(_xlfn.XLOOKUP("Service_Any_OR_RangeGt1000",'Scoring_Config'!$A:$A,'Scoring_Config'!$D:$D,"Yes")="Yes",_xlfn.XLOOKUP("Service_Any_OR_RangeGt1000",'Scoring_Config'!$A:$A,'Scoring_Config'!$C:$C,25),0),0)+IF(LEFT(AL348,4)="True",IF(_xlfn.XLOOKUP("App_Any_OR_RangeGt1000",'Scoring_Config'!$A:$A,'Scoring_Config'!$D:$D,"Yes")="Yes",_xlfn.XLOOKUP("App_Any_OR_RangeGt1000",'Scoring_Config'!$A:$A,'Scoring_Config'!$C:$C,25),0),0)+IF(LEFT(AM348,4)="True",IF(_xlfn.XLOOKUP("Service_Insecure_Match",'Scoring_Config'!$A:$A,'Scoring_Config'!$D:$D,"Yes")="Yes",_xlfn.XLOOKUP("Service_Insecure_Match",'Scoring_Config'!$A:$A,'Scoring_Config'!$C:$C,20),0),0)+IF(LEFT(AN348,4)="True",IF(_xlfn.XLOOKUP("Risky_Inbound",'Scoring_Config'!$A:$A,'Scoring_Config'!$D:$D,"Yes")="Yes",_xlfn.XLOOKUP("Risky_Inbound",'Scoring_Config'!$A:$A,'Scoring_Config'!$C:$C,20),0),0)+IF(LEFT(AO348,4)="True",IF(_xlfn.XLOOKUP("Risky_Outbound",'Scoring_Config'!$A:$A,'Scoring_Config'!$D:$D,"Yes")="Yes",_xlfn.XLOOKUP("Risky_Outbound",'Scoring_Config'!$A:$A,'Scoring_Config'!$C:$C,10),0),0)+IF(LEFT(AW348,4)="True",IF(_xlfn.XLOOKUP("Migrate_Insecure",'Scoring_Config'!$A:$A,'Scoring_Config'!$D:$D,"Yes")="Yes",_xlfn.XLOOKUP("Migrate_Insecure",'Scoring_Config'!$A:$A,'Scoring_Config'!$C:$C,15),0),0)+IF(LEFT(AY348,4)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348,FIND(",",AP348)+1,100)),0)+IF(LEFT(AQ348,4)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348,FIND(",",AR348)+1,100)),0)+IF(_xlfn.XLOOKUP("Profile_Scoring",'Scoring_Config'!$A:$A,'Scoring_Config'!$D:$D,"Yes")="Yes",VALUE(MID(AS348,FIND(",",AS348)+1,100)),0)+IF(_xlfn.XLOOKUP("Options_Scoring",'Scoring_Config'!$A:$A,'Scoring_Config'!$D:$D,"Yes")="Yes",VALUE(MID(AT348,FIND(",",AT348)+1,100)),0)))</f>
        <v>0</v>
      </c>
    </row>
    <row r="349" spans="1:52">
      <c r="A349" s="3" t="s">
        <v>54</v>
      </c>
      <c r="B349" s="3" t="s">
        <v>280</v>
      </c>
      <c r="C349" s="3" t="s">
        <v>331</v>
      </c>
      <c r="D349" s="3"/>
      <c r="E349" s="3" t="s">
        <v>359</v>
      </c>
      <c r="F349" s="3" t="s">
        <v>364</v>
      </c>
      <c r="G349" s="3" t="s">
        <v>484</v>
      </c>
      <c r="H349" s="3" t="s">
        <v>484</v>
      </c>
      <c r="I349" s="3" t="s">
        <v>623</v>
      </c>
      <c r="J349" s="3" t="s">
        <v>361</v>
      </c>
      <c r="K349" s="3" t="s">
        <v>715</v>
      </c>
      <c r="L349" s="3" t="s">
        <v>715</v>
      </c>
      <c r="M349" s="3" t="s">
        <v>365</v>
      </c>
      <c r="N349" s="3" t="s">
        <v>365</v>
      </c>
      <c r="O349" s="4" t="s">
        <v>827</v>
      </c>
      <c r="P349" s="3" t="s">
        <v>888</v>
      </c>
      <c r="Q349" s="3" t="s">
        <v>905</v>
      </c>
      <c r="R349" s="3" t="s">
        <v>907</v>
      </c>
      <c r="S349" s="3" t="s">
        <v>907</v>
      </c>
      <c r="T349" s="3"/>
      <c r="U349" s="3"/>
      <c r="V349" s="3" t="s">
        <v>772</v>
      </c>
      <c r="W349" s="3" t="s">
        <v>1507</v>
      </c>
      <c r="X349" s="3" t="s">
        <v>1953</v>
      </c>
      <c r="Y349" s="3" t="s">
        <v>2422</v>
      </c>
      <c r="Z349" s="3"/>
      <c r="AA349" s="3" t="s">
        <v>2590</v>
      </c>
      <c r="AB349" s="3"/>
      <c r="AC349" s="4" cm="1">
        <f t="array" ref="AC349">IF(FALSE,"True," &amp; IF(_xlfn.XLOOKUP("Src_IsAny",'Scoring_Config'!$A:$A,'Scoring_Config'!$D:$D,"Yes")="Yes",_xlfn.XLOOKUP("Src_IsAny",'Scoring_Config'!$A:$A,'Scoring_Config'!$C:$C,25),0),"False,0")</f>
        <v>0</v>
      </c>
      <c r="AD349" s="4" cm="1">
        <f t="array" ref="AD349">IF(FALSE,"True," &amp; IF(_xlfn.XLOOKUP("Src_CIDR_Le_16",'Scoring_Config'!$A:$A,'Scoring_Config'!$D:$D,"Yes")="Yes",_xlfn.XLOOKUP("Src_CIDR_Le_16",'Scoring_Config'!$A:$A,'Scoring_Config'!$C:$C,25),0),"False,0")</f>
        <v>0</v>
      </c>
      <c r="AE349" s="4" cm="1">
        <f t="array" ref="AE349">IF(FALSE,"True," &amp; IF(_xlfn.XLOOKUP("Src_CIDR_17_22",'Scoring_Config'!$A:$A,'Scoring_Config'!$D:$D,"Yes")="Yes",_xlfn.XLOOKUP("Src_CIDR_17_22",'Scoring_Config'!$A:$A,'Scoring_Config'!$C:$C,15),0),"False,0")</f>
        <v>0</v>
      </c>
      <c r="AF349" s="4" cm="1">
        <f t="array" ref="AF349">IF(FALSE,"True," &amp; IF(_xlfn.XLOOKUP("Dst_IsAny",'Scoring_Config'!$A:$A,'Scoring_Config'!$D:$D,"Yes")="Yes",_xlfn.XLOOKUP("Dst_IsAny",'Scoring_Config'!$A:$A,'Scoring_Config'!$C:$C,25),0),"False,0")</f>
        <v>0</v>
      </c>
      <c r="AG349" s="4" cm="1">
        <f t="array" ref="AG349">IF(FALSE,"True," &amp; IF(_xlfn.XLOOKUP("Dst_CIDR_Le_16",'Scoring_Config'!$A:$A,'Scoring_Config'!$D:$D,"Yes")="Yes",_xlfn.XLOOKUP("Dst_CIDR_Le_16",'Scoring_Config'!$A:$A,'Scoring_Config'!$C:$C,25),0),"False,0")</f>
        <v>0</v>
      </c>
      <c r="AH349" s="4" cm="1">
        <f t="array" ref="AH349">IF(FALSE,"True," &amp; IF(_xlfn.XLOOKUP("Dst_CIDR_17_22",'Scoring_Config'!$A:$A,'Scoring_Config'!$D:$D,"Yes")="Yes",_xlfn.XLOOKUP("Dst_CIDR_17_22",'Scoring_Config'!$A:$A,'Scoring_Config'!$C:$C,15),0),"False,0")</f>
        <v>0</v>
      </c>
      <c r="AI349" s="4" cm="1">
        <f t="array" ref="AI349">IF(FALSE,"True," &amp; IF(_xlfn.XLOOKUP("SrcZone_IsAny",'Scoring_Config'!$A:$A,'Scoring_Config'!$D:$D,"Yes")="Yes",_xlfn.XLOOKUP("SrcZone_IsAny",'Scoring_Config'!$A:$A,'Scoring_Config'!$C:$C,5),0),"False,0")</f>
        <v>0</v>
      </c>
      <c r="AJ349" s="4" cm="1">
        <f t="array" ref="AJ349">IF(FALSE,"True," &amp; IF(_xlfn.XLOOKUP("DstZone_IsAny",'Scoring_Config'!$A:$A,'Scoring_Config'!$D:$D,"Yes")="Yes",_xlfn.XLOOKUP("DstZone_IsAny",'Scoring_Config'!$A:$A,'Scoring_Config'!$C:$C,5),0),"False,0")</f>
        <v>0</v>
      </c>
      <c r="AK349" s="4" cm="1">
        <f t="array" ref="AK34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49" s="5" cm="1">
        <f t="array" ref="AL349">IF(TRUE,"True," &amp; IF(_xlfn.XLOOKUP("App_Any_OR_RangeGt1000",'Scoring_Config'!$A:$A,'Scoring_Config'!$D:$D,"Yes")="Yes",_xlfn.XLOOKUP("App_Any_OR_RangeGt1000",'Scoring_Config'!$A:$A,'Scoring_Config'!$C:$C,25),0),"False,0")</f>
        <v>0</v>
      </c>
      <c r="AM349" s="5" cm="1">
        <f t="array" ref="AM349">IF(TRUE,"True," &amp; IF(_xlfn.XLOOKUP("Service_Insecure_Match",'Scoring_Config'!$A:$A,'Scoring_Config'!$D:$D,"Yes")="Yes",_xlfn.XLOOKUP("Service_Insecure_Match",'Scoring_Config'!$A:$A,'Scoring_Config'!$C:$C,20),0),"False,0")</f>
        <v>0</v>
      </c>
      <c r="AN349" s="4" cm="1">
        <f t="array" ref="AN349">IF(FALSE,"True," &amp; IF(_xlfn.XLOOKUP("Risky_Inbound",'Scoring_Config'!$A:$A,'Scoring_Config'!$D:$D,"Yes")="Yes",_xlfn.XLOOKUP("Risky_Inbound",'Scoring_Config'!$A:$A,'Scoring_Config'!$C:$C,20),0),"False,0")</f>
        <v>0</v>
      </c>
      <c r="AO349" s="5" cm="1">
        <f t="array" ref="AO349">IF(TRUE,"True," &amp; IF(_xlfn.XLOOKUP("Risky_Outbound",'Scoring_Config'!$A:$A,'Scoring_Config'!$D:$D,"Yes")="Yes",_xlfn.XLOOKUP("Risky_Outbound",'Scoring_Config'!$A:$A,'Scoring_Config'!$C:$C,10),0),"False,0")</f>
        <v>0</v>
      </c>
      <c r="AP349" s="5" t="s">
        <v>2595</v>
      </c>
      <c r="AQ349" s="5" cm="1">
        <f t="array" ref="AQ34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49" s="5" t="s">
        <v>2598</v>
      </c>
      <c r="AS349" s="5" t="s">
        <v>2595</v>
      </c>
      <c r="AT349" s="5" t="s">
        <v>2595</v>
      </c>
      <c r="AU349" s="4" cm="1">
        <f t="array" ref="AU349">IF(FALSE,"True," &amp; IF(_xlfn.XLOOKUP("Action_IsDenyOrDrop",'Scoring_Config'!$A:$A,'Scoring_Config'!$D:$D,"Yes")="Yes",_xlfn.XLOOKUP("Action_IsDenyOrDrop",'Scoring_Config'!$A:$A,'Scoring_Config'!$C:$C,0),0),"False,0")</f>
        <v>0</v>
      </c>
      <c r="AV349" s="4"/>
      <c r="AW349" s="4" cm="1">
        <f t="array" ref="AW349">IF(FALSE,"True," &amp; IF(_xlfn.XLOOKUP("Migrate_Insecure",'Scoring_Config'!$A:$A,'Scoring_Config'!$D:$D,"Yes")="Yes",_xlfn.XLOOKUP("Migrate_Insecure",'Scoring_Config'!$A:$A,'Scoring_Config'!$C:$C,15),0),"False,0")</f>
        <v>0</v>
      </c>
      <c r="AX349" s="4"/>
      <c r="AY349" s="4" cm="1">
        <f t="array" ref="AY349">IF(FALSE,"True," &amp; IF(_xlfn.XLOOKUP("Migrate_Other_Ports",'Scoring_Config'!$A:$A,'Scoring_Config'!$D:$D,"Yes")="Yes",_xlfn.XLOOKUP("Migrate_Other_Ports",'Scoring_Config'!$A:$A,'Scoring_Config'!$C:$C,5),0),"False,0")</f>
        <v>0</v>
      </c>
      <c r="AZ349" s="4" cm="1">
        <f t="array" ref="AZ349">IF(LEFT(AU349,4)="True",0,(IF(LEFT(AC349,4)="True",IF(_xlfn.XLOOKUP("Src_IsAny",'Scoring_Config'!$A:$A,'Scoring_Config'!$D:$D,"Yes")="Yes",_xlfn.XLOOKUP("Src_IsAny",'Scoring_Config'!$A:$A,'Scoring_Config'!$C:$C,25),0),0)+IF(LEFT(AD349,4)="True",IF(_xlfn.XLOOKUP("Src_CIDR_Le_16",'Scoring_Config'!$A:$A,'Scoring_Config'!$D:$D,"Yes")="Yes",_xlfn.XLOOKUP("Src_CIDR_Le_16",'Scoring_Config'!$A:$A,'Scoring_Config'!$C:$C,25),0),0)+IF(LEFT(AE349,4)="True",IF(_xlfn.XLOOKUP("Src_CIDR_17_22",'Scoring_Config'!$A:$A,'Scoring_Config'!$D:$D,"Yes")="Yes",_xlfn.XLOOKUP("Src_CIDR_17_22",'Scoring_Config'!$A:$A,'Scoring_Config'!$C:$C,15),0),0)+IF(LEFT(AF349,4)="True",IF(_xlfn.XLOOKUP("Dst_IsAny",'Scoring_Config'!$A:$A,'Scoring_Config'!$D:$D,"Yes")="Yes",_xlfn.XLOOKUP("Dst_IsAny",'Scoring_Config'!$A:$A,'Scoring_Config'!$C:$C,25),0),0)+IF(LEFT(AG349,4)="True",IF(_xlfn.XLOOKUP("Dst_CIDR_Le_16",'Scoring_Config'!$A:$A,'Scoring_Config'!$D:$D,"Yes")="Yes",_xlfn.XLOOKUP("Dst_CIDR_Le_16",'Scoring_Config'!$A:$A,'Scoring_Config'!$C:$C,25),0),0)+IF(LEFT(AH349,4)="True",IF(_xlfn.XLOOKUP("Dst_CIDR_17_22",'Scoring_Config'!$A:$A,'Scoring_Config'!$D:$D,"Yes")="Yes",_xlfn.XLOOKUP("Dst_CIDR_17_22",'Scoring_Config'!$A:$A,'Scoring_Config'!$C:$C,15),0),0)+IF(LEFT(AI349,4)="True",IF(_xlfn.XLOOKUP("SrcZone_IsAny",'Scoring_Config'!$A:$A,'Scoring_Config'!$D:$D,"Yes")="Yes",_xlfn.XLOOKUP("SrcZone_IsAny",'Scoring_Config'!$A:$A,'Scoring_Config'!$C:$C,5),0),0)+IF(LEFT(AJ349,4)="True",IF(_xlfn.XLOOKUP("DstZone_IsAny",'Scoring_Config'!$A:$A,'Scoring_Config'!$D:$D,"Yes")="Yes",_xlfn.XLOOKUP("DstZone_IsAny",'Scoring_Config'!$A:$A,'Scoring_Config'!$C:$C,5),0),0)+IF(LEFT(AK349,4)="True",IF(_xlfn.XLOOKUP("Service_Any_OR_RangeGt1000",'Scoring_Config'!$A:$A,'Scoring_Config'!$D:$D,"Yes")="Yes",_xlfn.XLOOKUP("Service_Any_OR_RangeGt1000",'Scoring_Config'!$A:$A,'Scoring_Config'!$C:$C,25),0),0)+IF(LEFT(AL349,4)="True",IF(_xlfn.XLOOKUP("App_Any_OR_RangeGt1000",'Scoring_Config'!$A:$A,'Scoring_Config'!$D:$D,"Yes")="Yes",_xlfn.XLOOKUP("App_Any_OR_RangeGt1000",'Scoring_Config'!$A:$A,'Scoring_Config'!$C:$C,25),0),0)+IF(LEFT(AM349,4)="True",IF(_xlfn.XLOOKUP("Service_Insecure_Match",'Scoring_Config'!$A:$A,'Scoring_Config'!$D:$D,"Yes")="Yes",_xlfn.XLOOKUP("Service_Insecure_Match",'Scoring_Config'!$A:$A,'Scoring_Config'!$C:$C,20),0),0)+IF(LEFT(AN349,4)="True",IF(_xlfn.XLOOKUP("Risky_Inbound",'Scoring_Config'!$A:$A,'Scoring_Config'!$D:$D,"Yes")="Yes",_xlfn.XLOOKUP("Risky_Inbound",'Scoring_Config'!$A:$A,'Scoring_Config'!$C:$C,20),0),0)+IF(LEFT(AO349,4)="True",IF(_xlfn.XLOOKUP("Risky_Outbound",'Scoring_Config'!$A:$A,'Scoring_Config'!$D:$D,"Yes")="Yes",_xlfn.XLOOKUP("Risky_Outbound",'Scoring_Config'!$A:$A,'Scoring_Config'!$C:$C,10),0),0)+IF(LEFT(AW349,4)="True",IF(_xlfn.XLOOKUP("Migrate_Insecure",'Scoring_Config'!$A:$A,'Scoring_Config'!$D:$D,"Yes")="Yes",_xlfn.XLOOKUP("Migrate_Insecure",'Scoring_Config'!$A:$A,'Scoring_Config'!$C:$C,15),0),0)+IF(LEFT(AY349,4)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349,FIND(",",AP349)+1,100)),0)+IF(LEFT(AQ349,4)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349,FIND(",",AR349)+1,100)),0)+IF(_xlfn.XLOOKUP("Profile_Scoring",'Scoring_Config'!$A:$A,'Scoring_Config'!$D:$D,"Yes")="Yes",VALUE(MID(AS349,FIND(",",AS349)+1,100)),0)+IF(_xlfn.XLOOKUP("Options_Scoring",'Scoring_Config'!$A:$A,'Scoring_Config'!$D:$D,"Yes")="Yes",VALUE(MID(AT349,FIND(",",AT349)+1,100)),0)))</f>
        <v>0</v>
      </c>
    </row>
    <row r="350" spans="1:52">
      <c r="A350" s="3" t="s">
        <v>54</v>
      </c>
      <c r="B350" s="3" t="s">
        <v>281</v>
      </c>
      <c r="C350" s="3" t="s">
        <v>331</v>
      </c>
      <c r="D350" s="3"/>
      <c r="E350" s="3" t="s">
        <v>359</v>
      </c>
      <c r="F350" s="3" t="s">
        <v>362</v>
      </c>
      <c r="G350" s="3" t="s">
        <v>365</v>
      </c>
      <c r="H350" s="3" t="s">
        <v>365</v>
      </c>
      <c r="I350" s="3" t="s">
        <v>622</v>
      </c>
      <c r="J350" s="3" t="s">
        <v>361</v>
      </c>
      <c r="K350" s="3" t="s">
        <v>716</v>
      </c>
      <c r="L350" s="3" t="s">
        <v>716</v>
      </c>
      <c r="M350" s="3" t="s">
        <v>775</v>
      </c>
      <c r="N350" s="3" t="s">
        <v>796</v>
      </c>
      <c r="O350" s="4" t="s">
        <v>834</v>
      </c>
      <c r="P350" s="3" t="s">
        <v>895</v>
      </c>
      <c r="Q350" s="3" t="s">
        <v>905</v>
      </c>
      <c r="R350" s="3" t="s">
        <v>910</v>
      </c>
      <c r="S350" s="3" t="s">
        <v>907</v>
      </c>
      <c r="T350" s="3"/>
      <c r="U350" s="3"/>
      <c r="V350" s="3" t="s">
        <v>789</v>
      </c>
      <c r="W350" s="3" t="s">
        <v>937</v>
      </c>
      <c r="X350" s="3" t="s">
        <v>1954</v>
      </c>
      <c r="Y350" s="3" t="s">
        <v>2423</v>
      </c>
      <c r="Z350" s="3"/>
      <c r="AA350" s="3" t="s">
        <v>2591</v>
      </c>
      <c r="AB350" s="3"/>
      <c r="AC350" s="5" cm="1">
        <f t="array" ref="AC350">IF(TRUE,"True," &amp; IF(_xlfn.XLOOKUP("Src_IsAny",'Scoring_Config'!$A:$A,'Scoring_Config'!$D:$D,"Yes")="Yes",_xlfn.XLOOKUP("Src_IsAny",'Scoring_Config'!$A:$A,'Scoring_Config'!$C:$C,25),0),"False,0")</f>
        <v>0</v>
      </c>
      <c r="AD350" s="4" cm="1">
        <f t="array" ref="AD350">IF(FALSE,"True," &amp; IF(_xlfn.XLOOKUP("Src_CIDR_Le_16",'Scoring_Config'!$A:$A,'Scoring_Config'!$D:$D,"Yes")="Yes",_xlfn.XLOOKUP("Src_CIDR_Le_16",'Scoring_Config'!$A:$A,'Scoring_Config'!$C:$C,25),0),"False,0")</f>
        <v>0</v>
      </c>
      <c r="AE350" s="4" cm="1">
        <f t="array" ref="AE350">IF(FALSE,"True," &amp; IF(_xlfn.XLOOKUP("Src_CIDR_17_22",'Scoring_Config'!$A:$A,'Scoring_Config'!$D:$D,"Yes")="Yes",_xlfn.XLOOKUP("Src_CIDR_17_22",'Scoring_Config'!$A:$A,'Scoring_Config'!$C:$C,15),0),"False,0")</f>
        <v>0</v>
      </c>
      <c r="AF350" s="4" cm="1">
        <f t="array" ref="AF350">IF(FALSE,"True," &amp; IF(_xlfn.XLOOKUP("Dst_IsAny",'Scoring_Config'!$A:$A,'Scoring_Config'!$D:$D,"Yes")="Yes",_xlfn.XLOOKUP("Dst_IsAny",'Scoring_Config'!$A:$A,'Scoring_Config'!$C:$C,25),0),"False,0")</f>
        <v>0</v>
      </c>
      <c r="AG350" s="4" cm="1">
        <f t="array" ref="AG350">IF(FALSE,"True," &amp; IF(_xlfn.XLOOKUP("Dst_CIDR_Le_16",'Scoring_Config'!$A:$A,'Scoring_Config'!$D:$D,"Yes")="Yes",_xlfn.XLOOKUP("Dst_CIDR_Le_16",'Scoring_Config'!$A:$A,'Scoring_Config'!$C:$C,25),0),"False,0")</f>
        <v>0</v>
      </c>
      <c r="AH350" s="4" cm="1">
        <f t="array" ref="AH350">IF(FALSE,"True," &amp; IF(_xlfn.XLOOKUP("Dst_CIDR_17_22",'Scoring_Config'!$A:$A,'Scoring_Config'!$D:$D,"Yes")="Yes",_xlfn.XLOOKUP("Dst_CIDR_17_22",'Scoring_Config'!$A:$A,'Scoring_Config'!$C:$C,15),0),"False,0")</f>
        <v>0</v>
      </c>
      <c r="AI350" s="4" cm="1">
        <f t="array" ref="AI350">IF(FALSE,"True," &amp; IF(_xlfn.XLOOKUP("SrcZone_IsAny",'Scoring_Config'!$A:$A,'Scoring_Config'!$D:$D,"Yes")="Yes",_xlfn.XLOOKUP("SrcZone_IsAny",'Scoring_Config'!$A:$A,'Scoring_Config'!$C:$C,5),0),"False,0")</f>
        <v>0</v>
      </c>
      <c r="AJ350" s="4" cm="1">
        <f t="array" ref="AJ350">IF(FALSE,"True," &amp; IF(_xlfn.XLOOKUP("DstZone_IsAny",'Scoring_Config'!$A:$A,'Scoring_Config'!$D:$D,"Yes")="Yes",_xlfn.XLOOKUP("DstZone_IsAny",'Scoring_Config'!$A:$A,'Scoring_Config'!$C:$C,5),0),"False,0")</f>
        <v>0</v>
      </c>
      <c r="AK350" s="4" cm="1">
        <f t="array" ref="AK35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0" s="4" cm="1">
        <f t="array" ref="AL350">IF(FALSE,"True," &amp; IF(_xlfn.XLOOKUP("App_Any_OR_RangeGt1000",'Scoring_Config'!$A:$A,'Scoring_Config'!$D:$D,"Yes")="Yes",_xlfn.XLOOKUP("App_Any_OR_RangeGt1000",'Scoring_Config'!$A:$A,'Scoring_Config'!$C:$C,25),0),"False,0")</f>
        <v>0</v>
      </c>
      <c r="AM350" s="5" cm="1">
        <f t="array" ref="AM350">IF(TRUE,"True," &amp; IF(_xlfn.XLOOKUP("Service_Insecure_Match",'Scoring_Config'!$A:$A,'Scoring_Config'!$D:$D,"Yes")="Yes",_xlfn.XLOOKUP("Service_Insecure_Match",'Scoring_Config'!$A:$A,'Scoring_Config'!$C:$C,20),0),"False,0")</f>
        <v>0</v>
      </c>
      <c r="AN350" s="4" cm="1">
        <f t="array" ref="AN350">IF(FALSE,"True," &amp; IF(_xlfn.XLOOKUP("Risky_Inbound",'Scoring_Config'!$A:$A,'Scoring_Config'!$D:$D,"Yes")="Yes",_xlfn.XLOOKUP("Risky_Inbound",'Scoring_Config'!$A:$A,'Scoring_Config'!$C:$C,20),0),"False,0")</f>
        <v>0</v>
      </c>
      <c r="AO350" s="5" cm="1">
        <f t="array" ref="AO350">IF(TRUE,"True," &amp; IF(_xlfn.XLOOKUP("Risky_Outbound",'Scoring_Config'!$A:$A,'Scoring_Config'!$D:$D,"Yes")="Yes",_xlfn.XLOOKUP("Risky_Outbound",'Scoring_Config'!$A:$A,'Scoring_Config'!$C:$C,10),0),"False,0")</f>
        <v>0</v>
      </c>
      <c r="AP350" s="5" t="s">
        <v>2595</v>
      </c>
      <c r="AQ350" s="5" cm="1">
        <f t="array" ref="AQ35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0" s="5" t="s">
        <v>2598</v>
      </c>
      <c r="AS350" s="4" t="s">
        <v>2592</v>
      </c>
      <c r="AT350" s="5" t="s">
        <v>2595</v>
      </c>
      <c r="AU350" s="4" cm="1">
        <f t="array" ref="AU350">IF(FALSE,"True," &amp; IF(_xlfn.XLOOKUP("Action_IsDenyOrDrop",'Scoring_Config'!$A:$A,'Scoring_Config'!$D:$D,"Yes")="Yes",_xlfn.XLOOKUP("Action_IsDenyOrDrop",'Scoring_Config'!$A:$A,'Scoring_Config'!$C:$C,0),0),"False,0")</f>
        <v>0</v>
      </c>
      <c r="AV350" s="4"/>
      <c r="AW350" s="4" cm="1">
        <f t="array" ref="AW350">IF(FALSE,"True," &amp; IF(_xlfn.XLOOKUP("Migrate_Insecure",'Scoring_Config'!$A:$A,'Scoring_Config'!$D:$D,"Yes")="Yes",_xlfn.XLOOKUP("Migrate_Insecure",'Scoring_Config'!$A:$A,'Scoring_Config'!$C:$C,15),0),"False,0")</f>
        <v>0</v>
      </c>
      <c r="AX350" s="4"/>
      <c r="AY350" s="4" cm="1">
        <f t="array" ref="AY350">IF(FALSE,"True," &amp; IF(_xlfn.XLOOKUP("Migrate_Other_Ports",'Scoring_Config'!$A:$A,'Scoring_Config'!$D:$D,"Yes")="Yes",_xlfn.XLOOKUP("Migrate_Other_Ports",'Scoring_Config'!$A:$A,'Scoring_Config'!$C:$C,5),0),"False,0")</f>
        <v>0</v>
      </c>
      <c r="AZ350" s="4" cm="1">
        <f t="array" ref="AZ350">IF(LEFT(AU350,4)="True",0,(IF(LEFT(AC350,4)="True",IF(_xlfn.XLOOKUP("Src_IsAny",'Scoring_Config'!$A:$A,'Scoring_Config'!$D:$D,"Yes")="Yes",_xlfn.XLOOKUP("Src_IsAny",'Scoring_Config'!$A:$A,'Scoring_Config'!$C:$C,25),0),0)+IF(LEFT(AD350,4)="True",IF(_xlfn.XLOOKUP("Src_CIDR_Le_16",'Scoring_Config'!$A:$A,'Scoring_Config'!$D:$D,"Yes")="Yes",_xlfn.XLOOKUP("Src_CIDR_Le_16",'Scoring_Config'!$A:$A,'Scoring_Config'!$C:$C,25),0),0)+IF(LEFT(AE350,4)="True",IF(_xlfn.XLOOKUP("Src_CIDR_17_22",'Scoring_Config'!$A:$A,'Scoring_Config'!$D:$D,"Yes")="Yes",_xlfn.XLOOKUP("Src_CIDR_17_22",'Scoring_Config'!$A:$A,'Scoring_Config'!$C:$C,15),0),0)+IF(LEFT(AF350,4)="True",IF(_xlfn.XLOOKUP("Dst_IsAny",'Scoring_Config'!$A:$A,'Scoring_Config'!$D:$D,"Yes")="Yes",_xlfn.XLOOKUP("Dst_IsAny",'Scoring_Config'!$A:$A,'Scoring_Config'!$C:$C,25),0),0)+IF(LEFT(AG350,4)="True",IF(_xlfn.XLOOKUP("Dst_CIDR_Le_16",'Scoring_Config'!$A:$A,'Scoring_Config'!$D:$D,"Yes")="Yes",_xlfn.XLOOKUP("Dst_CIDR_Le_16",'Scoring_Config'!$A:$A,'Scoring_Config'!$C:$C,25),0),0)+IF(LEFT(AH350,4)="True",IF(_xlfn.XLOOKUP("Dst_CIDR_17_22",'Scoring_Config'!$A:$A,'Scoring_Config'!$D:$D,"Yes")="Yes",_xlfn.XLOOKUP("Dst_CIDR_17_22",'Scoring_Config'!$A:$A,'Scoring_Config'!$C:$C,15),0),0)+IF(LEFT(AI350,4)="True",IF(_xlfn.XLOOKUP("SrcZone_IsAny",'Scoring_Config'!$A:$A,'Scoring_Config'!$D:$D,"Yes")="Yes",_xlfn.XLOOKUP("SrcZone_IsAny",'Scoring_Config'!$A:$A,'Scoring_Config'!$C:$C,5),0),0)+IF(LEFT(AJ350,4)="True",IF(_xlfn.XLOOKUP("DstZone_IsAny",'Scoring_Config'!$A:$A,'Scoring_Config'!$D:$D,"Yes")="Yes",_xlfn.XLOOKUP("DstZone_IsAny",'Scoring_Config'!$A:$A,'Scoring_Config'!$C:$C,5),0),0)+IF(LEFT(AK350,4)="True",IF(_xlfn.XLOOKUP("Service_Any_OR_RangeGt1000",'Scoring_Config'!$A:$A,'Scoring_Config'!$D:$D,"Yes")="Yes",_xlfn.XLOOKUP("Service_Any_OR_RangeGt1000",'Scoring_Config'!$A:$A,'Scoring_Config'!$C:$C,25),0),0)+IF(LEFT(AL350,4)="True",IF(_xlfn.XLOOKUP("App_Any_OR_RangeGt1000",'Scoring_Config'!$A:$A,'Scoring_Config'!$D:$D,"Yes")="Yes",_xlfn.XLOOKUP("App_Any_OR_RangeGt1000",'Scoring_Config'!$A:$A,'Scoring_Config'!$C:$C,25),0),0)+IF(LEFT(AM350,4)="True",IF(_xlfn.XLOOKUP("Service_Insecure_Match",'Scoring_Config'!$A:$A,'Scoring_Config'!$D:$D,"Yes")="Yes",_xlfn.XLOOKUP("Service_Insecure_Match",'Scoring_Config'!$A:$A,'Scoring_Config'!$C:$C,20),0),0)+IF(LEFT(AN350,4)="True",IF(_xlfn.XLOOKUP("Risky_Inbound",'Scoring_Config'!$A:$A,'Scoring_Config'!$D:$D,"Yes")="Yes",_xlfn.XLOOKUP("Risky_Inbound",'Scoring_Config'!$A:$A,'Scoring_Config'!$C:$C,20),0),0)+IF(LEFT(AO350,4)="True",IF(_xlfn.XLOOKUP("Risky_Outbound",'Scoring_Config'!$A:$A,'Scoring_Config'!$D:$D,"Yes")="Yes",_xlfn.XLOOKUP("Risky_Outbound",'Scoring_Config'!$A:$A,'Scoring_Config'!$C:$C,10),0),0)+IF(LEFT(AW350,4)="True",IF(_xlfn.XLOOKUP("Migrate_Insecure",'Scoring_Config'!$A:$A,'Scoring_Config'!$D:$D,"Yes")="Yes",_xlfn.XLOOKUP("Migrate_Insecure",'Scoring_Config'!$A:$A,'Scoring_Config'!$C:$C,15),0),0)+IF(LEFT(AY350,4)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350,FIND(",",AP350)+1,100)),0)+IF(LEFT(AQ350,4)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350,FIND(",",AR350)+1,100)),0)+IF(_xlfn.XLOOKUP("Profile_Scoring",'Scoring_Config'!$A:$A,'Scoring_Config'!$D:$D,"Yes")="Yes",VALUE(MID(AS350,FIND(",",AS350)+1,100)),0)+IF(_xlfn.XLOOKUP("Options_Scoring",'Scoring_Config'!$A:$A,'Scoring_Config'!$D:$D,"Yes")="Yes",VALUE(MID(AT350,FIND(",",AT350)+1,100)),0)))</f>
        <v>0</v>
      </c>
    </row>
    <row r="351" spans="1:52">
      <c r="A351" s="3" t="s">
        <v>55</v>
      </c>
      <c r="B351" s="3" t="s">
        <v>282</v>
      </c>
      <c r="C351" s="3" t="s">
        <v>332</v>
      </c>
      <c r="D351" s="3"/>
      <c r="E351" s="3" t="s">
        <v>359</v>
      </c>
      <c r="F351" s="3" t="s">
        <v>362</v>
      </c>
      <c r="G351" s="3" t="s">
        <v>365</v>
      </c>
      <c r="H351" s="3" t="s">
        <v>365</v>
      </c>
      <c r="I351" s="3" t="s">
        <v>623</v>
      </c>
      <c r="J351" s="3" t="s">
        <v>364</v>
      </c>
      <c r="K351" s="3" t="s">
        <v>508</v>
      </c>
      <c r="L351" s="3" t="s">
        <v>605</v>
      </c>
      <c r="M351" s="3" t="s">
        <v>773</v>
      </c>
      <c r="N351" s="3" t="s">
        <v>773</v>
      </c>
      <c r="O351" s="4" t="s">
        <v>824</v>
      </c>
      <c r="P351" s="3" t="s">
        <v>885</v>
      </c>
      <c r="Q351" s="3" t="s">
        <v>905</v>
      </c>
      <c r="R351" s="3" t="s">
        <v>907</v>
      </c>
      <c r="S351" s="3" t="s">
        <v>913</v>
      </c>
      <c r="T351" s="3" t="s">
        <v>1071</v>
      </c>
      <c r="U351" s="3" t="s">
        <v>1322</v>
      </c>
      <c r="V351" s="3" t="s">
        <v>1389</v>
      </c>
      <c r="W351" s="3" t="s">
        <v>1395</v>
      </c>
      <c r="X351" s="3" t="s">
        <v>1955</v>
      </c>
      <c r="Y351" s="3" t="s">
        <v>2424</v>
      </c>
      <c r="Z351" s="3"/>
      <c r="AA351" s="3"/>
      <c r="AB351" s="3"/>
      <c r="AC351" s="5" cm="1">
        <f t="array" ref="AC351">IF(TRUE,"True," &amp; IF(_xlfn.XLOOKUP("Src_IsAny",'Scoring_Config'!$A:$A,'Scoring_Config'!$D:$D,"Yes")="Yes",_xlfn.XLOOKUP("Src_IsAny",'Scoring_Config'!$A:$A,'Scoring_Config'!$C:$C,25),0),"False,0")</f>
        <v>0</v>
      </c>
      <c r="AD351" s="4" cm="1">
        <f t="array" ref="AD351">IF(FALSE,"True," &amp; IF(_xlfn.XLOOKUP("Src_CIDR_Le_16",'Scoring_Config'!$A:$A,'Scoring_Config'!$D:$D,"Yes")="Yes",_xlfn.XLOOKUP("Src_CIDR_Le_16",'Scoring_Config'!$A:$A,'Scoring_Config'!$C:$C,25),0),"False,0")</f>
        <v>0</v>
      </c>
      <c r="AE351" s="4" cm="1">
        <f t="array" ref="AE351">IF(FALSE,"True," &amp; IF(_xlfn.XLOOKUP("Src_CIDR_17_22",'Scoring_Config'!$A:$A,'Scoring_Config'!$D:$D,"Yes")="Yes",_xlfn.XLOOKUP("Src_CIDR_17_22",'Scoring_Config'!$A:$A,'Scoring_Config'!$C:$C,15),0),"False,0")</f>
        <v>0</v>
      </c>
      <c r="AF351" s="4" cm="1">
        <f t="array" ref="AF351">IF(FALSE,"True," &amp; IF(_xlfn.XLOOKUP("Dst_IsAny",'Scoring_Config'!$A:$A,'Scoring_Config'!$D:$D,"Yes")="Yes",_xlfn.XLOOKUP("Dst_IsAny",'Scoring_Config'!$A:$A,'Scoring_Config'!$C:$C,25),0),"False,0")</f>
        <v>0</v>
      </c>
      <c r="AG351" s="4" cm="1">
        <f t="array" ref="AG351">IF(FALSE,"True," &amp; IF(_xlfn.XLOOKUP("Dst_CIDR_Le_16",'Scoring_Config'!$A:$A,'Scoring_Config'!$D:$D,"Yes")="Yes",_xlfn.XLOOKUP("Dst_CIDR_Le_16",'Scoring_Config'!$A:$A,'Scoring_Config'!$C:$C,25),0),"False,0")</f>
        <v>0</v>
      </c>
      <c r="AH351" s="4" cm="1">
        <f t="array" ref="AH351">IF(FALSE,"True," &amp; IF(_xlfn.XLOOKUP("Dst_CIDR_17_22",'Scoring_Config'!$A:$A,'Scoring_Config'!$D:$D,"Yes")="Yes",_xlfn.XLOOKUP("Dst_CIDR_17_22",'Scoring_Config'!$A:$A,'Scoring_Config'!$C:$C,15),0),"False,0")</f>
        <v>0</v>
      </c>
      <c r="AI351" s="4" cm="1">
        <f t="array" ref="AI351">IF(FALSE,"True," &amp; IF(_xlfn.XLOOKUP("SrcZone_IsAny",'Scoring_Config'!$A:$A,'Scoring_Config'!$D:$D,"Yes")="Yes",_xlfn.XLOOKUP("SrcZone_IsAny",'Scoring_Config'!$A:$A,'Scoring_Config'!$C:$C,5),0),"False,0")</f>
        <v>0</v>
      </c>
      <c r="AJ351" s="4" cm="1">
        <f t="array" ref="AJ351">IF(FALSE,"True," &amp; IF(_xlfn.XLOOKUP("DstZone_IsAny",'Scoring_Config'!$A:$A,'Scoring_Config'!$D:$D,"Yes")="Yes",_xlfn.XLOOKUP("DstZone_IsAny",'Scoring_Config'!$A:$A,'Scoring_Config'!$C:$C,5),0),"False,0")</f>
        <v>0</v>
      </c>
      <c r="AK351" s="4" cm="1">
        <f t="array" ref="AK35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1" s="4" cm="1">
        <f t="array" ref="AL351">IF(FALSE,"True," &amp; IF(_xlfn.XLOOKUP("App_Any_OR_RangeGt1000",'Scoring_Config'!$A:$A,'Scoring_Config'!$D:$D,"Yes")="Yes",_xlfn.XLOOKUP("App_Any_OR_RangeGt1000",'Scoring_Config'!$A:$A,'Scoring_Config'!$C:$C,25),0),"False,0")</f>
        <v>0</v>
      </c>
      <c r="AM351" s="5" cm="1">
        <f t="array" ref="AM351">IF(TRUE,"True," &amp; IF(_xlfn.XLOOKUP("Service_Insecure_Match",'Scoring_Config'!$A:$A,'Scoring_Config'!$D:$D,"Yes")="Yes",_xlfn.XLOOKUP("Service_Insecure_Match",'Scoring_Config'!$A:$A,'Scoring_Config'!$C:$C,20),0),"False,0")</f>
        <v>0</v>
      </c>
      <c r="AN351" s="4" cm="1">
        <f t="array" ref="AN351">IF(FALSE,"True," &amp; IF(_xlfn.XLOOKUP("Risky_Inbound",'Scoring_Config'!$A:$A,'Scoring_Config'!$D:$D,"Yes")="Yes",_xlfn.XLOOKUP("Risky_Inbound",'Scoring_Config'!$A:$A,'Scoring_Config'!$C:$C,20),0),"False,0")</f>
        <v>0</v>
      </c>
      <c r="AO351" s="4" cm="1">
        <f t="array" ref="AO351">IF(FALSE,"True," &amp; IF(_xlfn.XLOOKUP("Risky_Outbound",'Scoring_Config'!$A:$A,'Scoring_Config'!$D:$D,"Yes")="Yes",_xlfn.XLOOKUP("Risky_Outbound",'Scoring_Config'!$A:$A,'Scoring_Config'!$C:$C,10),0),"False,0")</f>
        <v>0</v>
      </c>
      <c r="AP351" s="5" t="s">
        <v>2595</v>
      </c>
      <c r="AQ351" s="4" cm="1">
        <f t="array" ref="AQ35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1" s="5" t="s">
        <v>2598</v>
      </c>
      <c r="AS351" s="5" t="s">
        <v>2595</v>
      </c>
      <c r="AT351" s="4" t="s">
        <v>2592</v>
      </c>
      <c r="AU351" s="4" cm="1">
        <f t="array" ref="AU351">IF(FALSE,"True," &amp; IF(_xlfn.XLOOKUP("Action_IsDenyOrDrop",'Scoring_Config'!$A:$A,'Scoring_Config'!$D:$D,"Yes")="Yes",_xlfn.XLOOKUP("Action_IsDenyOrDrop",'Scoring_Config'!$A:$A,'Scoring_Config'!$C:$C,0),0),"False,0")</f>
        <v>0</v>
      </c>
      <c r="AV351" s="4"/>
      <c r="AW351" s="4" cm="1">
        <f t="array" ref="AW351">IF(FALSE,"True," &amp; IF(_xlfn.XLOOKUP("Migrate_Insecure",'Scoring_Config'!$A:$A,'Scoring_Config'!$D:$D,"Yes")="Yes",_xlfn.XLOOKUP("Migrate_Insecure",'Scoring_Config'!$A:$A,'Scoring_Config'!$C:$C,15),0),"False,0")</f>
        <v>0</v>
      </c>
      <c r="AX351" s="4"/>
      <c r="AY351" s="4" cm="1">
        <f t="array" ref="AY351">IF(FALSE,"True," &amp; IF(_xlfn.XLOOKUP("Migrate_Other_Ports",'Scoring_Config'!$A:$A,'Scoring_Config'!$D:$D,"Yes")="Yes",_xlfn.XLOOKUP("Migrate_Other_Ports",'Scoring_Config'!$A:$A,'Scoring_Config'!$C:$C,5),0),"False,0")</f>
        <v>0</v>
      </c>
      <c r="AZ351" s="4" cm="1">
        <f t="array" ref="AZ351">IF(LEFT(AU351,4)="True",0,(IF(LEFT(AC351,4)="True",IF(_xlfn.XLOOKUP("Src_IsAny",'Scoring_Config'!$A:$A,'Scoring_Config'!$D:$D,"Yes")="Yes",_xlfn.XLOOKUP("Src_IsAny",'Scoring_Config'!$A:$A,'Scoring_Config'!$C:$C,25),0),0)+IF(LEFT(AD351,4)="True",IF(_xlfn.XLOOKUP("Src_CIDR_Le_16",'Scoring_Config'!$A:$A,'Scoring_Config'!$D:$D,"Yes")="Yes",_xlfn.XLOOKUP("Src_CIDR_Le_16",'Scoring_Config'!$A:$A,'Scoring_Config'!$C:$C,25),0),0)+IF(LEFT(AE351,4)="True",IF(_xlfn.XLOOKUP("Src_CIDR_17_22",'Scoring_Config'!$A:$A,'Scoring_Config'!$D:$D,"Yes")="Yes",_xlfn.XLOOKUP("Src_CIDR_17_22",'Scoring_Config'!$A:$A,'Scoring_Config'!$C:$C,15),0),0)+IF(LEFT(AF351,4)="True",IF(_xlfn.XLOOKUP("Dst_IsAny",'Scoring_Config'!$A:$A,'Scoring_Config'!$D:$D,"Yes")="Yes",_xlfn.XLOOKUP("Dst_IsAny",'Scoring_Config'!$A:$A,'Scoring_Config'!$C:$C,25),0),0)+IF(LEFT(AG351,4)="True",IF(_xlfn.XLOOKUP("Dst_CIDR_Le_16",'Scoring_Config'!$A:$A,'Scoring_Config'!$D:$D,"Yes")="Yes",_xlfn.XLOOKUP("Dst_CIDR_Le_16",'Scoring_Config'!$A:$A,'Scoring_Config'!$C:$C,25),0),0)+IF(LEFT(AH351,4)="True",IF(_xlfn.XLOOKUP("Dst_CIDR_17_22",'Scoring_Config'!$A:$A,'Scoring_Config'!$D:$D,"Yes")="Yes",_xlfn.XLOOKUP("Dst_CIDR_17_22",'Scoring_Config'!$A:$A,'Scoring_Config'!$C:$C,15),0),0)+IF(LEFT(AI351,4)="True",IF(_xlfn.XLOOKUP("SrcZone_IsAny",'Scoring_Config'!$A:$A,'Scoring_Config'!$D:$D,"Yes")="Yes",_xlfn.XLOOKUP("SrcZone_IsAny",'Scoring_Config'!$A:$A,'Scoring_Config'!$C:$C,5),0),0)+IF(LEFT(AJ351,4)="True",IF(_xlfn.XLOOKUP("DstZone_IsAny",'Scoring_Config'!$A:$A,'Scoring_Config'!$D:$D,"Yes")="Yes",_xlfn.XLOOKUP("DstZone_IsAny",'Scoring_Config'!$A:$A,'Scoring_Config'!$C:$C,5),0),0)+IF(LEFT(AK351,4)="True",IF(_xlfn.XLOOKUP("Service_Any_OR_RangeGt1000",'Scoring_Config'!$A:$A,'Scoring_Config'!$D:$D,"Yes")="Yes",_xlfn.XLOOKUP("Service_Any_OR_RangeGt1000",'Scoring_Config'!$A:$A,'Scoring_Config'!$C:$C,25),0),0)+IF(LEFT(AL351,4)="True",IF(_xlfn.XLOOKUP("App_Any_OR_RangeGt1000",'Scoring_Config'!$A:$A,'Scoring_Config'!$D:$D,"Yes")="Yes",_xlfn.XLOOKUP("App_Any_OR_RangeGt1000",'Scoring_Config'!$A:$A,'Scoring_Config'!$C:$C,25),0),0)+IF(LEFT(AM351,4)="True",IF(_xlfn.XLOOKUP("Service_Insecure_Match",'Scoring_Config'!$A:$A,'Scoring_Config'!$D:$D,"Yes")="Yes",_xlfn.XLOOKUP("Service_Insecure_Match",'Scoring_Config'!$A:$A,'Scoring_Config'!$C:$C,20),0),0)+IF(LEFT(AN351,4)="True",IF(_xlfn.XLOOKUP("Risky_Inbound",'Scoring_Config'!$A:$A,'Scoring_Config'!$D:$D,"Yes")="Yes",_xlfn.XLOOKUP("Risky_Inbound",'Scoring_Config'!$A:$A,'Scoring_Config'!$C:$C,20),0),0)+IF(LEFT(AO351,4)="True",IF(_xlfn.XLOOKUP("Risky_Outbound",'Scoring_Config'!$A:$A,'Scoring_Config'!$D:$D,"Yes")="Yes",_xlfn.XLOOKUP("Risky_Outbound",'Scoring_Config'!$A:$A,'Scoring_Config'!$C:$C,10),0),0)+IF(LEFT(AW351,4)="True",IF(_xlfn.XLOOKUP("Migrate_Insecure",'Scoring_Config'!$A:$A,'Scoring_Config'!$D:$D,"Yes")="Yes",_xlfn.XLOOKUP("Migrate_Insecure",'Scoring_Config'!$A:$A,'Scoring_Config'!$C:$C,15),0),0)+IF(LEFT(AY351,4)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351,FIND(",",AP351)+1,100)),0)+IF(LEFT(AQ351,4)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351,FIND(",",AR351)+1,100)),0)+IF(_xlfn.XLOOKUP("Profile_Scoring",'Scoring_Config'!$A:$A,'Scoring_Config'!$D:$D,"Yes")="Yes",VALUE(MID(AS351,FIND(",",AS351)+1,100)),0)+IF(_xlfn.XLOOKUP("Options_Scoring",'Scoring_Config'!$A:$A,'Scoring_Config'!$D:$D,"Yes")="Yes",VALUE(MID(AT351,FIND(",",AT351)+1,100)),0)))</f>
        <v>0</v>
      </c>
    </row>
    <row r="352" spans="1:52">
      <c r="A352" s="3" t="s">
        <v>55</v>
      </c>
      <c r="B352" s="3" t="s">
        <v>175</v>
      </c>
      <c r="C352" s="3" t="s">
        <v>332</v>
      </c>
      <c r="D352" s="3"/>
      <c r="E352" s="3" t="s">
        <v>359</v>
      </c>
      <c r="F352" s="3" t="s">
        <v>361</v>
      </c>
      <c r="G352" s="3" t="s">
        <v>365</v>
      </c>
      <c r="H352" s="3" t="s">
        <v>365</v>
      </c>
      <c r="I352" s="3" t="s">
        <v>624</v>
      </c>
      <c r="J352" s="3" t="s">
        <v>360</v>
      </c>
      <c r="K352" s="3" t="s">
        <v>365</v>
      </c>
      <c r="L352" s="3" t="s">
        <v>365</v>
      </c>
      <c r="M352" s="3" t="s">
        <v>365</v>
      </c>
      <c r="N352" s="3" t="s">
        <v>365</v>
      </c>
      <c r="O352" s="4" t="s">
        <v>810</v>
      </c>
      <c r="P352" s="3" t="s">
        <v>871</v>
      </c>
      <c r="Q352" s="3" t="s">
        <v>905</v>
      </c>
      <c r="R352" s="3" t="s">
        <v>907</v>
      </c>
      <c r="S352" s="3" t="s">
        <v>915</v>
      </c>
      <c r="T352" s="3" t="s">
        <v>1072</v>
      </c>
      <c r="U352" s="3"/>
      <c r="V352" s="3" t="s">
        <v>1387</v>
      </c>
      <c r="W352" s="3" t="s">
        <v>1566</v>
      </c>
      <c r="X352" s="3" t="s">
        <v>1956</v>
      </c>
      <c r="Y352" s="3" t="s">
        <v>2425</v>
      </c>
      <c r="Z352" s="3"/>
      <c r="AA352" s="3"/>
      <c r="AB352" s="3"/>
      <c r="AC352" s="5" cm="1">
        <f t="array" ref="AC352">IF(TRUE,"True," &amp; IF(_xlfn.XLOOKUP("Src_IsAny",'Scoring_Config'!$A:$A,'Scoring_Config'!$D:$D,"Yes")="Yes",_xlfn.XLOOKUP("Src_IsAny",'Scoring_Config'!$A:$A,'Scoring_Config'!$C:$C,25),0),"False,0")</f>
        <v>0</v>
      </c>
      <c r="AD352" s="4" cm="1">
        <f t="array" ref="AD352">IF(FALSE,"True," &amp; IF(_xlfn.XLOOKUP("Src_CIDR_Le_16",'Scoring_Config'!$A:$A,'Scoring_Config'!$D:$D,"Yes")="Yes",_xlfn.XLOOKUP("Src_CIDR_Le_16",'Scoring_Config'!$A:$A,'Scoring_Config'!$C:$C,25),0),"False,0")</f>
        <v>0</v>
      </c>
      <c r="AE352" s="4" cm="1">
        <f t="array" ref="AE352">IF(FALSE,"True," &amp; IF(_xlfn.XLOOKUP("Src_CIDR_17_22",'Scoring_Config'!$A:$A,'Scoring_Config'!$D:$D,"Yes")="Yes",_xlfn.XLOOKUP("Src_CIDR_17_22",'Scoring_Config'!$A:$A,'Scoring_Config'!$C:$C,15),0),"False,0")</f>
        <v>0</v>
      </c>
      <c r="AF352" s="5" cm="1">
        <f t="array" ref="AF352">IF(TRUE,"True," &amp; IF(_xlfn.XLOOKUP("Dst_IsAny",'Scoring_Config'!$A:$A,'Scoring_Config'!$D:$D,"Yes")="Yes",_xlfn.XLOOKUP("Dst_IsAny",'Scoring_Config'!$A:$A,'Scoring_Config'!$C:$C,25),0),"False,0")</f>
        <v>0</v>
      </c>
      <c r="AG352" s="4" cm="1">
        <f t="array" ref="AG352">IF(FALSE,"True," &amp; IF(_xlfn.XLOOKUP("Dst_CIDR_Le_16",'Scoring_Config'!$A:$A,'Scoring_Config'!$D:$D,"Yes")="Yes",_xlfn.XLOOKUP("Dst_CIDR_Le_16",'Scoring_Config'!$A:$A,'Scoring_Config'!$C:$C,25),0),"False,0")</f>
        <v>0</v>
      </c>
      <c r="AH352" s="4" cm="1">
        <f t="array" ref="AH352">IF(FALSE,"True," &amp; IF(_xlfn.XLOOKUP("Dst_CIDR_17_22",'Scoring_Config'!$A:$A,'Scoring_Config'!$D:$D,"Yes")="Yes",_xlfn.XLOOKUP("Dst_CIDR_17_22",'Scoring_Config'!$A:$A,'Scoring_Config'!$C:$C,15),0),"False,0")</f>
        <v>0</v>
      </c>
      <c r="AI352" s="4" cm="1">
        <f t="array" ref="AI352">IF(FALSE,"True," &amp; IF(_xlfn.XLOOKUP("SrcZone_IsAny",'Scoring_Config'!$A:$A,'Scoring_Config'!$D:$D,"Yes")="Yes",_xlfn.XLOOKUP("SrcZone_IsAny",'Scoring_Config'!$A:$A,'Scoring_Config'!$C:$C,5),0),"False,0")</f>
        <v>0</v>
      </c>
      <c r="AJ352" s="4" cm="1">
        <f t="array" ref="AJ352">IF(FALSE,"True," &amp; IF(_xlfn.XLOOKUP("DstZone_IsAny",'Scoring_Config'!$A:$A,'Scoring_Config'!$D:$D,"Yes")="Yes",_xlfn.XLOOKUP("DstZone_IsAny",'Scoring_Config'!$A:$A,'Scoring_Config'!$C:$C,5),0),"False,0")</f>
        <v>0</v>
      </c>
      <c r="AK352" s="4" cm="1">
        <f t="array" ref="AK35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2" s="5" cm="1">
        <f t="array" ref="AL352">IF(TRUE,"True," &amp; IF(_xlfn.XLOOKUP("App_Any_OR_RangeGt1000",'Scoring_Config'!$A:$A,'Scoring_Config'!$D:$D,"Yes")="Yes",_xlfn.XLOOKUP("App_Any_OR_RangeGt1000",'Scoring_Config'!$A:$A,'Scoring_Config'!$C:$C,25),0),"False,0")</f>
        <v>0</v>
      </c>
      <c r="AM352" s="5" cm="1">
        <f t="array" ref="AM352">IF(TRUE,"True," &amp; IF(_xlfn.XLOOKUP("Service_Insecure_Match",'Scoring_Config'!$A:$A,'Scoring_Config'!$D:$D,"Yes")="Yes",_xlfn.XLOOKUP("Service_Insecure_Match",'Scoring_Config'!$A:$A,'Scoring_Config'!$C:$C,20),0),"False,0")</f>
        <v>0</v>
      </c>
      <c r="AN352" s="4" cm="1">
        <f t="array" ref="AN352">IF(FALSE,"True," &amp; IF(_xlfn.XLOOKUP("Risky_Inbound",'Scoring_Config'!$A:$A,'Scoring_Config'!$D:$D,"Yes")="Yes",_xlfn.XLOOKUP("Risky_Inbound",'Scoring_Config'!$A:$A,'Scoring_Config'!$C:$C,20),0),"False,0")</f>
        <v>0</v>
      </c>
      <c r="AO352" s="4" cm="1">
        <f t="array" ref="AO352">IF(FALSE,"True," &amp; IF(_xlfn.XLOOKUP("Risky_Outbound",'Scoring_Config'!$A:$A,'Scoring_Config'!$D:$D,"Yes")="Yes",_xlfn.XLOOKUP("Risky_Outbound",'Scoring_Config'!$A:$A,'Scoring_Config'!$C:$C,10),0),"False,0")</f>
        <v>0</v>
      </c>
      <c r="AP352" s="5" t="s">
        <v>2595</v>
      </c>
      <c r="AQ352" s="5" cm="1">
        <f t="array" ref="AQ35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2" s="5" t="s">
        <v>2598</v>
      </c>
      <c r="AS352" s="5" t="s">
        <v>2595</v>
      </c>
      <c r="AT352" s="4" t="s">
        <v>2592</v>
      </c>
      <c r="AU352" s="4" cm="1">
        <f t="array" ref="AU352">IF(FALSE,"True," &amp; IF(_xlfn.XLOOKUP("Action_IsDenyOrDrop",'Scoring_Config'!$A:$A,'Scoring_Config'!$D:$D,"Yes")="Yes",_xlfn.XLOOKUP("Action_IsDenyOrDrop",'Scoring_Config'!$A:$A,'Scoring_Config'!$C:$C,0),0),"False,0")</f>
        <v>0</v>
      </c>
      <c r="AV352" s="4"/>
      <c r="AW352" s="4" cm="1">
        <f t="array" ref="AW352">IF(FALSE,"True," &amp; IF(_xlfn.XLOOKUP("Migrate_Insecure",'Scoring_Config'!$A:$A,'Scoring_Config'!$D:$D,"Yes")="Yes",_xlfn.XLOOKUP("Migrate_Insecure",'Scoring_Config'!$A:$A,'Scoring_Config'!$C:$C,15),0),"False,0")</f>
        <v>0</v>
      </c>
      <c r="AX352" s="4"/>
      <c r="AY352" s="4" cm="1">
        <f t="array" ref="AY352">IF(FALSE,"True," &amp; IF(_xlfn.XLOOKUP("Migrate_Other_Ports",'Scoring_Config'!$A:$A,'Scoring_Config'!$D:$D,"Yes")="Yes",_xlfn.XLOOKUP("Migrate_Other_Ports",'Scoring_Config'!$A:$A,'Scoring_Config'!$C:$C,5),0),"False,0")</f>
        <v>0</v>
      </c>
      <c r="AZ352" s="4" cm="1">
        <f t="array" ref="AZ352">IF(LEFT(AU352,4)="True",0,(IF(LEFT(AC352,4)="True",IF(_xlfn.XLOOKUP("Src_IsAny",'Scoring_Config'!$A:$A,'Scoring_Config'!$D:$D,"Yes")="Yes",_xlfn.XLOOKUP("Src_IsAny",'Scoring_Config'!$A:$A,'Scoring_Config'!$C:$C,25),0),0)+IF(LEFT(AD352,4)="True",IF(_xlfn.XLOOKUP("Src_CIDR_Le_16",'Scoring_Config'!$A:$A,'Scoring_Config'!$D:$D,"Yes")="Yes",_xlfn.XLOOKUP("Src_CIDR_Le_16",'Scoring_Config'!$A:$A,'Scoring_Config'!$C:$C,25),0),0)+IF(LEFT(AE352,4)="True",IF(_xlfn.XLOOKUP("Src_CIDR_17_22",'Scoring_Config'!$A:$A,'Scoring_Config'!$D:$D,"Yes")="Yes",_xlfn.XLOOKUP("Src_CIDR_17_22",'Scoring_Config'!$A:$A,'Scoring_Config'!$C:$C,15),0),0)+IF(LEFT(AF352,4)="True",IF(_xlfn.XLOOKUP("Dst_IsAny",'Scoring_Config'!$A:$A,'Scoring_Config'!$D:$D,"Yes")="Yes",_xlfn.XLOOKUP("Dst_IsAny",'Scoring_Config'!$A:$A,'Scoring_Config'!$C:$C,25),0),0)+IF(LEFT(AG352,4)="True",IF(_xlfn.XLOOKUP("Dst_CIDR_Le_16",'Scoring_Config'!$A:$A,'Scoring_Config'!$D:$D,"Yes")="Yes",_xlfn.XLOOKUP("Dst_CIDR_Le_16",'Scoring_Config'!$A:$A,'Scoring_Config'!$C:$C,25),0),0)+IF(LEFT(AH352,4)="True",IF(_xlfn.XLOOKUP("Dst_CIDR_17_22",'Scoring_Config'!$A:$A,'Scoring_Config'!$D:$D,"Yes")="Yes",_xlfn.XLOOKUP("Dst_CIDR_17_22",'Scoring_Config'!$A:$A,'Scoring_Config'!$C:$C,15),0),0)+IF(LEFT(AI352,4)="True",IF(_xlfn.XLOOKUP("SrcZone_IsAny",'Scoring_Config'!$A:$A,'Scoring_Config'!$D:$D,"Yes")="Yes",_xlfn.XLOOKUP("SrcZone_IsAny",'Scoring_Config'!$A:$A,'Scoring_Config'!$C:$C,5),0),0)+IF(LEFT(AJ352,4)="True",IF(_xlfn.XLOOKUP("DstZone_IsAny",'Scoring_Config'!$A:$A,'Scoring_Config'!$D:$D,"Yes")="Yes",_xlfn.XLOOKUP("DstZone_IsAny",'Scoring_Config'!$A:$A,'Scoring_Config'!$C:$C,5),0),0)+IF(LEFT(AK352,4)="True",IF(_xlfn.XLOOKUP("Service_Any_OR_RangeGt1000",'Scoring_Config'!$A:$A,'Scoring_Config'!$D:$D,"Yes")="Yes",_xlfn.XLOOKUP("Service_Any_OR_RangeGt1000",'Scoring_Config'!$A:$A,'Scoring_Config'!$C:$C,25),0),0)+IF(LEFT(AL352,4)="True",IF(_xlfn.XLOOKUP("App_Any_OR_RangeGt1000",'Scoring_Config'!$A:$A,'Scoring_Config'!$D:$D,"Yes")="Yes",_xlfn.XLOOKUP("App_Any_OR_RangeGt1000",'Scoring_Config'!$A:$A,'Scoring_Config'!$C:$C,25),0),0)+IF(LEFT(AM352,4)="True",IF(_xlfn.XLOOKUP("Service_Insecure_Match",'Scoring_Config'!$A:$A,'Scoring_Config'!$D:$D,"Yes")="Yes",_xlfn.XLOOKUP("Service_Insecure_Match",'Scoring_Config'!$A:$A,'Scoring_Config'!$C:$C,20),0),0)+IF(LEFT(AN352,4)="True",IF(_xlfn.XLOOKUP("Risky_Inbound",'Scoring_Config'!$A:$A,'Scoring_Config'!$D:$D,"Yes")="Yes",_xlfn.XLOOKUP("Risky_Inbound",'Scoring_Config'!$A:$A,'Scoring_Config'!$C:$C,20),0),0)+IF(LEFT(AO352,4)="True",IF(_xlfn.XLOOKUP("Risky_Outbound",'Scoring_Config'!$A:$A,'Scoring_Config'!$D:$D,"Yes")="Yes",_xlfn.XLOOKUP("Risky_Outbound",'Scoring_Config'!$A:$A,'Scoring_Config'!$C:$C,10),0),0)+IF(LEFT(AW352,4)="True",IF(_xlfn.XLOOKUP("Migrate_Insecure",'Scoring_Config'!$A:$A,'Scoring_Config'!$D:$D,"Yes")="Yes",_xlfn.XLOOKUP("Migrate_Insecure",'Scoring_Config'!$A:$A,'Scoring_Config'!$C:$C,15),0),0)+IF(LEFT(AY352,4)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352,FIND(",",AP352)+1,100)),0)+IF(LEFT(AQ352,4)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352,FIND(",",AR352)+1,100)),0)+IF(_xlfn.XLOOKUP("Profile_Scoring",'Scoring_Config'!$A:$A,'Scoring_Config'!$D:$D,"Yes")="Yes",VALUE(MID(AS352,FIND(",",AS352)+1,100)),0)+IF(_xlfn.XLOOKUP("Options_Scoring",'Scoring_Config'!$A:$A,'Scoring_Config'!$D:$D,"Yes")="Yes",VALUE(MID(AT352,FIND(",",AT352)+1,100)),0)))</f>
        <v>0</v>
      </c>
    </row>
    <row r="353" spans="1:52">
      <c r="A353" s="3" t="s">
        <v>55</v>
      </c>
      <c r="B353" s="3" t="s">
        <v>77</v>
      </c>
      <c r="C353" s="3" t="s">
        <v>332</v>
      </c>
      <c r="D353" s="3"/>
      <c r="E353" s="3" t="s">
        <v>359</v>
      </c>
      <c r="F353" s="3" t="s">
        <v>360</v>
      </c>
      <c r="G353" s="3" t="s">
        <v>495</v>
      </c>
      <c r="H353" s="3" t="s">
        <v>600</v>
      </c>
      <c r="I353" s="3" t="s">
        <v>365</v>
      </c>
      <c r="J353" s="3" t="s">
        <v>363</v>
      </c>
      <c r="K353" s="3" t="s">
        <v>717</v>
      </c>
      <c r="L353" s="3" t="s">
        <v>717</v>
      </c>
      <c r="M353" s="3" t="s">
        <v>774</v>
      </c>
      <c r="N353" s="3" t="s">
        <v>795</v>
      </c>
      <c r="O353" s="4" t="s">
        <v>856</v>
      </c>
      <c r="P353" s="3" t="s">
        <v>864</v>
      </c>
      <c r="Q353" s="3" t="s">
        <v>905</v>
      </c>
      <c r="R353" s="3" t="s">
        <v>911</v>
      </c>
      <c r="S353" s="3" t="s">
        <v>914</v>
      </c>
      <c r="T353" s="3" t="s">
        <v>985</v>
      </c>
      <c r="U353" s="3" t="s">
        <v>1157</v>
      </c>
      <c r="V353" s="3" t="s">
        <v>1386</v>
      </c>
      <c r="W353" s="3" t="s">
        <v>1451</v>
      </c>
      <c r="X353" s="3" t="s">
        <v>1957</v>
      </c>
      <c r="Y353" s="3" t="s">
        <v>2426</v>
      </c>
      <c r="Z353" s="3"/>
      <c r="AA353" s="3"/>
      <c r="AB353" s="3"/>
      <c r="AC353" s="5" cm="1">
        <f t="array" ref="AC353">IF(TRUE,"True," &amp; IF(_xlfn.XLOOKUP("Src_IsAny",'Scoring_Config'!$A:$A,'Scoring_Config'!$D:$D,"Yes")="Yes",_xlfn.XLOOKUP("Src_IsAny",'Scoring_Config'!$A:$A,'Scoring_Config'!$C:$C,25),0),"False,0")</f>
        <v>0</v>
      </c>
      <c r="AD353" s="5" cm="1">
        <f t="array" ref="AD353">IF(TRUE,"True," &amp; IF(_xlfn.XLOOKUP("Src_CIDR_Le_16",'Scoring_Config'!$A:$A,'Scoring_Config'!$D:$D,"Yes")="Yes",_xlfn.XLOOKUP("Src_CIDR_Le_16",'Scoring_Config'!$A:$A,'Scoring_Config'!$C:$C,25),0),"False,0")</f>
        <v>0</v>
      </c>
      <c r="AE353" s="4" cm="1">
        <f t="array" ref="AE353">IF(FALSE,"True," &amp; IF(_xlfn.XLOOKUP("Src_CIDR_17_22",'Scoring_Config'!$A:$A,'Scoring_Config'!$D:$D,"Yes")="Yes",_xlfn.XLOOKUP("Src_CIDR_17_22",'Scoring_Config'!$A:$A,'Scoring_Config'!$C:$C,15),0),"False,0")</f>
        <v>0</v>
      </c>
      <c r="AF353" s="4" cm="1">
        <f t="array" ref="AF353">IF(FALSE,"True," &amp; IF(_xlfn.XLOOKUP("Dst_IsAny",'Scoring_Config'!$A:$A,'Scoring_Config'!$D:$D,"Yes")="Yes",_xlfn.XLOOKUP("Dst_IsAny",'Scoring_Config'!$A:$A,'Scoring_Config'!$C:$C,25),0),"False,0")</f>
        <v>0</v>
      </c>
      <c r="AG353" s="4" cm="1">
        <f t="array" ref="AG353">IF(FALSE,"True," &amp; IF(_xlfn.XLOOKUP("Dst_CIDR_Le_16",'Scoring_Config'!$A:$A,'Scoring_Config'!$D:$D,"Yes")="Yes",_xlfn.XLOOKUP("Dst_CIDR_Le_16",'Scoring_Config'!$A:$A,'Scoring_Config'!$C:$C,25),0),"False,0")</f>
        <v>0</v>
      </c>
      <c r="AH353" s="4" cm="1">
        <f t="array" ref="AH353">IF(FALSE,"True," &amp; IF(_xlfn.XLOOKUP("Dst_CIDR_17_22",'Scoring_Config'!$A:$A,'Scoring_Config'!$D:$D,"Yes")="Yes",_xlfn.XLOOKUP("Dst_CIDR_17_22",'Scoring_Config'!$A:$A,'Scoring_Config'!$C:$C,15),0),"False,0")</f>
        <v>0</v>
      </c>
      <c r="AI353" s="4" cm="1">
        <f t="array" ref="AI353">IF(FALSE,"True," &amp; IF(_xlfn.XLOOKUP("SrcZone_IsAny",'Scoring_Config'!$A:$A,'Scoring_Config'!$D:$D,"Yes")="Yes",_xlfn.XLOOKUP("SrcZone_IsAny",'Scoring_Config'!$A:$A,'Scoring_Config'!$C:$C,5),0),"False,0")</f>
        <v>0</v>
      </c>
      <c r="AJ353" s="4" cm="1">
        <f t="array" ref="AJ353">IF(FALSE,"True," &amp; IF(_xlfn.XLOOKUP("DstZone_IsAny",'Scoring_Config'!$A:$A,'Scoring_Config'!$D:$D,"Yes")="Yes",_xlfn.XLOOKUP("DstZone_IsAny",'Scoring_Config'!$A:$A,'Scoring_Config'!$C:$C,5),0),"False,0")</f>
        <v>0</v>
      </c>
      <c r="AK353" s="4" cm="1">
        <f t="array" ref="AK35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3" s="4" cm="1">
        <f t="array" ref="AL353">IF(FALSE,"True," &amp; IF(_xlfn.XLOOKUP("App_Any_OR_RangeGt1000",'Scoring_Config'!$A:$A,'Scoring_Config'!$D:$D,"Yes")="Yes",_xlfn.XLOOKUP("App_Any_OR_RangeGt1000",'Scoring_Config'!$A:$A,'Scoring_Config'!$C:$C,25),0),"False,0")</f>
        <v>0</v>
      </c>
      <c r="AM353" s="5" cm="1">
        <f t="array" ref="AM353">IF(TRUE,"True," &amp; IF(_xlfn.XLOOKUP("Service_Insecure_Match",'Scoring_Config'!$A:$A,'Scoring_Config'!$D:$D,"Yes")="Yes",_xlfn.XLOOKUP("Service_Insecure_Match",'Scoring_Config'!$A:$A,'Scoring_Config'!$C:$C,20),0),"False,0")</f>
        <v>0</v>
      </c>
      <c r="AN353" s="4" cm="1">
        <f t="array" ref="AN353">IF(FALSE,"True," &amp; IF(_xlfn.XLOOKUP("Risky_Inbound",'Scoring_Config'!$A:$A,'Scoring_Config'!$D:$D,"Yes")="Yes",_xlfn.XLOOKUP("Risky_Inbound",'Scoring_Config'!$A:$A,'Scoring_Config'!$C:$C,20),0),"False,0")</f>
        <v>0</v>
      </c>
      <c r="AO353" s="4" cm="1">
        <f t="array" ref="AO353">IF(FALSE,"True," &amp; IF(_xlfn.XLOOKUP("Risky_Outbound",'Scoring_Config'!$A:$A,'Scoring_Config'!$D:$D,"Yes")="Yes",_xlfn.XLOOKUP("Risky_Outbound",'Scoring_Config'!$A:$A,'Scoring_Config'!$C:$C,10),0),"False,0")</f>
        <v>0</v>
      </c>
      <c r="AP353" s="5" t="s">
        <v>2595</v>
      </c>
      <c r="AQ353" s="5" cm="1">
        <f t="array" ref="AQ35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3" s="4" t="s">
        <v>2592</v>
      </c>
      <c r="AS353" s="4" t="s">
        <v>2592</v>
      </c>
      <c r="AT353" s="4" t="s">
        <v>2592</v>
      </c>
      <c r="AU353" s="4" cm="1">
        <f t="array" ref="AU353">IF(FALSE,"True," &amp; IF(_xlfn.XLOOKUP("Action_IsDenyOrDrop",'Scoring_Config'!$A:$A,'Scoring_Config'!$D:$D,"Yes")="Yes",_xlfn.XLOOKUP("Action_IsDenyOrDrop",'Scoring_Config'!$A:$A,'Scoring_Config'!$C:$C,0),0),"False,0")</f>
        <v>0</v>
      </c>
      <c r="AV353" s="4"/>
      <c r="AW353" s="4" cm="1">
        <f t="array" ref="AW353">IF(FALSE,"True," &amp; IF(_xlfn.XLOOKUP("Migrate_Insecure",'Scoring_Config'!$A:$A,'Scoring_Config'!$D:$D,"Yes")="Yes",_xlfn.XLOOKUP("Migrate_Insecure",'Scoring_Config'!$A:$A,'Scoring_Config'!$C:$C,15),0),"False,0")</f>
        <v>0</v>
      </c>
      <c r="AX353" s="4"/>
      <c r="AY353" s="4" cm="1">
        <f t="array" ref="AY353">IF(FALSE,"True," &amp; IF(_xlfn.XLOOKUP("Migrate_Other_Ports",'Scoring_Config'!$A:$A,'Scoring_Config'!$D:$D,"Yes")="Yes",_xlfn.XLOOKUP("Migrate_Other_Ports",'Scoring_Config'!$A:$A,'Scoring_Config'!$C:$C,5),0),"False,0")</f>
        <v>0</v>
      </c>
      <c r="AZ353" s="4" cm="1">
        <f t="array" ref="AZ353">IF(LEFT(AU353,4)="True",0,(IF(LEFT(AC353,4)="True",IF(_xlfn.XLOOKUP("Src_IsAny",'Scoring_Config'!$A:$A,'Scoring_Config'!$D:$D,"Yes")="Yes",_xlfn.XLOOKUP("Src_IsAny",'Scoring_Config'!$A:$A,'Scoring_Config'!$C:$C,25),0),0)+IF(LEFT(AD353,4)="True",IF(_xlfn.XLOOKUP("Src_CIDR_Le_16",'Scoring_Config'!$A:$A,'Scoring_Config'!$D:$D,"Yes")="Yes",_xlfn.XLOOKUP("Src_CIDR_Le_16",'Scoring_Config'!$A:$A,'Scoring_Config'!$C:$C,25),0),0)+IF(LEFT(AE353,4)="True",IF(_xlfn.XLOOKUP("Src_CIDR_17_22",'Scoring_Config'!$A:$A,'Scoring_Config'!$D:$D,"Yes")="Yes",_xlfn.XLOOKUP("Src_CIDR_17_22",'Scoring_Config'!$A:$A,'Scoring_Config'!$C:$C,15),0),0)+IF(LEFT(AF353,4)="True",IF(_xlfn.XLOOKUP("Dst_IsAny",'Scoring_Config'!$A:$A,'Scoring_Config'!$D:$D,"Yes")="Yes",_xlfn.XLOOKUP("Dst_IsAny",'Scoring_Config'!$A:$A,'Scoring_Config'!$C:$C,25),0),0)+IF(LEFT(AG353,4)="True",IF(_xlfn.XLOOKUP("Dst_CIDR_Le_16",'Scoring_Config'!$A:$A,'Scoring_Config'!$D:$D,"Yes")="Yes",_xlfn.XLOOKUP("Dst_CIDR_Le_16",'Scoring_Config'!$A:$A,'Scoring_Config'!$C:$C,25),0),0)+IF(LEFT(AH353,4)="True",IF(_xlfn.XLOOKUP("Dst_CIDR_17_22",'Scoring_Config'!$A:$A,'Scoring_Config'!$D:$D,"Yes")="Yes",_xlfn.XLOOKUP("Dst_CIDR_17_22",'Scoring_Config'!$A:$A,'Scoring_Config'!$C:$C,15),0),0)+IF(LEFT(AI353,4)="True",IF(_xlfn.XLOOKUP("SrcZone_IsAny",'Scoring_Config'!$A:$A,'Scoring_Config'!$D:$D,"Yes")="Yes",_xlfn.XLOOKUP("SrcZone_IsAny",'Scoring_Config'!$A:$A,'Scoring_Config'!$C:$C,5),0),0)+IF(LEFT(AJ353,4)="True",IF(_xlfn.XLOOKUP("DstZone_IsAny",'Scoring_Config'!$A:$A,'Scoring_Config'!$D:$D,"Yes")="Yes",_xlfn.XLOOKUP("DstZone_IsAny",'Scoring_Config'!$A:$A,'Scoring_Config'!$C:$C,5),0),0)+IF(LEFT(AK353,4)="True",IF(_xlfn.XLOOKUP("Service_Any_OR_RangeGt1000",'Scoring_Config'!$A:$A,'Scoring_Config'!$D:$D,"Yes")="Yes",_xlfn.XLOOKUP("Service_Any_OR_RangeGt1000",'Scoring_Config'!$A:$A,'Scoring_Config'!$C:$C,25),0),0)+IF(LEFT(AL353,4)="True",IF(_xlfn.XLOOKUP("App_Any_OR_RangeGt1000",'Scoring_Config'!$A:$A,'Scoring_Config'!$D:$D,"Yes")="Yes",_xlfn.XLOOKUP("App_Any_OR_RangeGt1000",'Scoring_Config'!$A:$A,'Scoring_Config'!$C:$C,25),0),0)+IF(LEFT(AM353,4)="True",IF(_xlfn.XLOOKUP("Service_Insecure_Match",'Scoring_Config'!$A:$A,'Scoring_Config'!$D:$D,"Yes")="Yes",_xlfn.XLOOKUP("Service_Insecure_Match",'Scoring_Config'!$A:$A,'Scoring_Config'!$C:$C,20),0),0)+IF(LEFT(AN353,4)="True",IF(_xlfn.XLOOKUP("Risky_Inbound",'Scoring_Config'!$A:$A,'Scoring_Config'!$D:$D,"Yes")="Yes",_xlfn.XLOOKUP("Risky_Inbound",'Scoring_Config'!$A:$A,'Scoring_Config'!$C:$C,20),0),0)+IF(LEFT(AO353,4)="True",IF(_xlfn.XLOOKUP("Risky_Outbound",'Scoring_Config'!$A:$A,'Scoring_Config'!$D:$D,"Yes")="Yes",_xlfn.XLOOKUP("Risky_Outbound",'Scoring_Config'!$A:$A,'Scoring_Config'!$C:$C,10),0),0)+IF(LEFT(AW353,4)="True",IF(_xlfn.XLOOKUP("Migrate_Insecure",'Scoring_Config'!$A:$A,'Scoring_Config'!$D:$D,"Yes")="Yes",_xlfn.XLOOKUP("Migrate_Insecure",'Scoring_Config'!$A:$A,'Scoring_Config'!$C:$C,15),0),0)+IF(LEFT(AY353,4)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353,FIND(",",AP353)+1,100)),0)+IF(LEFT(AQ353,4)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353,FIND(",",AR353)+1,100)),0)+IF(_xlfn.XLOOKUP("Profile_Scoring",'Scoring_Config'!$A:$A,'Scoring_Config'!$D:$D,"Yes")="Yes",VALUE(MID(AS353,FIND(",",AS353)+1,100)),0)+IF(_xlfn.XLOOKUP("Options_Scoring",'Scoring_Config'!$A:$A,'Scoring_Config'!$D:$D,"Yes")="Yes",VALUE(MID(AT353,FIND(",",AT353)+1,100)),0)))</f>
        <v>0</v>
      </c>
    </row>
    <row r="354" spans="1:52">
      <c r="A354" s="3" t="s">
        <v>55</v>
      </c>
      <c r="B354" s="3" t="s">
        <v>57</v>
      </c>
      <c r="C354" s="3" t="s">
        <v>332</v>
      </c>
      <c r="D354" s="3"/>
      <c r="E354" s="3" t="s">
        <v>359</v>
      </c>
      <c r="F354" s="3" t="s">
        <v>362</v>
      </c>
      <c r="G354" s="3" t="s">
        <v>365</v>
      </c>
      <c r="H354" s="3" t="s">
        <v>365</v>
      </c>
      <c r="I354" s="3" t="s">
        <v>365</v>
      </c>
      <c r="J354" s="3" t="s">
        <v>360</v>
      </c>
      <c r="K354" s="3" t="s">
        <v>508</v>
      </c>
      <c r="L354" s="3" t="s">
        <v>605</v>
      </c>
      <c r="M354" s="3" t="s">
        <v>773</v>
      </c>
      <c r="N354" s="3" t="s">
        <v>773</v>
      </c>
      <c r="O354" s="4" t="s">
        <v>857</v>
      </c>
      <c r="P354" s="3" t="s">
        <v>865</v>
      </c>
      <c r="Q354" s="3" t="s">
        <v>905</v>
      </c>
      <c r="R354" s="3" t="s">
        <v>911</v>
      </c>
      <c r="S354" s="3" t="s">
        <v>913</v>
      </c>
      <c r="T354" s="3" t="s">
        <v>1073</v>
      </c>
      <c r="U354" s="3" t="s">
        <v>1323</v>
      </c>
      <c r="V354" s="3" t="s">
        <v>1389</v>
      </c>
      <c r="W354" s="3" t="s">
        <v>1566</v>
      </c>
      <c r="X354" s="3" t="s">
        <v>1958</v>
      </c>
      <c r="Y354" s="3" t="s">
        <v>2427</v>
      </c>
      <c r="Z354" s="3"/>
      <c r="AA354" s="3"/>
      <c r="AB354" s="3"/>
      <c r="AC354" s="5" cm="1">
        <f t="array" ref="AC354">IF(TRUE,"True," &amp; IF(_xlfn.XLOOKUP("Src_IsAny",'Scoring_Config'!$A:$A,'Scoring_Config'!$D:$D,"Yes")="Yes",_xlfn.XLOOKUP("Src_IsAny",'Scoring_Config'!$A:$A,'Scoring_Config'!$C:$C,25),0),"False,0")</f>
        <v>0</v>
      </c>
      <c r="AD354" s="4" cm="1">
        <f t="array" ref="AD354">IF(FALSE,"True," &amp; IF(_xlfn.XLOOKUP("Src_CIDR_Le_16",'Scoring_Config'!$A:$A,'Scoring_Config'!$D:$D,"Yes")="Yes",_xlfn.XLOOKUP("Src_CIDR_Le_16",'Scoring_Config'!$A:$A,'Scoring_Config'!$C:$C,25),0),"False,0")</f>
        <v>0</v>
      </c>
      <c r="AE354" s="4" cm="1">
        <f t="array" ref="AE354">IF(FALSE,"True," &amp; IF(_xlfn.XLOOKUP("Src_CIDR_17_22",'Scoring_Config'!$A:$A,'Scoring_Config'!$D:$D,"Yes")="Yes",_xlfn.XLOOKUP("Src_CIDR_17_22",'Scoring_Config'!$A:$A,'Scoring_Config'!$C:$C,15),0),"False,0")</f>
        <v>0</v>
      </c>
      <c r="AF354" s="4" cm="1">
        <f t="array" ref="AF354">IF(FALSE,"True," &amp; IF(_xlfn.XLOOKUP("Dst_IsAny",'Scoring_Config'!$A:$A,'Scoring_Config'!$D:$D,"Yes")="Yes",_xlfn.XLOOKUP("Dst_IsAny",'Scoring_Config'!$A:$A,'Scoring_Config'!$C:$C,25),0),"False,0")</f>
        <v>0</v>
      </c>
      <c r="AG354" s="4" cm="1">
        <f t="array" ref="AG354">IF(FALSE,"True," &amp; IF(_xlfn.XLOOKUP("Dst_CIDR_Le_16",'Scoring_Config'!$A:$A,'Scoring_Config'!$D:$D,"Yes")="Yes",_xlfn.XLOOKUP("Dst_CIDR_Le_16",'Scoring_Config'!$A:$A,'Scoring_Config'!$C:$C,25),0),"False,0")</f>
        <v>0</v>
      </c>
      <c r="AH354" s="4" cm="1">
        <f t="array" ref="AH354">IF(FALSE,"True," &amp; IF(_xlfn.XLOOKUP("Dst_CIDR_17_22",'Scoring_Config'!$A:$A,'Scoring_Config'!$D:$D,"Yes")="Yes",_xlfn.XLOOKUP("Dst_CIDR_17_22",'Scoring_Config'!$A:$A,'Scoring_Config'!$C:$C,15),0),"False,0")</f>
        <v>0</v>
      </c>
      <c r="AI354" s="4" cm="1">
        <f t="array" ref="AI354">IF(FALSE,"True," &amp; IF(_xlfn.XLOOKUP("SrcZone_IsAny",'Scoring_Config'!$A:$A,'Scoring_Config'!$D:$D,"Yes")="Yes",_xlfn.XLOOKUP("SrcZone_IsAny",'Scoring_Config'!$A:$A,'Scoring_Config'!$C:$C,5),0),"False,0")</f>
        <v>0</v>
      </c>
      <c r="AJ354" s="4" cm="1">
        <f t="array" ref="AJ354">IF(FALSE,"True," &amp; IF(_xlfn.XLOOKUP("DstZone_IsAny",'Scoring_Config'!$A:$A,'Scoring_Config'!$D:$D,"Yes")="Yes",_xlfn.XLOOKUP("DstZone_IsAny",'Scoring_Config'!$A:$A,'Scoring_Config'!$C:$C,5),0),"False,0")</f>
        <v>0</v>
      </c>
      <c r="AK354" s="4" cm="1">
        <f t="array" ref="AK35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4" s="4" cm="1">
        <f t="array" ref="AL354">IF(FALSE,"True," &amp; IF(_xlfn.XLOOKUP("App_Any_OR_RangeGt1000",'Scoring_Config'!$A:$A,'Scoring_Config'!$D:$D,"Yes")="Yes",_xlfn.XLOOKUP("App_Any_OR_RangeGt1000",'Scoring_Config'!$A:$A,'Scoring_Config'!$C:$C,25),0),"False,0")</f>
        <v>0</v>
      </c>
      <c r="AM354" s="5" cm="1">
        <f t="array" ref="AM354">IF(TRUE,"True," &amp; IF(_xlfn.XLOOKUP("Service_Insecure_Match",'Scoring_Config'!$A:$A,'Scoring_Config'!$D:$D,"Yes")="Yes",_xlfn.XLOOKUP("Service_Insecure_Match",'Scoring_Config'!$A:$A,'Scoring_Config'!$C:$C,20),0),"False,0")</f>
        <v>0</v>
      </c>
      <c r="AN354" s="4" cm="1">
        <f t="array" ref="AN354">IF(FALSE,"True," &amp; IF(_xlfn.XLOOKUP("Risky_Inbound",'Scoring_Config'!$A:$A,'Scoring_Config'!$D:$D,"Yes")="Yes",_xlfn.XLOOKUP("Risky_Inbound",'Scoring_Config'!$A:$A,'Scoring_Config'!$C:$C,20),0),"False,0")</f>
        <v>0</v>
      </c>
      <c r="AO354" s="4" cm="1">
        <f t="array" ref="AO354">IF(FALSE,"True," &amp; IF(_xlfn.XLOOKUP("Risky_Outbound",'Scoring_Config'!$A:$A,'Scoring_Config'!$D:$D,"Yes")="Yes",_xlfn.XLOOKUP("Risky_Outbound",'Scoring_Config'!$A:$A,'Scoring_Config'!$C:$C,10),0),"False,0")</f>
        <v>0</v>
      </c>
      <c r="AP354" s="5" t="s">
        <v>2595</v>
      </c>
      <c r="AQ354" s="4" cm="1">
        <f t="array" ref="AQ35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4" s="4" t="s">
        <v>2592</v>
      </c>
      <c r="AS354" s="4" t="s">
        <v>2592</v>
      </c>
      <c r="AT354" s="4" t="s">
        <v>2592</v>
      </c>
      <c r="AU354" s="4" cm="1">
        <f t="array" ref="AU354">IF(FALSE,"True," &amp; IF(_xlfn.XLOOKUP("Action_IsDenyOrDrop",'Scoring_Config'!$A:$A,'Scoring_Config'!$D:$D,"Yes")="Yes",_xlfn.XLOOKUP("Action_IsDenyOrDrop",'Scoring_Config'!$A:$A,'Scoring_Config'!$C:$C,0),0),"False,0")</f>
        <v>0</v>
      </c>
      <c r="AV354" s="4"/>
      <c r="AW354" s="4" cm="1">
        <f t="array" ref="AW354">IF(FALSE,"True," &amp; IF(_xlfn.XLOOKUP("Migrate_Insecure",'Scoring_Config'!$A:$A,'Scoring_Config'!$D:$D,"Yes")="Yes",_xlfn.XLOOKUP("Migrate_Insecure",'Scoring_Config'!$A:$A,'Scoring_Config'!$C:$C,15),0),"False,0")</f>
        <v>0</v>
      </c>
      <c r="AX354" s="4"/>
      <c r="AY354" s="4" cm="1">
        <f t="array" ref="AY354">IF(FALSE,"True," &amp; IF(_xlfn.XLOOKUP("Migrate_Other_Ports",'Scoring_Config'!$A:$A,'Scoring_Config'!$D:$D,"Yes")="Yes",_xlfn.XLOOKUP("Migrate_Other_Ports",'Scoring_Config'!$A:$A,'Scoring_Config'!$C:$C,5),0),"False,0")</f>
        <v>0</v>
      </c>
      <c r="AZ354" s="4" cm="1">
        <f t="array" ref="AZ354">IF(LEFT(AU354,4)="True",0,(IF(LEFT(AC354,4)="True",IF(_xlfn.XLOOKUP("Src_IsAny",'Scoring_Config'!$A:$A,'Scoring_Config'!$D:$D,"Yes")="Yes",_xlfn.XLOOKUP("Src_IsAny",'Scoring_Config'!$A:$A,'Scoring_Config'!$C:$C,25),0),0)+IF(LEFT(AD354,4)="True",IF(_xlfn.XLOOKUP("Src_CIDR_Le_16",'Scoring_Config'!$A:$A,'Scoring_Config'!$D:$D,"Yes")="Yes",_xlfn.XLOOKUP("Src_CIDR_Le_16",'Scoring_Config'!$A:$A,'Scoring_Config'!$C:$C,25),0),0)+IF(LEFT(AE354,4)="True",IF(_xlfn.XLOOKUP("Src_CIDR_17_22",'Scoring_Config'!$A:$A,'Scoring_Config'!$D:$D,"Yes")="Yes",_xlfn.XLOOKUP("Src_CIDR_17_22",'Scoring_Config'!$A:$A,'Scoring_Config'!$C:$C,15),0),0)+IF(LEFT(AF354,4)="True",IF(_xlfn.XLOOKUP("Dst_IsAny",'Scoring_Config'!$A:$A,'Scoring_Config'!$D:$D,"Yes")="Yes",_xlfn.XLOOKUP("Dst_IsAny",'Scoring_Config'!$A:$A,'Scoring_Config'!$C:$C,25),0),0)+IF(LEFT(AG354,4)="True",IF(_xlfn.XLOOKUP("Dst_CIDR_Le_16",'Scoring_Config'!$A:$A,'Scoring_Config'!$D:$D,"Yes")="Yes",_xlfn.XLOOKUP("Dst_CIDR_Le_16",'Scoring_Config'!$A:$A,'Scoring_Config'!$C:$C,25),0),0)+IF(LEFT(AH354,4)="True",IF(_xlfn.XLOOKUP("Dst_CIDR_17_22",'Scoring_Config'!$A:$A,'Scoring_Config'!$D:$D,"Yes")="Yes",_xlfn.XLOOKUP("Dst_CIDR_17_22",'Scoring_Config'!$A:$A,'Scoring_Config'!$C:$C,15),0),0)+IF(LEFT(AI354,4)="True",IF(_xlfn.XLOOKUP("SrcZone_IsAny",'Scoring_Config'!$A:$A,'Scoring_Config'!$D:$D,"Yes")="Yes",_xlfn.XLOOKUP("SrcZone_IsAny",'Scoring_Config'!$A:$A,'Scoring_Config'!$C:$C,5),0),0)+IF(LEFT(AJ354,4)="True",IF(_xlfn.XLOOKUP("DstZone_IsAny",'Scoring_Config'!$A:$A,'Scoring_Config'!$D:$D,"Yes")="Yes",_xlfn.XLOOKUP("DstZone_IsAny",'Scoring_Config'!$A:$A,'Scoring_Config'!$C:$C,5),0),0)+IF(LEFT(AK354,4)="True",IF(_xlfn.XLOOKUP("Service_Any_OR_RangeGt1000",'Scoring_Config'!$A:$A,'Scoring_Config'!$D:$D,"Yes")="Yes",_xlfn.XLOOKUP("Service_Any_OR_RangeGt1000",'Scoring_Config'!$A:$A,'Scoring_Config'!$C:$C,25),0),0)+IF(LEFT(AL354,4)="True",IF(_xlfn.XLOOKUP("App_Any_OR_RangeGt1000",'Scoring_Config'!$A:$A,'Scoring_Config'!$D:$D,"Yes")="Yes",_xlfn.XLOOKUP("App_Any_OR_RangeGt1000",'Scoring_Config'!$A:$A,'Scoring_Config'!$C:$C,25),0),0)+IF(LEFT(AM354,4)="True",IF(_xlfn.XLOOKUP("Service_Insecure_Match",'Scoring_Config'!$A:$A,'Scoring_Config'!$D:$D,"Yes")="Yes",_xlfn.XLOOKUP("Service_Insecure_Match",'Scoring_Config'!$A:$A,'Scoring_Config'!$C:$C,20),0),0)+IF(LEFT(AN354,4)="True",IF(_xlfn.XLOOKUP("Risky_Inbound",'Scoring_Config'!$A:$A,'Scoring_Config'!$D:$D,"Yes")="Yes",_xlfn.XLOOKUP("Risky_Inbound",'Scoring_Config'!$A:$A,'Scoring_Config'!$C:$C,20),0),0)+IF(LEFT(AO354,4)="True",IF(_xlfn.XLOOKUP("Risky_Outbound",'Scoring_Config'!$A:$A,'Scoring_Config'!$D:$D,"Yes")="Yes",_xlfn.XLOOKUP("Risky_Outbound",'Scoring_Config'!$A:$A,'Scoring_Config'!$C:$C,10),0),0)+IF(LEFT(AW354,4)="True",IF(_xlfn.XLOOKUP("Migrate_Insecure",'Scoring_Config'!$A:$A,'Scoring_Config'!$D:$D,"Yes")="Yes",_xlfn.XLOOKUP("Migrate_Insecure",'Scoring_Config'!$A:$A,'Scoring_Config'!$C:$C,15),0),0)+IF(LEFT(AY354,4)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354,FIND(",",AP354)+1,100)),0)+IF(LEFT(AQ354,4)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354,FIND(",",AR354)+1,100)),0)+IF(_xlfn.XLOOKUP("Profile_Scoring",'Scoring_Config'!$A:$A,'Scoring_Config'!$D:$D,"Yes")="Yes",VALUE(MID(AS354,FIND(",",AS354)+1,100)),0)+IF(_xlfn.XLOOKUP("Options_Scoring",'Scoring_Config'!$A:$A,'Scoring_Config'!$D:$D,"Yes")="Yes",VALUE(MID(AT354,FIND(",",AT354)+1,100)),0)))</f>
        <v>0</v>
      </c>
    </row>
    <row r="355" spans="1:52">
      <c r="A355" s="3" t="s">
        <v>55</v>
      </c>
      <c r="B355" s="3" t="s">
        <v>187</v>
      </c>
      <c r="C355" s="3" t="s">
        <v>332</v>
      </c>
      <c r="D355" s="3"/>
      <c r="E355" s="3" t="s">
        <v>359</v>
      </c>
      <c r="F355" s="3" t="s">
        <v>361</v>
      </c>
      <c r="G355" s="3" t="s">
        <v>365</v>
      </c>
      <c r="H355" s="3" t="s">
        <v>365</v>
      </c>
      <c r="I355" s="3" t="s">
        <v>622</v>
      </c>
      <c r="J355" s="3" t="s">
        <v>363</v>
      </c>
      <c r="K355" s="3" t="s">
        <v>514</v>
      </c>
      <c r="L355" s="3" t="s">
        <v>514</v>
      </c>
      <c r="M355" s="3" t="s">
        <v>773</v>
      </c>
      <c r="N355" s="3" t="s">
        <v>773</v>
      </c>
      <c r="O355" s="4" t="s">
        <v>831</v>
      </c>
      <c r="P355" s="3" t="s">
        <v>892</v>
      </c>
      <c r="Q355" s="3" t="s">
        <v>905</v>
      </c>
      <c r="R355" s="3" t="s">
        <v>908</v>
      </c>
      <c r="S355" s="3" t="s">
        <v>907</v>
      </c>
      <c r="T355" s="3" t="s">
        <v>919</v>
      </c>
      <c r="U355" s="3" t="s">
        <v>1324</v>
      </c>
      <c r="V355" s="3" t="s">
        <v>770</v>
      </c>
      <c r="W355" s="3" t="s">
        <v>936</v>
      </c>
      <c r="X355" s="3" t="s">
        <v>1959</v>
      </c>
      <c r="Y355" s="3" t="s">
        <v>2428</v>
      </c>
      <c r="Z355" s="3"/>
      <c r="AA355" s="3"/>
      <c r="AB355" s="3"/>
      <c r="AC355" s="5" cm="1">
        <f t="array" ref="AC355">IF(TRUE,"True," &amp; IF(_xlfn.XLOOKUP("Src_IsAny",'Scoring_Config'!$A:$A,'Scoring_Config'!$D:$D,"Yes")="Yes",_xlfn.XLOOKUP("Src_IsAny",'Scoring_Config'!$A:$A,'Scoring_Config'!$C:$C,25),0),"False,0")</f>
        <v>0</v>
      </c>
      <c r="AD355" s="4" cm="1">
        <f t="array" ref="AD355">IF(FALSE,"True," &amp; IF(_xlfn.XLOOKUP("Src_CIDR_Le_16",'Scoring_Config'!$A:$A,'Scoring_Config'!$D:$D,"Yes")="Yes",_xlfn.XLOOKUP("Src_CIDR_Le_16",'Scoring_Config'!$A:$A,'Scoring_Config'!$C:$C,25),0),"False,0")</f>
        <v>0</v>
      </c>
      <c r="AE355" s="4" cm="1">
        <f t="array" ref="AE355">IF(FALSE,"True," &amp; IF(_xlfn.XLOOKUP("Src_CIDR_17_22",'Scoring_Config'!$A:$A,'Scoring_Config'!$D:$D,"Yes")="Yes",_xlfn.XLOOKUP("Src_CIDR_17_22",'Scoring_Config'!$A:$A,'Scoring_Config'!$C:$C,15),0),"False,0")</f>
        <v>0</v>
      </c>
      <c r="AF355" s="4" cm="1">
        <f t="array" ref="AF355">IF(FALSE,"True," &amp; IF(_xlfn.XLOOKUP("Dst_IsAny",'Scoring_Config'!$A:$A,'Scoring_Config'!$D:$D,"Yes")="Yes",_xlfn.XLOOKUP("Dst_IsAny",'Scoring_Config'!$A:$A,'Scoring_Config'!$C:$C,25),0),"False,0")</f>
        <v>0</v>
      </c>
      <c r="AG355" s="4" cm="1">
        <f t="array" ref="AG355">IF(FALSE,"True," &amp; IF(_xlfn.XLOOKUP("Dst_CIDR_Le_16",'Scoring_Config'!$A:$A,'Scoring_Config'!$D:$D,"Yes")="Yes",_xlfn.XLOOKUP("Dst_CIDR_Le_16",'Scoring_Config'!$A:$A,'Scoring_Config'!$C:$C,25),0),"False,0")</f>
        <v>0</v>
      </c>
      <c r="AH355" s="4" cm="1">
        <f t="array" ref="AH355">IF(FALSE,"True," &amp; IF(_xlfn.XLOOKUP("Dst_CIDR_17_22",'Scoring_Config'!$A:$A,'Scoring_Config'!$D:$D,"Yes")="Yes",_xlfn.XLOOKUP("Dst_CIDR_17_22",'Scoring_Config'!$A:$A,'Scoring_Config'!$C:$C,15),0),"False,0")</f>
        <v>0</v>
      </c>
      <c r="AI355" s="4" cm="1">
        <f t="array" ref="AI355">IF(FALSE,"True," &amp; IF(_xlfn.XLOOKUP("SrcZone_IsAny",'Scoring_Config'!$A:$A,'Scoring_Config'!$D:$D,"Yes")="Yes",_xlfn.XLOOKUP("SrcZone_IsAny",'Scoring_Config'!$A:$A,'Scoring_Config'!$C:$C,5),0),"False,0")</f>
        <v>0</v>
      </c>
      <c r="AJ355" s="4" cm="1">
        <f t="array" ref="AJ355">IF(FALSE,"True," &amp; IF(_xlfn.XLOOKUP("DstZone_IsAny",'Scoring_Config'!$A:$A,'Scoring_Config'!$D:$D,"Yes")="Yes",_xlfn.XLOOKUP("DstZone_IsAny",'Scoring_Config'!$A:$A,'Scoring_Config'!$C:$C,5),0),"False,0")</f>
        <v>0</v>
      </c>
      <c r="AK355" s="4" cm="1">
        <f t="array" ref="AK35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5" s="4" cm="1">
        <f t="array" ref="AL355">IF(FALSE,"True," &amp; IF(_xlfn.XLOOKUP("App_Any_OR_RangeGt1000",'Scoring_Config'!$A:$A,'Scoring_Config'!$D:$D,"Yes")="Yes",_xlfn.XLOOKUP("App_Any_OR_RangeGt1000",'Scoring_Config'!$A:$A,'Scoring_Config'!$C:$C,25),0),"False,0")</f>
        <v>0</v>
      </c>
      <c r="AM355" s="5" cm="1">
        <f t="array" ref="AM355">IF(TRUE,"True," &amp; IF(_xlfn.XLOOKUP("Service_Insecure_Match",'Scoring_Config'!$A:$A,'Scoring_Config'!$D:$D,"Yes")="Yes",_xlfn.XLOOKUP("Service_Insecure_Match",'Scoring_Config'!$A:$A,'Scoring_Config'!$C:$C,20),0),"False,0")</f>
        <v>0</v>
      </c>
      <c r="AN355" s="4" cm="1">
        <f t="array" ref="AN355">IF(FALSE,"True," &amp; IF(_xlfn.XLOOKUP("Risky_Inbound",'Scoring_Config'!$A:$A,'Scoring_Config'!$D:$D,"Yes")="Yes",_xlfn.XLOOKUP("Risky_Inbound",'Scoring_Config'!$A:$A,'Scoring_Config'!$C:$C,20),0),"False,0")</f>
        <v>0</v>
      </c>
      <c r="AO355" s="4" cm="1">
        <f t="array" ref="AO355">IF(FALSE,"True," &amp; IF(_xlfn.XLOOKUP("Risky_Outbound",'Scoring_Config'!$A:$A,'Scoring_Config'!$D:$D,"Yes")="Yes",_xlfn.XLOOKUP("Risky_Outbound",'Scoring_Config'!$A:$A,'Scoring_Config'!$C:$C,10),0),"False,0")</f>
        <v>0</v>
      </c>
      <c r="AP355" s="5" t="s">
        <v>2595</v>
      </c>
      <c r="AQ355" s="4" cm="1">
        <f t="array" ref="AQ35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5" s="5" t="s">
        <v>2598</v>
      </c>
      <c r="AS355" s="4" t="s">
        <v>2592</v>
      </c>
      <c r="AT355" s="5" t="s">
        <v>2595</v>
      </c>
      <c r="AU355" s="4" cm="1">
        <f t="array" ref="AU355">IF(FALSE,"True," &amp; IF(_xlfn.XLOOKUP("Action_IsDenyOrDrop",'Scoring_Config'!$A:$A,'Scoring_Config'!$D:$D,"Yes")="Yes",_xlfn.XLOOKUP("Action_IsDenyOrDrop",'Scoring_Config'!$A:$A,'Scoring_Config'!$C:$C,0),0),"False,0")</f>
        <v>0</v>
      </c>
      <c r="AV355" s="4"/>
      <c r="AW355" s="4" cm="1">
        <f t="array" ref="AW355">IF(FALSE,"True," &amp; IF(_xlfn.XLOOKUP("Migrate_Insecure",'Scoring_Config'!$A:$A,'Scoring_Config'!$D:$D,"Yes")="Yes",_xlfn.XLOOKUP("Migrate_Insecure",'Scoring_Config'!$A:$A,'Scoring_Config'!$C:$C,15),0),"False,0")</f>
        <v>0</v>
      </c>
      <c r="AX355" s="4"/>
      <c r="AY355" s="4" cm="1">
        <f t="array" ref="AY355">IF(FALSE,"True," &amp; IF(_xlfn.XLOOKUP("Migrate_Other_Ports",'Scoring_Config'!$A:$A,'Scoring_Config'!$D:$D,"Yes")="Yes",_xlfn.XLOOKUP("Migrate_Other_Ports",'Scoring_Config'!$A:$A,'Scoring_Config'!$C:$C,5),0),"False,0")</f>
        <v>0</v>
      </c>
      <c r="AZ355" s="4" cm="1">
        <f t="array" ref="AZ355">IF(LEFT(AU355,4)="True",0,(IF(LEFT(AC355,4)="True",IF(_xlfn.XLOOKUP("Src_IsAny",'Scoring_Config'!$A:$A,'Scoring_Config'!$D:$D,"Yes")="Yes",_xlfn.XLOOKUP("Src_IsAny",'Scoring_Config'!$A:$A,'Scoring_Config'!$C:$C,25),0),0)+IF(LEFT(AD355,4)="True",IF(_xlfn.XLOOKUP("Src_CIDR_Le_16",'Scoring_Config'!$A:$A,'Scoring_Config'!$D:$D,"Yes")="Yes",_xlfn.XLOOKUP("Src_CIDR_Le_16",'Scoring_Config'!$A:$A,'Scoring_Config'!$C:$C,25),0),0)+IF(LEFT(AE355,4)="True",IF(_xlfn.XLOOKUP("Src_CIDR_17_22",'Scoring_Config'!$A:$A,'Scoring_Config'!$D:$D,"Yes")="Yes",_xlfn.XLOOKUP("Src_CIDR_17_22",'Scoring_Config'!$A:$A,'Scoring_Config'!$C:$C,15),0),0)+IF(LEFT(AF355,4)="True",IF(_xlfn.XLOOKUP("Dst_IsAny",'Scoring_Config'!$A:$A,'Scoring_Config'!$D:$D,"Yes")="Yes",_xlfn.XLOOKUP("Dst_IsAny",'Scoring_Config'!$A:$A,'Scoring_Config'!$C:$C,25),0),0)+IF(LEFT(AG355,4)="True",IF(_xlfn.XLOOKUP("Dst_CIDR_Le_16",'Scoring_Config'!$A:$A,'Scoring_Config'!$D:$D,"Yes")="Yes",_xlfn.XLOOKUP("Dst_CIDR_Le_16",'Scoring_Config'!$A:$A,'Scoring_Config'!$C:$C,25),0),0)+IF(LEFT(AH355,4)="True",IF(_xlfn.XLOOKUP("Dst_CIDR_17_22",'Scoring_Config'!$A:$A,'Scoring_Config'!$D:$D,"Yes")="Yes",_xlfn.XLOOKUP("Dst_CIDR_17_22",'Scoring_Config'!$A:$A,'Scoring_Config'!$C:$C,15),0),0)+IF(LEFT(AI355,4)="True",IF(_xlfn.XLOOKUP("SrcZone_IsAny",'Scoring_Config'!$A:$A,'Scoring_Config'!$D:$D,"Yes")="Yes",_xlfn.XLOOKUP("SrcZone_IsAny",'Scoring_Config'!$A:$A,'Scoring_Config'!$C:$C,5),0),0)+IF(LEFT(AJ355,4)="True",IF(_xlfn.XLOOKUP("DstZone_IsAny",'Scoring_Config'!$A:$A,'Scoring_Config'!$D:$D,"Yes")="Yes",_xlfn.XLOOKUP("DstZone_IsAny",'Scoring_Config'!$A:$A,'Scoring_Config'!$C:$C,5),0),0)+IF(LEFT(AK355,4)="True",IF(_xlfn.XLOOKUP("Service_Any_OR_RangeGt1000",'Scoring_Config'!$A:$A,'Scoring_Config'!$D:$D,"Yes")="Yes",_xlfn.XLOOKUP("Service_Any_OR_RangeGt1000",'Scoring_Config'!$A:$A,'Scoring_Config'!$C:$C,25),0),0)+IF(LEFT(AL355,4)="True",IF(_xlfn.XLOOKUP("App_Any_OR_RangeGt1000",'Scoring_Config'!$A:$A,'Scoring_Config'!$D:$D,"Yes")="Yes",_xlfn.XLOOKUP("App_Any_OR_RangeGt1000",'Scoring_Config'!$A:$A,'Scoring_Config'!$C:$C,25),0),0)+IF(LEFT(AM355,4)="True",IF(_xlfn.XLOOKUP("Service_Insecure_Match",'Scoring_Config'!$A:$A,'Scoring_Config'!$D:$D,"Yes")="Yes",_xlfn.XLOOKUP("Service_Insecure_Match",'Scoring_Config'!$A:$A,'Scoring_Config'!$C:$C,20),0),0)+IF(LEFT(AN355,4)="True",IF(_xlfn.XLOOKUP("Risky_Inbound",'Scoring_Config'!$A:$A,'Scoring_Config'!$D:$D,"Yes")="Yes",_xlfn.XLOOKUP("Risky_Inbound",'Scoring_Config'!$A:$A,'Scoring_Config'!$C:$C,20),0),0)+IF(LEFT(AO355,4)="True",IF(_xlfn.XLOOKUP("Risky_Outbound",'Scoring_Config'!$A:$A,'Scoring_Config'!$D:$D,"Yes")="Yes",_xlfn.XLOOKUP("Risky_Outbound",'Scoring_Config'!$A:$A,'Scoring_Config'!$C:$C,10),0),0)+IF(LEFT(AW355,4)="True",IF(_xlfn.XLOOKUP("Migrate_Insecure",'Scoring_Config'!$A:$A,'Scoring_Config'!$D:$D,"Yes")="Yes",_xlfn.XLOOKUP("Migrate_Insecure",'Scoring_Config'!$A:$A,'Scoring_Config'!$C:$C,15),0),0)+IF(LEFT(AY355,4)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355,FIND(",",AP355)+1,100)),0)+IF(LEFT(AQ355,4)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355,FIND(",",AR355)+1,100)),0)+IF(_xlfn.XLOOKUP("Profile_Scoring",'Scoring_Config'!$A:$A,'Scoring_Config'!$D:$D,"Yes")="Yes",VALUE(MID(AS355,FIND(",",AS355)+1,100)),0)+IF(_xlfn.XLOOKUP("Options_Scoring",'Scoring_Config'!$A:$A,'Scoring_Config'!$D:$D,"Yes")="Yes",VALUE(MID(AT355,FIND(",",AT355)+1,100)),0)))</f>
        <v>0</v>
      </c>
    </row>
    <row r="356" spans="1:52">
      <c r="A356" s="3" t="s">
        <v>55</v>
      </c>
      <c r="B356" s="3" t="s">
        <v>182</v>
      </c>
      <c r="C356" s="3" t="s">
        <v>332</v>
      </c>
      <c r="D356" s="3"/>
      <c r="E356" s="3" t="s">
        <v>359</v>
      </c>
      <c r="F356" s="3" t="s">
        <v>362</v>
      </c>
      <c r="G356" s="3" t="s">
        <v>365</v>
      </c>
      <c r="H356" s="3" t="s">
        <v>365</v>
      </c>
      <c r="I356" s="3" t="s">
        <v>624</v>
      </c>
      <c r="J356" s="3" t="s">
        <v>363</v>
      </c>
      <c r="K356" s="3" t="s">
        <v>500</v>
      </c>
      <c r="L356" s="3" t="s">
        <v>603</v>
      </c>
      <c r="M356" s="3" t="s">
        <v>365</v>
      </c>
      <c r="N356" s="3" t="s">
        <v>365</v>
      </c>
      <c r="O356" s="4" t="s">
        <v>830</v>
      </c>
      <c r="P356" s="3" t="s">
        <v>891</v>
      </c>
      <c r="Q356" s="3" t="s">
        <v>905</v>
      </c>
      <c r="R356" s="3" t="s">
        <v>908</v>
      </c>
      <c r="S356" s="3" t="s">
        <v>912</v>
      </c>
      <c r="T356" s="3" t="s">
        <v>1074</v>
      </c>
      <c r="U356" s="3" t="s">
        <v>1325</v>
      </c>
      <c r="V356" s="3" t="s">
        <v>1389</v>
      </c>
      <c r="W356" s="3" t="s">
        <v>949</v>
      </c>
      <c r="X356" s="3" t="s">
        <v>1960</v>
      </c>
      <c r="Y356" s="3" t="s">
        <v>2429</v>
      </c>
      <c r="Z356" s="3"/>
      <c r="AA356" s="3"/>
      <c r="AB356" s="3"/>
      <c r="AC356" s="5" cm="1">
        <f t="array" ref="AC356">IF(TRUE,"True," &amp; IF(_xlfn.XLOOKUP("Src_IsAny",'Scoring_Config'!$A:$A,'Scoring_Config'!$D:$D,"Yes")="Yes",_xlfn.XLOOKUP("Src_IsAny",'Scoring_Config'!$A:$A,'Scoring_Config'!$C:$C,25),0),"False,0")</f>
        <v>0</v>
      </c>
      <c r="AD356" s="4" cm="1">
        <f t="array" ref="AD356">IF(FALSE,"True," &amp; IF(_xlfn.XLOOKUP("Src_CIDR_Le_16",'Scoring_Config'!$A:$A,'Scoring_Config'!$D:$D,"Yes")="Yes",_xlfn.XLOOKUP("Src_CIDR_Le_16",'Scoring_Config'!$A:$A,'Scoring_Config'!$C:$C,25),0),"False,0")</f>
        <v>0</v>
      </c>
      <c r="AE356" s="4" cm="1">
        <f t="array" ref="AE356">IF(FALSE,"True," &amp; IF(_xlfn.XLOOKUP("Src_CIDR_17_22",'Scoring_Config'!$A:$A,'Scoring_Config'!$D:$D,"Yes")="Yes",_xlfn.XLOOKUP("Src_CIDR_17_22",'Scoring_Config'!$A:$A,'Scoring_Config'!$C:$C,15),0),"False,0")</f>
        <v>0</v>
      </c>
      <c r="AF356" s="4" cm="1">
        <f t="array" ref="AF356">IF(FALSE,"True," &amp; IF(_xlfn.XLOOKUP("Dst_IsAny",'Scoring_Config'!$A:$A,'Scoring_Config'!$D:$D,"Yes")="Yes",_xlfn.XLOOKUP("Dst_IsAny",'Scoring_Config'!$A:$A,'Scoring_Config'!$C:$C,25),0),"False,0")</f>
        <v>0</v>
      </c>
      <c r="AG356" s="5" cm="1">
        <f t="array" ref="AG356">IF(TRUE,"True," &amp; IF(_xlfn.XLOOKUP("Dst_CIDR_Le_16",'Scoring_Config'!$A:$A,'Scoring_Config'!$D:$D,"Yes")="Yes",_xlfn.XLOOKUP("Dst_CIDR_Le_16",'Scoring_Config'!$A:$A,'Scoring_Config'!$C:$C,25),0),"False,0")</f>
        <v>0</v>
      </c>
      <c r="AH356" s="4" cm="1">
        <f t="array" ref="AH356">IF(FALSE,"True," &amp; IF(_xlfn.XLOOKUP("Dst_CIDR_17_22",'Scoring_Config'!$A:$A,'Scoring_Config'!$D:$D,"Yes")="Yes",_xlfn.XLOOKUP("Dst_CIDR_17_22",'Scoring_Config'!$A:$A,'Scoring_Config'!$C:$C,15),0),"False,0")</f>
        <v>0</v>
      </c>
      <c r="AI356" s="4" cm="1">
        <f t="array" ref="AI356">IF(FALSE,"True," &amp; IF(_xlfn.XLOOKUP("SrcZone_IsAny",'Scoring_Config'!$A:$A,'Scoring_Config'!$D:$D,"Yes")="Yes",_xlfn.XLOOKUP("SrcZone_IsAny",'Scoring_Config'!$A:$A,'Scoring_Config'!$C:$C,5),0),"False,0")</f>
        <v>0</v>
      </c>
      <c r="AJ356" s="4" cm="1">
        <f t="array" ref="AJ356">IF(FALSE,"True," &amp; IF(_xlfn.XLOOKUP("DstZone_IsAny",'Scoring_Config'!$A:$A,'Scoring_Config'!$D:$D,"Yes")="Yes",_xlfn.XLOOKUP("DstZone_IsAny",'Scoring_Config'!$A:$A,'Scoring_Config'!$C:$C,5),0),"False,0")</f>
        <v>0</v>
      </c>
      <c r="AK356" s="4" cm="1">
        <f t="array" ref="AK35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6" s="5" cm="1">
        <f t="array" ref="AL356">IF(TRUE,"True," &amp; IF(_xlfn.XLOOKUP("App_Any_OR_RangeGt1000",'Scoring_Config'!$A:$A,'Scoring_Config'!$D:$D,"Yes")="Yes",_xlfn.XLOOKUP("App_Any_OR_RangeGt1000",'Scoring_Config'!$A:$A,'Scoring_Config'!$C:$C,25),0),"False,0")</f>
        <v>0</v>
      </c>
      <c r="AM356" s="5" cm="1">
        <f t="array" ref="AM356">IF(TRUE,"True," &amp; IF(_xlfn.XLOOKUP("Service_Insecure_Match",'Scoring_Config'!$A:$A,'Scoring_Config'!$D:$D,"Yes")="Yes",_xlfn.XLOOKUP("Service_Insecure_Match",'Scoring_Config'!$A:$A,'Scoring_Config'!$C:$C,20),0),"False,0")</f>
        <v>0</v>
      </c>
      <c r="AN356" s="4" cm="1">
        <f t="array" ref="AN356">IF(FALSE,"True," &amp; IF(_xlfn.XLOOKUP("Risky_Inbound",'Scoring_Config'!$A:$A,'Scoring_Config'!$D:$D,"Yes")="Yes",_xlfn.XLOOKUP("Risky_Inbound",'Scoring_Config'!$A:$A,'Scoring_Config'!$C:$C,20),0),"False,0")</f>
        <v>0</v>
      </c>
      <c r="AO356" s="4" cm="1">
        <f t="array" ref="AO356">IF(FALSE,"True," &amp; IF(_xlfn.XLOOKUP("Risky_Outbound",'Scoring_Config'!$A:$A,'Scoring_Config'!$D:$D,"Yes")="Yes",_xlfn.XLOOKUP("Risky_Outbound",'Scoring_Config'!$A:$A,'Scoring_Config'!$C:$C,10),0),"False,0")</f>
        <v>0</v>
      </c>
      <c r="AP356" s="5" t="s">
        <v>2595</v>
      </c>
      <c r="AQ356" s="4" cm="1">
        <f t="array" ref="AQ35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6" s="5" t="s">
        <v>2598</v>
      </c>
      <c r="AS356" s="4" t="s">
        <v>2592</v>
      </c>
      <c r="AT356" s="4" t="s">
        <v>2592</v>
      </c>
      <c r="AU356" s="4" cm="1">
        <f t="array" ref="AU356">IF(FALSE,"True," &amp; IF(_xlfn.XLOOKUP("Action_IsDenyOrDrop",'Scoring_Config'!$A:$A,'Scoring_Config'!$D:$D,"Yes")="Yes",_xlfn.XLOOKUP("Action_IsDenyOrDrop",'Scoring_Config'!$A:$A,'Scoring_Config'!$C:$C,0),0),"False,0")</f>
        <v>0</v>
      </c>
      <c r="AV356" s="4"/>
      <c r="AW356" s="4" cm="1">
        <f t="array" ref="AW356">IF(FALSE,"True," &amp; IF(_xlfn.XLOOKUP("Migrate_Insecure",'Scoring_Config'!$A:$A,'Scoring_Config'!$D:$D,"Yes")="Yes",_xlfn.XLOOKUP("Migrate_Insecure",'Scoring_Config'!$A:$A,'Scoring_Config'!$C:$C,15),0),"False,0")</f>
        <v>0</v>
      </c>
      <c r="AX356" s="4"/>
      <c r="AY356" s="4" cm="1">
        <f t="array" ref="AY356">IF(FALSE,"True," &amp; IF(_xlfn.XLOOKUP("Migrate_Other_Ports",'Scoring_Config'!$A:$A,'Scoring_Config'!$D:$D,"Yes")="Yes",_xlfn.XLOOKUP("Migrate_Other_Ports",'Scoring_Config'!$A:$A,'Scoring_Config'!$C:$C,5),0),"False,0")</f>
        <v>0</v>
      </c>
      <c r="AZ356" s="4" cm="1">
        <f t="array" ref="AZ356">IF(LEFT(AU356,4)="True",0,(IF(LEFT(AC356,4)="True",IF(_xlfn.XLOOKUP("Src_IsAny",'Scoring_Config'!$A:$A,'Scoring_Config'!$D:$D,"Yes")="Yes",_xlfn.XLOOKUP("Src_IsAny",'Scoring_Config'!$A:$A,'Scoring_Config'!$C:$C,25),0),0)+IF(LEFT(AD356,4)="True",IF(_xlfn.XLOOKUP("Src_CIDR_Le_16",'Scoring_Config'!$A:$A,'Scoring_Config'!$D:$D,"Yes")="Yes",_xlfn.XLOOKUP("Src_CIDR_Le_16",'Scoring_Config'!$A:$A,'Scoring_Config'!$C:$C,25),0),0)+IF(LEFT(AE356,4)="True",IF(_xlfn.XLOOKUP("Src_CIDR_17_22",'Scoring_Config'!$A:$A,'Scoring_Config'!$D:$D,"Yes")="Yes",_xlfn.XLOOKUP("Src_CIDR_17_22",'Scoring_Config'!$A:$A,'Scoring_Config'!$C:$C,15),0),0)+IF(LEFT(AF356,4)="True",IF(_xlfn.XLOOKUP("Dst_IsAny",'Scoring_Config'!$A:$A,'Scoring_Config'!$D:$D,"Yes")="Yes",_xlfn.XLOOKUP("Dst_IsAny",'Scoring_Config'!$A:$A,'Scoring_Config'!$C:$C,25),0),0)+IF(LEFT(AG356,4)="True",IF(_xlfn.XLOOKUP("Dst_CIDR_Le_16",'Scoring_Config'!$A:$A,'Scoring_Config'!$D:$D,"Yes")="Yes",_xlfn.XLOOKUP("Dst_CIDR_Le_16",'Scoring_Config'!$A:$A,'Scoring_Config'!$C:$C,25),0),0)+IF(LEFT(AH356,4)="True",IF(_xlfn.XLOOKUP("Dst_CIDR_17_22",'Scoring_Config'!$A:$A,'Scoring_Config'!$D:$D,"Yes")="Yes",_xlfn.XLOOKUP("Dst_CIDR_17_22",'Scoring_Config'!$A:$A,'Scoring_Config'!$C:$C,15),0),0)+IF(LEFT(AI356,4)="True",IF(_xlfn.XLOOKUP("SrcZone_IsAny",'Scoring_Config'!$A:$A,'Scoring_Config'!$D:$D,"Yes")="Yes",_xlfn.XLOOKUP("SrcZone_IsAny",'Scoring_Config'!$A:$A,'Scoring_Config'!$C:$C,5),0),0)+IF(LEFT(AJ356,4)="True",IF(_xlfn.XLOOKUP("DstZone_IsAny",'Scoring_Config'!$A:$A,'Scoring_Config'!$D:$D,"Yes")="Yes",_xlfn.XLOOKUP("DstZone_IsAny",'Scoring_Config'!$A:$A,'Scoring_Config'!$C:$C,5),0),0)+IF(LEFT(AK356,4)="True",IF(_xlfn.XLOOKUP("Service_Any_OR_RangeGt1000",'Scoring_Config'!$A:$A,'Scoring_Config'!$D:$D,"Yes")="Yes",_xlfn.XLOOKUP("Service_Any_OR_RangeGt1000",'Scoring_Config'!$A:$A,'Scoring_Config'!$C:$C,25),0),0)+IF(LEFT(AL356,4)="True",IF(_xlfn.XLOOKUP("App_Any_OR_RangeGt1000",'Scoring_Config'!$A:$A,'Scoring_Config'!$D:$D,"Yes")="Yes",_xlfn.XLOOKUP("App_Any_OR_RangeGt1000",'Scoring_Config'!$A:$A,'Scoring_Config'!$C:$C,25),0),0)+IF(LEFT(AM356,4)="True",IF(_xlfn.XLOOKUP("Service_Insecure_Match",'Scoring_Config'!$A:$A,'Scoring_Config'!$D:$D,"Yes")="Yes",_xlfn.XLOOKUP("Service_Insecure_Match",'Scoring_Config'!$A:$A,'Scoring_Config'!$C:$C,20),0),0)+IF(LEFT(AN356,4)="True",IF(_xlfn.XLOOKUP("Risky_Inbound",'Scoring_Config'!$A:$A,'Scoring_Config'!$D:$D,"Yes")="Yes",_xlfn.XLOOKUP("Risky_Inbound",'Scoring_Config'!$A:$A,'Scoring_Config'!$C:$C,20),0),0)+IF(LEFT(AO356,4)="True",IF(_xlfn.XLOOKUP("Risky_Outbound",'Scoring_Config'!$A:$A,'Scoring_Config'!$D:$D,"Yes")="Yes",_xlfn.XLOOKUP("Risky_Outbound",'Scoring_Config'!$A:$A,'Scoring_Config'!$C:$C,10),0),0)+IF(LEFT(AW356,4)="True",IF(_xlfn.XLOOKUP("Migrate_Insecure",'Scoring_Config'!$A:$A,'Scoring_Config'!$D:$D,"Yes")="Yes",_xlfn.XLOOKUP("Migrate_Insecure",'Scoring_Config'!$A:$A,'Scoring_Config'!$C:$C,15),0),0)+IF(LEFT(AY356,4)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356,FIND(",",AP356)+1,100)),0)+IF(LEFT(AQ356,4)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356,FIND(",",AR356)+1,100)),0)+IF(_xlfn.XLOOKUP("Profile_Scoring",'Scoring_Config'!$A:$A,'Scoring_Config'!$D:$D,"Yes")="Yes",VALUE(MID(AS356,FIND(",",AS356)+1,100)),0)+IF(_xlfn.XLOOKUP("Options_Scoring",'Scoring_Config'!$A:$A,'Scoring_Config'!$D:$D,"Yes")="Yes",VALUE(MID(AT356,FIND(",",AT356)+1,100)),0)))</f>
        <v>0</v>
      </c>
    </row>
    <row r="357" spans="1:52">
      <c r="A357" s="3" t="s">
        <v>55</v>
      </c>
      <c r="B357" s="3" t="s">
        <v>75</v>
      </c>
      <c r="C357" s="3" t="s">
        <v>332</v>
      </c>
      <c r="D357" s="3"/>
      <c r="E357" s="3" t="s">
        <v>359</v>
      </c>
      <c r="F357" s="3" t="s">
        <v>360</v>
      </c>
      <c r="G357" s="3" t="s">
        <v>496</v>
      </c>
      <c r="H357" s="3" t="s">
        <v>496</v>
      </c>
      <c r="I357" s="3" t="s">
        <v>622</v>
      </c>
      <c r="J357" s="3" t="s">
        <v>363</v>
      </c>
      <c r="K357" s="3" t="s">
        <v>497</v>
      </c>
      <c r="L357" s="3" t="s">
        <v>601</v>
      </c>
      <c r="M357" s="3" t="s">
        <v>774</v>
      </c>
      <c r="N357" s="3" t="s">
        <v>795</v>
      </c>
      <c r="O357" s="4" t="s">
        <v>827</v>
      </c>
      <c r="P357" s="3" t="s">
        <v>888</v>
      </c>
      <c r="Q357" s="3" t="s">
        <v>905</v>
      </c>
      <c r="R357" s="3" t="s">
        <v>907</v>
      </c>
      <c r="S357" s="3" t="s">
        <v>913</v>
      </c>
      <c r="T357" s="3" t="s">
        <v>919</v>
      </c>
      <c r="U357" s="3" t="s">
        <v>1147</v>
      </c>
      <c r="V357" s="3" t="s">
        <v>1386</v>
      </c>
      <c r="W357" s="3" t="s">
        <v>1405</v>
      </c>
      <c r="X357" s="3" t="s">
        <v>1961</v>
      </c>
      <c r="Y357" s="3" t="s">
        <v>2430</v>
      </c>
      <c r="Z357" s="3"/>
      <c r="AA357" s="3"/>
      <c r="AB357" s="3"/>
      <c r="AC357" s="4" cm="1">
        <f t="array" ref="AC357">IF(FALSE,"True," &amp; IF(_xlfn.XLOOKUP("Src_IsAny",'Scoring_Config'!$A:$A,'Scoring_Config'!$D:$D,"Yes")="Yes",_xlfn.XLOOKUP("Src_IsAny",'Scoring_Config'!$A:$A,'Scoring_Config'!$C:$C,25),0),"False,0")</f>
        <v>0</v>
      </c>
      <c r="AD357" s="4" cm="1">
        <f t="array" ref="AD357">IF(FALSE,"True," &amp; IF(_xlfn.XLOOKUP("Src_CIDR_Le_16",'Scoring_Config'!$A:$A,'Scoring_Config'!$D:$D,"Yes")="Yes",_xlfn.XLOOKUP("Src_CIDR_Le_16",'Scoring_Config'!$A:$A,'Scoring_Config'!$C:$C,25),0),"False,0")</f>
        <v>0</v>
      </c>
      <c r="AE357" s="4" cm="1">
        <f t="array" ref="AE357">IF(FALSE,"True," &amp; IF(_xlfn.XLOOKUP("Src_CIDR_17_22",'Scoring_Config'!$A:$A,'Scoring_Config'!$D:$D,"Yes")="Yes",_xlfn.XLOOKUP("Src_CIDR_17_22",'Scoring_Config'!$A:$A,'Scoring_Config'!$C:$C,15),0),"False,0")</f>
        <v>0</v>
      </c>
      <c r="AF357" s="5" cm="1">
        <f t="array" ref="AF357">IF(TRUE,"True," &amp; IF(_xlfn.XLOOKUP("Dst_IsAny",'Scoring_Config'!$A:$A,'Scoring_Config'!$D:$D,"Yes")="Yes",_xlfn.XLOOKUP("Dst_IsAny",'Scoring_Config'!$A:$A,'Scoring_Config'!$C:$C,25),0),"False,0")</f>
        <v>0</v>
      </c>
      <c r="AG357" s="5" cm="1">
        <f t="array" ref="AG357">IF(TRUE,"True," &amp; IF(_xlfn.XLOOKUP("Dst_CIDR_Le_16",'Scoring_Config'!$A:$A,'Scoring_Config'!$D:$D,"Yes")="Yes",_xlfn.XLOOKUP("Dst_CIDR_Le_16",'Scoring_Config'!$A:$A,'Scoring_Config'!$C:$C,25),0),"False,0")</f>
        <v>0</v>
      </c>
      <c r="AH357" s="4" cm="1">
        <f t="array" ref="AH357">IF(FALSE,"True," &amp; IF(_xlfn.XLOOKUP("Dst_CIDR_17_22",'Scoring_Config'!$A:$A,'Scoring_Config'!$D:$D,"Yes")="Yes",_xlfn.XLOOKUP("Dst_CIDR_17_22",'Scoring_Config'!$A:$A,'Scoring_Config'!$C:$C,15),0),"False,0")</f>
        <v>0</v>
      </c>
      <c r="AI357" s="4" cm="1">
        <f t="array" ref="AI357">IF(FALSE,"True," &amp; IF(_xlfn.XLOOKUP("SrcZone_IsAny",'Scoring_Config'!$A:$A,'Scoring_Config'!$D:$D,"Yes")="Yes",_xlfn.XLOOKUP("SrcZone_IsAny",'Scoring_Config'!$A:$A,'Scoring_Config'!$C:$C,5),0),"False,0")</f>
        <v>0</v>
      </c>
      <c r="AJ357" s="4" cm="1">
        <f t="array" ref="AJ357">IF(FALSE,"True," &amp; IF(_xlfn.XLOOKUP("DstZone_IsAny",'Scoring_Config'!$A:$A,'Scoring_Config'!$D:$D,"Yes")="Yes",_xlfn.XLOOKUP("DstZone_IsAny",'Scoring_Config'!$A:$A,'Scoring_Config'!$C:$C,5),0),"False,0")</f>
        <v>0</v>
      </c>
      <c r="AK357" s="4" cm="1">
        <f t="array" ref="AK35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7" s="4" cm="1">
        <f t="array" ref="AL357">IF(FALSE,"True," &amp; IF(_xlfn.XLOOKUP("App_Any_OR_RangeGt1000",'Scoring_Config'!$A:$A,'Scoring_Config'!$D:$D,"Yes")="Yes",_xlfn.XLOOKUP("App_Any_OR_RangeGt1000",'Scoring_Config'!$A:$A,'Scoring_Config'!$C:$C,25),0),"False,0")</f>
        <v>0</v>
      </c>
      <c r="AM357" s="5" cm="1">
        <f t="array" ref="AM357">IF(TRUE,"True," &amp; IF(_xlfn.XLOOKUP("Service_Insecure_Match",'Scoring_Config'!$A:$A,'Scoring_Config'!$D:$D,"Yes")="Yes",_xlfn.XLOOKUP("Service_Insecure_Match",'Scoring_Config'!$A:$A,'Scoring_Config'!$C:$C,20),0),"False,0")</f>
        <v>0</v>
      </c>
      <c r="AN357" s="4" cm="1">
        <f t="array" ref="AN357">IF(FALSE,"True," &amp; IF(_xlfn.XLOOKUP("Risky_Inbound",'Scoring_Config'!$A:$A,'Scoring_Config'!$D:$D,"Yes")="Yes",_xlfn.XLOOKUP("Risky_Inbound",'Scoring_Config'!$A:$A,'Scoring_Config'!$C:$C,20),0),"False,0")</f>
        <v>0</v>
      </c>
      <c r="AO357" s="4" cm="1">
        <f t="array" ref="AO357">IF(FALSE,"True," &amp; IF(_xlfn.XLOOKUP("Risky_Outbound",'Scoring_Config'!$A:$A,'Scoring_Config'!$D:$D,"Yes")="Yes",_xlfn.XLOOKUP("Risky_Outbound",'Scoring_Config'!$A:$A,'Scoring_Config'!$C:$C,10),0),"False,0")</f>
        <v>0</v>
      </c>
      <c r="AP357" s="5" t="s">
        <v>2595</v>
      </c>
      <c r="AQ357" s="5" cm="1">
        <f t="array" ref="AQ35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7" s="5" t="s">
        <v>2598</v>
      </c>
      <c r="AS357" s="5" t="s">
        <v>2595</v>
      </c>
      <c r="AT357" s="4" t="s">
        <v>2592</v>
      </c>
      <c r="AU357" s="4" cm="1">
        <f t="array" ref="AU357">IF(FALSE,"True," &amp; IF(_xlfn.XLOOKUP("Action_IsDenyOrDrop",'Scoring_Config'!$A:$A,'Scoring_Config'!$D:$D,"Yes")="Yes",_xlfn.XLOOKUP("Action_IsDenyOrDrop",'Scoring_Config'!$A:$A,'Scoring_Config'!$C:$C,0),0),"False,0")</f>
        <v>0</v>
      </c>
      <c r="AV357" s="4"/>
      <c r="AW357" s="4" cm="1">
        <f t="array" ref="AW357">IF(FALSE,"True," &amp; IF(_xlfn.XLOOKUP("Migrate_Insecure",'Scoring_Config'!$A:$A,'Scoring_Config'!$D:$D,"Yes")="Yes",_xlfn.XLOOKUP("Migrate_Insecure",'Scoring_Config'!$A:$A,'Scoring_Config'!$C:$C,15),0),"False,0")</f>
        <v>0</v>
      </c>
      <c r="AX357" s="4"/>
      <c r="AY357" s="4" cm="1">
        <f t="array" ref="AY357">IF(FALSE,"True," &amp; IF(_xlfn.XLOOKUP("Migrate_Other_Ports",'Scoring_Config'!$A:$A,'Scoring_Config'!$D:$D,"Yes")="Yes",_xlfn.XLOOKUP("Migrate_Other_Ports",'Scoring_Config'!$A:$A,'Scoring_Config'!$C:$C,5),0),"False,0")</f>
        <v>0</v>
      </c>
      <c r="AZ357" s="4" cm="1">
        <f t="array" ref="AZ357">IF(LEFT(AU357,4)="True",0,(IF(LEFT(AC357,4)="True",IF(_xlfn.XLOOKUP("Src_IsAny",'Scoring_Config'!$A:$A,'Scoring_Config'!$D:$D,"Yes")="Yes",_xlfn.XLOOKUP("Src_IsAny",'Scoring_Config'!$A:$A,'Scoring_Config'!$C:$C,25),0),0)+IF(LEFT(AD357,4)="True",IF(_xlfn.XLOOKUP("Src_CIDR_Le_16",'Scoring_Config'!$A:$A,'Scoring_Config'!$D:$D,"Yes")="Yes",_xlfn.XLOOKUP("Src_CIDR_Le_16",'Scoring_Config'!$A:$A,'Scoring_Config'!$C:$C,25),0),0)+IF(LEFT(AE357,4)="True",IF(_xlfn.XLOOKUP("Src_CIDR_17_22",'Scoring_Config'!$A:$A,'Scoring_Config'!$D:$D,"Yes")="Yes",_xlfn.XLOOKUP("Src_CIDR_17_22",'Scoring_Config'!$A:$A,'Scoring_Config'!$C:$C,15),0),0)+IF(LEFT(AF357,4)="True",IF(_xlfn.XLOOKUP("Dst_IsAny",'Scoring_Config'!$A:$A,'Scoring_Config'!$D:$D,"Yes")="Yes",_xlfn.XLOOKUP("Dst_IsAny",'Scoring_Config'!$A:$A,'Scoring_Config'!$C:$C,25),0),0)+IF(LEFT(AG357,4)="True",IF(_xlfn.XLOOKUP("Dst_CIDR_Le_16",'Scoring_Config'!$A:$A,'Scoring_Config'!$D:$D,"Yes")="Yes",_xlfn.XLOOKUP("Dst_CIDR_Le_16",'Scoring_Config'!$A:$A,'Scoring_Config'!$C:$C,25),0),0)+IF(LEFT(AH357,4)="True",IF(_xlfn.XLOOKUP("Dst_CIDR_17_22",'Scoring_Config'!$A:$A,'Scoring_Config'!$D:$D,"Yes")="Yes",_xlfn.XLOOKUP("Dst_CIDR_17_22",'Scoring_Config'!$A:$A,'Scoring_Config'!$C:$C,15),0),0)+IF(LEFT(AI357,4)="True",IF(_xlfn.XLOOKUP("SrcZone_IsAny",'Scoring_Config'!$A:$A,'Scoring_Config'!$D:$D,"Yes")="Yes",_xlfn.XLOOKUP("SrcZone_IsAny",'Scoring_Config'!$A:$A,'Scoring_Config'!$C:$C,5),0),0)+IF(LEFT(AJ357,4)="True",IF(_xlfn.XLOOKUP("DstZone_IsAny",'Scoring_Config'!$A:$A,'Scoring_Config'!$D:$D,"Yes")="Yes",_xlfn.XLOOKUP("DstZone_IsAny",'Scoring_Config'!$A:$A,'Scoring_Config'!$C:$C,5),0),0)+IF(LEFT(AK357,4)="True",IF(_xlfn.XLOOKUP("Service_Any_OR_RangeGt1000",'Scoring_Config'!$A:$A,'Scoring_Config'!$D:$D,"Yes")="Yes",_xlfn.XLOOKUP("Service_Any_OR_RangeGt1000",'Scoring_Config'!$A:$A,'Scoring_Config'!$C:$C,25),0),0)+IF(LEFT(AL357,4)="True",IF(_xlfn.XLOOKUP("App_Any_OR_RangeGt1000",'Scoring_Config'!$A:$A,'Scoring_Config'!$D:$D,"Yes")="Yes",_xlfn.XLOOKUP("App_Any_OR_RangeGt1000",'Scoring_Config'!$A:$A,'Scoring_Config'!$C:$C,25),0),0)+IF(LEFT(AM357,4)="True",IF(_xlfn.XLOOKUP("Service_Insecure_Match",'Scoring_Config'!$A:$A,'Scoring_Config'!$D:$D,"Yes")="Yes",_xlfn.XLOOKUP("Service_Insecure_Match",'Scoring_Config'!$A:$A,'Scoring_Config'!$C:$C,20),0),0)+IF(LEFT(AN357,4)="True",IF(_xlfn.XLOOKUP("Risky_Inbound",'Scoring_Config'!$A:$A,'Scoring_Config'!$D:$D,"Yes")="Yes",_xlfn.XLOOKUP("Risky_Inbound",'Scoring_Config'!$A:$A,'Scoring_Config'!$C:$C,20),0),0)+IF(LEFT(AO357,4)="True",IF(_xlfn.XLOOKUP("Risky_Outbound",'Scoring_Config'!$A:$A,'Scoring_Config'!$D:$D,"Yes")="Yes",_xlfn.XLOOKUP("Risky_Outbound",'Scoring_Config'!$A:$A,'Scoring_Config'!$C:$C,10),0),0)+IF(LEFT(AW357,4)="True",IF(_xlfn.XLOOKUP("Migrate_Insecure",'Scoring_Config'!$A:$A,'Scoring_Config'!$D:$D,"Yes")="Yes",_xlfn.XLOOKUP("Migrate_Insecure",'Scoring_Config'!$A:$A,'Scoring_Config'!$C:$C,15),0),0)+IF(LEFT(AY357,4)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357,FIND(",",AP357)+1,100)),0)+IF(LEFT(AQ357,4)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357,FIND(",",AR357)+1,100)),0)+IF(_xlfn.XLOOKUP("Profile_Scoring",'Scoring_Config'!$A:$A,'Scoring_Config'!$D:$D,"Yes")="Yes",VALUE(MID(AS357,FIND(",",AS357)+1,100)),0)+IF(_xlfn.XLOOKUP("Options_Scoring",'Scoring_Config'!$A:$A,'Scoring_Config'!$D:$D,"Yes")="Yes",VALUE(MID(AT357,FIND(",",AT357)+1,100)),0)))</f>
        <v>0</v>
      </c>
    </row>
    <row r="358" spans="1:52">
      <c r="A358" s="3" t="s">
        <v>55</v>
      </c>
      <c r="B358" s="3" t="s">
        <v>185</v>
      </c>
      <c r="C358" s="3" t="s">
        <v>332</v>
      </c>
      <c r="D358" s="3"/>
      <c r="E358" s="3" t="s">
        <v>359</v>
      </c>
      <c r="F358" s="3" t="s">
        <v>364</v>
      </c>
      <c r="G358" s="3" t="s">
        <v>497</v>
      </c>
      <c r="H358" s="3" t="s">
        <v>601</v>
      </c>
      <c r="I358" s="3" t="s">
        <v>623</v>
      </c>
      <c r="J358" s="3" t="s">
        <v>360</v>
      </c>
      <c r="K358" s="3" t="s">
        <v>510</v>
      </c>
      <c r="L358" s="3" t="s">
        <v>510</v>
      </c>
      <c r="M358" s="3" t="s">
        <v>790</v>
      </c>
      <c r="N358" s="3" t="s">
        <v>791</v>
      </c>
      <c r="O358" s="4" t="s">
        <v>802</v>
      </c>
      <c r="P358" s="3" t="s">
        <v>863</v>
      </c>
      <c r="Q358" s="3" t="s">
        <v>905</v>
      </c>
      <c r="R358" s="3" t="s">
        <v>907</v>
      </c>
      <c r="S358" s="3" t="s">
        <v>912</v>
      </c>
      <c r="T358" s="3" t="s">
        <v>1075</v>
      </c>
      <c r="U358" s="3" t="s">
        <v>1326</v>
      </c>
      <c r="V358" s="3" t="s">
        <v>1387</v>
      </c>
      <c r="W358" s="3" t="s">
        <v>948</v>
      </c>
      <c r="X358" s="3" t="s">
        <v>1962</v>
      </c>
      <c r="Y358" s="3" t="s">
        <v>2431</v>
      </c>
      <c r="Z358" s="3"/>
      <c r="AA358" s="3"/>
      <c r="AB358" s="3"/>
      <c r="AC358" s="5" cm="1">
        <f t="array" ref="AC358">IF(TRUE,"True," &amp; IF(_xlfn.XLOOKUP("Src_IsAny",'Scoring_Config'!$A:$A,'Scoring_Config'!$D:$D,"Yes")="Yes",_xlfn.XLOOKUP("Src_IsAny",'Scoring_Config'!$A:$A,'Scoring_Config'!$C:$C,25),0),"False,0")</f>
        <v>0</v>
      </c>
      <c r="AD358" s="5" cm="1">
        <f t="array" ref="AD358">IF(TRUE,"True," &amp; IF(_xlfn.XLOOKUP("Src_CIDR_Le_16",'Scoring_Config'!$A:$A,'Scoring_Config'!$D:$D,"Yes")="Yes",_xlfn.XLOOKUP("Src_CIDR_Le_16",'Scoring_Config'!$A:$A,'Scoring_Config'!$C:$C,25),0),"False,0")</f>
        <v>0</v>
      </c>
      <c r="AE358" s="4" cm="1">
        <f t="array" ref="AE358">IF(FALSE,"True," &amp; IF(_xlfn.XLOOKUP("Src_CIDR_17_22",'Scoring_Config'!$A:$A,'Scoring_Config'!$D:$D,"Yes")="Yes",_xlfn.XLOOKUP("Src_CIDR_17_22",'Scoring_Config'!$A:$A,'Scoring_Config'!$C:$C,15),0),"False,0")</f>
        <v>0</v>
      </c>
      <c r="AF358" s="4" cm="1">
        <f t="array" ref="AF358">IF(FALSE,"True," &amp; IF(_xlfn.XLOOKUP("Dst_IsAny",'Scoring_Config'!$A:$A,'Scoring_Config'!$D:$D,"Yes")="Yes",_xlfn.XLOOKUP("Dst_IsAny",'Scoring_Config'!$A:$A,'Scoring_Config'!$C:$C,25),0),"False,0")</f>
        <v>0</v>
      </c>
      <c r="AG358" s="4" cm="1">
        <f t="array" ref="AG358">IF(FALSE,"True," &amp; IF(_xlfn.XLOOKUP("Dst_CIDR_Le_16",'Scoring_Config'!$A:$A,'Scoring_Config'!$D:$D,"Yes")="Yes",_xlfn.XLOOKUP("Dst_CIDR_Le_16",'Scoring_Config'!$A:$A,'Scoring_Config'!$C:$C,25),0),"False,0")</f>
        <v>0</v>
      </c>
      <c r="AH358" s="4" cm="1">
        <f t="array" ref="AH358">IF(FALSE,"True," &amp; IF(_xlfn.XLOOKUP("Dst_CIDR_17_22",'Scoring_Config'!$A:$A,'Scoring_Config'!$D:$D,"Yes")="Yes",_xlfn.XLOOKUP("Dst_CIDR_17_22",'Scoring_Config'!$A:$A,'Scoring_Config'!$C:$C,15),0),"False,0")</f>
        <v>0</v>
      </c>
      <c r="AI358" s="4" cm="1">
        <f t="array" ref="AI358">IF(FALSE,"True," &amp; IF(_xlfn.XLOOKUP("SrcZone_IsAny",'Scoring_Config'!$A:$A,'Scoring_Config'!$D:$D,"Yes")="Yes",_xlfn.XLOOKUP("SrcZone_IsAny",'Scoring_Config'!$A:$A,'Scoring_Config'!$C:$C,5),0),"False,0")</f>
        <v>0</v>
      </c>
      <c r="AJ358" s="4" cm="1">
        <f t="array" ref="AJ358">IF(FALSE,"True," &amp; IF(_xlfn.XLOOKUP("DstZone_IsAny",'Scoring_Config'!$A:$A,'Scoring_Config'!$D:$D,"Yes")="Yes",_xlfn.XLOOKUP("DstZone_IsAny",'Scoring_Config'!$A:$A,'Scoring_Config'!$C:$C,5),0),"False,0")</f>
        <v>0</v>
      </c>
      <c r="AK358" s="4" cm="1">
        <f t="array" ref="AK35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8" s="5" cm="1">
        <f t="array" ref="AL358">IF(TRUE,"True," &amp; IF(_xlfn.XLOOKUP("App_Any_OR_RangeGt1000",'Scoring_Config'!$A:$A,'Scoring_Config'!$D:$D,"Yes")="Yes",_xlfn.XLOOKUP("App_Any_OR_RangeGt1000",'Scoring_Config'!$A:$A,'Scoring_Config'!$C:$C,25),0),"False,0")</f>
        <v>0</v>
      </c>
      <c r="AM358" s="5" cm="1">
        <f t="array" ref="AM358">IF(TRUE,"True," &amp; IF(_xlfn.XLOOKUP("Service_Insecure_Match",'Scoring_Config'!$A:$A,'Scoring_Config'!$D:$D,"Yes")="Yes",_xlfn.XLOOKUP("Service_Insecure_Match",'Scoring_Config'!$A:$A,'Scoring_Config'!$C:$C,20),0),"False,0")</f>
        <v>0</v>
      </c>
      <c r="AN358" s="4" cm="1">
        <f t="array" ref="AN358">IF(FALSE,"True," &amp; IF(_xlfn.XLOOKUP("Risky_Inbound",'Scoring_Config'!$A:$A,'Scoring_Config'!$D:$D,"Yes")="Yes",_xlfn.XLOOKUP("Risky_Inbound",'Scoring_Config'!$A:$A,'Scoring_Config'!$C:$C,20),0),"False,0")</f>
        <v>0</v>
      </c>
      <c r="AO358" s="4" cm="1">
        <f t="array" ref="AO358">IF(FALSE,"True," &amp; IF(_xlfn.XLOOKUP("Risky_Outbound",'Scoring_Config'!$A:$A,'Scoring_Config'!$D:$D,"Yes")="Yes",_xlfn.XLOOKUP("Risky_Outbound",'Scoring_Config'!$A:$A,'Scoring_Config'!$C:$C,10),0),"False,0")</f>
        <v>0</v>
      </c>
      <c r="AP358" s="5" t="s">
        <v>2595</v>
      </c>
      <c r="AQ358" s="4" cm="1">
        <f t="array" ref="AQ35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8" s="5" t="s">
        <v>2598</v>
      </c>
      <c r="AS358" s="5" t="s">
        <v>2595</v>
      </c>
      <c r="AT358" s="4" t="s">
        <v>2592</v>
      </c>
      <c r="AU358" s="4" cm="1">
        <f t="array" ref="AU358">IF(FALSE,"True," &amp; IF(_xlfn.XLOOKUP("Action_IsDenyOrDrop",'Scoring_Config'!$A:$A,'Scoring_Config'!$D:$D,"Yes")="Yes",_xlfn.XLOOKUP("Action_IsDenyOrDrop",'Scoring_Config'!$A:$A,'Scoring_Config'!$C:$C,0),0),"False,0")</f>
        <v>0</v>
      </c>
      <c r="AV358" s="4"/>
      <c r="AW358" s="4" cm="1">
        <f t="array" ref="AW358">IF(FALSE,"True," &amp; IF(_xlfn.XLOOKUP("Migrate_Insecure",'Scoring_Config'!$A:$A,'Scoring_Config'!$D:$D,"Yes")="Yes",_xlfn.XLOOKUP("Migrate_Insecure",'Scoring_Config'!$A:$A,'Scoring_Config'!$C:$C,15),0),"False,0")</f>
        <v>0</v>
      </c>
      <c r="AX358" s="4"/>
      <c r="AY358" s="4" cm="1">
        <f t="array" ref="AY358">IF(FALSE,"True," &amp; IF(_xlfn.XLOOKUP("Migrate_Other_Ports",'Scoring_Config'!$A:$A,'Scoring_Config'!$D:$D,"Yes")="Yes",_xlfn.XLOOKUP("Migrate_Other_Ports",'Scoring_Config'!$A:$A,'Scoring_Config'!$C:$C,5),0),"False,0")</f>
        <v>0</v>
      </c>
      <c r="AZ358" s="4" cm="1">
        <f t="array" ref="AZ358">IF(LEFT(AU358,4)="True",0,(IF(LEFT(AC358,4)="True",IF(_xlfn.XLOOKUP("Src_IsAny",'Scoring_Config'!$A:$A,'Scoring_Config'!$D:$D,"Yes")="Yes",_xlfn.XLOOKUP("Src_IsAny",'Scoring_Config'!$A:$A,'Scoring_Config'!$C:$C,25),0),0)+IF(LEFT(AD358,4)="True",IF(_xlfn.XLOOKUP("Src_CIDR_Le_16",'Scoring_Config'!$A:$A,'Scoring_Config'!$D:$D,"Yes")="Yes",_xlfn.XLOOKUP("Src_CIDR_Le_16",'Scoring_Config'!$A:$A,'Scoring_Config'!$C:$C,25),0),0)+IF(LEFT(AE358,4)="True",IF(_xlfn.XLOOKUP("Src_CIDR_17_22",'Scoring_Config'!$A:$A,'Scoring_Config'!$D:$D,"Yes")="Yes",_xlfn.XLOOKUP("Src_CIDR_17_22",'Scoring_Config'!$A:$A,'Scoring_Config'!$C:$C,15),0),0)+IF(LEFT(AF358,4)="True",IF(_xlfn.XLOOKUP("Dst_IsAny",'Scoring_Config'!$A:$A,'Scoring_Config'!$D:$D,"Yes")="Yes",_xlfn.XLOOKUP("Dst_IsAny",'Scoring_Config'!$A:$A,'Scoring_Config'!$C:$C,25),0),0)+IF(LEFT(AG358,4)="True",IF(_xlfn.XLOOKUP("Dst_CIDR_Le_16",'Scoring_Config'!$A:$A,'Scoring_Config'!$D:$D,"Yes")="Yes",_xlfn.XLOOKUP("Dst_CIDR_Le_16",'Scoring_Config'!$A:$A,'Scoring_Config'!$C:$C,25),0),0)+IF(LEFT(AH358,4)="True",IF(_xlfn.XLOOKUP("Dst_CIDR_17_22",'Scoring_Config'!$A:$A,'Scoring_Config'!$D:$D,"Yes")="Yes",_xlfn.XLOOKUP("Dst_CIDR_17_22",'Scoring_Config'!$A:$A,'Scoring_Config'!$C:$C,15),0),0)+IF(LEFT(AI358,4)="True",IF(_xlfn.XLOOKUP("SrcZone_IsAny",'Scoring_Config'!$A:$A,'Scoring_Config'!$D:$D,"Yes")="Yes",_xlfn.XLOOKUP("SrcZone_IsAny",'Scoring_Config'!$A:$A,'Scoring_Config'!$C:$C,5),0),0)+IF(LEFT(AJ358,4)="True",IF(_xlfn.XLOOKUP("DstZone_IsAny",'Scoring_Config'!$A:$A,'Scoring_Config'!$D:$D,"Yes")="Yes",_xlfn.XLOOKUP("DstZone_IsAny",'Scoring_Config'!$A:$A,'Scoring_Config'!$C:$C,5),0),0)+IF(LEFT(AK358,4)="True",IF(_xlfn.XLOOKUP("Service_Any_OR_RangeGt1000",'Scoring_Config'!$A:$A,'Scoring_Config'!$D:$D,"Yes")="Yes",_xlfn.XLOOKUP("Service_Any_OR_RangeGt1000",'Scoring_Config'!$A:$A,'Scoring_Config'!$C:$C,25),0),0)+IF(LEFT(AL358,4)="True",IF(_xlfn.XLOOKUP("App_Any_OR_RangeGt1000",'Scoring_Config'!$A:$A,'Scoring_Config'!$D:$D,"Yes")="Yes",_xlfn.XLOOKUP("App_Any_OR_RangeGt1000",'Scoring_Config'!$A:$A,'Scoring_Config'!$C:$C,25),0),0)+IF(LEFT(AM358,4)="True",IF(_xlfn.XLOOKUP("Service_Insecure_Match",'Scoring_Config'!$A:$A,'Scoring_Config'!$D:$D,"Yes")="Yes",_xlfn.XLOOKUP("Service_Insecure_Match",'Scoring_Config'!$A:$A,'Scoring_Config'!$C:$C,20),0),0)+IF(LEFT(AN358,4)="True",IF(_xlfn.XLOOKUP("Risky_Inbound",'Scoring_Config'!$A:$A,'Scoring_Config'!$D:$D,"Yes")="Yes",_xlfn.XLOOKUP("Risky_Inbound",'Scoring_Config'!$A:$A,'Scoring_Config'!$C:$C,20),0),0)+IF(LEFT(AO358,4)="True",IF(_xlfn.XLOOKUP("Risky_Outbound",'Scoring_Config'!$A:$A,'Scoring_Config'!$D:$D,"Yes")="Yes",_xlfn.XLOOKUP("Risky_Outbound",'Scoring_Config'!$A:$A,'Scoring_Config'!$C:$C,10),0),0)+IF(LEFT(AW358,4)="True",IF(_xlfn.XLOOKUP("Migrate_Insecure",'Scoring_Config'!$A:$A,'Scoring_Config'!$D:$D,"Yes")="Yes",_xlfn.XLOOKUP("Migrate_Insecure",'Scoring_Config'!$A:$A,'Scoring_Config'!$C:$C,15),0),0)+IF(LEFT(AY358,4)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358,FIND(",",AP358)+1,100)),0)+IF(LEFT(AQ358,4)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358,FIND(",",AR358)+1,100)),0)+IF(_xlfn.XLOOKUP("Profile_Scoring",'Scoring_Config'!$A:$A,'Scoring_Config'!$D:$D,"Yes")="Yes",VALUE(MID(AS358,FIND(",",AS358)+1,100)),0)+IF(_xlfn.XLOOKUP("Options_Scoring",'Scoring_Config'!$A:$A,'Scoring_Config'!$D:$D,"Yes")="Yes",VALUE(MID(AT358,FIND(",",AT358)+1,100)),0)))</f>
        <v>0</v>
      </c>
    </row>
    <row r="359" spans="1:52">
      <c r="A359" s="3" t="s">
        <v>55</v>
      </c>
      <c r="B359" s="3" t="s">
        <v>218</v>
      </c>
      <c r="C359" s="3" t="s">
        <v>332</v>
      </c>
      <c r="D359" s="3"/>
      <c r="E359" s="3" t="s">
        <v>359</v>
      </c>
      <c r="F359" s="3" t="s">
        <v>363</v>
      </c>
      <c r="G359" s="3" t="s">
        <v>365</v>
      </c>
      <c r="H359" s="3" t="s">
        <v>365</v>
      </c>
      <c r="I359" s="3" t="s">
        <v>623</v>
      </c>
      <c r="J359" s="3" t="s">
        <v>363</v>
      </c>
      <c r="K359" s="3" t="s">
        <v>527</v>
      </c>
      <c r="L359" s="3" t="s">
        <v>513</v>
      </c>
      <c r="M359" s="3" t="s">
        <v>365</v>
      </c>
      <c r="N359" s="3" t="s">
        <v>365</v>
      </c>
      <c r="O359" s="4" t="s">
        <v>811</v>
      </c>
      <c r="P359" s="3" t="s">
        <v>872</v>
      </c>
      <c r="Q359" s="3" t="s">
        <v>905</v>
      </c>
      <c r="R359" s="3" t="s">
        <v>907</v>
      </c>
      <c r="S359" s="3" t="s">
        <v>916</v>
      </c>
      <c r="T359" s="3" t="s">
        <v>1076</v>
      </c>
      <c r="U359" s="3" t="s">
        <v>1327</v>
      </c>
      <c r="V359" s="3" t="s">
        <v>770</v>
      </c>
      <c r="W359" s="3" t="s">
        <v>1445</v>
      </c>
      <c r="X359" s="3" t="s">
        <v>1963</v>
      </c>
      <c r="Y359" s="3" t="s">
        <v>2432</v>
      </c>
      <c r="Z359" s="3"/>
      <c r="AA359" s="3"/>
      <c r="AB359" s="3"/>
      <c r="AC359" s="5" cm="1">
        <f t="array" ref="AC359">IF(TRUE,"True," &amp; IF(_xlfn.XLOOKUP("Src_IsAny",'Scoring_Config'!$A:$A,'Scoring_Config'!$D:$D,"Yes")="Yes",_xlfn.XLOOKUP("Src_IsAny",'Scoring_Config'!$A:$A,'Scoring_Config'!$C:$C,25),0),"False,0")</f>
        <v>0</v>
      </c>
      <c r="AD359" s="4" cm="1">
        <f t="array" ref="AD359">IF(FALSE,"True," &amp; IF(_xlfn.XLOOKUP("Src_CIDR_Le_16",'Scoring_Config'!$A:$A,'Scoring_Config'!$D:$D,"Yes")="Yes",_xlfn.XLOOKUP("Src_CIDR_Le_16",'Scoring_Config'!$A:$A,'Scoring_Config'!$C:$C,25),0),"False,0")</f>
        <v>0</v>
      </c>
      <c r="AE359" s="4" cm="1">
        <f t="array" ref="AE359">IF(FALSE,"True," &amp; IF(_xlfn.XLOOKUP("Src_CIDR_17_22",'Scoring_Config'!$A:$A,'Scoring_Config'!$D:$D,"Yes")="Yes",_xlfn.XLOOKUP("Src_CIDR_17_22",'Scoring_Config'!$A:$A,'Scoring_Config'!$C:$C,15),0),"False,0")</f>
        <v>0</v>
      </c>
      <c r="AF359" s="4" cm="1">
        <f t="array" ref="AF359">IF(FALSE,"True," &amp; IF(_xlfn.XLOOKUP("Dst_IsAny",'Scoring_Config'!$A:$A,'Scoring_Config'!$D:$D,"Yes")="Yes",_xlfn.XLOOKUP("Dst_IsAny",'Scoring_Config'!$A:$A,'Scoring_Config'!$C:$C,25),0),"False,0")</f>
        <v>0</v>
      </c>
      <c r="AG359" s="5" cm="1">
        <f t="array" ref="AG359">IF(TRUE,"True," &amp; IF(_xlfn.XLOOKUP("Dst_CIDR_Le_16",'Scoring_Config'!$A:$A,'Scoring_Config'!$D:$D,"Yes")="Yes",_xlfn.XLOOKUP("Dst_CIDR_Le_16",'Scoring_Config'!$A:$A,'Scoring_Config'!$C:$C,25),0),"False,0")</f>
        <v>0</v>
      </c>
      <c r="AH359" s="4" cm="1">
        <f t="array" ref="AH359">IF(FALSE,"True," &amp; IF(_xlfn.XLOOKUP("Dst_CIDR_17_22",'Scoring_Config'!$A:$A,'Scoring_Config'!$D:$D,"Yes")="Yes",_xlfn.XLOOKUP("Dst_CIDR_17_22",'Scoring_Config'!$A:$A,'Scoring_Config'!$C:$C,15),0),"False,0")</f>
        <v>0</v>
      </c>
      <c r="AI359" s="4" cm="1">
        <f t="array" ref="AI359">IF(FALSE,"True," &amp; IF(_xlfn.XLOOKUP("SrcZone_IsAny",'Scoring_Config'!$A:$A,'Scoring_Config'!$D:$D,"Yes")="Yes",_xlfn.XLOOKUP("SrcZone_IsAny",'Scoring_Config'!$A:$A,'Scoring_Config'!$C:$C,5),0),"False,0")</f>
        <v>0</v>
      </c>
      <c r="AJ359" s="4" cm="1">
        <f t="array" ref="AJ359">IF(FALSE,"True," &amp; IF(_xlfn.XLOOKUP("DstZone_IsAny",'Scoring_Config'!$A:$A,'Scoring_Config'!$D:$D,"Yes")="Yes",_xlfn.XLOOKUP("DstZone_IsAny",'Scoring_Config'!$A:$A,'Scoring_Config'!$C:$C,5),0),"False,0")</f>
        <v>0</v>
      </c>
      <c r="AK359" s="4" cm="1">
        <f t="array" ref="AK35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59" s="5" cm="1">
        <f t="array" ref="AL359">IF(TRUE,"True," &amp; IF(_xlfn.XLOOKUP("App_Any_OR_RangeGt1000",'Scoring_Config'!$A:$A,'Scoring_Config'!$D:$D,"Yes")="Yes",_xlfn.XLOOKUP("App_Any_OR_RangeGt1000",'Scoring_Config'!$A:$A,'Scoring_Config'!$C:$C,25),0),"False,0")</f>
        <v>0</v>
      </c>
      <c r="AM359" s="5" cm="1">
        <f t="array" ref="AM359">IF(TRUE,"True," &amp; IF(_xlfn.XLOOKUP("Service_Insecure_Match",'Scoring_Config'!$A:$A,'Scoring_Config'!$D:$D,"Yes")="Yes",_xlfn.XLOOKUP("Service_Insecure_Match",'Scoring_Config'!$A:$A,'Scoring_Config'!$C:$C,20),0),"False,0")</f>
        <v>0</v>
      </c>
      <c r="AN359" s="4" cm="1">
        <f t="array" ref="AN359">IF(FALSE,"True," &amp; IF(_xlfn.XLOOKUP("Risky_Inbound",'Scoring_Config'!$A:$A,'Scoring_Config'!$D:$D,"Yes")="Yes",_xlfn.XLOOKUP("Risky_Inbound",'Scoring_Config'!$A:$A,'Scoring_Config'!$C:$C,20),0),"False,0")</f>
        <v>0</v>
      </c>
      <c r="AO359" s="4" cm="1">
        <f t="array" ref="AO359">IF(FALSE,"True," &amp; IF(_xlfn.XLOOKUP("Risky_Outbound",'Scoring_Config'!$A:$A,'Scoring_Config'!$D:$D,"Yes")="Yes",_xlfn.XLOOKUP("Risky_Outbound",'Scoring_Config'!$A:$A,'Scoring_Config'!$C:$C,10),0),"False,0")</f>
        <v>0</v>
      </c>
      <c r="AP359" s="5" t="s">
        <v>2595</v>
      </c>
      <c r="AQ359" s="4" cm="1">
        <f t="array" ref="AQ35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59" s="5" t="s">
        <v>2598</v>
      </c>
      <c r="AS359" s="5" t="s">
        <v>2595</v>
      </c>
      <c r="AT359" s="4" t="s">
        <v>2592</v>
      </c>
      <c r="AU359" s="4" cm="1">
        <f t="array" ref="AU359">IF(FALSE,"True," &amp; IF(_xlfn.XLOOKUP("Action_IsDenyOrDrop",'Scoring_Config'!$A:$A,'Scoring_Config'!$D:$D,"Yes")="Yes",_xlfn.XLOOKUP("Action_IsDenyOrDrop",'Scoring_Config'!$A:$A,'Scoring_Config'!$C:$C,0),0),"False,0")</f>
        <v>0</v>
      </c>
      <c r="AV359" s="4"/>
      <c r="AW359" s="4" cm="1">
        <f t="array" ref="AW359">IF(FALSE,"True," &amp; IF(_xlfn.XLOOKUP("Migrate_Insecure",'Scoring_Config'!$A:$A,'Scoring_Config'!$D:$D,"Yes")="Yes",_xlfn.XLOOKUP("Migrate_Insecure",'Scoring_Config'!$A:$A,'Scoring_Config'!$C:$C,15),0),"False,0")</f>
        <v>0</v>
      </c>
      <c r="AX359" s="4"/>
      <c r="AY359" s="4" cm="1">
        <f t="array" ref="AY359">IF(FALSE,"True," &amp; IF(_xlfn.XLOOKUP("Migrate_Other_Ports",'Scoring_Config'!$A:$A,'Scoring_Config'!$D:$D,"Yes")="Yes",_xlfn.XLOOKUP("Migrate_Other_Ports",'Scoring_Config'!$A:$A,'Scoring_Config'!$C:$C,5),0),"False,0")</f>
        <v>0</v>
      </c>
      <c r="AZ359" s="4" cm="1">
        <f t="array" ref="AZ359">IF(LEFT(AU359,4)="True",0,(IF(LEFT(AC359,4)="True",IF(_xlfn.XLOOKUP("Src_IsAny",'Scoring_Config'!$A:$A,'Scoring_Config'!$D:$D,"Yes")="Yes",_xlfn.XLOOKUP("Src_IsAny",'Scoring_Config'!$A:$A,'Scoring_Config'!$C:$C,25),0),0)+IF(LEFT(AD359,4)="True",IF(_xlfn.XLOOKUP("Src_CIDR_Le_16",'Scoring_Config'!$A:$A,'Scoring_Config'!$D:$D,"Yes")="Yes",_xlfn.XLOOKUP("Src_CIDR_Le_16",'Scoring_Config'!$A:$A,'Scoring_Config'!$C:$C,25),0),0)+IF(LEFT(AE359,4)="True",IF(_xlfn.XLOOKUP("Src_CIDR_17_22",'Scoring_Config'!$A:$A,'Scoring_Config'!$D:$D,"Yes")="Yes",_xlfn.XLOOKUP("Src_CIDR_17_22",'Scoring_Config'!$A:$A,'Scoring_Config'!$C:$C,15),0),0)+IF(LEFT(AF359,4)="True",IF(_xlfn.XLOOKUP("Dst_IsAny",'Scoring_Config'!$A:$A,'Scoring_Config'!$D:$D,"Yes")="Yes",_xlfn.XLOOKUP("Dst_IsAny",'Scoring_Config'!$A:$A,'Scoring_Config'!$C:$C,25),0),0)+IF(LEFT(AG359,4)="True",IF(_xlfn.XLOOKUP("Dst_CIDR_Le_16",'Scoring_Config'!$A:$A,'Scoring_Config'!$D:$D,"Yes")="Yes",_xlfn.XLOOKUP("Dst_CIDR_Le_16",'Scoring_Config'!$A:$A,'Scoring_Config'!$C:$C,25),0),0)+IF(LEFT(AH359,4)="True",IF(_xlfn.XLOOKUP("Dst_CIDR_17_22",'Scoring_Config'!$A:$A,'Scoring_Config'!$D:$D,"Yes")="Yes",_xlfn.XLOOKUP("Dst_CIDR_17_22",'Scoring_Config'!$A:$A,'Scoring_Config'!$C:$C,15),0),0)+IF(LEFT(AI359,4)="True",IF(_xlfn.XLOOKUP("SrcZone_IsAny",'Scoring_Config'!$A:$A,'Scoring_Config'!$D:$D,"Yes")="Yes",_xlfn.XLOOKUP("SrcZone_IsAny",'Scoring_Config'!$A:$A,'Scoring_Config'!$C:$C,5),0),0)+IF(LEFT(AJ359,4)="True",IF(_xlfn.XLOOKUP("DstZone_IsAny",'Scoring_Config'!$A:$A,'Scoring_Config'!$D:$D,"Yes")="Yes",_xlfn.XLOOKUP("DstZone_IsAny",'Scoring_Config'!$A:$A,'Scoring_Config'!$C:$C,5),0),0)+IF(LEFT(AK359,4)="True",IF(_xlfn.XLOOKUP("Service_Any_OR_RangeGt1000",'Scoring_Config'!$A:$A,'Scoring_Config'!$D:$D,"Yes")="Yes",_xlfn.XLOOKUP("Service_Any_OR_RangeGt1000",'Scoring_Config'!$A:$A,'Scoring_Config'!$C:$C,25),0),0)+IF(LEFT(AL359,4)="True",IF(_xlfn.XLOOKUP("App_Any_OR_RangeGt1000",'Scoring_Config'!$A:$A,'Scoring_Config'!$D:$D,"Yes")="Yes",_xlfn.XLOOKUP("App_Any_OR_RangeGt1000",'Scoring_Config'!$A:$A,'Scoring_Config'!$C:$C,25),0),0)+IF(LEFT(AM359,4)="True",IF(_xlfn.XLOOKUP("Service_Insecure_Match",'Scoring_Config'!$A:$A,'Scoring_Config'!$D:$D,"Yes")="Yes",_xlfn.XLOOKUP("Service_Insecure_Match",'Scoring_Config'!$A:$A,'Scoring_Config'!$C:$C,20),0),0)+IF(LEFT(AN359,4)="True",IF(_xlfn.XLOOKUP("Risky_Inbound",'Scoring_Config'!$A:$A,'Scoring_Config'!$D:$D,"Yes")="Yes",_xlfn.XLOOKUP("Risky_Inbound",'Scoring_Config'!$A:$A,'Scoring_Config'!$C:$C,20),0),0)+IF(LEFT(AO359,4)="True",IF(_xlfn.XLOOKUP("Risky_Outbound",'Scoring_Config'!$A:$A,'Scoring_Config'!$D:$D,"Yes")="Yes",_xlfn.XLOOKUP("Risky_Outbound",'Scoring_Config'!$A:$A,'Scoring_Config'!$C:$C,10),0),0)+IF(LEFT(AW359,4)="True",IF(_xlfn.XLOOKUP("Migrate_Insecure",'Scoring_Config'!$A:$A,'Scoring_Config'!$D:$D,"Yes")="Yes",_xlfn.XLOOKUP("Migrate_Insecure",'Scoring_Config'!$A:$A,'Scoring_Config'!$C:$C,15),0),0)+IF(LEFT(AY359,4)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359,FIND(",",AP359)+1,100)),0)+IF(LEFT(AQ359,4)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359,FIND(",",AR359)+1,100)),0)+IF(_xlfn.XLOOKUP("Profile_Scoring",'Scoring_Config'!$A:$A,'Scoring_Config'!$D:$D,"Yes")="Yes",VALUE(MID(AS359,FIND(",",AS359)+1,100)),0)+IF(_xlfn.XLOOKUP("Options_Scoring",'Scoring_Config'!$A:$A,'Scoring_Config'!$D:$D,"Yes")="Yes",VALUE(MID(AT359,FIND(",",AT359)+1,100)),0)))</f>
        <v>0</v>
      </c>
    </row>
    <row r="360" spans="1:52">
      <c r="A360" s="3" t="s">
        <v>55</v>
      </c>
      <c r="B360" s="3" t="s">
        <v>283</v>
      </c>
      <c r="C360" s="3" t="s">
        <v>332</v>
      </c>
      <c r="D360" s="3"/>
      <c r="E360" s="3" t="s">
        <v>359</v>
      </c>
      <c r="F360" s="3" t="s">
        <v>361</v>
      </c>
      <c r="G360" s="3" t="s">
        <v>365</v>
      </c>
      <c r="H360" s="3" t="s">
        <v>365</v>
      </c>
      <c r="I360" s="3" t="s">
        <v>624</v>
      </c>
      <c r="J360" s="3" t="s">
        <v>360</v>
      </c>
      <c r="K360" s="3" t="s">
        <v>365</v>
      </c>
      <c r="L360" s="3" t="s">
        <v>365</v>
      </c>
      <c r="M360" s="3" t="s">
        <v>365</v>
      </c>
      <c r="N360" s="3" t="s">
        <v>365</v>
      </c>
      <c r="O360" s="4" t="s">
        <v>802</v>
      </c>
      <c r="P360" s="3" t="s">
        <v>863</v>
      </c>
      <c r="Q360" s="3" t="s">
        <v>905</v>
      </c>
      <c r="R360" s="3" t="s">
        <v>907</v>
      </c>
      <c r="S360" s="3" t="s">
        <v>913</v>
      </c>
      <c r="T360" s="3" t="s">
        <v>1077</v>
      </c>
      <c r="U360" s="3"/>
      <c r="V360" s="3" t="s">
        <v>770</v>
      </c>
      <c r="W360" s="3" t="s">
        <v>1520</v>
      </c>
      <c r="X360" s="3" t="s">
        <v>1964</v>
      </c>
      <c r="Y360" s="3" t="s">
        <v>2433</v>
      </c>
      <c r="Z360" s="3"/>
      <c r="AA360" s="3"/>
      <c r="AB360" s="3"/>
      <c r="AC360" s="5" cm="1">
        <f t="array" ref="AC360">IF(TRUE,"True," &amp; IF(_xlfn.XLOOKUP("Src_IsAny",'Scoring_Config'!$A:$A,'Scoring_Config'!$D:$D,"Yes")="Yes",_xlfn.XLOOKUP("Src_IsAny",'Scoring_Config'!$A:$A,'Scoring_Config'!$C:$C,25),0),"False,0")</f>
        <v>0</v>
      </c>
      <c r="AD360" s="4" cm="1">
        <f t="array" ref="AD360">IF(FALSE,"True," &amp; IF(_xlfn.XLOOKUP("Src_CIDR_Le_16",'Scoring_Config'!$A:$A,'Scoring_Config'!$D:$D,"Yes")="Yes",_xlfn.XLOOKUP("Src_CIDR_Le_16",'Scoring_Config'!$A:$A,'Scoring_Config'!$C:$C,25),0),"False,0")</f>
        <v>0</v>
      </c>
      <c r="AE360" s="4" cm="1">
        <f t="array" ref="AE360">IF(FALSE,"True," &amp; IF(_xlfn.XLOOKUP("Src_CIDR_17_22",'Scoring_Config'!$A:$A,'Scoring_Config'!$D:$D,"Yes")="Yes",_xlfn.XLOOKUP("Src_CIDR_17_22",'Scoring_Config'!$A:$A,'Scoring_Config'!$C:$C,15),0),"False,0")</f>
        <v>0</v>
      </c>
      <c r="AF360" s="5" cm="1">
        <f t="array" ref="AF360">IF(TRUE,"True," &amp; IF(_xlfn.XLOOKUP("Dst_IsAny",'Scoring_Config'!$A:$A,'Scoring_Config'!$D:$D,"Yes")="Yes",_xlfn.XLOOKUP("Dst_IsAny",'Scoring_Config'!$A:$A,'Scoring_Config'!$C:$C,25),0),"False,0")</f>
        <v>0</v>
      </c>
      <c r="AG360" s="4" cm="1">
        <f t="array" ref="AG360">IF(FALSE,"True," &amp; IF(_xlfn.XLOOKUP("Dst_CIDR_Le_16",'Scoring_Config'!$A:$A,'Scoring_Config'!$D:$D,"Yes")="Yes",_xlfn.XLOOKUP("Dst_CIDR_Le_16",'Scoring_Config'!$A:$A,'Scoring_Config'!$C:$C,25),0),"False,0")</f>
        <v>0</v>
      </c>
      <c r="AH360" s="4" cm="1">
        <f t="array" ref="AH360">IF(FALSE,"True," &amp; IF(_xlfn.XLOOKUP("Dst_CIDR_17_22",'Scoring_Config'!$A:$A,'Scoring_Config'!$D:$D,"Yes")="Yes",_xlfn.XLOOKUP("Dst_CIDR_17_22",'Scoring_Config'!$A:$A,'Scoring_Config'!$C:$C,15),0),"False,0")</f>
        <v>0</v>
      </c>
      <c r="AI360" s="4" cm="1">
        <f t="array" ref="AI360">IF(FALSE,"True," &amp; IF(_xlfn.XLOOKUP("SrcZone_IsAny",'Scoring_Config'!$A:$A,'Scoring_Config'!$D:$D,"Yes")="Yes",_xlfn.XLOOKUP("SrcZone_IsAny",'Scoring_Config'!$A:$A,'Scoring_Config'!$C:$C,5),0),"False,0")</f>
        <v>0</v>
      </c>
      <c r="AJ360" s="4" cm="1">
        <f t="array" ref="AJ360">IF(FALSE,"True," &amp; IF(_xlfn.XLOOKUP("DstZone_IsAny",'Scoring_Config'!$A:$A,'Scoring_Config'!$D:$D,"Yes")="Yes",_xlfn.XLOOKUP("DstZone_IsAny",'Scoring_Config'!$A:$A,'Scoring_Config'!$C:$C,5),0),"False,0")</f>
        <v>0</v>
      </c>
      <c r="AK360" s="4" cm="1">
        <f t="array" ref="AK36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0" s="5" cm="1">
        <f t="array" ref="AL360">IF(TRUE,"True," &amp; IF(_xlfn.XLOOKUP("App_Any_OR_RangeGt1000",'Scoring_Config'!$A:$A,'Scoring_Config'!$D:$D,"Yes")="Yes",_xlfn.XLOOKUP("App_Any_OR_RangeGt1000",'Scoring_Config'!$A:$A,'Scoring_Config'!$C:$C,25),0),"False,0")</f>
        <v>0</v>
      </c>
      <c r="AM360" s="5" cm="1">
        <f t="array" ref="AM360">IF(TRUE,"True," &amp; IF(_xlfn.XLOOKUP("Service_Insecure_Match",'Scoring_Config'!$A:$A,'Scoring_Config'!$D:$D,"Yes")="Yes",_xlfn.XLOOKUP("Service_Insecure_Match",'Scoring_Config'!$A:$A,'Scoring_Config'!$C:$C,20),0),"False,0")</f>
        <v>0</v>
      </c>
      <c r="AN360" s="4" cm="1">
        <f t="array" ref="AN360">IF(FALSE,"True," &amp; IF(_xlfn.XLOOKUP("Risky_Inbound",'Scoring_Config'!$A:$A,'Scoring_Config'!$D:$D,"Yes")="Yes",_xlfn.XLOOKUP("Risky_Inbound",'Scoring_Config'!$A:$A,'Scoring_Config'!$C:$C,20),0),"False,0")</f>
        <v>0</v>
      </c>
      <c r="AO360" s="4" cm="1">
        <f t="array" ref="AO360">IF(FALSE,"True," &amp; IF(_xlfn.XLOOKUP("Risky_Outbound",'Scoring_Config'!$A:$A,'Scoring_Config'!$D:$D,"Yes")="Yes",_xlfn.XLOOKUP("Risky_Outbound",'Scoring_Config'!$A:$A,'Scoring_Config'!$C:$C,10),0),"False,0")</f>
        <v>0</v>
      </c>
      <c r="AP360" s="5" t="s">
        <v>2595</v>
      </c>
      <c r="AQ360" s="5" cm="1">
        <f t="array" ref="AQ36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0" s="5" t="s">
        <v>2598</v>
      </c>
      <c r="AS360" s="5" t="s">
        <v>2595</v>
      </c>
      <c r="AT360" s="4" t="s">
        <v>2592</v>
      </c>
      <c r="AU360" s="4" cm="1">
        <f t="array" ref="AU360">IF(FALSE,"True," &amp; IF(_xlfn.XLOOKUP("Action_IsDenyOrDrop",'Scoring_Config'!$A:$A,'Scoring_Config'!$D:$D,"Yes")="Yes",_xlfn.XLOOKUP("Action_IsDenyOrDrop",'Scoring_Config'!$A:$A,'Scoring_Config'!$C:$C,0),0),"False,0")</f>
        <v>0</v>
      </c>
      <c r="AV360" s="4"/>
      <c r="AW360" s="4" cm="1">
        <f t="array" ref="AW360">IF(FALSE,"True," &amp; IF(_xlfn.XLOOKUP("Migrate_Insecure",'Scoring_Config'!$A:$A,'Scoring_Config'!$D:$D,"Yes")="Yes",_xlfn.XLOOKUP("Migrate_Insecure",'Scoring_Config'!$A:$A,'Scoring_Config'!$C:$C,15),0),"False,0")</f>
        <v>0</v>
      </c>
      <c r="AX360" s="4"/>
      <c r="AY360" s="4" cm="1">
        <f t="array" ref="AY360">IF(FALSE,"True," &amp; IF(_xlfn.XLOOKUP("Migrate_Other_Ports",'Scoring_Config'!$A:$A,'Scoring_Config'!$D:$D,"Yes")="Yes",_xlfn.XLOOKUP("Migrate_Other_Ports",'Scoring_Config'!$A:$A,'Scoring_Config'!$C:$C,5),0),"False,0")</f>
        <v>0</v>
      </c>
      <c r="AZ360" s="4" cm="1">
        <f t="array" ref="AZ360">IF(LEFT(AU360,4)="True",0,(IF(LEFT(AC360,4)="True",IF(_xlfn.XLOOKUP("Src_IsAny",'Scoring_Config'!$A:$A,'Scoring_Config'!$D:$D,"Yes")="Yes",_xlfn.XLOOKUP("Src_IsAny",'Scoring_Config'!$A:$A,'Scoring_Config'!$C:$C,25),0),0)+IF(LEFT(AD360,4)="True",IF(_xlfn.XLOOKUP("Src_CIDR_Le_16",'Scoring_Config'!$A:$A,'Scoring_Config'!$D:$D,"Yes")="Yes",_xlfn.XLOOKUP("Src_CIDR_Le_16",'Scoring_Config'!$A:$A,'Scoring_Config'!$C:$C,25),0),0)+IF(LEFT(AE360,4)="True",IF(_xlfn.XLOOKUP("Src_CIDR_17_22",'Scoring_Config'!$A:$A,'Scoring_Config'!$D:$D,"Yes")="Yes",_xlfn.XLOOKUP("Src_CIDR_17_22",'Scoring_Config'!$A:$A,'Scoring_Config'!$C:$C,15),0),0)+IF(LEFT(AF360,4)="True",IF(_xlfn.XLOOKUP("Dst_IsAny",'Scoring_Config'!$A:$A,'Scoring_Config'!$D:$D,"Yes")="Yes",_xlfn.XLOOKUP("Dst_IsAny",'Scoring_Config'!$A:$A,'Scoring_Config'!$C:$C,25),0),0)+IF(LEFT(AG360,4)="True",IF(_xlfn.XLOOKUP("Dst_CIDR_Le_16",'Scoring_Config'!$A:$A,'Scoring_Config'!$D:$D,"Yes")="Yes",_xlfn.XLOOKUP("Dst_CIDR_Le_16",'Scoring_Config'!$A:$A,'Scoring_Config'!$C:$C,25),0),0)+IF(LEFT(AH360,4)="True",IF(_xlfn.XLOOKUP("Dst_CIDR_17_22",'Scoring_Config'!$A:$A,'Scoring_Config'!$D:$D,"Yes")="Yes",_xlfn.XLOOKUP("Dst_CIDR_17_22",'Scoring_Config'!$A:$A,'Scoring_Config'!$C:$C,15),0),0)+IF(LEFT(AI360,4)="True",IF(_xlfn.XLOOKUP("SrcZone_IsAny",'Scoring_Config'!$A:$A,'Scoring_Config'!$D:$D,"Yes")="Yes",_xlfn.XLOOKUP("SrcZone_IsAny",'Scoring_Config'!$A:$A,'Scoring_Config'!$C:$C,5),0),0)+IF(LEFT(AJ360,4)="True",IF(_xlfn.XLOOKUP("DstZone_IsAny",'Scoring_Config'!$A:$A,'Scoring_Config'!$D:$D,"Yes")="Yes",_xlfn.XLOOKUP("DstZone_IsAny",'Scoring_Config'!$A:$A,'Scoring_Config'!$C:$C,5),0),0)+IF(LEFT(AK360,4)="True",IF(_xlfn.XLOOKUP("Service_Any_OR_RangeGt1000",'Scoring_Config'!$A:$A,'Scoring_Config'!$D:$D,"Yes")="Yes",_xlfn.XLOOKUP("Service_Any_OR_RangeGt1000",'Scoring_Config'!$A:$A,'Scoring_Config'!$C:$C,25),0),0)+IF(LEFT(AL360,4)="True",IF(_xlfn.XLOOKUP("App_Any_OR_RangeGt1000",'Scoring_Config'!$A:$A,'Scoring_Config'!$D:$D,"Yes")="Yes",_xlfn.XLOOKUP("App_Any_OR_RangeGt1000",'Scoring_Config'!$A:$A,'Scoring_Config'!$C:$C,25),0),0)+IF(LEFT(AM360,4)="True",IF(_xlfn.XLOOKUP("Service_Insecure_Match",'Scoring_Config'!$A:$A,'Scoring_Config'!$D:$D,"Yes")="Yes",_xlfn.XLOOKUP("Service_Insecure_Match",'Scoring_Config'!$A:$A,'Scoring_Config'!$C:$C,20),0),0)+IF(LEFT(AN360,4)="True",IF(_xlfn.XLOOKUP("Risky_Inbound",'Scoring_Config'!$A:$A,'Scoring_Config'!$D:$D,"Yes")="Yes",_xlfn.XLOOKUP("Risky_Inbound",'Scoring_Config'!$A:$A,'Scoring_Config'!$C:$C,20),0),0)+IF(LEFT(AO360,4)="True",IF(_xlfn.XLOOKUP("Risky_Outbound",'Scoring_Config'!$A:$A,'Scoring_Config'!$D:$D,"Yes")="Yes",_xlfn.XLOOKUP("Risky_Outbound",'Scoring_Config'!$A:$A,'Scoring_Config'!$C:$C,10),0),0)+IF(LEFT(AW360,4)="True",IF(_xlfn.XLOOKUP("Migrate_Insecure",'Scoring_Config'!$A:$A,'Scoring_Config'!$D:$D,"Yes")="Yes",_xlfn.XLOOKUP("Migrate_Insecure",'Scoring_Config'!$A:$A,'Scoring_Config'!$C:$C,15),0),0)+IF(LEFT(AY360,4)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360,FIND(",",AP360)+1,100)),0)+IF(LEFT(AQ360,4)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360,FIND(",",AR360)+1,100)),0)+IF(_xlfn.XLOOKUP("Profile_Scoring",'Scoring_Config'!$A:$A,'Scoring_Config'!$D:$D,"Yes")="Yes",VALUE(MID(AS360,FIND(",",AS360)+1,100)),0)+IF(_xlfn.XLOOKUP("Options_Scoring",'Scoring_Config'!$A:$A,'Scoring_Config'!$D:$D,"Yes")="Yes",VALUE(MID(AT360,FIND(",",AT360)+1,100)),0)))</f>
        <v>0</v>
      </c>
    </row>
    <row r="361" spans="1:52">
      <c r="A361" s="3" t="s">
        <v>55</v>
      </c>
      <c r="B361" s="3" t="s">
        <v>170</v>
      </c>
      <c r="C361" s="3" t="s">
        <v>332</v>
      </c>
      <c r="D361" s="3"/>
      <c r="E361" s="3" t="s">
        <v>359</v>
      </c>
      <c r="F361" s="3" t="s">
        <v>363</v>
      </c>
      <c r="G361" s="3" t="s">
        <v>498</v>
      </c>
      <c r="H361" s="3" t="s">
        <v>498</v>
      </c>
      <c r="I361" s="3" t="s">
        <v>623</v>
      </c>
      <c r="J361" s="3" t="s">
        <v>360</v>
      </c>
      <c r="K361" s="3" t="s">
        <v>527</v>
      </c>
      <c r="L361" s="3" t="s">
        <v>513</v>
      </c>
      <c r="M361" s="3" t="s">
        <v>770</v>
      </c>
      <c r="N361" s="3" t="s">
        <v>770</v>
      </c>
      <c r="O361" s="4" t="s">
        <v>858</v>
      </c>
      <c r="P361" s="3" t="s">
        <v>880</v>
      </c>
      <c r="Q361" s="3" t="s">
        <v>905</v>
      </c>
      <c r="R361" s="3" t="s">
        <v>906</v>
      </c>
      <c r="S361" s="3" t="s">
        <v>907</v>
      </c>
      <c r="T361" s="3" t="s">
        <v>1078</v>
      </c>
      <c r="U361" s="3" t="s">
        <v>1157</v>
      </c>
      <c r="V361" s="3" t="s">
        <v>1387</v>
      </c>
      <c r="W361" s="3" t="s">
        <v>1567</v>
      </c>
      <c r="X361" s="3" t="s">
        <v>1965</v>
      </c>
      <c r="Y361" s="3" t="s">
        <v>2434</v>
      </c>
      <c r="Z361" s="3"/>
      <c r="AA361" s="3"/>
      <c r="AB361" s="3"/>
      <c r="AC361" s="4" cm="1">
        <f t="array" ref="AC361">IF(FALSE,"True," &amp; IF(_xlfn.XLOOKUP("Src_IsAny",'Scoring_Config'!$A:$A,'Scoring_Config'!$D:$D,"Yes")="Yes",_xlfn.XLOOKUP("Src_IsAny",'Scoring_Config'!$A:$A,'Scoring_Config'!$C:$C,25),0),"False,0")</f>
        <v>0</v>
      </c>
      <c r="AD361" s="4" cm="1">
        <f t="array" ref="AD361">IF(FALSE,"True," &amp; IF(_xlfn.XLOOKUP("Src_CIDR_Le_16",'Scoring_Config'!$A:$A,'Scoring_Config'!$D:$D,"Yes")="Yes",_xlfn.XLOOKUP("Src_CIDR_Le_16",'Scoring_Config'!$A:$A,'Scoring_Config'!$C:$C,25),0),"False,0")</f>
        <v>0</v>
      </c>
      <c r="AE361" s="4" cm="1">
        <f t="array" ref="AE361">IF(FALSE,"True," &amp; IF(_xlfn.XLOOKUP("Src_CIDR_17_22",'Scoring_Config'!$A:$A,'Scoring_Config'!$D:$D,"Yes")="Yes",_xlfn.XLOOKUP("Src_CIDR_17_22",'Scoring_Config'!$A:$A,'Scoring_Config'!$C:$C,15),0),"False,0")</f>
        <v>0</v>
      </c>
      <c r="AF361" s="4" cm="1">
        <f t="array" ref="AF361">IF(FALSE,"True," &amp; IF(_xlfn.XLOOKUP("Dst_IsAny",'Scoring_Config'!$A:$A,'Scoring_Config'!$D:$D,"Yes")="Yes",_xlfn.XLOOKUP("Dst_IsAny",'Scoring_Config'!$A:$A,'Scoring_Config'!$C:$C,25),0),"False,0")</f>
        <v>0</v>
      </c>
      <c r="AG361" s="5" cm="1">
        <f t="array" ref="AG361">IF(TRUE,"True," &amp; IF(_xlfn.XLOOKUP("Dst_CIDR_Le_16",'Scoring_Config'!$A:$A,'Scoring_Config'!$D:$D,"Yes")="Yes",_xlfn.XLOOKUP("Dst_CIDR_Le_16",'Scoring_Config'!$A:$A,'Scoring_Config'!$C:$C,25),0),"False,0")</f>
        <v>0</v>
      </c>
      <c r="AH361" s="4" cm="1">
        <f t="array" ref="AH361">IF(FALSE,"True," &amp; IF(_xlfn.XLOOKUP("Dst_CIDR_17_22",'Scoring_Config'!$A:$A,'Scoring_Config'!$D:$D,"Yes")="Yes",_xlfn.XLOOKUP("Dst_CIDR_17_22",'Scoring_Config'!$A:$A,'Scoring_Config'!$C:$C,15),0),"False,0")</f>
        <v>0</v>
      </c>
      <c r="AI361" s="4" cm="1">
        <f t="array" ref="AI361">IF(FALSE,"True," &amp; IF(_xlfn.XLOOKUP("SrcZone_IsAny",'Scoring_Config'!$A:$A,'Scoring_Config'!$D:$D,"Yes")="Yes",_xlfn.XLOOKUP("SrcZone_IsAny",'Scoring_Config'!$A:$A,'Scoring_Config'!$C:$C,5),0),"False,0")</f>
        <v>0</v>
      </c>
      <c r="AJ361" s="4" cm="1">
        <f t="array" ref="AJ361">IF(FALSE,"True," &amp; IF(_xlfn.XLOOKUP("DstZone_IsAny",'Scoring_Config'!$A:$A,'Scoring_Config'!$D:$D,"Yes")="Yes",_xlfn.XLOOKUP("DstZone_IsAny",'Scoring_Config'!$A:$A,'Scoring_Config'!$C:$C,5),0),"False,0")</f>
        <v>0</v>
      </c>
      <c r="AK361" s="4" cm="1">
        <f t="array" ref="AK36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1" s="4" cm="1">
        <f t="array" ref="AL361">IF(FALSE,"True," &amp; IF(_xlfn.XLOOKUP("App_Any_OR_RangeGt1000",'Scoring_Config'!$A:$A,'Scoring_Config'!$D:$D,"Yes")="Yes",_xlfn.XLOOKUP("App_Any_OR_RangeGt1000",'Scoring_Config'!$A:$A,'Scoring_Config'!$C:$C,25),0),"False,0")</f>
        <v>0</v>
      </c>
      <c r="AM361" s="5" cm="1">
        <f t="array" ref="AM361">IF(TRUE,"True," &amp; IF(_xlfn.XLOOKUP("Service_Insecure_Match",'Scoring_Config'!$A:$A,'Scoring_Config'!$D:$D,"Yes")="Yes",_xlfn.XLOOKUP("Service_Insecure_Match",'Scoring_Config'!$A:$A,'Scoring_Config'!$C:$C,20),0),"False,0")</f>
        <v>0</v>
      </c>
      <c r="AN361" s="4" cm="1">
        <f t="array" ref="AN361">IF(FALSE,"True," &amp; IF(_xlfn.XLOOKUP("Risky_Inbound",'Scoring_Config'!$A:$A,'Scoring_Config'!$D:$D,"Yes")="Yes",_xlfn.XLOOKUP("Risky_Inbound",'Scoring_Config'!$A:$A,'Scoring_Config'!$C:$C,20),0),"False,0")</f>
        <v>0</v>
      </c>
      <c r="AO361" s="4" cm="1">
        <f t="array" ref="AO361">IF(FALSE,"True," &amp; IF(_xlfn.XLOOKUP("Risky_Outbound",'Scoring_Config'!$A:$A,'Scoring_Config'!$D:$D,"Yes")="Yes",_xlfn.XLOOKUP("Risky_Outbound",'Scoring_Config'!$A:$A,'Scoring_Config'!$C:$C,10),0),"False,0")</f>
        <v>0</v>
      </c>
      <c r="AP361" s="5" t="s">
        <v>2595</v>
      </c>
      <c r="AQ361" s="5" cm="1">
        <f t="array" ref="AQ36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1" s="5" t="s">
        <v>2598</v>
      </c>
      <c r="AS361" s="4" t="s">
        <v>2592</v>
      </c>
      <c r="AT361" s="5" t="s">
        <v>2595</v>
      </c>
      <c r="AU361" s="4" cm="1">
        <f t="array" ref="AU361">IF(FALSE,"True," &amp; IF(_xlfn.XLOOKUP("Action_IsDenyOrDrop",'Scoring_Config'!$A:$A,'Scoring_Config'!$D:$D,"Yes")="Yes",_xlfn.XLOOKUP("Action_IsDenyOrDrop",'Scoring_Config'!$A:$A,'Scoring_Config'!$C:$C,0),0),"False,0")</f>
        <v>0</v>
      </c>
      <c r="AV361" s="4"/>
      <c r="AW361" s="4" cm="1">
        <f t="array" ref="AW361">IF(FALSE,"True," &amp; IF(_xlfn.XLOOKUP("Migrate_Insecure",'Scoring_Config'!$A:$A,'Scoring_Config'!$D:$D,"Yes")="Yes",_xlfn.XLOOKUP("Migrate_Insecure",'Scoring_Config'!$A:$A,'Scoring_Config'!$C:$C,15),0),"False,0")</f>
        <v>0</v>
      </c>
      <c r="AX361" s="4"/>
      <c r="AY361" s="4" cm="1">
        <f t="array" ref="AY361">IF(FALSE,"True," &amp; IF(_xlfn.XLOOKUP("Migrate_Other_Ports",'Scoring_Config'!$A:$A,'Scoring_Config'!$D:$D,"Yes")="Yes",_xlfn.XLOOKUP("Migrate_Other_Ports",'Scoring_Config'!$A:$A,'Scoring_Config'!$C:$C,5),0),"False,0")</f>
        <v>0</v>
      </c>
      <c r="AZ361" s="4" cm="1">
        <f t="array" ref="AZ361">IF(LEFT(AU361,4)="True",0,(IF(LEFT(AC361,4)="True",IF(_xlfn.XLOOKUP("Src_IsAny",'Scoring_Config'!$A:$A,'Scoring_Config'!$D:$D,"Yes")="Yes",_xlfn.XLOOKUP("Src_IsAny",'Scoring_Config'!$A:$A,'Scoring_Config'!$C:$C,25),0),0)+IF(LEFT(AD361,4)="True",IF(_xlfn.XLOOKUP("Src_CIDR_Le_16",'Scoring_Config'!$A:$A,'Scoring_Config'!$D:$D,"Yes")="Yes",_xlfn.XLOOKUP("Src_CIDR_Le_16",'Scoring_Config'!$A:$A,'Scoring_Config'!$C:$C,25),0),0)+IF(LEFT(AE361,4)="True",IF(_xlfn.XLOOKUP("Src_CIDR_17_22",'Scoring_Config'!$A:$A,'Scoring_Config'!$D:$D,"Yes")="Yes",_xlfn.XLOOKUP("Src_CIDR_17_22",'Scoring_Config'!$A:$A,'Scoring_Config'!$C:$C,15),0),0)+IF(LEFT(AF361,4)="True",IF(_xlfn.XLOOKUP("Dst_IsAny",'Scoring_Config'!$A:$A,'Scoring_Config'!$D:$D,"Yes")="Yes",_xlfn.XLOOKUP("Dst_IsAny",'Scoring_Config'!$A:$A,'Scoring_Config'!$C:$C,25),0),0)+IF(LEFT(AG361,4)="True",IF(_xlfn.XLOOKUP("Dst_CIDR_Le_16",'Scoring_Config'!$A:$A,'Scoring_Config'!$D:$D,"Yes")="Yes",_xlfn.XLOOKUP("Dst_CIDR_Le_16",'Scoring_Config'!$A:$A,'Scoring_Config'!$C:$C,25),0),0)+IF(LEFT(AH361,4)="True",IF(_xlfn.XLOOKUP("Dst_CIDR_17_22",'Scoring_Config'!$A:$A,'Scoring_Config'!$D:$D,"Yes")="Yes",_xlfn.XLOOKUP("Dst_CIDR_17_22",'Scoring_Config'!$A:$A,'Scoring_Config'!$C:$C,15),0),0)+IF(LEFT(AI361,4)="True",IF(_xlfn.XLOOKUP("SrcZone_IsAny",'Scoring_Config'!$A:$A,'Scoring_Config'!$D:$D,"Yes")="Yes",_xlfn.XLOOKUP("SrcZone_IsAny",'Scoring_Config'!$A:$A,'Scoring_Config'!$C:$C,5),0),0)+IF(LEFT(AJ361,4)="True",IF(_xlfn.XLOOKUP("DstZone_IsAny",'Scoring_Config'!$A:$A,'Scoring_Config'!$D:$D,"Yes")="Yes",_xlfn.XLOOKUP("DstZone_IsAny",'Scoring_Config'!$A:$A,'Scoring_Config'!$C:$C,5),0),0)+IF(LEFT(AK361,4)="True",IF(_xlfn.XLOOKUP("Service_Any_OR_RangeGt1000",'Scoring_Config'!$A:$A,'Scoring_Config'!$D:$D,"Yes")="Yes",_xlfn.XLOOKUP("Service_Any_OR_RangeGt1000",'Scoring_Config'!$A:$A,'Scoring_Config'!$C:$C,25),0),0)+IF(LEFT(AL361,4)="True",IF(_xlfn.XLOOKUP("App_Any_OR_RangeGt1000",'Scoring_Config'!$A:$A,'Scoring_Config'!$D:$D,"Yes")="Yes",_xlfn.XLOOKUP("App_Any_OR_RangeGt1000",'Scoring_Config'!$A:$A,'Scoring_Config'!$C:$C,25),0),0)+IF(LEFT(AM361,4)="True",IF(_xlfn.XLOOKUP("Service_Insecure_Match",'Scoring_Config'!$A:$A,'Scoring_Config'!$D:$D,"Yes")="Yes",_xlfn.XLOOKUP("Service_Insecure_Match",'Scoring_Config'!$A:$A,'Scoring_Config'!$C:$C,20),0),0)+IF(LEFT(AN361,4)="True",IF(_xlfn.XLOOKUP("Risky_Inbound",'Scoring_Config'!$A:$A,'Scoring_Config'!$D:$D,"Yes")="Yes",_xlfn.XLOOKUP("Risky_Inbound",'Scoring_Config'!$A:$A,'Scoring_Config'!$C:$C,20),0),0)+IF(LEFT(AO361,4)="True",IF(_xlfn.XLOOKUP("Risky_Outbound",'Scoring_Config'!$A:$A,'Scoring_Config'!$D:$D,"Yes")="Yes",_xlfn.XLOOKUP("Risky_Outbound",'Scoring_Config'!$A:$A,'Scoring_Config'!$C:$C,10),0),0)+IF(LEFT(AW361,4)="True",IF(_xlfn.XLOOKUP("Migrate_Insecure",'Scoring_Config'!$A:$A,'Scoring_Config'!$D:$D,"Yes")="Yes",_xlfn.XLOOKUP("Migrate_Insecure",'Scoring_Config'!$A:$A,'Scoring_Config'!$C:$C,15),0),0)+IF(LEFT(AY361,4)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361,FIND(",",AP361)+1,100)),0)+IF(LEFT(AQ361,4)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361,FIND(",",AR361)+1,100)),0)+IF(_xlfn.XLOOKUP("Profile_Scoring",'Scoring_Config'!$A:$A,'Scoring_Config'!$D:$D,"Yes")="Yes",VALUE(MID(AS361,FIND(",",AS361)+1,100)),0)+IF(_xlfn.XLOOKUP("Options_Scoring",'Scoring_Config'!$A:$A,'Scoring_Config'!$D:$D,"Yes")="Yes",VALUE(MID(AT361,FIND(",",AT361)+1,100)),0)))</f>
        <v>0</v>
      </c>
    </row>
    <row r="362" spans="1:52">
      <c r="A362" s="3" t="s">
        <v>55</v>
      </c>
      <c r="B362" s="3" t="s">
        <v>284</v>
      </c>
      <c r="C362" s="3" t="s">
        <v>332</v>
      </c>
      <c r="D362" s="3"/>
      <c r="E362" s="3" t="s">
        <v>359</v>
      </c>
      <c r="F362" s="3" t="s">
        <v>361</v>
      </c>
      <c r="G362" s="3" t="s">
        <v>499</v>
      </c>
      <c r="H362" s="3" t="s">
        <v>602</v>
      </c>
      <c r="I362" s="3" t="s">
        <v>623</v>
      </c>
      <c r="J362" s="3" t="s">
        <v>362</v>
      </c>
      <c r="K362" s="3" t="s">
        <v>718</v>
      </c>
      <c r="L362" s="3" t="s">
        <v>762</v>
      </c>
      <c r="M362" s="3" t="s">
        <v>790</v>
      </c>
      <c r="N362" s="3" t="s">
        <v>791</v>
      </c>
      <c r="O362" s="4" t="s">
        <v>832</v>
      </c>
      <c r="P362" s="3" t="s">
        <v>893</v>
      </c>
      <c r="Q362" s="3" t="s">
        <v>905</v>
      </c>
      <c r="R362" s="3" t="s">
        <v>910</v>
      </c>
      <c r="S362" s="3" t="s">
        <v>916</v>
      </c>
      <c r="T362" s="3" t="s">
        <v>1079</v>
      </c>
      <c r="U362" s="3" t="s">
        <v>1328</v>
      </c>
      <c r="V362" s="3" t="s">
        <v>1387</v>
      </c>
      <c r="W362" s="3" t="s">
        <v>1518</v>
      </c>
      <c r="X362" s="3" t="s">
        <v>1966</v>
      </c>
      <c r="Y362" s="3" t="s">
        <v>2435</v>
      </c>
      <c r="Z362" s="3"/>
      <c r="AA362" s="3"/>
      <c r="AB362" s="3"/>
      <c r="AC362" s="5" cm="1">
        <f t="array" ref="AC362">IF(TRUE,"True," &amp; IF(_xlfn.XLOOKUP("Src_IsAny",'Scoring_Config'!$A:$A,'Scoring_Config'!$D:$D,"Yes")="Yes",_xlfn.XLOOKUP("Src_IsAny",'Scoring_Config'!$A:$A,'Scoring_Config'!$C:$C,25),0),"False,0")</f>
        <v>0</v>
      </c>
      <c r="AD362" s="5" cm="1">
        <f t="array" ref="AD362">IF(TRUE,"True," &amp; IF(_xlfn.XLOOKUP("Src_CIDR_Le_16",'Scoring_Config'!$A:$A,'Scoring_Config'!$D:$D,"Yes")="Yes",_xlfn.XLOOKUP("Src_CIDR_Le_16",'Scoring_Config'!$A:$A,'Scoring_Config'!$C:$C,25),0),"False,0")</f>
        <v>0</v>
      </c>
      <c r="AE362" s="4" cm="1">
        <f t="array" ref="AE362">IF(FALSE,"True," &amp; IF(_xlfn.XLOOKUP("Src_CIDR_17_22",'Scoring_Config'!$A:$A,'Scoring_Config'!$D:$D,"Yes")="Yes",_xlfn.XLOOKUP("Src_CIDR_17_22",'Scoring_Config'!$A:$A,'Scoring_Config'!$C:$C,15),0),"False,0")</f>
        <v>0</v>
      </c>
      <c r="AF362" s="4" cm="1">
        <f t="array" ref="AF362">IF(FALSE,"True," &amp; IF(_xlfn.XLOOKUP("Dst_IsAny",'Scoring_Config'!$A:$A,'Scoring_Config'!$D:$D,"Yes")="Yes",_xlfn.XLOOKUP("Dst_IsAny",'Scoring_Config'!$A:$A,'Scoring_Config'!$C:$C,25),0),"False,0")</f>
        <v>0</v>
      </c>
      <c r="AG362" s="4" cm="1">
        <f t="array" ref="AG362">IF(FALSE,"True," &amp; IF(_xlfn.XLOOKUP("Dst_CIDR_Le_16",'Scoring_Config'!$A:$A,'Scoring_Config'!$D:$D,"Yes")="Yes",_xlfn.XLOOKUP("Dst_CIDR_Le_16",'Scoring_Config'!$A:$A,'Scoring_Config'!$C:$C,25),0),"False,0")</f>
        <v>0</v>
      </c>
      <c r="AH362" s="4" cm="1">
        <f t="array" ref="AH362">IF(FALSE,"True," &amp; IF(_xlfn.XLOOKUP("Dst_CIDR_17_22",'Scoring_Config'!$A:$A,'Scoring_Config'!$D:$D,"Yes")="Yes",_xlfn.XLOOKUP("Dst_CIDR_17_22",'Scoring_Config'!$A:$A,'Scoring_Config'!$C:$C,15),0),"False,0")</f>
        <v>0</v>
      </c>
      <c r="AI362" s="4" cm="1">
        <f t="array" ref="AI362">IF(FALSE,"True," &amp; IF(_xlfn.XLOOKUP("SrcZone_IsAny",'Scoring_Config'!$A:$A,'Scoring_Config'!$D:$D,"Yes")="Yes",_xlfn.XLOOKUP("SrcZone_IsAny",'Scoring_Config'!$A:$A,'Scoring_Config'!$C:$C,5),0),"False,0")</f>
        <v>0</v>
      </c>
      <c r="AJ362" s="4" cm="1">
        <f t="array" ref="AJ362">IF(FALSE,"True," &amp; IF(_xlfn.XLOOKUP("DstZone_IsAny",'Scoring_Config'!$A:$A,'Scoring_Config'!$D:$D,"Yes")="Yes",_xlfn.XLOOKUP("DstZone_IsAny",'Scoring_Config'!$A:$A,'Scoring_Config'!$C:$C,5),0),"False,0")</f>
        <v>0</v>
      </c>
      <c r="AK362" s="4" cm="1">
        <f t="array" ref="AK36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2" s="5" cm="1">
        <f t="array" ref="AL362">IF(TRUE,"True," &amp; IF(_xlfn.XLOOKUP("App_Any_OR_RangeGt1000",'Scoring_Config'!$A:$A,'Scoring_Config'!$D:$D,"Yes")="Yes",_xlfn.XLOOKUP("App_Any_OR_RangeGt1000",'Scoring_Config'!$A:$A,'Scoring_Config'!$C:$C,25),0),"False,0")</f>
        <v>0</v>
      </c>
      <c r="AM362" s="5" cm="1">
        <f t="array" ref="AM362">IF(TRUE,"True," &amp; IF(_xlfn.XLOOKUP("Service_Insecure_Match",'Scoring_Config'!$A:$A,'Scoring_Config'!$D:$D,"Yes")="Yes",_xlfn.XLOOKUP("Service_Insecure_Match",'Scoring_Config'!$A:$A,'Scoring_Config'!$C:$C,20),0),"False,0")</f>
        <v>0</v>
      </c>
      <c r="AN362" s="5" cm="1">
        <f t="array" ref="AN362">IF(TRUE,"True," &amp; IF(_xlfn.XLOOKUP("Risky_Inbound",'Scoring_Config'!$A:$A,'Scoring_Config'!$D:$D,"Yes")="Yes",_xlfn.XLOOKUP("Risky_Inbound",'Scoring_Config'!$A:$A,'Scoring_Config'!$C:$C,20),0),"False,0")</f>
        <v>0</v>
      </c>
      <c r="AO362" s="4" cm="1">
        <f t="array" ref="AO362">IF(FALSE,"True," &amp; IF(_xlfn.XLOOKUP("Risky_Outbound",'Scoring_Config'!$A:$A,'Scoring_Config'!$D:$D,"Yes")="Yes",_xlfn.XLOOKUP("Risky_Outbound",'Scoring_Config'!$A:$A,'Scoring_Config'!$C:$C,10),0),"False,0")</f>
        <v>0</v>
      </c>
      <c r="AP362" s="5" t="s">
        <v>2595</v>
      </c>
      <c r="AQ362" s="4" cm="1">
        <f t="array" ref="AQ36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2" s="5" t="s">
        <v>2598</v>
      </c>
      <c r="AS362" s="4" t="s">
        <v>2592</v>
      </c>
      <c r="AT362" s="4" t="s">
        <v>2592</v>
      </c>
      <c r="AU362" s="4" cm="1">
        <f t="array" ref="AU362">IF(FALSE,"True," &amp; IF(_xlfn.XLOOKUP("Action_IsDenyOrDrop",'Scoring_Config'!$A:$A,'Scoring_Config'!$D:$D,"Yes")="Yes",_xlfn.XLOOKUP("Action_IsDenyOrDrop",'Scoring_Config'!$A:$A,'Scoring_Config'!$C:$C,0),0),"False,0")</f>
        <v>0</v>
      </c>
      <c r="AV362" s="4"/>
      <c r="AW362" s="4" cm="1">
        <f t="array" ref="AW362">IF(FALSE,"True," &amp; IF(_xlfn.XLOOKUP("Migrate_Insecure",'Scoring_Config'!$A:$A,'Scoring_Config'!$D:$D,"Yes")="Yes",_xlfn.XLOOKUP("Migrate_Insecure",'Scoring_Config'!$A:$A,'Scoring_Config'!$C:$C,15),0),"False,0")</f>
        <v>0</v>
      </c>
      <c r="AX362" s="4"/>
      <c r="AY362" s="4" cm="1">
        <f t="array" ref="AY362">IF(FALSE,"True," &amp; IF(_xlfn.XLOOKUP("Migrate_Other_Ports",'Scoring_Config'!$A:$A,'Scoring_Config'!$D:$D,"Yes")="Yes",_xlfn.XLOOKUP("Migrate_Other_Ports",'Scoring_Config'!$A:$A,'Scoring_Config'!$C:$C,5),0),"False,0")</f>
        <v>0</v>
      </c>
      <c r="AZ362" s="4" cm="1">
        <f t="array" ref="AZ362">IF(LEFT(AU362,4)="True",0,(IF(LEFT(AC362,4)="True",IF(_xlfn.XLOOKUP("Src_IsAny",'Scoring_Config'!$A:$A,'Scoring_Config'!$D:$D,"Yes")="Yes",_xlfn.XLOOKUP("Src_IsAny",'Scoring_Config'!$A:$A,'Scoring_Config'!$C:$C,25),0),0)+IF(LEFT(AD362,4)="True",IF(_xlfn.XLOOKUP("Src_CIDR_Le_16",'Scoring_Config'!$A:$A,'Scoring_Config'!$D:$D,"Yes")="Yes",_xlfn.XLOOKUP("Src_CIDR_Le_16",'Scoring_Config'!$A:$A,'Scoring_Config'!$C:$C,25),0),0)+IF(LEFT(AE362,4)="True",IF(_xlfn.XLOOKUP("Src_CIDR_17_22",'Scoring_Config'!$A:$A,'Scoring_Config'!$D:$D,"Yes")="Yes",_xlfn.XLOOKUP("Src_CIDR_17_22",'Scoring_Config'!$A:$A,'Scoring_Config'!$C:$C,15),0),0)+IF(LEFT(AF362,4)="True",IF(_xlfn.XLOOKUP("Dst_IsAny",'Scoring_Config'!$A:$A,'Scoring_Config'!$D:$D,"Yes")="Yes",_xlfn.XLOOKUP("Dst_IsAny",'Scoring_Config'!$A:$A,'Scoring_Config'!$C:$C,25),0),0)+IF(LEFT(AG362,4)="True",IF(_xlfn.XLOOKUP("Dst_CIDR_Le_16",'Scoring_Config'!$A:$A,'Scoring_Config'!$D:$D,"Yes")="Yes",_xlfn.XLOOKUP("Dst_CIDR_Le_16",'Scoring_Config'!$A:$A,'Scoring_Config'!$C:$C,25),0),0)+IF(LEFT(AH362,4)="True",IF(_xlfn.XLOOKUP("Dst_CIDR_17_22",'Scoring_Config'!$A:$A,'Scoring_Config'!$D:$D,"Yes")="Yes",_xlfn.XLOOKUP("Dst_CIDR_17_22",'Scoring_Config'!$A:$A,'Scoring_Config'!$C:$C,15),0),0)+IF(LEFT(AI362,4)="True",IF(_xlfn.XLOOKUP("SrcZone_IsAny",'Scoring_Config'!$A:$A,'Scoring_Config'!$D:$D,"Yes")="Yes",_xlfn.XLOOKUP("SrcZone_IsAny",'Scoring_Config'!$A:$A,'Scoring_Config'!$C:$C,5),0),0)+IF(LEFT(AJ362,4)="True",IF(_xlfn.XLOOKUP("DstZone_IsAny",'Scoring_Config'!$A:$A,'Scoring_Config'!$D:$D,"Yes")="Yes",_xlfn.XLOOKUP("DstZone_IsAny",'Scoring_Config'!$A:$A,'Scoring_Config'!$C:$C,5),0),0)+IF(LEFT(AK362,4)="True",IF(_xlfn.XLOOKUP("Service_Any_OR_RangeGt1000",'Scoring_Config'!$A:$A,'Scoring_Config'!$D:$D,"Yes")="Yes",_xlfn.XLOOKUP("Service_Any_OR_RangeGt1000",'Scoring_Config'!$A:$A,'Scoring_Config'!$C:$C,25),0),0)+IF(LEFT(AL362,4)="True",IF(_xlfn.XLOOKUP("App_Any_OR_RangeGt1000",'Scoring_Config'!$A:$A,'Scoring_Config'!$D:$D,"Yes")="Yes",_xlfn.XLOOKUP("App_Any_OR_RangeGt1000",'Scoring_Config'!$A:$A,'Scoring_Config'!$C:$C,25),0),0)+IF(LEFT(AM362,4)="True",IF(_xlfn.XLOOKUP("Service_Insecure_Match",'Scoring_Config'!$A:$A,'Scoring_Config'!$D:$D,"Yes")="Yes",_xlfn.XLOOKUP("Service_Insecure_Match",'Scoring_Config'!$A:$A,'Scoring_Config'!$C:$C,20),0),0)+IF(LEFT(AN362,4)="True",IF(_xlfn.XLOOKUP("Risky_Inbound",'Scoring_Config'!$A:$A,'Scoring_Config'!$D:$D,"Yes")="Yes",_xlfn.XLOOKUP("Risky_Inbound",'Scoring_Config'!$A:$A,'Scoring_Config'!$C:$C,20),0),0)+IF(LEFT(AO362,4)="True",IF(_xlfn.XLOOKUP("Risky_Outbound",'Scoring_Config'!$A:$A,'Scoring_Config'!$D:$D,"Yes")="Yes",_xlfn.XLOOKUP("Risky_Outbound",'Scoring_Config'!$A:$A,'Scoring_Config'!$C:$C,10),0),0)+IF(LEFT(AW362,4)="True",IF(_xlfn.XLOOKUP("Migrate_Insecure",'Scoring_Config'!$A:$A,'Scoring_Config'!$D:$D,"Yes")="Yes",_xlfn.XLOOKUP("Migrate_Insecure",'Scoring_Config'!$A:$A,'Scoring_Config'!$C:$C,15),0),0)+IF(LEFT(AY362,4)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362,FIND(",",AP362)+1,100)),0)+IF(LEFT(AQ362,4)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362,FIND(",",AR362)+1,100)),0)+IF(_xlfn.XLOOKUP("Profile_Scoring",'Scoring_Config'!$A:$A,'Scoring_Config'!$D:$D,"Yes")="Yes",VALUE(MID(AS362,FIND(",",AS362)+1,100)),0)+IF(_xlfn.XLOOKUP("Options_Scoring",'Scoring_Config'!$A:$A,'Scoring_Config'!$D:$D,"Yes")="Yes",VALUE(MID(AT362,FIND(",",AT362)+1,100)),0)))</f>
        <v>0</v>
      </c>
    </row>
    <row r="363" spans="1:52">
      <c r="A363" s="3" t="s">
        <v>55</v>
      </c>
      <c r="B363" s="3" t="s">
        <v>169</v>
      </c>
      <c r="C363" s="3" t="s">
        <v>332</v>
      </c>
      <c r="D363" s="3"/>
      <c r="E363" s="3" t="s">
        <v>359</v>
      </c>
      <c r="F363" s="3" t="s">
        <v>363</v>
      </c>
      <c r="G363" s="3" t="s">
        <v>500</v>
      </c>
      <c r="H363" s="3" t="s">
        <v>603</v>
      </c>
      <c r="I363" s="3" t="s">
        <v>365</v>
      </c>
      <c r="J363" s="3" t="s">
        <v>364</v>
      </c>
      <c r="K363" s="3" t="s">
        <v>495</v>
      </c>
      <c r="L363" s="3" t="s">
        <v>600</v>
      </c>
      <c r="M363" s="3" t="s">
        <v>770</v>
      </c>
      <c r="N363" s="3" t="s">
        <v>770</v>
      </c>
      <c r="O363" s="4" t="s">
        <v>825</v>
      </c>
      <c r="P363" s="3" t="s">
        <v>886</v>
      </c>
      <c r="Q363" s="3" t="s">
        <v>905</v>
      </c>
      <c r="R363" s="3" t="s">
        <v>909</v>
      </c>
      <c r="S363" s="3" t="s">
        <v>913</v>
      </c>
      <c r="T363" s="3" t="s">
        <v>1080</v>
      </c>
      <c r="U363" s="3" t="s">
        <v>1329</v>
      </c>
      <c r="V363" s="3" t="s">
        <v>1389</v>
      </c>
      <c r="W363" s="3" t="s">
        <v>1568</v>
      </c>
      <c r="X363" s="3" t="s">
        <v>1967</v>
      </c>
      <c r="Y363" s="3" t="s">
        <v>2436</v>
      </c>
      <c r="Z363" s="3"/>
      <c r="AA363" s="3"/>
      <c r="AB363" s="3"/>
      <c r="AC363" s="4" cm="1">
        <f t="array" ref="AC363">IF(FALSE,"True," &amp; IF(_xlfn.XLOOKUP("Src_IsAny",'Scoring_Config'!$A:$A,'Scoring_Config'!$D:$D,"Yes")="Yes",_xlfn.XLOOKUP("Src_IsAny",'Scoring_Config'!$A:$A,'Scoring_Config'!$C:$C,25),0),"False,0")</f>
        <v>0</v>
      </c>
      <c r="AD363" s="5" cm="1">
        <f t="array" ref="AD363">IF(TRUE,"True," &amp; IF(_xlfn.XLOOKUP("Src_CIDR_Le_16",'Scoring_Config'!$A:$A,'Scoring_Config'!$D:$D,"Yes")="Yes",_xlfn.XLOOKUP("Src_CIDR_Le_16",'Scoring_Config'!$A:$A,'Scoring_Config'!$C:$C,25),0),"False,0")</f>
        <v>0</v>
      </c>
      <c r="AE363" s="4" cm="1">
        <f t="array" ref="AE363">IF(FALSE,"True," &amp; IF(_xlfn.XLOOKUP("Src_CIDR_17_22",'Scoring_Config'!$A:$A,'Scoring_Config'!$D:$D,"Yes")="Yes",_xlfn.XLOOKUP("Src_CIDR_17_22",'Scoring_Config'!$A:$A,'Scoring_Config'!$C:$C,15),0),"False,0")</f>
        <v>0</v>
      </c>
      <c r="AF363" s="5" cm="1">
        <f t="array" ref="AF363">IF(TRUE,"True," &amp; IF(_xlfn.XLOOKUP("Dst_IsAny",'Scoring_Config'!$A:$A,'Scoring_Config'!$D:$D,"Yes")="Yes",_xlfn.XLOOKUP("Dst_IsAny",'Scoring_Config'!$A:$A,'Scoring_Config'!$C:$C,25),0),"False,0")</f>
        <v>0</v>
      </c>
      <c r="AG363" s="5" cm="1">
        <f t="array" ref="AG363">IF(TRUE,"True," &amp; IF(_xlfn.XLOOKUP("Dst_CIDR_Le_16",'Scoring_Config'!$A:$A,'Scoring_Config'!$D:$D,"Yes")="Yes",_xlfn.XLOOKUP("Dst_CIDR_Le_16",'Scoring_Config'!$A:$A,'Scoring_Config'!$C:$C,25),0),"False,0")</f>
        <v>0</v>
      </c>
      <c r="AH363" s="4" cm="1">
        <f t="array" ref="AH363">IF(FALSE,"True," &amp; IF(_xlfn.XLOOKUP("Dst_CIDR_17_22",'Scoring_Config'!$A:$A,'Scoring_Config'!$D:$D,"Yes")="Yes",_xlfn.XLOOKUP("Dst_CIDR_17_22",'Scoring_Config'!$A:$A,'Scoring_Config'!$C:$C,15),0),"False,0")</f>
        <v>0</v>
      </c>
      <c r="AI363" s="4" cm="1">
        <f t="array" ref="AI363">IF(FALSE,"True," &amp; IF(_xlfn.XLOOKUP("SrcZone_IsAny",'Scoring_Config'!$A:$A,'Scoring_Config'!$D:$D,"Yes")="Yes",_xlfn.XLOOKUP("SrcZone_IsAny",'Scoring_Config'!$A:$A,'Scoring_Config'!$C:$C,5),0),"False,0")</f>
        <v>0</v>
      </c>
      <c r="AJ363" s="4" cm="1">
        <f t="array" ref="AJ363">IF(FALSE,"True," &amp; IF(_xlfn.XLOOKUP("DstZone_IsAny",'Scoring_Config'!$A:$A,'Scoring_Config'!$D:$D,"Yes")="Yes",_xlfn.XLOOKUP("DstZone_IsAny",'Scoring_Config'!$A:$A,'Scoring_Config'!$C:$C,5),0),"False,0")</f>
        <v>0</v>
      </c>
      <c r="AK363" s="4" cm="1">
        <f t="array" ref="AK36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3" s="4" cm="1">
        <f t="array" ref="AL363">IF(FALSE,"True," &amp; IF(_xlfn.XLOOKUP("App_Any_OR_RangeGt1000",'Scoring_Config'!$A:$A,'Scoring_Config'!$D:$D,"Yes")="Yes",_xlfn.XLOOKUP("App_Any_OR_RangeGt1000",'Scoring_Config'!$A:$A,'Scoring_Config'!$C:$C,25),0),"False,0")</f>
        <v>0</v>
      </c>
      <c r="AM363" s="5" cm="1">
        <f t="array" ref="AM363">IF(TRUE,"True," &amp; IF(_xlfn.XLOOKUP("Service_Insecure_Match",'Scoring_Config'!$A:$A,'Scoring_Config'!$D:$D,"Yes")="Yes",_xlfn.XLOOKUP("Service_Insecure_Match",'Scoring_Config'!$A:$A,'Scoring_Config'!$C:$C,20),0),"False,0")</f>
        <v>0</v>
      </c>
      <c r="AN363" s="4" cm="1">
        <f t="array" ref="AN363">IF(FALSE,"True," &amp; IF(_xlfn.XLOOKUP("Risky_Inbound",'Scoring_Config'!$A:$A,'Scoring_Config'!$D:$D,"Yes")="Yes",_xlfn.XLOOKUP("Risky_Inbound",'Scoring_Config'!$A:$A,'Scoring_Config'!$C:$C,20),0),"False,0")</f>
        <v>0</v>
      </c>
      <c r="AO363" s="4" cm="1">
        <f t="array" ref="AO363">IF(FALSE,"True," &amp; IF(_xlfn.XLOOKUP("Risky_Outbound",'Scoring_Config'!$A:$A,'Scoring_Config'!$D:$D,"Yes")="Yes",_xlfn.XLOOKUP("Risky_Outbound",'Scoring_Config'!$A:$A,'Scoring_Config'!$C:$C,10),0),"False,0")</f>
        <v>0</v>
      </c>
      <c r="AP363" s="5" t="s">
        <v>2595</v>
      </c>
      <c r="AQ363" s="4" cm="1">
        <f t="array" ref="AQ36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3" s="4" t="s">
        <v>2592</v>
      </c>
      <c r="AS363" s="4" t="s">
        <v>2592</v>
      </c>
      <c r="AT363" s="4" t="s">
        <v>2592</v>
      </c>
      <c r="AU363" s="4" cm="1">
        <f t="array" ref="AU363">IF(FALSE,"True," &amp; IF(_xlfn.XLOOKUP("Action_IsDenyOrDrop",'Scoring_Config'!$A:$A,'Scoring_Config'!$D:$D,"Yes")="Yes",_xlfn.XLOOKUP("Action_IsDenyOrDrop",'Scoring_Config'!$A:$A,'Scoring_Config'!$C:$C,0),0),"False,0")</f>
        <v>0</v>
      </c>
      <c r="AV363" s="4"/>
      <c r="AW363" s="4" cm="1">
        <f t="array" ref="AW363">IF(FALSE,"True," &amp; IF(_xlfn.XLOOKUP("Migrate_Insecure",'Scoring_Config'!$A:$A,'Scoring_Config'!$D:$D,"Yes")="Yes",_xlfn.XLOOKUP("Migrate_Insecure",'Scoring_Config'!$A:$A,'Scoring_Config'!$C:$C,15),0),"False,0")</f>
        <v>0</v>
      </c>
      <c r="AX363" s="4"/>
      <c r="AY363" s="4" cm="1">
        <f t="array" ref="AY363">IF(FALSE,"True," &amp; IF(_xlfn.XLOOKUP("Migrate_Other_Ports",'Scoring_Config'!$A:$A,'Scoring_Config'!$D:$D,"Yes")="Yes",_xlfn.XLOOKUP("Migrate_Other_Ports",'Scoring_Config'!$A:$A,'Scoring_Config'!$C:$C,5),0),"False,0")</f>
        <v>0</v>
      </c>
      <c r="AZ363" s="4" cm="1">
        <f t="array" ref="AZ363">IF(LEFT(AU363,4)="True",0,(IF(LEFT(AC363,4)="True",IF(_xlfn.XLOOKUP("Src_IsAny",'Scoring_Config'!$A:$A,'Scoring_Config'!$D:$D,"Yes")="Yes",_xlfn.XLOOKUP("Src_IsAny",'Scoring_Config'!$A:$A,'Scoring_Config'!$C:$C,25),0),0)+IF(LEFT(AD363,4)="True",IF(_xlfn.XLOOKUP("Src_CIDR_Le_16",'Scoring_Config'!$A:$A,'Scoring_Config'!$D:$D,"Yes")="Yes",_xlfn.XLOOKUP("Src_CIDR_Le_16",'Scoring_Config'!$A:$A,'Scoring_Config'!$C:$C,25),0),0)+IF(LEFT(AE363,4)="True",IF(_xlfn.XLOOKUP("Src_CIDR_17_22",'Scoring_Config'!$A:$A,'Scoring_Config'!$D:$D,"Yes")="Yes",_xlfn.XLOOKUP("Src_CIDR_17_22",'Scoring_Config'!$A:$A,'Scoring_Config'!$C:$C,15),0),0)+IF(LEFT(AF363,4)="True",IF(_xlfn.XLOOKUP("Dst_IsAny",'Scoring_Config'!$A:$A,'Scoring_Config'!$D:$D,"Yes")="Yes",_xlfn.XLOOKUP("Dst_IsAny",'Scoring_Config'!$A:$A,'Scoring_Config'!$C:$C,25),0),0)+IF(LEFT(AG363,4)="True",IF(_xlfn.XLOOKUP("Dst_CIDR_Le_16",'Scoring_Config'!$A:$A,'Scoring_Config'!$D:$D,"Yes")="Yes",_xlfn.XLOOKUP("Dst_CIDR_Le_16",'Scoring_Config'!$A:$A,'Scoring_Config'!$C:$C,25),0),0)+IF(LEFT(AH363,4)="True",IF(_xlfn.XLOOKUP("Dst_CIDR_17_22",'Scoring_Config'!$A:$A,'Scoring_Config'!$D:$D,"Yes")="Yes",_xlfn.XLOOKUP("Dst_CIDR_17_22",'Scoring_Config'!$A:$A,'Scoring_Config'!$C:$C,15),0),0)+IF(LEFT(AI363,4)="True",IF(_xlfn.XLOOKUP("SrcZone_IsAny",'Scoring_Config'!$A:$A,'Scoring_Config'!$D:$D,"Yes")="Yes",_xlfn.XLOOKUP("SrcZone_IsAny",'Scoring_Config'!$A:$A,'Scoring_Config'!$C:$C,5),0),0)+IF(LEFT(AJ363,4)="True",IF(_xlfn.XLOOKUP("DstZone_IsAny",'Scoring_Config'!$A:$A,'Scoring_Config'!$D:$D,"Yes")="Yes",_xlfn.XLOOKUP("DstZone_IsAny",'Scoring_Config'!$A:$A,'Scoring_Config'!$C:$C,5),0),0)+IF(LEFT(AK363,4)="True",IF(_xlfn.XLOOKUP("Service_Any_OR_RangeGt1000",'Scoring_Config'!$A:$A,'Scoring_Config'!$D:$D,"Yes")="Yes",_xlfn.XLOOKUP("Service_Any_OR_RangeGt1000",'Scoring_Config'!$A:$A,'Scoring_Config'!$C:$C,25),0),0)+IF(LEFT(AL363,4)="True",IF(_xlfn.XLOOKUP("App_Any_OR_RangeGt1000",'Scoring_Config'!$A:$A,'Scoring_Config'!$D:$D,"Yes")="Yes",_xlfn.XLOOKUP("App_Any_OR_RangeGt1000",'Scoring_Config'!$A:$A,'Scoring_Config'!$C:$C,25),0),0)+IF(LEFT(AM363,4)="True",IF(_xlfn.XLOOKUP("Service_Insecure_Match",'Scoring_Config'!$A:$A,'Scoring_Config'!$D:$D,"Yes")="Yes",_xlfn.XLOOKUP("Service_Insecure_Match",'Scoring_Config'!$A:$A,'Scoring_Config'!$C:$C,20),0),0)+IF(LEFT(AN363,4)="True",IF(_xlfn.XLOOKUP("Risky_Inbound",'Scoring_Config'!$A:$A,'Scoring_Config'!$D:$D,"Yes")="Yes",_xlfn.XLOOKUP("Risky_Inbound",'Scoring_Config'!$A:$A,'Scoring_Config'!$C:$C,20),0),0)+IF(LEFT(AO363,4)="True",IF(_xlfn.XLOOKUP("Risky_Outbound",'Scoring_Config'!$A:$A,'Scoring_Config'!$D:$D,"Yes")="Yes",_xlfn.XLOOKUP("Risky_Outbound",'Scoring_Config'!$A:$A,'Scoring_Config'!$C:$C,10),0),0)+IF(LEFT(AW363,4)="True",IF(_xlfn.XLOOKUP("Migrate_Insecure",'Scoring_Config'!$A:$A,'Scoring_Config'!$D:$D,"Yes")="Yes",_xlfn.XLOOKUP("Migrate_Insecure",'Scoring_Config'!$A:$A,'Scoring_Config'!$C:$C,15),0),0)+IF(LEFT(AY363,4)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363,FIND(",",AP363)+1,100)),0)+IF(LEFT(AQ363,4)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363,FIND(",",AR363)+1,100)),0)+IF(_xlfn.XLOOKUP("Profile_Scoring",'Scoring_Config'!$A:$A,'Scoring_Config'!$D:$D,"Yes")="Yes",VALUE(MID(AS363,FIND(",",AS363)+1,100)),0)+IF(_xlfn.XLOOKUP("Options_Scoring",'Scoring_Config'!$A:$A,'Scoring_Config'!$D:$D,"Yes")="Yes",VALUE(MID(AT363,FIND(",",AT363)+1,100)),0)))</f>
        <v>0</v>
      </c>
    </row>
    <row r="364" spans="1:52">
      <c r="A364" s="3" t="s">
        <v>55</v>
      </c>
      <c r="B364" s="3" t="s">
        <v>201</v>
      </c>
      <c r="C364" s="3" t="s">
        <v>332</v>
      </c>
      <c r="D364" s="3"/>
      <c r="E364" s="3" t="s">
        <v>359</v>
      </c>
      <c r="F364" s="3" t="s">
        <v>360</v>
      </c>
      <c r="G364" s="3" t="s">
        <v>501</v>
      </c>
      <c r="H364" s="3" t="s">
        <v>501</v>
      </c>
      <c r="I364" s="3" t="s">
        <v>623</v>
      </c>
      <c r="J364" s="3" t="s">
        <v>364</v>
      </c>
      <c r="K364" s="3" t="s">
        <v>516</v>
      </c>
      <c r="L364" s="3" t="s">
        <v>609</v>
      </c>
      <c r="M364" s="3" t="s">
        <v>770</v>
      </c>
      <c r="N364" s="3" t="s">
        <v>770</v>
      </c>
      <c r="O364" s="4" t="s">
        <v>828</v>
      </c>
      <c r="P364" s="3" t="s">
        <v>889</v>
      </c>
      <c r="Q364" s="3" t="s">
        <v>905</v>
      </c>
      <c r="R364" s="3" t="s">
        <v>907</v>
      </c>
      <c r="S364" s="3" t="s">
        <v>912</v>
      </c>
      <c r="T364" s="3" t="s">
        <v>1081</v>
      </c>
      <c r="U364" s="3" t="s">
        <v>1147</v>
      </c>
      <c r="V364" s="3" t="s">
        <v>1386</v>
      </c>
      <c r="W364" s="3" t="s">
        <v>1569</v>
      </c>
      <c r="X364" s="3" t="s">
        <v>1968</v>
      </c>
      <c r="Y364" s="3" t="s">
        <v>2437</v>
      </c>
      <c r="Z364" s="3"/>
      <c r="AA364" s="3"/>
      <c r="AB364" s="3"/>
      <c r="AC364" s="4" cm="1">
        <f t="array" ref="AC364">IF(FALSE,"True," &amp; IF(_xlfn.XLOOKUP("Src_IsAny",'Scoring_Config'!$A:$A,'Scoring_Config'!$D:$D,"Yes")="Yes",_xlfn.XLOOKUP("Src_IsAny",'Scoring_Config'!$A:$A,'Scoring_Config'!$C:$C,25),0),"False,0")</f>
        <v>0</v>
      </c>
      <c r="AD364" s="5" cm="1">
        <f t="array" ref="AD364">IF(TRUE,"True," &amp; IF(_xlfn.XLOOKUP("Src_CIDR_Le_16",'Scoring_Config'!$A:$A,'Scoring_Config'!$D:$D,"Yes")="Yes",_xlfn.XLOOKUP("Src_CIDR_Le_16",'Scoring_Config'!$A:$A,'Scoring_Config'!$C:$C,25),0),"False,0")</f>
        <v>0</v>
      </c>
      <c r="AE364" s="4" cm="1">
        <f t="array" ref="AE364">IF(FALSE,"True," &amp; IF(_xlfn.XLOOKUP("Src_CIDR_17_22",'Scoring_Config'!$A:$A,'Scoring_Config'!$D:$D,"Yes")="Yes",_xlfn.XLOOKUP("Src_CIDR_17_22",'Scoring_Config'!$A:$A,'Scoring_Config'!$C:$C,15),0),"False,0")</f>
        <v>0</v>
      </c>
      <c r="AF364" s="4" cm="1">
        <f t="array" ref="AF364">IF(FALSE,"True," &amp; IF(_xlfn.XLOOKUP("Dst_IsAny",'Scoring_Config'!$A:$A,'Scoring_Config'!$D:$D,"Yes")="Yes",_xlfn.XLOOKUP("Dst_IsAny",'Scoring_Config'!$A:$A,'Scoring_Config'!$C:$C,25),0),"False,0")</f>
        <v>0</v>
      </c>
      <c r="AG364" s="5" cm="1">
        <f t="array" ref="AG364">IF(TRUE,"True," &amp; IF(_xlfn.XLOOKUP("Dst_CIDR_Le_16",'Scoring_Config'!$A:$A,'Scoring_Config'!$D:$D,"Yes")="Yes",_xlfn.XLOOKUP("Dst_CIDR_Le_16",'Scoring_Config'!$A:$A,'Scoring_Config'!$C:$C,25),0),"False,0")</f>
        <v>0</v>
      </c>
      <c r="AH364" s="4" cm="1">
        <f t="array" ref="AH364">IF(FALSE,"True," &amp; IF(_xlfn.XLOOKUP("Dst_CIDR_17_22",'Scoring_Config'!$A:$A,'Scoring_Config'!$D:$D,"Yes")="Yes",_xlfn.XLOOKUP("Dst_CIDR_17_22",'Scoring_Config'!$A:$A,'Scoring_Config'!$C:$C,15),0),"False,0")</f>
        <v>0</v>
      </c>
      <c r="AI364" s="4" cm="1">
        <f t="array" ref="AI364">IF(FALSE,"True," &amp; IF(_xlfn.XLOOKUP("SrcZone_IsAny",'Scoring_Config'!$A:$A,'Scoring_Config'!$D:$D,"Yes")="Yes",_xlfn.XLOOKUP("SrcZone_IsAny",'Scoring_Config'!$A:$A,'Scoring_Config'!$C:$C,5),0),"False,0")</f>
        <v>0</v>
      </c>
      <c r="AJ364" s="4" cm="1">
        <f t="array" ref="AJ364">IF(FALSE,"True," &amp; IF(_xlfn.XLOOKUP("DstZone_IsAny",'Scoring_Config'!$A:$A,'Scoring_Config'!$D:$D,"Yes")="Yes",_xlfn.XLOOKUP("DstZone_IsAny",'Scoring_Config'!$A:$A,'Scoring_Config'!$C:$C,5),0),"False,0")</f>
        <v>0</v>
      </c>
      <c r="AK364" s="4" cm="1">
        <f t="array" ref="AK36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4" s="4" cm="1">
        <f t="array" ref="AL364">IF(FALSE,"True," &amp; IF(_xlfn.XLOOKUP("App_Any_OR_RangeGt1000",'Scoring_Config'!$A:$A,'Scoring_Config'!$D:$D,"Yes")="Yes",_xlfn.XLOOKUP("App_Any_OR_RangeGt1000",'Scoring_Config'!$A:$A,'Scoring_Config'!$C:$C,25),0),"False,0")</f>
        <v>0</v>
      </c>
      <c r="AM364" s="5" cm="1">
        <f t="array" ref="AM364">IF(TRUE,"True," &amp; IF(_xlfn.XLOOKUP("Service_Insecure_Match",'Scoring_Config'!$A:$A,'Scoring_Config'!$D:$D,"Yes")="Yes",_xlfn.XLOOKUP("Service_Insecure_Match",'Scoring_Config'!$A:$A,'Scoring_Config'!$C:$C,20),0),"False,0")</f>
        <v>0</v>
      </c>
      <c r="AN364" s="4" cm="1">
        <f t="array" ref="AN364">IF(FALSE,"True," &amp; IF(_xlfn.XLOOKUP("Risky_Inbound",'Scoring_Config'!$A:$A,'Scoring_Config'!$D:$D,"Yes")="Yes",_xlfn.XLOOKUP("Risky_Inbound",'Scoring_Config'!$A:$A,'Scoring_Config'!$C:$C,20),0),"False,0")</f>
        <v>0</v>
      </c>
      <c r="AO364" s="4" cm="1">
        <f t="array" ref="AO364">IF(FALSE,"True," &amp; IF(_xlfn.XLOOKUP("Risky_Outbound",'Scoring_Config'!$A:$A,'Scoring_Config'!$D:$D,"Yes")="Yes",_xlfn.XLOOKUP("Risky_Outbound",'Scoring_Config'!$A:$A,'Scoring_Config'!$C:$C,10),0),"False,0")</f>
        <v>0</v>
      </c>
      <c r="AP364" s="5" t="s">
        <v>2595</v>
      </c>
      <c r="AQ364" s="5" cm="1">
        <f t="array" ref="AQ36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4" s="5" t="s">
        <v>2598</v>
      </c>
      <c r="AS364" s="5" t="s">
        <v>2595</v>
      </c>
      <c r="AT364" s="4" t="s">
        <v>2592</v>
      </c>
      <c r="AU364" s="4" cm="1">
        <f t="array" ref="AU364">IF(FALSE,"True," &amp; IF(_xlfn.XLOOKUP("Action_IsDenyOrDrop",'Scoring_Config'!$A:$A,'Scoring_Config'!$D:$D,"Yes")="Yes",_xlfn.XLOOKUP("Action_IsDenyOrDrop",'Scoring_Config'!$A:$A,'Scoring_Config'!$C:$C,0),0),"False,0")</f>
        <v>0</v>
      </c>
      <c r="AV364" s="4"/>
      <c r="AW364" s="4" cm="1">
        <f t="array" ref="AW364">IF(FALSE,"True," &amp; IF(_xlfn.XLOOKUP("Migrate_Insecure",'Scoring_Config'!$A:$A,'Scoring_Config'!$D:$D,"Yes")="Yes",_xlfn.XLOOKUP("Migrate_Insecure",'Scoring_Config'!$A:$A,'Scoring_Config'!$C:$C,15),0),"False,0")</f>
        <v>0</v>
      </c>
      <c r="AX364" s="4"/>
      <c r="AY364" s="4" cm="1">
        <f t="array" ref="AY364">IF(FALSE,"True," &amp; IF(_xlfn.XLOOKUP("Migrate_Other_Ports",'Scoring_Config'!$A:$A,'Scoring_Config'!$D:$D,"Yes")="Yes",_xlfn.XLOOKUP("Migrate_Other_Ports",'Scoring_Config'!$A:$A,'Scoring_Config'!$C:$C,5),0),"False,0")</f>
        <v>0</v>
      </c>
      <c r="AZ364" s="4" cm="1">
        <f t="array" ref="AZ364">IF(LEFT(AU364,4)="True",0,(IF(LEFT(AC364,4)="True",IF(_xlfn.XLOOKUP("Src_IsAny",'Scoring_Config'!$A:$A,'Scoring_Config'!$D:$D,"Yes")="Yes",_xlfn.XLOOKUP("Src_IsAny",'Scoring_Config'!$A:$A,'Scoring_Config'!$C:$C,25),0),0)+IF(LEFT(AD364,4)="True",IF(_xlfn.XLOOKUP("Src_CIDR_Le_16",'Scoring_Config'!$A:$A,'Scoring_Config'!$D:$D,"Yes")="Yes",_xlfn.XLOOKUP("Src_CIDR_Le_16",'Scoring_Config'!$A:$A,'Scoring_Config'!$C:$C,25),0),0)+IF(LEFT(AE364,4)="True",IF(_xlfn.XLOOKUP("Src_CIDR_17_22",'Scoring_Config'!$A:$A,'Scoring_Config'!$D:$D,"Yes")="Yes",_xlfn.XLOOKUP("Src_CIDR_17_22",'Scoring_Config'!$A:$A,'Scoring_Config'!$C:$C,15),0),0)+IF(LEFT(AF364,4)="True",IF(_xlfn.XLOOKUP("Dst_IsAny",'Scoring_Config'!$A:$A,'Scoring_Config'!$D:$D,"Yes")="Yes",_xlfn.XLOOKUP("Dst_IsAny",'Scoring_Config'!$A:$A,'Scoring_Config'!$C:$C,25),0),0)+IF(LEFT(AG364,4)="True",IF(_xlfn.XLOOKUP("Dst_CIDR_Le_16",'Scoring_Config'!$A:$A,'Scoring_Config'!$D:$D,"Yes")="Yes",_xlfn.XLOOKUP("Dst_CIDR_Le_16",'Scoring_Config'!$A:$A,'Scoring_Config'!$C:$C,25),0),0)+IF(LEFT(AH364,4)="True",IF(_xlfn.XLOOKUP("Dst_CIDR_17_22",'Scoring_Config'!$A:$A,'Scoring_Config'!$D:$D,"Yes")="Yes",_xlfn.XLOOKUP("Dst_CIDR_17_22",'Scoring_Config'!$A:$A,'Scoring_Config'!$C:$C,15),0),0)+IF(LEFT(AI364,4)="True",IF(_xlfn.XLOOKUP("SrcZone_IsAny",'Scoring_Config'!$A:$A,'Scoring_Config'!$D:$D,"Yes")="Yes",_xlfn.XLOOKUP("SrcZone_IsAny",'Scoring_Config'!$A:$A,'Scoring_Config'!$C:$C,5),0),0)+IF(LEFT(AJ364,4)="True",IF(_xlfn.XLOOKUP("DstZone_IsAny",'Scoring_Config'!$A:$A,'Scoring_Config'!$D:$D,"Yes")="Yes",_xlfn.XLOOKUP("DstZone_IsAny",'Scoring_Config'!$A:$A,'Scoring_Config'!$C:$C,5),0),0)+IF(LEFT(AK364,4)="True",IF(_xlfn.XLOOKUP("Service_Any_OR_RangeGt1000",'Scoring_Config'!$A:$A,'Scoring_Config'!$D:$D,"Yes")="Yes",_xlfn.XLOOKUP("Service_Any_OR_RangeGt1000",'Scoring_Config'!$A:$A,'Scoring_Config'!$C:$C,25),0),0)+IF(LEFT(AL364,4)="True",IF(_xlfn.XLOOKUP("App_Any_OR_RangeGt1000",'Scoring_Config'!$A:$A,'Scoring_Config'!$D:$D,"Yes")="Yes",_xlfn.XLOOKUP("App_Any_OR_RangeGt1000",'Scoring_Config'!$A:$A,'Scoring_Config'!$C:$C,25),0),0)+IF(LEFT(AM364,4)="True",IF(_xlfn.XLOOKUP("Service_Insecure_Match",'Scoring_Config'!$A:$A,'Scoring_Config'!$D:$D,"Yes")="Yes",_xlfn.XLOOKUP("Service_Insecure_Match",'Scoring_Config'!$A:$A,'Scoring_Config'!$C:$C,20),0),0)+IF(LEFT(AN364,4)="True",IF(_xlfn.XLOOKUP("Risky_Inbound",'Scoring_Config'!$A:$A,'Scoring_Config'!$D:$D,"Yes")="Yes",_xlfn.XLOOKUP("Risky_Inbound",'Scoring_Config'!$A:$A,'Scoring_Config'!$C:$C,20),0),0)+IF(LEFT(AO364,4)="True",IF(_xlfn.XLOOKUP("Risky_Outbound",'Scoring_Config'!$A:$A,'Scoring_Config'!$D:$D,"Yes")="Yes",_xlfn.XLOOKUP("Risky_Outbound",'Scoring_Config'!$A:$A,'Scoring_Config'!$C:$C,10),0),0)+IF(LEFT(AW364,4)="True",IF(_xlfn.XLOOKUP("Migrate_Insecure",'Scoring_Config'!$A:$A,'Scoring_Config'!$D:$D,"Yes")="Yes",_xlfn.XLOOKUP("Migrate_Insecure",'Scoring_Config'!$A:$A,'Scoring_Config'!$C:$C,15),0),0)+IF(LEFT(AY364,4)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364,FIND(",",AP364)+1,100)),0)+IF(LEFT(AQ364,4)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364,FIND(",",AR364)+1,100)),0)+IF(_xlfn.XLOOKUP("Profile_Scoring",'Scoring_Config'!$A:$A,'Scoring_Config'!$D:$D,"Yes")="Yes",VALUE(MID(AS364,FIND(",",AS364)+1,100)),0)+IF(_xlfn.XLOOKUP("Options_Scoring",'Scoring_Config'!$A:$A,'Scoring_Config'!$D:$D,"Yes")="Yes",VALUE(MID(AT364,FIND(",",AT364)+1,100)),0)))</f>
        <v>0</v>
      </c>
    </row>
    <row r="365" spans="1:52">
      <c r="A365" s="3" t="s">
        <v>55</v>
      </c>
      <c r="B365" s="3" t="s">
        <v>140</v>
      </c>
      <c r="C365" s="3" t="s">
        <v>332</v>
      </c>
      <c r="D365" s="3"/>
      <c r="E365" s="3" t="s">
        <v>359</v>
      </c>
      <c r="F365" s="3" t="s">
        <v>364</v>
      </c>
      <c r="G365" s="3" t="s">
        <v>502</v>
      </c>
      <c r="H365" s="3" t="s">
        <v>502</v>
      </c>
      <c r="I365" s="3" t="s">
        <v>622</v>
      </c>
      <c r="J365" s="3" t="s">
        <v>362</v>
      </c>
      <c r="K365" s="3" t="s">
        <v>533</v>
      </c>
      <c r="L365" s="3" t="s">
        <v>594</v>
      </c>
      <c r="M365" s="3" t="s">
        <v>775</v>
      </c>
      <c r="N365" s="3" t="s">
        <v>796</v>
      </c>
      <c r="O365" s="4" t="s">
        <v>816</v>
      </c>
      <c r="P365" s="3" t="s">
        <v>877</v>
      </c>
      <c r="Q365" s="3" t="s">
        <v>905</v>
      </c>
      <c r="R365" s="3" t="s">
        <v>910</v>
      </c>
      <c r="S365" s="3" t="s">
        <v>907</v>
      </c>
      <c r="T365" s="3" t="s">
        <v>919</v>
      </c>
      <c r="U365" s="3" t="s">
        <v>1330</v>
      </c>
      <c r="V365" s="3" t="s">
        <v>1387</v>
      </c>
      <c r="W365" s="3" t="s">
        <v>1570</v>
      </c>
      <c r="X365" s="3" t="s">
        <v>1969</v>
      </c>
      <c r="Y365" s="3" t="s">
        <v>2438</v>
      </c>
      <c r="Z365" s="3"/>
      <c r="AA365" s="3"/>
      <c r="AB365" s="3"/>
      <c r="AC365" s="4" cm="1">
        <f t="array" ref="AC365">IF(FALSE,"True," &amp; IF(_xlfn.XLOOKUP("Src_IsAny",'Scoring_Config'!$A:$A,'Scoring_Config'!$D:$D,"Yes")="Yes",_xlfn.XLOOKUP("Src_IsAny",'Scoring_Config'!$A:$A,'Scoring_Config'!$C:$C,25),0),"False,0")</f>
        <v>0</v>
      </c>
      <c r="AD365" s="4" cm="1">
        <f t="array" ref="AD365">IF(FALSE,"True," &amp; IF(_xlfn.XLOOKUP("Src_CIDR_Le_16",'Scoring_Config'!$A:$A,'Scoring_Config'!$D:$D,"Yes")="Yes",_xlfn.XLOOKUP("Src_CIDR_Le_16",'Scoring_Config'!$A:$A,'Scoring_Config'!$C:$C,25),0),"False,0")</f>
        <v>0</v>
      </c>
      <c r="AE365" s="4" cm="1">
        <f t="array" ref="AE365">IF(FALSE,"True," &amp; IF(_xlfn.XLOOKUP("Src_CIDR_17_22",'Scoring_Config'!$A:$A,'Scoring_Config'!$D:$D,"Yes")="Yes",_xlfn.XLOOKUP("Src_CIDR_17_22",'Scoring_Config'!$A:$A,'Scoring_Config'!$C:$C,15),0),"False,0")</f>
        <v>0</v>
      </c>
      <c r="AF365" s="4" cm="1">
        <f t="array" ref="AF365">IF(FALSE,"True," &amp; IF(_xlfn.XLOOKUP("Dst_IsAny",'Scoring_Config'!$A:$A,'Scoring_Config'!$D:$D,"Yes")="Yes",_xlfn.XLOOKUP("Dst_IsAny",'Scoring_Config'!$A:$A,'Scoring_Config'!$C:$C,25),0),"False,0")</f>
        <v>0</v>
      </c>
      <c r="AG365" s="5" cm="1">
        <f t="array" ref="AG365">IF(TRUE,"True," &amp; IF(_xlfn.XLOOKUP("Dst_CIDR_Le_16",'Scoring_Config'!$A:$A,'Scoring_Config'!$D:$D,"Yes")="Yes",_xlfn.XLOOKUP("Dst_CIDR_Le_16",'Scoring_Config'!$A:$A,'Scoring_Config'!$C:$C,25),0),"False,0")</f>
        <v>0</v>
      </c>
      <c r="AH365" s="4" cm="1">
        <f t="array" ref="AH365">IF(FALSE,"True," &amp; IF(_xlfn.XLOOKUP("Dst_CIDR_17_22",'Scoring_Config'!$A:$A,'Scoring_Config'!$D:$D,"Yes")="Yes",_xlfn.XLOOKUP("Dst_CIDR_17_22",'Scoring_Config'!$A:$A,'Scoring_Config'!$C:$C,15),0),"False,0")</f>
        <v>0</v>
      </c>
      <c r="AI365" s="4" cm="1">
        <f t="array" ref="AI365">IF(FALSE,"True," &amp; IF(_xlfn.XLOOKUP("SrcZone_IsAny",'Scoring_Config'!$A:$A,'Scoring_Config'!$D:$D,"Yes")="Yes",_xlfn.XLOOKUP("SrcZone_IsAny",'Scoring_Config'!$A:$A,'Scoring_Config'!$C:$C,5),0),"False,0")</f>
        <v>0</v>
      </c>
      <c r="AJ365" s="4" cm="1">
        <f t="array" ref="AJ365">IF(FALSE,"True," &amp; IF(_xlfn.XLOOKUP("DstZone_IsAny",'Scoring_Config'!$A:$A,'Scoring_Config'!$D:$D,"Yes")="Yes",_xlfn.XLOOKUP("DstZone_IsAny",'Scoring_Config'!$A:$A,'Scoring_Config'!$C:$C,5),0),"False,0")</f>
        <v>0</v>
      </c>
      <c r="AK365" s="4" cm="1">
        <f t="array" ref="AK36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5" s="4" cm="1">
        <f t="array" ref="AL365">IF(FALSE,"True," &amp; IF(_xlfn.XLOOKUP("App_Any_OR_RangeGt1000",'Scoring_Config'!$A:$A,'Scoring_Config'!$D:$D,"Yes")="Yes",_xlfn.XLOOKUP("App_Any_OR_RangeGt1000",'Scoring_Config'!$A:$A,'Scoring_Config'!$C:$C,25),0),"False,0")</f>
        <v>0</v>
      </c>
      <c r="AM365" s="5" cm="1">
        <f t="array" ref="AM365">IF(TRUE,"True," &amp; IF(_xlfn.XLOOKUP("Service_Insecure_Match",'Scoring_Config'!$A:$A,'Scoring_Config'!$D:$D,"Yes")="Yes",_xlfn.XLOOKUP("Service_Insecure_Match",'Scoring_Config'!$A:$A,'Scoring_Config'!$C:$C,20),0),"False,0")</f>
        <v>0</v>
      </c>
      <c r="AN365" s="4" cm="1">
        <f t="array" ref="AN365">IF(FALSE,"True," &amp; IF(_xlfn.XLOOKUP("Risky_Inbound",'Scoring_Config'!$A:$A,'Scoring_Config'!$D:$D,"Yes")="Yes",_xlfn.XLOOKUP("Risky_Inbound",'Scoring_Config'!$A:$A,'Scoring_Config'!$C:$C,20),0),"False,0")</f>
        <v>0</v>
      </c>
      <c r="AO365" s="4" cm="1">
        <f t="array" ref="AO365">IF(FALSE,"True," &amp; IF(_xlfn.XLOOKUP("Risky_Outbound",'Scoring_Config'!$A:$A,'Scoring_Config'!$D:$D,"Yes")="Yes",_xlfn.XLOOKUP("Risky_Outbound",'Scoring_Config'!$A:$A,'Scoring_Config'!$C:$C,10),0),"False,0")</f>
        <v>0</v>
      </c>
      <c r="AP365" s="5" t="s">
        <v>2595</v>
      </c>
      <c r="AQ365" s="4" cm="1">
        <f t="array" ref="AQ36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5" s="5" t="s">
        <v>2598</v>
      </c>
      <c r="AS365" s="4" t="s">
        <v>2592</v>
      </c>
      <c r="AT365" s="5" t="s">
        <v>2595</v>
      </c>
      <c r="AU365" s="4" cm="1">
        <f t="array" ref="AU365">IF(FALSE,"True," &amp; IF(_xlfn.XLOOKUP("Action_IsDenyOrDrop",'Scoring_Config'!$A:$A,'Scoring_Config'!$D:$D,"Yes")="Yes",_xlfn.XLOOKUP("Action_IsDenyOrDrop",'Scoring_Config'!$A:$A,'Scoring_Config'!$C:$C,0),0),"False,0")</f>
        <v>0</v>
      </c>
      <c r="AV365" s="4"/>
      <c r="AW365" s="4" cm="1">
        <f t="array" ref="AW365">IF(FALSE,"True," &amp; IF(_xlfn.XLOOKUP("Migrate_Insecure",'Scoring_Config'!$A:$A,'Scoring_Config'!$D:$D,"Yes")="Yes",_xlfn.XLOOKUP("Migrate_Insecure",'Scoring_Config'!$A:$A,'Scoring_Config'!$C:$C,15),0),"False,0")</f>
        <v>0</v>
      </c>
      <c r="AX365" s="4"/>
      <c r="AY365" s="4" cm="1">
        <f t="array" ref="AY365">IF(FALSE,"True," &amp; IF(_xlfn.XLOOKUP("Migrate_Other_Ports",'Scoring_Config'!$A:$A,'Scoring_Config'!$D:$D,"Yes")="Yes",_xlfn.XLOOKUP("Migrate_Other_Ports",'Scoring_Config'!$A:$A,'Scoring_Config'!$C:$C,5),0),"False,0")</f>
        <v>0</v>
      </c>
      <c r="AZ365" s="4" cm="1">
        <f t="array" ref="AZ365">IF(LEFT(AU365,4)="True",0,(IF(LEFT(AC365,4)="True",IF(_xlfn.XLOOKUP("Src_IsAny",'Scoring_Config'!$A:$A,'Scoring_Config'!$D:$D,"Yes")="Yes",_xlfn.XLOOKUP("Src_IsAny",'Scoring_Config'!$A:$A,'Scoring_Config'!$C:$C,25),0),0)+IF(LEFT(AD365,4)="True",IF(_xlfn.XLOOKUP("Src_CIDR_Le_16",'Scoring_Config'!$A:$A,'Scoring_Config'!$D:$D,"Yes")="Yes",_xlfn.XLOOKUP("Src_CIDR_Le_16",'Scoring_Config'!$A:$A,'Scoring_Config'!$C:$C,25),0),0)+IF(LEFT(AE365,4)="True",IF(_xlfn.XLOOKUP("Src_CIDR_17_22",'Scoring_Config'!$A:$A,'Scoring_Config'!$D:$D,"Yes")="Yes",_xlfn.XLOOKUP("Src_CIDR_17_22",'Scoring_Config'!$A:$A,'Scoring_Config'!$C:$C,15),0),0)+IF(LEFT(AF365,4)="True",IF(_xlfn.XLOOKUP("Dst_IsAny",'Scoring_Config'!$A:$A,'Scoring_Config'!$D:$D,"Yes")="Yes",_xlfn.XLOOKUP("Dst_IsAny",'Scoring_Config'!$A:$A,'Scoring_Config'!$C:$C,25),0),0)+IF(LEFT(AG365,4)="True",IF(_xlfn.XLOOKUP("Dst_CIDR_Le_16",'Scoring_Config'!$A:$A,'Scoring_Config'!$D:$D,"Yes")="Yes",_xlfn.XLOOKUP("Dst_CIDR_Le_16",'Scoring_Config'!$A:$A,'Scoring_Config'!$C:$C,25),0),0)+IF(LEFT(AH365,4)="True",IF(_xlfn.XLOOKUP("Dst_CIDR_17_22",'Scoring_Config'!$A:$A,'Scoring_Config'!$D:$D,"Yes")="Yes",_xlfn.XLOOKUP("Dst_CIDR_17_22",'Scoring_Config'!$A:$A,'Scoring_Config'!$C:$C,15),0),0)+IF(LEFT(AI365,4)="True",IF(_xlfn.XLOOKUP("SrcZone_IsAny",'Scoring_Config'!$A:$A,'Scoring_Config'!$D:$D,"Yes")="Yes",_xlfn.XLOOKUP("SrcZone_IsAny",'Scoring_Config'!$A:$A,'Scoring_Config'!$C:$C,5),0),0)+IF(LEFT(AJ365,4)="True",IF(_xlfn.XLOOKUP("DstZone_IsAny",'Scoring_Config'!$A:$A,'Scoring_Config'!$D:$D,"Yes")="Yes",_xlfn.XLOOKUP("DstZone_IsAny",'Scoring_Config'!$A:$A,'Scoring_Config'!$C:$C,5),0),0)+IF(LEFT(AK365,4)="True",IF(_xlfn.XLOOKUP("Service_Any_OR_RangeGt1000",'Scoring_Config'!$A:$A,'Scoring_Config'!$D:$D,"Yes")="Yes",_xlfn.XLOOKUP("Service_Any_OR_RangeGt1000",'Scoring_Config'!$A:$A,'Scoring_Config'!$C:$C,25),0),0)+IF(LEFT(AL365,4)="True",IF(_xlfn.XLOOKUP("App_Any_OR_RangeGt1000",'Scoring_Config'!$A:$A,'Scoring_Config'!$D:$D,"Yes")="Yes",_xlfn.XLOOKUP("App_Any_OR_RangeGt1000",'Scoring_Config'!$A:$A,'Scoring_Config'!$C:$C,25),0),0)+IF(LEFT(AM365,4)="True",IF(_xlfn.XLOOKUP("Service_Insecure_Match",'Scoring_Config'!$A:$A,'Scoring_Config'!$D:$D,"Yes")="Yes",_xlfn.XLOOKUP("Service_Insecure_Match",'Scoring_Config'!$A:$A,'Scoring_Config'!$C:$C,20),0),0)+IF(LEFT(AN365,4)="True",IF(_xlfn.XLOOKUP("Risky_Inbound",'Scoring_Config'!$A:$A,'Scoring_Config'!$D:$D,"Yes")="Yes",_xlfn.XLOOKUP("Risky_Inbound",'Scoring_Config'!$A:$A,'Scoring_Config'!$C:$C,20),0),0)+IF(LEFT(AO365,4)="True",IF(_xlfn.XLOOKUP("Risky_Outbound",'Scoring_Config'!$A:$A,'Scoring_Config'!$D:$D,"Yes")="Yes",_xlfn.XLOOKUP("Risky_Outbound",'Scoring_Config'!$A:$A,'Scoring_Config'!$C:$C,10),0),0)+IF(LEFT(AW365,4)="True",IF(_xlfn.XLOOKUP("Migrate_Insecure",'Scoring_Config'!$A:$A,'Scoring_Config'!$D:$D,"Yes")="Yes",_xlfn.XLOOKUP("Migrate_Insecure",'Scoring_Config'!$A:$A,'Scoring_Config'!$C:$C,15),0),0)+IF(LEFT(AY365,4)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365,FIND(",",AP365)+1,100)),0)+IF(LEFT(AQ365,4)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365,FIND(",",AR365)+1,100)),0)+IF(_xlfn.XLOOKUP("Profile_Scoring",'Scoring_Config'!$A:$A,'Scoring_Config'!$D:$D,"Yes")="Yes",VALUE(MID(AS365,FIND(",",AS365)+1,100)),0)+IF(_xlfn.XLOOKUP("Options_Scoring",'Scoring_Config'!$A:$A,'Scoring_Config'!$D:$D,"Yes")="Yes",VALUE(MID(AT365,FIND(",",AT365)+1,100)),0)))</f>
        <v>0</v>
      </c>
    </row>
    <row r="366" spans="1:52">
      <c r="A366" s="3" t="s">
        <v>55</v>
      </c>
      <c r="B366" s="3" t="s">
        <v>285</v>
      </c>
      <c r="C366" s="3" t="s">
        <v>332</v>
      </c>
      <c r="D366" s="3"/>
      <c r="E366" s="3" t="s">
        <v>359</v>
      </c>
      <c r="F366" s="3" t="s">
        <v>363</v>
      </c>
      <c r="G366" s="3" t="s">
        <v>503</v>
      </c>
      <c r="H366" s="3" t="s">
        <v>503</v>
      </c>
      <c r="I366" s="3" t="s">
        <v>624</v>
      </c>
      <c r="J366" s="3" t="s">
        <v>364</v>
      </c>
      <c r="K366" s="3" t="s">
        <v>507</v>
      </c>
      <c r="L366" s="3" t="s">
        <v>507</v>
      </c>
      <c r="M366" s="3" t="s">
        <v>790</v>
      </c>
      <c r="N366" s="3" t="s">
        <v>791</v>
      </c>
      <c r="O366" s="4" t="s">
        <v>814</v>
      </c>
      <c r="P366" s="3" t="s">
        <v>875</v>
      </c>
      <c r="Q366" s="3" t="s">
        <v>905</v>
      </c>
      <c r="R366" s="3" t="s">
        <v>908</v>
      </c>
      <c r="S366" s="3" t="s">
        <v>913</v>
      </c>
      <c r="T366" s="3" t="s">
        <v>919</v>
      </c>
      <c r="U366" s="3" t="s">
        <v>1145</v>
      </c>
      <c r="V366" s="3" t="s">
        <v>1386</v>
      </c>
      <c r="W366" s="3" t="s">
        <v>1571</v>
      </c>
      <c r="X366" s="3" t="s">
        <v>1970</v>
      </c>
      <c r="Y366" s="3" t="s">
        <v>2439</v>
      </c>
      <c r="Z366" s="3"/>
      <c r="AA366" s="3"/>
      <c r="AB366" s="3"/>
      <c r="AC366" s="4" cm="1">
        <f t="array" ref="AC366">IF(FALSE,"True," &amp; IF(_xlfn.XLOOKUP("Src_IsAny",'Scoring_Config'!$A:$A,'Scoring_Config'!$D:$D,"Yes")="Yes",_xlfn.XLOOKUP("Src_IsAny",'Scoring_Config'!$A:$A,'Scoring_Config'!$C:$C,25),0),"False,0")</f>
        <v>0</v>
      </c>
      <c r="AD366" s="4" cm="1">
        <f t="array" ref="AD366">IF(FALSE,"True," &amp; IF(_xlfn.XLOOKUP("Src_CIDR_Le_16",'Scoring_Config'!$A:$A,'Scoring_Config'!$D:$D,"Yes")="Yes",_xlfn.XLOOKUP("Src_CIDR_Le_16",'Scoring_Config'!$A:$A,'Scoring_Config'!$C:$C,25),0),"False,0")</f>
        <v>0</v>
      </c>
      <c r="AE366" s="4" cm="1">
        <f t="array" ref="AE366">IF(FALSE,"True," &amp; IF(_xlfn.XLOOKUP("Src_CIDR_17_22",'Scoring_Config'!$A:$A,'Scoring_Config'!$D:$D,"Yes")="Yes",_xlfn.XLOOKUP("Src_CIDR_17_22",'Scoring_Config'!$A:$A,'Scoring_Config'!$C:$C,15),0),"False,0")</f>
        <v>0</v>
      </c>
      <c r="AF366" s="4" cm="1">
        <f t="array" ref="AF366">IF(FALSE,"True," &amp; IF(_xlfn.XLOOKUP("Dst_IsAny",'Scoring_Config'!$A:$A,'Scoring_Config'!$D:$D,"Yes")="Yes",_xlfn.XLOOKUP("Dst_IsAny",'Scoring_Config'!$A:$A,'Scoring_Config'!$C:$C,25),0),"False,0")</f>
        <v>0</v>
      </c>
      <c r="AG366" s="4" cm="1">
        <f t="array" ref="AG366">IF(FALSE,"True," &amp; IF(_xlfn.XLOOKUP("Dst_CIDR_Le_16",'Scoring_Config'!$A:$A,'Scoring_Config'!$D:$D,"Yes")="Yes",_xlfn.XLOOKUP("Dst_CIDR_Le_16",'Scoring_Config'!$A:$A,'Scoring_Config'!$C:$C,25),0),"False,0")</f>
        <v>0</v>
      </c>
      <c r="AH366" s="4" cm="1">
        <f t="array" ref="AH366">IF(FALSE,"True," &amp; IF(_xlfn.XLOOKUP("Dst_CIDR_17_22",'Scoring_Config'!$A:$A,'Scoring_Config'!$D:$D,"Yes")="Yes",_xlfn.XLOOKUP("Dst_CIDR_17_22",'Scoring_Config'!$A:$A,'Scoring_Config'!$C:$C,15),0),"False,0")</f>
        <v>0</v>
      </c>
      <c r="AI366" s="4" cm="1">
        <f t="array" ref="AI366">IF(FALSE,"True," &amp; IF(_xlfn.XLOOKUP("SrcZone_IsAny",'Scoring_Config'!$A:$A,'Scoring_Config'!$D:$D,"Yes")="Yes",_xlfn.XLOOKUP("SrcZone_IsAny",'Scoring_Config'!$A:$A,'Scoring_Config'!$C:$C,5),0),"False,0")</f>
        <v>0</v>
      </c>
      <c r="AJ366" s="4" cm="1">
        <f t="array" ref="AJ366">IF(FALSE,"True," &amp; IF(_xlfn.XLOOKUP("DstZone_IsAny",'Scoring_Config'!$A:$A,'Scoring_Config'!$D:$D,"Yes")="Yes",_xlfn.XLOOKUP("DstZone_IsAny",'Scoring_Config'!$A:$A,'Scoring_Config'!$C:$C,5),0),"False,0")</f>
        <v>0</v>
      </c>
      <c r="AK366" s="4" cm="1">
        <f t="array" ref="AK36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6" s="5" cm="1">
        <f t="array" ref="AL366">IF(TRUE,"True," &amp; IF(_xlfn.XLOOKUP("App_Any_OR_RangeGt1000",'Scoring_Config'!$A:$A,'Scoring_Config'!$D:$D,"Yes")="Yes",_xlfn.XLOOKUP("App_Any_OR_RangeGt1000",'Scoring_Config'!$A:$A,'Scoring_Config'!$C:$C,25),0),"False,0")</f>
        <v>0</v>
      </c>
      <c r="AM366" s="5" cm="1">
        <f t="array" ref="AM366">IF(TRUE,"True," &amp; IF(_xlfn.XLOOKUP("Service_Insecure_Match",'Scoring_Config'!$A:$A,'Scoring_Config'!$D:$D,"Yes")="Yes",_xlfn.XLOOKUP("Service_Insecure_Match",'Scoring_Config'!$A:$A,'Scoring_Config'!$C:$C,20),0),"False,0")</f>
        <v>0</v>
      </c>
      <c r="AN366" s="4" cm="1">
        <f t="array" ref="AN366">IF(FALSE,"True," &amp; IF(_xlfn.XLOOKUP("Risky_Inbound",'Scoring_Config'!$A:$A,'Scoring_Config'!$D:$D,"Yes")="Yes",_xlfn.XLOOKUP("Risky_Inbound",'Scoring_Config'!$A:$A,'Scoring_Config'!$C:$C,20),0),"False,0")</f>
        <v>0</v>
      </c>
      <c r="AO366" s="4" cm="1">
        <f t="array" ref="AO366">IF(FALSE,"True," &amp; IF(_xlfn.XLOOKUP("Risky_Outbound",'Scoring_Config'!$A:$A,'Scoring_Config'!$D:$D,"Yes")="Yes",_xlfn.XLOOKUP("Risky_Outbound",'Scoring_Config'!$A:$A,'Scoring_Config'!$C:$C,10),0),"False,0")</f>
        <v>0</v>
      </c>
      <c r="AP366" s="5" t="s">
        <v>2595</v>
      </c>
      <c r="AQ366" s="5" cm="1">
        <f t="array" ref="AQ36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6" s="5" t="s">
        <v>2598</v>
      </c>
      <c r="AS366" s="4" t="s">
        <v>2592</v>
      </c>
      <c r="AT366" s="4" t="s">
        <v>2592</v>
      </c>
      <c r="AU366" s="4" cm="1">
        <f t="array" ref="AU366">IF(FALSE,"True," &amp; IF(_xlfn.XLOOKUP("Action_IsDenyOrDrop",'Scoring_Config'!$A:$A,'Scoring_Config'!$D:$D,"Yes")="Yes",_xlfn.XLOOKUP("Action_IsDenyOrDrop",'Scoring_Config'!$A:$A,'Scoring_Config'!$C:$C,0),0),"False,0")</f>
        <v>0</v>
      </c>
      <c r="AV366" s="4"/>
      <c r="AW366" s="4" cm="1">
        <f t="array" ref="AW366">IF(FALSE,"True," &amp; IF(_xlfn.XLOOKUP("Migrate_Insecure",'Scoring_Config'!$A:$A,'Scoring_Config'!$D:$D,"Yes")="Yes",_xlfn.XLOOKUP("Migrate_Insecure",'Scoring_Config'!$A:$A,'Scoring_Config'!$C:$C,15),0),"False,0")</f>
        <v>0</v>
      </c>
      <c r="AX366" s="4"/>
      <c r="AY366" s="4" cm="1">
        <f t="array" ref="AY366">IF(FALSE,"True," &amp; IF(_xlfn.XLOOKUP("Migrate_Other_Ports",'Scoring_Config'!$A:$A,'Scoring_Config'!$D:$D,"Yes")="Yes",_xlfn.XLOOKUP("Migrate_Other_Ports",'Scoring_Config'!$A:$A,'Scoring_Config'!$C:$C,5),0),"False,0")</f>
        <v>0</v>
      </c>
      <c r="AZ366" s="4" cm="1">
        <f t="array" ref="AZ366">IF(LEFT(AU366,4)="True",0,(IF(LEFT(AC366,4)="True",IF(_xlfn.XLOOKUP("Src_IsAny",'Scoring_Config'!$A:$A,'Scoring_Config'!$D:$D,"Yes")="Yes",_xlfn.XLOOKUP("Src_IsAny",'Scoring_Config'!$A:$A,'Scoring_Config'!$C:$C,25),0),0)+IF(LEFT(AD366,4)="True",IF(_xlfn.XLOOKUP("Src_CIDR_Le_16",'Scoring_Config'!$A:$A,'Scoring_Config'!$D:$D,"Yes")="Yes",_xlfn.XLOOKUP("Src_CIDR_Le_16",'Scoring_Config'!$A:$A,'Scoring_Config'!$C:$C,25),0),0)+IF(LEFT(AE366,4)="True",IF(_xlfn.XLOOKUP("Src_CIDR_17_22",'Scoring_Config'!$A:$A,'Scoring_Config'!$D:$D,"Yes")="Yes",_xlfn.XLOOKUP("Src_CIDR_17_22",'Scoring_Config'!$A:$A,'Scoring_Config'!$C:$C,15),0),0)+IF(LEFT(AF366,4)="True",IF(_xlfn.XLOOKUP("Dst_IsAny",'Scoring_Config'!$A:$A,'Scoring_Config'!$D:$D,"Yes")="Yes",_xlfn.XLOOKUP("Dst_IsAny",'Scoring_Config'!$A:$A,'Scoring_Config'!$C:$C,25),0),0)+IF(LEFT(AG366,4)="True",IF(_xlfn.XLOOKUP("Dst_CIDR_Le_16",'Scoring_Config'!$A:$A,'Scoring_Config'!$D:$D,"Yes")="Yes",_xlfn.XLOOKUP("Dst_CIDR_Le_16",'Scoring_Config'!$A:$A,'Scoring_Config'!$C:$C,25),0),0)+IF(LEFT(AH366,4)="True",IF(_xlfn.XLOOKUP("Dst_CIDR_17_22",'Scoring_Config'!$A:$A,'Scoring_Config'!$D:$D,"Yes")="Yes",_xlfn.XLOOKUP("Dst_CIDR_17_22",'Scoring_Config'!$A:$A,'Scoring_Config'!$C:$C,15),0),0)+IF(LEFT(AI366,4)="True",IF(_xlfn.XLOOKUP("SrcZone_IsAny",'Scoring_Config'!$A:$A,'Scoring_Config'!$D:$D,"Yes")="Yes",_xlfn.XLOOKUP("SrcZone_IsAny",'Scoring_Config'!$A:$A,'Scoring_Config'!$C:$C,5),0),0)+IF(LEFT(AJ366,4)="True",IF(_xlfn.XLOOKUP("DstZone_IsAny",'Scoring_Config'!$A:$A,'Scoring_Config'!$D:$D,"Yes")="Yes",_xlfn.XLOOKUP("DstZone_IsAny",'Scoring_Config'!$A:$A,'Scoring_Config'!$C:$C,5),0),0)+IF(LEFT(AK366,4)="True",IF(_xlfn.XLOOKUP("Service_Any_OR_RangeGt1000",'Scoring_Config'!$A:$A,'Scoring_Config'!$D:$D,"Yes")="Yes",_xlfn.XLOOKUP("Service_Any_OR_RangeGt1000",'Scoring_Config'!$A:$A,'Scoring_Config'!$C:$C,25),0),0)+IF(LEFT(AL366,4)="True",IF(_xlfn.XLOOKUP("App_Any_OR_RangeGt1000",'Scoring_Config'!$A:$A,'Scoring_Config'!$D:$D,"Yes")="Yes",_xlfn.XLOOKUP("App_Any_OR_RangeGt1000",'Scoring_Config'!$A:$A,'Scoring_Config'!$C:$C,25),0),0)+IF(LEFT(AM366,4)="True",IF(_xlfn.XLOOKUP("Service_Insecure_Match",'Scoring_Config'!$A:$A,'Scoring_Config'!$D:$D,"Yes")="Yes",_xlfn.XLOOKUP("Service_Insecure_Match",'Scoring_Config'!$A:$A,'Scoring_Config'!$C:$C,20),0),0)+IF(LEFT(AN366,4)="True",IF(_xlfn.XLOOKUP("Risky_Inbound",'Scoring_Config'!$A:$A,'Scoring_Config'!$D:$D,"Yes")="Yes",_xlfn.XLOOKUP("Risky_Inbound",'Scoring_Config'!$A:$A,'Scoring_Config'!$C:$C,20),0),0)+IF(LEFT(AO366,4)="True",IF(_xlfn.XLOOKUP("Risky_Outbound",'Scoring_Config'!$A:$A,'Scoring_Config'!$D:$D,"Yes")="Yes",_xlfn.XLOOKUP("Risky_Outbound",'Scoring_Config'!$A:$A,'Scoring_Config'!$C:$C,10),0),0)+IF(LEFT(AW366,4)="True",IF(_xlfn.XLOOKUP("Migrate_Insecure",'Scoring_Config'!$A:$A,'Scoring_Config'!$D:$D,"Yes")="Yes",_xlfn.XLOOKUP("Migrate_Insecure",'Scoring_Config'!$A:$A,'Scoring_Config'!$C:$C,15),0),0)+IF(LEFT(AY366,4)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366,FIND(",",AP366)+1,100)),0)+IF(LEFT(AQ366,4)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366,FIND(",",AR366)+1,100)),0)+IF(_xlfn.XLOOKUP("Profile_Scoring",'Scoring_Config'!$A:$A,'Scoring_Config'!$D:$D,"Yes")="Yes",VALUE(MID(AS366,FIND(",",AS366)+1,100)),0)+IF(_xlfn.XLOOKUP("Options_Scoring",'Scoring_Config'!$A:$A,'Scoring_Config'!$D:$D,"Yes")="Yes",VALUE(MID(AT366,FIND(",",AT366)+1,100)),0)))</f>
        <v>0</v>
      </c>
    </row>
    <row r="367" spans="1:52">
      <c r="A367" s="3" t="s">
        <v>55</v>
      </c>
      <c r="B367" s="3" t="s">
        <v>286</v>
      </c>
      <c r="C367" s="3" t="s">
        <v>332</v>
      </c>
      <c r="D367" s="3"/>
      <c r="E367" s="3" t="s">
        <v>359</v>
      </c>
      <c r="F367" s="3" t="s">
        <v>362</v>
      </c>
      <c r="G367" s="3" t="s">
        <v>504</v>
      </c>
      <c r="H367" s="3" t="s">
        <v>604</v>
      </c>
      <c r="I367" s="3" t="s">
        <v>623</v>
      </c>
      <c r="J367" s="3" t="s">
        <v>364</v>
      </c>
      <c r="K367" s="3" t="s">
        <v>719</v>
      </c>
      <c r="L367" s="3" t="s">
        <v>763</v>
      </c>
      <c r="M367" s="3" t="s">
        <v>790</v>
      </c>
      <c r="N367" s="3" t="s">
        <v>791</v>
      </c>
      <c r="O367" s="4" t="s">
        <v>818</v>
      </c>
      <c r="P367" s="3" t="s">
        <v>879</v>
      </c>
      <c r="Q367" s="3" t="s">
        <v>905</v>
      </c>
      <c r="R367" s="3" t="s">
        <v>910</v>
      </c>
      <c r="S367" s="3" t="s">
        <v>912</v>
      </c>
      <c r="T367" s="3" t="s">
        <v>1082</v>
      </c>
      <c r="U367" s="3" t="s">
        <v>1331</v>
      </c>
      <c r="V367" s="3" t="s">
        <v>772</v>
      </c>
      <c r="W367" s="3" t="s">
        <v>1143</v>
      </c>
      <c r="X367" s="3" t="s">
        <v>1971</v>
      </c>
      <c r="Y367" s="3" t="s">
        <v>2440</v>
      </c>
      <c r="Z367" s="3"/>
      <c r="AA367" s="3"/>
      <c r="AB367" s="3"/>
      <c r="AC367" s="4" cm="1">
        <f t="array" ref="AC367">IF(FALSE,"True," &amp; IF(_xlfn.XLOOKUP("Src_IsAny",'Scoring_Config'!$A:$A,'Scoring_Config'!$D:$D,"Yes")="Yes",_xlfn.XLOOKUP("Src_IsAny",'Scoring_Config'!$A:$A,'Scoring_Config'!$C:$C,25),0),"False,0")</f>
        <v>0</v>
      </c>
      <c r="AD367" s="4" cm="1">
        <f t="array" ref="AD367">IF(FALSE,"True," &amp; IF(_xlfn.XLOOKUP("Src_CIDR_Le_16",'Scoring_Config'!$A:$A,'Scoring_Config'!$D:$D,"Yes")="Yes",_xlfn.XLOOKUP("Src_CIDR_Le_16",'Scoring_Config'!$A:$A,'Scoring_Config'!$C:$C,25),0),"False,0")</f>
        <v>0</v>
      </c>
      <c r="AE367" s="4" cm="1">
        <f t="array" ref="AE367">IF(FALSE,"True," &amp; IF(_xlfn.XLOOKUP("Src_CIDR_17_22",'Scoring_Config'!$A:$A,'Scoring_Config'!$D:$D,"Yes")="Yes",_xlfn.XLOOKUP("Src_CIDR_17_22",'Scoring_Config'!$A:$A,'Scoring_Config'!$C:$C,15),0),"False,0")</f>
        <v>0</v>
      </c>
      <c r="AF367" s="4" cm="1">
        <f t="array" ref="AF367">IF(FALSE,"True," &amp; IF(_xlfn.XLOOKUP("Dst_IsAny",'Scoring_Config'!$A:$A,'Scoring_Config'!$D:$D,"Yes")="Yes",_xlfn.XLOOKUP("Dst_IsAny",'Scoring_Config'!$A:$A,'Scoring_Config'!$C:$C,25),0),"False,0")</f>
        <v>0</v>
      </c>
      <c r="AG367" s="5" cm="1">
        <f t="array" ref="AG367">IF(TRUE,"True," &amp; IF(_xlfn.XLOOKUP("Dst_CIDR_Le_16",'Scoring_Config'!$A:$A,'Scoring_Config'!$D:$D,"Yes")="Yes",_xlfn.XLOOKUP("Dst_CIDR_Le_16",'Scoring_Config'!$A:$A,'Scoring_Config'!$C:$C,25),0),"False,0")</f>
        <v>0</v>
      </c>
      <c r="AH367" s="4" cm="1">
        <f t="array" ref="AH367">IF(FALSE,"True," &amp; IF(_xlfn.XLOOKUP("Dst_CIDR_17_22",'Scoring_Config'!$A:$A,'Scoring_Config'!$D:$D,"Yes")="Yes",_xlfn.XLOOKUP("Dst_CIDR_17_22",'Scoring_Config'!$A:$A,'Scoring_Config'!$C:$C,15),0),"False,0")</f>
        <v>0</v>
      </c>
      <c r="AI367" s="4" cm="1">
        <f t="array" ref="AI367">IF(FALSE,"True," &amp; IF(_xlfn.XLOOKUP("SrcZone_IsAny",'Scoring_Config'!$A:$A,'Scoring_Config'!$D:$D,"Yes")="Yes",_xlfn.XLOOKUP("SrcZone_IsAny",'Scoring_Config'!$A:$A,'Scoring_Config'!$C:$C,5),0),"False,0")</f>
        <v>0</v>
      </c>
      <c r="AJ367" s="4" cm="1">
        <f t="array" ref="AJ367">IF(FALSE,"True," &amp; IF(_xlfn.XLOOKUP("DstZone_IsAny",'Scoring_Config'!$A:$A,'Scoring_Config'!$D:$D,"Yes")="Yes",_xlfn.XLOOKUP("DstZone_IsAny",'Scoring_Config'!$A:$A,'Scoring_Config'!$C:$C,5),0),"False,0")</f>
        <v>0</v>
      </c>
      <c r="AK367" s="5" cm="1">
        <f t="array" ref="AK367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67" s="5" cm="1">
        <f t="array" ref="AL367">IF(TRUE,"True," &amp; IF(_xlfn.XLOOKUP("App_Any_OR_RangeGt1000",'Scoring_Config'!$A:$A,'Scoring_Config'!$D:$D,"Yes")="Yes",_xlfn.XLOOKUP("App_Any_OR_RangeGt1000",'Scoring_Config'!$A:$A,'Scoring_Config'!$C:$C,25),0),"False,0")</f>
        <v>0</v>
      </c>
      <c r="AM367" s="5" cm="1">
        <f t="array" ref="AM367">IF(TRUE,"True," &amp; IF(_xlfn.XLOOKUP("Service_Insecure_Match",'Scoring_Config'!$A:$A,'Scoring_Config'!$D:$D,"Yes")="Yes",_xlfn.XLOOKUP("Service_Insecure_Match",'Scoring_Config'!$A:$A,'Scoring_Config'!$C:$C,20),0),"False,0")</f>
        <v>0</v>
      </c>
      <c r="AN367" s="4" cm="1">
        <f t="array" ref="AN367">IF(FALSE,"True," &amp; IF(_xlfn.XLOOKUP("Risky_Inbound",'Scoring_Config'!$A:$A,'Scoring_Config'!$D:$D,"Yes")="Yes",_xlfn.XLOOKUP("Risky_Inbound",'Scoring_Config'!$A:$A,'Scoring_Config'!$C:$C,20),0),"False,0")</f>
        <v>0</v>
      </c>
      <c r="AO367" s="4" cm="1">
        <f t="array" ref="AO367">IF(FALSE,"True," &amp; IF(_xlfn.XLOOKUP("Risky_Outbound",'Scoring_Config'!$A:$A,'Scoring_Config'!$D:$D,"Yes")="Yes",_xlfn.XLOOKUP("Risky_Outbound",'Scoring_Config'!$A:$A,'Scoring_Config'!$C:$C,10),0),"False,0")</f>
        <v>0</v>
      </c>
      <c r="AP367" s="5" t="s">
        <v>2595</v>
      </c>
      <c r="AQ367" s="4" cm="1">
        <f t="array" ref="AQ36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7" s="5" t="s">
        <v>2598</v>
      </c>
      <c r="AS367" s="4" t="s">
        <v>2592</v>
      </c>
      <c r="AT367" s="4" t="s">
        <v>2592</v>
      </c>
      <c r="AU367" s="4" cm="1">
        <f t="array" ref="AU367">IF(FALSE,"True," &amp; IF(_xlfn.XLOOKUP("Action_IsDenyOrDrop",'Scoring_Config'!$A:$A,'Scoring_Config'!$D:$D,"Yes")="Yes",_xlfn.XLOOKUP("Action_IsDenyOrDrop",'Scoring_Config'!$A:$A,'Scoring_Config'!$C:$C,0),0),"False,0")</f>
        <v>0</v>
      </c>
      <c r="AV367" s="4"/>
      <c r="AW367" s="4" cm="1">
        <f t="array" ref="AW367">IF(FALSE,"True," &amp; IF(_xlfn.XLOOKUP("Migrate_Insecure",'Scoring_Config'!$A:$A,'Scoring_Config'!$D:$D,"Yes")="Yes",_xlfn.XLOOKUP("Migrate_Insecure",'Scoring_Config'!$A:$A,'Scoring_Config'!$C:$C,15),0),"False,0")</f>
        <v>0</v>
      </c>
      <c r="AX367" s="4"/>
      <c r="AY367" s="4" cm="1">
        <f t="array" ref="AY367">IF(FALSE,"True," &amp; IF(_xlfn.XLOOKUP("Migrate_Other_Ports",'Scoring_Config'!$A:$A,'Scoring_Config'!$D:$D,"Yes")="Yes",_xlfn.XLOOKUP("Migrate_Other_Ports",'Scoring_Config'!$A:$A,'Scoring_Config'!$C:$C,5),0),"False,0")</f>
        <v>0</v>
      </c>
      <c r="AZ367" s="4" cm="1">
        <f t="array" ref="AZ367">IF(LEFT(AU367,4)="True",0,(IF(LEFT(AC367,4)="True",IF(_xlfn.XLOOKUP("Src_IsAny",'Scoring_Config'!$A:$A,'Scoring_Config'!$D:$D,"Yes")="Yes",_xlfn.XLOOKUP("Src_IsAny",'Scoring_Config'!$A:$A,'Scoring_Config'!$C:$C,25),0),0)+IF(LEFT(AD367,4)="True",IF(_xlfn.XLOOKUP("Src_CIDR_Le_16",'Scoring_Config'!$A:$A,'Scoring_Config'!$D:$D,"Yes")="Yes",_xlfn.XLOOKUP("Src_CIDR_Le_16",'Scoring_Config'!$A:$A,'Scoring_Config'!$C:$C,25),0),0)+IF(LEFT(AE367,4)="True",IF(_xlfn.XLOOKUP("Src_CIDR_17_22",'Scoring_Config'!$A:$A,'Scoring_Config'!$D:$D,"Yes")="Yes",_xlfn.XLOOKUP("Src_CIDR_17_22",'Scoring_Config'!$A:$A,'Scoring_Config'!$C:$C,15),0),0)+IF(LEFT(AF367,4)="True",IF(_xlfn.XLOOKUP("Dst_IsAny",'Scoring_Config'!$A:$A,'Scoring_Config'!$D:$D,"Yes")="Yes",_xlfn.XLOOKUP("Dst_IsAny",'Scoring_Config'!$A:$A,'Scoring_Config'!$C:$C,25),0),0)+IF(LEFT(AG367,4)="True",IF(_xlfn.XLOOKUP("Dst_CIDR_Le_16",'Scoring_Config'!$A:$A,'Scoring_Config'!$D:$D,"Yes")="Yes",_xlfn.XLOOKUP("Dst_CIDR_Le_16",'Scoring_Config'!$A:$A,'Scoring_Config'!$C:$C,25),0),0)+IF(LEFT(AH367,4)="True",IF(_xlfn.XLOOKUP("Dst_CIDR_17_22",'Scoring_Config'!$A:$A,'Scoring_Config'!$D:$D,"Yes")="Yes",_xlfn.XLOOKUP("Dst_CIDR_17_22",'Scoring_Config'!$A:$A,'Scoring_Config'!$C:$C,15),0),0)+IF(LEFT(AI367,4)="True",IF(_xlfn.XLOOKUP("SrcZone_IsAny",'Scoring_Config'!$A:$A,'Scoring_Config'!$D:$D,"Yes")="Yes",_xlfn.XLOOKUP("SrcZone_IsAny",'Scoring_Config'!$A:$A,'Scoring_Config'!$C:$C,5),0),0)+IF(LEFT(AJ367,4)="True",IF(_xlfn.XLOOKUP("DstZone_IsAny",'Scoring_Config'!$A:$A,'Scoring_Config'!$D:$D,"Yes")="Yes",_xlfn.XLOOKUP("DstZone_IsAny",'Scoring_Config'!$A:$A,'Scoring_Config'!$C:$C,5),0),0)+IF(LEFT(AK367,4)="True",IF(_xlfn.XLOOKUP("Service_Any_OR_RangeGt1000",'Scoring_Config'!$A:$A,'Scoring_Config'!$D:$D,"Yes")="Yes",_xlfn.XLOOKUP("Service_Any_OR_RangeGt1000",'Scoring_Config'!$A:$A,'Scoring_Config'!$C:$C,25),0),0)+IF(LEFT(AL367,4)="True",IF(_xlfn.XLOOKUP("App_Any_OR_RangeGt1000",'Scoring_Config'!$A:$A,'Scoring_Config'!$D:$D,"Yes")="Yes",_xlfn.XLOOKUP("App_Any_OR_RangeGt1000",'Scoring_Config'!$A:$A,'Scoring_Config'!$C:$C,25),0),0)+IF(LEFT(AM367,4)="True",IF(_xlfn.XLOOKUP("Service_Insecure_Match",'Scoring_Config'!$A:$A,'Scoring_Config'!$D:$D,"Yes")="Yes",_xlfn.XLOOKUP("Service_Insecure_Match",'Scoring_Config'!$A:$A,'Scoring_Config'!$C:$C,20),0),0)+IF(LEFT(AN367,4)="True",IF(_xlfn.XLOOKUP("Risky_Inbound",'Scoring_Config'!$A:$A,'Scoring_Config'!$D:$D,"Yes")="Yes",_xlfn.XLOOKUP("Risky_Inbound",'Scoring_Config'!$A:$A,'Scoring_Config'!$C:$C,20),0),0)+IF(LEFT(AO367,4)="True",IF(_xlfn.XLOOKUP("Risky_Outbound",'Scoring_Config'!$A:$A,'Scoring_Config'!$D:$D,"Yes")="Yes",_xlfn.XLOOKUP("Risky_Outbound",'Scoring_Config'!$A:$A,'Scoring_Config'!$C:$C,10),0),0)+IF(LEFT(AW367,4)="True",IF(_xlfn.XLOOKUP("Migrate_Insecure",'Scoring_Config'!$A:$A,'Scoring_Config'!$D:$D,"Yes")="Yes",_xlfn.XLOOKUP("Migrate_Insecure",'Scoring_Config'!$A:$A,'Scoring_Config'!$C:$C,15),0),0)+IF(LEFT(AY367,4)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367,FIND(",",AP367)+1,100)),0)+IF(LEFT(AQ367,4)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367,FIND(",",AR367)+1,100)),0)+IF(_xlfn.XLOOKUP("Profile_Scoring",'Scoring_Config'!$A:$A,'Scoring_Config'!$D:$D,"Yes")="Yes",VALUE(MID(AS367,FIND(",",AS367)+1,100)),0)+IF(_xlfn.XLOOKUP("Options_Scoring",'Scoring_Config'!$A:$A,'Scoring_Config'!$D:$D,"Yes")="Yes",VALUE(MID(AT367,FIND(",",AT367)+1,100)),0)))</f>
        <v>0</v>
      </c>
    </row>
    <row r="368" spans="1:52">
      <c r="A368" s="3" t="s">
        <v>55</v>
      </c>
      <c r="B368" s="3" t="s">
        <v>287</v>
      </c>
      <c r="C368" s="3" t="s">
        <v>332</v>
      </c>
      <c r="D368" s="3"/>
      <c r="E368" s="3" t="s">
        <v>359</v>
      </c>
      <c r="F368" s="3" t="s">
        <v>360</v>
      </c>
      <c r="G368" s="3" t="s">
        <v>505</v>
      </c>
      <c r="H368" s="3" t="s">
        <v>505</v>
      </c>
      <c r="I368" s="3" t="s">
        <v>622</v>
      </c>
      <c r="J368" s="3" t="s">
        <v>360</v>
      </c>
      <c r="K368" s="3" t="s">
        <v>365</v>
      </c>
      <c r="L368" s="3" t="s">
        <v>365</v>
      </c>
      <c r="M368" s="3" t="s">
        <v>775</v>
      </c>
      <c r="N368" s="3" t="s">
        <v>796</v>
      </c>
      <c r="O368" s="4" t="s">
        <v>802</v>
      </c>
      <c r="P368" s="3" t="s">
        <v>863</v>
      </c>
      <c r="Q368" s="3" t="s">
        <v>905</v>
      </c>
      <c r="R368" s="3" t="s">
        <v>908</v>
      </c>
      <c r="S368" s="3" t="s">
        <v>913</v>
      </c>
      <c r="T368" s="3" t="s">
        <v>1083</v>
      </c>
      <c r="U368" s="3" t="s">
        <v>1145</v>
      </c>
      <c r="V368" s="3" t="s">
        <v>1389</v>
      </c>
      <c r="W368" s="3" t="s">
        <v>1399</v>
      </c>
      <c r="X368" s="3" t="s">
        <v>1972</v>
      </c>
      <c r="Y368" s="3" t="s">
        <v>2441</v>
      </c>
      <c r="Z368" s="3"/>
      <c r="AA368" s="3"/>
      <c r="AB368" s="3"/>
      <c r="AC368" s="4" cm="1">
        <f t="array" ref="AC368">IF(FALSE,"True," &amp; IF(_xlfn.XLOOKUP("Src_IsAny",'Scoring_Config'!$A:$A,'Scoring_Config'!$D:$D,"Yes")="Yes",_xlfn.XLOOKUP("Src_IsAny",'Scoring_Config'!$A:$A,'Scoring_Config'!$C:$C,25),0),"False,0")</f>
        <v>0</v>
      </c>
      <c r="AD368" s="4" cm="1">
        <f t="array" ref="AD368">IF(FALSE,"True," &amp; IF(_xlfn.XLOOKUP("Src_CIDR_Le_16",'Scoring_Config'!$A:$A,'Scoring_Config'!$D:$D,"Yes")="Yes",_xlfn.XLOOKUP("Src_CIDR_Le_16",'Scoring_Config'!$A:$A,'Scoring_Config'!$C:$C,25),0),"False,0")</f>
        <v>0</v>
      </c>
      <c r="AE368" s="4" cm="1">
        <f t="array" ref="AE368">IF(FALSE,"True," &amp; IF(_xlfn.XLOOKUP("Src_CIDR_17_22",'Scoring_Config'!$A:$A,'Scoring_Config'!$D:$D,"Yes")="Yes",_xlfn.XLOOKUP("Src_CIDR_17_22",'Scoring_Config'!$A:$A,'Scoring_Config'!$C:$C,15),0),"False,0")</f>
        <v>0</v>
      </c>
      <c r="AF368" s="5" cm="1">
        <f t="array" ref="AF368">IF(TRUE,"True," &amp; IF(_xlfn.XLOOKUP("Dst_IsAny",'Scoring_Config'!$A:$A,'Scoring_Config'!$D:$D,"Yes")="Yes",_xlfn.XLOOKUP("Dst_IsAny",'Scoring_Config'!$A:$A,'Scoring_Config'!$C:$C,25),0),"False,0")</f>
        <v>0</v>
      </c>
      <c r="AG368" s="4" cm="1">
        <f t="array" ref="AG368">IF(FALSE,"True," &amp; IF(_xlfn.XLOOKUP("Dst_CIDR_Le_16",'Scoring_Config'!$A:$A,'Scoring_Config'!$D:$D,"Yes")="Yes",_xlfn.XLOOKUP("Dst_CIDR_Le_16",'Scoring_Config'!$A:$A,'Scoring_Config'!$C:$C,25),0),"False,0")</f>
        <v>0</v>
      </c>
      <c r="AH368" s="4" cm="1">
        <f t="array" ref="AH368">IF(FALSE,"True," &amp; IF(_xlfn.XLOOKUP("Dst_CIDR_17_22",'Scoring_Config'!$A:$A,'Scoring_Config'!$D:$D,"Yes")="Yes",_xlfn.XLOOKUP("Dst_CIDR_17_22",'Scoring_Config'!$A:$A,'Scoring_Config'!$C:$C,15),0),"False,0")</f>
        <v>0</v>
      </c>
      <c r="AI368" s="4" cm="1">
        <f t="array" ref="AI368">IF(FALSE,"True," &amp; IF(_xlfn.XLOOKUP("SrcZone_IsAny",'Scoring_Config'!$A:$A,'Scoring_Config'!$D:$D,"Yes")="Yes",_xlfn.XLOOKUP("SrcZone_IsAny",'Scoring_Config'!$A:$A,'Scoring_Config'!$C:$C,5),0),"False,0")</f>
        <v>0</v>
      </c>
      <c r="AJ368" s="4" cm="1">
        <f t="array" ref="AJ368">IF(FALSE,"True," &amp; IF(_xlfn.XLOOKUP("DstZone_IsAny",'Scoring_Config'!$A:$A,'Scoring_Config'!$D:$D,"Yes")="Yes",_xlfn.XLOOKUP("DstZone_IsAny",'Scoring_Config'!$A:$A,'Scoring_Config'!$C:$C,5),0),"False,0")</f>
        <v>0</v>
      </c>
      <c r="AK368" s="4" cm="1">
        <f t="array" ref="AK36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8" s="4" cm="1">
        <f t="array" ref="AL368">IF(FALSE,"True," &amp; IF(_xlfn.XLOOKUP("App_Any_OR_RangeGt1000",'Scoring_Config'!$A:$A,'Scoring_Config'!$D:$D,"Yes")="Yes",_xlfn.XLOOKUP("App_Any_OR_RangeGt1000",'Scoring_Config'!$A:$A,'Scoring_Config'!$C:$C,25),0),"False,0")</f>
        <v>0</v>
      </c>
      <c r="AM368" s="5" cm="1">
        <f t="array" ref="AM368">IF(TRUE,"True," &amp; IF(_xlfn.XLOOKUP("Service_Insecure_Match",'Scoring_Config'!$A:$A,'Scoring_Config'!$D:$D,"Yes")="Yes",_xlfn.XLOOKUP("Service_Insecure_Match",'Scoring_Config'!$A:$A,'Scoring_Config'!$C:$C,20),0),"False,0")</f>
        <v>0</v>
      </c>
      <c r="AN368" s="4" cm="1">
        <f t="array" ref="AN368">IF(FALSE,"True," &amp; IF(_xlfn.XLOOKUP("Risky_Inbound",'Scoring_Config'!$A:$A,'Scoring_Config'!$D:$D,"Yes")="Yes",_xlfn.XLOOKUP("Risky_Inbound",'Scoring_Config'!$A:$A,'Scoring_Config'!$C:$C,20),0),"False,0")</f>
        <v>0</v>
      </c>
      <c r="AO368" s="4" cm="1">
        <f t="array" ref="AO368">IF(FALSE,"True," &amp; IF(_xlfn.XLOOKUP("Risky_Outbound",'Scoring_Config'!$A:$A,'Scoring_Config'!$D:$D,"Yes")="Yes",_xlfn.XLOOKUP("Risky_Outbound",'Scoring_Config'!$A:$A,'Scoring_Config'!$C:$C,10),0),"False,0")</f>
        <v>0</v>
      </c>
      <c r="AP368" s="5" t="s">
        <v>2595</v>
      </c>
      <c r="AQ368" s="5" cm="1">
        <f t="array" ref="AQ36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8" s="5" t="s">
        <v>2598</v>
      </c>
      <c r="AS368" s="4" t="s">
        <v>2592</v>
      </c>
      <c r="AT368" s="4" t="s">
        <v>2592</v>
      </c>
      <c r="AU368" s="4" cm="1">
        <f t="array" ref="AU368">IF(FALSE,"True," &amp; IF(_xlfn.XLOOKUP("Action_IsDenyOrDrop",'Scoring_Config'!$A:$A,'Scoring_Config'!$D:$D,"Yes")="Yes",_xlfn.XLOOKUP("Action_IsDenyOrDrop",'Scoring_Config'!$A:$A,'Scoring_Config'!$C:$C,0),0),"False,0")</f>
        <v>0</v>
      </c>
      <c r="AV368" s="4"/>
      <c r="AW368" s="4" cm="1">
        <f t="array" ref="AW368">IF(FALSE,"True," &amp; IF(_xlfn.XLOOKUP("Migrate_Insecure",'Scoring_Config'!$A:$A,'Scoring_Config'!$D:$D,"Yes")="Yes",_xlfn.XLOOKUP("Migrate_Insecure",'Scoring_Config'!$A:$A,'Scoring_Config'!$C:$C,15),0),"False,0")</f>
        <v>0</v>
      </c>
      <c r="AX368" s="4"/>
      <c r="AY368" s="4" cm="1">
        <f t="array" ref="AY368">IF(FALSE,"True," &amp; IF(_xlfn.XLOOKUP("Migrate_Other_Ports",'Scoring_Config'!$A:$A,'Scoring_Config'!$D:$D,"Yes")="Yes",_xlfn.XLOOKUP("Migrate_Other_Ports",'Scoring_Config'!$A:$A,'Scoring_Config'!$C:$C,5),0),"False,0")</f>
        <v>0</v>
      </c>
      <c r="AZ368" s="4" cm="1">
        <f t="array" ref="AZ368">IF(LEFT(AU368,4)="True",0,(IF(LEFT(AC368,4)="True",IF(_xlfn.XLOOKUP("Src_IsAny",'Scoring_Config'!$A:$A,'Scoring_Config'!$D:$D,"Yes")="Yes",_xlfn.XLOOKUP("Src_IsAny",'Scoring_Config'!$A:$A,'Scoring_Config'!$C:$C,25),0),0)+IF(LEFT(AD368,4)="True",IF(_xlfn.XLOOKUP("Src_CIDR_Le_16",'Scoring_Config'!$A:$A,'Scoring_Config'!$D:$D,"Yes")="Yes",_xlfn.XLOOKUP("Src_CIDR_Le_16",'Scoring_Config'!$A:$A,'Scoring_Config'!$C:$C,25),0),0)+IF(LEFT(AE368,4)="True",IF(_xlfn.XLOOKUP("Src_CIDR_17_22",'Scoring_Config'!$A:$A,'Scoring_Config'!$D:$D,"Yes")="Yes",_xlfn.XLOOKUP("Src_CIDR_17_22",'Scoring_Config'!$A:$A,'Scoring_Config'!$C:$C,15),0),0)+IF(LEFT(AF368,4)="True",IF(_xlfn.XLOOKUP("Dst_IsAny",'Scoring_Config'!$A:$A,'Scoring_Config'!$D:$D,"Yes")="Yes",_xlfn.XLOOKUP("Dst_IsAny",'Scoring_Config'!$A:$A,'Scoring_Config'!$C:$C,25),0),0)+IF(LEFT(AG368,4)="True",IF(_xlfn.XLOOKUP("Dst_CIDR_Le_16",'Scoring_Config'!$A:$A,'Scoring_Config'!$D:$D,"Yes")="Yes",_xlfn.XLOOKUP("Dst_CIDR_Le_16",'Scoring_Config'!$A:$A,'Scoring_Config'!$C:$C,25),0),0)+IF(LEFT(AH368,4)="True",IF(_xlfn.XLOOKUP("Dst_CIDR_17_22",'Scoring_Config'!$A:$A,'Scoring_Config'!$D:$D,"Yes")="Yes",_xlfn.XLOOKUP("Dst_CIDR_17_22",'Scoring_Config'!$A:$A,'Scoring_Config'!$C:$C,15),0),0)+IF(LEFT(AI368,4)="True",IF(_xlfn.XLOOKUP("SrcZone_IsAny",'Scoring_Config'!$A:$A,'Scoring_Config'!$D:$D,"Yes")="Yes",_xlfn.XLOOKUP("SrcZone_IsAny",'Scoring_Config'!$A:$A,'Scoring_Config'!$C:$C,5),0),0)+IF(LEFT(AJ368,4)="True",IF(_xlfn.XLOOKUP("DstZone_IsAny",'Scoring_Config'!$A:$A,'Scoring_Config'!$D:$D,"Yes")="Yes",_xlfn.XLOOKUP("DstZone_IsAny",'Scoring_Config'!$A:$A,'Scoring_Config'!$C:$C,5),0),0)+IF(LEFT(AK368,4)="True",IF(_xlfn.XLOOKUP("Service_Any_OR_RangeGt1000",'Scoring_Config'!$A:$A,'Scoring_Config'!$D:$D,"Yes")="Yes",_xlfn.XLOOKUP("Service_Any_OR_RangeGt1000",'Scoring_Config'!$A:$A,'Scoring_Config'!$C:$C,25),0),0)+IF(LEFT(AL368,4)="True",IF(_xlfn.XLOOKUP("App_Any_OR_RangeGt1000",'Scoring_Config'!$A:$A,'Scoring_Config'!$D:$D,"Yes")="Yes",_xlfn.XLOOKUP("App_Any_OR_RangeGt1000",'Scoring_Config'!$A:$A,'Scoring_Config'!$C:$C,25),0),0)+IF(LEFT(AM368,4)="True",IF(_xlfn.XLOOKUP("Service_Insecure_Match",'Scoring_Config'!$A:$A,'Scoring_Config'!$D:$D,"Yes")="Yes",_xlfn.XLOOKUP("Service_Insecure_Match",'Scoring_Config'!$A:$A,'Scoring_Config'!$C:$C,20),0),0)+IF(LEFT(AN368,4)="True",IF(_xlfn.XLOOKUP("Risky_Inbound",'Scoring_Config'!$A:$A,'Scoring_Config'!$D:$D,"Yes")="Yes",_xlfn.XLOOKUP("Risky_Inbound",'Scoring_Config'!$A:$A,'Scoring_Config'!$C:$C,20),0),0)+IF(LEFT(AO368,4)="True",IF(_xlfn.XLOOKUP("Risky_Outbound",'Scoring_Config'!$A:$A,'Scoring_Config'!$D:$D,"Yes")="Yes",_xlfn.XLOOKUP("Risky_Outbound",'Scoring_Config'!$A:$A,'Scoring_Config'!$C:$C,10),0),0)+IF(LEFT(AW368,4)="True",IF(_xlfn.XLOOKUP("Migrate_Insecure",'Scoring_Config'!$A:$A,'Scoring_Config'!$D:$D,"Yes")="Yes",_xlfn.XLOOKUP("Migrate_Insecure",'Scoring_Config'!$A:$A,'Scoring_Config'!$C:$C,15),0),0)+IF(LEFT(AY368,4)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368,FIND(",",AP368)+1,100)),0)+IF(LEFT(AQ368,4)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368,FIND(",",AR368)+1,100)),0)+IF(_xlfn.XLOOKUP("Profile_Scoring",'Scoring_Config'!$A:$A,'Scoring_Config'!$D:$D,"Yes")="Yes",VALUE(MID(AS368,FIND(",",AS368)+1,100)),0)+IF(_xlfn.XLOOKUP("Options_Scoring",'Scoring_Config'!$A:$A,'Scoring_Config'!$D:$D,"Yes")="Yes",VALUE(MID(AT368,FIND(",",AT368)+1,100)),0)))</f>
        <v>0</v>
      </c>
    </row>
    <row r="369" spans="1:52">
      <c r="A369" s="3" t="s">
        <v>55</v>
      </c>
      <c r="B369" s="3" t="s">
        <v>133</v>
      </c>
      <c r="C369" s="3" t="s">
        <v>332</v>
      </c>
      <c r="D369" s="3"/>
      <c r="E369" s="3" t="s">
        <v>359</v>
      </c>
      <c r="F369" s="3" t="s">
        <v>361</v>
      </c>
      <c r="G369" s="3" t="s">
        <v>365</v>
      </c>
      <c r="H369" s="3" t="s">
        <v>365</v>
      </c>
      <c r="I369" s="3" t="s">
        <v>625</v>
      </c>
      <c r="J369" s="3" t="s">
        <v>360</v>
      </c>
      <c r="K369" s="3" t="s">
        <v>365</v>
      </c>
      <c r="L369" s="3" t="s">
        <v>365</v>
      </c>
      <c r="M369" s="3" t="s">
        <v>365</v>
      </c>
      <c r="N369" s="3" t="s">
        <v>365</v>
      </c>
      <c r="O369" s="4" t="s">
        <v>824</v>
      </c>
      <c r="P369" s="3" t="s">
        <v>885</v>
      </c>
      <c r="Q369" s="3" t="s">
        <v>905</v>
      </c>
      <c r="R369" s="3" t="s">
        <v>907</v>
      </c>
      <c r="S369" s="3" t="s">
        <v>913</v>
      </c>
      <c r="T369" s="3" t="s">
        <v>1084</v>
      </c>
      <c r="U369" s="3" t="s">
        <v>1147</v>
      </c>
      <c r="V369" s="3" t="s">
        <v>1388</v>
      </c>
      <c r="W369" s="3" t="s">
        <v>1572</v>
      </c>
      <c r="X369" s="3" t="s">
        <v>1973</v>
      </c>
      <c r="Y369" s="3" t="s">
        <v>2442</v>
      </c>
      <c r="Z369" s="3"/>
      <c r="AA369" s="3"/>
      <c r="AB369" s="3"/>
      <c r="AC369" s="5" cm="1">
        <f t="array" ref="AC369">IF(TRUE,"True," &amp; IF(_xlfn.XLOOKUP("Src_IsAny",'Scoring_Config'!$A:$A,'Scoring_Config'!$D:$D,"Yes")="Yes",_xlfn.XLOOKUP("Src_IsAny",'Scoring_Config'!$A:$A,'Scoring_Config'!$C:$C,25),0),"False,0")</f>
        <v>0</v>
      </c>
      <c r="AD369" s="4" cm="1">
        <f t="array" ref="AD369">IF(FALSE,"True," &amp; IF(_xlfn.XLOOKUP("Src_CIDR_Le_16",'Scoring_Config'!$A:$A,'Scoring_Config'!$D:$D,"Yes")="Yes",_xlfn.XLOOKUP("Src_CIDR_Le_16",'Scoring_Config'!$A:$A,'Scoring_Config'!$C:$C,25),0),"False,0")</f>
        <v>0</v>
      </c>
      <c r="AE369" s="4" cm="1">
        <f t="array" ref="AE369">IF(FALSE,"True," &amp; IF(_xlfn.XLOOKUP("Src_CIDR_17_22",'Scoring_Config'!$A:$A,'Scoring_Config'!$D:$D,"Yes")="Yes",_xlfn.XLOOKUP("Src_CIDR_17_22",'Scoring_Config'!$A:$A,'Scoring_Config'!$C:$C,15),0),"False,0")</f>
        <v>0</v>
      </c>
      <c r="AF369" s="5" cm="1">
        <f t="array" ref="AF369">IF(TRUE,"True," &amp; IF(_xlfn.XLOOKUP("Dst_IsAny",'Scoring_Config'!$A:$A,'Scoring_Config'!$D:$D,"Yes")="Yes",_xlfn.XLOOKUP("Dst_IsAny",'Scoring_Config'!$A:$A,'Scoring_Config'!$C:$C,25),0),"False,0")</f>
        <v>0</v>
      </c>
      <c r="AG369" s="4" cm="1">
        <f t="array" ref="AG369">IF(FALSE,"True," &amp; IF(_xlfn.XLOOKUP("Dst_CIDR_Le_16",'Scoring_Config'!$A:$A,'Scoring_Config'!$D:$D,"Yes")="Yes",_xlfn.XLOOKUP("Dst_CIDR_Le_16",'Scoring_Config'!$A:$A,'Scoring_Config'!$C:$C,25),0),"False,0")</f>
        <v>0</v>
      </c>
      <c r="AH369" s="4" cm="1">
        <f t="array" ref="AH369">IF(FALSE,"True," &amp; IF(_xlfn.XLOOKUP("Dst_CIDR_17_22",'Scoring_Config'!$A:$A,'Scoring_Config'!$D:$D,"Yes")="Yes",_xlfn.XLOOKUP("Dst_CIDR_17_22",'Scoring_Config'!$A:$A,'Scoring_Config'!$C:$C,15),0),"False,0")</f>
        <v>0</v>
      </c>
      <c r="AI369" s="4" cm="1">
        <f t="array" ref="AI369">IF(FALSE,"True," &amp; IF(_xlfn.XLOOKUP("SrcZone_IsAny",'Scoring_Config'!$A:$A,'Scoring_Config'!$D:$D,"Yes")="Yes",_xlfn.XLOOKUP("SrcZone_IsAny",'Scoring_Config'!$A:$A,'Scoring_Config'!$C:$C,5),0),"False,0")</f>
        <v>0</v>
      </c>
      <c r="AJ369" s="4" cm="1">
        <f t="array" ref="AJ369">IF(FALSE,"True," &amp; IF(_xlfn.XLOOKUP("DstZone_IsAny",'Scoring_Config'!$A:$A,'Scoring_Config'!$D:$D,"Yes")="Yes",_xlfn.XLOOKUP("DstZone_IsAny",'Scoring_Config'!$A:$A,'Scoring_Config'!$C:$C,5),0),"False,0")</f>
        <v>0</v>
      </c>
      <c r="AK369" s="4" cm="1">
        <f t="array" ref="AK36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69" s="5" cm="1">
        <f t="array" ref="AL369">IF(TRUE,"True," &amp; IF(_xlfn.XLOOKUP("App_Any_OR_RangeGt1000",'Scoring_Config'!$A:$A,'Scoring_Config'!$D:$D,"Yes")="Yes",_xlfn.XLOOKUP("App_Any_OR_RangeGt1000",'Scoring_Config'!$A:$A,'Scoring_Config'!$C:$C,25),0),"False,0")</f>
        <v>0</v>
      </c>
      <c r="AM369" s="5" cm="1">
        <f t="array" ref="AM369">IF(TRUE,"True," &amp; IF(_xlfn.XLOOKUP("Service_Insecure_Match",'Scoring_Config'!$A:$A,'Scoring_Config'!$D:$D,"Yes")="Yes",_xlfn.XLOOKUP("Service_Insecure_Match",'Scoring_Config'!$A:$A,'Scoring_Config'!$C:$C,20),0),"False,0")</f>
        <v>0</v>
      </c>
      <c r="AN369" s="4" cm="1">
        <f t="array" ref="AN369">IF(FALSE,"True," &amp; IF(_xlfn.XLOOKUP("Risky_Inbound",'Scoring_Config'!$A:$A,'Scoring_Config'!$D:$D,"Yes")="Yes",_xlfn.XLOOKUP("Risky_Inbound",'Scoring_Config'!$A:$A,'Scoring_Config'!$C:$C,20),0),"False,0")</f>
        <v>0</v>
      </c>
      <c r="AO369" s="4" cm="1">
        <f t="array" ref="AO369">IF(FALSE,"True," &amp; IF(_xlfn.XLOOKUP("Risky_Outbound",'Scoring_Config'!$A:$A,'Scoring_Config'!$D:$D,"Yes")="Yes",_xlfn.XLOOKUP("Risky_Outbound",'Scoring_Config'!$A:$A,'Scoring_Config'!$C:$C,10),0),"False,0")</f>
        <v>0</v>
      </c>
      <c r="AP369" s="5" t="s">
        <v>2595</v>
      </c>
      <c r="AQ369" s="5" cm="1">
        <f t="array" ref="AQ36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69" s="5" t="s">
        <v>2598</v>
      </c>
      <c r="AS369" s="5" t="s">
        <v>2595</v>
      </c>
      <c r="AT369" s="4" t="s">
        <v>2592</v>
      </c>
      <c r="AU369" s="4" cm="1">
        <f t="array" ref="AU369">IF(FALSE,"True," &amp; IF(_xlfn.XLOOKUP("Action_IsDenyOrDrop",'Scoring_Config'!$A:$A,'Scoring_Config'!$D:$D,"Yes")="Yes",_xlfn.XLOOKUP("Action_IsDenyOrDrop",'Scoring_Config'!$A:$A,'Scoring_Config'!$C:$C,0),0),"False,0")</f>
        <v>0</v>
      </c>
      <c r="AV369" s="4"/>
      <c r="AW369" s="4" cm="1">
        <f t="array" ref="AW369">IF(FALSE,"True," &amp; IF(_xlfn.XLOOKUP("Migrate_Insecure",'Scoring_Config'!$A:$A,'Scoring_Config'!$D:$D,"Yes")="Yes",_xlfn.XLOOKUP("Migrate_Insecure",'Scoring_Config'!$A:$A,'Scoring_Config'!$C:$C,15),0),"False,0")</f>
        <v>0</v>
      </c>
      <c r="AX369" s="4"/>
      <c r="AY369" s="4" cm="1">
        <f t="array" ref="AY369">IF(FALSE,"True," &amp; IF(_xlfn.XLOOKUP("Migrate_Other_Ports",'Scoring_Config'!$A:$A,'Scoring_Config'!$D:$D,"Yes")="Yes",_xlfn.XLOOKUP("Migrate_Other_Ports",'Scoring_Config'!$A:$A,'Scoring_Config'!$C:$C,5),0),"False,0")</f>
        <v>0</v>
      </c>
      <c r="AZ369" s="4" cm="1">
        <f t="array" ref="AZ369">IF(LEFT(AU369,4)="True",0,(IF(LEFT(AC369,4)="True",IF(_xlfn.XLOOKUP("Src_IsAny",'Scoring_Config'!$A:$A,'Scoring_Config'!$D:$D,"Yes")="Yes",_xlfn.XLOOKUP("Src_IsAny",'Scoring_Config'!$A:$A,'Scoring_Config'!$C:$C,25),0),0)+IF(LEFT(AD369,4)="True",IF(_xlfn.XLOOKUP("Src_CIDR_Le_16",'Scoring_Config'!$A:$A,'Scoring_Config'!$D:$D,"Yes")="Yes",_xlfn.XLOOKUP("Src_CIDR_Le_16",'Scoring_Config'!$A:$A,'Scoring_Config'!$C:$C,25),0),0)+IF(LEFT(AE369,4)="True",IF(_xlfn.XLOOKUP("Src_CIDR_17_22",'Scoring_Config'!$A:$A,'Scoring_Config'!$D:$D,"Yes")="Yes",_xlfn.XLOOKUP("Src_CIDR_17_22",'Scoring_Config'!$A:$A,'Scoring_Config'!$C:$C,15),0),0)+IF(LEFT(AF369,4)="True",IF(_xlfn.XLOOKUP("Dst_IsAny",'Scoring_Config'!$A:$A,'Scoring_Config'!$D:$D,"Yes")="Yes",_xlfn.XLOOKUP("Dst_IsAny",'Scoring_Config'!$A:$A,'Scoring_Config'!$C:$C,25),0),0)+IF(LEFT(AG369,4)="True",IF(_xlfn.XLOOKUP("Dst_CIDR_Le_16",'Scoring_Config'!$A:$A,'Scoring_Config'!$D:$D,"Yes")="Yes",_xlfn.XLOOKUP("Dst_CIDR_Le_16",'Scoring_Config'!$A:$A,'Scoring_Config'!$C:$C,25),0),0)+IF(LEFT(AH369,4)="True",IF(_xlfn.XLOOKUP("Dst_CIDR_17_22",'Scoring_Config'!$A:$A,'Scoring_Config'!$D:$D,"Yes")="Yes",_xlfn.XLOOKUP("Dst_CIDR_17_22",'Scoring_Config'!$A:$A,'Scoring_Config'!$C:$C,15),0),0)+IF(LEFT(AI369,4)="True",IF(_xlfn.XLOOKUP("SrcZone_IsAny",'Scoring_Config'!$A:$A,'Scoring_Config'!$D:$D,"Yes")="Yes",_xlfn.XLOOKUP("SrcZone_IsAny",'Scoring_Config'!$A:$A,'Scoring_Config'!$C:$C,5),0),0)+IF(LEFT(AJ369,4)="True",IF(_xlfn.XLOOKUP("DstZone_IsAny",'Scoring_Config'!$A:$A,'Scoring_Config'!$D:$D,"Yes")="Yes",_xlfn.XLOOKUP("DstZone_IsAny",'Scoring_Config'!$A:$A,'Scoring_Config'!$C:$C,5),0),0)+IF(LEFT(AK369,4)="True",IF(_xlfn.XLOOKUP("Service_Any_OR_RangeGt1000",'Scoring_Config'!$A:$A,'Scoring_Config'!$D:$D,"Yes")="Yes",_xlfn.XLOOKUP("Service_Any_OR_RangeGt1000",'Scoring_Config'!$A:$A,'Scoring_Config'!$C:$C,25),0),0)+IF(LEFT(AL369,4)="True",IF(_xlfn.XLOOKUP("App_Any_OR_RangeGt1000",'Scoring_Config'!$A:$A,'Scoring_Config'!$D:$D,"Yes")="Yes",_xlfn.XLOOKUP("App_Any_OR_RangeGt1000",'Scoring_Config'!$A:$A,'Scoring_Config'!$C:$C,25),0),0)+IF(LEFT(AM369,4)="True",IF(_xlfn.XLOOKUP("Service_Insecure_Match",'Scoring_Config'!$A:$A,'Scoring_Config'!$D:$D,"Yes")="Yes",_xlfn.XLOOKUP("Service_Insecure_Match",'Scoring_Config'!$A:$A,'Scoring_Config'!$C:$C,20),0),0)+IF(LEFT(AN369,4)="True",IF(_xlfn.XLOOKUP("Risky_Inbound",'Scoring_Config'!$A:$A,'Scoring_Config'!$D:$D,"Yes")="Yes",_xlfn.XLOOKUP("Risky_Inbound",'Scoring_Config'!$A:$A,'Scoring_Config'!$C:$C,20),0),0)+IF(LEFT(AO369,4)="True",IF(_xlfn.XLOOKUP("Risky_Outbound",'Scoring_Config'!$A:$A,'Scoring_Config'!$D:$D,"Yes")="Yes",_xlfn.XLOOKUP("Risky_Outbound",'Scoring_Config'!$A:$A,'Scoring_Config'!$C:$C,10),0),0)+IF(LEFT(AW369,4)="True",IF(_xlfn.XLOOKUP("Migrate_Insecure",'Scoring_Config'!$A:$A,'Scoring_Config'!$D:$D,"Yes")="Yes",_xlfn.XLOOKUP("Migrate_Insecure",'Scoring_Config'!$A:$A,'Scoring_Config'!$C:$C,15),0),0)+IF(LEFT(AY369,4)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369,FIND(",",AP369)+1,100)),0)+IF(LEFT(AQ369,4)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369,FIND(",",AR369)+1,100)),0)+IF(_xlfn.XLOOKUP("Profile_Scoring",'Scoring_Config'!$A:$A,'Scoring_Config'!$D:$D,"Yes")="Yes",VALUE(MID(AS369,FIND(",",AS369)+1,100)),0)+IF(_xlfn.XLOOKUP("Options_Scoring",'Scoring_Config'!$A:$A,'Scoring_Config'!$D:$D,"Yes")="Yes",VALUE(MID(AT369,FIND(",",AT369)+1,100)),0)))</f>
        <v>0</v>
      </c>
    </row>
    <row r="370" spans="1:52">
      <c r="A370" s="3" t="s">
        <v>55</v>
      </c>
      <c r="B370" s="3" t="s">
        <v>129</v>
      </c>
      <c r="C370" s="3" t="s">
        <v>332</v>
      </c>
      <c r="D370" s="3"/>
      <c r="E370" s="3" t="s">
        <v>359</v>
      </c>
      <c r="F370" s="3" t="s">
        <v>361</v>
      </c>
      <c r="G370" s="3" t="s">
        <v>506</v>
      </c>
      <c r="H370" s="3" t="s">
        <v>506</v>
      </c>
      <c r="I370" s="3" t="s">
        <v>365</v>
      </c>
      <c r="J370" s="3" t="s">
        <v>364</v>
      </c>
      <c r="K370" s="3" t="s">
        <v>720</v>
      </c>
      <c r="L370" s="3" t="s">
        <v>764</v>
      </c>
      <c r="M370" s="3" t="s">
        <v>770</v>
      </c>
      <c r="N370" s="3" t="s">
        <v>770</v>
      </c>
      <c r="O370" s="4" t="s">
        <v>824</v>
      </c>
      <c r="P370" s="3" t="s">
        <v>885</v>
      </c>
      <c r="Q370" s="3" t="s">
        <v>905</v>
      </c>
      <c r="R370" s="3" t="s">
        <v>907</v>
      </c>
      <c r="S370" s="3" t="s">
        <v>916</v>
      </c>
      <c r="T370" s="3" t="s">
        <v>1085</v>
      </c>
      <c r="U370" s="3" t="s">
        <v>1332</v>
      </c>
      <c r="V370" s="3" t="s">
        <v>1387</v>
      </c>
      <c r="W370" s="3" t="s">
        <v>1573</v>
      </c>
      <c r="X370" s="3" t="s">
        <v>1974</v>
      </c>
      <c r="Y370" s="3" t="s">
        <v>2443</v>
      </c>
      <c r="Z370" s="3"/>
      <c r="AA370" s="3"/>
      <c r="AB370" s="3"/>
      <c r="AC370" s="4" cm="1">
        <f t="array" ref="AC370">IF(FALSE,"True," &amp; IF(_xlfn.XLOOKUP("Src_IsAny",'Scoring_Config'!$A:$A,'Scoring_Config'!$D:$D,"Yes")="Yes",_xlfn.XLOOKUP("Src_IsAny",'Scoring_Config'!$A:$A,'Scoring_Config'!$C:$C,25),0),"False,0")</f>
        <v>0</v>
      </c>
      <c r="AD370" s="4" cm="1">
        <f t="array" ref="AD370">IF(FALSE,"True," &amp; IF(_xlfn.XLOOKUP("Src_CIDR_Le_16",'Scoring_Config'!$A:$A,'Scoring_Config'!$D:$D,"Yes")="Yes",_xlfn.XLOOKUP("Src_CIDR_Le_16",'Scoring_Config'!$A:$A,'Scoring_Config'!$C:$C,25),0),"False,0")</f>
        <v>0</v>
      </c>
      <c r="AE370" s="4" cm="1">
        <f t="array" ref="AE370">IF(FALSE,"True," &amp; IF(_xlfn.XLOOKUP("Src_CIDR_17_22",'Scoring_Config'!$A:$A,'Scoring_Config'!$D:$D,"Yes")="Yes",_xlfn.XLOOKUP("Src_CIDR_17_22",'Scoring_Config'!$A:$A,'Scoring_Config'!$C:$C,15),0),"False,0")</f>
        <v>0</v>
      </c>
      <c r="AF370" s="4" cm="1">
        <f t="array" ref="AF370">IF(FALSE,"True," &amp; IF(_xlfn.XLOOKUP("Dst_IsAny",'Scoring_Config'!$A:$A,'Scoring_Config'!$D:$D,"Yes")="Yes",_xlfn.XLOOKUP("Dst_IsAny",'Scoring_Config'!$A:$A,'Scoring_Config'!$C:$C,25),0),"False,0")</f>
        <v>0</v>
      </c>
      <c r="AG370" s="5" cm="1">
        <f t="array" ref="AG370">IF(TRUE,"True," &amp; IF(_xlfn.XLOOKUP("Dst_CIDR_Le_16",'Scoring_Config'!$A:$A,'Scoring_Config'!$D:$D,"Yes")="Yes",_xlfn.XLOOKUP("Dst_CIDR_Le_16",'Scoring_Config'!$A:$A,'Scoring_Config'!$C:$C,25),0),"False,0")</f>
        <v>0</v>
      </c>
      <c r="AH370" s="4" cm="1">
        <f t="array" ref="AH370">IF(FALSE,"True," &amp; IF(_xlfn.XLOOKUP("Dst_CIDR_17_22",'Scoring_Config'!$A:$A,'Scoring_Config'!$D:$D,"Yes")="Yes",_xlfn.XLOOKUP("Dst_CIDR_17_22",'Scoring_Config'!$A:$A,'Scoring_Config'!$C:$C,15),0),"False,0")</f>
        <v>0</v>
      </c>
      <c r="AI370" s="4" cm="1">
        <f t="array" ref="AI370">IF(FALSE,"True," &amp; IF(_xlfn.XLOOKUP("SrcZone_IsAny",'Scoring_Config'!$A:$A,'Scoring_Config'!$D:$D,"Yes")="Yes",_xlfn.XLOOKUP("SrcZone_IsAny",'Scoring_Config'!$A:$A,'Scoring_Config'!$C:$C,5),0),"False,0")</f>
        <v>0</v>
      </c>
      <c r="AJ370" s="4" cm="1">
        <f t="array" ref="AJ370">IF(FALSE,"True," &amp; IF(_xlfn.XLOOKUP("DstZone_IsAny",'Scoring_Config'!$A:$A,'Scoring_Config'!$D:$D,"Yes")="Yes",_xlfn.XLOOKUP("DstZone_IsAny",'Scoring_Config'!$A:$A,'Scoring_Config'!$C:$C,5),0),"False,0")</f>
        <v>0</v>
      </c>
      <c r="AK370" s="4" cm="1">
        <f t="array" ref="AK37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0" s="4" cm="1">
        <f t="array" ref="AL370">IF(FALSE,"True," &amp; IF(_xlfn.XLOOKUP("App_Any_OR_RangeGt1000",'Scoring_Config'!$A:$A,'Scoring_Config'!$D:$D,"Yes")="Yes",_xlfn.XLOOKUP("App_Any_OR_RangeGt1000",'Scoring_Config'!$A:$A,'Scoring_Config'!$C:$C,25),0),"False,0")</f>
        <v>0</v>
      </c>
      <c r="AM370" s="5" cm="1">
        <f t="array" ref="AM370">IF(TRUE,"True," &amp; IF(_xlfn.XLOOKUP("Service_Insecure_Match",'Scoring_Config'!$A:$A,'Scoring_Config'!$D:$D,"Yes")="Yes",_xlfn.XLOOKUP("Service_Insecure_Match",'Scoring_Config'!$A:$A,'Scoring_Config'!$C:$C,20),0),"False,0")</f>
        <v>0</v>
      </c>
      <c r="AN370" s="4" cm="1">
        <f t="array" ref="AN370">IF(FALSE,"True," &amp; IF(_xlfn.XLOOKUP("Risky_Inbound",'Scoring_Config'!$A:$A,'Scoring_Config'!$D:$D,"Yes")="Yes",_xlfn.XLOOKUP("Risky_Inbound",'Scoring_Config'!$A:$A,'Scoring_Config'!$C:$C,20),0),"False,0")</f>
        <v>0</v>
      </c>
      <c r="AO370" s="4" cm="1">
        <f t="array" ref="AO370">IF(FALSE,"True," &amp; IF(_xlfn.XLOOKUP("Risky_Outbound",'Scoring_Config'!$A:$A,'Scoring_Config'!$D:$D,"Yes")="Yes",_xlfn.XLOOKUP("Risky_Outbound",'Scoring_Config'!$A:$A,'Scoring_Config'!$C:$C,10),0),"False,0")</f>
        <v>0</v>
      </c>
      <c r="AP370" s="5" t="s">
        <v>2595</v>
      </c>
      <c r="AQ370" s="4" cm="1">
        <f t="array" ref="AQ37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0" s="4" t="s">
        <v>2592</v>
      </c>
      <c r="AS370" s="5" t="s">
        <v>2595</v>
      </c>
      <c r="AT370" s="4" t="s">
        <v>2592</v>
      </c>
      <c r="AU370" s="4" cm="1">
        <f t="array" ref="AU370">IF(FALSE,"True," &amp; IF(_xlfn.XLOOKUP("Action_IsDenyOrDrop",'Scoring_Config'!$A:$A,'Scoring_Config'!$D:$D,"Yes")="Yes",_xlfn.XLOOKUP("Action_IsDenyOrDrop",'Scoring_Config'!$A:$A,'Scoring_Config'!$C:$C,0),0),"False,0")</f>
        <v>0</v>
      </c>
      <c r="AV370" s="4"/>
      <c r="AW370" s="4" cm="1">
        <f t="array" ref="AW370">IF(FALSE,"True," &amp; IF(_xlfn.XLOOKUP("Migrate_Insecure",'Scoring_Config'!$A:$A,'Scoring_Config'!$D:$D,"Yes")="Yes",_xlfn.XLOOKUP("Migrate_Insecure",'Scoring_Config'!$A:$A,'Scoring_Config'!$C:$C,15),0),"False,0")</f>
        <v>0</v>
      </c>
      <c r="AX370" s="4"/>
      <c r="AY370" s="4" cm="1">
        <f t="array" ref="AY370">IF(FALSE,"True," &amp; IF(_xlfn.XLOOKUP("Migrate_Other_Ports",'Scoring_Config'!$A:$A,'Scoring_Config'!$D:$D,"Yes")="Yes",_xlfn.XLOOKUP("Migrate_Other_Ports",'Scoring_Config'!$A:$A,'Scoring_Config'!$C:$C,5),0),"False,0")</f>
        <v>0</v>
      </c>
      <c r="AZ370" s="4" cm="1">
        <f t="array" ref="AZ370">IF(LEFT(AU370,4)="True",0,(IF(LEFT(AC370,4)="True",IF(_xlfn.XLOOKUP("Src_IsAny",'Scoring_Config'!$A:$A,'Scoring_Config'!$D:$D,"Yes")="Yes",_xlfn.XLOOKUP("Src_IsAny",'Scoring_Config'!$A:$A,'Scoring_Config'!$C:$C,25),0),0)+IF(LEFT(AD370,4)="True",IF(_xlfn.XLOOKUP("Src_CIDR_Le_16",'Scoring_Config'!$A:$A,'Scoring_Config'!$D:$D,"Yes")="Yes",_xlfn.XLOOKUP("Src_CIDR_Le_16",'Scoring_Config'!$A:$A,'Scoring_Config'!$C:$C,25),0),0)+IF(LEFT(AE370,4)="True",IF(_xlfn.XLOOKUP("Src_CIDR_17_22",'Scoring_Config'!$A:$A,'Scoring_Config'!$D:$D,"Yes")="Yes",_xlfn.XLOOKUP("Src_CIDR_17_22",'Scoring_Config'!$A:$A,'Scoring_Config'!$C:$C,15),0),0)+IF(LEFT(AF370,4)="True",IF(_xlfn.XLOOKUP("Dst_IsAny",'Scoring_Config'!$A:$A,'Scoring_Config'!$D:$D,"Yes")="Yes",_xlfn.XLOOKUP("Dst_IsAny",'Scoring_Config'!$A:$A,'Scoring_Config'!$C:$C,25),0),0)+IF(LEFT(AG370,4)="True",IF(_xlfn.XLOOKUP("Dst_CIDR_Le_16",'Scoring_Config'!$A:$A,'Scoring_Config'!$D:$D,"Yes")="Yes",_xlfn.XLOOKUP("Dst_CIDR_Le_16",'Scoring_Config'!$A:$A,'Scoring_Config'!$C:$C,25),0),0)+IF(LEFT(AH370,4)="True",IF(_xlfn.XLOOKUP("Dst_CIDR_17_22",'Scoring_Config'!$A:$A,'Scoring_Config'!$D:$D,"Yes")="Yes",_xlfn.XLOOKUP("Dst_CIDR_17_22",'Scoring_Config'!$A:$A,'Scoring_Config'!$C:$C,15),0),0)+IF(LEFT(AI370,4)="True",IF(_xlfn.XLOOKUP("SrcZone_IsAny",'Scoring_Config'!$A:$A,'Scoring_Config'!$D:$D,"Yes")="Yes",_xlfn.XLOOKUP("SrcZone_IsAny",'Scoring_Config'!$A:$A,'Scoring_Config'!$C:$C,5),0),0)+IF(LEFT(AJ370,4)="True",IF(_xlfn.XLOOKUP("DstZone_IsAny",'Scoring_Config'!$A:$A,'Scoring_Config'!$D:$D,"Yes")="Yes",_xlfn.XLOOKUP("DstZone_IsAny",'Scoring_Config'!$A:$A,'Scoring_Config'!$C:$C,5),0),0)+IF(LEFT(AK370,4)="True",IF(_xlfn.XLOOKUP("Service_Any_OR_RangeGt1000",'Scoring_Config'!$A:$A,'Scoring_Config'!$D:$D,"Yes")="Yes",_xlfn.XLOOKUP("Service_Any_OR_RangeGt1000",'Scoring_Config'!$A:$A,'Scoring_Config'!$C:$C,25),0),0)+IF(LEFT(AL370,4)="True",IF(_xlfn.XLOOKUP("App_Any_OR_RangeGt1000",'Scoring_Config'!$A:$A,'Scoring_Config'!$D:$D,"Yes")="Yes",_xlfn.XLOOKUP("App_Any_OR_RangeGt1000",'Scoring_Config'!$A:$A,'Scoring_Config'!$C:$C,25),0),0)+IF(LEFT(AM370,4)="True",IF(_xlfn.XLOOKUP("Service_Insecure_Match",'Scoring_Config'!$A:$A,'Scoring_Config'!$D:$D,"Yes")="Yes",_xlfn.XLOOKUP("Service_Insecure_Match",'Scoring_Config'!$A:$A,'Scoring_Config'!$C:$C,20),0),0)+IF(LEFT(AN370,4)="True",IF(_xlfn.XLOOKUP("Risky_Inbound",'Scoring_Config'!$A:$A,'Scoring_Config'!$D:$D,"Yes")="Yes",_xlfn.XLOOKUP("Risky_Inbound",'Scoring_Config'!$A:$A,'Scoring_Config'!$C:$C,20),0),0)+IF(LEFT(AO370,4)="True",IF(_xlfn.XLOOKUP("Risky_Outbound",'Scoring_Config'!$A:$A,'Scoring_Config'!$D:$D,"Yes")="Yes",_xlfn.XLOOKUP("Risky_Outbound",'Scoring_Config'!$A:$A,'Scoring_Config'!$C:$C,10),0),0)+IF(LEFT(AW370,4)="True",IF(_xlfn.XLOOKUP("Migrate_Insecure",'Scoring_Config'!$A:$A,'Scoring_Config'!$D:$D,"Yes")="Yes",_xlfn.XLOOKUP("Migrate_Insecure",'Scoring_Config'!$A:$A,'Scoring_Config'!$C:$C,15),0),0)+IF(LEFT(AY370,4)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370,FIND(",",AP370)+1,100)),0)+IF(LEFT(AQ370,4)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370,FIND(",",AR370)+1,100)),0)+IF(_xlfn.XLOOKUP("Profile_Scoring",'Scoring_Config'!$A:$A,'Scoring_Config'!$D:$D,"Yes")="Yes",VALUE(MID(AS370,FIND(",",AS370)+1,100)),0)+IF(_xlfn.XLOOKUP("Options_Scoring",'Scoring_Config'!$A:$A,'Scoring_Config'!$D:$D,"Yes")="Yes",VALUE(MID(AT370,FIND(",",AT370)+1,100)),0)))</f>
        <v>0</v>
      </c>
    </row>
    <row r="371" spans="1:52">
      <c r="A371" s="3" t="s">
        <v>55</v>
      </c>
      <c r="B371" s="3" t="s">
        <v>288</v>
      </c>
      <c r="C371" s="3" t="s">
        <v>332</v>
      </c>
      <c r="D371" s="3"/>
      <c r="E371" s="3" t="s">
        <v>359</v>
      </c>
      <c r="F371" s="3" t="s">
        <v>362</v>
      </c>
      <c r="G371" s="3" t="s">
        <v>365</v>
      </c>
      <c r="H371" s="3" t="s">
        <v>365</v>
      </c>
      <c r="I371" s="3" t="s">
        <v>624</v>
      </c>
      <c r="J371" s="3" t="s">
        <v>360</v>
      </c>
      <c r="K371" s="3" t="s">
        <v>526</v>
      </c>
      <c r="L371" s="3" t="s">
        <v>526</v>
      </c>
      <c r="M371" s="3" t="s">
        <v>771</v>
      </c>
      <c r="N371" s="3" t="s">
        <v>793</v>
      </c>
      <c r="O371" s="4" t="s">
        <v>807</v>
      </c>
      <c r="P371" s="3" t="s">
        <v>868</v>
      </c>
      <c r="Q371" s="3" t="s">
        <v>904</v>
      </c>
      <c r="R371" s="3" t="s">
        <v>909</v>
      </c>
      <c r="S371" s="3" t="s">
        <v>914</v>
      </c>
      <c r="T371" s="3" t="s">
        <v>1086</v>
      </c>
      <c r="U371" s="3" t="s">
        <v>1333</v>
      </c>
      <c r="V371" s="3" t="s">
        <v>789</v>
      </c>
      <c r="W371" s="3" t="s">
        <v>1574</v>
      </c>
      <c r="X371" s="3" t="s">
        <v>1975</v>
      </c>
      <c r="Y371" s="3" t="s">
        <v>2444</v>
      </c>
      <c r="Z371" s="3"/>
      <c r="AA371" s="3"/>
      <c r="AB371" s="3"/>
      <c r="AC371" s="5" cm="1">
        <f t="array" ref="AC371">IF(TRUE,"True," &amp; IF(_xlfn.XLOOKUP("Src_IsAny",'Scoring_Config'!$A:$A,'Scoring_Config'!$D:$D,"Yes")="Yes",_xlfn.XLOOKUP("Src_IsAny",'Scoring_Config'!$A:$A,'Scoring_Config'!$C:$C,25),0),"False,0")</f>
        <v>0</v>
      </c>
      <c r="AD371" s="4" cm="1">
        <f t="array" ref="AD371">IF(FALSE,"True," &amp; IF(_xlfn.XLOOKUP("Src_CIDR_Le_16",'Scoring_Config'!$A:$A,'Scoring_Config'!$D:$D,"Yes")="Yes",_xlfn.XLOOKUP("Src_CIDR_Le_16",'Scoring_Config'!$A:$A,'Scoring_Config'!$C:$C,25),0),"False,0")</f>
        <v>0</v>
      </c>
      <c r="AE371" s="4" cm="1">
        <f t="array" ref="AE371">IF(FALSE,"True," &amp; IF(_xlfn.XLOOKUP("Src_CIDR_17_22",'Scoring_Config'!$A:$A,'Scoring_Config'!$D:$D,"Yes")="Yes",_xlfn.XLOOKUP("Src_CIDR_17_22",'Scoring_Config'!$A:$A,'Scoring_Config'!$C:$C,15),0),"False,0")</f>
        <v>0</v>
      </c>
      <c r="AF371" s="4" cm="1">
        <f t="array" ref="AF371">IF(FALSE,"True," &amp; IF(_xlfn.XLOOKUP("Dst_IsAny",'Scoring_Config'!$A:$A,'Scoring_Config'!$D:$D,"Yes")="Yes",_xlfn.XLOOKUP("Dst_IsAny",'Scoring_Config'!$A:$A,'Scoring_Config'!$C:$C,25),0),"False,0")</f>
        <v>0</v>
      </c>
      <c r="AG371" s="4" cm="1">
        <f t="array" ref="AG371">IF(FALSE,"True," &amp; IF(_xlfn.XLOOKUP("Dst_CIDR_Le_16",'Scoring_Config'!$A:$A,'Scoring_Config'!$D:$D,"Yes")="Yes",_xlfn.XLOOKUP("Dst_CIDR_Le_16",'Scoring_Config'!$A:$A,'Scoring_Config'!$C:$C,25),0),"False,0")</f>
        <v>0</v>
      </c>
      <c r="AH371" s="4" cm="1">
        <f t="array" ref="AH371">IF(FALSE,"True," &amp; IF(_xlfn.XLOOKUP("Dst_CIDR_17_22",'Scoring_Config'!$A:$A,'Scoring_Config'!$D:$D,"Yes")="Yes",_xlfn.XLOOKUP("Dst_CIDR_17_22",'Scoring_Config'!$A:$A,'Scoring_Config'!$C:$C,15),0),"False,0")</f>
        <v>0</v>
      </c>
      <c r="AI371" s="4" cm="1">
        <f t="array" ref="AI371">IF(FALSE,"True," &amp; IF(_xlfn.XLOOKUP("SrcZone_IsAny",'Scoring_Config'!$A:$A,'Scoring_Config'!$D:$D,"Yes")="Yes",_xlfn.XLOOKUP("SrcZone_IsAny",'Scoring_Config'!$A:$A,'Scoring_Config'!$C:$C,5),0),"False,0")</f>
        <v>0</v>
      </c>
      <c r="AJ371" s="4" cm="1">
        <f t="array" ref="AJ371">IF(FALSE,"True," &amp; IF(_xlfn.XLOOKUP("DstZone_IsAny",'Scoring_Config'!$A:$A,'Scoring_Config'!$D:$D,"Yes")="Yes",_xlfn.XLOOKUP("DstZone_IsAny",'Scoring_Config'!$A:$A,'Scoring_Config'!$C:$C,5),0),"False,0")</f>
        <v>0</v>
      </c>
      <c r="AK371" s="4" cm="1">
        <f t="array" ref="AK37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1" s="4" cm="1">
        <f t="array" ref="AL371">IF(FALSE,"True," &amp; IF(_xlfn.XLOOKUP("App_Any_OR_RangeGt1000",'Scoring_Config'!$A:$A,'Scoring_Config'!$D:$D,"Yes")="Yes",_xlfn.XLOOKUP("App_Any_OR_RangeGt1000",'Scoring_Config'!$A:$A,'Scoring_Config'!$C:$C,25),0),"False,0")</f>
        <v>0</v>
      </c>
      <c r="AM371" s="5" cm="1">
        <f t="array" ref="AM371">IF(TRUE,"True," &amp; IF(_xlfn.XLOOKUP("Service_Insecure_Match",'Scoring_Config'!$A:$A,'Scoring_Config'!$D:$D,"Yes")="Yes",_xlfn.XLOOKUP("Service_Insecure_Match",'Scoring_Config'!$A:$A,'Scoring_Config'!$C:$C,20),0),"False,0")</f>
        <v>0</v>
      </c>
      <c r="AN371" s="4" cm="1">
        <f t="array" ref="AN371">IF(FALSE,"True," &amp; IF(_xlfn.XLOOKUP("Risky_Inbound",'Scoring_Config'!$A:$A,'Scoring_Config'!$D:$D,"Yes")="Yes",_xlfn.XLOOKUP("Risky_Inbound",'Scoring_Config'!$A:$A,'Scoring_Config'!$C:$C,20),0),"False,0")</f>
        <v>0</v>
      </c>
      <c r="AO371" s="4" cm="1">
        <f t="array" ref="AO371">IF(FALSE,"True," &amp; IF(_xlfn.XLOOKUP("Risky_Outbound",'Scoring_Config'!$A:$A,'Scoring_Config'!$D:$D,"Yes")="Yes",_xlfn.XLOOKUP("Risky_Outbound",'Scoring_Config'!$A:$A,'Scoring_Config'!$C:$C,10),0),"False,0")</f>
        <v>0</v>
      </c>
      <c r="AP371" s="5" t="s">
        <v>2595</v>
      </c>
      <c r="AQ371" s="4" cm="1">
        <f t="array" ref="AQ37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1" s="5" t="s">
        <v>2598</v>
      </c>
      <c r="AS371" s="4" t="s">
        <v>2592</v>
      </c>
      <c r="AT371" s="4" t="s">
        <v>2592</v>
      </c>
      <c r="AU371" s="5" cm="1">
        <f t="array" ref="AU371">IF(TRUE,"True," &amp; IF(_xlfn.XLOOKUP("Action_IsDenyOrDrop",'Scoring_Config'!$A:$A,'Scoring_Config'!$D:$D,"Yes")="Yes",_xlfn.XLOOKUP("Action_IsDenyOrDrop",'Scoring_Config'!$A:$A,'Scoring_Config'!$C:$C,0),0),"False,0")</f>
        <v>0</v>
      </c>
      <c r="AV371" s="4"/>
      <c r="AW371" s="4" cm="1">
        <f t="array" ref="AW371">IF(FALSE,"True," &amp; IF(_xlfn.XLOOKUP("Migrate_Insecure",'Scoring_Config'!$A:$A,'Scoring_Config'!$D:$D,"Yes")="Yes",_xlfn.XLOOKUP("Migrate_Insecure",'Scoring_Config'!$A:$A,'Scoring_Config'!$C:$C,15),0),"False,0")</f>
        <v>0</v>
      </c>
      <c r="AX371" s="4"/>
      <c r="AY371" s="4" cm="1">
        <f t="array" ref="AY371">IF(FALSE,"True," &amp; IF(_xlfn.XLOOKUP("Migrate_Other_Ports",'Scoring_Config'!$A:$A,'Scoring_Config'!$D:$D,"Yes")="Yes",_xlfn.XLOOKUP("Migrate_Other_Ports",'Scoring_Config'!$A:$A,'Scoring_Config'!$C:$C,5),0),"False,0")</f>
        <v>0</v>
      </c>
      <c r="AZ371" s="4" cm="1">
        <f t="array" ref="AZ371">IF(LEFT(AU371,4)="True",0,(IF(LEFT(AC371,4)="True",IF(_xlfn.XLOOKUP("Src_IsAny",'Scoring_Config'!$A:$A,'Scoring_Config'!$D:$D,"Yes")="Yes",_xlfn.XLOOKUP("Src_IsAny",'Scoring_Config'!$A:$A,'Scoring_Config'!$C:$C,25),0),0)+IF(LEFT(AD371,4)="True",IF(_xlfn.XLOOKUP("Src_CIDR_Le_16",'Scoring_Config'!$A:$A,'Scoring_Config'!$D:$D,"Yes")="Yes",_xlfn.XLOOKUP("Src_CIDR_Le_16",'Scoring_Config'!$A:$A,'Scoring_Config'!$C:$C,25),0),0)+IF(LEFT(AE371,4)="True",IF(_xlfn.XLOOKUP("Src_CIDR_17_22",'Scoring_Config'!$A:$A,'Scoring_Config'!$D:$D,"Yes")="Yes",_xlfn.XLOOKUP("Src_CIDR_17_22",'Scoring_Config'!$A:$A,'Scoring_Config'!$C:$C,15),0),0)+IF(LEFT(AF371,4)="True",IF(_xlfn.XLOOKUP("Dst_IsAny",'Scoring_Config'!$A:$A,'Scoring_Config'!$D:$D,"Yes")="Yes",_xlfn.XLOOKUP("Dst_IsAny",'Scoring_Config'!$A:$A,'Scoring_Config'!$C:$C,25),0),0)+IF(LEFT(AG371,4)="True",IF(_xlfn.XLOOKUP("Dst_CIDR_Le_16",'Scoring_Config'!$A:$A,'Scoring_Config'!$D:$D,"Yes")="Yes",_xlfn.XLOOKUP("Dst_CIDR_Le_16",'Scoring_Config'!$A:$A,'Scoring_Config'!$C:$C,25),0),0)+IF(LEFT(AH371,4)="True",IF(_xlfn.XLOOKUP("Dst_CIDR_17_22",'Scoring_Config'!$A:$A,'Scoring_Config'!$D:$D,"Yes")="Yes",_xlfn.XLOOKUP("Dst_CIDR_17_22",'Scoring_Config'!$A:$A,'Scoring_Config'!$C:$C,15),0),0)+IF(LEFT(AI371,4)="True",IF(_xlfn.XLOOKUP("SrcZone_IsAny",'Scoring_Config'!$A:$A,'Scoring_Config'!$D:$D,"Yes")="Yes",_xlfn.XLOOKUP("SrcZone_IsAny",'Scoring_Config'!$A:$A,'Scoring_Config'!$C:$C,5),0),0)+IF(LEFT(AJ371,4)="True",IF(_xlfn.XLOOKUP("DstZone_IsAny",'Scoring_Config'!$A:$A,'Scoring_Config'!$D:$D,"Yes")="Yes",_xlfn.XLOOKUP("DstZone_IsAny",'Scoring_Config'!$A:$A,'Scoring_Config'!$C:$C,5),0),0)+IF(LEFT(AK371,4)="True",IF(_xlfn.XLOOKUP("Service_Any_OR_RangeGt1000",'Scoring_Config'!$A:$A,'Scoring_Config'!$D:$D,"Yes")="Yes",_xlfn.XLOOKUP("Service_Any_OR_RangeGt1000",'Scoring_Config'!$A:$A,'Scoring_Config'!$C:$C,25),0),0)+IF(LEFT(AL371,4)="True",IF(_xlfn.XLOOKUP("App_Any_OR_RangeGt1000",'Scoring_Config'!$A:$A,'Scoring_Config'!$D:$D,"Yes")="Yes",_xlfn.XLOOKUP("App_Any_OR_RangeGt1000",'Scoring_Config'!$A:$A,'Scoring_Config'!$C:$C,25),0),0)+IF(LEFT(AM371,4)="True",IF(_xlfn.XLOOKUP("Service_Insecure_Match",'Scoring_Config'!$A:$A,'Scoring_Config'!$D:$D,"Yes")="Yes",_xlfn.XLOOKUP("Service_Insecure_Match",'Scoring_Config'!$A:$A,'Scoring_Config'!$C:$C,20),0),0)+IF(LEFT(AN371,4)="True",IF(_xlfn.XLOOKUP("Risky_Inbound",'Scoring_Config'!$A:$A,'Scoring_Config'!$D:$D,"Yes")="Yes",_xlfn.XLOOKUP("Risky_Inbound",'Scoring_Config'!$A:$A,'Scoring_Config'!$C:$C,20),0),0)+IF(LEFT(AO371,4)="True",IF(_xlfn.XLOOKUP("Risky_Outbound",'Scoring_Config'!$A:$A,'Scoring_Config'!$D:$D,"Yes")="Yes",_xlfn.XLOOKUP("Risky_Outbound",'Scoring_Config'!$A:$A,'Scoring_Config'!$C:$C,10),0),0)+IF(LEFT(AW371,4)="True",IF(_xlfn.XLOOKUP("Migrate_Insecure",'Scoring_Config'!$A:$A,'Scoring_Config'!$D:$D,"Yes")="Yes",_xlfn.XLOOKUP("Migrate_Insecure",'Scoring_Config'!$A:$A,'Scoring_Config'!$C:$C,15),0),0)+IF(LEFT(AY371,4)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371,FIND(",",AP371)+1,100)),0)+IF(LEFT(AQ371,4)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371,FIND(",",AR371)+1,100)),0)+IF(_xlfn.XLOOKUP("Profile_Scoring",'Scoring_Config'!$A:$A,'Scoring_Config'!$D:$D,"Yes")="Yes",VALUE(MID(AS371,FIND(",",AS371)+1,100)),0)+IF(_xlfn.XLOOKUP("Options_Scoring",'Scoring_Config'!$A:$A,'Scoring_Config'!$D:$D,"Yes")="Yes",VALUE(MID(AT371,FIND(",",AT371)+1,100)),0)))</f>
        <v>0</v>
      </c>
    </row>
    <row r="372" spans="1:52">
      <c r="A372" s="3" t="s">
        <v>55</v>
      </c>
      <c r="B372" s="3" t="s">
        <v>289</v>
      </c>
      <c r="C372" s="3" t="s">
        <v>332</v>
      </c>
      <c r="D372" s="3"/>
      <c r="E372" s="3" t="s">
        <v>359</v>
      </c>
      <c r="F372" s="3" t="s">
        <v>363</v>
      </c>
      <c r="G372" s="3" t="s">
        <v>365</v>
      </c>
      <c r="H372" s="3" t="s">
        <v>365</v>
      </c>
      <c r="I372" s="3" t="s">
        <v>624</v>
      </c>
      <c r="J372" s="3" t="s">
        <v>363</v>
      </c>
      <c r="K372" s="3" t="s">
        <v>365</v>
      </c>
      <c r="L372" s="3" t="s">
        <v>365</v>
      </c>
      <c r="M372" s="3" t="s">
        <v>769</v>
      </c>
      <c r="N372" s="3" t="s">
        <v>792</v>
      </c>
      <c r="O372" s="4" t="s">
        <v>814</v>
      </c>
      <c r="P372" s="3" t="s">
        <v>875</v>
      </c>
      <c r="Q372" s="3" t="s">
        <v>905</v>
      </c>
      <c r="R372" s="3" t="s">
        <v>907</v>
      </c>
      <c r="S372" s="3" t="s">
        <v>914</v>
      </c>
      <c r="T372" s="3" t="s">
        <v>1087</v>
      </c>
      <c r="U372" s="3" t="s">
        <v>1147</v>
      </c>
      <c r="V372" s="3" t="s">
        <v>770</v>
      </c>
      <c r="W372" s="3" t="s">
        <v>1012</v>
      </c>
      <c r="X372" s="3" t="s">
        <v>1976</v>
      </c>
      <c r="Y372" s="3" t="s">
        <v>2445</v>
      </c>
      <c r="Z372" s="3"/>
      <c r="AA372" s="3"/>
      <c r="AB372" s="3"/>
      <c r="AC372" s="5" cm="1">
        <f t="array" ref="AC372">IF(TRUE,"True," &amp; IF(_xlfn.XLOOKUP("Src_IsAny",'Scoring_Config'!$A:$A,'Scoring_Config'!$D:$D,"Yes")="Yes",_xlfn.XLOOKUP("Src_IsAny",'Scoring_Config'!$A:$A,'Scoring_Config'!$C:$C,25),0),"False,0")</f>
        <v>0</v>
      </c>
      <c r="AD372" s="4" cm="1">
        <f t="array" ref="AD372">IF(FALSE,"True," &amp; IF(_xlfn.XLOOKUP("Src_CIDR_Le_16",'Scoring_Config'!$A:$A,'Scoring_Config'!$D:$D,"Yes")="Yes",_xlfn.XLOOKUP("Src_CIDR_Le_16",'Scoring_Config'!$A:$A,'Scoring_Config'!$C:$C,25),0),"False,0")</f>
        <v>0</v>
      </c>
      <c r="AE372" s="4" cm="1">
        <f t="array" ref="AE372">IF(FALSE,"True," &amp; IF(_xlfn.XLOOKUP("Src_CIDR_17_22",'Scoring_Config'!$A:$A,'Scoring_Config'!$D:$D,"Yes")="Yes",_xlfn.XLOOKUP("Src_CIDR_17_22",'Scoring_Config'!$A:$A,'Scoring_Config'!$C:$C,15),0),"False,0")</f>
        <v>0</v>
      </c>
      <c r="AF372" s="5" cm="1">
        <f t="array" ref="AF372">IF(TRUE,"True," &amp; IF(_xlfn.XLOOKUP("Dst_IsAny",'Scoring_Config'!$A:$A,'Scoring_Config'!$D:$D,"Yes")="Yes",_xlfn.XLOOKUP("Dst_IsAny",'Scoring_Config'!$A:$A,'Scoring_Config'!$C:$C,25),0),"False,0")</f>
        <v>0</v>
      </c>
      <c r="AG372" s="4" cm="1">
        <f t="array" ref="AG372">IF(FALSE,"True," &amp; IF(_xlfn.XLOOKUP("Dst_CIDR_Le_16",'Scoring_Config'!$A:$A,'Scoring_Config'!$D:$D,"Yes")="Yes",_xlfn.XLOOKUP("Dst_CIDR_Le_16",'Scoring_Config'!$A:$A,'Scoring_Config'!$C:$C,25),0),"False,0")</f>
        <v>0</v>
      </c>
      <c r="AH372" s="4" cm="1">
        <f t="array" ref="AH372">IF(FALSE,"True," &amp; IF(_xlfn.XLOOKUP("Dst_CIDR_17_22",'Scoring_Config'!$A:$A,'Scoring_Config'!$D:$D,"Yes")="Yes",_xlfn.XLOOKUP("Dst_CIDR_17_22",'Scoring_Config'!$A:$A,'Scoring_Config'!$C:$C,15),0),"False,0")</f>
        <v>0</v>
      </c>
      <c r="AI372" s="4" cm="1">
        <f t="array" ref="AI372">IF(FALSE,"True," &amp; IF(_xlfn.XLOOKUP("SrcZone_IsAny",'Scoring_Config'!$A:$A,'Scoring_Config'!$D:$D,"Yes")="Yes",_xlfn.XLOOKUP("SrcZone_IsAny",'Scoring_Config'!$A:$A,'Scoring_Config'!$C:$C,5),0),"False,0")</f>
        <v>0</v>
      </c>
      <c r="AJ372" s="4" cm="1">
        <f t="array" ref="AJ372">IF(FALSE,"True," &amp; IF(_xlfn.XLOOKUP("DstZone_IsAny",'Scoring_Config'!$A:$A,'Scoring_Config'!$D:$D,"Yes")="Yes",_xlfn.XLOOKUP("DstZone_IsAny",'Scoring_Config'!$A:$A,'Scoring_Config'!$C:$C,5),0),"False,0")</f>
        <v>0</v>
      </c>
      <c r="AK372" s="4" cm="1">
        <f t="array" ref="AK37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2" s="4" cm="1">
        <f t="array" ref="AL372">IF(FALSE,"True," &amp; IF(_xlfn.XLOOKUP("App_Any_OR_RangeGt1000",'Scoring_Config'!$A:$A,'Scoring_Config'!$D:$D,"Yes")="Yes",_xlfn.XLOOKUP("App_Any_OR_RangeGt1000",'Scoring_Config'!$A:$A,'Scoring_Config'!$C:$C,25),0),"False,0")</f>
        <v>0</v>
      </c>
      <c r="AM372" s="5" cm="1">
        <f t="array" ref="AM372">IF(TRUE,"True," &amp; IF(_xlfn.XLOOKUP("Service_Insecure_Match",'Scoring_Config'!$A:$A,'Scoring_Config'!$D:$D,"Yes")="Yes",_xlfn.XLOOKUP("Service_Insecure_Match",'Scoring_Config'!$A:$A,'Scoring_Config'!$C:$C,20),0),"False,0")</f>
        <v>0</v>
      </c>
      <c r="AN372" s="4" cm="1">
        <f t="array" ref="AN372">IF(FALSE,"True," &amp; IF(_xlfn.XLOOKUP("Risky_Inbound",'Scoring_Config'!$A:$A,'Scoring_Config'!$D:$D,"Yes")="Yes",_xlfn.XLOOKUP("Risky_Inbound",'Scoring_Config'!$A:$A,'Scoring_Config'!$C:$C,20),0),"False,0")</f>
        <v>0</v>
      </c>
      <c r="AO372" s="4" cm="1">
        <f t="array" ref="AO372">IF(FALSE,"True," &amp; IF(_xlfn.XLOOKUP("Risky_Outbound",'Scoring_Config'!$A:$A,'Scoring_Config'!$D:$D,"Yes")="Yes",_xlfn.XLOOKUP("Risky_Outbound",'Scoring_Config'!$A:$A,'Scoring_Config'!$C:$C,10),0),"False,0")</f>
        <v>0</v>
      </c>
      <c r="AP372" s="5" t="s">
        <v>2595</v>
      </c>
      <c r="AQ372" s="5" cm="1">
        <f t="array" ref="AQ37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2" s="5" t="s">
        <v>2598</v>
      </c>
      <c r="AS372" s="5" t="s">
        <v>2595</v>
      </c>
      <c r="AT372" s="4" t="s">
        <v>2592</v>
      </c>
      <c r="AU372" s="4" cm="1">
        <f t="array" ref="AU372">IF(FALSE,"True," &amp; IF(_xlfn.XLOOKUP("Action_IsDenyOrDrop",'Scoring_Config'!$A:$A,'Scoring_Config'!$D:$D,"Yes")="Yes",_xlfn.XLOOKUP("Action_IsDenyOrDrop",'Scoring_Config'!$A:$A,'Scoring_Config'!$C:$C,0),0),"False,0")</f>
        <v>0</v>
      </c>
      <c r="AV372" s="4"/>
      <c r="AW372" s="4" cm="1">
        <f t="array" ref="AW372">IF(FALSE,"True," &amp; IF(_xlfn.XLOOKUP("Migrate_Insecure",'Scoring_Config'!$A:$A,'Scoring_Config'!$D:$D,"Yes")="Yes",_xlfn.XLOOKUP("Migrate_Insecure",'Scoring_Config'!$A:$A,'Scoring_Config'!$C:$C,15),0),"False,0")</f>
        <v>0</v>
      </c>
      <c r="AX372" s="4"/>
      <c r="AY372" s="4" cm="1">
        <f t="array" ref="AY372">IF(FALSE,"True," &amp; IF(_xlfn.XLOOKUP("Migrate_Other_Ports",'Scoring_Config'!$A:$A,'Scoring_Config'!$D:$D,"Yes")="Yes",_xlfn.XLOOKUP("Migrate_Other_Ports",'Scoring_Config'!$A:$A,'Scoring_Config'!$C:$C,5),0),"False,0")</f>
        <v>0</v>
      </c>
      <c r="AZ372" s="4" cm="1">
        <f t="array" ref="AZ372">IF(LEFT(AU372,4)="True",0,(IF(LEFT(AC372,4)="True",IF(_xlfn.XLOOKUP("Src_IsAny",'Scoring_Config'!$A:$A,'Scoring_Config'!$D:$D,"Yes")="Yes",_xlfn.XLOOKUP("Src_IsAny",'Scoring_Config'!$A:$A,'Scoring_Config'!$C:$C,25),0),0)+IF(LEFT(AD372,4)="True",IF(_xlfn.XLOOKUP("Src_CIDR_Le_16",'Scoring_Config'!$A:$A,'Scoring_Config'!$D:$D,"Yes")="Yes",_xlfn.XLOOKUP("Src_CIDR_Le_16",'Scoring_Config'!$A:$A,'Scoring_Config'!$C:$C,25),0),0)+IF(LEFT(AE372,4)="True",IF(_xlfn.XLOOKUP("Src_CIDR_17_22",'Scoring_Config'!$A:$A,'Scoring_Config'!$D:$D,"Yes")="Yes",_xlfn.XLOOKUP("Src_CIDR_17_22",'Scoring_Config'!$A:$A,'Scoring_Config'!$C:$C,15),0),0)+IF(LEFT(AF372,4)="True",IF(_xlfn.XLOOKUP("Dst_IsAny",'Scoring_Config'!$A:$A,'Scoring_Config'!$D:$D,"Yes")="Yes",_xlfn.XLOOKUP("Dst_IsAny",'Scoring_Config'!$A:$A,'Scoring_Config'!$C:$C,25),0),0)+IF(LEFT(AG372,4)="True",IF(_xlfn.XLOOKUP("Dst_CIDR_Le_16",'Scoring_Config'!$A:$A,'Scoring_Config'!$D:$D,"Yes")="Yes",_xlfn.XLOOKUP("Dst_CIDR_Le_16",'Scoring_Config'!$A:$A,'Scoring_Config'!$C:$C,25),0),0)+IF(LEFT(AH372,4)="True",IF(_xlfn.XLOOKUP("Dst_CIDR_17_22",'Scoring_Config'!$A:$A,'Scoring_Config'!$D:$D,"Yes")="Yes",_xlfn.XLOOKUP("Dst_CIDR_17_22",'Scoring_Config'!$A:$A,'Scoring_Config'!$C:$C,15),0),0)+IF(LEFT(AI372,4)="True",IF(_xlfn.XLOOKUP("SrcZone_IsAny",'Scoring_Config'!$A:$A,'Scoring_Config'!$D:$D,"Yes")="Yes",_xlfn.XLOOKUP("SrcZone_IsAny",'Scoring_Config'!$A:$A,'Scoring_Config'!$C:$C,5),0),0)+IF(LEFT(AJ372,4)="True",IF(_xlfn.XLOOKUP("DstZone_IsAny",'Scoring_Config'!$A:$A,'Scoring_Config'!$D:$D,"Yes")="Yes",_xlfn.XLOOKUP("DstZone_IsAny",'Scoring_Config'!$A:$A,'Scoring_Config'!$C:$C,5),0),0)+IF(LEFT(AK372,4)="True",IF(_xlfn.XLOOKUP("Service_Any_OR_RangeGt1000",'Scoring_Config'!$A:$A,'Scoring_Config'!$D:$D,"Yes")="Yes",_xlfn.XLOOKUP("Service_Any_OR_RangeGt1000",'Scoring_Config'!$A:$A,'Scoring_Config'!$C:$C,25),0),0)+IF(LEFT(AL372,4)="True",IF(_xlfn.XLOOKUP("App_Any_OR_RangeGt1000",'Scoring_Config'!$A:$A,'Scoring_Config'!$D:$D,"Yes")="Yes",_xlfn.XLOOKUP("App_Any_OR_RangeGt1000",'Scoring_Config'!$A:$A,'Scoring_Config'!$C:$C,25),0),0)+IF(LEFT(AM372,4)="True",IF(_xlfn.XLOOKUP("Service_Insecure_Match",'Scoring_Config'!$A:$A,'Scoring_Config'!$D:$D,"Yes")="Yes",_xlfn.XLOOKUP("Service_Insecure_Match",'Scoring_Config'!$A:$A,'Scoring_Config'!$C:$C,20),0),0)+IF(LEFT(AN372,4)="True",IF(_xlfn.XLOOKUP("Risky_Inbound",'Scoring_Config'!$A:$A,'Scoring_Config'!$D:$D,"Yes")="Yes",_xlfn.XLOOKUP("Risky_Inbound",'Scoring_Config'!$A:$A,'Scoring_Config'!$C:$C,20),0),0)+IF(LEFT(AO372,4)="True",IF(_xlfn.XLOOKUP("Risky_Outbound",'Scoring_Config'!$A:$A,'Scoring_Config'!$D:$D,"Yes")="Yes",_xlfn.XLOOKUP("Risky_Outbound",'Scoring_Config'!$A:$A,'Scoring_Config'!$C:$C,10),0),0)+IF(LEFT(AW372,4)="True",IF(_xlfn.XLOOKUP("Migrate_Insecure",'Scoring_Config'!$A:$A,'Scoring_Config'!$D:$D,"Yes")="Yes",_xlfn.XLOOKUP("Migrate_Insecure",'Scoring_Config'!$A:$A,'Scoring_Config'!$C:$C,15),0),0)+IF(LEFT(AY372,4)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372,FIND(",",AP372)+1,100)),0)+IF(LEFT(AQ372,4)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372,FIND(",",AR372)+1,100)),0)+IF(_xlfn.XLOOKUP("Profile_Scoring",'Scoring_Config'!$A:$A,'Scoring_Config'!$D:$D,"Yes")="Yes",VALUE(MID(AS372,FIND(",",AS372)+1,100)),0)+IF(_xlfn.XLOOKUP("Options_Scoring",'Scoring_Config'!$A:$A,'Scoring_Config'!$D:$D,"Yes")="Yes",VALUE(MID(AT372,FIND(",",AT372)+1,100)),0)))</f>
        <v>0</v>
      </c>
    </row>
    <row r="373" spans="1:52">
      <c r="A373" s="3" t="s">
        <v>55</v>
      </c>
      <c r="B373" s="3" t="s">
        <v>210</v>
      </c>
      <c r="C373" s="3" t="s">
        <v>332</v>
      </c>
      <c r="D373" s="3"/>
      <c r="E373" s="3" t="s">
        <v>359</v>
      </c>
      <c r="F373" s="3" t="s">
        <v>360</v>
      </c>
      <c r="G373" s="3" t="s">
        <v>507</v>
      </c>
      <c r="H373" s="3" t="s">
        <v>507</v>
      </c>
      <c r="I373" s="3" t="s">
        <v>365</v>
      </c>
      <c r="J373" s="3" t="s">
        <v>364</v>
      </c>
      <c r="K373" s="3" t="s">
        <v>721</v>
      </c>
      <c r="L373" s="3" t="s">
        <v>535</v>
      </c>
      <c r="M373" s="3" t="s">
        <v>365</v>
      </c>
      <c r="N373" s="3" t="s">
        <v>365</v>
      </c>
      <c r="O373" s="4" t="s">
        <v>830</v>
      </c>
      <c r="P373" s="3" t="s">
        <v>891</v>
      </c>
      <c r="Q373" s="3" t="s">
        <v>905</v>
      </c>
      <c r="R373" s="3" t="s">
        <v>906</v>
      </c>
      <c r="S373" s="3" t="s">
        <v>907</v>
      </c>
      <c r="T373" s="3" t="s">
        <v>1088</v>
      </c>
      <c r="U373" s="3" t="s">
        <v>1150</v>
      </c>
      <c r="V373" s="3" t="s">
        <v>1387</v>
      </c>
      <c r="W373" s="3" t="s">
        <v>1059</v>
      </c>
      <c r="X373" s="3" t="s">
        <v>1977</v>
      </c>
      <c r="Y373" s="3" t="s">
        <v>2446</v>
      </c>
      <c r="Z373" s="3"/>
      <c r="AA373" s="3"/>
      <c r="AB373" s="3"/>
      <c r="AC373" s="4" cm="1">
        <f t="array" ref="AC373">IF(FALSE,"True," &amp; IF(_xlfn.XLOOKUP("Src_IsAny",'Scoring_Config'!$A:$A,'Scoring_Config'!$D:$D,"Yes")="Yes",_xlfn.XLOOKUP("Src_IsAny",'Scoring_Config'!$A:$A,'Scoring_Config'!$C:$C,25),0),"False,0")</f>
        <v>0</v>
      </c>
      <c r="AD373" s="4" cm="1">
        <f t="array" ref="AD373">IF(FALSE,"True," &amp; IF(_xlfn.XLOOKUP("Src_CIDR_Le_16",'Scoring_Config'!$A:$A,'Scoring_Config'!$D:$D,"Yes")="Yes",_xlfn.XLOOKUP("Src_CIDR_Le_16",'Scoring_Config'!$A:$A,'Scoring_Config'!$C:$C,25),0),"False,0")</f>
        <v>0</v>
      </c>
      <c r="AE373" s="4" cm="1">
        <f t="array" ref="AE373">IF(FALSE,"True," &amp; IF(_xlfn.XLOOKUP("Src_CIDR_17_22",'Scoring_Config'!$A:$A,'Scoring_Config'!$D:$D,"Yes")="Yes",_xlfn.XLOOKUP("Src_CIDR_17_22",'Scoring_Config'!$A:$A,'Scoring_Config'!$C:$C,15),0),"False,0")</f>
        <v>0</v>
      </c>
      <c r="AF373" s="4" cm="1">
        <f t="array" ref="AF373">IF(FALSE,"True," &amp; IF(_xlfn.XLOOKUP("Dst_IsAny",'Scoring_Config'!$A:$A,'Scoring_Config'!$D:$D,"Yes")="Yes",_xlfn.XLOOKUP("Dst_IsAny",'Scoring_Config'!$A:$A,'Scoring_Config'!$C:$C,25),0),"False,0")</f>
        <v>0</v>
      </c>
      <c r="AG373" s="5" cm="1">
        <f t="array" ref="AG373">IF(TRUE,"True," &amp; IF(_xlfn.XLOOKUP("Dst_CIDR_Le_16",'Scoring_Config'!$A:$A,'Scoring_Config'!$D:$D,"Yes")="Yes",_xlfn.XLOOKUP("Dst_CIDR_Le_16",'Scoring_Config'!$A:$A,'Scoring_Config'!$C:$C,25),0),"False,0")</f>
        <v>0</v>
      </c>
      <c r="AH373" s="4" cm="1">
        <f t="array" ref="AH373">IF(FALSE,"True," &amp; IF(_xlfn.XLOOKUP("Dst_CIDR_17_22",'Scoring_Config'!$A:$A,'Scoring_Config'!$D:$D,"Yes")="Yes",_xlfn.XLOOKUP("Dst_CIDR_17_22",'Scoring_Config'!$A:$A,'Scoring_Config'!$C:$C,15),0),"False,0")</f>
        <v>0</v>
      </c>
      <c r="AI373" s="4" cm="1">
        <f t="array" ref="AI373">IF(FALSE,"True," &amp; IF(_xlfn.XLOOKUP("SrcZone_IsAny",'Scoring_Config'!$A:$A,'Scoring_Config'!$D:$D,"Yes")="Yes",_xlfn.XLOOKUP("SrcZone_IsAny",'Scoring_Config'!$A:$A,'Scoring_Config'!$C:$C,5),0),"False,0")</f>
        <v>0</v>
      </c>
      <c r="AJ373" s="4" cm="1">
        <f t="array" ref="AJ373">IF(FALSE,"True," &amp; IF(_xlfn.XLOOKUP("DstZone_IsAny",'Scoring_Config'!$A:$A,'Scoring_Config'!$D:$D,"Yes")="Yes",_xlfn.XLOOKUP("DstZone_IsAny",'Scoring_Config'!$A:$A,'Scoring_Config'!$C:$C,5),0),"False,0")</f>
        <v>0</v>
      </c>
      <c r="AK373" s="4" cm="1">
        <f t="array" ref="AK37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3" s="5" cm="1">
        <f t="array" ref="AL373">IF(TRUE,"True," &amp; IF(_xlfn.XLOOKUP("App_Any_OR_RangeGt1000",'Scoring_Config'!$A:$A,'Scoring_Config'!$D:$D,"Yes")="Yes",_xlfn.XLOOKUP("App_Any_OR_RangeGt1000",'Scoring_Config'!$A:$A,'Scoring_Config'!$C:$C,25),0),"False,0")</f>
        <v>0</v>
      </c>
      <c r="AM373" s="5" cm="1">
        <f t="array" ref="AM373">IF(TRUE,"True," &amp; IF(_xlfn.XLOOKUP("Service_Insecure_Match",'Scoring_Config'!$A:$A,'Scoring_Config'!$D:$D,"Yes")="Yes",_xlfn.XLOOKUP("Service_Insecure_Match",'Scoring_Config'!$A:$A,'Scoring_Config'!$C:$C,20),0),"False,0")</f>
        <v>0</v>
      </c>
      <c r="AN373" s="4" cm="1">
        <f t="array" ref="AN373">IF(FALSE,"True," &amp; IF(_xlfn.XLOOKUP("Risky_Inbound",'Scoring_Config'!$A:$A,'Scoring_Config'!$D:$D,"Yes")="Yes",_xlfn.XLOOKUP("Risky_Inbound",'Scoring_Config'!$A:$A,'Scoring_Config'!$C:$C,20),0),"False,0")</f>
        <v>0</v>
      </c>
      <c r="AO373" s="4" cm="1">
        <f t="array" ref="AO373">IF(FALSE,"True," &amp; IF(_xlfn.XLOOKUP("Risky_Outbound",'Scoring_Config'!$A:$A,'Scoring_Config'!$D:$D,"Yes")="Yes",_xlfn.XLOOKUP("Risky_Outbound",'Scoring_Config'!$A:$A,'Scoring_Config'!$C:$C,10),0),"False,0")</f>
        <v>0</v>
      </c>
      <c r="AP373" s="5" t="s">
        <v>2595</v>
      </c>
      <c r="AQ373" s="5" cm="1">
        <f t="array" ref="AQ37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3" s="4" t="s">
        <v>2592</v>
      </c>
      <c r="AS373" s="4" t="s">
        <v>2592</v>
      </c>
      <c r="AT373" s="5" t="s">
        <v>2595</v>
      </c>
      <c r="AU373" s="4" cm="1">
        <f t="array" ref="AU373">IF(FALSE,"True," &amp; IF(_xlfn.XLOOKUP("Action_IsDenyOrDrop",'Scoring_Config'!$A:$A,'Scoring_Config'!$D:$D,"Yes")="Yes",_xlfn.XLOOKUP("Action_IsDenyOrDrop",'Scoring_Config'!$A:$A,'Scoring_Config'!$C:$C,0),0),"False,0")</f>
        <v>0</v>
      </c>
      <c r="AV373" s="4"/>
      <c r="AW373" s="4" cm="1">
        <f t="array" ref="AW373">IF(FALSE,"True," &amp; IF(_xlfn.XLOOKUP("Migrate_Insecure",'Scoring_Config'!$A:$A,'Scoring_Config'!$D:$D,"Yes")="Yes",_xlfn.XLOOKUP("Migrate_Insecure",'Scoring_Config'!$A:$A,'Scoring_Config'!$C:$C,15),0),"False,0")</f>
        <v>0</v>
      </c>
      <c r="AX373" s="4"/>
      <c r="AY373" s="4" cm="1">
        <f t="array" ref="AY373">IF(FALSE,"True," &amp; IF(_xlfn.XLOOKUP("Migrate_Other_Ports",'Scoring_Config'!$A:$A,'Scoring_Config'!$D:$D,"Yes")="Yes",_xlfn.XLOOKUP("Migrate_Other_Ports",'Scoring_Config'!$A:$A,'Scoring_Config'!$C:$C,5),0),"False,0")</f>
        <v>0</v>
      </c>
      <c r="AZ373" s="4" cm="1">
        <f t="array" ref="AZ373">IF(LEFT(AU373,4)="True",0,(IF(LEFT(AC373,4)="True",IF(_xlfn.XLOOKUP("Src_IsAny",'Scoring_Config'!$A:$A,'Scoring_Config'!$D:$D,"Yes")="Yes",_xlfn.XLOOKUP("Src_IsAny",'Scoring_Config'!$A:$A,'Scoring_Config'!$C:$C,25),0),0)+IF(LEFT(AD373,4)="True",IF(_xlfn.XLOOKUP("Src_CIDR_Le_16",'Scoring_Config'!$A:$A,'Scoring_Config'!$D:$D,"Yes")="Yes",_xlfn.XLOOKUP("Src_CIDR_Le_16",'Scoring_Config'!$A:$A,'Scoring_Config'!$C:$C,25),0),0)+IF(LEFT(AE373,4)="True",IF(_xlfn.XLOOKUP("Src_CIDR_17_22",'Scoring_Config'!$A:$A,'Scoring_Config'!$D:$D,"Yes")="Yes",_xlfn.XLOOKUP("Src_CIDR_17_22",'Scoring_Config'!$A:$A,'Scoring_Config'!$C:$C,15),0),0)+IF(LEFT(AF373,4)="True",IF(_xlfn.XLOOKUP("Dst_IsAny",'Scoring_Config'!$A:$A,'Scoring_Config'!$D:$D,"Yes")="Yes",_xlfn.XLOOKUP("Dst_IsAny",'Scoring_Config'!$A:$A,'Scoring_Config'!$C:$C,25),0),0)+IF(LEFT(AG373,4)="True",IF(_xlfn.XLOOKUP("Dst_CIDR_Le_16",'Scoring_Config'!$A:$A,'Scoring_Config'!$D:$D,"Yes")="Yes",_xlfn.XLOOKUP("Dst_CIDR_Le_16",'Scoring_Config'!$A:$A,'Scoring_Config'!$C:$C,25),0),0)+IF(LEFT(AH373,4)="True",IF(_xlfn.XLOOKUP("Dst_CIDR_17_22",'Scoring_Config'!$A:$A,'Scoring_Config'!$D:$D,"Yes")="Yes",_xlfn.XLOOKUP("Dst_CIDR_17_22",'Scoring_Config'!$A:$A,'Scoring_Config'!$C:$C,15),0),0)+IF(LEFT(AI373,4)="True",IF(_xlfn.XLOOKUP("SrcZone_IsAny",'Scoring_Config'!$A:$A,'Scoring_Config'!$D:$D,"Yes")="Yes",_xlfn.XLOOKUP("SrcZone_IsAny",'Scoring_Config'!$A:$A,'Scoring_Config'!$C:$C,5),0),0)+IF(LEFT(AJ373,4)="True",IF(_xlfn.XLOOKUP("DstZone_IsAny",'Scoring_Config'!$A:$A,'Scoring_Config'!$D:$D,"Yes")="Yes",_xlfn.XLOOKUP("DstZone_IsAny",'Scoring_Config'!$A:$A,'Scoring_Config'!$C:$C,5),0),0)+IF(LEFT(AK373,4)="True",IF(_xlfn.XLOOKUP("Service_Any_OR_RangeGt1000",'Scoring_Config'!$A:$A,'Scoring_Config'!$D:$D,"Yes")="Yes",_xlfn.XLOOKUP("Service_Any_OR_RangeGt1000",'Scoring_Config'!$A:$A,'Scoring_Config'!$C:$C,25),0),0)+IF(LEFT(AL373,4)="True",IF(_xlfn.XLOOKUP("App_Any_OR_RangeGt1000",'Scoring_Config'!$A:$A,'Scoring_Config'!$D:$D,"Yes")="Yes",_xlfn.XLOOKUP("App_Any_OR_RangeGt1000",'Scoring_Config'!$A:$A,'Scoring_Config'!$C:$C,25),0),0)+IF(LEFT(AM373,4)="True",IF(_xlfn.XLOOKUP("Service_Insecure_Match",'Scoring_Config'!$A:$A,'Scoring_Config'!$D:$D,"Yes")="Yes",_xlfn.XLOOKUP("Service_Insecure_Match",'Scoring_Config'!$A:$A,'Scoring_Config'!$C:$C,20),0),0)+IF(LEFT(AN373,4)="True",IF(_xlfn.XLOOKUP("Risky_Inbound",'Scoring_Config'!$A:$A,'Scoring_Config'!$D:$D,"Yes")="Yes",_xlfn.XLOOKUP("Risky_Inbound",'Scoring_Config'!$A:$A,'Scoring_Config'!$C:$C,20),0),0)+IF(LEFT(AO373,4)="True",IF(_xlfn.XLOOKUP("Risky_Outbound",'Scoring_Config'!$A:$A,'Scoring_Config'!$D:$D,"Yes")="Yes",_xlfn.XLOOKUP("Risky_Outbound",'Scoring_Config'!$A:$A,'Scoring_Config'!$C:$C,10),0),0)+IF(LEFT(AW373,4)="True",IF(_xlfn.XLOOKUP("Migrate_Insecure",'Scoring_Config'!$A:$A,'Scoring_Config'!$D:$D,"Yes")="Yes",_xlfn.XLOOKUP("Migrate_Insecure",'Scoring_Config'!$A:$A,'Scoring_Config'!$C:$C,15),0),0)+IF(LEFT(AY373,4)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373,FIND(",",AP373)+1,100)),0)+IF(LEFT(AQ373,4)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373,FIND(",",AR373)+1,100)),0)+IF(_xlfn.XLOOKUP("Profile_Scoring",'Scoring_Config'!$A:$A,'Scoring_Config'!$D:$D,"Yes")="Yes",VALUE(MID(AS373,FIND(",",AS373)+1,100)),0)+IF(_xlfn.XLOOKUP("Options_Scoring",'Scoring_Config'!$A:$A,'Scoring_Config'!$D:$D,"Yes")="Yes",VALUE(MID(AT373,FIND(",",AT373)+1,100)),0)))</f>
        <v>0</v>
      </c>
    </row>
    <row r="374" spans="1:52">
      <c r="A374" s="3" t="s">
        <v>55</v>
      </c>
      <c r="B374" s="3" t="s">
        <v>147</v>
      </c>
      <c r="C374" s="3" t="s">
        <v>332</v>
      </c>
      <c r="D374" s="3"/>
      <c r="E374" s="3" t="s">
        <v>359</v>
      </c>
      <c r="F374" s="3" t="s">
        <v>361</v>
      </c>
      <c r="G374" s="3" t="s">
        <v>365</v>
      </c>
      <c r="H374" s="3" t="s">
        <v>365</v>
      </c>
      <c r="I374" s="3" t="s">
        <v>625</v>
      </c>
      <c r="J374" s="3" t="s">
        <v>363</v>
      </c>
      <c r="K374" s="3" t="s">
        <v>365</v>
      </c>
      <c r="L374" s="3" t="s">
        <v>365</v>
      </c>
      <c r="M374" s="3" t="s">
        <v>774</v>
      </c>
      <c r="N374" s="3" t="s">
        <v>795</v>
      </c>
      <c r="O374" s="4" t="s">
        <v>859</v>
      </c>
      <c r="P374" s="3" t="s">
        <v>881</v>
      </c>
      <c r="Q374" s="3" t="s">
        <v>905</v>
      </c>
      <c r="R374" s="3" t="s">
        <v>910</v>
      </c>
      <c r="S374" s="3" t="s">
        <v>913</v>
      </c>
      <c r="T374" s="3" t="s">
        <v>1089</v>
      </c>
      <c r="U374" s="3" t="s">
        <v>1150</v>
      </c>
      <c r="V374" s="3" t="s">
        <v>1389</v>
      </c>
      <c r="W374" s="3" t="s">
        <v>1514</v>
      </c>
      <c r="X374" s="3" t="s">
        <v>1978</v>
      </c>
      <c r="Y374" s="3" t="s">
        <v>2447</v>
      </c>
      <c r="Z374" s="3"/>
      <c r="AA374" s="3"/>
      <c r="AB374" s="3"/>
      <c r="AC374" s="5" cm="1">
        <f t="array" ref="AC374">IF(TRUE,"True," &amp; IF(_xlfn.XLOOKUP("Src_IsAny",'Scoring_Config'!$A:$A,'Scoring_Config'!$D:$D,"Yes")="Yes",_xlfn.XLOOKUP("Src_IsAny",'Scoring_Config'!$A:$A,'Scoring_Config'!$C:$C,25),0),"False,0")</f>
        <v>0</v>
      </c>
      <c r="AD374" s="4" cm="1">
        <f t="array" ref="AD374">IF(FALSE,"True," &amp; IF(_xlfn.XLOOKUP("Src_CIDR_Le_16",'Scoring_Config'!$A:$A,'Scoring_Config'!$D:$D,"Yes")="Yes",_xlfn.XLOOKUP("Src_CIDR_Le_16",'Scoring_Config'!$A:$A,'Scoring_Config'!$C:$C,25),0),"False,0")</f>
        <v>0</v>
      </c>
      <c r="AE374" s="4" cm="1">
        <f t="array" ref="AE374">IF(FALSE,"True," &amp; IF(_xlfn.XLOOKUP("Src_CIDR_17_22",'Scoring_Config'!$A:$A,'Scoring_Config'!$D:$D,"Yes")="Yes",_xlfn.XLOOKUP("Src_CIDR_17_22",'Scoring_Config'!$A:$A,'Scoring_Config'!$C:$C,15),0),"False,0")</f>
        <v>0</v>
      </c>
      <c r="AF374" s="5" cm="1">
        <f t="array" ref="AF374">IF(TRUE,"True," &amp; IF(_xlfn.XLOOKUP("Dst_IsAny",'Scoring_Config'!$A:$A,'Scoring_Config'!$D:$D,"Yes")="Yes",_xlfn.XLOOKUP("Dst_IsAny",'Scoring_Config'!$A:$A,'Scoring_Config'!$C:$C,25),0),"False,0")</f>
        <v>0</v>
      </c>
      <c r="AG374" s="4" cm="1">
        <f t="array" ref="AG374">IF(FALSE,"True," &amp; IF(_xlfn.XLOOKUP("Dst_CIDR_Le_16",'Scoring_Config'!$A:$A,'Scoring_Config'!$D:$D,"Yes")="Yes",_xlfn.XLOOKUP("Dst_CIDR_Le_16",'Scoring_Config'!$A:$A,'Scoring_Config'!$C:$C,25),0),"False,0")</f>
        <v>0</v>
      </c>
      <c r="AH374" s="4" cm="1">
        <f t="array" ref="AH374">IF(FALSE,"True," &amp; IF(_xlfn.XLOOKUP("Dst_CIDR_17_22",'Scoring_Config'!$A:$A,'Scoring_Config'!$D:$D,"Yes")="Yes",_xlfn.XLOOKUP("Dst_CIDR_17_22",'Scoring_Config'!$A:$A,'Scoring_Config'!$C:$C,15),0),"False,0")</f>
        <v>0</v>
      </c>
      <c r="AI374" s="4" cm="1">
        <f t="array" ref="AI374">IF(FALSE,"True," &amp; IF(_xlfn.XLOOKUP("SrcZone_IsAny",'Scoring_Config'!$A:$A,'Scoring_Config'!$D:$D,"Yes")="Yes",_xlfn.XLOOKUP("SrcZone_IsAny",'Scoring_Config'!$A:$A,'Scoring_Config'!$C:$C,5),0),"False,0")</f>
        <v>0</v>
      </c>
      <c r="AJ374" s="4" cm="1">
        <f t="array" ref="AJ374">IF(FALSE,"True," &amp; IF(_xlfn.XLOOKUP("DstZone_IsAny",'Scoring_Config'!$A:$A,'Scoring_Config'!$D:$D,"Yes")="Yes",_xlfn.XLOOKUP("DstZone_IsAny",'Scoring_Config'!$A:$A,'Scoring_Config'!$C:$C,5),0),"False,0")</f>
        <v>0</v>
      </c>
      <c r="AK374" s="4" cm="1">
        <f t="array" ref="AK37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4" s="4" cm="1">
        <f t="array" ref="AL374">IF(FALSE,"True," &amp; IF(_xlfn.XLOOKUP("App_Any_OR_RangeGt1000",'Scoring_Config'!$A:$A,'Scoring_Config'!$D:$D,"Yes")="Yes",_xlfn.XLOOKUP("App_Any_OR_RangeGt1000",'Scoring_Config'!$A:$A,'Scoring_Config'!$C:$C,25),0),"False,0")</f>
        <v>0</v>
      </c>
      <c r="AM374" s="5" cm="1">
        <f t="array" ref="AM374">IF(TRUE,"True," &amp; IF(_xlfn.XLOOKUP("Service_Insecure_Match",'Scoring_Config'!$A:$A,'Scoring_Config'!$D:$D,"Yes")="Yes",_xlfn.XLOOKUP("Service_Insecure_Match",'Scoring_Config'!$A:$A,'Scoring_Config'!$C:$C,20),0),"False,0")</f>
        <v>0</v>
      </c>
      <c r="AN374" s="4" cm="1">
        <f t="array" ref="AN374">IF(FALSE,"True," &amp; IF(_xlfn.XLOOKUP("Risky_Inbound",'Scoring_Config'!$A:$A,'Scoring_Config'!$D:$D,"Yes")="Yes",_xlfn.XLOOKUP("Risky_Inbound",'Scoring_Config'!$A:$A,'Scoring_Config'!$C:$C,20),0),"False,0")</f>
        <v>0</v>
      </c>
      <c r="AO374" s="4" cm="1">
        <f t="array" ref="AO374">IF(FALSE,"True," &amp; IF(_xlfn.XLOOKUP("Risky_Outbound",'Scoring_Config'!$A:$A,'Scoring_Config'!$D:$D,"Yes")="Yes",_xlfn.XLOOKUP("Risky_Outbound",'Scoring_Config'!$A:$A,'Scoring_Config'!$C:$C,10),0),"False,0")</f>
        <v>0</v>
      </c>
      <c r="AP374" s="5" t="s">
        <v>2595</v>
      </c>
      <c r="AQ374" s="5" cm="1">
        <f t="array" ref="AQ37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4" s="5" t="s">
        <v>2598</v>
      </c>
      <c r="AS374" s="4" t="s">
        <v>2592</v>
      </c>
      <c r="AT374" s="4" t="s">
        <v>2592</v>
      </c>
      <c r="AU374" s="4" cm="1">
        <f t="array" ref="AU374">IF(FALSE,"True," &amp; IF(_xlfn.XLOOKUP("Action_IsDenyOrDrop",'Scoring_Config'!$A:$A,'Scoring_Config'!$D:$D,"Yes")="Yes",_xlfn.XLOOKUP("Action_IsDenyOrDrop",'Scoring_Config'!$A:$A,'Scoring_Config'!$C:$C,0),0),"False,0")</f>
        <v>0</v>
      </c>
      <c r="AV374" s="4"/>
      <c r="AW374" s="4" cm="1">
        <f t="array" ref="AW374">IF(FALSE,"True," &amp; IF(_xlfn.XLOOKUP("Migrate_Insecure",'Scoring_Config'!$A:$A,'Scoring_Config'!$D:$D,"Yes")="Yes",_xlfn.XLOOKUP("Migrate_Insecure",'Scoring_Config'!$A:$A,'Scoring_Config'!$C:$C,15),0),"False,0")</f>
        <v>0</v>
      </c>
      <c r="AX374" s="4"/>
      <c r="AY374" s="4" cm="1">
        <f t="array" ref="AY374">IF(FALSE,"True," &amp; IF(_xlfn.XLOOKUP("Migrate_Other_Ports",'Scoring_Config'!$A:$A,'Scoring_Config'!$D:$D,"Yes")="Yes",_xlfn.XLOOKUP("Migrate_Other_Ports",'Scoring_Config'!$A:$A,'Scoring_Config'!$C:$C,5),0),"False,0")</f>
        <v>0</v>
      </c>
      <c r="AZ374" s="4" cm="1">
        <f t="array" ref="AZ374">IF(LEFT(AU374,4)="True",0,(IF(LEFT(AC374,4)="True",IF(_xlfn.XLOOKUP("Src_IsAny",'Scoring_Config'!$A:$A,'Scoring_Config'!$D:$D,"Yes")="Yes",_xlfn.XLOOKUP("Src_IsAny",'Scoring_Config'!$A:$A,'Scoring_Config'!$C:$C,25),0),0)+IF(LEFT(AD374,4)="True",IF(_xlfn.XLOOKUP("Src_CIDR_Le_16",'Scoring_Config'!$A:$A,'Scoring_Config'!$D:$D,"Yes")="Yes",_xlfn.XLOOKUP("Src_CIDR_Le_16",'Scoring_Config'!$A:$A,'Scoring_Config'!$C:$C,25),0),0)+IF(LEFT(AE374,4)="True",IF(_xlfn.XLOOKUP("Src_CIDR_17_22",'Scoring_Config'!$A:$A,'Scoring_Config'!$D:$D,"Yes")="Yes",_xlfn.XLOOKUP("Src_CIDR_17_22",'Scoring_Config'!$A:$A,'Scoring_Config'!$C:$C,15),0),0)+IF(LEFT(AF374,4)="True",IF(_xlfn.XLOOKUP("Dst_IsAny",'Scoring_Config'!$A:$A,'Scoring_Config'!$D:$D,"Yes")="Yes",_xlfn.XLOOKUP("Dst_IsAny",'Scoring_Config'!$A:$A,'Scoring_Config'!$C:$C,25),0),0)+IF(LEFT(AG374,4)="True",IF(_xlfn.XLOOKUP("Dst_CIDR_Le_16",'Scoring_Config'!$A:$A,'Scoring_Config'!$D:$D,"Yes")="Yes",_xlfn.XLOOKUP("Dst_CIDR_Le_16",'Scoring_Config'!$A:$A,'Scoring_Config'!$C:$C,25),0),0)+IF(LEFT(AH374,4)="True",IF(_xlfn.XLOOKUP("Dst_CIDR_17_22",'Scoring_Config'!$A:$A,'Scoring_Config'!$D:$D,"Yes")="Yes",_xlfn.XLOOKUP("Dst_CIDR_17_22",'Scoring_Config'!$A:$A,'Scoring_Config'!$C:$C,15),0),0)+IF(LEFT(AI374,4)="True",IF(_xlfn.XLOOKUP("SrcZone_IsAny",'Scoring_Config'!$A:$A,'Scoring_Config'!$D:$D,"Yes")="Yes",_xlfn.XLOOKUP("SrcZone_IsAny",'Scoring_Config'!$A:$A,'Scoring_Config'!$C:$C,5),0),0)+IF(LEFT(AJ374,4)="True",IF(_xlfn.XLOOKUP("DstZone_IsAny",'Scoring_Config'!$A:$A,'Scoring_Config'!$D:$D,"Yes")="Yes",_xlfn.XLOOKUP("DstZone_IsAny",'Scoring_Config'!$A:$A,'Scoring_Config'!$C:$C,5),0),0)+IF(LEFT(AK374,4)="True",IF(_xlfn.XLOOKUP("Service_Any_OR_RangeGt1000",'Scoring_Config'!$A:$A,'Scoring_Config'!$D:$D,"Yes")="Yes",_xlfn.XLOOKUP("Service_Any_OR_RangeGt1000",'Scoring_Config'!$A:$A,'Scoring_Config'!$C:$C,25),0),0)+IF(LEFT(AL374,4)="True",IF(_xlfn.XLOOKUP("App_Any_OR_RangeGt1000",'Scoring_Config'!$A:$A,'Scoring_Config'!$D:$D,"Yes")="Yes",_xlfn.XLOOKUP("App_Any_OR_RangeGt1000",'Scoring_Config'!$A:$A,'Scoring_Config'!$C:$C,25),0),0)+IF(LEFT(AM374,4)="True",IF(_xlfn.XLOOKUP("Service_Insecure_Match",'Scoring_Config'!$A:$A,'Scoring_Config'!$D:$D,"Yes")="Yes",_xlfn.XLOOKUP("Service_Insecure_Match",'Scoring_Config'!$A:$A,'Scoring_Config'!$C:$C,20),0),0)+IF(LEFT(AN374,4)="True",IF(_xlfn.XLOOKUP("Risky_Inbound",'Scoring_Config'!$A:$A,'Scoring_Config'!$D:$D,"Yes")="Yes",_xlfn.XLOOKUP("Risky_Inbound",'Scoring_Config'!$A:$A,'Scoring_Config'!$C:$C,20),0),0)+IF(LEFT(AO374,4)="True",IF(_xlfn.XLOOKUP("Risky_Outbound",'Scoring_Config'!$A:$A,'Scoring_Config'!$D:$D,"Yes")="Yes",_xlfn.XLOOKUP("Risky_Outbound",'Scoring_Config'!$A:$A,'Scoring_Config'!$C:$C,10),0),0)+IF(LEFT(AW374,4)="True",IF(_xlfn.XLOOKUP("Migrate_Insecure",'Scoring_Config'!$A:$A,'Scoring_Config'!$D:$D,"Yes")="Yes",_xlfn.XLOOKUP("Migrate_Insecure",'Scoring_Config'!$A:$A,'Scoring_Config'!$C:$C,15),0),0)+IF(LEFT(AY374,4)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374,FIND(",",AP374)+1,100)),0)+IF(LEFT(AQ374,4)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374,FIND(",",AR374)+1,100)),0)+IF(_xlfn.XLOOKUP("Profile_Scoring",'Scoring_Config'!$A:$A,'Scoring_Config'!$D:$D,"Yes")="Yes",VALUE(MID(AS374,FIND(",",AS374)+1,100)),0)+IF(_xlfn.XLOOKUP("Options_Scoring",'Scoring_Config'!$A:$A,'Scoring_Config'!$D:$D,"Yes")="Yes",VALUE(MID(AT374,FIND(",",AT374)+1,100)),0)))</f>
        <v>0</v>
      </c>
    </row>
    <row r="375" spans="1:52">
      <c r="A375" s="3" t="s">
        <v>55</v>
      </c>
      <c r="B375" s="3" t="s">
        <v>290</v>
      </c>
      <c r="C375" s="3" t="s">
        <v>332</v>
      </c>
      <c r="D375" s="3"/>
      <c r="E375" s="3" t="s">
        <v>359</v>
      </c>
      <c r="F375" s="3" t="s">
        <v>361</v>
      </c>
      <c r="G375" s="3" t="s">
        <v>497</v>
      </c>
      <c r="H375" s="3" t="s">
        <v>601</v>
      </c>
      <c r="I375" s="3" t="s">
        <v>623</v>
      </c>
      <c r="J375" s="3" t="s">
        <v>360</v>
      </c>
      <c r="K375" s="3" t="s">
        <v>718</v>
      </c>
      <c r="L375" s="3" t="s">
        <v>762</v>
      </c>
      <c r="M375" s="3" t="s">
        <v>771</v>
      </c>
      <c r="N375" s="3" t="s">
        <v>793</v>
      </c>
      <c r="O375" s="4" t="s">
        <v>825</v>
      </c>
      <c r="P375" s="3" t="s">
        <v>886</v>
      </c>
      <c r="Q375" s="3" t="s">
        <v>904</v>
      </c>
      <c r="R375" s="3" t="s">
        <v>908</v>
      </c>
      <c r="S375" s="3" t="s">
        <v>914</v>
      </c>
      <c r="T375" s="3" t="s">
        <v>919</v>
      </c>
      <c r="U375" s="3" t="s">
        <v>1157</v>
      </c>
      <c r="V375" s="3" t="s">
        <v>1386</v>
      </c>
      <c r="W375" s="3" t="s">
        <v>1575</v>
      </c>
      <c r="X375" s="3" t="s">
        <v>1979</v>
      </c>
      <c r="Y375" s="3" t="s">
        <v>2448</v>
      </c>
      <c r="Z375" s="3"/>
      <c r="AA375" s="3"/>
      <c r="AB375" s="3"/>
      <c r="AC375" s="5" cm="1">
        <f t="array" ref="AC375">IF(TRUE,"True," &amp; IF(_xlfn.XLOOKUP("Src_IsAny",'Scoring_Config'!$A:$A,'Scoring_Config'!$D:$D,"Yes")="Yes",_xlfn.XLOOKUP("Src_IsAny",'Scoring_Config'!$A:$A,'Scoring_Config'!$C:$C,25),0),"False,0")</f>
        <v>0</v>
      </c>
      <c r="AD375" s="5" cm="1">
        <f t="array" ref="AD375">IF(TRUE,"True," &amp; IF(_xlfn.XLOOKUP("Src_CIDR_Le_16",'Scoring_Config'!$A:$A,'Scoring_Config'!$D:$D,"Yes")="Yes",_xlfn.XLOOKUP("Src_CIDR_Le_16",'Scoring_Config'!$A:$A,'Scoring_Config'!$C:$C,25),0),"False,0")</f>
        <v>0</v>
      </c>
      <c r="AE375" s="4" cm="1">
        <f t="array" ref="AE375">IF(FALSE,"True," &amp; IF(_xlfn.XLOOKUP("Src_CIDR_17_22",'Scoring_Config'!$A:$A,'Scoring_Config'!$D:$D,"Yes")="Yes",_xlfn.XLOOKUP("Src_CIDR_17_22",'Scoring_Config'!$A:$A,'Scoring_Config'!$C:$C,15),0),"False,0")</f>
        <v>0</v>
      </c>
      <c r="AF375" s="4" cm="1">
        <f t="array" ref="AF375">IF(FALSE,"True," &amp; IF(_xlfn.XLOOKUP("Dst_IsAny",'Scoring_Config'!$A:$A,'Scoring_Config'!$D:$D,"Yes")="Yes",_xlfn.XLOOKUP("Dst_IsAny",'Scoring_Config'!$A:$A,'Scoring_Config'!$C:$C,25),0),"False,0")</f>
        <v>0</v>
      </c>
      <c r="AG375" s="4" cm="1">
        <f t="array" ref="AG375">IF(FALSE,"True," &amp; IF(_xlfn.XLOOKUP("Dst_CIDR_Le_16",'Scoring_Config'!$A:$A,'Scoring_Config'!$D:$D,"Yes")="Yes",_xlfn.XLOOKUP("Dst_CIDR_Le_16",'Scoring_Config'!$A:$A,'Scoring_Config'!$C:$C,25),0),"False,0")</f>
        <v>0</v>
      </c>
      <c r="AH375" s="4" cm="1">
        <f t="array" ref="AH375">IF(FALSE,"True," &amp; IF(_xlfn.XLOOKUP("Dst_CIDR_17_22",'Scoring_Config'!$A:$A,'Scoring_Config'!$D:$D,"Yes")="Yes",_xlfn.XLOOKUP("Dst_CIDR_17_22",'Scoring_Config'!$A:$A,'Scoring_Config'!$C:$C,15),0),"False,0")</f>
        <v>0</v>
      </c>
      <c r="AI375" s="4" cm="1">
        <f t="array" ref="AI375">IF(FALSE,"True," &amp; IF(_xlfn.XLOOKUP("SrcZone_IsAny",'Scoring_Config'!$A:$A,'Scoring_Config'!$D:$D,"Yes")="Yes",_xlfn.XLOOKUP("SrcZone_IsAny",'Scoring_Config'!$A:$A,'Scoring_Config'!$C:$C,5),0),"False,0")</f>
        <v>0</v>
      </c>
      <c r="AJ375" s="4" cm="1">
        <f t="array" ref="AJ375">IF(FALSE,"True," &amp; IF(_xlfn.XLOOKUP("DstZone_IsAny",'Scoring_Config'!$A:$A,'Scoring_Config'!$D:$D,"Yes")="Yes",_xlfn.XLOOKUP("DstZone_IsAny",'Scoring_Config'!$A:$A,'Scoring_Config'!$C:$C,5),0),"False,0")</f>
        <v>0</v>
      </c>
      <c r="AK375" s="4" cm="1">
        <f t="array" ref="AK37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5" s="4" cm="1">
        <f t="array" ref="AL375">IF(FALSE,"True," &amp; IF(_xlfn.XLOOKUP("App_Any_OR_RangeGt1000",'Scoring_Config'!$A:$A,'Scoring_Config'!$D:$D,"Yes")="Yes",_xlfn.XLOOKUP("App_Any_OR_RangeGt1000",'Scoring_Config'!$A:$A,'Scoring_Config'!$C:$C,25),0),"False,0")</f>
        <v>0</v>
      </c>
      <c r="AM375" s="5" cm="1">
        <f t="array" ref="AM375">IF(TRUE,"True," &amp; IF(_xlfn.XLOOKUP("Service_Insecure_Match",'Scoring_Config'!$A:$A,'Scoring_Config'!$D:$D,"Yes")="Yes",_xlfn.XLOOKUP("Service_Insecure_Match",'Scoring_Config'!$A:$A,'Scoring_Config'!$C:$C,20),0),"False,0")</f>
        <v>0</v>
      </c>
      <c r="AN375" s="5" cm="1">
        <f t="array" ref="AN375">IF(TRUE,"True," &amp; IF(_xlfn.XLOOKUP("Risky_Inbound",'Scoring_Config'!$A:$A,'Scoring_Config'!$D:$D,"Yes")="Yes",_xlfn.XLOOKUP("Risky_Inbound",'Scoring_Config'!$A:$A,'Scoring_Config'!$C:$C,20),0),"False,0")</f>
        <v>0</v>
      </c>
      <c r="AO375" s="4" cm="1">
        <f t="array" ref="AO375">IF(FALSE,"True," &amp; IF(_xlfn.XLOOKUP("Risky_Outbound",'Scoring_Config'!$A:$A,'Scoring_Config'!$D:$D,"Yes")="Yes",_xlfn.XLOOKUP("Risky_Outbound",'Scoring_Config'!$A:$A,'Scoring_Config'!$C:$C,10),0),"False,0")</f>
        <v>0</v>
      </c>
      <c r="AP375" s="5" t="s">
        <v>2595</v>
      </c>
      <c r="AQ375" s="5" cm="1">
        <f t="array" ref="AQ37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5" s="5" t="s">
        <v>2598</v>
      </c>
      <c r="AS375" s="4" t="s">
        <v>2592</v>
      </c>
      <c r="AT375" s="4" t="s">
        <v>2592</v>
      </c>
      <c r="AU375" s="5" cm="1">
        <f t="array" ref="AU375">IF(TRUE,"True," &amp; IF(_xlfn.XLOOKUP("Action_IsDenyOrDrop",'Scoring_Config'!$A:$A,'Scoring_Config'!$D:$D,"Yes")="Yes",_xlfn.XLOOKUP("Action_IsDenyOrDrop",'Scoring_Config'!$A:$A,'Scoring_Config'!$C:$C,0),0),"False,0")</f>
        <v>0</v>
      </c>
      <c r="AV375" s="4"/>
      <c r="AW375" s="4" cm="1">
        <f t="array" ref="AW375">IF(FALSE,"True," &amp; IF(_xlfn.XLOOKUP("Migrate_Insecure",'Scoring_Config'!$A:$A,'Scoring_Config'!$D:$D,"Yes")="Yes",_xlfn.XLOOKUP("Migrate_Insecure",'Scoring_Config'!$A:$A,'Scoring_Config'!$C:$C,15),0),"False,0")</f>
        <v>0</v>
      </c>
      <c r="AX375" s="4"/>
      <c r="AY375" s="4" cm="1">
        <f t="array" ref="AY375">IF(FALSE,"True," &amp; IF(_xlfn.XLOOKUP("Migrate_Other_Ports",'Scoring_Config'!$A:$A,'Scoring_Config'!$D:$D,"Yes")="Yes",_xlfn.XLOOKUP("Migrate_Other_Ports",'Scoring_Config'!$A:$A,'Scoring_Config'!$C:$C,5),0),"False,0")</f>
        <v>0</v>
      </c>
      <c r="AZ375" s="4" cm="1">
        <f t="array" ref="AZ375">IF(LEFT(AU375,4)="True",0,(IF(LEFT(AC375,4)="True",IF(_xlfn.XLOOKUP("Src_IsAny",'Scoring_Config'!$A:$A,'Scoring_Config'!$D:$D,"Yes")="Yes",_xlfn.XLOOKUP("Src_IsAny",'Scoring_Config'!$A:$A,'Scoring_Config'!$C:$C,25),0),0)+IF(LEFT(AD375,4)="True",IF(_xlfn.XLOOKUP("Src_CIDR_Le_16",'Scoring_Config'!$A:$A,'Scoring_Config'!$D:$D,"Yes")="Yes",_xlfn.XLOOKUP("Src_CIDR_Le_16",'Scoring_Config'!$A:$A,'Scoring_Config'!$C:$C,25),0),0)+IF(LEFT(AE375,4)="True",IF(_xlfn.XLOOKUP("Src_CIDR_17_22",'Scoring_Config'!$A:$A,'Scoring_Config'!$D:$D,"Yes")="Yes",_xlfn.XLOOKUP("Src_CIDR_17_22",'Scoring_Config'!$A:$A,'Scoring_Config'!$C:$C,15),0),0)+IF(LEFT(AF375,4)="True",IF(_xlfn.XLOOKUP("Dst_IsAny",'Scoring_Config'!$A:$A,'Scoring_Config'!$D:$D,"Yes")="Yes",_xlfn.XLOOKUP("Dst_IsAny",'Scoring_Config'!$A:$A,'Scoring_Config'!$C:$C,25),0),0)+IF(LEFT(AG375,4)="True",IF(_xlfn.XLOOKUP("Dst_CIDR_Le_16",'Scoring_Config'!$A:$A,'Scoring_Config'!$D:$D,"Yes")="Yes",_xlfn.XLOOKUP("Dst_CIDR_Le_16",'Scoring_Config'!$A:$A,'Scoring_Config'!$C:$C,25),0),0)+IF(LEFT(AH375,4)="True",IF(_xlfn.XLOOKUP("Dst_CIDR_17_22",'Scoring_Config'!$A:$A,'Scoring_Config'!$D:$D,"Yes")="Yes",_xlfn.XLOOKUP("Dst_CIDR_17_22",'Scoring_Config'!$A:$A,'Scoring_Config'!$C:$C,15),0),0)+IF(LEFT(AI375,4)="True",IF(_xlfn.XLOOKUP("SrcZone_IsAny",'Scoring_Config'!$A:$A,'Scoring_Config'!$D:$D,"Yes")="Yes",_xlfn.XLOOKUP("SrcZone_IsAny",'Scoring_Config'!$A:$A,'Scoring_Config'!$C:$C,5),0),0)+IF(LEFT(AJ375,4)="True",IF(_xlfn.XLOOKUP("DstZone_IsAny",'Scoring_Config'!$A:$A,'Scoring_Config'!$D:$D,"Yes")="Yes",_xlfn.XLOOKUP("DstZone_IsAny",'Scoring_Config'!$A:$A,'Scoring_Config'!$C:$C,5),0),0)+IF(LEFT(AK375,4)="True",IF(_xlfn.XLOOKUP("Service_Any_OR_RangeGt1000",'Scoring_Config'!$A:$A,'Scoring_Config'!$D:$D,"Yes")="Yes",_xlfn.XLOOKUP("Service_Any_OR_RangeGt1000",'Scoring_Config'!$A:$A,'Scoring_Config'!$C:$C,25),0),0)+IF(LEFT(AL375,4)="True",IF(_xlfn.XLOOKUP("App_Any_OR_RangeGt1000",'Scoring_Config'!$A:$A,'Scoring_Config'!$D:$D,"Yes")="Yes",_xlfn.XLOOKUP("App_Any_OR_RangeGt1000",'Scoring_Config'!$A:$A,'Scoring_Config'!$C:$C,25),0),0)+IF(LEFT(AM375,4)="True",IF(_xlfn.XLOOKUP("Service_Insecure_Match",'Scoring_Config'!$A:$A,'Scoring_Config'!$D:$D,"Yes")="Yes",_xlfn.XLOOKUP("Service_Insecure_Match",'Scoring_Config'!$A:$A,'Scoring_Config'!$C:$C,20),0),0)+IF(LEFT(AN375,4)="True",IF(_xlfn.XLOOKUP("Risky_Inbound",'Scoring_Config'!$A:$A,'Scoring_Config'!$D:$D,"Yes")="Yes",_xlfn.XLOOKUP("Risky_Inbound",'Scoring_Config'!$A:$A,'Scoring_Config'!$C:$C,20),0),0)+IF(LEFT(AO375,4)="True",IF(_xlfn.XLOOKUP("Risky_Outbound",'Scoring_Config'!$A:$A,'Scoring_Config'!$D:$D,"Yes")="Yes",_xlfn.XLOOKUP("Risky_Outbound",'Scoring_Config'!$A:$A,'Scoring_Config'!$C:$C,10),0),0)+IF(LEFT(AW375,4)="True",IF(_xlfn.XLOOKUP("Migrate_Insecure",'Scoring_Config'!$A:$A,'Scoring_Config'!$D:$D,"Yes")="Yes",_xlfn.XLOOKUP("Migrate_Insecure",'Scoring_Config'!$A:$A,'Scoring_Config'!$C:$C,15),0),0)+IF(LEFT(AY375,4)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375,FIND(",",AP375)+1,100)),0)+IF(LEFT(AQ375,4)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375,FIND(",",AR375)+1,100)),0)+IF(_xlfn.XLOOKUP("Profile_Scoring",'Scoring_Config'!$A:$A,'Scoring_Config'!$D:$D,"Yes")="Yes",VALUE(MID(AS375,FIND(",",AS375)+1,100)),0)+IF(_xlfn.XLOOKUP("Options_Scoring",'Scoring_Config'!$A:$A,'Scoring_Config'!$D:$D,"Yes")="Yes",VALUE(MID(AT375,FIND(",",AT375)+1,100)),0)))</f>
        <v>0</v>
      </c>
    </row>
    <row r="376" spans="1:52">
      <c r="A376" s="3" t="s">
        <v>55</v>
      </c>
      <c r="B376" s="3" t="s">
        <v>141</v>
      </c>
      <c r="C376" s="3" t="s">
        <v>332</v>
      </c>
      <c r="D376" s="3"/>
      <c r="E376" s="3" t="s">
        <v>359</v>
      </c>
      <c r="F376" s="3" t="s">
        <v>361</v>
      </c>
      <c r="G376" s="3" t="s">
        <v>365</v>
      </c>
      <c r="H376" s="3" t="s">
        <v>365</v>
      </c>
      <c r="I376" s="3" t="s">
        <v>624</v>
      </c>
      <c r="J376" s="3" t="s">
        <v>360</v>
      </c>
      <c r="K376" s="3" t="s">
        <v>365</v>
      </c>
      <c r="L376" s="3" t="s">
        <v>365</v>
      </c>
      <c r="M376" s="3" t="s">
        <v>365</v>
      </c>
      <c r="N376" s="3" t="s">
        <v>365</v>
      </c>
      <c r="O376" s="4" t="s">
        <v>816</v>
      </c>
      <c r="P376" s="3" t="s">
        <v>877</v>
      </c>
      <c r="Q376" s="3" t="s">
        <v>905</v>
      </c>
      <c r="R376" s="3" t="s">
        <v>907</v>
      </c>
      <c r="S376" s="3" t="s">
        <v>915</v>
      </c>
      <c r="T376" s="3" t="s">
        <v>1090</v>
      </c>
      <c r="U376" s="3" t="s">
        <v>1334</v>
      </c>
      <c r="V376" s="3" t="s">
        <v>770</v>
      </c>
      <c r="W376" s="3" t="s">
        <v>1576</v>
      </c>
      <c r="X376" s="3" t="s">
        <v>1980</v>
      </c>
      <c r="Y376" s="3" t="s">
        <v>2449</v>
      </c>
      <c r="Z376" s="3"/>
      <c r="AA376" s="3"/>
      <c r="AB376" s="3"/>
      <c r="AC376" s="5" cm="1">
        <f t="array" ref="AC376">IF(TRUE,"True," &amp; IF(_xlfn.XLOOKUP("Src_IsAny",'Scoring_Config'!$A:$A,'Scoring_Config'!$D:$D,"Yes")="Yes",_xlfn.XLOOKUP("Src_IsAny",'Scoring_Config'!$A:$A,'Scoring_Config'!$C:$C,25),0),"False,0")</f>
        <v>0</v>
      </c>
      <c r="AD376" s="4" cm="1">
        <f t="array" ref="AD376">IF(FALSE,"True," &amp; IF(_xlfn.XLOOKUP("Src_CIDR_Le_16",'Scoring_Config'!$A:$A,'Scoring_Config'!$D:$D,"Yes")="Yes",_xlfn.XLOOKUP("Src_CIDR_Le_16",'Scoring_Config'!$A:$A,'Scoring_Config'!$C:$C,25),0),"False,0")</f>
        <v>0</v>
      </c>
      <c r="AE376" s="4" cm="1">
        <f t="array" ref="AE376">IF(FALSE,"True," &amp; IF(_xlfn.XLOOKUP("Src_CIDR_17_22",'Scoring_Config'!$A:$A,'Scoring_Config'!$D:$D,"Yes")="Yes",_xlfn.XLOOKUP("Src_CIDR_17_22",'Scoring_Config'!$A:$A,'Scoring_Config'!$C:$C,15),0),"False,0")</f>
        <v>0</v>
      </c>
      <c r="AF376" s="5" cm="1">
        <f t="array" ref="AF376">IF(TRUE,"True," &amp; IF(_xlfn.XLOOKUP("Dst_IsAny",'Scoring_Config'!$A:$A,'Scoring_Config'!$D:$D,"Yes")="Yes",_xlfn.XLOOKUP("Dst_IsAny",'Scoring_Config'!$A:$A,'Scoring_Config'!$C:$C,25),0),"False,0")</f>
        <v>0</v>
      </c>
      <c r="AG376" s="4" cm="1">
        <f t="array" ref="AG376">IF(FALSE,"True," &amp; IF(_xlfn.XLOOKUP("Dst_CIDR_Le_16",'Scoring_Config'!$A:$A,'Scoring_Config'!$D:$D,"Yes")="Yes",_xlfn.XLOOKUP("Dst_CIDR_Le_16",'Scoring_Config'!$A:$A,'Scoring_Config'!$C:$C,25),0),"False,0")</f>
        <v>0</v>
      </c>
      <c r="AH376" s="4" cm="1">
        <f t="array" ref="AH376">IF(FALSE,"True," &amp; IF(_xlfn.XLOOKUP("Dst_CIDR_17_22",'Scoring_Config'!$A:$A,'Scoring_Config'!$D:$D,"Yes")="Yes",_xlfn.XLOOKUP("Dst_CIDR_17_22",'Scoring_Config'!$A:$A,'Scoring_Config'!$C:$C,15),0),"False,0")</f>
        <v>0</v>
      </c>
      <c r="AI376" s="4" cm="1">
        <f t="array" ref="AI376">IF(FALSE,"True," &amp; IF(_xlfn.XLOOKUP("SrcZone_IsAny",'Scoring_Config'!$A:$A,'Scoring_Config'!$D:$D,"Yes")="Yes",_xlfn.XLOOKUP("SrcZone_IsAny",'Scoring_Config'!$A:$A,'Scoring_Config'!$C:$C,5),0),"False,0")</f>
        <v>0</v>
      </c>
      <c r="AJ376" s="4" cm="1">
        <f t="array" ref="AJ376">IF(FALSE,"True," &amp; IF(_xlfn.XLOOKUP("DstZone_IsAny",'Scoring_Config'!$A:$A,'Scoring_Config'!$D:$D,"Yes")="Yes",_xlfn.XLOOKUP("DstZone_IsAny",'Scoring_Config'!$A:$A,'Scoring_Config'!$C:$C,5),0),"False,0")</f>
        <v>0</v>
      </c>
      <c r="AK376" s="4" cm="1">
        <f t="array" ref="AK37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6" s="5" cm="1">
        <f t="array" ref="AL376">IF(TRUE,"True," &amp; IF(_xlfn.XLOOKUP("App_Any_OR_RangeGt1000",'Scoring_Config'!$A:$A,'Scoring_Config'!$D:$D,"Yes")="Yes",_xlfn.XLOOKUP("App_Any_OR_RangeGt1000",'Scoring_Config'!$A:$A,'Scoring_Config'!$C:$C,25),0),"False,0")</f>
        <v>0</v>
      </c>
      <c r="AM376" s="5" cm="1">
        <f t="array" ref="AM376">IF(TRUE,"True," &amp; IF(_xlfn.XLOOKUP("Service_Insecure_Match",'Scoring_Config'!$A:$A,'Scoring_Config'!$D:$D,"Yes")="Yes",_xlfn.XLOOKUP("Service_Insecure_Match",'Scoring_Config'!$A:$A,'Scoring_Config'!$C:$C,20),0),"False,0")</f>
        <v>0</v>
      </c>
      <c r="AN376" s="4" cm="1">
        <f t="array" ref="AN376">IF(FALSE,"True," &amp; IF(_xlfn.XLOOKUP("Risky_Inbound",'Scoring_Config'!$A:$A,'Scoring_Config'!$D:$D,"Yes")="Yes",_xlfn.XLOOKUP("Risky_Inbound",'Scoring_Config'!$A:$A,'Scoring_Config'!$C:$C,20),0),"False,0")</f>
        <v>0</v>
      </c>
      <c r="AO376" s="4" cm="1">
        <f t="array" ref="AO376">IF(FALSE,"True," &amp; IF(_xlfn.XLOOKUP("Risky_Outbound",'Scoring_Config'!$A:$A,'Scoring_Config'!$D:$D,"Yes")="Yes",_xlfn.XLOOKUP("Risky_Outbound",'Scoring_Config'!$A:$A,'Scoring_Config'!$C:$C,10),0),"False,0")</f>
        <v>0</v>
      </c>
      <c r="AP376" s="5" t="s">
        <v>2595</v>
      </c>
      <c r="AQ376" s="4" cm="1">
        <f t="array" ref="AQ37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6" s="5" t="s">
        <v>2598</v>
      </c>
      <c r="AS376" s="5" t="s">
        <v>2595</v>
      </c>
      <c r="AT376" s="4" t="s">
        <v>2592</v>
      </c>
      <c r="AU376" s="4" cm="1">
        <f t="array" ref="AU376">IF(FALSE,"True," &amp; IF(_xlfn.XLOOKUP("Action_IsDenyOrDrop",'Scoring_Config'!$A:$A,'Scoring_Config'!$D:$D,"Yes")="Yes",_xlfn.XLOOKUP("Action_IsDenyOrDrop",'Scoring_Config'!$A:$A,'Scoring_Config'!$C:$C,0),0),"False,0")</f>
        <v>0</v>
      </c>
      <c r="AV376" s="4"/>
      <c r="AW376" s="4" cm="1">
        <f t="array" ref="AW376">IF(FALSE,"True," &amp; IF(_xlfn.XLOOKUP("Migrate_Insecure",'Scoring_Config'!$A:$A,'Scoring_Config'!$D:$D,"Yes")="Yes",_xlfn.XLOOKUP("Migrate_Insecure",'Scoring_Config'!$A:$A,'Scoring_Config'!$C:$C,15),0),"False,0")</f>
        <v>0</v>
      </c>
      <c r="AX376" s="4"/>
      <c r="AY376" s="4" cm="1">
        <f t="array" ref="AY376">IF(FALSE,"True," &amp; IF(_xlfn.XLOOKUP("Migrate_Other_Ports",'Scoring_Config'!$A:$A,'Scoring_Config'!$D:$D,"Yes")="Yes",_xlfn.XLOOKUP("Migrate_Other_Ports",'Scoring_Config'!$A:$A,'Scoring_Config'!$C:$C,5),0),"False,0")</f>
        <v>0</v>
      </c>
      <c r="AZ376" s="4" cm="1">
        <f t="array" ref="AZ376">IF(LEFT(AU376,4)="True",0,(IF(LEFT(AC376,4)="True",IF(_xlfn.XLOOKUP("Src_IsAny",'Scoring_Config'!$A:$A,'Scoring_Config'!$D:$D,"Yes")="Yes",_xlfn.XLOOKUP("Src_IsAny",'Scoring_Config'!$A:$A,'Scoring_Config'!$C:$C,25),0),0)+IF(LEFT(AD376,4)="True",IF(_xlfn.XLOOKUP("Src_CIDR_Le_16",'Scoring_Config'!$A:$A,'Scoring_Config'!$D:$D,"Yes")="Yes",_xlfn.XLOOKUP("Src_CIDR_Le_16",'Scoring_Config'!$A:$A,'Scoring_Config'!$C:$C,25),0),0)+IF(LEFT(AE376,4)="True",IF(_xlfn.XLOOKUP("Src_CIDR_17_22",'Scoring_Config'!$A:$A,'Scoring_Config'!$D:$D,"Yes")="Yes",_xlfn.XLOOKUP("Src_CIDR_17_22",'Scoring_Config'!$A:$A,'Scoring_Config'!$C:$C,15),0),0)+IF(LEFT(AF376,4)="True",IF(_xlfn.XLOOKUP("Dst_IsAny",'Scoring_Config'!$A:$A,'Scoring_Config'!$D:$D,"Yes")="Yes",_xlfn.XLOOKUP("Dst_IsAny",'Scoring_Config'!$A:$A,'Scoring_Config'!$C:$C,25),0),0)+IF(LEFT(AG376,4)="True",IF(_xlfn.XLOOKUP("Dst_CIDR_Le_16",'Scoring_Config'!$A:$A,'Scoring_Config'!$D:$D,"Yes")="Yes",_xlfn.XLOOKUP("Dst_CIDR_Le_16",'Scoring_Config'!$A:$A,'Scoring_Config'!$C:$C,25),0),0)+IF(LEFT(AH376,4)="True",IF(_xlfn.XLOOKUP("Dst_CIDR_17_22",'Scoring_Config'!$A:$A,'Scoring_Config'!$D:$D,"Yes")="Yes",_xlfn.XLOOKUP("Dst_CIDR_17_22",'Scoring_Config'!$A:$A,'Scoring_Config'!$C:$C,15),0),0)+IF(LEFT(AI376,4)="True",IF(_xlfn.XLOOKUP("SrcZone_IsAny",'Scoring_Config'!$A:$A,'Scoring_Config'!$D:$D,"Yes")="Yes",_xlfn.XLOOKUP("SrcZone_IsAny",'Scoring_Config'!$A:$A,'Scoring_Config'!$C:$C,5),0),0)+IF(LEFT(AJ376,4)="True",IF(_xlfn.XLOOKUP("DstZone_IsAny",'Scoring_Config'!$A:$A,'Scoring_Config'!$D:$D,"Yes")="Yes",_xlfn.XLOOKUP("DstZone_IsAny",'Scoring_Config'!$A:$A,'Scoring_Config'!$C:$C,5),0),0)+IF(LEFT(AK376,4)="True",IF(_xlfn.XLOOKUP("Service_Any_OR_RangeGt1000",'Scoring_Config'!$A:$A,'Scoring_Config'!$D:$D,"Yes")="Yes",_xlfn.XLOOKUP("Service_Any_OR_RangeGt1000",'Scoring_Config'!$A:$A,'Scoring_Config'!$C:$C,25),0),0)+IF(LEFT(AL376,4)="True",IF(_xlfn.XLOOKUP("App_Any_OR_RangeGt1000",'Scoring_Config'!$A:$A,'Scoring_Config'!$D:$D,"Yes")="Yes",_xlfn.XLOOKUP("App_Any_OR_RangeGt1000",'Scoring_Config'!$A:$A,'Scoring_Config'!$C:$C,25),0),0)+IF(LEFT(AM376,4)="True",IF(_xlfn.XLOOKUP("Service_Insecure_Match",'Scoring_Config'!$A:$A,'Scoring_Config'!$D:$D,"Yes")="Yes",_xlfn.XLOOKUP("Service_Insecure_Match",'Scoring_Config'!$A:$A,'Scoring_Config'!$C:$C,20),0),0)+IF(LEFT(AN376,4)="True",IF(_xlfn.XLOOKUP("Risky_Inbound",'Scoring_Config'!$A:$A,'Scoring_Config'!$D:$D,"Yes")="Yes",_xlfn.XLOOKUP("Risky_Inbound",'Scoring_Config'!$A:$A,'Scoring_Config'!$C:$C,20),0),0)+IF(LEFT(AO376,4)="True",IF(_xlfn.XLOOKUP("Risky_Outbound",'Scoring_Config'!$A:$A,'Scoring_Config'!$D:$D,"Yes")="Yes",_xlfn.XLOOKUP("Risky_Outbound",'Scoring_Config'!$A:$A,'Scoring_Config'!$C:$C,10),0),0)+IF(LEFT(AW376,4)="True",IF(_xlfn.XLOOKUP("Migrate_Insecure",'Scoring_Config'!$A:$A,'Scoring_Config'!$D:$D,"Yes")="Yes",_xlfn.XLOOKUP("Migrate_Insecure",'Scoring_Config'!$A:$A,'Scoring_Config'!$C:$C,15),0),0)+IF(LEFT(AY376,4)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376,FIND(",",AP376)+1,100)),0)+IF(LEFT(AQ376,4)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376,FIND(",",AR376)+1,100)),0)+IF(_xlfn.XLOOKUP("Profile_Scoring",'Scoring_Config'!$A:$A,'Scoring_Config'!$D:$D,"Yes")="Yes",VALUE(MID(AS376,FIND(",",AS376)+1,100)),0)+IF(_xlfn.XLOOKUP("Options_Scoring",'Scoring_Config'!$A:$A,'Scoring_Config'!$D:$D,"Yes")="Yes",VALUE(MID(AT376,FIND(",",AT376)+1,100)),0)))</f>
        <v>0</v>
      </c>
    </row>
    <row r="377" spans="1:52">
      <c r="A377" s="3" t="s">
        <v>55</v>
      </c>
      <c r="B377" s="3" t="s">
        <v>286</v>
      </c>
      <c r="C377" s="3" t="s">
        <v>332</v>
      </c>
      <c r="D377" s="3"/>
      <c r="E377" s="3" t="s">
        <v>359</v>
      </c>
      <c r="F377" s="3" t="s">
        <v>362</v>
      </c>
      <c r="G377" s="3" t="s">
        <v>497</v>
      </c>
      <c r="H377" s="3" t="s">
        <v>601</v>
      </c>
      <c r="I377" s="3" t="s">
        <v>623</v>
      </c>
      <c r="J377" s="3" t="s">
        <v>364</v>
      </c>
      <c r="K377" s="3" t="s">
        <v>529</v>
      </c>
      <c r="L377" s="3" t="s">
        <v>529</v>
      </c>
      <c r="M377" s="3" t="s">
        <v>790</v>
      </c>
      <c r="N377" s="3" t="s">
        <v>791</v>
      </c>
      <c r="O377" s="4" t="s">
        <v>858</v>
      </c>
      <c r="P377" s="3" t="s">
        <v>880</v>
      </c>
      <c r="Q377" s="3" t="s">
        <v>905</v>
      </c>
      <c r="R377" s="3" t="s">
        <v>911</v>
      </c>
      <c r="S377" s="3" t="s">
        <v>914</v>
      </c>
      <c r="T377" s="3" t="s">
        <v>919</v>
      </c>
      <c r="U377" s="3" t="s">
        <v>1335</v>
      </c>
      <c r="V377" s="3" t="s">
        <v>789</v>
      </c>
      <c r="W377" s="3" t="s">
        <v>1567</v>
      </c>
      <c r="X377" s="3" t="s">
        <v>1981</v>
      </c>
      <c r="Y377" s="3" t="s">
        <v>2450</v>
      </c>
      <c r="Z377" s="3"/>
      <c r="AA377" s="3"/>
      <c r="AB377" s="3"/>
      <c r="AC377" s="5" cm="1">
        <f t="array" ref="AC377">IF(TRUE,"True," &amp; IF(_xlfn.XLOOKUP("Src_IsAny",'Scoring_Config'!$A:$A,'Scoring_Config'!$D:$D,"Yes")="Yes",_xlfn.XLOOKUP("Src_IsAny",'Scoring_Config'!$A:$A,'Scoring_Config'!$C:$C,25),0),"False,0")</f>
        <v>0</v>
      </c>
      <c r="AD377" s="5" cm="1">
        <f t="array" ref="AD377">IF(TRUE,"True," &amp; IF(_xlfn.XLOOKUP("Src_CIDR_Le_16",'Scoring_Config'!$A:$A,'Scoring_Config'!$D:$D,"Yes")="Yes",_xlfn.XLOOKUP("Src_CIDR_Le_16",'Scoring_Config'!$A:$A,'Scoring_Config'!$C:$C,25),0),"False,0")</f>
        <v>0</v>
      </c>
      <c r="AE377" s="4" cm="1">
        <f t="array" ref="AE377">IF(FALSE,"True," &amp; IF(_xlfn.XLOOKUP("Src_CIDR_17_22",'Scoring_Config'!$A:$A,'Scoring_Config'!$D:$D,"Yes")="Yes",_xlfn.XLOOKUP("Src_CIDR_17_22",'Scoring_Config'!$A:$A,'Scoring_Config'!$C:$C,15),0),"False,0")</f>
        <v>0</v>
      </c>
      <c r="AF377" s="4" cm="1">
        <f t="array" ref="AF377">IF(FALSE,"True," &amp; IF(_xlfn.XLOOKUP("Dst_IsAny",'Scoring_Config'!$A:$A,'Scoring_Config'!$D:$D,"Yes")="Yes",_xlfn.XLOOKUP("Dst_IsAny",'Scoring_Config'!$A:$A,'Scoring_Config'!$C:$C,25),0),"False,0")</f>
        <v>0</v>
      </c>
      <c r="AG377" s="5" cm="1">
        <f t="array" ref="AG377">IF(TRUE,"True," &amp; IF(_xlfn.XLOOKUP("Dst_CIDR_Le_16",'Scoring_Config'!$A:$A,'Scoring_Config'!$D:$D,"Yes")="Yes",_xlfn.XLOOKUP("Dst_CIDR_Le_16",'Scoring_Config'!$A:$A,'Scoring_Config'!$C:$C,25),0),"False,0")</f>
        <v>0</v>
      </c>
      <c r="AH377" s="4" cm="1">
        <f t="array" ref="AH377">IF(FALSE,"True," &amp; IF(_xlfn.XLOOKUP("Dst_CIDR_17_22",'Scoring_Config'!$A:$A,'Scoring_Config'!$D:$D,"Yes")="Yes",_xlfn.XLOOKUP("Dst_CIDR_17_22",'Scoring_Config'!$A:$A,'Scoring_Config'!$C:$C,15),0),"False,0")</f>
        <v>0</v>
      </c>
      <c r="AI377" s="4" cm="1">
        <f t="array" ref="AI377">IF(FALSE,"True," &amp; IF(_xlfn.XLOOKUP("SrcZone_IsAny",'Scoring_Config'!$A:$A,'Scoring_Config'!$D:$D,"Yes")="Yes",_xlfn.XLOOKUP("SrcZone_IsAny",'Scoring_Config'!$A:$A,'Scoring_Config'!$C:$C,5),0),"False,0")</f>
        <v>0</v>
      </c>
      <c r="AJ377" s="4" cm="1">
        <f t="array" ref="AJ377">IF(FALSE,"True," &amp; IF(_xlfn.XLOOKUP("DstZone_IsAny",'Scoring_Config'!$A:$A,'Scoring_Config'!$D:$D,"Yes")="Yes",_xlfn.XLOOKUP("DstZone_IsAny",'Scoring_Config'!$A:$A,'Scoring_Config'!$C:$C,5),0),"False,0")</f>
        <v>0</v>
      </c>
      <c r="AK377" s="4" cm="1">
        <f t="array" ref="AK37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7" s="5" cm="1">
        <f t="array" ref="AL377">IF(TRUE,"True," &amp; IF(_xlfn.XLOOKUP("App_Any_OR_RangeGt1000",'Scoring_Config'!$A:$A,'Scoring_Config'!$D:$D,"Yes")="Yes",_xlfn.XLOOKUP("App_Any_OR_RangeGt1000",'Scoring_Config'!$A:$A,'Scoring_Config'!$C:$C,25),0),"False,0")</f>
        <v>0</v>
      </c>
      <c r="AM377" s="5" cm="1">
        <f t="array" ref="AM377">IF(TRUE,"True," &amp; IF(_xlfn.XLOOKUP("Service_Insecure_Match",'Scoring_Config'!$A:$A,'Scoring_Config'!$D:$D,"Yes")="Yes",_xlfn.XLOOKUP("Service_Insecure_Match",'Scoring_Config'!$A:$A,'Scoring_Config'!$C:$C,20),0),"False,0")</f>
        <v>0</v>
      </c>
      <c r="AN377" s="4" cm="1">
        <f t="array" ref="AN377">IF(FALSE,"True," &amp; IF(_xlfn.XLOOKUP("Risky_Inbound",'Scoring_Config'!$A:$A,'Scoring_Config'!$D:$D,"Yes")="Yes",_xlfn.XLOOKUP("Risky_Inbound",'Scoring_Config'!$A:$A,'Scoring_Config'!$C:$C,20),0),"False,0")</f>
        <v>0</v>
      </c>
      <c r="AO377" s="4" cm="1">
        <f t="array" ref="AO377">IF(FALSE,"True," &amp; IF(_xlfn.XLOOKUP("Risky_Outbound",'Scoring_Config'!$A:$A,'Scoring_Config'!$D:$D,"Yes")="Yes",_xlfn.XLOOKUP("Risky_Outbound",'Scoring_Config'!$A:$A,'Scoring_Config'!$C:$C,10),0),"False,0")</f>
        <v>0</v>
      </c>
      <c r="AP377" s="5" t="s">
        <v>2595</v>
      </c>
      <c r="AQ377" s="4" cm="1">
        <f t="array" ref="AQ37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7" s="5" t="s">
        <v>2598</v>
      </c>
      <c r="AS377" s="4" t="s">
        <v>2592</v>
      </c>
      <c r="AT377" s="4" t="s">
        <v>2592</v>
      </c>
      <c r="AU377" s="4" cm="1">
        <f t="array" ref="AU377">IF(FALSE,"True," &amp; IF(_xlfn.XLOOKUP("Action_IsDenyOrDrop",'Scoring_Config'!$A:$A,'Scoring_Config'!$D:$D,"Yes")="Yes",_xlfn.XLOOKUP("Action_IsDenyOrDrop",'Scoring_Config'!$A:$A,'Scoring_Config'!$C:$C,0),0),"False,0")</f>
        <v>0</v>
      </c>
      <c r="AV377" s="4"/>
      <c r="AW377" s="4" cm="1">
        <f t="array" ref="AW377">IF(FALSE,"True," &amp; IF(_xlfn.XLOOKUP("Migrate_Insecure",'Scoring_Config'!$A:$A,'Scoring_Config'!$D:$D,"Yes")="Yes",_xlfn.XLOOKUP("Migrate_Insecure",'Scoring_Config'!$A:$A,'Scoring_Config'!$C:$C,15),0),"False,0")</f>
        <v>0</v>
      </c>
      <c r="AX377" s="4"/>
      <c r="AY377" s="4" cm="1">
        <f t="array" ref="AY377">IF(FALSE,"True," &amp; IF(_xlfn.XLOOKUP("Migrate_Other_Ports",'Scoring_Config'!$A:$A,'Scoring_Config'!$D:$D,"Yes")="Yes",_xlfn.XLOOKUP("Migrate_Other_Ports",'Scoring_Config'!$A:$A,'Scoring_Config'!$C:$C,5),0),"False,0")</f>
        <v>0</v>
      </c>
      <c r="AZ377" s="4" cm="1">
        <f t="array" ref="AZ377">IF(LEFT(AU377,4)="True",0,(IF(LEFT(AC377,4)="True",IF(_xlfn.XLOOKUP("Src_IsAny",'Scoring_Config'!$A:$A,'Scoring_Config'!$D:$D,"Yes")="Yes",_xlfn.XLOOKUP("Src_IsAny",'Scoring_Config'!$A:$A,'Scoring_Config'!$C:$C,25),0),0)+IF(LEFT(AD377,4)="True",IF(_xlfn.XLOOKUP("Src_CIDR_Le_16",'Scoring_Config'!$A:$A,'Scoring_Config'!$D:$D,"Yes")="Yes",_xlfn.XLOOKUP("Src_CIDR_Le_16",'Scoring_Config'!$A:$A,'Scoring_Config'!$C:$C,25),0),0)+IF(LEFT(AE377,4)="True",IF(_xlfn.XLOOKUP("Src_CIDR_17_22",'Scoring_Config'!$A:$A,'Scoring_Config'!$D:$D,"Yes")="Yes",_xlfn.XLOOKUP("Src_CIDR_17_22",'Scoring_Config'!$A:$A,'Scoring_Config'!$C:$C,15),0),0)+IF(LEFT(AF377,4)="True",IF(_xlfn.XLOOKUP("Dst_IsAny",'Scoring_Config'!$A:$A,'Scoring_Config'!$D:$D,"Yes")="Yes",_xlfn.XLOOKUP("Dst_IsAny",'Scoring_Config'!$A:$A,'Scoring_Config'!$C:$C,25),0),0)+IF(LEFT(AG377,4)="True",IF(_xlfn.XLOOKUP("Dst_CIDR_Le_16",'Scoring_Config'!$A:$A,'Scoring_Config'!$D:$D,"Yes")="Yes",_xlfn.XLOOKUP("Dst_CIDR_Le_16",'Scoring_Config'!$A:$A,'Scoring_Config'!$C:$C,25),0),0)+IF(LEFT(AH377,4)="True",IF(_xlfn.XLOOKUP("Dst_CIDR_17_22",'Scoring_Config'!$A:$A,'Scoring_Config'!$D:$D,"Yes")="Yes",_xlfn.XLOOKUP("Dst_CIDR_17_22",'Scoring_Config'!$A:$A,'Scoring_Config'!$C:$C,15),0),0)+IF(LEFT(AI377,4)="True",IF(_xlfn.XLOOKUP("SrcZone_IsAny",'Scoring_Config'!$A:$A,'Scoring_Config'!$D:$D,"Yes")="Yes",_xlfn.XLOOKUP("SrcZone_IsAny",'Scoring_Config'!$A:$A,'Scoring_Config'!$C:$C,5),0),0)+IF(LEFT(AJ377,4)="True",IF(_xlfn.XLOOKUP("DstZone_IsAny",'Scoring_Config'!$A:$A,'Scoring_Config'!$D:$D,"Yes")="Yes",_xlfn.XLOOKUP("DstZone_IsAny",'Scoring_Config'!$A:$A,'Scoring_Config'!$C:$C,5),0),0)+IF(LEFT(AK377,4)="True",IF(_xlfn.XLOOKUP("Service_Any_OR_RangeGt1000",'Scoring_Config'!$A:$A,'Scoring_Config'!$D:$D,"Yes")="Yes",_xlfn.XLOOKUP("Service_Any_OR_RangeGt1000",'Scoring_Config'!$A:$A,'Scoring_Config'!$C:$C,25),0),0)+IF(LEFT(AL377,4)="True",IF(_xlfn.XLOOKUP("App_Any_OR_RangeGt1000",'Scoring_Config'!$A:$A,'Scoring_Config'!$D:$D,"Yes")="Yes",_xlfn.XLOOKUP("App_Any_OR_RangeGt1000",'Scoring_Config'!$A:$A,'Scoring_Config'!$C:$C,25),0),0)+IF(LEFT(AM377,4)="True",IF(_xlfn.XLOOKUP("Service_Insecure_Match",'Scoring_Config'!$A:$A,'Scoring_Config'!$D:$D,"Yes")="Yes",_xlfn.XLOOKUP("Service_Insecure_Match",'Scoring_Config'!$A:$A,'Scoring_Config'!$C:$C,20),0),0)+IF(LEFT(AN377,4)="True",IF(_xlfn.XLOOKUP("Risky_Inbound",'Scoring_Config'!$A:$A,'Scoring_Config'!$D:$D,"Yes")="Yes",_xlfn.XLOOKUP("Risky_Inbound",'Scoring_Config'!$A:$A,'Scoring_Config'!$C:$C,20),0),0)+IF(LEFT(AO377,4)="True",IF(_xlfn.XLOOKUP("Risky_Outbound",'Scoring_Config'!$A:$A,'Scoring_Config'!$D:$D,"Yes")="Yes",_xlfn.XLOOKUP("Risky_Outbound",'Scoring_Config'!$A:$A,'Scoring_Config'!$C:$C,10),0),0)+IF(LEFT(AW377,4)="True",IF(_xlfn.XLOOKUP("Migrate_Insecure",'Scoring_Config'!$A:$A,'Scoring_Config'!$D:$D,"Yes")="Yes",_xlfn.XLOOKUP("Migrate_Insecure",'Scoring_Config'!$A:$A,'Scoring_Config'!$C:$C,15),0),0)+IF(LEFT(AY377,4)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377,FIND(",",AP377)+1,100)),0)+IF(LEFT(AQ377,4)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377,FIND(",",AR377)+1,100)),0)+IF(_xlfn.XLOOKUP("Profile_Scoring",'Scoring_Config'!$A:$A,'Scoring_Config'!$D:$D,"Yes")="Yes",VALUE(MID(AS377,FIND(",",AS377)+1,100)),0)+IF(_xlfn.XLOOKUP("Options_Scoring",'Scoring_Config'!$A:$A,'Scoring_Config'!$D:$D,"Yes")="Yes",VALUE(MID(AT377,FIND(",",AT377)+1,100)),0)))</f>
        <v>0</v>
      </c>
    </row>
    <row r="378" spans="1:52">
      <c r="A378" s="3" t="s">
        <v>55</v>
      </c>
      <c r="B378" s="3" t="s">
        <v>291</v>
      </c>
      <c r="C378" s="3" t="s">
        <v>332</v>
      </c>
      <c r="D378" s="3"/>
      <c r="E378" s="3" t="s">
        <v>359</v>
      </c>
      <c r="F378" s="3" t="s">
        <v>362</v>
      </c>
      <c r="G378" s="3" t="s">
        <v>365</v>
      </c>
      <c r="H378" s="3" t="s">
        <v>365</v>
      </c>
      <c r="I378" s="3" t="s">
        <v>623</v>
      </c>
      <c r="J378" s="3" t="s">
        <v>362</v>
      </c>
      <c r="K378" s="3" t="s">
        <v>365</v>
      </c>
      <c r="L378" s="3" t="s">
        <v>365</v>
      </c>
      <c r="M378" s="3" t="s">
        <v>790</v>
      </c>
      <c r="N378" s="3" t="s">
        <v>791</v>
      </c>
      <c r="O378" s="4" t="s">
        <v>827</v>
      </c>
      <c r="P378" s="3" t="s">
        <v>888</v>
      </c>
      <c r="Q378" s="3" t="s">
        <v>905</v>
      </c>
      <c r="R378" s="3" t="s">
        <v>909</v>
      </c>
      <c r="S378" s="3" t="s">
        <v>912</v>
      </c>
      <c r="T378" s="3" t="s">
        <v>1091</v>
      </c>
      <c r="U378" s="3" t="s">
        <v>1336</v>
      </c>
      <c r="V378" s="3" t="s">
        <v>1387</v>
      </c>
      <c r="W378" s="3" t="s">
        <v>1479</v>
      </c>
      <c r="X378" s="3" t="s">
        <v>1982</v>
      </c>
      <c r="Y378" s="3" t="s">
        <v>2451</v>
      </c>
      <c r="Z378" s="3"/>
      <c r="AA378" s="3"/>
      <c r="AB378" s="3"/>
      <c r="AC378" s="5" cm="1">
        <f t="array" ref="AC378">IF(TRUE,"True," &amp; IF(_xlfn.XLOOKUP("Src_IsAny",'Scoring_Config'!$A:$A,'Scoring_Config'!$D:$D,"Yes")="Yes",_xlfn.XLOOKUP("Src_IsAny",'Scoring_Config'!$A:$A,'Scoring_Config'!$C:$C,25),0),"False,0")</f>
        <v>0</v>
      </c>
      <c r="AD378" s="4" cm="1">
        <f t="array" ref="AD378">IF(FALSE,"True," &amp; IF(_xlfn.XLOOKUP("Src_CIDR_Le_16",'Scoring_Config'!$A:$A,'Scoring_Config'!$D:$D,"Yes")="Yes",_xlfn.XLOOKUP("Src_CIDR_Le_16",'Scoring_Config'!$A:$A,'Scoring_Config'!$C:$C,25),0),"False,0")</f>
        <v>0</v>
      </c>
      <c r="AE378" s="4" cm="1">
        <f t="array" ref="AE378">IF(FALSE,"True," &amp; IF(_xlfn.XLOOKUP("Src_CIDR_17_22",'Scoring_Config'!$A:$A,'Scoring_Config'!$D:$D,"Yes")="Yes",_xlfn.XLOOKUP("Src_CIDR_17_22",'Scoring_Config'!$A:$A,'Scoring_Config'!$C:$C,15),0),"False,0")</f>
        <v>0</v>
      </c>
      <c r="AF378" s="5" cm="1">
        <f t="array" ref="AF378">IF(TRUE,"True," &amp; IF(_xlfn.XLOOKUP("Dst_IsAny",'Scoring_Config'!$A:$A,'Scoring_Config'!$D:$D,"Yes")="Yes",_xlfn.XLOOKUP("Dst_IsAny",'Scoring_Config'!$A:$A,'Scoring_Config'!$C:$C,25),0),"False,0")</f>
        <v>0</v>
      </c>
      <c r="AG378" s="4" cm="1">
        <f t="array" ref="AG378">IF(FALSE,"True," &amp; IF(_xlfn.XLOOKUP("Dst_CIDR_Le_16",'Scoring_Config'!$A:$A,'Scoring_Config'!$D:$D,"Yes")="Yes",_xlfn.XLOOKUP("Dst_CIDR_Le_16",'Scoring_Config'!$A:$A,'Scoring_Config'!$C:$C,25),0),"False,0")</f>
        <v>0</v>
      </c>
      <c r="AH378" s="4" cm="1">
        <f t="array" ref="AH378">IF(FALSE,"True," &amp; IF(_xlfn.XLOOKUP("Dst_CIDR_17_22",'Scoring_Config'!$A:$A,'Scoring_Config'!$D:$D,"Yes")="Yes",_xlfn.XLOOKUP("Dst_CIDR_17_22",'Scoring_Config'!$A:$A,'Scoring_Config'!$C:$C,15),0),"False,0")</f>
        <v>0</v>
      </c>
      <c r="AI378" s="4" cm="1">
        <f t="array" ref="AI378">IF(FALSE,"True," &amp; IF(_xlfn.XLOOKUP("SrcZone_IsAny",'Scoring_Config'!$A:$A,'Scoring_Config'!$D:$D,"Yes")="Yes",_xlfn.XLOOKUP("SrcZone_IsAny",'Scoring_Config'!$A:$A,'Scoring_Config'!$C:$C,5),0),"False,0")</f>
        <v>0</v>
      </c>
      <c r="AJ378" s="4" cm="1">
        <f t="array" ref="AJ378">IF(FALSE,"True," &amp; IF(_xlfn.XLOOKUP("DstZone_IsAny",'Scoring_Config'!$A:$A,'Scoring_Config'!$D:$D,"Yes")="Yes",_xlfn.XLOOKUP("DstZone_IsAny",'Scoring_Config'!$A:$A,'Scoring_Config'!$C:$C,5),0),"False,0")</f>
        <v>0</v>
      </c>
      <c r="AK378" s="4" cm="1">
        <f t="array" ref="AK37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8" s="5" cm="1">
        <f t="array" ref="AL378">IF(TRUE,"True," &amp; IF(_xlfn.XLOOKUP("App_Any_OR_RangeGt1000",'Scoring_Config'!$A:$A,'Scoring_Config'!$D:$D,"Yes")="Yes",_xlfn.XLOOKUP("App_Any_OR_RangeGt1000",'Scoring_Config'!$A:$A,'Scoring_Config'!$C:$C,25),0),"False,0")</f>
        <v>0</v>
      </c>
      <c r="AM378" s="5" cm="1">
        <f t="array" ref="AM378">IF(TRUE,"True," &amp; IF(_xlfn.XLOOKUP("Service_Insecure_Match",'Scoring_Config'!$A:$A,'Scoring_Config'!$D:$D,"Yes")="Yes",_xlfn.XLOOKUP("Service_Insecure_Match",'Scoring_Config'!$A:$A,'Scoring_Config'!$C:$C,20),0),"False,0")</f>
        <v>0</v>
      </c>
      <c r="AN378" s="4" cm="1">
        <f t="array" ref="AN378">IF(FALSE,"True," &amp; IF(_xlfn.XLOOKUP("Risky_Inbound",'Scoring_Config'!$A:$A,'Scoring_Config'!$D:$D,"Yes")="Yes",_xlfn.XLOOKUP("Risky_Inbound",'Scoring_Config'!$A:$A,'Scoring_Config'!$C:$C,20),0),"False,0")</f>
        <v>0</v>
      </c>
      <c r="AO378" s="4" cm="1">
        <f t="array" ref="AO378">IF(FALSE,"True," &amp; IF(_xlfn.XLOOKUP("Risky_Outbound",'Scoring_Config'!$A:$A,'Scoring_Config'!$D:$D,"Yes")="Yes",_xlfn.XLOOKUP("Risky_Outbound",'Scoring_Config'!$A:$A,'Scoring_Config'!$C:$C,10),0),"False,0")</f>
        <v>0</v>
      </c>
      <c r="AP378" s="5" t="s">
        <v>2595</v>
      </c>
      <c r="AQ378" s="4" cm="1">
        <f t="array" ref="AQ37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8" s="5" t="s">
        <v>2598</v>
      </c>
      <c r="AS378" s="4" t="s">
        <v>2592</v>
      </c>
      <c r="AT378" s="4" t="s">
        <v>2592</v>
      </c>
      <c r="AU378" s="4" cm="1">
        <f t="array" ref="AU378">IF(FALSE,"True," &amp; IF(_xlfn.XLOOKUP("Action_IsDenyOrDrop",'Scoring_Config'!$A:$A,'Scoring_Config'!$D:$D,"Yes")="Yes",_xlfn.XLOOKUP("Action_IsDenyOrDrop",'Scoring_Config'!$A:$A,'Scoring_Config'!$C:$C,0),0),"False,0")</f>
        <v>0</v>
      </c>
      <c r="AV378" s="4"/>
      <c r="AW378" s="4" cm="1">
        <f t="array" ref="AW378">IF(FALSE,"True," &amp; IF(_xlfn.XLOOKUP("Migrate_Insecure",'Scoring_Config'!$A:$A,'Scoring_Config'!$D:$D,"Yes")="Yes",_xlfn.XLOOKUP("Migrate_Insecure",'Scoring_Config'!$A:$A,'Scoring_Config'!$C:$C,15),0),"False,0")</f>
        <v>0</v>
      </c>
      <c r="AX378" s="4"/>
      <c r="AY378" s="4" cm="1">
        <f t="array" ref="AY378">IF(FALSE,"True," &amp; IF(_xlfn.XLOOKUP("Migrate_Other_Ports",'Scoring_Config'!$A:$A,'Scoring_Config'!$D:$D,"Yes")="Yes",_xlfn.XLOOKUP("Migrate_Other_Ports",'Scoring_Config'!$A:$A,'Scoring_Config'!$C:$C,5),0),"False,0")</f>
        <v>0</v>
      </c>
      <c r="AZ378" s="4" cm="1">
        <f t="array" ref="AZ378">IF(LEFT(AU378,4)="True",0,(IF(LEFT(AC378,4)="True",IF(_xlfn.XLOOKUP("Src_IsAny",'Scoring_Config'!$A:$A,'Scoring_Config'!$D:$D,"Yes")="Yes",_xlfn.XLOOKUP("Src_IsAny",'Scoring_Config'!$A:$A,'Scoring_Config'!$C:$C,25),0),0)+IF(LEFT(AD378,4)="True",IF(_xlfn.XLOOKUP("Src_CIDR_Le_16",'Scoring_Config'!$A:$A,'Scoring_Config'!$D:$D,"Yes")="Yes",_xlfn.XLOOKUP("Src_CIDR_Le_16",'Scoring_Config'!$A:$A,'Scoring_Config'!$C:$C,25),0),0)+IF(LEFT(AE378,4)="True",IF(_xlfn.XLOOKUP("Src_CIDR_17_22",'Scoring_Config'!$A:$A,'Scoring_Config'!$D:$D,"Yes")="Yes",_xlfn.XLOOKUP("Src_CIDR_17_22",'Scoring_Config'!$A:$A,'Scoring_Config'!$C:$C,15),0),0)+IF(LEFT(AF378,4)="True",IF(_xlfn.XLOOKUP("Dst_IsAny",'Scoring_Config'!$A:$A,'Scoring_Config'!$D:$D,"Yes")="Yes",_xlfn.XLOOKUP("Dst_IsAny",'Scoring_Config'!$A:$A,'Scoring_Config'!$C:$C,25),0),0)+IF(LEFT(AG378,4)="True",IF(_xlfn.XLOOKUP("Dst_CIDR_Le_16",'Scoring_Config'!$A:$A,'Scoring_Config'!$D:$D,"Yes")="Yes",_xlfn.XLOOKUP("Dst_CIDR_Le_16",'Scoring_Config'!$A:$A,'Scoring_Config'!$C:$C,25),0),0)+IF(LEFT(AH378,4)="True",IF(_xlfn.XLOOKUP("Dst_CIDR_17_22",'Scoring_Config'!$A:$A,'Scoring_Config'!$D:$D,"Yes")="Yes",_xlfn.XLOOKUP("Dst_CIDR_17_22",'Scoring_Config'!$A:$A,'Scoring_Config'!$C:$C,15),0),0)+IF(LEFT(AI378,4)="True",IF(_xlfn.XLOOKUP("SrcZone_IsAny",'Scoring_Config'!$A:$A,'Scoring_Config'!$D:$D,"Yes")="Yes",_xlfn.XLOOKUP("SrcZone_IsAny",'Scoring_Config'!$A:$A,'Scoring_Config'!$C:$C,5),0),0)+IF(LEFT(AJ378,4)="True",IF(_xlfn.XLOOKUP("DstZone_IsAny",'Scoring_Config'!$A:$A,'Scoring_Config'!$D:$D,"Yes")="Yes",_xlfn.XLOOKUP("DstZone_IsAny",'Scoring_Config'!$A:$A,'Scoring_Config'!$C:$C,5),0),0)+IF(LEFT(AK378,4)="True",IF(_xlfn.XLOOKUP("Service_Any_OR_RangeGt1000",'Scoring_Config'!$A:$A,'Scoring_Config'!$D:$D,"Yes")="Yes",_xlfn.XLOOKUP("Service_Any_OR_RangeGt1000",'Scoring_Config'!$A:$A,'Scoring_Config'!$C:$C,25),0),0)+IF(LEFT(AL378,4)="True",IF(_xlfn.XLOOKUP("App_Any_OR_RangeGt1000",'Scoring_Config'!$A:$A,'Scoring_Config'!$D:$D,"Yes")="Yes",_xlfn.XLOOKUP("App_Any_OR_RangeGt1000",'Scoring_Config'!$A:$A,'Scoring_Config'!$C:$C,25),0),0)+IF(LEFT(AM378,4)="True",IF(_xlfn.XLOOKUP("Service_Insecure_Match",'Scoring_Config'!$A:$A,'Scoring_Config'!$D:$D,"Yes")="Yes",_xlfn.XLOOKUP("Service_Insecure_Match",'Scoring_Config'!$A:$A,'Scoring_Config'!$C:$C,20),0),0)+IF(LEFT(AN378,4)="True",IF(_xlfn.XLOOKUP("Risky_Inbound",'Scoring_Config'!$A:$A,'Scoring_Config'!$D:$D,"Yes")="Yes",_xlfn.XLOOKUP("Risky_Inbound",'Scoring_Config'!$A:$A,'Scoring_Config'!$C:$C,20),0),0)+IF(LEFT(AO378,4)="True",IF(_xlfn.XLOOKUP("Risky_Outbound",'Scoring_Config'!$A:$A,'Scoring_Config'!$D:$D,"Yes")="Yes",_xlfn.XLOOKUP("Risky_Outbound",'Scoring_Config'!$A:$A,'Scoring_Config'!$C:$C,10),0),0)+IF(LEFT(AW378,4)="True",IF(_xlfn.XLOOKUP("Migrate_Insecure",'Scoring_Config'!$A:$A,'Scoring_Config'!$D:$D,"Yes")="Yes",_xlfn.XLOOKUP("Migrate_Insecure",'Scoring_Config'!$A:$A,'Scoring_Config'!$C:$C,15),0),0)+IF(LEFT(AY378,4)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378,FIND(",",AP378)+1,100)),0)+IF(LEFT(AQ378,4)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378,FIND(",",AR378)+1,100)),0)+IF(_xlfn.XLOOKUP("Profile_Scoring",'Scoring_Config'!$A:$A,'Scoring_Config'!$D:$D,"Yes")="Yes",VALUE(MID(AS378,FIND(",",AS378)+1,100)),0)+IF(_xlfn.XLOOKUP("Options_Scoring",'Scoring_Config'!$A:$A,'Scoring_Config'!$D:$D,"Yes")="Yes",VALUE(MID(AT378,FIND(",",AT378)+1,100)),0)))</f>
        <v>0</v>
      </c>
    </row>
    <row r="379" spans="1:52">
      <c r="A379" s="3" t="s">
        <v>55</v>
      </c>
      <c r="B379" s="3" t="s">
        <v>57</v>
      </c>
      <c r="C379" s="3" t="s">
        <v>332</v>
      </c>
      <c r="D379" s="3"/>
      <c r="E379" s="3" t="s">
        <v>359</v>
      </c>
      <c r="F379" s="3" t="s">
        <v>365</v>
      </c>
      <c r="G379" s="3" t="s">
        <v>365</v>
      </c>
      <c r="H379" s="3" t="s">
        <v>365</v>
      </c>
      <c r="I379" s="3" t="s">
        <v>623</v>
      </c>
      <c r="J379" s="3" t="s">
        <v>360</v>
      </c>
      <c r="K379" s="3" t="s">
        <v>533</v>
      </c>
      <c r="L379" s="3" t="s">
        <v>594</v>
      </c>
      <c r="M379" s="3" t="s">
        <v>773</v>
      </c>
      <c r="N379" s="3" t="s">
        <v>773</v>
      </c>
      <c r="O379" s="4" t="s">
        <v>821</v>
      </c>
      <c r="P379" s="3" t="s">
        <v>882</v>
      </c>
      <c r="Q379" s="3" t="s">
        <v>905</v>
      </c>
      <c r="R379" s="3" t="s">
        <v>907</v>
      </c>
      <c r="S379" s="3" t="s">
        <v>907</v>
      </c>
      <c r="T379" s="3" t="s">
        <v>1091</v>
      </c>
      <c r="U379" s="3" t="s">
        <v>1337</v>
      </c>
      <c r="V379" s="3" t="s">
        <v>1386</v>
      </c>
      <c r="W379" s="3" t="s">
        <v>1577</v>
      </c>
      <c r="X379" s="3" t="s">
        <v>1983</v>
      </c>
      <c r="Y379" s="3" t="s">
        <v>2452</v>
      </c>
      <c r="Z379" s="3"/>
      <c r="AA379" s="3"/>
      <c r="AB379" s="3"/>
      <c r="AC379" s="5" cm="1">
        <f t="array" ref="AC379">IF(TRUE,"True," &amp; IF(_xlfn.XLOOKUP("Src_IsAny",'Scoring_Config'!$A:$A,'Scoring_Config'!$D:$D,"Yes")="Yes",_xlfn.XLOOKUP("Src_IsAny",'Scoring_Config'!$A:$A,'Scoring_Config'!$C:$C,25),0),"False,0")</f>
        <v>0</v>
      </c>
      <c r="AD379" s="4" cm="1">
        <f t="array" ref="AD379">IF(FALSE,"True," &amp; IF(_xlfn.XLOOKUP("Src_CIDR_Le_16",'Scoring_Config'!$A:$A,'Scoring_Config'!$D:$D,"Yes")="Yes",_xlfn.XLOOKUP("Src_CIDR_Le_16",'Scoring_Config'!$A:$A,'Scoring_Config'!$C:$C,25),0),"False,0")</f>
        <v>0</v>
      </c>
      <c r="AE379" s="4" cm="1">
        <f t="array" ref="AE379">IF(FALSE,"True," &amp; IF(_xlfn.XLOOKUP("Src_CIDR_17_22",'Scoring_Config'!$A:$A,'Scoring_Config'!$D:$D,"Yes")="Yes",_xlfn.XLOOKUP("Src_CIDR_17_22",'Scoring_Config'!$A:$A,'Scoring_Config'!$C:$C,15),0),"False,0")</f>
        <v>0</v>
      </c>
      <c r="AF379" s="4" cm="1">
        <f t="array" ref="AF379">IF(FALSE,"True," &amp; IF(_xlfn.XLOOKUP("Dst_IsAny",'Scoring_Config'!$A:$A,'Scoring_Config'!$D:$D,"Yes")="Yes",_xlfn.XLOOKUP("Dst_IsAny",'Scoring_Config'!$A:$A,'Scoring_Config'!$C:$C,25),0),"False,0")</f>
        <v>0</v>
      </c>
      <c r="AG379" s="5" cm="1">
        <f t="array" ref="AG379">IF(TRUE,"True," &amp; IF(_xlfn.XLOOKUP("Dst_CIDR_Le_16",'Scoring_Config'!$A:$A,'Scoring_Config'!$D:$D,"Yes")="Yes",_xlfn.XLOOKUP("Dst_CIDR_Le_16",'Scoring_Config'!$A:$A,'Scoring_Config'!$C:$C,25),0),"False,0")</f>
        <v>0</v>
      </c>
      <c r="AH379" s="4" cm="1">
        <f t="array" ref="AH379">IF(FALSE,"True," &amp; IF(_xlfn.XLOOKUP("Dst_CIDR_17_22",'Scoring_Config'!$A:$A,'Scoring_Config'!$D:$D,"Yes")="Yes",_xlfn.XLOOKUP("Dst_CIDR_17_22",'Scoring_Config'!$A:$A,'Scoring_Config'!$C:$C,15),0),"False,0")</f>
        <v>0</v>
      </c>
      <c r="AI379" s="5" cm="1">
        <f t="array" ref="AI379">IF(TRUE,"True," &amp; IF(_xlfn.XLOOKUP("SrcZone_IsAny",'Scoring_Config'!$A:$A,'Scoring_Config'!$D:$D,"Yes")="Yes",_xlfn.XLOOKUP("SrcZone_IsAny",'Scoring_Config'!$A:$A,'Scoring_Config'!$C:$C,5),0),"False,0")</f>
        <v>0</v>
      </c>
      <c r="AJ379" s="4" cm="1">
        <f t="array" ref="AJ379">IF(FALSE,"True," &amp; IF(_xlfn.XLOOKUP("DstZone_IsAny",'Scoring_Config'!$A:$A,'Scoring_Config'!$D:$D,"Yes")="Yes",_xlfn.XLOOKUP("DstZone_IsAny",'Scoring_Config'!$A:$A,'Scoring_Config'!$C:$C,5),0),"False,0")</f>
        <v>0</v>
      </c>
      <c r="AK379" s="4" cm="1">
        <f t="array" ref="AK37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79" s="4" cm="1">
        <f t="array" ref="AL379">IF(FALSE,"True," &amp; IF(_xlfn.XLOOKUP("App_Any_OR_RangeGt1000",'Scoring_Config'!$A:$A,'Scoring_Config'!$D:$D,"Yes")="Yes",_xlfn.XLOOKUP("App_Any_OR_RangeGt1000",'Scoring_Config'!$A:$A,'Scoring_Config'!$C:$C,25),0),"False,0")</f>
        <v>0</v>
      </c>
      <c r="AM379" s="5" cm="1">
        <f t="array" ref="AM379">IF(TRUE,"True," &amp; IF(_xlfn.XLOOKUP("Service_Insecure_Match",'Scoring_Config'!$A:$A,'Scoring_Config'!$D:$D,"Yes")="Yes",_xlfn.XLOOKUP("Service_Insecure_Match",'Scoring_Config'!$A:$A,'Scoring_Config'!$C:$C,20),0),"False,0")</f>
        <v>0</v>
      </c>
      <c r="AN379" s="4" cm="1">
        <f t="array" ref="AN379">IF(FALSE,"True," &amp; IF(_xlfn.XLOOKUP("Risky_Inbound",'Scoring_Config'!$A:$A,'Scoring_Config'!$D:$D,"Yes")="Yes",_xlfn.XLOOKUP("Risky_Inbound",'Scoring_Config'!$A:$A,'Scoring_Config'!$C:$C,20),0),"False,0")</f>
        <v>0</v>
      </c>
      <c r="AO379" s="4" cm="1">
        <f t="array" ref="AO379">IF(FALSE,"True," &amp; IF(_xlfn.XLOOKUP("Risky_Outbound",'Scoring_Config'!$A:$A,'Scoring_Config'!$D:$D,"Yes")="Yes",_xlfn.XLOOKUP("Risky_Outbound",'Scoring_Config'!$A:$A,'Scoring_Config'!$C:$C,10),0),"False,0")</f>
        <v>0</v>
      </c>
      <c r="AP379" s="5" t="s">
        <v>2595</v>
      </c>
      <c r="AQ379" s="4" cm="1">
        <f t="array" ref="AQ37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79" s="5" t="s">
        <v>2598</v>
      </c>
      <c r="AS379" s="5" t="s">
        <v>2595</v>
      </c>
      <c r="AT379" s="5" t="s">
        <v>2595</v>
      </c>
      <c r="AU379" s="4" cm="1">
        <f t="array" ref="AU379">IF(FALSE,"True," &amp; IF(_xlfn.XLOOKUP("Action_IsDenyOrDrop",'Scoring_Config'!$A:$A,'Scoring_Config'!$D:$D,"Yes")="Yes",_xlfn.XLOOKUP("Action_IsDenyOrDrop",'Scoring_Config'!$A:$A,'Scoring_Config'!$C:$C,0),0),"False,0")</f>
        <v>0</v>
      </c>
      <c r="AV379" s="4"/>
      <c r="AW379" s="4" cm="1">
        <f t="array" ref="AW379">IF(FALSE,"True," &amp; IF(_xlfn.XLOOKUP("Migrate_Insecure",'Scoring_Config'!$A:$A,'Scoring_Config'!$D:$D,"Yes")="Yes",_xlfn.XLOOKUP("Migrate_Insecure",'Scoring_Config'!$A:$A,'Scoring_Config'!$C:$C,15),0),"False,0")</f>
        <v>0</v>
      </c>
      <c r="AX379" s="4"/>
      <c r="AY379" s="4" cm="1">
        <f t="array" ref="AY379">IF(FALSE,"True," &amp; IF(_xlfn.XLOOKUP("Migrate_Other_Ports",'Scoring_Config'!$A:$A,'Scoring_Config'!$D:$D,"Yes")="Yes",_xlfn.XLOOKUP("Migrate_Other_Ports",'Scoring_Config'!$A:$A,'Scoring_Config'!$C:$C,5),0),"False,0")</f>
        <v>0</v>
      </c>
      <c r="AZ379" s="4" cm="1">
        <f t="array" ref="AZ379">IF(LEFT(AU379,4)="True",0,(IF(LEFT(AC379,4)="True",IF(_xlfn.XLOOKUP("Src_IsAny",'Scoring_Config'!$A:$A,'Scoring_Config'!$D:$D,"Yes")="Yes",_xlfn.XLOOKUP("Src_IsAny",'Scoring_Config'!$A:$A,'Scoring_Config'!$C:$C,25),0),0)+IF(LEFT(AD379,4)="True",IF(_xlfn.XLOOKUP("Src_CIDR_Le_16",'Scoring_Config'!$A:$A,'Scoring_Config'!$D:$D,"Yes")="Yes",_xlfn.XLOOKUP("Src_CIDR_Le_16",'Scoring_Config'!$A:$A,'Scoring_Config'!$C:$C,25),0),0)+IF(LEFT(AE379,4)="True",IF(_xlfn.XLOOKUP("Src_CIDR_17_22",'Scoring_Config'!$A:$A,'Scoring_Config'!$D:$D,"Yes")="Yes",_xlfn.XLOOKUP("Src_CIDR_17_22",'Scoring_Config'!$A:$A,'Scoring_Config'!$C:$C,15),0),0)+IF(LEFT(AF379,4)="True",IF(_xlfn.XLOOKUP("Dst_IsAny",'Scoring_Config'!$A:$A,'Scoring_Config'!$D:$D,"Yes")="Yes",_xlfn.XLOOKUP("Dst_IsAny",'Scoring_Config'!$A:$A,'Scoring_Config'!$C:$C,25),0),0)+IF(LEFT(AG379,4)="True",IF(_xlfn.XLOOKUP("Dst_CIDR_Le_16",'Scoring_Config'!$A:$A,'Scoring_Config'!$D:$D,"Yes")="Yes",_xlfn.XLOOKUP("Dst_CIDR_Le_16",'Scoring_Config'!$A:$A,'Scoring_Config'!$C:$C,25),0),0)+IF(LEFT(AH379,4)="True",IF(_xlfn.XLOOKUP("Dst_CIDR_17_22",'Scoring_Config'!$A:$A,'Scoring_Config'!$D:$D,"Yes")="Yes",_xlfn.XLOOKUP("Dst_CIDR_17_22",'Scoring_Config'!$A:$A,'Scoring_Config'!$C:$C,15),0),0)+IF(LEFT(AI379,4)="True",IF(_xlfn.XLOOKUP("SrcZone_IsAny",'Scoring_Config'!$A:$A,'Scoring_Config'!$D:$D,"Yes")="Yes",_xlfn.XLOOKUP("SrcZone_IsAny",'Scoring_Config'!$A:$A,'Scoring_Config'!$C:$C,5),0),0)+IF(LEFT(AJ379,4)="True",IF(_xlfn.XLOOKUP("DstZone_IsAny",'Scoring_Config'!$A:$A,'Scoring_Config'!$D:$D,"Yes")="Yes",_xlfn.XLOOKUP("DstZone_IsAny",'Scoring_Config'!$A:$A,'Scoring_Config'!$C:$C,5),0),0)+IF(LEFT(AK379,4)="True",IF(_xlfn.XLOOKUP("Service_Any_OR_RangeGt1000",'Scoring_Config'!$A:$A,'Scoring_Config'!$D:$D,"Yes")="Yes",_xlfn.XLOOKUP("Service_Any_OR_RangeGt1000",'Scoring_Config'!$A:$A,'Scoring_Config'!$C:$C,25),0),0)+IF(LEFT(AL379,4)="True",IF(_xlfn.XLOOKUP("App_Any_OR_RangeGt1000",'Scoring_Config'!$A:$A,'Scoring_Config'!$D:$D,"Yes")="Yes",_xlfn.XLOOKUP("App_Any_OR_RangeGt1000",'Scoring_Config'!$A:$A,'Scoring_Config'!$C:$C,25),0),0)+IF(LEFT(AM379,4)="True",IF(_xlfn.XLOOKUP("Service_Insecure_Match",'Scoring_Config'!$A:$A,'Scoring_Config'!$D:$D,"Yes")="Yes",_xlfn.XLOOKUP("Service_Insecure_Match",'Scoring_Config'!$A:$A,'Scoring_Config'!$C:$C,20),0),0)+IF(LEFT(AN379,4)="True",IF(_xlfn.XLOOKUP("Risky_Inbound",'Scoring_Config'!$A:$A,'Scoring_Config'!$D:$D,"Yes")="Yes",_xlfn.XLOOKUP("Risky_Inbound",'Scoring_Config'!$A:$A,'Scoring_Config'!$C:$C,20),0),0)+IF(LEFT(AO379,4)="True",IF(_xlfn.XLOOKUP("Risky_Outbound",'Scoring_Config'!$A:$A,'Scoring_Config'!$D:$D,"Yes")="Yes",_xlfn.XLOOKUP("Risky_Outbound",'Scoring_Config'!$A:$A,'Scoring_Config'!$C:$C,10),0),0)+IF(LEFT(AW379,4)="True",IF(_xlfn.XLOOKUP("Migrate_Insecure",'Scoring_Config'!$A:$A,'Scoring_Config'!$D:$D,"Yes")="Yes",_xlfn.XLOOKUP("Migrate_Insecure",'Scoring_Config'!$A:$A,'Scoring_Config'!$C:$C,15),0),0)+IF(LEFT(AY379,4)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379,FIND(",",AP379)+1,100)),0)+IF(LEFT(AQ379,4)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379,FIND(",",AR379)+1,100)),0)+IF(_xlfn.XLOOKUP("Profile_Scoring",'Scoring_Config'!$A:$A,'Scoring_Config'!$D:$D,"Yes")="Yes",VALUE(MID(AS379,FIND(",",AS379)+1,100)),0)+IF(_xlfn.XLOOKUP("Options_Scoring",'Scoring_Config'!$A:$A,'Scoring_Config'!$D:$D,"Yes")="Yes",VALUE(MID(AT379,FIND(",",AT379)+1,100)),0)))</f>
        <v>0</v>
      </c>
    </row>
    <row r="380" spans="1:52">
      <c r="A380" s="3" t="s">
        <v>55</v>
      </c>
      <c r="B380" s="3" t="s">
        <v>88</v>
      </c>
      <c r="C380" s="3" t="s">
        <v>332</v>
      </c>
      <c r="D380" s="3"/>
      <c r="E380" s="3" t="s">
        <v>359</v>
      </c>
      <c r="F380" s="3" t="s">
        <v>362</v>
      </c>
      <c r="G380" s="3" t="s">
        <v>365</v>
      </c>
      <c r="H380" s="3" t="s">
        <v>365</v>
      </c>
      <c r="I380" s="3" t="s">
        <v>623</v>
      </c>
      <c r="J380" s="3" t="s">
        <v>363</v>
      </c>
      <c r="K380" s="3" t="s">
        <v>365</v>
      </c>
      <c r="L380" s="3" t="s">
        <v>365</v>
      </c>
      <c r="M380" s="3" t="s">
        <v>774</v>
      </c>
      <c r="N380" s="3" t="s">
        <v>795</v>
      </c>
      <c r="O380" s="4" t="s">
        <v>833</v>
      </c>
      <c r="P380" s="3" t="s">
        <v>894</v>
      </c>
      <c r="Q380" s="3" t="s">
        <v>905</v>
      </c>
      <c r="R380" s="3" t="s">
        <v>906</v>
      </c>
      <c r="S380" s="3" t="s">
        <v>912</v>
      </c>
      <c r="T380" s="3" t="s">
        <v>919</v>
      </c>
      <c r="U380" s="3" t="s">
        <v>1150</v>
      </c>
      <c r="V380" s="3" t="s">
        <v>772</v>
      </c>
      <c r="W380" s="3" t="s">
        <v>1468</v>
      </c>
      <c r="X380" s="3" t="s">
        <v>1984</v>
      </c>
      <c r="Y380" s="3" t="s">
        <v>2453</v>
      </c>
      <c r="Z380" s="3"/>
      <c r="AA380" s="3"/>
      <c r="AB380" s="3"/>
      <c r="AC380" s="5" cm="1">
        <f t="array" ref="AC380">IF(TRUE,"True," &amp; IF(_xlfn.XLOOKUP("Src_IsAny",'Scoring_Config'!$A:$A,'Scoring_Config'!$D:$D,"Yes")="Yes",_xlfn.XLOOKUP("Src_IsAny",'Scoring_Config'!$A:$A,'Scoring_Config'!$C:$C,25),0),"False,0")</f>
        <v>0</v>
      </c>
      <c r="AD380" s="4" cm="1">
        <f t="array" ref="AD380">IF(FALSE,"True," &amp; IF(_xlfn.XLOOKUP("Src_CIDR_Le_16",'Scoring_Config'!$A:$A,'Scoring_Config'!$D:$D,"Yes")="Yes",_xlfn.XLOOKUP("Src_CIDR_Le_16",'Scoring_Config'!$A:$A,'Scoring_Config'!$C:$C,25),0),"False,0")</f>
        <v>0</v>
      </c>
      <c r="AE380" s="4" cm="1">
        <f t="array" ref="AE380">IF(FALSE,"True," &amp; IF(_xlfn.XLOOKUP("Src_CIDR_17_22",'Scoring_Config'!$A:$A,'Scoring_Config'!$D:$D,"Yes")="Yes",_xlfn.XLOOKUP("Src_CIDR_17_22",'Scoring_Config'!$A:$A,'Scoring_Config'!$C:$C,15),0),"False,0")</f>
        <v>0</v>
      </c>
      <c r="AF380" s="5" cm="1">
        <f t="array" ref="AF380">IF(TRUE,"True," &amp; IF(_xlfn.XLOOKUP("Dst_IsAny",'Scoring_Config'!$A:$A,'Scoring_Config'!$D:$D,"Yes")="Yes",_xlfn.XLOOKUP("Dst_IsAny",'Scoring_Config'!$A:$A,'Scoring_Config'!$C:$C,25),0),"False,0")</f>
        <v>0</v>
      </c>
      <c r="AG380" s="4" cm="1">
        <f t="array" ref="AG380">IF(FALSE,"True," &amp; IF(_xlfn.XLOOKUP("Dst_CIDR_Le_16",'Scoring_Config'!$A:$A,'Scoring_Config'!$D:$D,"Yes")="Yes",_xlfn.XLOOKUP("Dst_CIDR_Le_16",'Scoring_Config'!$A:$A,'Scoring_Config'!$C:$C,25),0),"False,0")</f>
        <v>0</v>
      </c>
      <c r="AH380" s="4" cm="1">
        <f t="array" ref="AH380">IF(FALSE,"True," &amp; IF(_xlfn.XLOOKUP("Dst_CIDR_17_22",'Scoring_Config'!$A:$A,'Scoring_Config'!$D:$D,"Yes")="Yes",_xlfn.XLOOKUP("Dst_CIDR_17_22",'Scoring_Config'!$A:$A,'Scoring_Config'!$C:$C,15),0),"False,0")</f>
        <v>0</v>
      </c>
      <c r="AI380" s="4" cm="1">
        <f t="array" ref="AI380">IF(FALSE,"True," &amp; IF(_xlfn.XLOOKUP("SrcZone_IsAny",'Scoring_Config'!$A:$A,'Scoring_Config'!$D:$D,"Yes")="Yes",_xlfn.XLOOKUP("SrcZone_IsAny",'Scoring_Config'!$A:$A,'Scoring_Config'!$C:$C,5),0),"False,0")</f>
        <v>0</v>
      </c>
      <c r="AJ380" s="4" cm="1">
        <f t="array" ref="AJ380">IF(FALSE,"True," &amp; IF(_xlfn.XLOOKUP("DstZone_IsAny",'Scoring_Config'!$A:$A,'Scoring_Config'!$D:$D,"Yes")="Yes",_xlfn.XLOOKUP("DstZone_IsAny",'Scoring_Config'!$A:$A,'Scoring_Config'!$C:$C,5),0),"False,0")</f>
        <v>0</v>
      </c>
      <c r="AK380" s="5" cm="1">
        <f t="array" ref="AK380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80" s="4" cm="1">
        <f t="array" ref="AL380">IF(FALSE,"True," &amp; IF(_xlfn.XLOOKUP("App_Any_OR_RangeGt1000",'Scoring_Config'!$A:$A,'Scoring_Config'!$D:$D,"Yes")="Yes",_xlfn.XLOOKUP("App_Any_OR_RangeGt1000",'Scoring_Config'!$A:$A,'Scoring_Config'!$C:$C,25),0),"False,0")</f>
        <v>0</v>
      </c>
      <c r="AM380" s="5" cm="1">
        <f t="array" ref="AM380">IF(TRUE,"True," &amp; IF(_xlfn.XLOOKUP("Service_Insecure_Match",'Scoring_Config'!$A:$A,'Scoring_Config'!$D:$D,"Yes")="Yes",_xlfn.XLOOKUP("Service_Insecure_Match",'Scoring_Config'!$A:$A,'Scoring_Config'!$C:$C,20),0),"False,0")</f>
        <v>0</v>
      </c>
      <c r="AN380" s="4" cm="1">
        <f t="array" ref="AN380">IF(FALSE,"True," &amp; IF(_xlfn.XLOOKUP("Risky_Inbound",'Scoring_Config'!$A:$A,'Scoring_Config'!$D:$D,"Yes")="Yes",_xlfn.XLOOKUP("Risky_Inbound",'Scoring_Config'!$A:$A,'Scoring_Config'!$C:$C,20),0),"False,0")</f>
        <v>0</v>
      </c>
      <c r="AO380" s="4" cm="1">
        <f t="array" ref="AO380">IF(FALSE,"True," &amp; IF(_xlfn.XLOOKUP("Risky_Outbound",'Scoring_Config'!$A:$A,'Scoring_Config'!$D:$D,"Yes")="Yes",_xlfn.XLOOKUP("Risky_Outbound",'Scoring_Config'!$A:$A,'Scoring_Config'!$C:$C,10),0),"False,0")</f>
        <v>0</v>
      </c>
      <c r="AP380" s="5" t="s">
        <v>2595</v>
      </c>
      <c r="AQ380" s="5" cm="1">
        <f t="array" ref="AQ38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0" s="5" t="s">
        <v>2598</v>
      </c>
      <c r="AS380" s="4" t="s">
        <v>2592</v>
      </c>
      <c r="AT380" s="4" t="s">
        <v>2592</v>
      </c>
      <c r="AU380" s="4" cm="1">
        <f t="array" ref="AU380">IF(FALSE,"True," &amp; IF(_xlfn.XLOOKUP("Action_IsDenyOrDrop",'Scoring_Config'!$A:$A,'Scoring_Config'!$D:$D,"Yes")="Yes",_xlfn.XLOOKUP("Action_IsDenyOrDrop",'Scoring_Config'!$A:$A,'Scoring_Config'!$C:$C,0),0),"False,0")</f>
        <v>0</v>
      </c>
      <c r="AV380" s="4" t="s">
        <v>774</v>
      </c>
      <c r="AW380" s="5" cm="1">
        <f t="array" ref="AW380">IF(TRUE,"True," &amp; IF(_xlfn.XLOOKUP("Migrate_Insecure",'Scoring_Config'!$A:$A,'Scoring_Config'!$D:$D,"Yes")="Yes",_xlfn.XLOOKUP("Migrate_Insecure",'Scoring_Config'!$A:$A,'Scoring_Config'!$C:$C,15),0),"False,0")</f>
        <v>0</v>
      </c>
      <c r="AX380" s="4"/>
      <c r="AY380" s="4" cm="1">
        <f t="array" ref="AY380">IF(FALSE,"True," &amp; IF(_xlfn.XLOOKUP("Migrate_Other_Ports",'Scoring_Config'!$A:$A,'Scoring_Config'!$D:$D,"Yes")="Yes",_xlfn.XLOOKUP("Migrate_Other_Ports",'Scoring_Config'!$A:$A,'Scoring_Config'!$C:$C,5),0),"False,0")</f>
        <v>0</v>
      </c>
      <c r="AZ380" s="4" cm="1">
        <f t="array" ref="AZ380">IF(LEFT(AU380,4)="True",0,(IF(LEFT(AC380,4)="True",IF(_xlfn.XLOOKUP("Src_IsAny",'Scoring_Config'!$A:$A,'Scoring_Config'!$D:$D,"Yes")="Yes",_xlfn.XLOOKUP("Src_IsAny",'Scoring_Config'!$A:$A,'Scoring_Config'!$C:$C,25),0),0)+IF(LEFT(AD380,4)="True",IF(_xlfn.XLOOKUP("Src_CIDR_Le_16",'Scoring_Config'!$A:$A,'Scoring_Config'!$D:$D,"Yes")="Yes",_xlfn.XLOOKUP("Src_CIDR_Le_16",'Scoring_Config'!$A:$A,'Scoring_Config'!$C:$C,25),0),0)+IF(LEFT(AE380,4)="True",IF(_xlfn.XLOOKUP("Src_CIDR_17_22",'Scoring_Config'!$A:$A,'Scoring_Config'!$D:$D,"Yes")="Yes",_xlfn.XLOOKUP("Src_CIDR_17_22",'Scoring_Config'!$A:$A,'Scoring_Config'!$C:$C,15),0),0)+IF(LEFT(AF380,4)="True",IF(_xlfn.XLOOKUP("Dst_IsAny",'Scoring_Config'!$A:$A,'Scoring_Config'!$D:$D,"Yes")="Yes",_xlfn.XLOOKUP("Dst_IsAny",'Scoring_Config'!$A:$A,'Scoring_Config'!$C:$C,25),0),0)+IF(LEFT(AG380,4)="True",IF(_xlfn.XLOOKUP("Dst_CIDR_Le_16",'Scoring_Config'!$A:$A,'Scoring_Config'!$D:$D,"Yes")="Yes",_xlfn.XLOOKUP("Dst_CIDR_Le_16",'Scoring_Config'!$A:$A,'Scoring_Config'!$C:$C,25),0),0)+IF(LEFT(AH380,4)="True",IF(_xlfn.XLOOKUP("Dst_CIDR_17_22",'Scoring_Config'!$A:$A,'Scoring_Config'!$D:$D,"Yes")="Yes",_xlfn.XLOOKUP("Dst_CIDR_17_22",'Scoring_Config'!$A:$A,'Scoring_Config'!$C:$C,15),0),0)+IF(LEFT(AI380,4)="True",IF(_xlfn.XLOOKUP("SrcZone_IsAny",'Scoring_Config'!$A:$A,'Scoring_Config'!$D:$D,"Yes")="Yes",_xlfn.XLOOKUP("SrcZone_IsAny",'Scoring_Config'!$A:$A,'Scoring_Config'!$C:$C,5),0),0)+IF(LEFT(AJ380,4)="True",IF(_xlfn.XLOOKUP("DstZone_IsAny",'Scoring_Config'!$A:$A,'Scoring_Config'!$D:$D,"Yes")="Yes",_xlfn.XLOOKUP("DstZone_IsAny",'Scoring_Config'!$A:$A,'Scoring_Config'!$C:$C,5),0),0)+IF(LEFT(AK380,4)="True",IF(_xlfn.XLOOKUP("Service_Any_OR_RangeGt1000",'Scoring_Config'!$A:$A,'Scoring_Config'!$D:$D,"Yes")="Yes",_xlfn.XLOOKUP("Service_Any_OR_RangeGt1000",'Scoring_Config'!$A:$A,'Scoring_Config'!$C:$C,25),0),0)+IF(LEFT(AL380,4)="True",IF(_xlfn.XLOOKUP("App_Any_OR_RangeGt1000",'Scoring_Config'!$A:$A,'Scoring_Config'!$D:$D,"Yes")="Yes",_xlfn.XLOOKUP("App_Any_OR_RangeGt1000",'Scoring_Config'!$A:$A,'Scoring_Config'!$C:$C,25),0),0)+IF(LEFT(AM380,4)="True",IF(_xlfn.XLOOKUP("Service_Insecure_Match",'Scoring_Config'!$A:$A,'Scoring_Config'!$D:$D,"Yes")="Yes",_xlfn.XLOOKUP("Service_Insecure_Match",'Scoring_Config'!$A:$A,'Scoring_Config'!$C:$C,20),0),0)+IF(LEFT(AN380,4)="True",IF(_xlfn.XLOOKUP("Risky_Inbound",'Scoring_Config'!$A:$A,'Scoring_Config'!$D:$D,"Yes")="Yes",_xlfn.XLOOKUP("Risky_Inbound",'Scoring_Config'!$A:$A,'Scoring_Config'!$C:$C,20),0),0)+IF(LEFT(AO380,4)="True",IF(_xlfn.XLOOKUP("Risky_Outbound",'Scoring_Config'!$A:$A,'Scoring_Config'!$D:$D,"Yes")="Yes",_xlfn.XLOOKUP("Risky_Outbound",'Scoring_Config'!$A:$A,'Scoring_Config'!$C:$C,10),0),0)+IF(LEFT(AW380,4)="True",IF(_xlfn.XLOOKUP("Migrate_Insecure",'Scoring_Config'!$A:$A,'Scoring_Config'!$D:$D,"Yes")="Yes",_xlfn.XLOOKUP("Migrate_Insecure",'Scoring_Config'!$A:$A,'Scoring_Config'!$C:$C,15),0),0)+IF(LEFT(AY380,4)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380,FIND(",",AP380)+1,100)),0)+IF(LEFT(AQ380,4)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380,FIND(",",AR380)+1,100)),0)+IF(_xlfn.XLOOKUP("Profile_Scoring",'Scoring_Config'!$A:$A,'Scoring_Config'!$D:$D,"Yes")="Yes",VALUE(MID(AS380,FIND(",",AS380)+1,100)),0)+IF(_xlfn.XLOOKUP("Options_Scoring",'Scoring_Config'!$A:$A,'Scoring_Config'!$D:$D,"Yes")="Yes",VALUE(MID(AT380,FIND(",",AT380)+1,100)),0)))</f>
        <v>0</v>
      </c>
    </row>
    <row r="381" spans="1:52">
      <c r="A381" s="3" t="s">
        <v>55</v>
      </c>
      <c r="B381" s="3" t="s">
        <v>292</v>
      </c>
      <c r="C381" s="3" t="s">
        <v>332</v>
      </c>
      <c r="D381" s="3"/>
      <c r="E381" s="3" t="s">
        <v>359</v>
      </c>
      <c r="F381" s="3" t="s">
        <v>360</v>
      </c>
      <c r="G381" s="3" t="s">
        <v>508</v>
      </c>
      <c r="H381" s="3" t="s">
        <v>605</v>
      </c>
      <c r="I381" s="3" t="s">
        <v>622</v>
      </c>
      <c r="J381" s="3" t="s">
        <v>364</v>
      </c>
      <c r="K381" s="3" t="s">
        <v>365</v>
      </c>
      <c r="L381" s="3" t="s">
        <v>365</v>
      </c>
      <c r="M381" s="3" t="s">
        <v>774</v>
      </c>
      <c r="N381" s="3" t="s">
        <v>795</v>
      </c>
      <c r="O381" s="4" t="s">
        <v>814</v>
      </c>
      <c r="P381" s="3" t="s">
        <v>875</v>
      </c>
      <c r="Q381" s="3" t="s">
        <v>905</v>
      </c>
      <c r="R381" s="3" t="s">
        <v>908</v>
      </c>
      <c r="S381" s="3" t="s">
        <v>914</v>
      </c>
      <c r="T381" s="3" t="s">
        <v>1092</v>
      </c>
      <c r="U381" s="3" t="s">
        <v>1147</v>
      </c>
      <c r="V381" s="3" t="s">
        <v>1389</v>
      </c>
      <c r="W381" s="3" t="s">
        <v>1578</v>
      </c>
      <c r="X381" s="3" t="s">
        <v>1985</v>
      </c>
      <c r="Y381" s="3" t="s">
        <v>2454</v>
      </c>
      <c r="Z381" s="3"/>
      <c r="AA381" s="3"/>
      <c r="AB381" s="3"/>
      <c r="AC381" s="4" cm="1">
        <f t="array" ref="AC381">IF(FALSE,"True," &amp; IF(_xlfn.XLOOKUP("Src_IsAny",'Scoring_Config'!$A:$A,'Scoring_Config'!$D:$D,"Yes")="Yes",_xlfn.XLOOKUP("Src_IsAny",'Scoring_Config'!$A:$A,'Scoring_Config'!$C:$C,25),0),"False,0")</f>
        <v>0</v>
      </c>
      <c r="AD381" s="4" cm="1">
        <f t="array" ref="AD381">IF(FALSE,"True," &amp; IF(_xlfn.XLOOKUP("Src_CIDR_Le_16",'Scoring_Config'!$A:$A,'Scoring_Config'!$D:$D,"Yes")="Yes",_xlfn.XLOOKUP("Src_CIDR_Le_16",'Scoring_Config'!$A:$A,'Scoring_Config'!$C:$C,25),0),"False,0")</f>
        <v>0</v>
      </c>
      <c r="AE381" s="4" cm="1">
        <f t="array" ref="AE381">IF(FALSE,"True," &amp; IF(_xlfn.XLOOKUP("Src_CIDR_17_22",'Scoring_Config'!$A:$A,'Scoring_Config'!$D:$D,"Yes")="Yes",_xlfn.XLOOKUP("Src_CIDR_17_22",'Scoring_Config'!$A:$A,'Scoring_Config'!$C:$C,15),0),"False,0")</f>
        <v>0</v>
      </c>
      <c r="AF381" s="5" cm="1">
        <f t="array" ref="AF381">IF(TRUE,"True," &amp; IF(_xlfn.XLOOKUP("Dst_IsAny",'Scoring_Config'!$A:$A,'Scoring_Config'!$D:$D,"Yes")="Yes",_xlfn.XLOOKUP("Dst_IsAny",'Scoring_Config'!$A:$A,'Scoring_Config'!$C:$C,25),0),"False,0")</f>
        <v>0</v>
      </c>
      <c r="AG381" s="4" cm="1">
        <f t="array" ref="AG381">IF(FALSE,"True," &amp; IF(_xlfn.XLOOKUP("Dst_CIDR_Le_16",'Scoring_Config'!$A:$A,'Scoring_Config'!$D:$D,"Yes")="Yes",_xlfn.XLOOKUP("Dst_CIDR_Le_16",'Scoring_Config'!$A:$A,'Scoring_Config'!$C:$C,25),0),"False,0")</f>
        <v>0</v>
      </c>
      <c r="AH381" s="4" cm="1">
        <f t="array" ref="AH381">IF(FALSE,"True," &amp; IF(_xlfn.XLOOKUP("Dst_CIDR_17_22",'Scoring_Config'!$A:$A,'Scoring_Config'!$D:$D,"Yes")="Yes",_xlfn.XLOOKUP("Dst_CIDR_17_22",'Scoring_Config'!$A:$A,'Scoring_Config'!$C:$C,15),0),"False,0")</f>
        <v>0</v>
      </c>
      <c r="AI381" s="4" cm="1">
        <f t="array" ref="AI381">IF(FALSE,"True," &amp; IF(_xlfn.XLOOKUP("SrcZone_IsAny",'Scoring_Config'!$A:$A,'Scoring_Config'!$D:$D,"Yes")="Yes",_xlfn.XLOOKUP("SrcZone_IsAny",'Scoring_Config'!$A:$A,'Scoring_Config'!$C:$C,5),0),"False,0")</f>
        <v>0</v>
      </c>
      <c r="AJ381" s="4" cm="1">
        <f t="array" ref="AJ381">IF(FALSE,"True," &amp; IF(_xlfn.XLOOKUP("DstZone_IsAny",'Scoring_Config'!$A:$A,'Scoring_Config'!$D:$D,"Yes")="Yes",_xlfn.XLOOKUP("DstZone_IsAny",'Scoring_Config'!$A:$A,'Scoring_Config'!$C:$C,5),0),"False,0")</f>
        <v>0</v>
      </c>
      <c r="AK381" s="4" cm="1">
        <f t="array" ref="AK38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1" s="4" cm="1">
        <f t="array" ref="AL381">IF(FALSE,"True," &amp; IF(_xlfn.XLOOKUP("App_Any_OR_RangeGt1000",'Scoring_Config'!$A:$A,'Scoring_Config'!$D:$D,"Yes")="Yes",_xlfn.XLOOKUP("App_Any_OR_RangeGt1000",'Scoring_Config'!$A:$A,'Scoring_Config'!$C:$C,25),0),"False,0")</f>
        <v>0</v>
      </c>
      <c r="AM381" s="5" cm="1">
        <f t="array" ref="AM381">IF(TRUE,"True," &amp; IF(_xlfn.XLOOKUP("Service_Insecure_Match",'Scoring_Config'!$A:$A,'Scoring_Config'!$D:$D,"Yes")="Yes",_xlfn.XLOOKUP("Service_Insecure_Match",'Scoring_Config'!$A:$A,'Scoring_Config'!$C:$C,20),0),"False,0")</f>
        <v>0</v>
      </c>
      <c r="AN381" s="4" cm="1">
        <f t="array" ref="AN381">IF(FALSE,"True," &amp; IF(_xlfn.XLOOKUP("Risky_Inbound",'Scoring_Config'!$A:$A,'Scoring_Config'!$D:$D,"Yes")="Yes",_xlfn.XLOOKUP("Risky_Inbound",'Scoring_Config'!$A:$A,'Scoring_Config'!$C:$C,20),0),"False,0")</f>
        <v>0</v>
      </c>
      <c r="AO381" s="4" cm="1">
        <f t="array" ref="AO381">IF(FALSE,"True," &amp; IF(_xlfn.XLOOKUP("Risky_Outbound",'Scoring_Config'!$A:$A,'Scoring_Config'!$D:$D,"Yes")="Yes",_xlfn.XLOOKUP("Risky_Outbound",'Scoring_Config'!$A:$A,'Scoring_Config'!$C:$C,10),0),"False,0")</f>
        <v>0</v>
      </c>
      <c r="AP381" s="5" t="s">
        <v>2595</v>
      </c>
      <c r="AQ381" s="5" cm="1">
        <f t="array" ref="AQ38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1" s="5" t="s">
        <v>2598</v>
      </c>
      <c r="AS381" s="4" t="s">
        <v>2592</v>
      </c>
      <c r="AT381" s="4" t="s">
        <v>2592</v>
      </c>
      <c r="AU381" s="4" cm="1">
        <f t="array" ref="AU381">IF(FALSE,"True," &amp; IF(_xlfn.XLOOKUP("Action_IsDenyOrDrop",'Scoring_Config'!$A:$A,'Scoring_Config'!$D:$D,"Yes")="Yes",_xlfn.XLOOKUP("Action_IsDenyOrDrop",'Scoring_Config'!$A:$A,'Scoring_Config'!$C:$C,0),0),"False,0")</f>
        <v>0</v>
      </c>
      <c r="AV381" s="4"/>
      <c r="AW381" s="4" cm="1">
        <f t="array" ref="AW381">IF(FALSE,"True," &amp; IF(_xlfn.XLOOKUP("Migrate_Insecure",'Scoring_Config'!$A:$A,'Scoring_Config'!$D:$D,"Yes")="Yes",_xlfn.XLOOKUP("Migrate_Insecure",'Scoring_Config'!$A:$A,'Scoring_Config'!$C:$C,15),0),"False,0")</f>
        <v>0</v>
      </c>
      <c r="AX381" s="4"/>
      <c r="AY381" s="4" cm="1">
        <f t="array" ref="AY381">IF(FALSE,"True," &amp; IF(_xlfn.XLOOKUP("Migrate_Other_Ports",'Scoring_Config'!$A:$A,'Scoring_Config'!$D:$D,"Yes")="Yes",_xlfn.XLOOKUP("Migrate_Other_Ports",'Scoring_Config'!$A:$A,'Scoring_Config'!$C:$C,5),0),"False,0")</f>
        <v>0</v>
      </c>
      <c r="AZ381" s="4" cm="1">
        <f t="array" ref="AZ381">IF(LEFT(AU381,4)="True",0,(IF(LEFT(AC381,4)="True",IF(_xlfn.XLOOKUP("Src_IsAny",'Scoring_Config'!$A:$A,'Scoring_Config'!$D:$D,"Yes")="Yes",_xlfn.XLOOKUP("Src_IsAny",'Scoring_Config'!$A:$A,'Scoring_Config'!$C:$C,25),0),0)+IF(LEFT(AD381,4)="True",IF(_xlfn.XLOOKUP("Src_CIDR_Le_16",'Scoring_Config'!$A:$A,'Scoring_Config'!$D:$D,"Yes")="Yes",_xlfn.XLOOKUP("Src_CIDR_Le_16",'Scoring_Config'!$A:$A,'Scoring_Config'!$C:$C,25),0),0)+IF(LEFT(AE381,4)="True",IF(_xlfn.XLOOKUP("Src_CIDR_17_22",'Scoring_Config'!$A:$A,'Scoring_Config'!$D:$D,"Yes")="Yes",_xlfn.XLOOKUP("Src_CIDR_17_22",'Scoring_Config'!$A:$A,'Scoring_Config'!$C:$C,15),0),0)+IF(LEFT(AF381,4)="True",IF(_xlfn.XLOOKUP("Dst_IsAny",'Scoring_Config'!$A:$A,'Scoring_Config'!$D:$D,"Yes")="Yes",_xlfn.XLOOKUP("Dst_IsAny",'Scoring_Config'!$A:$A,'Scoring_Config'!$C:$C,25),0),0)+IF(LEFT(AG381,4)="True",IF(_xlfn.XLOOKUP("Dst_CIDR_Le_16",'Scoring_Config'!$A:$A,'Scoring_Config'!$D:$D,"Yes")="Yes",_xlfn.XLOOKUP("Dst_CIDR_Le_16",'Scoring_Config'!$A:$A,'Scoring_Config'!$C:$C,25),0),0)+IF(LEFT(AH381,4)="True",IF(_xlfn.XLOOKUP("Dst_CIDR_17_22",'Scoring_Config'!$A:$A,'Scoring_Config'!$D:$D,"Yes")="Yes",_xlfn.XLOOKUP("Dst_CIDR_17_22",'Scoring_Config'!$A:$A,'Scoring_Config'!$C:$C,15),0),0)+IF(LEFT(AI381,4)="True",IF(_xlfn.XLOOKUP("SrcZone_IsAny",'Scoring_Config'!$A:$A,'Scoring_Config'!$D:$D,"Yes")="Yes",_xlfn.XLOOKUP("SrcZone_IsAny",'Scoring_Config'!$A:$A,'Scoring_Config'!$C:$C,5),0),0)+IF(LEFT(AJ381,4)="True",IF(_xlfn.XLOOKUP("DstZone_IsAny",'Scoring_Config'!$A:$A,'Scoring_Config'!$D:$D,"Yes")="Yes",_xlfn.XLOOKUP("DstZone_IsAny",'Scoring_Config'!$A:$A,'Scoring_Config'!$C:$C,5),0),0)+IF(LEFT(AK381,4)="True",IF(_xlfn.XLOOKUP("Service_Any_OR_RangeGt1000",'Scoring_Config'!$A:$A,'Scoring_Config'!$D:$D,"Yes")="Yes",_xlfn.XLOOKUP("Service_Any_OR_RangeGt1000",'Scoring_Config'!$A:$A,'Scoring_Config'!$C:$C,25),0),0)+IF(LEFT(AL381,4)="True",IF(_xlfn.XLOOKUP("App_Any_OR_RangeGt1000",'Scoring_Config'!$A:$A,'Scoring_Config'!$D:$D,"Yes")="Yes",_xlfn.XLOOKUP("App_Any_OR_RangeGt1000",'Scoring_Config'!$A:$A,'Scoring_Config'!$C:$C,25),0),0)+IF(LEFT(AM381,4)="True",IF(_xlfn.XLOOKUP("Service_Insecure_Match",'Scoring_Config'!$A:$A,'Scoring_Config'!$D:$D,"Yes")="Yes",_xlfn.XLOOKUP("Service_Insecure_Match",'Scoring_Config'!$A:$A,'Scoring_Config'!$C:$C,20),0),0)+IF(LEFT(AN381,4)="True",IF(_xlfn.XLOOKUP("Risky_Inbound",'Scoring_Config'!$A:$A,'Scoring_Config'!$D:$D,"Yes")="Yes",_xlfn.XLOOKUP("Risky_Inbound",'Scoring_Config'!$A:$A,'Scoring_Config'!$C:$C,20),0),0)+IF(LEFT(AO381,4)="True",IF(_xlfn.XLOOKUP("Risky_Outbound",'Scoring_Config'!$A:$A,'Scoring_Config'!$D:$D,"Yes")="Yes",_xlfn.XLOOKUP("Risky_Outbound",'Scoring_Config'!$A:$A,'Scoring_Config'!$C:$C,10),0),0)+IF(LEFT(AW381,4)="True",IF(_xlfn.XLOOKUP("Migrate_Insecure",'Scoring_Config'!$A:$A,'Scoring_Config'!$D:$D,"Yes")="Yes",_xlfn.XLOOKUP("Migrate_Insecure",'Scoring_Config'!$A:$A,'Scoring_Config'!$C:$C,15),0),0)+IF(LEFT(AY381,4)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381,FIND(",",AP381)+1,100)),0)+IF(LEFT(AQ381,4)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381,FIND(",",AR381)+1,100)),0)+IF(_xlfn.XLOOKUP("Profile_Scoring",'Scoring_Config'!$A:$A,'Scoring_Config'!$D:$D,"Yes")="Yes",VALUE(MID(AS381,FIND(",",AS381)+1,100)),0)+IF(_xlfn.XLOOKUP("Options_Scoring",'Scoring_Config'!$A:$A,'Scoring_Config'!$D:$D,"Yes")="Yes",VALUE(MID(AT381,FIND(",",AT381)+1,100)),0)))</f>
        <v>0</v>
      </c>
    </row>
    <row r="382" spans="1:52">
      <c r="A382" s="3" t="s">
        <v>55</v>
      </c>
      <c r="B382" s="3" t="s">
        <v>293</v>
      </c>
      <c r="C382" s="3" t="s">
        <v>332</v>
      </c>
      <c r="D382" s="3"/>
      <c r="E382" s="3" t="s">
        <v>359</v>
      </c>
      <c r="F382" s="3" t="s">
        <v>361</v>
      </c>
      <c r="G382" s="3" t="s">
        <v>365</v>
      </c>
      <c r="H382" s="3" t="s">
        <v>365</v>
      </c>
      <c r="I382" s="3" t="s">
        <v>365</v>
      </c>
      <c r="J382" s="3" t="s">
        <v>364</v>
      </c>
      <c r="K382" s="3" t="s">
        <v>365</v>
      </c>
      <c r="L382" s="3" t="s">
        <v>365</v>
      </c>
      <c r="M382" s="3" t="s">
        <v>365</v>
      </c>
      <c r="N382" s="3" t="s">
        <v>365</v>
      </c>
      <c r="O382" s="4" t="s">
        <v>810</v>
      </c>
      <c r="P382" s="3" t="s">
        <v>871</v>
      </c>
      <c r="Q382" s="3" t="s">
        <v>905</v>
      </c>
      <c r="R382" s="3" t="s">
        <v>907</v>
      </c>
      <c r="S382" s="3" t="s">
        <v>907</v>
      </c>
      <c r="T382" s="3" t="s">
        <v>919</v>
      </c>
      <c r="U382" s="3" t="s">
        <v>1338</v>
      </c>
      <c r="V382" s="3" t="s">
        <v>770</v>
      </c>
      <c r="W382" s="3" t="s">
        <v>1505</v>
      </c>
      <c r="X382" s="3" t="s">
        <v>1986</v>
      </c>
      <c r="Y382" s="3" t="s">
        <v>2455</v>
      </c>
      <c r="Z382" s="3"/>
      <c r="AA382" s="3"/>
      <c r="AB382" s="3"/>
      <c r="AC382" s="5" cm="1">
        <f t="array" ref="AC382">IF(TRUE,"True," &amp; IF(_xlfn.XLOOKUP("Src_IsAny",'Scoring_Config'!$A:$A,'Scoring_Config'!$D:$D,"Yes")="Yes",_xlfn.XLOOKUP("Src_IsAny",'Scoring_Config'!$A:$A,'Scoring_Config'!$C:$C,25),0),"False,0")</f>
        <v>0</v>
      </c>
      <c r="AD382" s="4" cm="1">
        <f t="array" ref="AD382">IF(FALSE,"True," &amp; IF(_xlfn.XLOOKUP("Src_CIDR_Le_16",'Scoring_Config'!$A:$A,'Scoring_Config'!$D:$D,"Yes")="Yes",_xlfn.XLOOKUP("Src_CIDR_Le_16",'Scoring_Config'!$A:$A,'Scoring_Config'!$C:$C,25),0),"False,0")</f>
        <v>0</v>
      </c>
      <c r="AE382" s="4" cm="1">
        <f t="array" ref="AE382">IF(FALSE,"True," &amp; IF(_xlfn.XLOOKUP("Src_CIDR_17_22",'Scoring_Config'!$A:$A,'Scoring_Config'!$D:$D,"Yes")="Yes",_xlfn.XLOOKUP("Src_CIDR_17_22",'Scoring_Config'!$A:$A,'Scoring_Config'!$C:$C,15),0),"False,0")</f>
        <v>0</v>
      </c>
      <c r="AF382" s="5" cm="1">
        <f t="array" ref="AF382">IF(TRUE,"True," &amp; IF(_xlfn.XLOOKUP("Dst_IsAny",'Scoring_Config'!$A:$A,'Scoring_Config'!$D:$D,"Yes")="Yes",_xlfn.XLOOKUP("Dst_IsAny",'Scoring_Config'!$A:$A,'Scoring_Config'!$C:$C,25),0),"False,0")</f>
        <v>0</v>
      </c>
      <c r="AG382" s="4" cm="1">
        <f t="array" ref="AG382">IF(FALSE,"True," &amp; IF(_xlfn.XLOOKUP("Dst_CIDR_Le_16",'Scoring_Config'!$A:$A,'Scoring_Config'!$D:$D,"Yes")="Yes",_xlfn.XLOOKUP("Dst_CIDR_Le_16",'Scoring_Config'!$A:$A,'Scoring_Config'!$C:$C,25),0),"False,0")</f>
        <v>0</v>
      </c>
      <c r="AH382" s="4" cm="1">
        <f t="array" ref="AH382">IF(FALSE,"True," &amp; IF(_xlfn.XLOOKUP("Dst_CIDR_17_22",'Scoring_Config'!$A:$A,'Scoring_Config'!$D:$D,"Yes")="Yes",_xlfn.XLOOKUP("Dst_CIDR_17_22",'Scoring_Config'!$A:$A,'Scoring_Config'!$C:$C,15),0),"False,0")</f>
        <v>0</v>
      </c>
      <c r="AI382" s="4" cm="1">
        <f t="array" ref="AI382">IF(FALSE,"True," &amp; IF(_xlfn.XLOOKUP("SrcZone_IsAny",'Scoring_Config'!$A:$A,'Scoring_Config'!$D:$D,"Yes")="Yes",_xlfn.XLOOKUP("SrcZone_IsAny",'Scoring_Config'!$A:$A,'Scoring_Config'!$C:$C,5),0),"False,0")</f>
        <v>0</v>
      </c>
      <c r="AJ382" s="4" cm="1">
        <f t="array" ref="AJ382">IF(FALSE,"True," &amp; IF(_xlfn.XLOOKUP("DstZone_IsAny",'Scoring_Config'!$A:$A,'Scoring_Config'!$D:$D,"Yes")="Yes",_xlfn.XLOOKUP("DstZone_IsAny",'Scoring_Config'!$A:$A,'Scoring_Config'!$C:$C,5),0),"False,0")</f>
        <v>0</v>
      </c>
      <c r="AK382" s="4" cm="1">
        <f t="array" ref="AK38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2" s="5" cm="1">
        <f t="array" ref="AL382">IF(TRUE,"True," &amp; IF(_xlfn.XLOOKUP("App_Any_OR_RangeGt1000",'Scoring_Config'!$A:$A,'Scoring_Config'!$D:$D,"Yes")="Yes",_xlfn.XLOOKUP("App_Any_OR_RangeGt1000",'Scoring_Config'!$A:$A,'Scoring_Config'!$C:$C,25),0),"False,0")</f>
        <v>0</v>
      </c>
      <c r="AM382" s="5" cm="1">
        <f t="array" ref="AM382">IF(TRUE,"True," &amp; IF(_xlfn.XLOOKUP("Service_Insecure_Match",'Scoring_Config'!$A:$A,'Scoring_Config'!$D:$D,"Yes")="Yes",_xlfn.XLOOKUP("Service_Insecure_Match",'Scoring_Config'!$A:$A,'Scoring_Config'!$C:$C,20),0),"False,0")</f>
        <v>0</v>
      </c>
      <c r="AN382" s="4" cm="1">
        <f t="array" ref="AN382">IF(FALSE,"True," &amp; IF(_xlfn.XLOOKUP("Risky_Inbound",'Scoring_Config'!$A:$A,'Scoring_Config'!$D:$D,"Yes")="Yes",_xlfn.XLOOKUP("Risky_Inbound",'Scoring_Config'!$A:$A,'Scoring_Config'!$C:$C,20),0),"False,0")</f>
        <v>0</v>
      </c>
      <c r="AO382" s="4" cm="1">
        <f t="array" ref="AO382">IF(FALSE,"True," &amp; IF(_xlfn.XLOOKUP("Risky_Outbound",'Scoring_Config'!$A:$A,'Scoring_Config'!$D:$D,"Yes")="Yes",_xlfn.XLOOKUP("Risky_Outbound",'Scoring_Config'!$A:$A,'Scoring_Config'!$C:$C,10),0),"False,0")</f>
        <v>0</v>
      </c>
      <c r="AP382" s="5" t="s">
        <v>2595</v>
      </c>
      <c r="AQ382" s="4" cm="1">
        <f t="array" ref="AQ38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2" s="4" t="s">
        <v>2592</v>
      </c>
      <c r="AS382" s="5" t="s">
        <v>2595</v>
      </c>
      <c r="AT382" s="5" t="s">
        <v>2595</v>
      </c>
      <c r="AU382" s="4" cm="1">
        <f t="array" ref="AU382">IF(FALSE,"True," &amp; IF(_xlfn.XLOOKUP("Action_IsDenyOrDrop",'Scoring_Config'!$A:$A,'Scoring_Config'!$D:$D,"Yes")="Yes",_xlfn.XLOOKUP("Action_IsDenyOrDrop",'Scoring_Config'!$A:$A,'Scoring_Config'!$C:$C,0),0),"False,0")</f>
        <v>0</v>
      </c>
      <c r="AV382" s="4"/>
      <c r="AW382" s="4" cm="1">
        <f t="array" ref="AW382">IF(FALSE,"True," &amp; IF(_xlfn.XLOOKUP("Migrate_Insecure",'Scoring_Config'!$A:$A,'Scoring_Config'!$D:$D,"Yes")="Yes",_xlfn.XLOOKUP("Migrate_Insecure",'Scoring_Config'!$A:$A,'Scoring_Config'!$C:$C,15),0),"False,0")</f>
        <v>0</v>
      </c>
      <c r="AX382" s="4"/>
      <c r="AY382" s="4" cm="1">
        <f t="array" ref="AY382">IF(FALSE,"True," &amp; IF(_xlfn.XLOOKUP("Migrate_Other_Ports",'Scoring_Config'!$A:$A,'Scoring_Config'!$D:$D,"Yes")="Yes",_xlfn.XLOOKUP("Migrate_Other_Ports",'Scoring_Config'!$A:$A,'Scoring_Config'!$C:$C,5),0),"False,0")</f>
        <v>0</v>
      </c>
      <c r="AZ382" s="4" cm="1">
        <f t="array" ref="AZ382">IF(LEFT(AU382,4)="True",0,(IF(LEFT(AC382,4)="True",IF(_xlfn.XLOOKUP("Src_IsAny",'Scoring_Config'!$A:$A,'Scoring_Config'!$D:$D,"Yes")="Yes",_xlfn.XLOOKUP("Src_IsAny",'Scoring_Config'!$A:$A,'Scoring_Config'!$C:$C,25),0),0)+IF(LEFT(AD382,4)="True",IF(_xlfn.XLOOKUP("Src_CIDR_Le_16",'Scoring_Config'!$A:$A,'Scoring_Config'!$D:$D,"Yes")="Yes",_xlfn.XLOOKUP("Src_CIDR_Le_16",'Scoring_Config'!$A:$A,'Scoring_Config'!$C:$C,25),0),0)+IF(LEFT(AE382,4)="True",IF(_xlfn.XLOOKUP("Src_CIDR_17_22",'Scoring_Config'!$A:$A,'Scoring_Config'!$D:$D,"Yes")="Yes",_xlfn.XLOOKUP("Src_CIDR_17_22",'Scoring_Config'!$A:$A,'Scoring_Config'!$C:$C,15),0),0)+IF(LEFT(AF382,4)="True",IF(_xlfn.XLOOKUP("Dst_IsAny",'Scoring_Config'!$A:$A,'Scoring_Config'!$D:$D,"Yes")="Yes",_xlfn.XLOOKUP("Dst_IsAny",'Scoring_Config'!$A:$A,'Scoring_Config'!$C:$C,25),0),0)+IF(LEFT(AG382,4)="True",IF(_xlfn.XLOOKUP("Dst_CIDR_Le_16",'Scoring_Config'!$A:$A,'Scoring_Config'!$D:$D,"Yes")="Yes",_xlfn.XLOOKUP("Dst_CIDR_Le_16",'Scoring_Config'!$A:$A,'Scoring_Config'!$C:$C,25),0),0)+IF(LEFT(AH382,4)="True",IF(_xlfn.XLOOKUP("Dst_CIDR_17_22",'Scoring_Config'!$A:$A,'Scoring_Config'!$D:$D,"Yes")="Yes",_xlfn.XLOOKUP("Dst_CIDR_17_22",'Scoring_Config'!$A:$A,'Scoring_Config'!$C:$C,15),0),0)+IF(LEFT(AI382,4)="True",IF(_xlfn.XLOOKUP("SrcZone_IsAny",'Scoring_Config'!$A:$A,'Scoring_Config'!$D:$D,"Yes")="Yes",_xlfn.XLOOKUP("SrcZone_IsAny",'Scoring_Config'!$A:$A,'Scoring_Config'!$C:$C,5),0),0)+IF(LEFT(AJ382,4)="True",IF(_xlfn.XLOOKUP("DstZone_IsAny",'Scoring_Config'!$A:$A,'Scoring_Config'!$D:$D,"Yes")="Yes",_xlfn.XLOOKUP("DstZone_IsAny",'Scoring_Config'!$A:$A,'Scoring_Config'!$C:$C,5),0),0)+IF(LEFT(AK382,4)="True",IF(_xlfn.XLOOKUP("Service_Any_OR_RangeGt1000",'Scoring_Config'!$A:$A,'Scoring_Config'!$D:$D,"Yes")="Yes",_xlfn.XLOOKUP("Service_Any_OR_RangeGt1000",'Scoring_Config'!$A:$A,'Scoring_Config'!$C:$C,25),0),0)+IF(LEFT(AL382,4)="True",IF(_xlfn.XLOOKUP("App_Any_OR_RangeGt1000",'Scoring_Config'!$A:$A,'Scoring_Config'!$D:$D,"Yes")="Yes",_xlfn.XLOOKUP("App_Any_OR_RangeGt1000",'Scoring_Config'!$A:$A,'Scoring_Config'!$C:$C,25),0),0)+IF(LEFT(AM382,4)="True",IF(_xlfn.XLOOKUP("Service_Insecure_Match",'Scoring_Config'!$A:$A,'Scoring_Config'!$D:$D,"Yes")="Yes",_xlfn.XLOOKUP("Service_Insecure_Match",'Scoring_Config'!$A:$A,'Scoring_Config'!$C:$C,20),0),0)+IF(LEFT(AN382,4)="True",IF(_xlfn.XLOOKUP("Risky_Inbound",'Scoring_Config'!$A:$A,'Scoring_Config'!$D:$D,"Yes")="Yes",_xlfn.XLOOKUP("Risky_Inbound",'Scoring_Config'!$A:$A,'Scoring_Config'!$C:$C,20),0),0)+IF(LEFT(AO382,4)="True",IF(_xlfn.XLOOKUP("Risky_Outbound",'Scoring_Config'!$A:$A,'Scoring_Config'!$D:$D,"Yes")="Yes",_xlfn.XLOOKUP("Risky_Outbound",'Scoring_Config'!$A:$A,'Scoring_Config'!$C:$C,10),0),0)+IF(LEFT(AW382,4)="True",IF(_xlfn.XLOOKUP("Migrate_Insecure",'Scoring_Config'!$A:$A,'Scoring_Config'!$D:$D,"Yes")="Yes",_xlfn.XLOOKUP("Migrate_Insecure",'Scoring_Config'!$A:$A,'Scoring_Config'!$C:$C,15),0),0)+IF(LEFT(AY382,4)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382,FIND(",",AP382)+1,100)),0)+IF(LEFT(AQ382,4)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382,FIND(",",AR382)+1,100)),0)+IF(_xlfn.XLOOKUP("Profile_Scoring",'Scoring_Config'!$A:$A,'Scoring_Config'!$D:$D,"Yes")="Yes",VALUE(MID(AS382,FIND(",",AS382)+1,100)),0)+IF(_xlfn.XLOOKUP("Options_Scoring",'Scoring_Config'!$A:$A,'Scoring_Config'!$D:$D,"Yes")="Yes",VALUE(MID(AT382,FIND(",",AT382)+1,100)),0)))</f>
        <v>0</v>
      </c>
    </row>
    <row r="383" spans="1:52">
      <c r="A383" s="3" t="s">
        <v>55</v>
      </c>
      <c r="B383" s="3" t="s">
        <v>75</v>
      </c>
      <c r="C383" s="3" t="s">
        <v>332</v>
      </c>
      <c r="D383" s="3"/>
      <c r="E383" s="3" t="s">
        <v>359</v>
      </c>
      <c r="F383" s="3" t="s">
        <v>361</v>
      </c>
      <c r="G383" s="3" t="s">
        <v>365</v>
      </c>
      <c r="H383" s="3" t="s">
        <v>365</v>
      </c>
      <c r="I383" s="3" t="s">
        <v>623</v>
      </c>
      <c r="J383" s="3" t="s">
        <v>360</v>
      </c>
      <c r="K383" s="3" t="s">
        <v>365</v>
      </c>
      <c r="L383" s="3" t="s">
        <v>365</v>
      </c>
      <c r="M383" s="3" t="s">
        <v>365</v>
      </c>
      <c r="N383" s="3" t="s">
        <v>365</v>
      </c>
      <c r="O383" s="4" t="s">
        <v>817</v>
      </c>
      <c r="P383" s="3" t="s">
        <v>878</v>
      </c>
      <c r="Q383" s="3" t="s">
        <v>905</v>
      </c>
      <c r="R383" s="3" t="s">
        <v>907</v>
      </c>
      <c r="S383" s="3" t="s">
        <v>913</v>
      </c>
      <c r="T383" s="3" t="s">
        <v>1093</v>
      </c>
      <c r="U383" s="3"/>
      <c r="V383" s="3" t="s">
        <v>1388</v>
      </c>
      <c r="W383" s="3" t="s">
        <v>949</v>
      </c>
      <c r="X383" s="3" t="s">
        <v>1987</v>
      </c>
      <c r="Y383" s="3" t="s">
        <v>2456</v>
      </c>
      <c r="Z383" s="3"/>
      <c r="AA383" s="3"/>
      <c r="AB383" s="3"/>
      <c r="AC383" s="5" cm="1">
        <f t="array" ref="AC383">IF(TRUE,"True," &amp; IF(_xlfn.XLOOKUP("Src_IsAny",'Scoring_Config'!$A:$A,'Scoring_Config'!$D:$D,"Yes")="Yes",_xlfn.XLOOKUP("Src_IsAny",'Scoring_Config'!$A:$A,'Scoring_Config'!$C:$C,25),0),"False,0")</f>
        <v>0</v>
      </c>
      <c r="AD383" s="4" cm="1">
        <f t="array" ref="AD383">IF(FALSE,"True," &amp; IF(_xlfn.XLOOKUP("Src_CIDR_Le_16",'Scoring_Config'!$A:$A,'Scoring_Config'!$D:$D,"Yes")="Yes",_xlfn.XLOOKUP("Src_CIDR_Le_16",'Scoring_Config'!$A:$A,'Scoring_Config'!$C:$C,25),0),"False,0")</f>
        <v>0</v>
      </c>
      <c r="AE383" s="4" cm="1">
        <f t="array" ref="AE383">IF(FALSE,"True," &amp; IF(_xlfn.XLOOKUP("Src_CIDR_17_22",'Scoring_Config'!$A:$A,'Scoring_Config'!$D:$D,"Yes")="Yes",_xlfn.XLOOKUP("Src_CIDR_17_22",'Scoring_Config'!$A:$A,'Scoring_Config'!$C:$C,15),0),"False,0")</f>
        <v>0</v>
      </c>
      <c r="AF383" s="5" cm="1">
        <f t="array" ref="AF383">IF(TRUE,"True," &amp; IF(_xlfn.XLOOKUP("Dst_IsAny",'Scoring_Config'!$A:$A,'Scoring_Config'!$D:$D,"Yes")="Yes",_xlfn.XLOOKUP("Dst_IsAny",'Scoring_Config'!$A:$A,'Scoring_Config'!$C:$C,25),0),"False,0")</f>
        <v>0</v>
      </c>
      <c r="AG383" s="4" cm="1">
        <f t="array" ref="AG383">IF(FALSE,"True," &amp; IF(_xlfn.XLOOKUP("Dst_CIDR_Le_16",'Scoring_Config'!$A:$A,'Scoring_Config'!$D:$D,"Yes")="Yes",_xlfn.XLOOKUP("Dst_CIDR_Le_16",'Scoring_Config'!$A:$A,'Scoring_Config'!$C:$C,25),0),"False,0")</f>
        <v>0</v>
      </c>
      <c r="AH383" s="4" cm="1">
        <f t="array" ref="AH383">IF(FALSE,"True," &amp; IF(_xlfn.XLOOKUP("Dst_CIDR_17_22",'Scoring_Config'!$A:$A,'Scoring_Config'!$D:$D,"Yes")="Yes",_xlfn.XLOOKUP("Dst_CIDR_17_22",'Scoring_Config'!$A:$A,'Scoring_Config'!$C:$C,15),0),"False,0")</f>
        <v>0</v>
      </c>
      <c r="AI383" s="4" cm="1">
        <f t="array" ref="AI383">IF(FALSE,"True," &amp; IF(_xlfn.XLOOKUP("SrcZone_IsAny",'Scoring_Config'!$A:$A,'Scoring_Config'!$D:$D,"Yes")="Yes",_xlfn.XLOOKUP("SrcZone_IsAny",'Scoring_Config'!$A:$A,'Scoring_Config'!$C:$C,5),0),"False,0")</f>
        <v>0</v>
      </c>
      <c r="AJ383" s="4" cm="1">
        <f t="array" ref="AJ383">IF(FALSE,"True," &amp; IF(_xlfn.XLOOKUP("DstZone_IsAny",'Scoring_Config'!$A:$A,'Scoring_Config'!$D:$D,"Yes")="Yes",_xlfn.XLOOKUP("DstZone_IsAny",'Scoring_Config'!$A:$A,'Scoring_Config'!$C:$C,5),0),"False,0")</f>
        <v>0</v>
      </c>
      <c r="AK383" s="4" cm="1">
        <f t="array" ref="AK38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3" s="5" cm="1">
        <f t="array" ref="AL383">IF(TRUE,"True," &amp; IF(_xlfn.XLOOKUP("App_Any_OR_RangeGt1000",'Scoring_Config'!$A:$A,'Scoring_Config'!$D:$D,"Yes")="Yes",_xlfn.XLOOKUP("App_Any_OR_RangeGt1000",'Scoring_Config'!$A:$A,'Scoring_Config'!$C:$C,25),0),"False,0")</f>
        <v>0</v>
      </c>
      <c r="AM383" s="5" cm="1">
        <f t="array" ref="AM383">IF(TRUE,"True," &amp; IF(_xlfn.XLOOKUP("Service_Insecure_Match",'Scoring_Config'!$A:$A,'Scoring_Config'!$D:$D,"Yes")="Yes",_xlfn.XLOOKUP("Service_Insecure_Match",'Scoring_Config'!$A:$A,'Scoring_Config'!$C:$C,20),0),"False,0")</f>
        <v>0</v>
      </c>
      <c r="AN383" s="4" cm="1">
        <f t="array" ref="AN383">IF(FALSE,"True," &amp; IF(_xlfn.XLOOKUP("Risky_Inbound",'Scoring_Config'!$A:$A,'Scoring_Config'!$D:$D,"Yes")="Yes",_xlfn.XLOOKUP("Risky_Inbound",'Scoring_Config'!$A:$A,'Scoring_Config'!$C:$C,20),0),"False,0")</f>
        <v>0</v>
      </c>
      <c r="AO383" s="4" cm="1">
        <f t="array" ref="AO383">IF(FALSE,"True," &amp; IF(_xlfn.XLOOKUP("Risky_Outbound",'Scoring_Config'!$A:$A,'Scoring_Config'!$D:$D,"Yes")="Yes",_xlfn.XLOOKUP("Risky_Outbound",'Scoring_Config'!$A:$A,'Scoring_Config'!$C:$C,10),0),"False,0")</f>
        <v>0</v>
      </c>
      <c r="AP383" s="5" t="s">
        <v>2595</v>
      </c>
      <c r="AQ383" s="5" cm="1">
        <f t="array" ref="AQ38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3" s="5" t="s">
        <v>2598</v>
      </c>
      <c r="AS383" s="5" t="s">
        <v>2595</v>
      </c>
      <c r="AT383" s="4" t="s">
        <v>2592</v>
      </c>
      <c r="AU383" s="4" cm="1">
        <f t="array" ref="AU383">IF(FALSE,"True," &amp; IF(_xlfn.XLOOKUP("Action_IsDenyOrDrop",'Scoring_Config'!$A:$A,'Scoring_Config'!$D:$D,"Yes")="Yes",_xlfn.XLOOKUP("Action_IsDenyOrDrop",'Scoring_Config'!$A:$A,'Scoring_Config'!$C:$C,0),0),"False,0")</f>
        <v>0</v>
      </c>
      <c r="AV383" s="4"/>
      <c r="AW383" s="4" cm="1">
        <f t="array" ref="AW383">IF(FALSE,"True," &amp; IF(_xlfn.XLOOKUP("Migrate_Insecure",'Scoring_Config'!$A:$A,'Scoring_Config'!$D:$D,"Yes")="Yes",_xlfn.XLOOKUP("Migrate_Insecure",'Scoring_Config'!$A:$A,'Scoring_Config'!$C:$C,15),0),"False,0")</f>
        <v>0</v>
      </c>
      <c r="AX383" s="4"/>
      <c r="AY383" s="4" cm="1">
        <f t="array" ref="AY383">IF(FALSE,"True," &amp; IF(_xlfn.XLOOKUP("Migrate_Other_Ports",'Scoring_Config'!$A:$A,'Scoring_Config'!$D:$D,"Yes")="Yes",_xlfn.XLOOKUP("Migrate_Other_Ports",'Scoring_Config'!$A:$A,'Scoring_Config'!$C:$C,5),0),"False,0")</f>
        <v>0</v>
      </c>
      <c r="AZ383" s="4" cm="1">
        <f t="array" ref="AZ383">IF(LEFT(AU383,4)="True",0,(IF(LEFT(AC383,4)="True",IF(_xlfn.XLOOKUP("Src_IsAny",'Scoring_Config'!$A:$A,'Scoring_Config'!$D:$D,"Yes")="Yes",_xlfn.XLOOKUP("Src_IsAny",'Scoring_Config'!$A:$A,'Scoring_Config'!$C:$C,25),0),0)+IF(LEFT(AD383,4)="True",IF(_xlfn.XLOOKUP("Src_CIDR_Le_16",'Scoring_Config'!$A:$A,'Scoring_Config'!$D:$D,"Yes")="Yes",_xlfn.XLOOKUP("Src_CIDR_Le_16",'Scoring_Config'!$A:$A,'Scoring_Config'!$C:$C,25),0),0)+IF(LEFT(AE383,4)="True",IF(_xlfn.XLOOKUP("Src_CIDR_17_22",'Scoring_Config'!$A:$A,'Scoring_Config'!$D:$D,"Yes")="Yes",_xlfn.XLOOKUP("Src_CIDR_17_22",'Scoring_Config'!$A:$A,'Scoring_Config'!$C:$C,15),0),0)+IF(LEFT(AF383,4)="True",IF(_xlfn.XLOOKUP("Dst_IsAny",'Scoring_Config'!$A:$A,'Scoring_Config'!$D:$D,"Yes")="Yes",_xlfn.XLOOKUP("Dst_IsAny",'Scoring_Config'!$A:$A,'Scoring_Config'!$C:$C,25),0),0)+IF(LEFT(AG383,4)="True",IF(_xlfn.XLOOKUP("Dst_CIDR_Le_16",'Scoring_Config'!$A:$A,'Scoring_Config'!$D:$D,"Yes")="Yes",_xlfn.XLOOKUP("Dst_CIDR_Le_16",'Scoring_Config'!$A:$A,'Scoring_Config'!$C:$C,25),0),0)+IF(LEFT(AH383,4)="True",IF(_xlfn.XLOOKUP("Dst_CIDR_17_22",'Scoring_Config'!$A:$A,'Scoring_Config'!$D:$D,"Yes")="Yes",_xlfn.XLOOKUP("Dst_CIDR_17_22",'Scoring_Config'!$A:$A,'Scoring_Config'!$C:$C,15),0),0)+IF(LEFT(AI383,4)="True",IF(_xlfn.XLOOKUP("SrcZone_IsAny",'Scoring_Config'!$A:$A,'Scoring_Config'!$D:$D,"Yes")="Yes",_xlfn.XLOOKUP("SrcZone_IsAny",'Scoring_Config'!$A:$A,'Scoring_Config'!$C:$C,5),0),0)+IF(LEFT(AJ383,4)="True",IF(_xlfn.XLOOKUP("DstZone_IsAny",'Scoring_Config'!$A:$A,'Scoring_Config'!$D:$D,"Yes")="Yes",_xlfn.XLOOKUP("DstZone_IsAny",'Scoring_Config'!$A:$A,'Scoring_Config'!$C:$C,5),0),0)+IF(LEFT(AK383,4)="True",IF(_xlfn.XLOOKUP("Service_Any_OR_RangeGt1000",'Scoring_Config'!$A:$A,'Scoring_Config'!$D:$D,"Yes")="Yes",_xlfn.XLOOKUP("Service_Any_OR_RangeGt1000",'Scoring_Config'!$A:$A,'Scoring_Config'!$C:$C,25),0),0)+IF(LEFT(AL383,4)="True",IF(_xlfn.XLOOKUP("App_Any_OR_RangeGt1000",'Scoring_Config'!$A:$A,'Scoring_Config'!$D:$D,"Yes")="Yes",_xlfn.XLOOKUP("App_Any_OR_RangeGt1000",'Scoring_Config'!$A:$A,'Scoring_Config'!$C:$C,25),0),0)+IF(LEFT(AM383,4)="True",IF(_xlfn.XLOOKUP("Service_Insecure_Match",'Scoring_Config'!$A:$A,'Scoring_Config'!$D:$D,"Yes")="Yes",_xlfn.XLOOKUP("Service_Insecure_Match",'Scoring_Config'!$A:$A,'Scoring_Config'!$C:$C,20),0),0)+IF(LEFT(AN383,4)="True",IF(_xlfn.XLOOKUP("Risky_Inbound",'Scoring_Config'!$A:$A,'Scoring_Config'!$D:$D,"Yes")="Yes",_xlfn.XLOOKUP("Risky_Inbound",'Scoring_Config'!$A:$A,'Scoring_Config'!$C:$C,20),0),0)+IF(LEFT(AO383,4)="True",IF(_xlfn.XLOOKUP("Risky_Outbound",'Scoring_Config'!$A:$A,'Scoring_Config'!$D:$D,"Yes")="Yes",_xlfn.XLOOKUP("Risky_Outbound",'Scoring_Config'!$A:$A,'Scoring_Config'!$C:$C,10),0),0)+IF(LEFT(AW383,4)="True",IF(_xlfn.XLOOKUP("Migrate_Insecure",'Scoring_Config'!$A:$A,'Scoring_Config'!$D:$D,"Yes")="Yes",_xlfn.XLOOKUP("Migrate_Insecure",'Scoring_Config'!$A:$A,'Scoring_Config'!$C:$C,15),0),0)+IF(LEFT(AY383,4)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383,FIND(",",AP383)+1,100)),0)+IF(LEFT(AQ383,4)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383,FIND(",",AR383)+1,100)),0)+IF(_xlfn.XLOOKUP("Profile_Scoring",'Scoring_Config'!$A:$A,'Scoring_Config'!$D:$D,"Yes")="Yes",VALUE(MID(AS383,FIND(",",AS383)+1,100)),0)+IF(_xlfn.XLOOKUP("Options_Scoring",'Scoring_Config'!$A:$A,'Scoring_Config'!$D:$D,"Yes")="Yes",VALUE(MID(AT383,FIND(",",AT383)+1,100)),0)))</f>
        <v>0</v>
      </c>
    </row>
    <row r="384" spans="1:52">
      <c r="A384" s="3" t="s">
        <v>55</v>
      </c>
      <c r="B384" s="3" t="s">
        <v>88</v>
      </c>
      <c r="C384" s="3" t="s">
        <v>332</v>
      </c>
      <c r="D384" s="3"/>
      <c r="E384" s="3" t="s">
        <v>359</v>
      </c>
      <c r="F384" s="3" t="s">
        <v>361</v>
      </c>
      <c r="G384" s="3" t="s">
        <v>365</v>
      </c>
      <c r="H384" s="3" t="s">
        <v>365</v>
      </c>
      <c r="I384" s="3" t="s">
        <v>365</v>
      </c>
      <c r="J384" s="3" t="s">
        <v>360</v>
      </c>
      <c r="K384" s="3" t="s">
        <v>365</v>
      </c>
      <c r="L384" s="3" t="s">
        <v>365</v>
      </c>
      <c r="M384" s="3" t="s">
        <v>365</v>
      </c>
      <c r="N384" s="3" t="s">
        <v>365</v>
      </c>
      <c r="O384" s="4" t="s">
        <v>811</v>
      </c>
      <c r="P384" s="3" t="s">
        <v>872</v>
      </c>
      <c r="Q384" s="3" t="s">
        <v>905</v>
      </c>
      <c r="R384" s="3" t="s">
        <v>907</v>
      </c>
      <c r="S384" s="3" t="s">
        <v>912</v>
      </c>
      <c r="T384" s="3" t="s">
        <v>1094</v>
      </c>
      <c r="U384" s="3" t="s">
        <v>1339</v>
      </c>
      <c r="V384" s="3" t="s">
        <v>789</v>
      </c>
      <c r="W384" s="3" t="s">
        <v>1013</v>
      </c>
      <c r="X384" s="3" t="s">
        <v>1988</v>
      </c>
      <c r="Y384" s="3" t="s">
        <v>2457</v>
      </c>
      <c r="Z384" s="3"/>
      <c r="AA384" s="3"/>
      <c r="AB384" s="3"/>
      <c r="AC384" s="5" cm="1">
        <f t="array" ref="AC384">IF(TRUE,"True," &amp; IF(_xlfn.XLOOKUP("Src_IsAny",'Scoring_Config'!$A:$A,'Scoring_Config'!$D:$D,"Yes")="Yes",_xlfn.XLOOKUP("Src_IsAny",'Scoring_Config'!$A:$A,'Scoring_Config'!$C:$C,25),0),"False,0")</f>
        <v>0</v>
      </c>
      <c r="AD384" s="4" cm="1">
        <f t="array" ref="AD384">IF(FALSE,"True," &amp; IF(_xlfn.XLOOKUP("Src_CIDR_Le_16",'Scoring_Config'!$A:$A,'Scoring_Config'!$D:$D,"Yes")="Yes",_xlfn.XLOOKUP("Src_CIDR_Le_16",'Scoring_Config'!$A:$A,'Scoring_Config'!$C:$C,25),0),"False,0")</f>
        <v>0</v>
      </c>
      <c r="AE384" s="4" cm="1">
        <f t="array" ref="AE384">IF(FALSE,"True," &amp; IF(_xlfn.XLOOKUP("Src_CIDR_17_22",'Scoring_Config'!$A:$A,'Scoring_Config'!$D:$D,"Yes")="Yes",_xlfn.XLOOKUP("Src_CIDR_17_22",'Scoring_Config'!$A:$A,'Scoring_Config'!$C:$C,15),0),"False,0")</f>
        <v>0</v>
      </c>
      <c r="AF384" s="5" cm="1">
        <f t="array" ref="AF384">IF(TRUE,"True," &amp; IF(_xlfn.XLOOKUP("Dst_IsAny",'Scoring_Config'!$A:$A,'Scoring_Config'!$D:$D,"Yes")="Yes",_xlfn.XLOOKUP("Dst_IsAny",'Scoring_Config'!$A:$A,'Scoring_Config'!$C:$C,25),0),"False,0")</f>
        <v>0</v>
      </c>
      <c r="AG384" s="4" cm="1">
        <f t="array" ref="AG384">IF(FALSE,"True," &amp; IF(_xlfn.XLOOKUP("Dst_CIDR_Le_16",'Scoring_Config'!$A:$A,'Scoring_Config'!$D:$D,"Yes")="Yes",_xlfn.XLOOKUP("Dst_CIDR_Le_16",'Scoring_Config'!$A:$A,'Scoring_Config'!$C:$C,25),0),"False,0")</f>
        <v>0</v>
      </c>
      <c r="AH384" s="4" cm="1">
        <f t="array" ref="AH384">IF(FALSE,"True," &amp; IF(_xlfn.XLOOKUP("Dst_CIDR_17_22",'Scoring_Config'!$A:$A,'Scoring_Config'!$D:$D,"Yes")="Yes",_xlfn.XLOOKUP("Dst_CIDR_17_22",'Scoring_Config'!$A:$A,'Scoring_Config'!$C:$C,15),0),"False,0")</f>
        <v>0</v>
      </c>
      <c r="AI384" s="4" cm="1">
        <f t="array" ref="AI384">IF(FALSE,"True," &amp; IF(_xlfn.XLOOKUP("SrcZone_IsAny",'Scoring_Config'!$A:$A,'Scoring_Config'!$D:$D,"Yes")="Yes",_xlfn.XLOOKUP("SrcZone_IsAny",'Scoring_Config'!$A:$A,'Scoring_Config'!$C:$C,5),0),"False,0")</f>
        <v>0</v>
      </c>
      <c r="AJ384" s="4" cm="1">
        <f t="array" ref="AJ384">IF(FALSE,"True," &amp; IF(_xlfn.XLOOKUP("DstZone_IsAny",'Scoring_Config'!$A:$A,'Scoring_Config'!$D:$D,"Yes")="Yes",_xlfn.XLOOKUP("DstZone_IsAny",'Scoring_Config'!$A:$A,'Scoring_Config'!$C:$C,5),0),"False,0")</f>
        <v>0</v>
      </c>
      <c r="AK384" s="4" cm="1">
        <f t="array" ref="AK38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4" s="5" cm="1">
        <f t="array" ref="AL384">IF(TRUE,"True," &amp; IF(_xlfn.XLOOKUP("App_Any_OR_RangeGt1000",'Scoring_Config'!$A:$A,'Scoring_Config'!$D:$D,"Yes")="Yes",_xlfn.XLOOKUP("App_Any_OR_RangeGt1000",'Scoring_Config'!$A:$A,'Scoring_Config'!$C:$C,25),0),"False,0")</f>
        <v>0</v>
      </c>
      <c r="AM384" s="5" cm="1">
        <f t="array" ref="AM384">IF(TRUE,"True," &amp; IF(_xlfn.XLOOKUP("Service_Insecure_Match",'Scoring_Config'!$A:$A,'Scoring_Config'!$D:$D,"Yes")="Yes",_xlfn.XLOOKUP("Service_Insecure_Match",'Scoring_Config'!$A:$A,'Scoring_Config'!$C:$C,20),0),"False,0")</f>
        <v>0</v>
      </c>
      <c r="AN384" s="4" cm="1">
        <f t="array" ref="AN384">IF(FALSE,"True," &amp; IF(_xlfn.XLOOKUP("Risky_Inbound",'Scoring_Config'!$A:$A,'Scoring_Config'!$D:$D,"Yes")="Yes",_xlfn.XLOOKUP("Risky_Inbound",'Scoring_Config'!$A:$A,'Scoring_Config'!$C:$C,20),0),"False,0")</f>
        <v>0</v>
      </c>
      <c r="AO384" s="4" cm="1">
        <f t="array" ref="AO384">IF(FALSE,"True," &amp; IF(_xlfn.XLOOKUP("Risky_Outbound",'Scoring_Config'!$A:$A,'Scoring_Config'!$D:$D,"Yes")="Yes",_xlfn.XLOOKUP("Risky_Outbound",'Scoring_Config'!$A:$A,'Scoring_Config'!$C:$C,10),0),"False,0")</f>
        <v>0</v>
      </c>
      <c r="AP384" s="5" t="s">
        <v>2595</v>
      </c>
      <c r="AQ384" s="4" cm="1">
        <f t="array" ref="AQ38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4" s="4" t="s">
        <v>2592</v>
      </c>
      <c r="AS384" s="5" t="s">
        <v>2595</v>
      </c>
      <c r="AT384" s="4" t="s">
        <v>2592</v>
      </c>
      <c r="AU384" s="4" cm="1">
        <f t="array" ref="AU384">IF(FALSE,"True," &amp; IF(_xlfn.XLOOKUP("Action_IsDenyOrDrop",'Scoring_Config'!$A:$A,'Scoring_Config'!$D:$D,"Yes")="Yes",_xlfn.XLOOKUP("Action_IsDenyOrDrop",'Scoring_Config'!$A:$A,'Scoring_Config'!$C:$C,0),0),"False,0")</f>
        <v>0</v>
      </c>
      <c r="AV384" s="4"/>
      <c r="AW384" s="4" cm="1">
        <f t="array" ref="AW384">IF(FALSE,"True," &amp; IF(_xlfn.XLOOKUP("Migrate_Insecure",'Scoring_Config'!$A:$A,'Scoring_Config'!$D:$D,"Yes")="Yes",_xlfn.XLOOKUP("Migrate_Insecure",'Scoring_Config'!$A:$A,'Scoring_Config'!$C:$C,15),0),"False,0")</f>
        <v>0</v>
      </c>
      <c r="AX384" s="4"/>
      <c r="AY384" s="4" cm="1">
        <f t="array" ref="AY384">IF(FALSE,"True," &amp; IF(_xlfn.XLOOKUP("Migrate_Other_Ports",'Scoring_Config'!$A:$A,'Scoring_Config'!$D:$D,"Yes")="Yes",_xlfn.XLOOKUP("Migrate_Other_Ports",'Scoring_Config'!$A:$A,'Scoring_Config'!$C:$C,5),0),"False,0")</f>
        <v>0</v>
      </c>
      <c r="AZ384" s="4" cm="1">
        <f t="array" ref="AZ384">IF(LEFT(AU384,4)="True",0,(IF(LEFT(AC384,4)="True",IF(_xlfn.XLOOKUP("Src_IsAny",'Scoring_Config'!$A:$A,'Scoring_Config'!$D:$D,"Yes")="Yes",_xlfn.XLOOKUP("Src_IsAny",'Scoring_Config'!$A:$A,'Scoring_Config'!$C:$C,25),0),0)+IF(LEFT(AD384,4)="True",IF(_xlfn.XLOOKUP("Src_CIDR_Le_16",'Scoring_Config'!$A:$A,'Scoring_Config'!$D:$D,"Yes")="Yes",_xlfn.XLOOKUP("Src_CIDR_Le_16",'Scoring_Config'!$A:$A,'Scoring_Config'!$C:$C,25),0),0)+IF(LEFT(AE384,4)="True",IF(_xlfn.XLOOKUP("Src_CIDR_17_22",'Scoring_Config'!$A:$A,'Scoring_Config'!$D:$D,"Yes")="Yes",_xlfn.XLOOKUP("Src_CIDR_17_22",'Scoring_Config'!$A:$A,'Scoring_Config'!$C:$C,15),0),0)+IF(LEFT(AF384,4)="True",IF(_xlfn.XLOOKUP("Dst_IsAny",'Scoring_Config'!$A:$A,'Scoring_Config'!$D:$D,"Yes")="Yes",_xlfn.XLOOKUP("Dst_IsAny",'Scoring_Config'!$A:$A,'Scoring_Config'!$C:$C,25),0),0)+IF(LEFT(AG384,4)="True",IF(_xlfn.XLOOKUP("Dst_CIDR_Le_16",'Scoring_Config'!$A:$A,'Scoring_Config'!$D:$D,"Yes")="Yes",_xlfn.XLOOKUP("Dst_CIDR_Le_16",'Scoring_Config'!$A:$A,'Scoring_Config'!$C:$C,25),0),0)+IF(LEFT(AH384,4)="True",IF(_xlfn.XLOOKUP("Dst_CIDR_17_22",'Scoring_Config'!$A:$A,'Scoring_Config'!$D:$D,"Yes")="Yes",_xlfn.XLOOKUP("Dst_CIDR_17_22",'Scoring_Config'!$A:$A,'Scoring_Config'!$C:$C,15),0),0)+IF(LEFT(AI384,4)="True",IF(_xlfn.XLOOKUP("SrcZone_IsAny",'Scoring_Config'!$A:$A,'Scoring_Config'!$D:$D,"Yes")="Yes",_xlfn.XLOOKUP("SrcZone_IsAny",'Scoring_Config'!$A:$A,'Scoring_Config'!$C:$C,5),0),0)+IF(LEFT(AJ384,4)="True",IF(_xlfn.XLOOKUP("DstZone_IsAny",'Scoring_Config'!$A:$A,'Scoring_Config'!$D:$D,"Yes")="Yes",_xlfn.XLOOKUP("DstZone_IsAny",'Scoring_Config'!$A:$A,'Scoring_Config'!$C:$C,5),0),0)+IF(LEFT(AK384,4)="True",IF(_xlfn.XLOOKUP("Service_Any_OR_RangeGt1000",'Scoring_Config'!$A:$A,'Scoring_Config'!$D:$D,"Yes")="Yes",_xlfn.XLOOKUP("Service_Any_OR_RangeGt1000",'Scoring_Config'!$A:$A,'Scoring_Config'!$C:$C,25),0),0)+IF(LEFT(AL384,4)="True",IF(_xlfn.XLOOKUP("App_Any_OR_RangeGt1000",'Scoring_Config'!$A:$A,'Scoring_Config'!$D:$D,"Yes")="Yes",_xlfn.XLOOKUP("App_Any_OR_RangeGt1000",'Scoring_Config'!$A:$A,'Scoring_Config'!$C:$C,25),0),0)+IF(LEFT(AM384,4)="True",IF(_xlfn.XLOOKUP("Service_Insecure_Match",'Scoring_Config'!$A:$A,'Scoring_Config'!$D:$D,"Yes")="Yes",_xlfn.XLOOKUP("Service_Insecure_Match",'Scoring_Config'!$A:$A,'Scoring_Config'!$C:$C,20),0),0)+IF(LEFT(AN384,4)="True",IF(_xlfn.XLOOKUP("Risky_Inbound",'Scoring_Config'!$A:$A,'Scoring_Config'!$D:$D,"Yes")="Yes",_xlfn.XLOOKUP("Risky_Inbound",'Scoring_Config'!$A:$A,'Scoring_Config'!$C:$C,20),0),0)+IF(LEFT(AO384,4)="True",IF(_xlfn.XLOOKUP("Risky_Outbound",'Scoring_Config'!$A:$A,'Scoring_Config'!$D:$D,"Yes")="Yes",_xlfn.XLOOKUP("Risky_Outbound",'Scoring_Config'!$A:$A,'Scoring_Config'!$C:$C,10),0),0)+IF(LEFT(AW384,4)="True",IF(_xlfn.XLOOKUP("Migrate_Insecure",'Scoring_Config'!$A:$A,'Scoring_Config'!$D:$D,"Yes")="Yes",_xlfn.XLOOKUP("Migrate_Insecure",'Scoring_Config'!$A:$A,'Scoring_Config'!$C:$C,15),0),0)+IF(LEFT(AY384,4)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384,FIND(",",AP384)+1,100)),0)+IF(LEFT(AQ384,4)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384,FIND(",",AR384)+1,100)),0)+IF(_xlfn.XLOOKUP("Profile_Scoring",'Scoring_Config'!$A:$A,'Scoring_Config'!$D:$D,"Yes")="Yes",VALUE(MID(AS384,FIND(",",AS384)+1,100)),0)+IF(_xlfn.XLOOKUP("Options_Scoring",'Scoring_Config'!$A:$A,'Scoring_Config'!$D:$D,"Yes")="Yes",VALUE(MID(AT384,FIND(",",AT384)+1,100)),0)))</f>
        <v>0</v>
      </c>
    </row>
    <row r="385" spans="1:52">
      <c r="A385" s="3" t="s">
        <v>55</v>
      </c>
      <c r="B385" s="3" t="s">
        <v>294</v>
      </c>
      <c r="C385" s="3" t="s">
        <v>332</v>
      </c>
      <c r="D385" s="3"/>
      <c r="E385" s="3" t="s">
        <v>359</v>
      </c>
      <c r="F385" s="3" t="s">
        <v>361</v>
      </c>
      <c r="G385" s="3" t="s">
        <v>365</v>
      </c>
      <c r="H385" s="3" t="s">
        <v>365</v>
      </c>
      <c r="I385" s="3" t="s">
        <v>622</v>
      </c>
      <c r="J385" s="3" t="s">
        <v>364</v>
      </c>
      <c r="K385" s="3" t="s">
        <v>365</v>
      </c>
      <c r="L385" s="3" t="s">
        <v>365</v>
      </c>
      <c r="M385" s="3" t="s">
        <v>365</v>
      </c>
      <c r="N385" s="3" t="s">
        <v>365</v>
      </c>
      <c r="O385" s="4" t="s">
        <v>834</v>
      </c>
      <c r="P385" s="3" t="s">
        <v>895</v>
      </c>
      <c r="Q385" s="3" t="s">
        <v>905</v>
      </c>
      <c r="R385" s="3" t="s">
        <v>907</v>
      </c>
      <c r="S385" s="3" t="s">
        <v>913</v>
      </c>
      <c r="T385" s="3" t="s">
        <v>1083</v>
      </c>
      <c r="U385" s="3" t="s">
        <v>1340</v>
      </c>
      <c r="V385" s="3" t="s">
        <v>789</v>
      </c>
      <c r="W385" s="3" t="s">
        <v>1507</v>
      </c>
      <c r="X385" s="3" t="s">
        <v>1989</v>
      </c>
      <c r="Y385" s="3" t="s">
        <v>2458</v>
      </c>
      <c r="Z385" s="3"/>
      <c r="AA385" s="3"/>
      <c r="AB385" s="3"/>
      <c r="AC385" s="5" cm="1">
        <f t="array" ref="AC385">IF(TRUE,"True," &amp; IF(_xlfn.XLOOKUP("Src_IsAny",'Scoring_Config'!$A:$A,'Scoring_Config'!$D:$D,"Yes")="Yes",_xlfn.XLOOKUP("Src_IsAny",'Scoring_Config'!$A:$A,'Scoring_Config'!$C:$C,25),0),"False,0")</f>
        <v>0</v>
      </c>
      <c r="AD385" s="4" cm="1">
        <f t="array" ref="AD385">IF(FALSE,"True," &amp; IF(_xlfn.XLOOKUP("Src_CIDR_Le_16",'Scoring_Config'!$A:$A,'Scoring_Config'!$D:$D,"Yes")="Yes",_xlfn.XLOOKUP("Src_CIDR_Le_16",'Scoring_Config'!$A:$A,'Scoring_Config'!$C:$C,25),0),"False,0")</f>
        <v>0</v>
      </c>
      <c r="AE385" s="4" cm="1">
        <f t="array" ref="AE385">IF(FALSE,"True," &amp; IF(_xlfn.XLOOKUP("Src_CIDR_17_22",'Scoring_Config'!$A:$A,'Scoring_Config'!$D:$D,"Yes")="Yes",_xlfn.XLOOKUP("Src_CIDR_17_22",'Scoring_Config'!$A:$A,'Scoring_Config'!$C:$C,15),0),"False,0")</f>
        <v>0</v>
      </c>
      <c r="AF385" s="5" cm="1">
        <f t="array" ref="AF385">IF(TRUE,"True," &amp; IF(_xlfn.XLOOKUP("Dst_IsAny",'Scoring_Config'!$A:$A,'Scoring_Config'!$D:$D,"Yes")="Yes",_xlfn.XLOOKUP("Dst_IsAny",'Scoring_Config'!$A:$A,'Scoring_Config'!$C:$C,25),0),"False,0")</f>
        <v>0</v>
      </c>
      <c r="AG385" s="4" cm="1">
        <f t="array" ref="AG385">IF(FALSE,"True," &amp; IF(_xlfn.XLOOKUP("Dst_CIDR_Le_16",'Scoring_Config'!$A:$A,'Scoring_Config'!$D:$D,"Yes")="Yes",_xlfn.XLOOKUP("Dst_CIDR_Le_16",'Scoring_Config'!$A:$A,'Scoring_Config'!$C:$C,25),0),"False,0")</f>
        <v>0</v>
      </c>
      <c r="AH385" s="4" cm="1">
        <f t="array" ref="AH385">IF(FALSE,"True," &amp; IF(_xlfn.XLOOKUP("Dst_CIDR_17_22",'Scoring_Config'!$A:$A,'Scoring_Config'!$D:$D,"Yes")="Yes",_xlfn.XLOOKUP("Dst_CIDR_17_22",'Scoring_Config'!$A:$A,'Scoring_Config'!$C:$C,15),0),"False,0")</f>
        <v>0</v>
      </c>
      <c r="AI385" s="4" cm="1">
        <f t="array" ref="AI385">IF(FALSE,"True," &amp; IF(_xlfn.XLOOKUP("SrcZone_IsAny",'Scoring_Config'!$A:$A,'Scoring_Config'!$D:$D,"Yes")="Yes",_xlfn.XLOOKUP("SrcZone_IsAny",'Scoring_Config'!$A:$A,'Scoring_Config'!$C:$C,5),0),"False,0")</f>
        <v>0</v>
      </c>
      <c r="AJ385" s="4" cm="1">
        <f t="array" ref="AJ385">IF(FALSE,"True," &amp; IF(_xlfn.XLOOKUP("DstZone_IsAny",'Scoring_Config'!$A:$A,'Scoring_Config'!$D:$D,"Yes")="Yes",_xlfn.XLOOKUP("DstZone_IsAny",'Scoring_Config'!$A:$A,'Scoring_Config'!$C:$C,5),0),"False,0")</f>
        <v>0</v>
      </c>
      <c r="AK385" s="4" cm="1">
        <f t="array" ref="AK38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5" s="5" cm="1">
        <f t="array" ref="AL385">IF(TRUE,"True," &amp; IF(_xlfn.XLOOKUP("App_Any_OR_RangeGt1000",'Scoring_Config'!$A:$A,'Scoring_Config'!$D:$D,"Yes")="Yes",_xlfn.XLOOKUP("App_Any_OR_RangeGt1000",'Scoring_Config'!$A:$A,'Scoring_Config'!$C:$C,25),0),"False,0")</f>
        <v>0</v>
      </c>
      <c r="AM385" s="5" cm="1">
        <f t="array" ref="AM385">IF(TRUE,"True," &amp; IF(_xlfn.XLOOKUP("Service_Insecure_Match",'Scoring_Config'!$A:$A,'Scoring_Config'!$D:$D,"Yes")="Yes",_xlfn.XLOOKUP("Service_Insecure_Match",'Scoring_Config'!$A:$A,'Scoring_Config'!$C:$C,20),0),"False,0")</f>
        <v>0</v>
      </c>
      <c r="AN385" s="4" cm="1">
        <f t="array" ref="AN385">IF(FALSE,"True," &amp; IF(_xlfn.XLOOKUP("Risky_Inbound",'Scoring_Config'!$A:$A,'Scoring_Config'!$D:$D,"Yes")="Yes",_xlfn.XLOOKUP("Risky_Inbound",'Scoring_Config'!$A:$A,'Scoring_Config'!$C:$C,20),0),"False,0")</f>
        <v>0</v>
      </c>
      <c r="AO385" s="4" cm="1">
        <f t="array" ref="AO385">IF(FALSE,"True," &amp; IF(_xlfn.XLOOKUP("Risky_Outbound",'Scoring_Config'!$A:$A,'Scoring_Config'!$D:$D,"Yes")="Yes",_xlfn.XLOOKUP("Risky_Outbound",'Scoring_Config'!$A:$A,'Scoring_Config'!$C:$C,10),0),"False,0")</f>
        <v>0</v>
      </c>
      <c r="AP385" s="5" t="s">
        <v>2595</v>
      </c>
      <c r="AQ385" s="4" cm="1">
        <f t="array" ref="AQ38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5" s="5" t="s">
        <v>2598</v>
      </c>
      <c r="AS385" s="5" t="s">
        <v>2595</v>
      </c>
      <c r="AT385" s="4" t="s">
        <v>2592</v>
      </c>
      <c r="AU385" s="4" cm="1">
        <f t="array" ref="AU385">IF(FALSE,"True," &amp; IF(_xlfn.XLOOKUP("Action_IsDenyOrDrop",'Scoring_Config'!$A:$A,'Scoring_Config'!$D:$D,"Yes")="Yes",_xlfn.XLOOKUP("Action_IsDenyOrDrop",'Scoring_Config'!$A:$A,'Scoring_Config'!$C:$C,0),0),"False,0")</f>
        <v>0</v>
      </c>
      <c r="AV385" s="4"/>
      <c r="AW385" s="4" cm="1">
        <f t="array" ref="AW385">IF(FALSE,"True," &amp; IF(_xlfn.XLOOKUP("Migrate_Insecure",'Scoring_Config'!$A:$A,'Scoring_Config'!$D:$D,"Yes")="Yes",_xlfn.XLOOKUP("Migrate_Insecure",'Scoring_Config'!$A:$A,'Scoring_Config'!$C:$C,15),0),"False,0")</f>
        <v>0</v>
      </c>
      <c r="AX385" s="4"/>
      <c r="AY385" s="4" cm="1">
        <f t="array" ref="AY385">IF(FALSE,"True," &amp; IF(_xlfn.XLOOKUP("Migrate_Other_Ports",'Scoring_Config'!$A:$A,'Scoring_Config'!$D:$D,"Yes")="Yes",_xlfn.XLOOKUP("Migrate_Other_Ports",'Scoring_Config'!$A:$A,'Scoring_Config'!$C:$C,5),0),"False,0")</f>
        <v>0</v>
      </c>
      <c r="AZ385" s="4" cm="1">
        <f t="array" ref="AZ385">IF(LEFT(AU385,4)="True",0,(IF(LEFT(AC385,4)="True",IF(_xlfn.XLOOKUP("Src_IsAny",'Scoring_Config'!$A:$A,'Scoring_Config'!$D:$D,"Yes")="Yes",_xlfn.XLOOKUP("Src_IsAny",'Scoring_Config'!$A:$A,'Scoring_Config'!$C:$C,25),0),0)+IF(LEFT(AD385,4)="True",IF(_xlfn.XLOOKUP("Src_CIDR_Le_16",'Scoring_Config'!$A:$A,'Scoring_Config'!$D:$D,"Yes")="Yes",_xlfn.XLOOKUP("Src_CIDR_Le_16",'Scoring_Config'!$A:$A,'Scoring_Config'!$C:$C,25),0),0)+IF(LEFT(AE385,4)="True",IF(_xlfn.XLOOKUP("Src_CIDR_17_22",'Scoring_Config'!$A:$A,'Scoring_Config'!$D:$D,"Yes")="Yes",_xlfn.XLOOKUP("Src_CIDR_17_22",'Scoring_Config'!$A:$A,'Scoring_Config'!$C:$C,15),0),0)+IF(LEFT(AF385,4)="True",IF(_xlfn.XLOOKUP("Dst_IsAny",'Scoring_Config'!$A:$A,'Scoring_Config'!$D:$D,"Yes")="Yes",_xlfn.XLOOKUP("Dst_IsAny",'Scoring_Config'!$A:$A,'Scoring_Config'!$C:$C,25),0),0)+IF(LEFT(AG385,4)="True",IF(_xlfn.XLOOKUP("Dst_CIDR_Le_16",'Scoring_Config'!$A:$A,'Scoring_Config'!$D:$D,"Yes")="Yes",_xlfn.XLOOKUP("Dst_CIDR_Le_16",'Scoring_Config'!$A:$A,'Scoring_Config'!$C:$C,25),0),0)+IF(LEFT(AH385,4)="True",IF(_xlfn.XLOOKUP("Dst_CIDR_17_22",'Scoring_Config'!$A:$A,'Scoring_Config'!$D:$D,"Yes")="Yes",_xlfn.XLOOKUP("Dst_CIDR_17_22",'Scoring_Config'!$A:$A,'Scoring_Config'!$C:$C,15),0),0)+IF(LEFT(AI385,4)="True",IF(_xlfn.XLOOKUP("SrcZone_IsAny",'Scoring_Config'!$A:$A,'Scoring_Config'!$D:$D,"Yes")="Yes",_xlfn.XLOOKUP("SrcZone_IsAny",'Scoring_Config'!$A:$A,'Scoring_Config'!$C:$C,5),0),0)+IF(LEFT(AJ385,4)="True",IF(_xlfn.XLOOKUP("DstZone_IsAny",'Scoring_Config'!$A:$A,'Scoring_Config'!$D:$D,"Yes")="Yes",_xlfn.XLOOKUP("DstZone_IsAny",'Scoring_Config'!$A:$A,'Scoring_Config'!$C:$C,5),0),0)+IF(LEFT(AK385,4)="True",IF(_xlfn.XLOOKUP("Service_Any_OR_RangeGt1000",'Scoring_Config'!$A:$A,'Scoring_Config'!$D:$D,"Yes")="Yes",_xlfn.XLOOKUP("Service_Any_OR_RangeGt1000",'Scoring_Config'!$A:$A,'Scoring_Config'!$C:$C,25),0),0)+IF(LEFT(AL385,4)="True",IF(_xlfn.XLOOKUP("App_Any_OR_RangeGt1000",'Scoring_Config'!$A:$A,'Scoring_Config'!$D:$D,"Yes")="Yes",_xlfn.XLOOKUP("App_Any_OR_RangeGt1000",'Scoring_Config'!$A:$A,'Scoring_Config'!$C:$C,25),0),0)+IF(LEFT(AM385,4)="True",IF(_xlfn.XLOOKUP("Service_Insecure_Match",'Scoring_Config'!$A:$A,'Scoring_Config'!$D:$D,"Yes")="Yes",_xlfn.XLOOKUP("Service_Insecure_Match",'Scoring_Config'!$A:$A,'Scoring_Config'!$C:$C,20),0),0)+IF(LEFT(AN385,4)="True",IF(_xlfn.XLOOKUP("Risky_Inbound",'Scoring_Config'!$A:$A,'Scoring_Config'!$D:$D,"Yes")="Yes",_xlfn.XLOOKUP("Risky_Inbound",'Scoring_Config'!$A:$A,'Scoring_Config'!$C:$C,20),0),0)+IF(LEFT(AO385,4)="True",IF(_xlfn.XLOOKUP("Risky_Outbound",'Scoring_Config'!$A:$A,'Scoring_Config'!$D:$D,"Yes")="Yes",_xlfn.XLOOKUP("Risky_Outbound",'Scoring_Config'!$A:$A,'Scoring_Config'!$C:$C,10),0),0)+IF(LEFT(AW385,4)="True",IF(_xlfn.XLOOKUP("Migrate_Insecure",'Scoring_Config'!$A:$A,'Scoring_Config'!$D:$D,"Yes")="Yes",_xlfn.XLOOKUP("Migrate_Insecure",'Scoring_Config'!$A:$A,'Scoring_Config'!$C:$C,15),0),0)+IF(LEFT(AY385,4)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385,FIND(",",AP385)+1,100)),0)+IF(LEFT(AQ385,4)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385,FIND(",",AR385)+1,100)),0)+IF(_xlfn.XLOOKUP("Profile_Scoring",'Scoring_Config'!$A:$A,'Scoring_Config'!$D:$D,"Yes")="Yes",VALUE(MID(AS385,FIND(",",AS385)+1,100)),0)+IF(_xlfn.XLOOKUP("Options_Scoring",'Scoring_Config'!$A:$A,'Scoring_Config'!$D:$D,"Yes")="Yes",VALUE(MID(AT385,FIND(",",AT385)+1,100)),0)))</f>
        <v>0</v>
      </c>
    </row>
    <row r="386" spans="1:52">
      <c r="A386" s="3" t="s">
        <v>55</v>
      </c>
      <c r="B386" s="3" t="s">
        <v>293</v>
      </c>
      <c r="C386" s="3" t="s">
        <v>332</v>
      </c>
      <c r="D386" s="3"/>
      <c r="E386" s="3" t="s">
        <v>359</v>
      </c>
      <c r="F386" s="3" t="s">
        <v>364</v>
      </c>
      <c r="G386" s="3" t="s">
        <v>508</v>
      </c>
      <c r="H386" s="3" t="s">
        <v>605</v>
      </c>
      <c r="I386" s="3" t="s">
        <v>622</v>
      </c>
      <c r="J386" s="3" t="s">
        <v>364</v>
      </c>
      <c r="K386" s="3" t="s">
        <v>365</v>
      </c>
      <c r="L386" s="3" t="s">
        <v>365</v>
      </c>
      <c r="M386" s="3" t="s">
        <v>790</v>
      </c>
      <c r="N386" s="3" t="s">
        <v>791</v>
      </c>
      <c r="O386" s="4" t="s">
        <v>858</v>
      </c>
      <c r="P386" s="3" t="s">
        <v>880</v>
      </c>
      <c r="Q386" s="3" t="s">
        <v>905</v>
      </c>
      <c r="R386" s="3" t="s">
        <v>907</v>
      </c>
      <c r="S386" s="3" t="s">
        <v>913</v>
      </c>
      <c r="T386" s="3" t="s">
        <v>919</v>
      </c>
      <c r="U386" s="3" t="s">
        <v>1157</v>
      </c>
      <c r="V386" s="3" t="s">
        <v>772</v>
      </c>
      <c r="W386" s="3" t="s">
        <v>1540</v>
      </c>
      <c r="X386" s="3" t="s">
        <v>1990</v>
      </c>
      <c r="Y386" s="3" t="s">
        <v>2459</v>
      </c>
      <c r="Z386" s="3"/>
      <c r="AA386" s="3"/>
      <c r="AB386" s="3"/>
      <c r="AC386" s="4" cm="1">
        <f t="array" ref="AC386">IF(FALSE,"True," &amp; IF(_xlfn.XLOOKUP("Src_IsAny",'Scoring_Config'!$A:$A,'Scoring_Config'!$D:$D,"Yes")="Yes",_xlfn.XLOOKUP("Src_IsAny",'Scoring_Config'!$A:$A,'Scoring_Config'!$C:$C,25),0),"False,0")</f>
        <v>0</v>
      </c>
      <c r="AD386" s="4" cm="1">
        <f t="array" ref="AD386">IF(FALSE,"True," &amp; IF(_xlfn.XLOOKUP("Src_CIDR_Le_16",'Scoring_Config'!$A:$A,'Scoring_Config'!$D:$D,"Yes")="Yes",_xlfn.XLOOKUP("Src_CIDR_Le_16",'Scoring_Config'!$A:$A,'Scoring_Config'!$C:$C,25),0),"False,0")</f>
        <v>0</v>
      </c>
      <c r="AE386" s="4" cm="1">
        <f t="array" ref="AE386">IF(FALSE,"True," &amp; IF(_xlfn.XLOOKUP("Src_CIDR_17_22",'Scoring_Config'!$A:$A,'Scoring_Config'!$D:$D,"Yes")="Yes",_xlfn.XLOOKUP("Src_CIDR_17_22",'Scoring_Config'!$A:$A,'Scoring_Config'!$C:$C,15),0),"False,0")</f>
        <v>0</v>
      </c>
      <c r="AF386" s="5" cm="1">
        <f t="array" ref="AF386">IF(TRUE,"True," &amp; IF(_xlfn.XLOOKUP("Dst_IsAny",'Scoring_Config'!$A:$A,'Scoring_Config'!$D:$D,"Yes")="Yes",_xlfn.XLOOKUP("Dst_IsAny",'Scoring_Config'!$A:$A,'Scoring_Config'!$C:$C,25),0),"False,0")</f>
        <v>0</v>
      </c>
      <c r="AG386" s="4" cm="1">
        <f t="array" ref="AG386">IF(FALSE,"True," &amp; IF(_xlfn.XLOOKUP("Dst_CIDR_Le_16",'Scoring_Config'!$A:$A,'Scoring_Config'!$D:$D,"Yes")="Yes",_xlfn.XLOOKUP("Dst_CIDR_Le_16",'Scoring_Config'!$A:$A,'Scoring_Config'!$C:$C,25),0),"False,0")</f>
        <v>0</v>
      </c>
      <c r="AH386" s="4" cm="1">
        <f t="array" ref="AH386">IF(FALSE,"True," &amp; IF(_xlfn.XLOOKUP("Dst_CIDR_17_22",'Scoring_Config'!$A:$A,'Scoring_Config'!$D:$D,"Yes")="Yes",_xlfn.XLOOKUP("Dst_CIDR_17_22",'Scoring_Config'!$A:$A,'Scoring_Config'!$C:$C,15),0),"False,0")</f>
        <v>0</v>
      </c>
      <c r="AI386" s="4" cm="1">
        <f t="array" ref="AI386">IF(FALSE,"True," &amp; IF(_xlfn.XLOOKUP("SrcZone_IsAny",'Scoring_Config'!$A:$A,'Scoring_Config'!$D:$D,"Yes")="Yes",_xlfn.XLOOKUP("SrcZone_IsAny",'Scoring_Config'!$A:$A,'Scoring_Config'!$C:$C,5),0),"False,0")</f>
        <v>0</v>
      </c>
      <c r="AJ386" s="4" cm="1">
        <f t="array" ref="AJ386">IF(FALSE,"True," &amp; IF(_xlfn.XLOOKUP("DstZone_IsAny",'Scoring_Config'!$A:$A,'Scoring_Config'!$D:$D,"Yes")="Yes",_xlfn.XLOOKUP("DstZone_IsAny",'Scoring_Config'!$A:$A,'Scoring_Config'!$C:$C,5),0),"False,0")</f>
        <v>0</v>
      </c>
      <c r="AK386" s="4" cm="1">
        <f t="array" ref="AK38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6" s="5" cm="1">
        <f t="array" ref="AL386">IF(TRUE,"True," &amp; IF(_xlfn.XLOOKUP("App_Any_OR_RangeGt1000",'Scoring_Config'!$A:$A,'Scoring_Config'!$D:$D,"Yes")="Yes",_xlfn.XLOOKUP("App_Any_OR_RangeGt1000",'Scoring_Config'!$A:$A,'Scoring_Config'!$C:$C,25),0),"False,0")</f>
        <v>0</v>
      </c>
      <c r="AM386" s="5" cm="1">
        <f t="array" ref="AM386">IF(TRUE,"True," &amp; IF(_xlfn.XLOOKUP("Service_Insecure_Match",'Scoring_Config'!$A:$A,'Scoring_Config'!$D:$D,"Yes")="Yes",_xlfn.XLOOKUP("Service_Insecure_Match",'Scoring_Config'!$A:$A,'Scoring_Config'!$C:$C,20),0),"False,0")</f>
        <v>0</v>
      </c>
      <c r="AN386" s="4" cm="1">
        <f t="array" ref="AN386">IF(FALSE,"True," &amp; IF(_xlfn.XLOOKUP("Risky_Inbound",'Scoring_Config'!$A:$A,'Scoring_Config'!$D:$D,"Yes")="Yes",_xlfn.XLOOKUP("Risky_Inbound",'Scoring_Config'!$A:$A,'Scoring_Config'!$C:$C,20),0),"False,0")</f>
        <v>0</v>
      </c>
      <c r="AO386" s="4" cm="1">
        <f t="array" ref="AO386">IF(FALSE,"True," &amp; IF(_xlfn.XLOOKUP("Risky_Outbound",'Scoring_Config'!$A:$A,'Scoring_Config'!$D:$D,"Yes")="Yes",_xlfn.XLOOKUP("Risky_Outbound",'Scoring_Config'!$A:$A,'Scoring_Config'!$C:$C,10),0),"False,0")</f>
        <v>0</v>
      </c>
      <c r="AP386" s="5" t="s">
        <v>2595</v>
      </c>
      <c r="AQ386" s="5" cm="1">
        <f t="array" ref="AQ38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6" s="5" t="s">
        <v>2598</v>
      </c>
      <c r="AS386" s="5" t="s">
        <v>2595</v>
      </c>
      <c r="AT386" s="4" t="s">
        <v>2592</v>
      </c>
      <c r="AU386" s="4" cm="1">
        <f t="array" ref="AU386">IF(FALSE,"True," &amp; IF(_xlfn.XLOOKUP("Action_IsDenyOrDrop",'Scoring_Config'!$A:$A,'Scoring_Config'!$D:$D,"Yes")="Yes",_xlfn.XLOOKUP("Action_IsDenyOrDrop",'Scoring_Config'!$A:$A,'Scoring_Config'!$C:$C,0),0),"False,0")</f>
        <v>0</v>
      </c>
      <c r="AV386" s="4"/>
      <c r="AW386" s="4" cm="1">
        <f t="array" ref="AW386">IF(FALSE,"True," &amp; IF(_xlfn.XLOOKUP("Migrate_Insecure",'Scoring_Config'!$A:$A,'Scoring_Config'!$D:$D,"Yes")="Yes",_xlfn.XLOOKUP("Migrate_Insecure",'Scoring_Config'!$A:$A,'Scoring_Config'!$C:$C,15),0),"False,0")</f>
        <v>0</v>
      </c>
      <c r="AX386" s="4"/>
      <c r="AY386" s="4" cm="1">
        <f t="array" ref="AY386">IF(FALSE,"True," &amp; IF(_xlfn.XLOOKUP("Migrate_Other_Ports",'Scoring_Config'!$A:$A,'Scoring_Config'!$D:$D,"Yes")="Yes",_xlfn.XLOOKUP("Migrate_Other_Ports",'Scoring_Config'!$A:$A,'Scoring_Config'!$C:$C,5),0),"False,0")</f>
        <v>0</v>
      </c>
      <c r="AZ386" s="4" cm="1">
        <f t="array" ref="AZ386">IF(LEFT(AU386,4)="True",0,(IF(LEFT(AC386,4)="True",IF(_xlfn.XLOOKUP("Src_IsAny",'Scoring_Config'!$A:$A,'Scoring_Config'!$D:$D,"Yes")="Yes",_xlfn.XLOOKUP("Src_IsAny",'Scoring_Config'!$A:$A,'Scoring_Config'!$C:$C,25),0),0)+IF(LEFT(AD386,4)="True",IF(_xlfn.XLOOKUP("Src_CIDR_Le_16",'Scoring_Config'!$A:$A,'Scoring_Config'!$D:$D,"Yes")="Yes",_xlfn.XLOOKUP("Src_CIDR_Le_16",'Scoring_Config'!$A:$A,'Scoring_Config'!$C:$C,25),0),0)+IF(LEFT(AE386,4)="True",IF(_xlfn.XLOOKUP("Src_CIDR_17_22",'Scoring_Config'!$A:$A,'Scoring_Config'!$D:$D,"Yes")="Yes",_xlfn.XLOOKUP("Src_CIDR_17_22",'Scoring_Config'!$A:$A,'Scoring_Config'!$C:$C,15),0),0)+IF(LEFT(AF386,4)="True",IF(_xlfn.XLOOKUP("Dst_IsAny",'Scoring_Config'!$A:$A,'Scoring_Config'!$D:$D,"Yes")="Yes",_xlfn.XLOOKUP("Dst_IsAny",'Scoring_Config'!$A:$A,'Scoring_Config'!$C:$C,25),0),0)+IF(LEFT(AG386,4)="True",IF(_xlfn.XLOOKUP("Dst_CIDR_Le_16",'Scoring_Config'!$A:$A,'Scoring_Config'!$D:$D,"Yes")="Yes",_xlfn.XLOOKUP("Dst_CIDR_Le_16",'Scoring_Config'!$A:$A,'Scoring_Config'!$C:$C,25),0),0)+IF(LEFT(AH386,4)="True",IF(_xlfn.XLOOKUP("Dst_CIDR_17_22",'Scoring_Config'!$A:$A,'Scoring_Config'!$D:$D,"Yes")="Yes",_xlfn.XLOOKUP("Dst_CIDR_17_22",'Scoring_Config'!$A:$A,'Scoring_Config'!$C:$C,15),0),0)+IF(LEFT(AI386,4)="True",IF(_xlfn.XLOOKUP("SrcZone_IsAny",'Scoring_Config'!$A:$A,'Scoring_Config'!$D:$D,"Yes")="Yes",_xlfn.XLOOKUP("SrcZone_IsAny",'Scoring_Config'!$A:$A,'Scoring_Config'!$C:$C,5),0),0)+IF(LEFT(AJ386,4)="True",IF(_xlfn.XLOOKUP("DstZone_IsAny",'Scoring_Config'!$A:$A,'Scoring_Config'!$D:$D,"Yes")="Yes",_xlfn.XLOOKUP("DstZone_IsAny",'Scoring_Config'!$A:$A,'Scoring_Config'!$C:$C,5),0),0)+IF(LEFT(AK386,4)="True",IF(_xlfn.XLOOKUP("Service_Any_OR_RangeGt1000",'Scoring_Config'!$A:$A,'Scoring_Config'!$D:$D,"Yes")="Yes",_xlfn.XLOOKUP("Service_Any_OR_RangeGt1000",'Scoring_Config'!$A:$A,'Scoring_Config'!$C:$C,25),0),0)+IF(LEFT(AL386,4)="True",IF(_xlfn.XLOOKUP("App_Any_OR_RangeGt1000",'Scoring_Config'!$A:$A,'Scoring_Config'!$D:$D,"Yes")="Yes",_xlfn.XLOOKUP("App_Any_OR_RangeGt1000",'Scoring_Config'!$A:$A,'Scoring_Config'!$C:$C,25),0),0)+IF(LEFT(AM386,4)="True",IF(_xlfn.XLOOKUP("Service_Insecure_Match",'Scoring_Config'!$A:$A,'Scoring_Config'!$D:$D,"Yes")="Yes",_xlfn.XLOOKUP("Service_Insecure_Match",'Scoring_Config'!$A:$A,'Scoring_Config'!$C:$C,20),0),0)+IF(LEFT(AN386,4)="True",IF(_xlfn.XLOOKUP("Risky_Inbound",'Scoring_Config'!$A:$A,'Scoring_Config'!$D:$D,"Yes")="Yes",_xlfn.XLOOKUP("Risky_Inbound",'Scoring_Config'!$A:$A,'Scoring_Config'!$C:$C,20),0),0)+IF(LEFT(AO386,4)="True",IF(_xlfn.XLOOKUP("Risky_Outbound",'Scoring_Config'!$A:$A,'Scoring_Config'!$D:$D,"Yes")="Yes",_xlfn.XLOOKUP("Risky_Outbound",'Scoring_Config'!$A:$A,'Scoring_Config'!$C:$C,10),0),0)+IF(LEFT(AW386,4)="True",IF(_xlfn.XLOOKUP("Migrate_Insecure",'Scoring_Config'!$A:$A,'Scoring_Config'!$D:$D,"Yes")="Yes",_xlfn.XLOOKUP("Migrate_Insecure",'Scoring_Config'!$A:$A,'Scoring_Config'!$C:$C,15),0),0)+IF(LEFT(AY386,4)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386,FIND(",",AP386)+1,100)),0)+IF(LEFT(AQ386,4)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386,FIND(",",AR386)+1,100)),0)+IF(_xlfn.XLOOKUP("Profile_Scoring",'Scoring_Config'!$A:$A,'Scoring_Config'!$D:$D,"Yes")="Yes",VALUE(MID(AS386,FIND(",",AS386)+1,100)),0)+IF(_xlfn.XLOOKUP("Options_Scoring",'Scoring_Config'!$A:$A,'Scoring_Config'!$D:$D,"Yes")="Yes",VALUE(MID(AT386,FIND(",",AT386)+1,100)),0)))</f>
        <v>0</v>
      </c>
    </row>
    <row r="387" spans="1:52">
      <c r="A387" s="3" t="s">
        <v>55</v>
      </c>
      <c r="B387" s="3" t="s">
        <v>64</v>
      </c>
      <c r="C387" s="3" t="s">
        <v>332</v>
      </c>
      <c r="D387" s="3"/>
      <c r="E387" s="3" t="s">
        <v>359</v>
      </c>
      <c r="F387" s="3" t="s">
        <v>362</v>
      </c>
      <c r="G387" s="3" t="s">
        <v>509</v>
      </c>
      <c r="H387" s="3" t="s">
        <v>606</v>
      </c>
      <c r="I387" s="3" t="s">
        <v>622</v>
      </c>
      <c r="J387" s="3" t="s">
        <v>364</v>
      </c>
      <c r="K387" s="3" t="s">
        <v>365</v>
      </c>
      <c r="L387" s="3" t="s">
        <v>365</v>
      </c>
      <c r="M387" s="3" t="s">
        <v>771</v>
      </c>
      <c r="N387" s="3" t="s">
        <v>793</v>
      </c>
      <c r="O387" s="4" t="s">
        <v>809</v>
      </c>
      <c r="P387" s="3" t="s">
        <v>870</v>
      </c>
      <c r="Q387" s="3" t="s">
        <v>905</v>
      </c>
      <c r="R387" s="3" t="s">
        <v>908</v>
      </c>
      <c r="S387" s="3" t="s">
        <v>912</v>
      </c>
      <c r="T387" s="3" t="s">
        <v>919</v>
      </c>
      <c r="U387" s="3" t="s">
        <v>1341</v>
      </c>
      <c r="V387" s="3" t="s">
        <v>772</v>
      </c>
      <c r="W387" s="3" t="s">
        <v>1500</v>
      </c>
      <c r="X387" s="3" t="s">
        <v>1991</v>
      </c>
      <c r="Y387" s="3" t="s">
        <v>2460</v>
      </c>
      <c r="Z387" s="3"/>
      <c r="AA387" s="3"/>
      <c r="AB387" s="3"/>
      <c r="AC387" s="4" cm="1">
        <f t="array" ref="AC387">IF(FALSE,"True," &amp; IF(_xlfn.XLOOKUP("Src_IsAny",'Scoring_Config'!$A:$A,'Scoring_Config'!$D:$D,"Yes")="Yes",_xlfn.XLOOKUP("Src_IsAny",'Scoring_Config'!$A:$A,'Scoring_Config'!$C:$C,25),0),"False,0")</f>
        <v>0</v>
      </c>
      <c r="AD387" s="4" cm="1">
        <f t="array" ref="AD387">IF(FALSE,"True," &amp; IF(_xlfn.XLOOKUP("Src_CIDR_Le_16",'Scoring_Config'!$A:$A,'Scoring_Config'!$D:$D,"Yes")="Yes",_xlfn.XLOOKUP("Src_CIDR_Le_16",'Scoring_Config'!$A:$A,'Scoring_Config'!$C:$C,25),0),"False,0")</f>
        <v>0</v>
      </c>
      <c r="AE387" s="4" cm="1">
        <f t="array" ref="AE387">IF(FALSE,"True," &amp; IF(_xlfn.XLOOKUP("Src_CIDR_17_22",'Scoring_Config'!$A:$A,'Scoring_Config'!$D:$D,"Yes")="Yes",_xlfn.XLOOKUP("Src_CIDR_17_22",'Scoring_Config'!$A:$A,'Scoring_Config'!$C:$C,15),0),"False,0")</f>
        <v>0</v>
      </c>
      <c r="AF387" s="5" cm="1">
        <f t="array" ref="AF387">IF(TRUE,"True," &amp; IF(_xlfn.XLOOKUP("Dst_IsAny",'Scoring_Config'!$A:$A,'Scoring_Config'!$D:$D,"Yes")="Yes",_xlfn.XLOOKUP("Dst_IsAny",'Scoring_Config'!$A:$A,'Scoring_Config'!$C:$C,25),0),"False,0")</f>
        <v>0</v>
      </c>
      <c r="AG387" s="4" cm="1">
        <f t="array" ref="AG387">IF(FALSE,"True," &amp; IF(_xlfn.XLOOKUP("Dst_CIDR_Le_16",'Scoring_Config'!$A:$A,'Scoring_Config'!$D:$D,"Yes")="Yes",_xlfn.XLOOKUP("Dst_CIDR_Le_16",'Scoring_Config'!$A:$A,'Scoring_Config'!$C:$C,25),0),"False,0")</f>
        <v>0</v>
      </c>
      <c r="AH387" s="4" cm="1">
        <f t="array" ref="AH387">IF(FALSE,"True," &amp; IF(_xlfn.XLOOKUP("Dst_CIDR_17_22",'Scoring_Config'!$A:$A,'Scoring_Config'!$D:$D,"Yes")="Yes",_xlfn.XLOOKUP("Dst_CIDR_17_22",'Scoring_Config'!$A:$A,'Scoring_Config'!$C:$C,15),0),"False,0")</f>
        <v>0</v>
      </c>
      <c r="AI387" s="4" cm="1">
        <f t="array" ref="AI387">IF(FALSE,"True," &amp; IF(_xlfn.XLOOKUP("SrcZone_IsAny",'Scoring_Config'!$A:$A,'Scoring_Config'!$D:$D,"Yes")="Yes",_xlfn.XLOOKUP("SrcZone_IsAny",'Scoring_Config'!$A:$A,'Scoring_Config'!$C:$C,5),0),"False,0")</f>
        <v>0</v>
      </c>
      <c r="AJ387" s="4" cm="1">
        <f t="array" ref="AJ387">IF(FALSE,"True," &amp; IF(_xlfn.XLOOKUP("DstZone_IsAny",'Scoring_Config'!$A:$A,'Scoring_Config'!$D:$D,"Yes")="Yes",_xlfn.XLOOKUP("DstZone_IsAny",'Scoring_Config'!$A:$A,'Scoring_Config'!$C:$C,5),0),"False,0")</f>
        <v>0</v>
      </c>
      <c r="AK387" s="4" cm="1">
        <f t="array" ref="AK38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7" s="4" cm="1">
        <f t="array" ref="AL387">IF(FALSE,"True," &amp; IF(_xlfn.XLOOKUP("App_Any_OR_RangeGt1000",'Scoring_Config'!$A:$A,'Scoring_Config'!$D:$D,"Yes")="Yes",_xlfn.XLOOKUP("App_Any_OR_RangeGt1000",'Scoring_Config'!$A:$A,'Scoring_Config'!$C:$C,25),0),"False,0")</f>
        <v>0</v>
      </c>
      <c r="AM387" s="4" cm="1">
        <f t="array" ref="AM387">IF(FALSE,"True," &amp; IF(_xlfn.XLOOKUP("Service_Insecure_Match",'Scoring_Config'!$A:$A,'Scoring_Config'!$D:$D,"Yes")="Yes",_xlfn.XLOOKUP("Service_Insecure_Match",'Scoring_Config'!$A:$A,'Scoring_Config'!$C:$C,20),0),"False,0")</f>
        <v>0</v>
      </c>
      <c r="AN387" s="4" cm="1">
        <f t="array" ref="AN387">IF(FALSE,"True," &amp; IF(_xlfn.XLOOKUP("Risky_Inbound",'Scoring_Config'!$A:$A,'Scoring_Config'!$D:$D,"Yes")="Yes",_xlfn.XLOOKUP("Risky_Inbound",'Scoring_Config'!$A:$A,'Scoring_Config'!$C:$C,20),0),"False,0")</f>
        <v>0</v>
      </c>
      <c r="AO387" s="4" cm="1">
        <f t="array" ref="AO387">IF(FALSE,"True," &amp; IF(_xlfn.XLOOKUP("Risky_Outbound",'Scoring_Config'!$A:$A,'Scoring_Config'!$D:$D,"Yes")="Yes",_xlfn.XLOOKUP("Risky_Outbound",'Scoring_Config'!$A:$A,'Scoring_Config'!$C:$C,10),0),"False,0")</f>
        <v>0</v>
      </c>
      <c r="AP387" s="5" t="s">
        <v>2595</v>
      </c>
      <c r="AQ387" s="4" cm="1">
        <f t="array" ref="AQ38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7" s="5" t="s">
        <v>2598</v>
      </c>
      <c r="AS387" s="4" t="s">
        <v>2592</v>
      </c>
      <c r="AT387" s="4" t="s">
        <v>2592</v>
      </c>
      <c r="AU387" s="4" cm="1">
        <f t="array" ref="AU387">IF(FALSE,"True," &amp; IF(_xlfn.XLOOKUP("Action_IsDenyOrDrop",'Scoring_Config'!$A:$A,'Scoring_Config'!$D:$D,"Yes")="Yes",_xlfn.XLOOKUP("Action_IsDenyOrDrop",'Scoring_Config'!$A:$A,'Scoring_Config'!$C:$C,0),0),"False,0")</f>
        <v>0</v>
      </c>
      <c r="AV387" s="4"/>
      <c r="AW387" s="4" cm="1">
        <f t="array" ref="AW387">IF(FALSE,"True," &amp; IF(_xlfn.XLOOKUP("Migrate_Insecure",'Scoring_Config'!$A:$A,'Scoring_Config'!$D:$D,"Yes")="Yes",_xlfn.XLOOKUP("Migrate_Insecure",'Scoring_Config'!$A:$A,'Scoring_Config'!$C:$C,15),0),"False,0")</f>
        <v>0</v>
      </c>
      <c r="AX387" s="4"/>
      <c r="AY387" s="4" cm="1">
        <f t="array" ref="AY387">IF(FALSE,"True," &amp; IF(_xlfn.XLOOKUP("Migrate_Other_Ports",'Scoring_Config'!$A:$A,'Scoring_Config'!$D:$D,"Yes")="Yes",_xlfn.XLOOKUP("Migrate_Other_Ports",'Scoring_Config'!$A:$A,'Scoring_Config'!$C:$C,5),0),"False,0")</f>
        <v>0</v>
      </c>
      <c r="AZ387" s="4" cm="1">
        <f t="array" ref="AZ387">IF(LEFT(AU387,4)="True",0,(IF(LEFT(AC387,4)="True",IF(_xlfn.XLOOKUP("Src_IsAny",'Scoring_Config'!$A:$A,'Scoring_Config'!$D:$D,"Yes")="Yes",_xlfn.XLOOKUP("Src_IsAny",'Scoring_Config'!$A:$A,'Scoring_Config'!$C:$C,25),0),0)+IF(LEFT(AD387,4)="True",IF(_xlfn.XLOOKUP("Src_CIDR_Le_16",'Scoring_Config'!$A:$A,'Scoring_Config'!$D:$D,"Yes")="Yes",_xlfn.XLOOKUP("Src_CIDR_Le_16",'Scoring_Config'!$A:$A,'Scoring_Config'!$C:$C,25),0),0)+IF(LEFT(AE387,4)="True",IF(_xlfn.XLOOKUP("Src_CIDR_17_22",'Scoring_Config'!$A:$A,'Scoring_Config'!$D:$D,"Yes")="Yes",_xlfn.XLOOKUP("Src_CIDR_17_22",'Scoring_Config'!$A:$A,'Scoring_Config'!$C:$C,15),0),0)+IF(LEFT(AF387,4)="True",IF(_xlfn.XLOOKUP("Dst_IsAny",'Scoring_Config'!$A:$A,'Scoring_Config'!$D:$D,"Yes")="Yes",_xlfn.XLOOKUP("Dst_IsAny",'Scoring_Config'!$A:$A,'Scoring_Config'!$C:$C,25),0),0)+IF(LEFT(AG387,4)="True",IF(_xlfn.XLOOKUP("Dst_CIDR_Le_16",'Scoring_Config'!$A:$A,'Scoring_Config'!$D:$D,"Yes")="Yes",_xlfn.XLOOKUP("Dst_CIDR_Le_16",'Scoring_Config'!$A:$A,'Scoring_Config'!$C:$C,25),0),0)+IF(LEFT(AH387,4)="True",IF(_xlfn.XLOOKUP("Dst_CIDR_17_22",'Scoring_Config'!$A:$A,'Scoring_Config'!$D:$D,"Yes")="Yes",_xlfn.XLOOKUP("Dst_CIDR_17_22",'Scoring_Config'!$A:$A,'Scoring_Config'!$C:$C,15),0),0)+IF(LEFT(AI387,4)="True",IF(_xlfn.XLOOKUP("SrcZone_IsAny",'Scoring_Config'!$A:$A,'Scoring_Config'!$D:$D,"Yes")="Yes",_xlfn.XLOOKUP("SrcZone_IsAny",'Scoring_Config'!$A:$A,'Scoring_Config'!$C:$C,5),0),0)+IF(LEFT(AJ387,4)="True",IF(_xlfn.XLOOKUP("DstZone_IsAny",'Scoring_Config'!$A:$A,'Scoring_Config'!$D:$D,"Yes")="Yes",_xlfn.XLOOKUP("DstZone_IsAny",'Scoring_Config'!$A:$A,'Scoring_Config'!$C:$C,5),0),0)+IF(LEFT(AK387,4)="True",IF(_xlfn.XLOOKUP("Service_Any_OR_RangeGt1000",'Scoring_Config'!$A:$A,'Scoring_Config'!$D:$D,"Yes")="Yes",_xlfn.XLOOKUP("Service_Any_OR_RangeGt1000",'Scoring_Config'!$A:$A,'Scoring_Config'!$C:$C,25),0),0)+IF(LEFT(AL387,4)="True",IF(_xlfn.XLOOKUP("App_Any_OR_RangeGt1000",'Scoring_Config'!$A:$A,'Scoring_Config'!$D:$D,"Yes")="Yes",_xlfn.XLOOKUP("App_Any_OR_RangeGt1000",'Scoring_Config'!$A:$A,'Scoring_Config'!$C:$C,25),0),0)+IF(LEFT(AM387,4)="True",IF(_xlfn.XLOOKUP("Service_Insecure_Match",'Scoring_Config'!$A:$A,'Scoring_Config'!$D:$D,"Yes")="Yes",_xlfn.XLOOKUP("Service_Insecure_Match",'Scoring_Config'!$A:$A,'Scoring_Config'!$C:$C,20),0),0)+IF(LEFT(AN387,4)="True",IF(_xlfn.XLOOKUP("Risky_Inbound",'Scoring_Config'!$A:$A,'Scoring_Config'!$D:$D,"Yes")="Yes",_xlfn.XLOOKUP("Risky_Inbound",'Scoring_Config'!$A:$A,'Scoring_Config'!$C:$C,20),0),0)+IF(LEFT(AO387,4)="True",IF(_xlfn.XLOOKUP("Risky_Outbound",'Scoring_Config'!$A:$A,'Scoring_Config'!$D:$D,"Yes")="Yes",_xlfn.XLOOKUP("Risky_Outbound",'Scoring_Config'!$A:$A,'Scoring_Config'!$C:$C,10),0),0)+IF(LEFT(AW387,4)="True",IF(_xlfn.XLOOKUP("Migrate_Insecure",'Scoring_Config'!$A:$A,'Scoring_Config'!$D:$D,"Yes")="Yes",_xlfn.XLOOKUP("Migrate_Insecure",'Scoring_Config'!$A:$A,'Scoring_Config'!$C:$C,15),0),0)+IF(LEFT(AY387,4)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387,FIND(",",AP387)+1,100)),0)+IF(LEFT(AQ387,4)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387,FIND(",",AR387)+1,100)),0)+IF(_xlfn.XLOOKUP("Profile_Scoring",'Scoring_Config'!$A:$A,'Scoring_Config'!$D:$D,"Yes")="Yes",VALUE(MID(AS387,FIND(",",AS387)+1,100)),0)+IF(_xlfn.XLOOKUP("Options_Scoring",'Scoring_Config'!$A:$A,'Scoring_Config'!$D:$D,"Yes")="Yes",VALUE(MID(AT387,FIND(",",AT387)+1,100)),0)))</f>
        <v>0</v>
      </c>
    </row>
    <row r="388" spans="1:52">
      <c r="A388" s="3" t="s">
        <v>55</v>
      </c>
      <c r="B388" s="3" t="s">
        <v>295</v>
      </c>
      <c r="C388" s="3" t="s">
        <v>332</v>
      </c>
      <c r="D388" s="3"/>
      <c r="E388" s="3" t="s">
        <v>359</v>
      </c>
      <c r="F388" s="3" t="s">
        <v>364</v>
      </c>
      <c r="G388" s="3" t="s">
        <v>510</v>
      </c>
      <c r="H388" s="3" t="s">
        <v>510</v>
      </c>
      <c r="I388" s="3" t="s">
        <v>365</v>
      </c>
      <c r="J388" s="3" t="s">
        <v>360</v>
      </c>
      <c r="K388" s="3" t="s">
        <v>507</v>
      </c>
      <c r="L388" s="3" t="s">
        <v>507</v>
      </c>
      <c r="M388" s="3" t="s">
        <v>775</v>
      </c>
      <c r="N388" s="3" t="s">
        <v>796</v>
      </c>
      <c r="O388" s="4" t="s">
        <v>809</v>
      </c>
      <c r="P388" s="3" t="s">
        <v>870</v>
      </c>
      <c r="Q388" s="3" t="s">
        <v>905</v>
      </c>
      <c r="R388" s="3" t="s">
        <v>910</v>
      </c>
      <c r="S388" s="3" t="s">
        <v>907</v>
      </c>
      <c r="T388" s="3" t="s">
        <v>919</v>
      </c>
      <c r="U388" s="3" t="s">
        <v>1145</v>
      </c>
      <c r="V388" s="3" t="s">
        <v>1389</v>
      </c>
      <c r="W388" s="3" t="s">
        <v>1499</v>
      </c>
      <c r="X388" s="3" t="s">
        <v>1992</v>
      </c>
      <c r="Y388" s="3" t="s">
        <v>2461</v>
      </c>
      <c r="Z388" s="3"/>
      <c r="AA388" s="3"/>
      <c r="AB388" s="3"/>
      <c r="AC388" s="4" cm="1">
        <f t="array" ref="AC388">IF(FALSE,"True," &amp; IF(_xlfn.XLOOKUP("Src_IsAny",'Scoring_Config'!$A:$A,'Scoring_Config'!$D:$D,"Yes")="Yes",_xlfn.XLOOKUP("Src_IsAny",'Scoring_Config'!$A:$A,'Scoring_Config'!$C:$C,25),0),"False,0")</f>
        <v>0</v>
      </c>
      <c r="AD388" s="4" cm="1">
        <f t="array" ref="AD388">IF(FALSE,"True," &amp; IF(_xlfn.XLOOKUP("Src_CIDR_Le_16",'Scoring_Config'!$A:$A,'Scoring_Config'!$D:$D,"Yes")="Yes",_xlfn.XLOOKUP("Src_CIDR_Le_16",'Scoring_Config'!$A:$A,'Scoring_Config'!$C:$C,25),0),"False,0")</f>
        <v>0</v>
      </c>
      <c r="AE388" s="4" cm="1">
        <f t="array" ref="AE388">IF(FALSE,"True," &amp; IF(_xlfn.XLOOKUP("Src_CIDR_17_22",'Scoring_Config'!$A:$A,'Scoring_Config'!$D:$D,"Yes")="Yes",_xlfn.XLOOKUP("Src_CIDR_17_22",'Scoring_Config'!$A:$A,'Scoring_Config'!$C:$C,15),0),"False,0")</f>
        <v>0</v>
      </c>
      <c r="AF388" s="4" cm="1">
        <f t="array" ref="AF388">IF(FALSE,"True," &amp; IF(_xlfn.XLOOKUP("Dst_IsAny",'Scoring_Config'!$A:$A,'Scoring_Config'!$D:$D,"Yes")="Yes",_xlfn.XLOOKUP("Dst_IsAny",'Scoring_Config'!$A:$A,'Scoring_Config'!$C:$C,25),0),"False,0")</f>
        <v>0</v>
      </c>
      <c r="AG388" s="4" cm="1">
        <f t="array" ref="AG388">IF(FALSE,"True," &amp; IF(_xlfn.XLOOKUP("Dst_CIDR_Le_16",'Scoring_Config'!$A:$A,'Scoring_Config'!$D:$D,"Yes")="Yes",_xlfn.XLOOKUP("Dst_CIDR_Le_16",'Scoring_Config'!$A:$A,'Scoring_Config'!$C:$C,25),0),"False,0")</f>
        <v>0</v>
      </c>
      <c r="AH388" s="4" cm="1">
        <f t="array" ref="AH388">IF(FALSE,"True," &amp; IF(_xlfn.XLOOKUP("Dst_CIDR_17_22",'Scoring_Config'!$A:$A,'Scoring_Config'!$D:$D,"Yes")="Yes",_xlfn.XLOOKUP("Dst_CIDR_17_22",'Scoring_Config'!$A:$A,'Scoring_Config'!$C:$C,15),0),"False,0")</f>
        <v>0</v>
      </c>
      <c r="AI388" s="4" cm="1">
        <f t="array" ref="AI388">IF(FALSE,"True," &amp; IF(_xlfn.XLOOKUP("SrcZone_IsAny",'Scoring_Config'!$A:$A,'Scoring_Config'!$D:$D,"Yes")="Yes",_xlfn.XLOOKUP("SrcZone_IsAny",'Scoring_Config'!$A:$A,'Scoring_Config'!$C:$C,5),0),"False,0")</f>
        <v>0</v>
      </c>
      <c r="AJ388" s="4" cm="1">
        <f t="array" ref="AJ388">IF(FALSE,"True," &amp; IF(_xlfn.XLOOKUP("DstZone_IsAny",'Scoring_Config'!$A:$A,'Scoring_Config'!$D:$D,"Yes")="Yes",_xlfn.XLOOKUP("DstZone_IsAny",'Scoring_Config'!$A:$A,'Scoring_Config'!$C:$C,5),0),"False,0")</f>
        <v>0</v>
      </c>
      <c r="AK388" s="4" cm="1">
        <f t="array" ref="AK38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8" s="4" cm="1">
        <f t="array" ref="AL388">IF(FALSE,"True," &amp; IF(_xlfn.XLOOKUP("App_Any_OR_RangeGt1000",'Scoring_Config'!$A:$A,'Scoring_Config'!$D:$D,"Yes")="Yes",_xlfn.XLOOKUP("App_Any_OR_RangeGt1000",'Scoring_Config'!$A:$A,'Scoring_Config'!$C:$C,25),0),"False,0")</f>
        <v>0</v>
      </c>
      <c r="AM388" s="4" cm="1">
        <f t="array" ref="AM388">IF(FALSE,"True," &amp; IF(_xlfn.XLOOKUP("Service_Insecure_Match",'Scoring_Config'!$A:$A,'Scoring_Config'!$D:$D,"Yes")="Yes",_xlfn.XLOOKUP("Service_Insecure_Match",'Scoring_Config'!$A:$A,'Scoring_Config'!$C:$C,20),0),"False,0")</f>
        <v>0</v>
      </c>
      <c r="AN388" s="4" cm="1">
        <f t="array" ref="AN388">IF(FALSE,"True," &amp; IF(_xlfn.XLOOKUP("Risky_Inbound",'Scoring_Config'!$A:$A,'Scoring_Config'!$D:$D,"Yes")="Yes",_xlfn.XLOOKUP("Risky_Inbound",'Scoring_Config'!$A:$A,'Scoring_Config'!$C:$C,20),0),"False,0")</f>
        <v>0</v>
      </c>
      <c r="AO388" s="4" cm="1">
        <f t="array" ref="AO388">IF(FALSE,"True," &amp; IF(_xlfn.XLOOKUP("Risky_Outbound",'Scoring_Config'!$A:$A,'Scoring_Config'!$D:$D,"Yes")="Yes",_xlfn.XLOOKUP("Risky_Outbound",'Scoring_Config'!$A:$A,'Scoring_Config'!$C:$C,10),0),"False,0")</f>
        <v>0</v>
      </c>
      <c r="AP388" s="5" t="s">
        <v>2595</v>
      </c>
      <c r="AQ388" s="5" cm="1">
        <f t="array" ref="AQ38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8" s="4" t="s">
        <v>2592</v>
      </c>
      <c r="AS388" s="4" t="s">
        <v>2592</v>
      </c>
      <c r="AT388" s="5" t="s">
        <v>2595</v>
      </c>
      <c r="AU388" s="4" cm="1">
        <f t="array" ref="AU388">IF(FALSE,"True," &amp; IF(_xlfn.XLOOKUP("Action_IsDenyOrDrop",'Scoring_Config'!$A:$A,'Scoring_Config'!$D:$D,"Yes")="Yes",_xlfn.XLOOKUP("Action_IsDenyOrDrop",'Scoring_Config'!$A:$A,'Scoring_Config'!$C:$C,0),0),"False,0")</f>
        <v>0</v>
      </c>
      <c r="AV388" s="4"/>
      <c r="AW388" s="4" cm="1">
        <f t="array" ref="AW388">IF(FALSE,"True," &amp; IF(_xlfn.XLOOKUP("Migrate_Insecure",'Scoring_Config'!$A:$A,'Scoring_Config'!$D:$D,"Yes")="Yes",_xlfn.XLOOKUP("Migrate_Insecure",'Scoring_Config'!$A:$A,'Scoring_Config'!$C:$C,15),0),"False,0")</f>
        <v>0</v>
      </c>
      <c r="AX388" s="4"/>
      <c r="AY388" s="4" cm="1">
        <f t="array" ref="AY388">IF(FALSE,"True," &amp; IF(_xlfn.XLOOKUP("Migrate_Other_Ports",'Scoring_Config'!$A:$A,'Scoring_Config'!$D:$D,"Yes")="Yes",_xlfn.XLOOKUP("Migrate_Other_Ports",'Scoring_Config'!$A:$A,'Scoring_Config'!$C:$C,5),0),"False,0")</f>
        <v>0</v>
      </c>
      <c r="AZ388" s="4" cm="1">
        <f t="array" ref="AZ388">IF(LEFT(AU388,4)="True",0,(IF(LEFT(AC388,4)="True",IF(_xlfn.XLOOKUP("Src_IsAny",'Scoring_Config'!$A:$A,'Scoring_Config'!$D:$D,"Yes")="Yes",_xlfn.XLOOKUP("Src_IsAny",'Scoring_Config'!$A:$A,'Scoring_Config'!$C:$C,25),0),0)+IF(LEFT(AD388,4)="True",IF(_xlfn.XLOOKUP("Src_CIDR_Le_16",'Scoring_Config'!$A:$A,'Scoring_Config'!$D:$D,"Yes")="Yes",_xlfn.XLOOKUP("Src_CIDR_Le_16",'Scoring_Config'!$A:$A,'Scoring_Config'!$C:$C,25),0),0)+IF(LEFT(AE388,4)="True",IF(_xlfn.XLOOKUP("Src_CIDR_17_22",'Scoring_Config'!$A:$A,'Scoring_Config'!$D:$D,"Yes")="Yes",_xlfn.XLOOKUP("Src_CIDR_17_22",'Scoring_Config'!$A:$A,'Scoring_Config'!$C:$C,15),0),0)+IF(LEFT(AF388,4)="True",IF(_xlfn.XLOOKUP("Dst_IsAny",'Scoring_Config'!$A:$A,'Scoring_Config'!$D:$D,"Yes")="Yes",_xlfn.XLOOKUP("Dst_IsAny",'Scoring_Config'!$A:$A,'Scoring_Config'!$C:$C,25),0),0)+IF(LEFT(AG388,4)="True",IF(_xlfn.XLOOKUP("Dst_CIDR_Le_16",'Scoring_Config'!$A:$A,'Scoring_Config'!$D:$D,"Yes")="Yes",_xlfn.XLOOKUP("Dst_CIDR_Le_16",'Scoring_Config'!$A:$A,'Scoring_Config'!$C:$C,25),0),0)+IF(LEFT(AH388,4)="True",IF(_xlfn.XLOOKUP("Dst_CIDR_17_22",'Scoring_Config'!$A:$A,'Scoring_Config'!$D:$D,"Yes")="Yes",_xlfn.XLOOKUP("Dst_CIDR_17_22",'Scoring_Config'!$A:$A,'Scoring_Config'!$C:$C,15),0),0)+IF(LEFT(AI388,4)="True",IF(_xlfn.XLOOKUP("SrcZone_IsAny",'Scoring_Config'!$A:$A,'Scoring_Config'!$D:$D,"Yes")="Yes",_xlfn.XLOOKUP("SrcZone_IsAny",'Scoring_Config'!$A:$A,'Scoring_Config'!$C:$C,5),0),0)+IF(LEFT(AJ388,4)="True",IF(_xlfn.XLOOKUP("DstZone_IsAny",'Scoring_Config'!$A:$A,'Scoring_Config'!$D:$D,"Yes")="Yes",_xlfn.XLOOKUP("DstZone_IsAny",'Scoring_Config'!$A:$A,'Scoring_Config'!$C:$C,5),0),0)+IF(LEFT(AK388,4)="True",IF(_xlfn.XLOOKUP("Service_Any_OR_RangeGt1000",'Scoring_Config'!$A:$A,'Scoring_Config'!$D:$D,"Yes")="Yes",_xlfn.XLOOKUP("Service_Any_OR_RangeGt1000",'Scoring_Config'!$A:$A,'Scoring_Config'!$C:$C,25),0),0)+IF(LEFT(AL388,4)="True",IF(_xlfn.XLOOKUP("App_Any_OR_RangeGt1000",'Scoring_Config'!$A:$A,'Scoring_Config'!$D:$D,"Yes")="Yes",_xlfn.XLOOKUP("App_Any_OR_RangeGt1000",'Scoring_Config'!$A:$A,'Scoring_Config'!$C:$C,25),0),0)+IF(LEFT(AM388,4)="True",IF(_xlfn.XLOOKUP("Service_Insecure_Match",'Scoring_Config'!$A:$A,'Scoring_Config'!$D:$D,"Yes")="Yes",_xlfn.XLOOKUP("Service_Insecure_Match",'Scoring_Config'!$A:$A,'Scoring_Config'!$C:$C,20),0),0)+IF(LEFT(AN388,4)="True",IF(_xlfn.XLOOKUP("Risky_Inbound",'Scoring_Config'!$A:$A,'Scoring_Config'!$D:$D,"Yes")="Yes",_xlfn.XLOOKUP("Risky_Inbound",'Scoring_Config'!$A:$A,'Scoring_Config'!$C:$C,20),0),0)+IF(LEFT(AO388,4)="True",IF(_xlfn.XLOOKUP("Risky_Outbound",'Scoring_Config'!$A:$A,'Scoring_Config'!$D:$D,"Yes")="Yes",_xlfn.XLOOKUP("Risky_Outbound",'Scoring_Config'!$A:$A,'Scoring_Config'!$C:$C,10),0),0)+IF(LEFT(AW388,4)="True",IF(_xlfn.XLOOKUP("Migrate_Insecure",'Scoring_Config'!$A:$A,'Scoring_Config'!$D:$D,"Yes")="Yes",_xlfn.XLOOKUP("Migrate_Insecure",'Scoring_Config'!$A:$A,'Scoring_Config'!$C:$C,15),0),0)+IF(LEFT(AY388,4)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388,FIND(",",AP388)+1,100)),0)+IF(LEFT(AQ388,4)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388,FIND(",",AR388)+1,100)),0)+IF(_xlfn.XLOOKUP("Profile_Scoring",'Scoring_Config'!$A:$A,'Scoring_Config'!$D:$D,"Yes")="Yes",VALUE(MID(AS388,FIND(",",AS388)+1,100)),0)+IF(_xlfn.XLOOKUP("Options_Scoring",'Scoring_Config'!$A:$A,'Scoring_Config'!$D:$D,"Yes")="Yes",VALUE(MID(AT388,FIND(",",AT388)+1,100)),0)))</f>
        <v>0</v>
      </c>
    </row>
    <row r="389" spans="1:52">
      <c r="A389" s="3" t="s">
        <v>55</v>
      </c>
      <c r="B389" s="3" t="s">
        <v>186</v>
      </c>
      <c r="C389" s="3" t="s">
        <v>332</v>
      </c>
      <c r="D389" s="3"/>
      <c r="E389" s="3" t="s">
        <v>359</v>
      </c>
      <c r="F389" s="3" t="s">
        <v>362</v>
      </c>
      <c r="G389" s="3" t="s">
        <v>511</v>
      </c>
      <c r="H389" s="3" t="s">
        <v>607</v>
      </c>
      <c r="I389" s="3" t="s">
        <v>624</v>
      </c>
      <c r="J389" s="3" t="s">
        <v>364</v>
      </c>
      <c r="K389" s="3" t="s">
        <v>535</v>
      </c>
      <c r="L389" s="3" t="s">
        <v>535</v>
      </c>
      <c r="M389" s="3" t="s">
        <v>365</v>
      </c>
      <c r="N389" s="3" t="s">
        <v>365</v>
      </c>
      <c r="O389" s="4" t="s">
        <v>814</v>
      </c>
      <c r="P389" s="3" t="s">
        <v>875</v>
      </c>
      <c r="Q389" s="3" t="s">
        <v>905</v>
      </c>
      <c r="R389" s="3" t="s">
        <v>908</v>
      </c>
      <c r="S389" s="3" t="s">
        <v>907</v>
      </c>
      <c r="T389" s="3" t="s">
        <v>1095</v>
      </c>
      <c r="U389" s="3" t="s">
        <v>1145</v>
      </c>
      <c r="V389" s="3" t="s">
        <v>1386</v>
      </c>
      <c r="W389" s="3" t="s">
        <v>1579</v>
      </c>
      <c r="X389" s="3" t="s">
        <v>1993</v>
      </c>
      <c r="Y389" s="3" t="s">
        <v>2462</v>
      </c>
      <c r="Z389" s="3"/>
      <c r="AA389" s="3"/>
      <c r="AB389" s="3"/>
      <c r="AC389" s="5" cm="1">
        <f t="array" ref="AC389">IF(TRUE,"True," &amp; IF(_xlfn.XLOOKUP("Src_IsAny",'Scoring_Config'!$A:$A,'Scoring_Config'!$D:$D,"Yes")="Yes",_xlfn.XLOOKUP("Src_IsAny",'Scoring_Config'!$A:$A,'Scoring_Config'!$C:$C,25),0),"False,0")</f>
        <v>0</v>
      </c>
      <c r="AD389" s="5" cm="1">
        <f t="array" ref="AD389">IF(TRUE,"True," &amp; IF(_xlfn.XLOOKUP("Src_CIDR_Le_16",'Scoring_Config'!$A:$A,'Scoring_Config'!$D:$D,"Yes")="Yes",_xlfn.XLOOKUP("Src_CIDR_Le_16",'Scoring_Config'!$A:$A,'Scoring_Config'!$C:$C,25),0),"False,0")</f>
        <v>0</v>
      </c>
      <c r="AE389" s="4" cm="1">
        <f t="array" ref="AE389">IF(FALSE,"True," &amp; IF(_xlfn.XLOOKUP("Src_CIDR_17_22",'Scoring_Config'!$A:$A,'Scoring_Config'!$D:$D,"Yes")="Yes",_xlfn.XLOOKUP("Src_CIDR_17_22",'Scoring_Config'!$A:$A,'Scoring_Config'!$C:$C,15),0),"False,0")</f>
        <v>0</v>
      </c>
      <c r="AF389" s="4" cm="1">
        <f t="array" ref="AF389">IF(FALSE,"True," &amp; IF(_xlfn.XLOOKUP("Dst_IsAny",'Scoring_Config'!$A:$A,'Scoring_Config'!$D:$D,"Yes")="Yes",_xlfn.XLOOKUP("Dst_IsAny",'Scoring_Config'!$A:$A,'Scoring_Config'!$C:$C,25),0),"False,0")</f>
        <v>0</v>
      </c>
      <c r="AG389" s="5" cm="1">
        <f t="array" ref="AG389">IF(TRUE,"True," &amp; IF(_xlfn.XLOOKUP("Dst_CIDR_Le_16",'Scoring_Config'!$A:$A,'Scoring_Config'!$D:$D,"Yes")="Yes",_xlfn.XLOOKUP("Dst_CIDR_Le_16",'Scoring_Config'!$A:$A,'Scoring_Config'!$C:$C,25),0),"False,0")</f>
        <v>0</v>
      </c>
      <c r="AH389" s="4" cm="1">
        <f t="array" ref="AH389">IF(FALSE,"True," &amp; IF(_xlfn.XLOOKUP("Dst_CIDR_17_22",'Scoring_Config'!$A:$A,'Scoring_Config'!$D:$D,"Yes")="Yes",_xlfn.XLOOKUP("Dst_CIDR_17_22",'Scoring_Config'!$A:$A,'Scoring_Config'!$C:$C,15),0),"False,0")</f>
        <v>0</v>
      </c>
      <c r="AI389" s="4" cm="1">
        <f t="array" ref="AI389">IF(FALSE,"True," &amp; IF(_xlfn.XLOOKUP("SrcZone_IsAny",'Scoring_Config'!$A:$A,'Scoring_Config'!$D:$D,"Yes")="Yes",_xlfn.XLOOKUP("SrcZone_IsAny",'Scoring_Config'!$A:$A,'Scoring_Config'!$C:$C,5),0),"False,0")</f>
        <v>0</v>
      </c>
      <c r="AJ389" s="4" cm="1">
        <f t="array" ref="AJ389">IF(FALSE,"True," &amp; IF(_xlfn.XLOOKUP("DstZone_IsAny",'Scoring_Config'!$A:$A,'Scoring_Config'!$D:$D,"Yes")="Yes",_xlfn.XLOOKUP("DstZone_IsAny",'Scoring_Config'!$A:$A,'Scoring_Config'!$C:$C,5),0),"False,0")</f>
        <v>0</v>
      </c>
      <c r="AK389" s="4" cm="1">
        <f t="array" ref="AK38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89" s="5" cm="1">
        <f t="array" ref="AL389">IF(TRUE,"True," &amp; IF(_xlfn.XLOOKUP("App_Any_OR_RangeGt1000",'Scoring_Config'!$A:$A,'Scoring_Config'!$D:$D,"Yes")="Yes",_xlfn.XLOOKUP("App_Any_OR_RangeGt1000",'Scoring_Config'!$A:$A,'Scoring_Config'!$C:$C,25),0),"False,0")</f>
        <v>0</v>
      </c>
      <c r="AM389" s="5" cm="1">
        <f t="array" ref="AM389">IF(TRUE,"True," &amp; IF(_xlfn.XLOOKUP("Service_Insecure_Match",'Scoring_Config'!$A:$A,'Scoring_Config'!$D:$D,"Yes")="Yes",_xlfn.XLOOKUP("Service_Insecure_Match",'Scoring_Config'!$A:$A,'Scoring_Config'!$C:$C,20),0),"False,0")</f>
        <v>0</v>
      </c>
      <c r="AN389" s="4" cm="1">
        <f t="array" ref="AN389">IF(FALSE,"True," &amp; IF(_xlfn.XLOOKUP("Risky_Inbound",'Scoring_Config'!$A:$A,'Scoring_Config'!$D:$D,"Yes")="Yes",_xlfn.XLOOKUP("Risky_Inbound",'Scoring_Config'!$A:$A,'Scoring_Config'!$C:$C,20),0),"False,0")</f>
        <v>0</v>
      </c>
      <c r="AO389" s="4" cm="1">
        <f t="array" ref="AO389">IF(FALSE,"True," &amp; IF(_xlfn.XLOOKUP("Risky_Outbound",'Scoring_Config'!$A:$A,'Scoring_Config'!$D:$D,"Yes")="Yes",_xlfn.XLOOKUP("Risky_Outbound",'Scoring_Config'!$A:$A,'Scoring_Config'!$C:$C,10),0),"False,0")</f>
        <v>0</v>
      </c>
      <c r="AP389" s="5" t="s">
        <v>2595</v>
      </c>
      <c r="AQ389" s="5" cm="1">
        <f t="array" ref="AQ38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89" s="5" t="s">
        <v>2598</v>
      </c>
      <c r="AS389" s="4" t="s">
        <v>2592</v>
      </c>
      <c r="AT389" s="5" t="s">
        <v>2595</v>
      </c>
      <c r="AU389" s="4" cm="1">
        <f t="array" ref="AU389">IF(FALSE,"True," &amp; IF(_xlfn.XLOOKUP("Action_IsDenyOrDrop",'Scoring_Config'!$A:$A,'Scoring_Config'!$D:$D,"Yes")="Yes",_xlfn.XLOOKUP("Action_IsDenyOrDrop",'Scoring_Config'!$A:$A,'Scoring_Config'!$C:$C,0),0),"False,0")</f>
        <v>0</v>
      </c>
      <c r="AV389" s="4"/>
      <c r="AW389" s="4" cm="1">
        <f t="array" ref="AW389">IF(FALSE,"True," &amp; IF(_xlfn.XLOOKUP("Migrate_Insecure",'Scoring_Config'!$A:$A,'Scoring_Config'!$D:$D,"Yes")="Yes",_xlfn.XLOOKUP("Migrate_Insecure",'Scoring_Config'!$A:$A,'Scoring_Config'!$C:$C,15),0),"False,0")</f>
        <v>0</v>
      </c>
      <c r="AX389" s="4"/>
      <c r="AY389" s="4" cm="1">
        <f t="array" ref="AY389">IF(FALSE,"True," &amp; IF(_xlfn.XLOOKUP("Migrate_Other_Ports",'Scoring_Config'!$A:$A,'Scoring_Config'!$D:$D,"Yes")="Yes",_xlfn.XLOOKUP("Migrate_Other_Ports",'Scoring_Config'!$A:$A,'Scoring_Config'!$C:$C,5),0),"False,0")</f>
        <v>0</v>
      </c>
      <c r="AZ389" s="4" cm="1">
        <f t="array" ref="AZ389">IF(LEFT(AU389,4)="True",0,(IF(LEFT(AC389,4)="True",IF(_xlfn.XLOOKUP("Src_IsAny",'Scoring_Config'!$A:$A,'Scoring_Config'!$D:$D,"Yes")="Yes",_xlfn.XLOOKUP("Src_IsAny",'Scoring_Config'!$A:$A,'Scoring_Config'!$C:$C,25),0),0)+IF(LEFT(AD389,4)="True",IF(_xlfn.XLOOKUP("Src_CIDR_Le_16",'Scoring_Config'!$A:$A,'Scoring_Config'!$D:$D,"Yes")="Yes",_xlfn.XLOOKUP("Src_CIDR_Le_16",'Scoring_Config'!$A:$A,'Scoring_Config'!$C:$C,25),0),0)+IF(LEFT(AE389,4)="True",IF(_xlfn.XLOOKUP("Src_CIDR_17_22",'Scoring_Config'!$A:$A,'Scoring_Config'!$D:$D,"Yes")="Yes",_xlfn.XLOOKUP("Src_CIDR_17_22",'Scoring_Config'!$A:$A,'Scoring_Config'!$C:$C,15),0),0)+IF(LEFT(AF389,4)="True",IF(_xlfn.XLOOKUP("Dst_IsAny",'Scoring_Config'!$A:$A,'Scoring_Config'!$D:$D,"Yes")="Yes",_xlfn.XLOOKUP("Dst_IsAny",'Scoring_Config'!$A:$A,'Scoring_Config'!$C:$C,25),0),0)+IF(LEFT(AG389,4)="True",IF(_xlfn.XLOOKUP("Dst_CIDR_Le_16",'Scoring_Config'!$A:$A,'Scoring_Config'!$D:$D,"Yes")="Yes",_xlfn.XLOOKUP("Dst_CIDR_Le_16",'Scoring_Config'!$A:$A,'Scoring_Config'!$C:$C,25),0),0)+IF(LEFT(AH389,4)="True",IF(_xlfn.XLOOKUP("Dst_CIDR_17_22",'Scoring_Config'!$A:$A,'Scoring_Config'!$D:$D,"Yes")="Yes",_xlfn.XLOOKUP("Dst_CIDR_17_22",'Scoring_Config'!$A:$A,'Scoring_Config'!$C:$C,15),0),0)+IF(LEFT(AI389,4)="True",IF(_xlfn.XLOOKUP("SrcZone_IsAny",'Scoring_Config'!$A:$A,'Scoring_Config'!$D:$D,"Yes")="Yes",_xlfn.XLOOKUP("SrcZone_IsAny",'Scoring_Config'!$A:$A,'Scoring_Config'!$C:$C,5),0),0)+IF(LEFT(AJ389,4)="True",IF(_xlfn.XLOOKUP("DstZone_IsAny",'Scoring_Config'!$A:$A,'Scoring_Config'!$D:$D,"Yes")="Yes",_xlfn.XLOOKUP("DstZone_IsAny",'Scoring_Config'!$A:$A,'Scoring_Config'!$C:$C,5),0),0)+IF(LEFT(AK389,4)="True",IF(_xlfn.XLOOKUP("Service_Any_OR_RangeGt1000",'Scoring_Config'!$A:$A,'Scoring_Config'!$D:$D,"Yes")="Yes",_xlfn.XLOOKUP("Service_Any_OR_RangeGt1000",'Scoring_Config'!$A:$A,'Scoring_Config'!$C:$C,25),0),0)+IF(LEFT(AL389,4)="True",IF(_xlfn.XLOOKUP("App_Any_OR_RangeGt1000",'Scoring_Config'!$A:$A,'Scoring_Config'!$D:$D,"Yes")="Yes",_xlfn.XLOOKUP("App_Any_OR_RangeGt1000",'Scoring_Config'!$A:$A,'Scoring_Config'!$C:$C,25),0),0)+IF(LEFT(AM389,4)="True",IF(_xlfn.XLOOKUP("Service_Insecure_Match",'Scoring_Config'!$A:$A,'Scoring_Config'!$D:$D,"Yes")="Yes",_xlfn.XLOOKUP("Service_Insecure_Match",'Scoring_Config'!$A:$A,'Scoring_Config'!$C:$C,20),0),0)+IF(LEFT(AN389,4)="True",IF(_xlfn.XLOOKUP("Risky_Inbound",'Scoring_Config'!$A:$A,'Scoring_Config'!$D:$D,"Yes")="Yes",_xlfn.XLOOKUP("Risky_Inbound",'Scoring_Config'!$A:$A,'Scoring_Config'!$C:$C,20),0),0)+IF(LEFT(AO389,4)="True",IF(_xlfn.XLOOKUP("Risky_Outbound",'Scoring_Config'!$A:$A,'Scoring_Config'!$D:$D,"Yes")="Yes",_xlfn.XLOOKUP("Risky_Outbound",'Scoring_Config'!$A:$A,'Scoring_Config'!$C:$C,10),0),0)+IF(LEFT(AW389,4)="True",IF(_xlfn.XLOOKUP("Migrate_Insecure",'Scoring_Config'!$A:$A,'Scoring_Config'!$D:$D,"Yes")="Yes",_xlfn.XLOOKUP("Migrate_Insecure",'Scoring_Config'!$A:$A,'Scoring_Config'!$C:$C,15),0),0)+IF(LEFT(AY389,4)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389,FIND(",",AP389)+1,100)),0)+IF(LEFT(AQ389,4)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389,FIND(",",AR389)+1,100)),0)+IF(_xlfn.XLOOKUP("Profile_Scoring",'Scoring_Config'!$A:$A,'Scoring_Config'!$D:$D,"Yes")="Yes",VALUE(MID(AS389,FIND(",",AS389)+1,100)),0)+IF(_xlfn.XLOOKUP("Options_Scoring",'Scoring_Config'!$A:$A,'Scoring_Config'!$D:$D,"Yes")="Yes",VALUE(MID(AT389,FIND(",",AT389)+1,100)),0)))</f>
        <v>0</v>
      </c>
    </row>
    <row r="390" spans="1:52">
      <c r="A390" s="3" t="s">
        <v>55</v>
      </c>
      <c r="B390" s="3" t="s">
        <v>296</v>
      </c>
      <c r="C390" s="3" t="s">
        <v>332</v>
      </c>
      <c r="D390" s="3"/>
      <c r="E390" s="3" t="s">
        <v>359</v>
      </c>
      <c r="F390" s="3" t="s">
        <v>361</v>
      </c>
      <c r="G390" s="3" t="s">
        <v>512</v>
      </c>
      <c r="H390" s="3" t="s">
        <v>608</v>
      </c>
      <c r="I390" s="3" t="s">
        <v>623</v>
      </c>
      <c r="J390" s="3" t="s">
        <v>363</v>
      </c>
      <c r="K390" s="3" t="s">
        <v>525</v>
      </c>
      <c r="L390" s="3" t="s">
        <v>617</v>
      </c>
      <c r="M390" s="3" t="s">
        <v>775</v>
      </c>
      <c r="N390" s="3" t="s">
        <v>796</v>
      </c>
      <c r="O390" s="4" t="s">
        <v>811</v>
      </c>
      <c r="P390" s="3" t="s">
        <v>872</v>
      </c>
      <c r="Q390" s="3" t="s">
        <v>904</v>
      </c>
      <c r="R390" s="3" t="s">
        <v>908</v>
      </c>
      <c r="S390" s="3" t="s">
        <v>907</v>
      </c>
      <c r="T390" s="3" t="s">
        <v>919</v>
      </c>
      <c r="U390" s="3" t="s">
        <v>1145</v>
      </c>
      <c r="V390" s="3" t="s">
        <v>789</v>
      </c>
      <c r="W390" s="3" t="s">
        <v>1580</v>
      </c>
      <c r="X390" s="3" t="s">
        <v>1994</v>
      </c>
      <c r="Y390" s="3" t="s">
        <v>2463</v>
      </c>
      <c r="Z390" s="3"/>
      <c r="AA390" s="3"/>
      <c r="AB390" s="3"/>
      <c r="AC390" s="5" cm="1">
        <f t="array" ref="AC390">IF(TRUE,"True," &amp; IF(_xlfn.XLOOKUP("Src_IsAny",'Scoring_Config'!$A:$A,'Scoring_Config'!$D:$D,"Yes")="Yes",_xlfn.XLOOKUP("Src_IsAny",'Scoring_Config'!$A:$A,'Scoring_Config'!$C:$C,25),0),"False,0")</f>
        <v>0</v>
      </c>
      <c r="AD390" s="5" cm="1">
        <f t="array" ref="AD390">IF(TRUE,"True," &amp; IF(_xlfn.XLOOKUP("Src_CIDR_Le_16",'Scoring_Config'!$A:$A,'Scoring_Config'!$D:$D,"Yes")="Yes",_xlfn.XLOOKUP("Src_CIDR_Le_16",'Scoring_Config'!$A:$A,'Scoring_Config'!$C:$C,25),0),"False,0")</f>
        <v>0</v>
      </c>
      <c r="AE390" s="4" cm="1">
        <f t="array" ref="AE390">IF(FALSE,"True," &amp; IF(_xlfn.XLOOKUP("Src_CIDR_17_22",'Scoring_Config'!$A:$A,'Scoring_Config'!$D:$D,"Yes")="Yes",_xlfn.XLOOKUP("Src_CIDR_17_22",'Scoring_Config'!$A:$A,'Scoring_Config'!$C:$C,15),0),"False,0")</f>
        <v>0</v>
      </c>
      <c r="AF390" s="4" cm="1">
        <f t="array" ref="AF390">IF(FALSE,"True," &amp; IF(_xlfn.XLOOKUP("Dst_IsAny",'Scoring_Config'!$A:$A,'Scoring_Config'!$D:$D,"Yes")="Yes",_xlfn.XLOOKUP("Dst_IsAny",'Scoring_Config'!$A:$A,'Scoring_Config'!$C:$C,25),0),"False,0")</f>
        <v>0</v>
      </c>
      <c r="AG390" s="5" cm="1">
        <f t="array" ref="AG390">IF(TRUE,"True," &amp; IF(_xlfn.XLOOKUP("Dst_CIDR_Le_16",'Scoring_Config'!$A:$A,'Scoring_Config'!$D:$D,"Yes")="Yes",_xlfn.XLOOKUP("Dst_CIDR_Le_16",'Scoring_Config'!$A:$A,'Scoring_Config'!$C:$C,25),0),"False,0")</f>
        <v>0</v>
      </c>
      <c r="AH390" s="4" cm="1">
        <f t="array" ref="AH390">IF(FALSE,"True," &amp; IF(_xlfn.XLOOKUP("Dst_CIDR_17_22",'Scoring_Config'!$A:$A,'Scoring_Config'!$D:$D,"Yes")="Yes",_xlfn.XLOOKUP("Dst_CIDR_17_22",'Scoring_Config'!$A:$A,'Scoring_Config'!$C:$C,15),0),"False,0")</f>
        <v>0</v>
      </c>
      <c r="AI390" s="4" cm="1">
        <f t="array" ref="AI390">IF(FALSE,"True," &amp; IF(_xlfn.XLOOKUP("SrcZone_IsAny",'Scoring_Config'!$A:$A,'Scoring_Config'!$D:$D,"Yes")="Yes",_xlfn.XLOOKUP("SrcZone_IsAny",'Scoring_Config'!$A:$A,'Scoring_Config'!$C:$C,5),0),"False,0")</f>
        <v>0</v>
      </c>
      <c r="AJ390" s="4" cm="1">
        <f t="array" ref="AJ390">IF(FALSE,"True," &amp; IF(_xlfn.XLOOKUP("DstZone_IsAny",'Scoring_Config'!$A:$A,'Scoring_Config'!$D:$D,"Yes")="Yes",_xlfn.XLOOKUP("DstZone_IsAny",'Scoring_Config'!$A:$A,'Scoring_Config'!$C:$C,5),0),"False,0")</f>
        <v>0</v>
      </c>
      <c r="AK390" s="4" cm="1">
        <f t="array" ref="AK39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0" s="4" cm="1">
        <f t="array" ref="AL390">IF(FALSE,"True," &amp; IF(_xlfn.XLOOKUP("App_Any_OR_RangeGt1000",'Scoring_Config'!$A:$A,'Scoring_Config'!$D:$D,"Yes")="Yes",_xlfn.XLOOKUP("App_Any_OR_RangeGt1000",'Scoring_Config'!$A:$A,'Scoring_Config'!$C:$C,25),0),"False,0")</f>
        <v>0</v>
      </c>
      <c r="AM390" s="5" cm="1">
        <f t="array" ref="AM390">IF(TRUE,"True," &amp; IF(_xlfn.XLOOKUP("Service_Insecure_Match",'Scoring_Config'!$A:$A,'Scoring_Config'!$D:$D,"Yes")="Yes",_xlfn.XLOOKUP("Service_Insecure_Match",'Scoring_Config'!$A:$A,'Scoring_Config'!$C:$C,20),0),"False,0")</f>
        <v>0</v>
      </c>
      <c r="AN390" s="5" cm="1">
        <f t="array" ref="AN390">IF(TRUE,"True," &amp; IF(_xlfn.XLOOKUP("Risky_Inbound",'Scoring_Config'!$A:$A,'Scoring_Config'!$D:$D,"Yes")="Yes",_xlfn.XLOOKUP("Risky_Inbound",'Scoring_Config'!$A:$A,'Scoring_Config'!$C:$C,20),0),"False,0")</f>
        <v>0</v>
      </c>
      <c r="AO390" s="4" cm="1">
        <f t="array" ref="AO390">IF(FALSE,"True," &amp; IF(_xlfn.XLOOKUP("Risky_Outbound",'Scoring_Config'!$A:$A,'Scoring_Config'!$D:$D,"Yes")="Yes",_xlfn.XLOOKUP("Risky_Outbound",'Scoring_Config'!$A:$A,'Scoring_Config'!$C:$C,10),0),"False,0")</f>
        <v>0</v>
      </c>
      <c r="AP390" s="5" t="s">
        <v>2595</v>
      </c>
      <c r="AQ390" s="5" cm="1">
        <f t="array" ref="AQ39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0" s="5" t="s">
        <v>2598</v>
      </c>
      <c r="AS390" s="4" t="s">
        <v>2592</v>
      </c>
      <c r="AT390" s="5" t="s">
        <v>2595</v>
      </c>
      <c r="AU390" s="5" cm="1">
        <f t="array" ref="AU390">IF(TRUE,"True," &amp; IF(_xlfn.XLOOKUP("Action_IsDenyOrDrop",'Scoring_Config'!$A:$A,'Scoring_Config'!$D:$D,"Yes")="Yes",_xlfn.XLOOKUP("Action_IsDenyOrDrop",'Scoring_Config'!$A:$A,'Scoring_Config'!$C:$C,0),0),"False,0")</f>
        <v>0</v>
      </c>
      <c r="AV390" s="4"/>
      <c r="AW390" s="4" cm="1">
        <f t="array" ref="AW390">IF(FALSE,"True," &amp; IF(_xlfn.XLOOKUP("Migrate_Insecure",'Scoring_Config'!$A:$A,'Scoring_Config'!$D:$D,"Yes")="Yes",_xlfn.XLOOKUP("Migrate_Insecure",'Scoring_Config'!$A:$A,'Scoring_Config'!$C:$C,15),0),"False,0")</f>
        <v>0</v>
      </c>
      <c r="AX390" s="4"/>
      <c r="AY390" s="4" cm="1">
        <f t="array" ref="AY390">IF(FALSE,"True," &amp; IF(_xlfn.XLOOKUP("Migrate_Other_Ports",'Scoring_Config'!$A:$A,'Scoring_Config'!$D:$D,"Yes")="Yes",_xlfn.XLOOKUP("Migrate_Other_Ports",'Scoring_Config'!$A:$A,'Scoring_Config'!$C:$C,5),0),"False,0")</f>
        <v>0</v>
      </c>
      <c r="AZ390" s="4" cm="1">
        <f t="array" ref="AZ390">IF(LEFT(AU390,4)="True",0,(IF(LEFT(AC390,4)="True",IF(_xlfn.XLOOKUP("Src_IsAny",'Scoring_Config'!$A:$A,'Scoring_Config'!$D:$D,"Yes")="Yes",_xlfn.XLOOKUP("Src_IsAny",'Scoring_Config'!$A:$A,'Scoring_Config'!$C:$C,25),0),0)+IF(LEFT(AD390,4)="True",IF(_xlfn.XLOOKUP("Src_CIDR_Le_16",'Scoring_Config'!$A:$A,'Scoring_Config'!$D:$D,"Yes")="Yes",_xlfn.XLOOKUP("Src_CIDR_Le_16",'Scoring_Config'!$A:$A,'Scoring_Config'!$C:$C,25),0),0)+IF(LEFT(AE390,4)="True",IF(_xlfn.XLOOKUP("Src_CIDR_17_22",'Scoring_Config'!$A:$A,'Scoring_Config'!$D:$D,"Yes")="Yes",_xlfn.XLOOKUP("Src_CIDR_17_22",'Scoring_Config'!$A:$A,'Scoring_Config'!$C:$C,15),0),0)+IF(LEFT(AF390,4)="True",IF(_xlfn.XLOOKUP("Dst_IsAny",'Scoring_Config'!$A:$A,'Scoring_Config'!$D:$D,"Yes")="Yes",_xlfn.XLOOKUP("Dst_IsAny",'Scoring_Config'!$A:$A,'Scoring_Config'!$C:$C,25),0),0)+IF(LEFT(AG390,4)="True",IF(_xlfn.XLOOKUP("Dst_CIDR_Le_16",'Scoring_Config'!$A:$A,'Scoring_Config'!$D:$D,"Yes")="Yes",_xlfn.XLOOKUP("Dst_CIDR_Le_16",'Scoring_Config'!$A:$A,'Scoring_Config'!$C:$C,25),0),0)+IF(LEFT(AH390,4)="True",IF(_xlfn.XLOOKUP("Dst_CIDR_17_22",'Scoring_Config'!$A:$A,'Scoring_Config'!$D:$D,"Yes")="Yes",_xlfn.XLOOKUP("Dst_CIDR_17_22",'Scoring_Config'!$A:$A,'Scoring_Config'!$C:$C,15),0),0)+IF(LEFT(AI390,4)="True",IF(_xlfn.XLOOKUP("SrcZone_IsAny",'Scoring_Config'!$A:$A,'Scoring_Config'!$D:$D,"Yes")="Yes",_xlfn.XLOOKUP("SrcZone_IsAny",'Scoring_Config'!$A:$A,'Scoring_Config'!$C:$C,5),0),0)+IF(LEFT(AJ390,4)="True",IF(_xlfn.XLOOKUP("DstZone_IsAny",'Scoring_Config'!$A:$A,'Scoring_Config'!$D:$D,"Yes")="Yes",_xlfn.XLOOKUP("DstZone_IsAny",'Scoring_Config'!$A:$A,'Scoring_Config'!$C:$C,5),0),0)+IF(LEFT(AK390,4)="True",IF(_xlfn.XLOOKUP("Service_Any_OR_RangeGt1000",'Scoring_Config'!$A:$A,'Scoring_Config'!$D:$D,"Yes")="Yes",_xlfn.XLOOKUP("Service_Any_OR_RangeGt1000",'Scoring_Config'!$A:$A,'Scoring_Config'!$C:$C,25),0),0)+IF(LEFT(AL390,4)="True",IF(_xlfn.XLOOKUP("App_Any_OR_RangeGt1000",'Scoring_Config'!$A:$A,'Scoring_Config'!$D:$D,"Yes")="Yes",_xlfn.XLOOKUP("App_Any_OR_RangeGt1000",'Scoring_Config'!$A:$A,'Scoring_Config'!$C:$C,25),0),0)+IF(LEFT(AM390,4)="True",IF(_xlfn.XLOOKUP("Service_Insecure_Match",'Scoring_Config'!$A:$A,'Scoring_Config'!$D:$D,"Yes")="Yes",_xlfn.XLOOKUP("Service_Insecure_Match",'Scoring_Config'!$A:$A,'Scoring_Config'!$C:$C,20),0),0)+IF(LEFT(AN390,4)="True",IF(_xlfn.XLOOKUP("Risky_Inbound",'Scoring_Config'!$A:$A,'Scoring_Config'!$D:$D,"Yes")="Yes",_xlfn.XLOOKUP("Risky_Inbound",'Scoring_Config'!$A:$A,'Scoring_Config'!$C:$C,20),0),0)+IF(LEFT(AO390,4)="True",IF(_xlfn.XLOOKUP("Risky_Outbound",'Scoring_Config'!$A:$A,'Scoring_Config'!$D:$D,"Yes")="Yes",_xlfn.XLOOKUP("Risky_Outbound",'Scoring_Config'!$A:$A,'Scoring_Config'!$C:$C,10),0),0)+IF(LEFT(AW390,4)="True",IF(_xlfn.XLOOKUP("Migrate_Insecure",'Scoring_Config'!$A:$A,'Scoring_Config'!$D:$D,"Yes")="Yes",_xlfn.XLOOKUP("Migrate_Insecure",'Scoring_Config'!$A:$A,'Scoring_Config'!$C:$C,15),0),0)+IF(LEFT(AY390,4)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390,FIND(",",AP390)+1,100)),0)+IF(LEFT(AQ390,4)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390,FIND(",",AR390)+1,100)),0)+IF(_xlfn.XLOOKUP("Profile_Scoring",'Scoring_Config'!$A:$A,'Scoring_Config'!$D:$D,"Yes")="Yes",VALUE(MID(AS390,FIND(",",AS390)+1,100)),0)+IF(_xlfn.XLOOKUP("Options_Scoring",'Scoring_Config'!$A:$A,'Scoring_Config'!$D:$D,"Yes")="Yes",VALUE(MID(AT390,FIND(",",AT390)+1,100)),0)))</f>
        <v>0</v>
      </c>
    </row>
    <row r="391" spans="1:52">
      <c r="A391" s="3" t="s">
        <v>55</v>
      </c>
      <c r="B391" s="3" t="s">
        <v>297</v>
      </c>
      <c r="C391" s="3" t="s">
        <v>332</v>
      </c>
      <c r="D391" s="3"/>
      <c r="E391" s="3" t="s">
        <v>359</v>
      </c>
      <c r="F391" s="3" t="s">
        <v>362</v>
      </c>
      <c r="G391" s="3" t="s">
        <v>513</v>
      </c>
      <c r="H391" s="3" t="s">
        <v>513</v>
      </c>
      <c r="I391" s="3" t="s">
        <v>624</v>
      </c>
      <c r="J391" s="3" t="s">
        <v>362</v>
      </c>
      <c r="K391" s="3" t="s">
        <v>514</v>
      </c>
      <c r="L391" s="3" t="s">
        <v>514</v>
      </c>
      <c r="M391" s="3" t="s">
        <v>773</v>
      </c>
      <c r="N391" s="3" t="s">
        <v>773</v>
      </c>
      <c r="O391" s="4" t="s">
        <v>821</v>
      </c>
      <c r="P391" s="3" t="s">
        <v>882</v>
      </c>
      <c r="Q391" s="3" t="s">
        <v>904</v>
      </c>
      <c r="R391" s="3" t="s">
        <v>910</v>
      </c>
      <c r="S391" s="3" t="s">
        <v>916</v>
      </c>
      <c r="T391" s="3" t="s">
        <v>1041</v>
      </c>
      <c r="U391" s="3" t="s">
        <v>1342</v>
      </c>
      <c r="V391" s="3" t="s">
        <v>1389</v>
      </c>
      <c r="W391" s="3" t="s">
        <v>1581</v>
      </c>
      <c r="X391" s="3" t="s">
        <v>1995</v>
      </c>
      <c r="Y391" s="3" t="s">
        <v>2464</v>
      </c>
      <c r="Z391" s="3"/>
      <c r="AA391" s="3"/>
      <c r="AB391" s="3"/>
      <c r="AC391" s="4" cm="1">
        <f t="array" ref="AC391">IF(FALSE,"True," &amp; IF(_xlfn.XLOOKUP("Src_IsAny",'Scoring_Config'!$A:$A,'Scoring_Config'!$D:$D,"Yes")="Yes",_xlfn.XLOOKUP("Src_IsAny",'Scoring_Config'!$A:$A,'Scoring_Config'!$C:$C,25),0),"False,0")</f>
        <v>0</v>
      </c>
      <c r="AD391" s="5" cm="1">
        <f t="array" ref="AD391">IF(TRUE,"True," &amp; IF(_xlfn.XLOOKUP("Src_CIDR_Le_16",'Scoring_Config'!$A:$A,'Scoring_Config'!$D:$D,"Yes")="Yes",_xlfn.XLOOKUP("Src_CIDR_Le_16",'Scoring_Config'!$A:$A,'Scoring_Config'!$C:$C,25),0),"False,0")</f>
        <v>0</v>
      </c>
      <c r="AE391" s="4" cm="1">
        <f t="array" ref="AE391">IF(FALSE,"True," &amp; IF(_xlfn.XLOOKUP("Src_CIDR_17_22",'Scoring_Config'!$A:$A,'Scoring_Config'!$D:$D,"Yes")="Yes",_xlfn.XLOOKUP("Src_CIDR_17_22",'Scoring_Config'!$A:$A,'Scoring_Config'!$C:$C,15),0),"False,0")</f>
        <v>0</v>
      </c>
      <c r="AF391" s="4" cm="1">
        <f t="array" ref="AF391">IF(FALSE,"True," &amp; IF(_xlfn.XLOOKUP("Dst_IsAny",'Scoring_Config'!$A:$A,'Scoring_Config'!$D:$D,"Yes")="Yes",_xlfn.XLOOKUP("Dst_IsAny",'Scoring_Config'!$A:$A,'Scoring_Config'!$C:$C,25),0),"False,0")</f>
        <v>0</v>
      </c>
      <c r="AG391" s="4" cm="1">
        <f t="array" ref="AG391">IF(FALSE,"True," &amp; IF(_xlfn.XLOOKUP("Dst_CIDR_Le_16",'Scoring_Config'!$A:$A,'Scoring_Config'!$D:$D,"Yes")="Yes",_xlfn.XLOOKUP("Dst_CIDR_Le_16",'Scoring_Config'!$A:$A,'Scoring_Config'!$C:$C,25),0),"False,0")</f>
        <v>0</v>
      </c>
      <c r="AH391" s="4" cm="1">
        <f t="array" ref="AH391">IF(FALSE,"True," &amp; IF(_xlfn.XLOOKUP("Dst_CIDR_17_22",'Scoring_Config'!$A:$A,'Scoring_Config'!$D:$D,"Yes")="Yes",_xlfn.XLOOKUP("Dst_CIDR_17_22",'Scoring_Config'!$A:$A,'Scoring_Config'!$C:$C,15),0),"False,0")</f>
        <v>0</v>
      </c>
      <c r="AI391" s="4" cm="1">
        <f t="array" ref="AI391">IF(FALSE,"True," &amp; IF(_xlfn.XLOOKUP("SrcZone_IsAny",'Scoring_Config'!$A:$A,'Scoring_Config'!$D:$D,"Yes")="Yes",_xlfn.XLOOKUP("SrcZone_IsAny",'Scoring_Config'!$A:$A,'Scoring_Config'!$C:$C,5),0),"False,0")</f>
        <v>0</v>
      </c>
      <c r="AJ391" s="4" cm="1">
        <f t="array" ref="AJ391">IF(FALSE,"True," &amp; IF(_xlfn.XLOOKUP("DstZone_IsAny",'Scoring_Config'!$A:$A,'Scoring_Config'!$D:$D,"Yes")="Yes",_xlfn.XLOOKUP("DstZone_IsAny",'Scoring_Config'!$A:$A,'Scoring_Config'!$C:$C,5),0),"False,0")</f>
        <v>0</v>
      </c>
      <c r="AK391" s="4" cm="1">
        <f t="array" ref="AK39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1" s="4" cm="1">
        <f t="array" ref="AL391">IF(FALSE,"True," &amp; IF(_xlfn.XLOOKUP("App_Any_OR_RangeGt1000",'Scoring_Config'!$A:$A,'Scoring_Config'!$D:$D,"Yes")="Yes",_xlfn.XLOOKUP("App_Any_OR_RangeGt1000",'Scoring_Config'!$A:$A,'Scoring_Config'!$C:$C,25),0),"False,0")</f>
        <v>0</v>
      </c>
      <c r="AM391" s="5" cm="1">
        <f t="array" ref="AM391">IF(TRUE,"True," &amp; IF(_xlfn.XLOOKUP("Service_Insecure_Match",'Scoring_Config'!$A:$A,'Scoring_Config'!$D:$D,"Yes")="Yes",_xlfn.XLOOKUP("Service_Insecure_Match",'Scoring_Config'!$A:$A,'Scoring_Config'!$C:$C,20),0),"False,0")</f>
        <v>0</v>
      </c>
      <c r="AN391" s="4" cm="1">
        <f t="array" ref="AN391">IF(FALSE,"True," &amp; IF(_xlfn.XLOOKUP("Risky_Inbound",'Scoring_Config'!$A:$A,'Scoring_Config'!$D:$D,"Yes")="Yes",_xlfn.XLOOKUP("Risky_Inbound",'Scoring_Config'!$A:$A,'Scoring_Config'!$C:$C,20),0),"False,0")</f>
        <v>0</v>
      </c>
      <c r="AO391" s="4" cm="1">
        <f t="array" ref="AO391">IF(FALSE,"True," &amp; IF(_xlfn.XLOOKUP("Risky_Outbound",'Scoring_Config'!$A:$A,'Scoring_Config'!$D:$D,"Yes")="Yes",_xlfn.XLOOKUP("Risky_Outbound",'Scoring_Config'!$A:$A,'Scoring_Config'!$C:$C,10),0),"False,0")</f>
        <v>0</v>
      </c>
      <c r="AP391" s="5" t="s">
        <v>2595</v>
      </c>
      <c r="AQ391" s="4" cm="1">
        <f t="array" ref="AQ39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1" s="5" t="s">
        <v>2598</v>
      </c>
      <c r="AS391" s="4" t="s">
        <v>2592</v>
      </c>
      <c r="AT391" s="4" t="s">
        <v>2592</v>
      </c>
      <c r="AU391" s="5" cm="1">
        <f t="array" ref="AU391">IF(TRUE,"True," &amp; IF(_xlfn.XLOOKUP("Action_IsDenyOrDrop",'Scoring_Config'!$A:$A,'Scoring_Config'!$D:$D,"Yes")="Yes",_xlfn.XLOOKUP("Action_IsDenyOrDrop",'Scoring_Config'!$A:$A,'Scoring_Config'!$C:$C,0),0),"False,0")</f>
        <v>0</v>
      </c>
      <c r="AV391" s="4"/>
      <c r="AW391" s="4" cm="1">
        <f t="array" ref="AW391">IF(FALSE,"True," &amp; IF(_xlfn.XLOOKUP("Migrate_Insecure",'Scoring_Config'!$A:$A,'Scoring_Config'!$D:$D,"Yes")="Yes",_xlfn.XLOOKUP("Migrate_Insecure",'Scoring_Config'!$A:$A,'Scoring_Config'!$C:$C,15),0),"False,0")</f>
        <v>0</v>
      </c>
      <c r="AX391" s="4"/>
      <c r="AY391" s="4" cm="1">
        <f t="array" ref="AY391">IF(FALSE,"True," &amp; IF(_xlfn.XLOOKUP("Migrate_Other_Ports",'Scoring_Config'!$A:$A,'Scoring_Config'!$D:$D,"Yes")="Yes",_xlfn.XLOOKUP("Migrate_Other_Ports",'Scoring_Config'!$A:$A,'Scoring_Config'!$C:$C,5),0),"False,0")</f>
        <v>0</v>
      </c>
      <c r="AZ391" s="4" cm="1">
        <f t="array" ref="AZ391">IF(LEFT(AU391,4)="True",0,(IF(LEFT(AC391,4)="True",IF(_xlfn.XLOOKUP("Src_IsAny",'Scoring_Config'!$A:$A,'Scoring_Config'!$D:$D,"Yes")="Yes",_xlfn.XLOOKUP("Src_IsAny",'Scoring_Config'!$A:$A,'Scoring_Config'!$C:$C,25),0),0)+IF(LEFT(AD391,4)="True",IF(_xlfn.XLOOKUP("Src_CIDR_Le_16",'Scoring_Config'!$A:$A,'Scoring_Config'!$D:$D,"Yes")="Yes",_xlfn.XLOOKUP("Src_CIDR_Le_16",'Scoring_Config'!$A:$A,'Scoring_Config'!$C:$C,25),0),0)+IF(LEFT(AE391,4)="True",IF(_xlfn.XLOOKUP("Src_CIDR_17_22",'Scoring_Config'!$A:$A,'Scoring_Config'!$D:$D,"Yes")="Yes",_xlfn.XLOOKUP("Src_CIDR_17_22",'Scoring_Config'!$A:$A,'Scoring_Config'!$C:$C,15),0),0)+IF(LEFT(AF391,4)="True",IF(_xlfn.XLOOKUP("Dst_IsAny",'Scoring_Config'!$A:$A,'Scoring_Config'!$D:$D,"Yes")="Yes",_xlfn.XLOOKUP("Dst_IsAny",'Scoring_Config'!$A:$A,'Scoring_Config'!$C:$C,25),0),0)+IF(LEFT(AG391,4)="True",IF(_xlfn.XLOOKUP("Dst_CIDR_Le_16",'Scoring_Config'!$A:$A,'Scoring_Config'!$D:$D,"Yes")="Yes",_xlfn.XLOOKUP("Dst_CIDR_Le_16",'Scoring_Config'!$A:$A,'Scoring_Config'!$C:$C,25),0),0)+IF(LEFT(AH391,4)="True",IF(_xlfn.XLOOKUP("Dst_CIDR_17_22",'Scoring_Config'!$A:$A,'Scoring_Config'!$D:$D,"Yes")="Yes",_xlfn.XLOOKUP("Dst_CIDR_17_22",'Scoring_Config'!$A:$A,'Scoring_Config'!$C:$C,15),0),0)+IF(LEFT(AI391,4)="True",IF(_xlfn.XLOOKUP("SrcZone_IsAny",'Scoring_Config'!$A:$A,'Scoring_Config'!$D:$D,"Yes")="Yes",_xlfn.XLOOKUP("SrcZone_IsAny",'Scoring_Config'!$A:$A,'Scoring_Config'!$C:$C,5),0),0)+IF(LEFT(AJ391,4)="True",IF(_xlfn.XLOOKUP("DstZone_IsAny",'Scoring_Config'!$A:$A,'Scoring_Config'!$D:$D,"Yes")="Yes",_xlfn.XLOOKUP("DstZone_IsAny",'Scoring_Config'!$A:$A,'Scoring_Config'!$C:$C,5),0),0)+IF(LEFT(AK391,4)="True",IF(_xlfn.XLOOKUP("Service_Any_OR_RangeGt1000",'Scoring_Config'!$A:$A,'Scoring_Config'!$D:$D,"Yes")="Yes",_xlfn.XLOOKUP("Service_Any_OR_RangeGt1000",'Scoring_Config'!$A:$A,'Scoring_Config'!$C:$C,25),0),0)+IF(LEFT(AL391,4)="True",IF(_xlfn.XLOOKUP("App_Any_OR_RangeGt1000",'Scoring_Config'!$A:$A,'Scoring_Config'!$D:$D,"Yes")="Yes",_xlfn.XLOOKUP("App_Any_OR_RangeGt1000",'Scoring_Config'!$A:$A,'Scoring_Config'!$C:$C,25),0),0)+IF(LEFT(AM391,4)="True",IF(_xlfn.XLOOKUP("Service_Insecure_Match",'Scoring_Config'!$A:$A,'Scoring_Config'!$D:$D,"Yes")="Yes",_xlfn.XLOOKUP("Service_Insecure_Match",'Scoring_Config'!$A:$A,'Scoring_Config'!$C:$C,20),0),0)+IF(LEFT(AN391,4)="True",IF(_xlfn.XLOOKUP("Risky_Inbound",'Scoring_Config'!$A:$A,'Scoring_Config'!$D:$D,"Yes")="Yes",_xlfn.XLOOKUP("Risky_Inbound",'Scoring_Config'!$A:$A,'Scoring_Config'!$C:$C,20),0),0)+IF(LEFT(AO391,4)="True",IF(_xlfn.XLOOKUP("Risky_Outbound",'Scoring_Config'!$A:$A,'Scoring_Config'!$D:$D,"Yes")="Yes",_xlfn.XLOOKUP("Risky_Outbound",'Scoring_Config'!$A:$A,'Scoring_Config'!$C:$C,10),0),0)+IF(LEFT(AW391,4)="True",IF(_xlfn.XLOOKUP("Migrate_Insecure",'Scoring_Config'!$A:$A,'Scoring_Config'!$D:$D,"Yes")="Yes",_xlfn.XLOOKUP("Migrate_Insecure",'Scoring_Config'!$A:$A,'Scoring_Config'!$C:$C,15),0),0)+IF(LEFT(AY391,4)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391,FIND(",",AP391)+1,100)),0)+IF(LEFT(AQ391,4)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391,FIND(",",AR391)+1,100)),0)+IF(_xlfn.XLOOKUP("Profile_Scoring",'Scoring_Config'!$A:$A,'Scoring_Config'!$D:$D,"Yes")="Yes",VALUE(MID(AS391,FIND(",",AS391)+1,100)),0)+IF(_xlfn.XLOOKUP("Options_Scoring",'Scoring_Config'!$A:$A,'Scoring_Config'!$D:$D,"Yes")="Yes",VALUE(MID(AT391,FIND(",",AT391)+1,100)),0)))</f>
        <v>0</v>
      </c>
    </row>
    <row r="392" spans="1:52">
      <c r="A392" s="3" t="s">
        <v>55</v>
      </c>
      <c r="B392" s="3" t="s">
        <v>229</v>
      </c>
      <c r="C392" s="3" t="s">
        <v>332</v>
      </c>
      <c r="D392" s="3"/>
      <c r="E392" s="3" t="s">
        <v>359</v>
      </c>
      <c r="F392" s="3" t="s">
        <v>361</v>
      </c>
      <c r="G392" s="3" t="s">
        <v>499</v>
      </c>
      <c r="H392" s="3" t="s">
        <v>602</v>
      </c>
      <c r="I392" s="3" t="s">
        <v>622</v>
      </c>
      <c r="J392" s="3" t="s">
        <v>364</v>
      </c>
      <c r="K392" s="3" t="s">
        <v>531</v>
      </c>
      <c r="L392" s="3" t="s">
        <v>618</v>
      </c>
      <c r="M392" s="3" t="s">
        <v>771</v>
      </c>
      <c r="N392" s="3" t="s">
        <v>793</v>
      </c>
      <c r="O392" s="4" t="s">
        <v>829</v>
      </c>
      <c r="P392" s="3" t="s">
        <v>890</v>
      </c>
      <c r="Q392" s="3" t="s">
        <v>905</v>
      </c>
      <c r="R392" s="3" t="s">
        <v>909</v>
      </c>
      <c r="S392" s="3" t="s">
        <v>907</v>
      </c>
      <c r="T392" s="3" t="s">
        <v>1096</v>
      </c>
      <c r="U392" s="3" t="s">
        <v>1343</v>
      </c>
      <c r="V392" s="3" t="s">
        <v>770</v>
      </c>
      <c r="W392" s="3" t="s">
        <v>1582</v>
      </c>
      <c r="X392" s="3" t="s">
        <v>1996</v>
      </c>
      <c r="Y392" s="3" t="s">
        <v>2465</v>
      </c>
      <c r="Z392" s="3"/>
      <c r="AA392" s="3"/>
      <c r="AB392" s="3"/>
      <c r="AC392" s="5" cm="1">
        <f t="array" ref="AC392">IF(TRUE,"True," &amp; IF(_xlfn.XLOOKUP("Src_IsAny",'Scoring_Config'!$A:$A,'Scoring_Config'!$D:$D,"Yes")="Yes",_xlfn.XLOOKUP("Src_IsAny",'Scoring_Config'!$A:$A,'Scoring_Config'!$C:$C,25),0),"False,0")</f>
        <v>0</v>
      </c>
      <c r="AD392" s="5" cm="1">
        <f t="array" ref="AD392">IF(TRUE,"True," &amp; IF(_xlfn.XLOOKUP("Src_CIDR_Le_16",'Scoring_Config'!$A:$A,'Scoring_Config'!$D:$D,"Yes")="Yes",_xlfn.XLOOKUP("Src_CIDR_Le_16",'Scoring_Config'!$A:$A,'Scoring_Config'!$C:$C,25),0),"False,0")</f>
        <v>0</v>
      </c>
      <c r="AE392" s="4" cm="1">
        <f t="array" ref="AE392">IF(FALSE,"True," &amp; IF(_xlfn.XLOOKUP("Src_CIDR_17_22",'Scoring_Config'!$A:$A,'Scoring_Config'!$D:$D,"Yes")="Yes",_xlfn.XLOOKUP("Src_CIDR_17_22",'Scoring_Config'!$A:$A,'Scoring_Config'!$C:$C,15),0),"False,0")</f>
        <v>0</v>
      </c>
      <c r="AF392" s="4" cm="1">
        <f t="array" ref="AF392">IF(FALSE,"True," &amp; IF(_xlfn.XLOOKUP("Dst_IsAny",'Scoring_Config'!$A:$A,'Scoring_Config'!$D:$D,"Yes")="Yes",_xlfn.XLOOKUP("Dst_IsAny",'Scoring_Config'!$A:$A,'Scoring_Config'!$C:$C,25),0),"False,0")</f>
        <v>0</v>
      </c>
      <c r="AG392" s="5" cm="1">
        <f t="array" ref="AG392">IF(TRUE,"True," &amp; IF(_xlfn.XLOOKUP("Dst_CIDR_Le_16",'Scoring_Config'!$A:$A,'Scoring_Config'!$D:$D,"Yes")="Yes",_xlfn.XLOOKUP("Dst_CIDR_Le_16",'Scoring_Config'!$A:$A,'Scoring_Config'!$C:$C,25),0),"False,0")</f>
        <v>0</v>
      </c>
      <c r="AH392" s="4" cm="1">
        <f t="array" ref="AH392">IF(FALSE,"True," &amp; IF(_xlfn.XLOOKUP("Dst_CIDR_17_22",'Scoring_Config'!$A:$A,'Scoring_Config'!$D:$D,"Yes")="Yes",_xlfn.XLOOKUP("Dst_CIDR_17_22",'Scoring_Config'!$A:$A,'Scoring_Config'!$C:$C,15),0),"False,0")</f>
        <v>0</v>
      </c>
      <c r="AI392" s="4" cm="1">
        <f t="array" ref="AI392">IF(FALSE,"True," &amp; IF(_xlfn.XLOOKUP("SrcZone_IsAny",'Scoring_Config'!$A:$A,'Scoring_Config'!$D:$D,"Yes")="Yes",_xlfn.XLOOKUP("SrcZone_IsAny",'Scoring_Config'!$A:$A,'Scoring_Config'!$C:$C,5),0),"False,0")</f>
        <v>0</v>
      </c>
      <c r="AJ392" s="4" cm="1">
        <f t="array" ref="AJ392">IF(FALSE,"True," &amp; IF(_xlfn.XLOOKUP("DstZone_IsAny",'Scoring_Config'!$A:$A,'Scoring_Config'!$D:$D,"Yes")="Yes",_xlfn.XLOOKUP("DstZone_IsAny",'Scoring_Config'!$A:$A,'Scoring_Config'!$C:$C,5),0),"False,0")</f>
        <v>0</v>
      </c>
      <c r="AK392" s="4" cm="1">
        <f t="array" ref="AK39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2" s="4" cm="1">
        <f t="array" ref="AL392">IF(FALSE,"True," &amp; IF(_xlfn.XLOOKUP("App_Any_OR_RangeGt1000",'Scoring_Config'!$A:$A,'Scoring_Config'!$D:$D,"Yes")="Yes",_xlfn.XLOOKUP("App_Any_OR_RangeGt1000",'Scoring_Config'!$A:$A,'Scoring_Config'!$C:$C,25),0),"False,0")</f>
        <v>0</v>
      </c>
      <c r="AM392" s="5" cm="1">
        <f t="array" ref="AM392">IF(TRUE,"True," &amp; IF(_xlfn.XLOOKUP("Service_Insecure_Match",'Scoring_Config'!$A:$A,'Scoring_Config'!$D:$D,"Yes")="Yes",_xlfn.XLOOKUP("Service_Insecure_Match",'Scoring_Config'!$A:$A,'Scoring_Config'!$C:$C,20),0),"False,0")</f>
        <v>0</v>
      </c>
      <c r="AN392" s="5" cm="1">
        <f t="array" ref="AN392">IF(TRUE,"True," &amp; IF(_xlfn.XLOOKUP("Risky_Inbound",'Scoring_Config'!$A:$A,'Scoring_Config'!$D:$D,"Yes")="Yes",_xlfn.XLOOKUP("Risky_Inbound",'Scoring_Config'!$A:$A,'Scoring_Config'!$C:$C,20),0),"False,0")</f>
        <v>0</v>
      </c>
      <c r="AO392" s="4" cm="1">
        <f t="array" ref="AO392">IF(FALSE,"True," &amp; IF(_xlfn.XLOOKUP("Risky_Outbound",'Scoring_Config'!$A:$A,'Scoring_Config'!$D:$D,"Yes")="Yes",_xlfn.XLOOKUP("Risky_Outbound",'Scoring_Config'!$A:$A,'Scoring_Config'!$C:$C,10),0),"False,0")</f>
        <v>0</v>
      </c>
      <c r="AP392" s="5" t="s">
        <v>2595</v>
      </c>
      <c r="AQ392" s="4" cm="1">
        <f t="array" ref="AQ39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2" s="5" t="s">
        <v>2598</v>
      </c>
      <c r="AS392" s="4" t="s">
        <v>2592</v>
      </c>
      <c r="AT392" s="5" t="s">
        <v>2595</v>
      </c>
      <c r="AU392" s="4" cm="1">
        <f t="array" ref="AU392">IF(FALSE,"True," &amp; IF(_xlfn.XLOOKUP("Action_IsDenyOrDrop",'Scoring_Config'!$A:$A,'Scoring_Config'!$D:$D,"Yes")="Yes",_xlfn.XLOOKUP("Action_IsDenyOrDrop",'Scoring_Config'!$A:$A,'Scoring_Config'!$C:$C,0),0),"False,0")</f>
        <v>0</v>
      </c>
      <c r="AV392" s="4"/>
      <c r="AW392" s="4" cm="1">
        <f t="array" ref="AW392">IF(FALSE,"True," &amp; IF(_xlfn.XLOOKUP("Migrate_Insecure",'Scoring_Config'!$A:$A,'Scoring_Config'!$D:$D,"Yes")="Yes",_xlfn.XLOOKUP("Migrate_Insecure",'Scoring_Config'!$A:$A,'Scoring_Config'!$C:$C,15),0),"False,0")</f>
        <v>0</v>
      </c>
      <c r="AX392" s="4"/>
      <c r="AY392" s="4" cm="1">
        <f t="array" ref="AY392">IF(FALSE,"True," &amp; IF(_xlfn.XLOOKUP("Migrate_Other_Ports",'Scoring_Config'!$A:$A,'Scoring_Config'!$D:$D,"Yes")="Yes",_xlfn.XLOOKUP("Migrate_Other_Ports",'Scoring_Config'!$A:$A,'Scoring_Config'!$C:$C,5),0),"False,0")</f>
        <v>0</v>
      </c>
      <c r="AZ392" s="4" cm="1">
        <f t="array" ref="AZ392">IF(LEFT(AU392,4)="True",0,(IF(LEFT(AC392,4)="True",IF(_xlfn.XLOOKUP("Src_IsAny",'Scoring_Config'!$A:$A,'Scoring_Config'!$D:$D,"Yes")="Yes",_xlfn.XLOOKUP("Src_IsAny",'Scoring_Config'!$A:$A,'Scoring_Config'!$C:$C,25),0),0)+IF(LEFT(AD392,4)="True",IF(_xlfn.XLOOKUP("Src_CIDR_Le_16",'Scoring_Config'!$A:$A,'Scoring_Config'!$D:$D,"Yes")="Yes",_xlfn.XLOOKUP("Src_CIDR_Le_16",'Scoring_Config'!$A:$A,'Scoring_Config'!$C:$C,25),0),0)+IF(LEFT(AE392,4)="True",IF(_xlfn.XLOOKUP("Src_CIDR_17_22",'Scoring_Config'!$A:$A,'Scoring_Config'!$D:$D,"Yes")="Yes",_xlfn.XLOOKUP("Src_CIDR_17_22",'Scoring_Config'!$A:$A,'Scoring_Config'!$C:$C,15),0),0)+IF(LEFT(AF392,4)="True",IF(_xlfn.XLOOKUP("Dst_IsAny",'Scoring_Config'!$A:$A,'Scoring_Config'!$D:$D,"Yes")="Yes",_xlfn.XLOOKUP("Dst_IsAny",'Scoring_Config'!$A:$A,'Scoring_Config'!$C:$C,25),0),0)+IF(LEFT(AG392,4)="True",IF(_xlfn.XLOOKUP("Dst_CIDR_Le_16",'Scoring_Config'!$A:$A,'Scoring_Config'!$D:$D,"Yes")="Yes",_xlfn.XLOOKUP("Dst_CIDR_Le_16",'Scoring_Config'!$A:$A,'Scoring_Config'!$C:$C,25),0),0)+IF(LEFT(AH392,4)="True",IF(_xlfn.XLOOKUP("Dst_CIDR_17_22",'Scoring_Config'!$A:$A,'Scoring_Config'!$D:$D,"Yes")="Yes",_xlfn.XLOOKUP("Dst_CIDR_17_22",'Scoring_Config'!$A:$A,'Scoring_Config'!$C:$C,15),0),0)+IF(LEFT(AI392,4)="True",IF(_xlfn.XLOOKUP("SrcZone_IsAny",'Scoring_Config'!$A:$A,'Scoring_Config'!$D:$D,"Yes")="Yes",_xlfn.XLOOKUP("SrcZone_IsAny",'Scoring_Config'!$A:$A,'Scoring_Config'!$C:$C,5),0),0)+IF(LEFT(AJ392,4)="True",IF(_xlfn.XLOOKUP("DstZone_IsAny",'Scoring_Config'!$A:$A,'Scoring_Config'!$D:$D,"Yes")="Yes",_xlfn.XLOOKUP("DstZone_IsAny",'Scoring_Config'!$A:$A,'Scoring_Config'!$C:$C,5),0),0)+IF(LEFT(AK392,4)="True",IF(_xlfn.XLOOKUP("Service_Any_OR_RangeGt1000",'Scoring_Config'!$A:$A,'Scoring_Config'!$D:$D,"Yes")="Yes",_xlfn.XLOOKUP("Service_Any_OR_RangeGt1000",'Scoring_Config'!$A:$A,'Scoring_Config'!$C:$C,25),0),0)+IF(LEFT(AL392,4)="True",IF(_xlfn.XLOOKUP("App_Any_OR_RangeGt1000",'Scoring_Config'!$A:$A,'Scoring_Config'!$D:$D,"Yes")="Yes",_xlfn.XLOOKUP("App_Any_OR_RangeGt1000",'Scoring_Config'!$A:$A,'Scoring_Config'!$C:$C,25),0),0)+IF(LEFT(AM392,4)="True",IF(_xlfn.XLOOKUP("Service_Insecure_Match",'Scoring_Config'!$A:$A,'Scoring_Config'!$D:$D,"Yes")="Yes",_xlfn.XLOOKUP("Service_Insecure_Match",'Scoring_Config'!$A:$A,'Scoring_Config'!$C:$C,20),0),0)+IF(LEFT(AN392,4)="True",IF(_xlfn.XLOOKUP("Risky_Inbound",'Scoring_Config'!$A:$A,'Scoring_Config'!$D:$D,"Yes")="Yes",_xlfn.XLOOKUP("Risky_Inbound",'Scoring_Config'!$A:$A,'Scoring_Config'!$C:$C,20),0),0)+IF(LEFT(AO392,4)="True",IF(_xlfn.XLOOKUP("Risky_Outbound",'Scoring_Config'!$A:$A,'Scoring_Config'!$D:$D,"Yes")="Yes",_xlfn.XLOOKUP("Risky_Outbound",'Scoring_Config'!$A:$A,'Scoring_Config'!$C:$C,10),0),0)+IF(LEFT(AW392,4)="True",IF(_xlfn.XLOOKUP("Migrate_Insecure",'Scoring_Config'!$A:$A,'Scoring_Config'!$D:$D,"Yes")="Yes",_xlfn.XLOOKUP("Migrate_Insecure",'Scoring_Config'!$A:$A,'Scoring_Config'!$C:$C,15),0),0)+IF(LEFT(AY392,4)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392,FIND(",",AP392)+1,100)),0)+IF(LEFT(AQ392,4)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392,FIND(",",AR392)+1,100)),0)+IF(_xlfn.XLOOKUP("Profile_Scoring",'Scoring_Config'!$A:$A,'Scoring_Config'!$D:$D,"Yes")="Yes",VALUE(MID(AS392,FIND(",",AS392)+1,100)),0)+IF(_xlfn.XLOOKUP("Options_Scoring",'Scoring_Config'!$A:$A,'Scoring_Config'!$D:$D,"Yes")="Yes",VALUE(MID(AT392,FIND(",",AT392)+1,100)),0)))</f>
        <v>0</v>
      </c>
    </row>
    <row r="393" spans="1:52">
      <c r="A393" s="3" t="s">
        <v>55</v>
      </c>
      <c r="B393" s="3" t="s">
        <v>63</v>
      </c>
      <c r="C393" s="3" t="s">
        <v>332</v>
      </c>
      <c r="D393" s="3"/>
      <c r="E393" s="3" t="s">
        <v>359</v>
      </c>
      <c r="F393" s="3" t="s">
        <v>360</v>
      </c>
      <c r="G393" s="3" t="s">
        <v>514</v>
      </c>
      <c r="H393" s="3" t="s">
        <v>514</v>
      </c>
      <c r="I393" s="3" t="s">
        <v>365</v>
      </c>
      <c r="J393" s="3" t="s">
        <v>363</v>
      </c>
      <c r="K393" s="3" t="s">
        <v>511</v>
      </c>
      <c r="L393" s="3" t="s">
        <v>607</v>
      </c>
      <c r="M393" s="3" t="s">
        <v>769</v>
      </c>
      <c r="N393" s="3" t="s">
        <v>792</v>
      </c>
      <c r="O393" s="4" t="s">
        <v>818</v>
      </c>
      <c r="P393" s="3" t="s">
        <v>879</v>
      </c>
      <c r="Q393" s="3" t="s">
        <v>905</v>
      </c>
      <c r="R393" s="3" t="s">
        <v>910</v>
      </c>
      <c r="S393" s="3" t="s">
        <v>912</v>
      </c>
      <c r="T393" s="3" t="s">
        <v>1097</v>
      </c>
      <c r="U393" s="3" t="s">
        <v>1344</v>
      </c>
      <c r="V393" s="3" t="s">
        <v>1388</v>
      </c>
      <c r="W393" s="3" t="s">
        <v>1008</v>
      </c>
      <c r="X393" s="3" t="s">
        <v>1997</v>
      </c>
      <c r="Y393" s="3" t="s">
        <v>2466</v>
      </c>
      <c r="Z393" s="3"/>
      <c r="AA393" s="3"/>
      <c r="AB393" s="3"/>
      <c r="AC393" s="4" cm="1">
        <f t="array" ref="AC393">IF(FALSE,"True," &amp; IF(_xlfn.XLOOKUP("Src_IsAny",'Scoring_Config'!$A:$A,'Scoring_Config'!$D:$D,"Yes")="Yes",_xlfn.XLOOKUP("Src_IsAny",'Scoring_Config'!$A:$A,'Scoring_Config'!$C:$C,25),0),"False,0")</f>
        <v>0</v>
      </c>
      <c r="AD393" s="4" cm="1">
        <f t="array" ref="AD393">IF(FALSE,"True," &amp; IF(_xlfn.XLOOKUP("Src_CIDR_Le_16",'Scoring_Config'!$A:$A,'Scoring_Config'!$D:$D,"Yes")="Yes",_xlfn.XLOOKUP("Src_CIDR_Le_16",'Scoring_Config'!$A:$A,'Scoring_Config'!$C:$C,25),0),"False,0")</f>
        <v>0</v>
      </c>
      <c r="AE393" s="4" cm="1">
        <f t="array" ref="AE393">IF(FALSE,"True," &amp; IF(_xlfn.XLOOKUP("Src_CIDR_17_22",'Scoring_Config'!$A:$A,'Scoring_Config'!$D:$D,"Yes")="Yes",_xlfn.XLOOKUP("Src_CIDR_17_22",'Scoring_Config'!$A:$A,'Scoring_Config'!$C:$C,15),0),"False,0")</f>
        <v>0</v>
      </c>
      <c r="AF393" s="5" cm="1">
        <f t="array" ref="AF393">IF(TRUE,"True," &amp; IF(_xlfn.XLOOKUP("Dst_IsAny",'Scoring_Config'!$A:$A,'Scoring_Config'!$D:$D,"Yes")="Yes",_xlfn.XLOOKUP("Dst_IsAny",'Scoring_Config'!$A:$A,'Scoring_Config'!$C:$C,25),0),"False,0")</f>
        <v>0</v>
      </c>
      <c r="AG393" s="5" cm="1">
        <f t="array" ref="AG393">IF(TRUE,"True," &amp; IF(_xlfn.XLOOKUP("Dst_CIDR_Le_16",'Scoring_Config'!$A:$A,'Scoring_Config'!$D:$D,"Yes")="Yes",_xlfn.XLOOKUP("Dst_CIDR_Le_16",'Scoring_Config'!$A:$A,'Scoring_Config'!$C:$C,25),0),"False,0")</f>
        <v>0</v>
      </c>
      <c r="AH393" s="4" cm="1">
        <f t="array" ref="AH393">IF(FALSE,"True," &amp; IF(_xlfn.XLOOKUP("Dst_CIDR_17_22",'Scoring_Config'!$A:$A,'Scoring_Config'!$D:$D,"Yes")="Yes",_xlfn.XLOOKUP("Dst_CIDR_17_22",'Scoring_Config'!$A:$A,'Scoring_Config'!$C:$C,15),0),"False,0")</f>
        <v>0</v>
      </c>
      <c r="AI393" s="4" cm="1">
        <f t="array" ref="AI393">IF(FALSE,"True," &amp; IF(_xlfn.XLOOKUP("SrcZone_IsAny",'Scoring_Config'!$A:$A,'Scoring_Config'!$D:$D,"Yes")="Yes",_xlfn.XLOOKUP("SrcZone_IsAny",'Scoring_Config'!$A:$A,'Scoring_Config'!$C:$C,5),0),"False,0")</f>
        <v>0</v>
      </c>
      <c r="AJ393" s="4" cm="1">
        <f t="array" ref="AJ393">IF(FALSE,"True," &amp; IF(_xlfn.XLOOKUP("DstZone_IsAny",'Scoring_Config'!$A:$A,'Scoring_Config'!$D:$D,"Yes")="Yes",_xlfn.XLOOKUP("DstZone_IsAny",'Scoring_Config'!$A:$A,'Scoring_Config'!$C:$C,5),0),"False,0")</f>
        <v>0</v>
      </c>
      <c r="AK393" s="5" cm="1">
        <f t="array" ref="AK39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93" s="4" cm="1">
        <f t="array" ref="AL393">IF(FALSE,"True," &amp; IF(_xlfn.XLOOKUP("App_Any_OR_RangeGt1000",'Scoring_Config'!$A:$A,'Scoring_Config'!$D:$D,"Yes")="Yes",_xlfn.XLOOKUP("App_Any_OR_RangeGt1000",'Scoring_Config'!$A:$A,'Scoring_Config'!$C:$C,25),0),"False,0")</f>
        <v>0</v>
      </c>
      <c r="AM393" s="5" cm="1">
        <f t="array" ref="AM393">IF(TRUE,"True," &amp; IF(_xlfn.XLOOKUP("Service_Insecure_Match",'Scoring_Config'!$A:$A,'Scoring_Config'!$D:$D,"Yes")="Yes",_xlfn.XLOOKUP("Service_Insecure_Match",'Scoring_Config'!$A:$A,'Scoring_Config'!$C:$C,20),0),"False,0")</f>
        <v>0</v>
      </c>
      <c r="AN393" s="4" cm="1">
        <f t="array" ref="AN393">IF(FALSE,"True," &amp; IF(_xlfn.XLOOKUP("Risky_Inbound",'Scoring_Config'!$A:$A,'Scoring_Config'!$D:$D,"Yes")="Yes",_xlfn.XLOOKUP("Risky_Inbound",'Scoring_Config'!$A:$A,'Scoring_Config'!$C:$C,20),0),"False,0")</f>
        <v>0</v>
      </c>
      <c r="AO393" s="4" cm="1">
        <f t="array" ref="AO393">IF(FALSE,"True," &amp; IF(_xlfn.XLOOKUP("Risky_Outbound",'Scoring_Config'!$A:$A,'Scoring_Config'!$D:$D,"Yes")="Yes",_xlfn.XLOOKUP("Risky_Outbound",'Scoring_Config'!$A:$A,'Scoring_Config'!$C:$C,10),0),"False,0")</f>
        <v>0</v>
      </c>
      <c r="AP393" s="5" t="s">
        <v>2595</v>
      </c>
      <c r="AQ393" s="4" cm="1">
        <f t="array" ref="AQ39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3" s="4" t="s">
        <v>2592</v>
      </c>
      <c r="AS393" s="4" t="s">
        <v>2592</v>
      </c>
      <c r="AT393" s="4" t="s">
        <v>2592</v>
      </c>
      <c r="AU393" s="4" cm="1">
        <f t="array" ref="AU393">IF(FALSE,"True," &amp; IF(_xlfn.XLOOKUP("Action_IsDenyOrDrop",'Scoring_Config'!$A:$A,'Scoring_Config'!$D:$D,"Yes")="Yes",_xlfn.XLOOKUP("Action_IsDenyOrDrop",'Scoring_Config'!$A:$A,'Scoring_Config'!$C:$C,0),0),"False,0")</f>
        <v>0</v>
      </c>
      <c r="AV393" s="4"/>
      <c r="AW393" s="4" cm="1">
        <f t="array" ref="AW393">IF(FALSE,"True," &amp; IF(_xlfn.XLOOKUP("Migrate_Insecure",'Scoring_Config'!$A:$A,'Scoring_Config'!$D:$D,"Yes")="Yes",_xlfn.XLOOKUP("Migrate_Insecure",'Scoring_Config'!$A:$A,'Scoring_Config'!$C:$C,15),0),"False,0")</f>
        <v>0</v>
      </c>
      <c r="AX393" s="4" t="s">
        <v>1542</v>
      </c>
      <c r="AY393" s="5" cm="1">
        <f t="array" ref="AY393">IF(TRUE,"True," &amp; IF(_xlfn.XLOOKUP("Migrate_Other_Ports",'Scoring_Config'!$A:$A,'Scoring_Config'!$D:$D,"Yes")="Yes",_xlfn.XLOOKUP("Migrate_Other_Ports",'Scoring_Config'!$A:$A,'Scoring_Config'!$C:$C,5),0),"False,0")</f>
        <v>0</v>
      </c>
      <c r="AZ393" s="4" cm="1">
        <f t="array" ref="AZ393">IF(LEFT(AU393,4)="True",0,(IF(LEFT(AC393,4)="True",IF(_xlfn.XLOOKUP("Src_IsAny",'Scoring_Config'!$A:$A,'Scoring_Config'!$D:$D,"Yes")="Yes",_xlfn.XLOOKUP("Src_IsAny",'Scoring_Config'!$A:$A,'Scoring_Config'!$C:$C,25),0),0)+IF(LEFT(AD393,4)="True",IF(_xlfn.XLOOKUP("Src_CIDR_Le_16",'Scoring_Config'!$A:$A,'Scoring_Config'!$D:$D,"Yes")="Yes",_xlfn.XLOOKUP("Src_CIDR_Le_16",'Scoring_Config'!$A:$A,'Scoring_Config'!$C:$C,25),0),0)+IF(LEFT(AE393,4)="True",IF(_xlfn.XLOOKUP("Src_CIDR_17_22",'Scoring_Config'!$A:$A,'Scoring_Config'!$D:$D,"Yes")="Yes",_xlfn.XLOOKUP("Src_CIDR_17_22",'Scoring_Config'!$A:$A,'Scoring_Config'!$C:$C,15),0),0)+IF(LEFT(AF393,4)="True",IF(_xlfn.XLOOKUP("Dst_IsAny",'Scoring_Config'!$A:$A,'Scoring_Config'!$D:$D,"Yes")="Yes",_xlfn.XLOOKUP("Dst_IsAny",'Scoring_Config'!$A:$A,'Scoring_Config'!$C:$C,25),0),0)+IF(LEFT(AG393,4)="True",IF(_xlfn.XLOOKUP("Dst_CIDR_Le_16",'Scoring_Config'!$A:$A,'Scoring_Config'!$D:$D,"Yes")="Yes",_xlfn.XLOOKUP("Dst_CIDR_Le_16",'Scoring_Config'!$A:$A,'Scoring_Config'!$C:$C,25),0),0)+IF(LEFT(AH393,4)="True",IF(_xlfn.XLOOKUP("Dst_CIDR_17_22",'Scoring_Config'!$A:$A,'Scoring_Config'!$D:$D,"Yes")="Yes",_xlfn.XLOOKUP("Dst_CIDR_17_22",'Scoring_Config'!$A:$A,'Scoring_Config'!$C:$C,15),0),0)+IF(LEFT(AI393,4)="True",IF(_xlfn.XLOOKUP("SrcZone_IsAny",'Scoring_Config'!$A:$A,'Scoring_Config'!$D:$D,"Yes")="Yes",_xlfn.XLOOKUP("SrcZone_IsAny",'Scoring_Config'!$A:$A,'Scoring_Config'!$C:$C,5),0),0)+IF(LEFT(AJ393,4)="True",IF(_xlfn.XLOOKUP("DstZone_IsAny",'Scoring_Config'!$A:$A,'Scoring_Config'!$D:$D,"Yes")="Yes",_xlfn.XLOOKUP("DstZone_IsAny",'Scoring_Config'!$A:$A,'Scoring_Config'!$C:$C,5),0),0)+IF(LEFT(AK393,4)="True",IF(_xlfn.XLOOKUP("Service_Any_OR_RangeGt1000",'Scoring_Config'!$A:$A,'Scoring_Config'!$D:$D,"Yes")="Yes",_xlfn.XLOOKUP("Service_Any_OR_RangeGt1000",'Scoring_Config'!$A:$A,'Scoring_Config'!$C:$C,25),0),0)+IF(LEFT(AL393,4)="True",IF(_xlfn.XLOOKUP("App_Any_OR_RangeGt1000",'Scoring_Config'!$A:$A,'Scoring_Config'!$D:$D,"Yes")="Yes",_xlfn.XLOOKUP("App_Any_OR_RangeGt1000",'Scoring_Config'!$A:$A,'Scoring_Config'!$C:$C,25),0),0)+IF(LEFT(AM393,4)="True",IF(_xlfn.XLOOKUP("Service_Insecure_Match",'Scoring_Config'!$A:$A,'Scoring_Config'!$D:$D,"Yes")="Yes",_xlfn.XLOOKUP("Service_Insecure_Match",'Scoring_Config'!$A:$A,'Scoring_Config'!$C:$C,20),0),0)+IF(LEFT(AN393,4)="True",IF(_xlfn.XLOOKUP("Risky_Inbound",'Scoring_Config'!$A:$A,'Scoring_Config'!$D:$D,"Yes")="Yes",_xlfn.XLOOKUP("Risky_Inbound",'Scoring_Config'!$A:$A,'Scoring_Config'!$C:$C,20),0),0)+IF(LEFT(AO393,4)="True",IF(_xlfn.XLOOKUP("Risky_Outbound",'Scoring_Config'!$A:$A,'Scoring_Config'!$D:$D,"Yes")="Yes",_xlfn.XLOOKUP("Risky_Outbound",'Scoring_Config'!$A:$A,'Scoring_Config'!$C:$C,10),0),0)+IF(LEFT(AW393,4)="True",IF(_xlfn.XLOOKUP("Migrate_Insecure",'Scoring_Config'!$A:$A,'Scoring_Config'!$D:$D,"Yes")="Yes",_xlfn.XLOOKUP("Migrate_Insecure",'Scoring_Config'!$A:$A,'Scoring_Config'!$C:$C,15),0),0)+IF(LEFT(AY393,4)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393,FIND(",",AP393)+1,100)),0)+IF(LEFT(AQ393,4)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393,FIND(",",AR393)+1,100)),0)+IF(_xlfn.XLOOKUP("Profile_Scoring",'Scoring_Config'!$A:$A,'Scoring_Config'!$D:$D,"Yes")="Yes",VALUE(MID(AS393,FIND(",",AS393)+1,100)),0)+IF(_xlfn.XLOOKUP("Options_Scoring",'Scoring_Config'!$A:$A,'Scoring_Config'!$D:$D,"Yes")="Yes",VALUE(MID(AT393,FIND(",",AT393)+1,100)),0)))</f>
        <v>0</v>
      </c>
    </row>
    <row r="394" spans="1:52">
      <c r="A394" s="3" t="s">
        <v>55</v>
      </c>
      <c r="B394" s="3" t="s">
        <v>77</v>
      </c>
      <c r="C394" s="3" t="s">
        <v>332</v>
      </c>
      <c r="D394" s="3"/>
      <c r="E394" s="3" t="s">
        <v>359</v>
      </c>
      <c r="F394" s="3" t="s">
        <v>360</v>
      </c>
      <c r="G394" s="3" t="s">
        <v>515</v>
      </c>
      <c r="H394" s="3" t="s">
        <v>515</v>
      </c>
      <c r="I394" s="3" t="s">
        <v>365</v>
      </c>
      <c r="J394" s="3" t="s">
        <v>363</v>
      </c>
      <c r="K394" s="3" t="s">
        <v>515</v>
      </c>
      <c r="L394" s="3" t="s">
        <v>515</v>
      </c>
      <c r="M394" s="3" t="s">
        <v>772</v>
      </c>
      <c r="N394" s="3" t="s">
        <v>794</v>
      </c>
      <c r="O394" s="4" t="s">
        <v>817</v>
      </c>
      <c r="P394" s="3" t="s">
        <v>878</v>
      </c>
      <c r="Q394" s="3" t="s">
        <v>905</v>
      </c>
      <c r="R394" s="3" t="s">
        <v>911</v>
      </c>
      <c r="S394" s="3" t="s">
        <v>907</v>
      </c>
      <c r="T394" s="3" t="s">
        <v>1098</v>
      </c>
      <c r="U394" s="3" t="s">
        <v>1345</v>
      </c>
      <c r="V394" s="3" t="s">
        <v>772</v>
      </c>
      <c r="W394" s="3" t="s">
        <v>1119</v>
      </c>
      <c r="X394" s="3" t="s">
        <v>1998</v>
      </c>
      <c r="Y394" s="3" t="s">
        <v>2467</v>
      </c>
      <c r="Z394" s="3"/>
      <c r="AA394" s="3"/>
      <c r="AB394" s="3"/>
      <c r="AC394" s="4" cm="1">
        <f t="array" ref="AC394">IF(FALSE,"True," &amp; IF(_xlfn.XLOOKUP("Src_IsAny",'Scoring_Config'!$A:$A,'Scoring_Config'!$D:$D,"Yes")="Yes",_xlfn.XLOOKUP("Src_IsAny",'Scoring_Config'!$A:$A,'Scoring_Config'!$C:$C,25),0),"False,0")</f>
        <v>0</v>
      </c>
      <c r="AD394" s="4" cm="1">
        <f t="array" ref="AD394">IF(FALSE,"True," &amp; IF(_xlfn.XLOOKUP("Src_CIDR_Le_16",'Scoring_Config'!$A:$A,'Scoring_Config'!$D:$D,"Yes")="Yes",_xlfn.XLOOKUP("Src_CIDR_Le_16",'Scoring_Config'!$A:$A,'Scoring_Config'!$C:$C,25),0),"False,0")</f>
        <v>0</v>
      </c>
      <c r="AE394" s="4" cm="1">
        <f t="array" ref="AE394">IF(FALSE,"True," &amp; IF(_xlfn.XLOOKUP("Src_CIDR_17_22",'Scoring_Config'!$A:$A,'Scoring_Config'!$D:$D,"Yes")="Yes",_xlfn.XLOOKUP("Src_CIDR_17_22",'Scoring_Config'!$A:$A,'Scoring_Config'!$C:$C,15),0),"False,0")</f>
        <v>0</v>
      </c>
      <c r="AF394" s="4" cm="1">
        <f t="array" ref="AF394">IF(FALSE,"True," &amp; IF(_xlfn.XLOOKUP("Dst_IsAny",'Scoring_Config'!$A:$A,'Scoring_Config'!$D:$D,"Yes")="Yes",_xlfn.XLOOKUP("Dst_IsAny",'Scoring_Config'!$A:$A,'Scoring_Config'!$C:$C,25),0),"False,0")</f>
        <v>0</v>
      </c>
      <c r="AG394" s="4" cm="1">
        <f t="array" ref="AG394">IF(FALSE,"True," &amp; IF(_xlfn.XLOOKUP("Dst_CIDR_Le_16",'Scoring_Config'!$A:$A,'Scoring_Config'!$D:$D,"Yes")="Yes",_xlfn.XLOOKUP("Dst_CIDR_Le_16",'Scoring_Config'!$A:$A,'Scoring_Config'!$C:$C,25),0),"False,0")</f>
        <v>0</v>
      </c>
      <c r="AH394" s="4" cm="1">
        <f t="array" ref="AH394">IF(FALSE,"True," &amp; IF(_xlfn.XLOOKUP("Dst_CIDR_17_22",'Scoring_Config'!$A:$A,'Scoring_Config'!$D:$D,"Yes")="Yes",_xlfn.XLOOKUP("Dst_CIDR_17_22",'Scoring_Config'!$A:$A,'Scoring_Config'!$C:$C,15),0),"False,0")</f>
        <v>0</v>
      </c>
      <c r="AI394" s="4" cm="1">
        <f t="array" ref="AI394">IF(FALSE,"True," &amp; IF(_xlfn.XLOOKUP("SrcZone_IsAny",'Scoring_Config'!$A:$A,'Scoring_Config'!$D:$D,"Yes")="Yes",_xlfn.XLOOKUP("SrcZone_IsAny",'Scoring_Config'!$A:$A,'Scoring_Config'!$C:$C,5),0),"False,0")</f>
        <v>0</v>
      </c>
      <c r="AJ394" s="4" cm="1">
        <f t="array" ref="AJ394">IF(FALSE,"True," &amp; IF(_xlfn.XLOOKUP("DstZone_IsAny",'Scoring_Config'!$A:$A,'Scoring_Config'!$D:$D,"Yes")="Yes",_xlfn.XLOOKUP("DstZone_IsAny",'Scoring_Config'!$A:$A,'Scoring_Config'!$C:$C,5),0),"False,0")</f>
        <v>0</v>
      </c>
      <c r="AK394" s="4" cm="1">
        <f t="array" ref="AK39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4" s="4" cm="1">
        <f t="array" ref="AL394">IF(FALSE,"True," &amp; IF(_xlfn.XLOOKUP("App_Any_OR_RangeGt1000",'Scoring_Config'!$A:$A,'Scoring_Config'!$D:$D,"Yes")="Yes",_xlfn.XLOOKUP("App_Any_OR_RangeGt1000",'Scoring_Config'!$A:$A,'Scoring_Config'!$C:$C,25),0),"False,0")</f>
        <v>0</v>
      </c>
      <c r="AM394" s="5" cm="1">
        <f t="array" ref="AM394">IF(TRUE,"True," &amp; IF(_xlfn.XLOOKUP("Service_Insecure_Match",'Scoring_Config'!$A:$A,'Scoring_Config'!$D:$D,"Yes")="Yes",_xlfn.XLOOKUP("Service_Insecure_Match",'Scoring_Config'!$A:$A,'Scoring_Config'!$C:$C,20),0),"False,0")</f>
        <v>0</v>
      </c>
      <c r="AN394" s="4" cm="1">
        <f t="array" ref="AN394">IF(FALSE,"True," &amp; IF(_xlfn.XLOOKUP("Risky_Inbound",'Scoring_Config'!$A:$A,'Scoring_Config'!$D:$D,"Yes")="Yes",_xlfn.XLOOKUP("Risky_Inbound",'Scoring_Config'!$A:$A,'Scoring_Config'!$C:$C,20),0),"False,0")</f>
        <v>0</v>
      </c>
      <c r="AO394" s="4" cm="1">
        <f t="array" ref="AO394">IF(FALSE,"True," &amp; IF(_xlfn.XLOOKUP("Risky_Outbound",'Scoring_Config'!$A:$A,'Scoring_Config'!$D:$D,"Yes")="Yes",_xlfn.XLOOKUP("Risky_Outbound",'Scoring_Config'!$A:$A,'Scoring_Config'!$C:$C,10),0),"False,0")</f>
        <v>0</v>
      </c>
      <c r="AP394" s="5" t="s">
        <v>2595</v>
      </c>
      <c r="AQ394" s="4" cm="1">
        <f t="array" ref="AQ39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4" s="4" t="s">
        <v>2592</v>
      </c>
      <c r="AS394" s="4" t="s">
        <v>2592</v>
      </c>
      <c r="AT394" s="5" t="s">
        <v>2595</v>
      </c>
      <c r="AU394" s="4" cm="1">
        <f t="array" ref="AU394">IF(FALSE,"True," &amp; IF(_xlfn.XLOOKUP("Action_IsDenyOrDrop",'Scoring_Config'!$A:$A,'Scoring_Config'!$D:$D,"Yes")="Yes",_xlfn.XLOOKUP("Action_IsDenyOrDrop",'Scoring_Config'!$A:$A,'Scoring_Config'!$C:$C,0),0),"False,0")</f>
        <v>0</v>
      </c>
      <c r="AV394" s="4"/>
      <c r="AW394" s="4" cm="1">
        <f t="array" ref="AW394">IF(FALSE,"True," &amp; IF(_xlfn.XLOOKUP("Migrate_Insecure",'Scoring_Config'!$A:$A,'Scoring_Config'!$D:$D,"Yes")="Yes",_xlfn.XLOOKUP("Migrate_Insecure",'Scoring_Config'!$A:$A,'Scoring_Config'!$C:$C,15),0),"False,0")</f>
        <v>0</v>
      </c>
      <c r="AX394" s="4"/>
      <c r="AY394" s="4" cm="1">
        <f t="array" ref="AY394">IF(FALSE,"True," &amp; IF(_xlfn.XLOOKUP("Migrate_Other_Ports",'Scoring_Config'!$A:$A,'Scoring_Config'!$D:$D,"Yes")="Yes",_xlfn.XLOOKUP("Migrate_Other_Ports",'Scoring_Config'!$A:$A,'Scoring_Config'!$C:$C,5),0),"False,0")</f>
        <v>0</v>
      </c>
      <c r="AZ394" s="4" cm="1">
        <f t="array" ref="AZ394">IF(LEFT(AU394,4)="True",0,(IF(LEFT(AC394,4)="True",IF(_xlfn.XLOOKUP("Src_IsAny",'Scoring_Config'!$A:$A,'Scoring_Config'!$D:$D,"Yes")="Yes",_xlfn.XLOOKUP("Src_IsAny",'Scoring_Config'!$A:$A,'Scoring_Config'!$C:$C,25),0),0)+IF(LEFT(AD394,4)="True",IF(_xlfn.XLOOKUP("Src_CIDR_Le_16",'Scoring_Config'!$A:$A,'Scoring_Config'!$D:$D,"Yes")="Yes",_xlfn.XLOOKUP("Src_CIDR_Le_16",'Scoring_Config'!$A:$A,'Scoring_Config'!$C:$C,25),0),0)+IF(LEFT(AE394,4)="True",IF(_xlfn.XLOOKUP("Src_CIDR_17_22",'Scoring_Config'!$A:$A,'Scoring_Config'!$D:$D,"Yes")="Yes",_xlfn.XLOOKUP("Src_CIDR_17_22",'Scoring_Config'!$A:$A,'Scoring_Config'!$C:$C,15),0),0)+IF(LEFT(AF394,4)="True",IF(_xlfn.XLOOKUP("Dst_IsAny",'Scoring_Config'!$A:$A,'Scoring_Config'!$D:$D,"Yes")="Yes",_xlfn.XLOOKUP("Dst_IsAny",'Scoring_Config'!$A:$A,'Scoring_Config'!$C:$C,25),0),0)+IF(LEFT(AG394,4)="True",IF(_xlfn.XLOOKUP("Dst_CIDR_Le_16",'Scoring_Config'!$A:$A,'Scoring_Config'!$D:$D,"Yes")="Yes",_xlfn.XLOOKUP("Dst_CIDR_Le_16",'Scoring_Config'!$A:$A,'Scoring_Config'!$C:$C,25),0),0)+IF(LEFT(AH394,4)="True",IF(_xlfn.XLOOKUP("Dst_CIDR_17_22",'Scoring_Config'!$A:$A,'Scoring_Config'!$D:$D,"Yes")="Yes",_xlfn.XLOOKUP("Dst_CIDR_17_22",'Scoring_Config'!$A:$A,'Scoring_Config'!$C:$C,15),0),0)+IF(LEFT(AI394,4)="True",IF(_xlfn.XLOOKUP("SrcZone_IsAny",'Scoring_Config'!$A:$A,'Scoring_Config'!$D:$D,"Yes")="Yes",_xlfn.XLOOKUP("SrcZone_IsAny",'Scoring_Config'!$A:$A,'Scoring_Config'!$C:$C,5),0),0)+IF(LEFT(AJ394,4)="True",IF(_xlfn.XLOOKUP("DstZone_IsAny",'Scoring_Config'!$A:$A,'Scoring_Config'!$D:$D,"Yes")="Yes",_xlfn.XLOOKUP("DstZone_IsAny",'Scoring_Config'!$A:$A,'Scoring_Config'!$C:$C,5),0),0)+IF(LEFT(AK394,4)="True",IF(_xlfn.XLOOKUP("Service_Any_OR_RangeGt1000",'Scoring_Config'!$A:$A,'Scoring_Config'!$D:$D,"Yes")="Yes",_xlfn.XLOOKUP("Service_Any_OR_RangeGt1000",'Scoring_Config'!$A:$A,'Scoring_Config'!$C:$C,25),0),0)+IF(LEFT(AL394,4)="True",IF(_xlfn.XLOOKUP("App_Any_OR_RangeGt1000",'Scoring_Config'!$A:$A,'Scoring_Config'!$D:$D,"Yes")="Yes",_xlfn.XLOOKUP("App_Any_OR_RangeGt1000",'Scoring_Config'!$A:$A,'Scoring_Config'!$C:$C,25),0),0)+IF(LEFT(AM394,4)="True",IF(_xlfn.XLOOKUP("Service_Insecure_Match",'Scoring_Config'!$A:$A,'Scoring_Config'!$D:$D,"Yes")="Yes",_xlfn.XLOOKUP("Service_Insecure_Match",'Scoring_Config'!$A:$A,'Scoring_Config'!$C:$C,20),0),0)+IF(LEFT(AN394,4)="True",IF(_xlfn.XLOOKUP("Risky_Inbound",'Scoring_Config'!$A:$A,'Scoring_Config'!$D:$D,"Yes")="Yes",_xlfn.XLOOKUP("Risky_Inbound",'Scoring_Config'!$A:$A,'Scoring_Config'!$C:$C,20),0),0)+IF(LEFT(AO394,4)="True",IF(_xlfn.XLOOKUP("Risky_Outbound",'Scoring_Config'!$A:$A,'Scoring_Config'!$D:$D,"Yes")="Yes",_xlfn.XLOOKUP("Risky_Outbound",'Scoring_Config'!$A:$A,'Scoring_Config'!$C:$C,10),0),0)+IF(LEFT(AW394,4)="True",IF(_xlfn.XLOOKUP("Migrate_Insecure",'Scoring_Config'!$A:$A,'Scoring_Config'!$D:$D,"Yes")="Yes",_xlfn.XLOOKUP("Migrate_Insecure",'Scoring_Config'!$A:$A,'Scoring_Config'!$C:$C,15),0),0)+IF(LEFT(AY394,4)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394,FIND(",",AP394)+1,100)),0)+IF(LEFT(AQ394,4)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394,FIND(",",AR394)+1,100)),0)+IF(_xlfn.XLOOKUP("Profile_Scoring",'Scoring_Config'!$A:$A,'Scoring_Config'!$D:$D,"Yes")="Yes",VALUE(MID(AS394,FIND(",",AS394)+1,100)),0)+IF(_xlfn.XLOOKUP("Options_Scoring",'Scoring_Config'!$A:$A,'Scoring_Config'!$D:$D,"Yes")="Yes",VALUE(MID(AT394,FIND(",",AT394)+1,100)),0)))</f>
        <v>0</v>
      </c>
    </row>
    <row r="395" spans="1:52">
      <c r="A395" s="3" t="s">
        <v>55</v>
      </c>
      <c r="B395" s="3" t="s">
        <v>298</v>
      </c>
      <c r="C395" s="3" t="s">
        <v>332</v>
      </c>
      <c r="D395" s="3"/>
      <c r="E395" s="3" t="s">
        <v>359</v>
      </c>
      <c r="F395" s="3" t="s">
        <v>360</v>
      </c>
      <c r="G395" s="3" t="s">
        <v>516</v>
      </c>
      <c r="H395" s="3" t="s">
        <v>609</v>
      </c>
      <c r="I395" s="3" t="s">
        <v>365</v>
      </c>
      <c r="J395" s="3" t="s">
        <v>363</v>
      </c>
      <c r="K395" s="3" t="s">
        <v>497</v>
      </c>
      <c r="L395" s="3" t="s">
        <v>601</v>
      </c>
      <c r="M395" s="3" t="s">
        <v>773</v>
      </c>
      <c r="N395" s="3" t="s">
        <v>773</v>
      </c>
      <c r="O395" s="4" t="s">
        <v>814</v>
      </c>
      <c r="P395" s="3" t="s">
        <v>875</v>
      </c>
      <c r="Q395" s="3" t="s">
        <v>905</v>
      </c>
      <c r="R395" s="3" t="s">
        <v>908</v>
      </c>
      <c r="S395" s="3" t="s">
        <v>916</v>
      </c>
      <c r="T395" s="3" t="s">
        <v>1099</v>
      </c>
      <c r="U395" s="3" t="s">
        <v>1150</v>
      </c>
      <c r="V395" s="3" t="s">
        <v>772</v>
      </c>
      <c r="W395" s="3" t="s">
        <v>1583</v>
      </c>
      <c r="X395" s="3" t="s">
        <v>1999</v>
      </c>
      <c r="Y395" s="3" t="s">
        <v>2468</v>
      </c>
      <c r="Z395" s="3"/>
      <c r="AA395" s="3"/>
      <c r="AB395" s="3"/>
      <c r="AC395" s="4" cm="1">
        <f t="array" ref="AC395">IF(FALSE,"True," &amp; IF(_xlfn.XLOOKUP("Src_IsAny",'Scoring_Config'!$A:$A,'Scoring_Config'!$D:$D,"Yes")="Yes",_xlfn.XLOOKUP("Src_IsAny",'Scoring_Config'!$A:$A,'Scoring_Config'!$C:$C,25),0),"False,0")</f>
        <v>0</v>
      </c>
      <c r="AD395" s="5" cm="1">
        <f t="array" ref="AD395">IF(TRUE,"True," &amp; IF(_xlfn.XLOOKUP("Src_CIDR_Le_16",'Scoring_Config'!$A:$A,'Scoring_Config'!$D:$D,"Yes")="Yes",_xlfn.XLOOKUP("Src_CIDR_Le_16",'Scoring_Config'!$A:$A,'Scoring_Config'!$C:$C,25),0),"False,0")</f>
        <v>0</v>
      </c>
      <c r="AE395" s="4" cm="1">
        <f t="array" ref="AE395">IF(FALSE,"True," &amp; IF(_xlfn.XLOOKUP("Src_CIDR_17_22",'Scoring_Config'!$A:$A,'Scoring_Config'!$D:$D,"Yes")="Yes",_xlfn.XLOOKUP("Src_CIDR_17_22",'Scoring_Config'!$A:$A,'Scoring_Config'!$C:$C,15),0),"False,0")</f>
        <v>0</v>
      </c>
      <c r="AF395" s="5" cm="1">
        <f t="array" ref="AF395">IF(TRUE,"True," &amp; IF(_xlfn.XLOOKUP("Dst_IsAny",'Scoring_Config'!$A:$A,'Scoring_Config'!$D:$D,"Yes")="Yes",_xlfn.XLOOKUP("Dst_IsAny",'Scoring_Config'!$A:$A,'Scoring_Config'!$C:$C,25),0),"False,0")</f>
        <v>0</v>
      </c>
      <c r="AG395" s="5" cm="1">
        <f t="array" ref="AG395">IF(TRUE,"True," &amp; IF(_xlfn.XLOOKUP("Dst_CIDR_Le_16",'Scoring_Config'!$A:$A,'Scoring_Config'!$D:$D,"Yes")="Yes",_xlfn.XLOOKUP("Dst_CIDR_Le_16",'Scoring_Config'!$A:$A,'Scoring_Config'!$C:$C,25),0),"False,0")</f>
        <v>0</v>
      </c>
      <c r="AH395" s="4" cm="1">
        <f t="array" ref="AH395">IF(FALSE,"True," &amp; IF(_xlfn.XLOOKUP("Dst_CIDR_17_22",'Scoring_Config'!$A:$A,'Scoring_Config'!$D:$D,"Yes")="Yes",_xlfn.XLOOKUP("Dst_CIDR_17_22",'Scoring_Config'!$A:$A,'Scoring_Config'!$C:$C,15),0),"False,0")</f>
        <v>0</v>
      </c>
      <c r="AI395" s="4" cm="1">
        <f t="array" ref="AI395">IF(FALSE,"True," &amp; IF(_xlfn.XLOOKUP("SrcZone_IsAny",'Scoring_Config'!$A:$A,'Scoring_Config'!$D:$D,"Yes")="Yes",_xlfn.XLOOKUP("SrcZone_IsAny",'Scoring_Config'!$A:$A,'Scoring_Config'!$C:$C,5),0),"False,0")</f>
        <v>0</v>
      </c>
      <c r="AJ395" s="4" cm="1">
        <f t="array" ref="AJ395">IF(FALSE,"True," &amp; IF(_xlfn.XLOOKUP("DstZone_IsAny",'Scoring_Config'!$A:$A,'Scoring_Config'!$D:$D,"Yes")="Yes",_xlfn.XLOOKUP("DstZone_IsAny",'Scoring_Config'!$A:$A,'Scoring_Config'!$C:$C,5),0),"False,0")</f>
        <v>0</v>
      </c>
      <c r="AK395" s="4" cm="1">
        <f t="array" ref="AK39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5" s="4" cm="1">
        <f t="array" ref="AL395">IF(FALSE,"True," &amp; IF(_xlfn.XLOOKUP("App_Any_OR_RangeGt1000",'Scoring_Config'!$A:$A,'Scoring_Config'!$D:$D,"Yes")="Yes",_xlfn.XLOOKUP("App_Any_OR_RangeGt1000",'Scoring_Config'!$A:$A,'Scoring_Config'!$C:$C,25),0),"False,0")</f>
        <v>0</v>
      </c>
      <c r="AM395" s="5" cm="1">
        <f t="array" ref="AM395">IF(TRUE,"True," &amp; IF(_xlfn.XLOOKUP("Service_Insecure_Match",'Scoring_Config'!$A:$A,'Scoring_Config'!$D:$D,"Yes")="Yes",_xlfn.XLOOKUP("Service_Insecure_Match",'Scoring_Config'!$A:$A,'Scoring_Config'!$C:$C,20),0),"False,0")</f>
        <v>0</v>
      </c>
      <c r="AN395" s="4" cm="1">
        <f t="array" ref="AN395">IF(FALSE,"True," &amp; IF(_xlfn.XLOOKUP("Risky_Inbound",'Scoring_Config'!$A:$A,'Scoring_Config'!$D:$D,"Yes")="Yes",_xlfn.XLOOKUP("Risky_Inbound",'Scoring_Config'!$A:$A,'Scoring_Config'!$C:$C,20),0),"False,0")</f>
        <v>0</v>
      </c>
      <c r="AO395" s="4" cm="1">
        <f t="array" ref="AO395">IF(FALSE,"True," &amp; IF(_xlfn.XLOOKUP("Risky_Outbound",'Scoring_Config'!$A:$A,'Scoring_Config'!$D:$D,"Yes")="Yes",_xlfn.XLOOKUP("Risky_Outbound",'Scoring_Config'!$A:$A,'Scoring_Config'!$C:$C,10),0),"False,0")</f>
        <v>0</v>
      </c>
      <c r="AP395" s="5" t="s">
        <v>2595</v>
      </c>
      <c r="AQ395" s="5" cm="1">
        <f t="array" ref="AQ39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5" s="4" t="s">
        <v>2592</v>
      </c>
      <c r="AS395" s="4" t="s">
        <v>2592</v>
      </c>
      <c r="AT395" s="4" t="s">
        <v>2592</v>
      </c>
      <c r="AU395" s="4" cm="1">
        <f t="array" ref="AU395">IF(FALSE,"True," &amp; IF(_xlfn.XLOOKUP("Action_IsDenyOrDrop",'Scoring_Config'!$A:$A,'Scoring_Config'!$D:$D,"Yes")="Yes",_xlfn.XLOOKUP("Action_IsDenyOrDrop",'Scoring_Config'!$A:$A,'Scoring_Config'!$C:$C,0),0),"False,0")</f>
        <v>0</v>
      </c>
      <c r="AV395" s="4"/>
      <c r="AW395" s="4" cm="1">
        <f t="array" ref="AW395">IF(FALSE,"True," &amp; IF(_xlfn.XLOOKUP("Migrate_Insecure",'Scoring_Config'!$A:$A,'Scoring_Config'!$D:$D,"Yes")="Yes",_xlfn.XLOOKUP("Migrate_Insecure",'Scoring_Config'!$A:$A,'Scoring_Config'!$C:$C,15),0),"False,0")</f>
        <v>0</v>
      </c>
      <c r="AX395" s="4"/>
      <c r="AY395" s="4" cm="1">
        <f t="array" ref="AY395">IF(FALSE,"True," &amp; IF(_xlfn.XLOOKUP("Migrate_Other_Ports",'Scoring_Config'!$A:$A,'Scoring_Config'!$D:$D,"Yes")="Yes",_xlfn.XLOOKUP("Migrate_Other_Ports",'Scoring_Config'!$A:$A,'Scoring_Config'!$C:$C,5),0),"False,0")</f>
        <v>0</v>
      </c>
      <c r="AZ395" s="4" cm="1">
        <f t="array" ref="AZ395">IF(LEFT(AU395,4)="True",0,(IF(LEFT(AC395,4)="True",IF(_xlfn.XLOOKUP("Src_IsAny",'Scoring_Config'!$A:$A,'Scoring_Config'!$D:$D,"Yes")="Yes",_xlfn.XLOOKUP("Src_IsAny",'Scoring_Config'!$A:$A,'Scoring_Config'!$C:$C,25),0),0)+IF(LEFT(AD395,4)="True",IF(_xlfn.XLOOKUP("Src_CIDR_Le_16",'Scoring_Config'!$A:$A,'Scoring_Config'!$D:$D,"Yes")="Yes",_xlfn.XLOOKUP("Src_CIDR_Le_16",'Scoring_Config'!$A:$A,'Scoring_Config'!$C:$C,25),0),0)+IF(LEFT(AE395,4)="True",IF(_xlfn.XLOOKUP("Src_CIDR_17_22",'Scoring_Config'!$A:$A,'Scoring_Config'!$D:$D,"Yes")="Yes",_xlfn.XLOOKUP("Src_CIDR_17_22",'Scoring_Config'!$A:$A,'Scoring_Config'!$C:$C,15),0),0)+IF(LEFT(AF395,4)="True",IF(_xlfn.XLOOKUP("Dst_IsAny",'Scoring_Config'!$A:$A,'Scoring_Config'!$D:$D,"Yes")="Yes",_xlfn.XLOOKUP("Dst_IsAny",'Scoring_Config'!$A:$A,'Scoring_Config'!$C:$C,25),0),0)+IF(LEFT(AG395,4)="True",IF(_xlfn.XLOOKUP("Dst_CIDR_Le_16",'Scoring_Config'!$A:$A,'Scoring_Config'!$D:$D,"Yes")="Yes",_xlfn.XLOOKUP("Dst_CIDR_Le_16",'Scoring_Config'!$A:$A,'Scoring_Config'!$C:$C,25),0),0)+IF(LEFT(AH395,4)="True",IF(_xlfn.XLOOKUP("Dst_CIDR_17_22",'Scoring_Config'!$A:$A,'Scoring_Config'!$D:$D,"Yes")="Yes",_xlfn.XLOOKUP("Dst_CIDR_17_22",'Scoring_Config'!$A:$A,'Scoring_Config'!$C:$C,15),0),0)+IF(LEFT(AI395,4)="True",IF(_xlfn.XLOOKUP("SrcZone_IsAny",'Scoring_Config'!$A:$A,'Scoring_Config'!$D:$D,"Yes")="Yes",_xlfn.XLOOKUP("SrcZone_IsAny",'Scoring_Config'!$A:$A,'Scoring_Config'!$C:$C,5),0),0)+IF(LEFT(AJ395,4)="True",IF(_xlfn.XLOOKUP("DstZone_IsAny",'Scoring_Config'!$A:$A,'Scoring_Config'!$D:$D,"Yes")="Yes",_xlfn.XLOOKUP("DstZone_IsAny",'Scoring_Config'!$A:$A,'Scoring_Config'!$C:$C,5),0),0)+IF(LEFT(AK395,4)="True",IF(_xlfn.XLOOKUP("Service_Any_OR_RangeGt1000",'Scoring_Config'!$A:$A,'Scoring_Config'!$D:$D,"Yes")="Yes",_xlfn.XLOOKUP("Service_Any_OR_RangeGt1000",'Scoring_Config'!$A:$A,'Scoring_Config'!$C:$C,25),0),0)+IF(LEFT(AL395,4)="True",IF(_xlfn.XLOOKUP("App_Any_OR_RangeGt1000",'Scoring_Config'!$A:$A,'Scoring_Config'!$D:$D,"Yes")="Yes",_xlfn.XLOOKUP("App_Any_OR_RangeGt1000",'Scoring_Config'!$A:$A,'Scoring_Config'!$C:$C,25),0),0)+IF(LEFT(AM395,4)="True",IF(_xlfn.XLOOKUP("Service_Insecure_Match",'Scoring_Config'!$A:$A,'Scoring_Config'!$D:$D,"Yes")="Yes",_xlfn.XLOOKUP("Service_Insecure_Match",'Scoring_Config'!$A:$A,'Scoring_Config'!$C:$C,20),0),0)+IF(LEFT(AN395,4)="True",IF(_xlfn.XLOOKUP("Risky_Inbound",'Scoring_Config'!$A:$A,'Scoring_Config'!$D:$D,"Yes")="Yes",_xlfn.XLOOKUP("Risky_Inbound",'Scoring_Config'!$A:$A,'Scoring_Config'!$C:$C,20),0),0)+IF(LEFT(AO395,4)="True",IF(_xlfn.XLOOKUP("Risky_Outbound",'Scoring_Config'!$A:$A,'Scoring_Config'!$D:$D,"Yes")="Yes",_xlfn.XLOOKUP("Risky_Outbound",'Scoring_Config'!$A:$A,'Scoring_Config'!$C:$C,10),0),0)+IF(LEFT(AW395,4)="True",IF(_xlfn.XLOOKUP("Migrate_Insecure",'Scoring_Config'!$A:$A,'Scoring_Config'!$D:$D,"Yes")="Yes",_xlfn.XLOOKUP("Migrate_Insecure",'Scoring_Config'!$A:$A,'Scoring_Config'!$C:$C,15),0),0)+IF(LEFT(AY395,4)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395,FIND(",",AP395)+1,100)),0)+IF(LEFT(AQ395,4)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395,FIND(",",AR395)+1,100)),0)+IF(_xlfn.XLOOKUP("Profile_Scoring",'Scoring_Config'!$A:$A,'Scoring_Config'!$D:$D,"Yes")="Yes",VALUE(MID(AS395,FIND(",",AS395)+1,100)),0)+IF(_xlfn.XLOOKUP("Options_Scoring",'Scoring_Config'!$A:$A,'Scoring_Config'!$D:$D,"Yes")="Yes",VALUE(MID(AT395,FIND(",",AT395)+1,100)),0)))</f>
        <v>0</v>
      </c>
    </row>
    <row r="396" spans="1:52">
      <c r="A396" s="3" t="s">
        <v>55</v>
      </c>
      <c r="B396" s="3" t="s">
        <v>201</v>
      </c>
      <c r="C396" s="3" t="s">
        <v>332</v>
      </c>
      <c r="D396" s="3"/>
      <c r="E396" s="3" t="s">
        <v>359</v>
      </c>
      <c r="F396" s="3" t="s">
        <v>360</v>
      </c>
      <c r="G396" s="3" t="s">
        <v>517</v>
      </c>
      <c r="H396" s="3" t="s">
        <v>517</v>
      </c>
      <c r="I396" s="3" t="s">
        <v>624</v>
      </c>
      <c r="J396" s="3" t="s">
        <v>364</v>
      </c>
      <c r="K396" s="3" t="s">
        <v>529</v>
      </c>
      <c r="L396" s="3" t="s">
        <v>529</v>
      </c>
      <c r="M396" s="3" t="s">
        <v>770</v>
      </c>
      <c r="N396" s="3" t="s">
        <v>770</v>
      </c>
      <c r="O396" s="4" t="s">
        <v>831</v>
      </c>
      <c r="P396" s="3" t="s">
        <v>892</v>
      </c>
      <c r="Q396" s="3" t="s">
        <v>905</v>
      </c>
      <c r="R396" s="3" t="s">
        <v>908</v>
      </c>
      <c r="S396" s="3" t="s">
        <v>913</v>
      </c>
      <c r="T396" s="3" t="s">
        <v>1100</v>
      </c>
      <c r="U396" s="3" t="s">
        <v>1150</v>
      </c>
      <c r="V396" s="3" t="s">
        <v>1386</v>
      </c>
      <c r="W396" s="3" t="s">
        <v>1584</v>
      </c>
      <c r="X396" s="3" t="s">
        <v>2000</v>
      </c>
      <c r="Y396" s="3" t="s">
        <v>2469</v>
      </c>
      <c r="Z396" s="3"/>
      <c r="AA396" s="3"/>
      <c r="AB396" s="3"/>
      <c r="AC396" s="4" cm="1">
        <f t="array" ref="AC396">IF(FALSE,"True," &amp; IF(_xlfn.XLOOKUP("Src_IsAny",'Scoring_Config'!$A:$A,'Scoring_Config'!$D:$D,"Yes")="Yes",_xlfn.XLOOKUP("Src_IsAny",'Scoring_Config'!$A:$A,'Scoring_Config'!$C:$C,25),0),"False,0")</f>
        <v>0</v>
      </c>
      <c r="AD396" s="4" cm="1">
        <f t="array" ref="AD396">IF(FALSE,"True," &amp; IF(_xlfn.XLOOKUP("Src_CIDR_Le_16",'Scoring_Config'!$A:$A,'Scoring_Config'!$D:$D,"Yes")="Yes",_xlfn.XLOOKUP("Src_CIDR_Le_16",'Scoring_Config'!$A:$A,'Scoring_Config'!$C:$C,25),0),"False,0")</f>
        <v>0</v>
      </c>
      <c r="AE396" s="4" cm="1">
        <f t="array" ref="AE396">IF(FALSE,"True," &amp; IF(_xlfn.XLOOKUP("Src_CIDR_17_22",'Scoring_Config'!$A:$A,'Scoring_Config'!$D:$D,"Yes")="Yes",_xlfn.XLOOKUP("Src_CIDR_17_22",'Scoring_Config'!$A:$A,'Scoring_Config'!$C:$C,15),0),"False,0")</f>
        <v>0</v>
      </c>
      <c r="AF396" s="4" cm="1">
        <f t="array" ref="AF396">IF(FALSE,"True," &amp; IF(_xlfn.XLOOKUP("Dst_IsAny",'Scoring_Config'!$A:$A,'Scoring_Config'!$D:$D,"Yes")="Yes",_xlfn.XLOOKUP("Dst_IsAny",'Scoring_Config'!$A:$A,'Scoring_Config'!$C:$C,25),0),"False,0")</f>
        <v>0</v>
      </c>
      <c r="AG396" s="5" cm="1">
        <f t="array" ref="AG396">IF(TRUE,"True," &amp; IF(_xlfn.XLOOKUP("Dst_CIDR_Le_16",'Scoring_Config'!$A:$A,'Scoring_Config'!$D:$D,"Yes")="Yes",_xlfn.XLOOKUP("Dst_CIDR_Le_16",'Scoring_Config'!$A:$A,'Scoring_Config'!$C:$C,25),0),"False,0")</f>
        <v>0</v>
      </c>
      <c r="AH396" s="4" cm="1">
        <f t="array" ref="AH396">IF(FALSE,"True," &amp; IF(_xlfn.XLOOKUP("Dst_CIDR_17_22",'Scoring_Config'!$A:$A,'Scoring_Config'!$D:$D,"Yes")="Yes",_xlfn.XLOOKUP("Dst_CIDR_17_22",'Scoring_Config'!$A:$A,'Scoring_Config'!$C:$C,15),0),"False,0")</f>
        <v>0</v>
      </c>
      <c r="AI396" s="4" cm="1">
        <f t="array" ref="AI396">IF(FALSE,"True," &amp; IF(_xlfn.XLOOKUP("SrcZone_IsAny",'Scoring_Config'!$A:$A,'Scoring_Config'!$D:$D,"Yes")="Yes",_xlfn.XLOOKUP("SrcZone_IsAny",'Scoring_Config'!$A:$A,'Scoring_Config'!$C:$C,5),0),"False,0")</f>
        <v>0</v>
      </c>
      <c r="AJ396" s="4" cm="1">
        <f t="array" ref="AJ396">IF(FALSE,"True," &amp; IF(_xlfn.XLOOKUP("DstZone_IsAny",'Scoring_Config'!$A:$A,'Scoring_Config'!$D:$D,"Yes")="Yes",_xlfn.XLOOKUP("DstZone_IsAny",'Scoring_Config'!$A:$A,'Scoring_Config'!$C:$C,5),0),"False,0")</f>
        <v>0</v>
      </c>
      <c r="AK396" s="4" cm="1">
        <f t="array" ref="AK39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6" s="4" cm="1">
        <f t="array" ref="AL396">IF(FALSE,"True," &amp; IF(_xlfn.XLOOKUP("App_Any_OR_RangeGt1000",'Scoring_Config'!$A:$A,'Scoring_Config'!$D:$D,"Yes")="Yes",_xlfn.XLOOKUP("App_Any_OR_RangeGt1000",'Scoring_Config'!$A:$A,'Scoring_Config'!$C:$C,25),0),"False,0")</f>
        <v>0</v>
      </c>
      <c r="AM396" s="5" cm="1">
        <f t="array" ref="AM396">IF(TRUE,"True," &amp; IF(_xlfn.XLOOKUP("Service_Insecure_Match",'Scoring_Config'!$A:$A,'Scoring_Config'!$D:$D,"Yes")="Yes",_xlfn.XLOOKUP("Service_Insecure_Match",'Scoring_Config'!$A:$A,'Scoring_Config'!$C:$C,20),0),"False,0")</f>
        <v>0</v>
      </c>
      <c r="AN396" s="4" cm="1">
        <f t="array" ref="AN396">IF(FALSE,"True," &amp; IF(_xlfn.XLOOKUP("Risky_Inbound",'Scoring_Config'!$A:$A,'Scoring_Config'!$D:$D,"Yes")="Yes",_xlfn.XLOOKUP("Risky_Inbound",'Scoring_Config'!$A:$A,'Scoring_Config'!$C:$C,20),0),"False,0")</f>
        <v>0</v>
      </c>
      <c r="AO396" s="4" cm="1">
        <f t="array" ref="AO396">IF(FALSE,"True," &amp; IF(_xlfn.XLOOKUP("Risky_Outbound",'Scoring_Config'!$A:$A,'Scoring_Config'!$D:$D,"Yes")="Yes",_xlfn.XLOOKUP("Risky_Outbound",'Scoring_Config'!$A:$A,'Scoring_Config'!$C:$C,10),0),"False,0")</f>
        <v>0</v>
      </c>
      <c r="AP396" s="5" t="s">
        <v>2595</v>
      </c>
      <c r="AQ396" s="5" cm="1">
        <f t="array" ref="AQ39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6" s="5" t="s">
        <v>2598</v>
      </c>
      <c r="AS396" s="4" t="s">
        <v>2592</v>
      </c>
      <c r="AT396" s="4" t="s">
        <v>2592</v>
      </c>
      <c r="AU396" s="4" cm="1">
        <f t="array" ref="AU396">IF(FALSE,"True," &amp; IF(_xlfn.XLOOKUP("Action_IsDenyOrDrop",'Scoring_Config'!$A:$A,'Scoring_Config'!$D:$D,"Yes")="Yes",_xlfn.XLOOKUP("Action_IsDenyOrDrop",'Scoring_Config'!$A:$A,'Scoring_Config'!$C:$C,0),0),"False,0")</f>
        <v>0</v>
      </c>
      <c r="AV396" s="4"/>
      <c r="AW396" s="4" cm="1">
        <f t="array" ref="AW396">IF(FALSE,"True," &amp; IF(_xlfn.XLOOKUP("Migrate_Insecure",'Scoring_Config'!$A:$A,'Scoring_Config'!$D:$D,"Yes")="Yes",_xlfn.XLOOKUP("Migrate_Insecure",'Scoring_Config'!$A:$A,'Scoring_Config'!$C:$C,15),0),"False,0")</f>
        <v>0</v>
      </c>
      <c r="AX396" s="4"/>
      <c r="AY396" s="4" cm="1">
        <f t="array" ref="AY396">IF(FALSE,"True," &amp; IF(_xlfn.XLOOKUP("Migrate_Other_Ports",'Scoring_Config'!$A:$A,'Scoring_Config'!$D:$D,"Yes")="Yes",_xlfn.XLOOKUP("Migrate_Other_Ports",'Scoring_Config'!$A:$A,'Scoring_Config'!$C:$C,5),0),"False,0")</f>
        <v>0</v>
      </c>
      <c r="AZ396" s="4" cm="1">
        <f t="array" ref="AZ396">IF(LEFT(AU396,4)="True",0,(IF(LEFT(AC396,4)="True",IF(_xlfn.XLOOKUP("Src_IsAny",'Scoring_Config'!$A:$A,'Scoring_Config'!$D:$D,"Yes")="Yes",_xlfn.XLOOKUP("Src_IsAny",'Scoring_Config'!$A:$A,'Scoring_Config'!$C:$C,25),0),0)+IF(LEFT(AD396,4)="True",IF(_xlfn.XLOOKUP("Src_CIDR_Le_16",'Scoring_Config'!$A:$A,'Scoring_Config'!$D:$D,"Yes")="Yes",_xlfn.XLOOKUP("Src_CIDR_Le_16",'Scoring_Config'!$A:$A,'Scoring_Config'!$C:$C,25),0),0)+IF(LEFT(AE396,4)="True",IF(_xlfn.XLOOKUP("Src_CIDR_17_22",'Scoring_Config'!$A:$A,'Scoring_Config'!$D:$D,"Yes")="Yes",_xlfn.XLOOKUP("Src_CIDR_17_22",'Scoring_Config'!$A:$A,'Scoring_Config'!$C:$C,15),0),0)+IF(LEFT(AF396,4)="True",IF(_xlfn.XLOOKUP("Dst_IsAny",'Scoring_Config'!$A:$A,'Scoring_Config'!$D:$D,"Yes")="Yes",_xlfn.XLOOKUP("Dst_IsAny",'Scoring_Config'!$A:$A,'Scoring_Config'!$C:$C,25),0),0)+IF(LEFT(AG396,4)="True",IF(_xlfn.XLOOKUP("Dst_CIDR_Le_16",'Scoring_Config'!$A:$A,'Scoring_Config'!$D:$D,"Yes")="Yes",_xlfn.XLOOKUP("Dst_CIDR_Le_16",'Scoring_Config'!$A:$A,'Scoring_Config'!$C:$C,25),0),0)+IF(LEFT(AH396,4)="True",IF(_xlfn.XLOOKUP("Dst_CIDR_17_22",'Scoring_Config'!$A:$A,'Scoring_Config'!$D:$D,"Yes")="Yes",_xlfn.XLOOKUP("Dst_CIDR_17_22",'Scoring_Config'!$A:$A,'Scoring_Config'!$C:$C,15),0),0)+IF(LEFT(AI396,4)="True",IF(_xlfn.XLOOKUP("SrcZone_IsAny",'Scoring_Config'!$A:$A,'Scoring_Config'!$D:$D,"Yes")="Yes",_xlfn.XLOOKUP("SrcZone_IsAny",'Scoring_Config'!$A:$A,'Scoring_Config'!$C:$C,5),0),0)+IF(LEFT(AJ396,4)="True",IF(_xlfn.XLOOKUP("DstZone_IsAny",'Scoring_Config'!$A:$A,'Scoring_Config'!$D:$D,"Yes")="Yes",_xlfn.XLOOKUP("DstZone_IsAny",'Scoring_Config'!$A:$A,'Scoring_Config'!$C:$C,5),0),0)+IF(LEFT(AK396,4)="True",IF(_xlfn.XLOOKUP("Service_Any_OR_RangeGt1000",'Scoring_Config'!$A:$A,'Scoring_Config'!$D:$D,"Yes")="Yes",_xlfn.XLOOKUP("Service_Any_OR_RangeGt1000",'Scoring_Config'!$A:$A,'Scoring_Config'!$C:$C,25),0),0)+IF(LEFT(AL396,4)="True",IF(_xlfn.XLOOKUP("App_Any_OR_RangeGt1000",'Scoring_Config'!$A:$A,'Scoring_Config'!$D:$D,"Yes")="Yes",_xlfn.XLOOKUP("App_Any_OR_RangeGt1000",'Scoring_Config'!$A:$A,'Scoring_Config'!$C:$C,25),0),0)+IF(LEFT(AM396,4)="True",IF(_xlfn.XLOOKUP("Service_Insecure_Match",'Scoring_Config'!$A:$A,'Scoring_Config'!$D:$D,"Yes")="Yes",_xlfn.XLOOKUP("Service_Insecure_Match",'Scoring_Config'!$A:$A,'Scoring_Config'!$C:$C,20),0),0)+IF(LEFT(AN396,4)="True",IF(_xlfn.XLOOKUP("Risky_Inbound",'Scoring_Config'!$A:$A,'Scoring_Config'!$D:$D,"Yes")="Yes",_xlfn.XLOOKUP("Risky_Inbound",'Scoring_Config'!$A:$A,'Scoring_Config'!$C:$C,20),0),0)+IF(LEFT(AO396,4)="True",IF(_xlfn.XLOOKUP("Risky_Outbound",'Scoring_Config'!$A:$A,'Scoring_Config'!$D:$D,"Yes")="Yes",_xlfn.XLOOKUP("Risky_Outbound",'Scoring_Config'!$A:$A,'Scoring_Config'!$C:$C,10),0),0)+IF(LEFT(AW396,4)="True",IF(_xlfn.XLOOKUP("Migrate_Insecure",'Scoring_Config'!$A:$A,'Scoring_Config'!$D:$D,"Yes")="Yes",_xlfn.XLOOKUP("Migrate_Insecure",'Scoring_Config'!$A:$A,'Scoring_Config'!$C:$C,15),0),0)+IF(LEFT(AY396,4)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396,FIND(",",AP396)+1,100)),0)+IF(LEFT(AQ396,4)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396,FIND(",",AR396)+1,100)),0)+IF(_xlfn.XLOOKUP("Profile_Scoring",'Scoring_Config'!$A:$A,'Scoring_Config'!$D:$D,"Yes")="Yes",VALUE(MID(AS396,FIND(",",AS396)+1,100)),0)+IF(_xlfn.XLOOKUP("Options_Scoring",'Scoring_Config'!$A:$A,'Scoring_Config'!$D:$D,"Yes")="Yes",VALUE(MID(AT396,FIND(",",AT396)+1,100)),0)))</f>
        <v>0</v>
      </c>
    </row>
    <row r="397" spans="1:52">
      <c r="A397" s="3" t="s">
        <v>55</v>
      </c>
      <c r="B397" s="3" t="s">
        <v>265</v>
      </c>
      <c r="C397" s="3" t="s">
        <v>332</v>
      </c>
      <c r="D397" s="3"/>
      <c r="E397" s="3" t="s">
        <v>359</v>
      </c>
      <c r="F397" s="3" t="s">
        <v>361</v>
      </c>
      <c r="G397" s="3" t="s">
        <v>518</v>
      </c>
      <c r="H397" s="3" t="s">
        <v>610</v>
      </c>
      <c r="I397" s="3" t="s">
        <v>624</v>
      </c>
      <c r="J397" s="3" t="s">
        <v>364</v>
      </c>
      <c r="K397" s="3" t="s">
        <v>365</v>
      </c>
      <c r="L397" s="3" t="s">
        <v>365</v>
      </c>
      <c r="M397" s="3" t="s">
        <v>790</v>
      </c>
      <c r="N397" s="3" t="s">
        <v>791</v>
      </c>
      <c r="O397" s="4" t="s">
        <v>814</v>
      </c>
      <c r="P397" s="3" t="s">
        <v>875</v>
      </c>
      <c r="Q397" s="3" t="s">
        <v>905</v>
      </c>
      <c r="R397" s="3" t="s">
        <v>911</v>
      </c>
      <c r="S397" s="3" t="s">
        <v>912</v>
      </c>
      <c r="T397" s="3" t="s">
        <v>919</v>
      </c>
      <c r="U397" s="3" t="s">
        <v>1346</v>
      </c>
      <c r="V397" s="3" t="s">
        <v>1387</v>
      </c>
      <c r="W397" s="3" t="s">
        <v>1585</v>
      </c>
      <c r="X397" s="3" t="s">
        <v>2001</v>
      </c>
      <c r="Y397" s="3" t="s">
        <v>2470</v>
      </c>
      <c r="Z397" s="3"/>
      <c r="AA397" s="3"/>
      <c r="AB397" s="3"/>
      <c r="AC397" s="4" cm="1">
        <f t="array" ref="AC397">IF(FALSE,"True," &amp; IF(_xlfn.XLOOKUP("Src_IsAny",'Scoring_Config'!$A:$A,'Scoring_Config'!$D:$D,"Yes")="Yes",_xlfn.XLOOKUP("Src_IsAny",'Scoring_Config'!$A:$A,'Scoring_Config'!$C:$C,25),0),"False,0")</f>
        <v>0</v>
      </c>
      <c r="AD397" s="4" cm="1">
        <f t="array" ref="AD397">IF(FALSE,"True," &amp; IF(_xlfn.XLOOKUP("Src_CIDR_Le_16",'Scoring_Config'!$A:$A,'Scoring_Config'!$D:$D,"Yes")="Yes",_xlfn.XLOOKUP("Src_CIDR_Le_16",'Scoring_Config'!$A:$A,'Scoring_Config'!$C:$C,25),0),"False,0")</f>
        <v>0</v>
      </c>
      <c r="AE397" s="4" cm="1">
        <f t="array" ref="AE397">IF(FALSE,"True," &amp; IF(_xlfn.XLOOKUP("Src_CIDR_17_22",'Scoring_Config'!$A:$A,'Scoring_Config'!$D:$D,"Yes")="Yes",_xlfn.XLOOKUP("Src_CIDR_17_22",'Scoring_Config'!$A:$A,'Scoring_Config'!$C:$C,15),0),"False,0")</f>
        <v>0</v>
      </c>
      <c r="AF397" s="5" cm="1">
        <f t="array" ref="AF397">IF(TRUE,"True," &amp; IF(_xlfn.XLOOKUP("Dst_IsAny",'Scoring_Config'!$A:$A,'Scoring_Config'!$D:$D,"Yes")="Yes",_xlfn.XLOOKUP("Dst_IsAny",'Scoring_Config'!$A:$A,'Scoring_Config'!$C:$C,25),0),"False,0")</f>
        <v>0</v>
      </c>
      <c r="AG397" s="4" cm="1">
        <f t="array" ref="AG397">IF(FALSE,"True," &amp; IF(_xlfn.XLOOKUP("Dst_CIDR_Le_16",'Scoring_Config'!$A:$A,'Scoring_Config'!$D:$D,"Yes")="Yes",_xlfn.XLOOKUP("Dst_CIDR_Le_16",'Scoring_Config'!$A:$A,'Scoring_Config'!$C:$C,25),0),"False,0")</f>
        <v>0</v>
      </c>
      <c r="AH397" s="4" cm="1">
        <f t="array" ref="AH397">IF(FALSE,"True," &amp; IF(_xlfn.XLOOKUP("Dst_CIDR_17_22",'Scoring_Config'!$A:$A,'Scoring_Config'!$D:$D,"Yes")="Yes",_xlfn.XLOOKUP("Dst_CIDR_17_22",'Scoring_Config'!$A:$A,'Scoring_Config'!$C:$C,15),0),"False,0")</f>
        <v>0</v>
      </c>
      <c r="AI397" s="4" cm="1">
        <f t="array" ref="AI397">IF(FALSE,"True," &amp; IF(_xlfn.XLOOKUP("SrcZone_IsAny",'Scoring_Config'!$A:$A,'Scoring_Config'!$D:$D,"Yes")="Yes",_xlfn.XLOOKUP("SrcZone_IsAny",'Scoring_Config'!$A:$A,'Scoring_Config'!$C:$C,5),0),"False,0")</f>
        <v>0</v>
      </c>
      <c r="AJ397" s="4" cm="1">
        <f t="array" ref="AJ397">IF(FALSE,"True," &amp; IF(_xlfn.XLOOKUP("DstZone_IsAny",'Scoring_Config'!$A:$A,'Scoring_Config'!$D:$D,"Yes")="Yes",_xlfn.XLOOKUP("DstZone_IsAny",'Scoring_Config'!$A:$A,'Scoring_Config'!$C:$C,5),0),"False,0")</f>
        <v>0</v>
      </c>
      <c r="AK397" s="4" cm="1">
        <f t="array" ref="AK39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7" s="5" cm="1">
        <f t="array" ref="AL397">IF(TRUE,"True," &amp; IF(_xlfn.XLOOKUP("App_Any_OR_RangeGt1000",'Scoring_Config'!$A:$A,'Scoring_Config'!$D:$D,"Yes")="Yes",_xlfn.XLOOKUP("App_Any_OR_RangeGt1000",'Scoring_Config'!$A:$A,'Scoring_Config'!$C:$C,25),0),"False,0")</f>
        <v>0</v>
      </c>
      <c r="AM397" s="5" cm="1">
        <f t="array" ref="AM397">IF(TRUE,"True," &amp; IF(_xlfn.XLOOKUP("Service_Insecure_Match",'Scoring_Config'!$A:$A,'Scoring_Config'!$D:$D,"Yes")="Yes",_xlfn.XLOOKUP("Service_Insecure_Match",'Scoring_Config'!$A:$A,'Scoring_Config'!$C:$C,20),0),"False,0")</f>
        <v>0</v>
      </c>
      <c r="AN397" s="5" cm="1">
        <f t="array" ref="AN397">IF(TRUE,"True," &amp; IF(_xlfn.XLOOKUP("Risky_Inbound",'Scoring_Config'!$A:$A,'Scoring_Config'!$D:$D,"Yes")="Yes",_xlfn.XLOOKUP("Risky_Inbound",'Scoring_Config'!$A:$A,'Scoring_Config'!$C:$C,20),0),"False,0")</f>
        <v>0</v>
      </c>
      <c r="AO397" s="4" cm="1">
        <f t="array" ref="AO397">IF(FALSE,"True," &amp; IF(_xlfn.XLOOKUP("Risky_Outbound",'Scoring_Config'!$A:$A,'Scoring_Config'!$D:$D,"Yes")="Yes",_xlfn.XLOOKUP("Risky_Outbound",'Scoring_Config'!$A:$A,'Scoring_Config'!$C:$C,10),0),"False,0")</f>
        <v>0</v>
      </c>
      <c r="AP397" s="5" t="s">
        <v>2595</v>
      </c>
      <c r="AQ397" s="4" cm="1">
        <f t="array" ref="AQ39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7" s="5" t="s">
        <v>2598</v>
      </c>
      <c r="AS397" s="4" t="s">
        <v>2592</v>
      </c>
      <c r="AT397" s="4" t="s">
        <v>2592</v>
      </c>
      <c r="AU397" s="4" cm="1">
        <f t="array" ref="AU397">IF(FALSE,"True," &amp; IF(_xlfn.XLOOKUP("Action_IsDenyOrDrop",'Scoring_Config'!$A:$A,'Scoring_Config'!$D:$D,"Yes")="Yes",_xlfn.XLOOKUP("Action_IsDenyOrDrop",'Scoring_Config'!$A:$A,'Scoring_Config'!$C:$C,0),0),"False,0")</f>
        <v>0</v>
      </c>
      <c r="AV397" s="4"/>
      <c r="AW397" s="4" cm="1">
        <f t="array" ref="AW397">IF(FALSE,"True," &amp; IF(_xlfn.XLOOKUP("Migrate_Insecure",'Scoring_Config'!$A:$A,'Scoring_Config'!$D:$D,"Yes")="Yes",_xlfn.XLOOKUP("Migrate_Insecure",'Scoring_Config'!$A:$A,'Scoring_Config'!$C:$C,15),0),"False,0")</f>
        <v>0</v>
      </c>
      <c r="AX397" s="4"/>
      <c r="AY397" s="4" cm="1">
        <f t="array" ref="AY397">IF(FALSE,"True," &amp; IF(_xlfn.XLOOKUP("Migrate_Other_Ports",'Scoring_Config'!$A:$A,'Scoring_Config'!$D:$D,"Yes")="Yes",_xlfn.XLOOKUP("Migrate_Other_Ports",'Scoring_Config'!$A:$A,'Scoring_Config'!$C:$C,5),0),"False,0")</f>
        <v>0</v>
      </c>
      <c r="AZ397" s="4" cm="1">
        <f t="array" ref="AZ397">IF(LEFT(AU397,4)="True",0,(IF(LEFT(AC397,4)="True",IF(_xlfn.XLOOKUP("Src_IsAny",'Scoring_Config'!$A:$A,'Scoring_Config'!$D:$D,"Yes")="Yes",_xlfn.XLOOKUP("Src_IsAny",'Scoring_Config'!$A:$A,'Scoring_Config'!$C:$C,25),0),0)+IF(LEFT(AD397,4)="True",IF(_xlfn.XLOOKUP("Src_CIDR_Le_16",'Scoring_Config'!$A:$A,'Scoring_Config'!$D:$D,"Yes")="Yes",_xlfn.XLOOKUP("Src_CIDR_Le_16",'Scoring_Config'!$A:$A,'Scoring_Config'!$C:$C,25),0),0)+IF(LEFT(AE397,4)="True",IF(_xlfn.XLOOKUP("Src_CIDR_17_22",'Scoring_Config'!$A:$A,'Scoring_Config'!$D:$D,"Yes")="Yes",_xlfn.XLOOKUP("Src_CIDR_17_22",'Scoring_Config'!$A:$A,'Scoring_Config'!$C:$C,15),0),0)+IF(LEFT(AF397,4)="True",IF(_xlfn.XLOOKUP("Dst_IsAny",'Scoring_Config'!$A:$A,'Scoring_Config'!$D:$D,"Yes")="Yes",_xlfn.XLOOKUP("Dst_IsAny",'Scoring_Config'!$A:$A,'Scoring_Config'!$C:$C,25),0),0)+IF(LEFT(AG397,4)="True",IF(_xlfn.XLOOKUP("Dst_CIDR_Le_16",'Scoring_Config'!$A:$A,'Scoring_Config'!$D:$D,"Yes")="Yes",_xlfn.XLOOKUP("Dst_CIDR_Le_16",'Scoring_Config'!$A:$A,'Scoring_Config'!$C:$C,25),0),0)+IF(LEFT(AH397,4)="True",IF(_xlfn.XLOOKUP("Dst_CIDR_17_22",'Scoring_Config'!$A:$A,'Scoring_Config'!$D:$D,"Yes")="Yes",_xlfn.XLOOKUP("Dst_CIDR_17_22",'Scoring_Config'!$A:$A,'Scoring_Config'!$C:$C,15),0),0)+IF(LEFT(AI397,4)="True",IF(_xlfn.XLOOKUP("SrcZone_IsAny",'Scoring_Config'!$A:$A,'Scoring_Config'!$D:$D,"Yes")="Yes",_xlfn.XLOOKUP("SrcZone_IsAny",'Scoring_Config'!$A:$A,'Scoring_Config'!$C:$C,5),0),0)+IF(LEFT(AJ397,4)="True",IF(_xlfn.XLOOKUP("DstZone_IsAny",'Scoring_Config'!$A:$A,'Scoring_Config'!$D:$D,"Yes")="Yes",_xlfn.XLOOKUP("DstZone_IsAny",'Scoring_Config'!$A:$A,'Scoring_Config'!$C:$C,5),0),0)+IF(LEFT(AK397,4)="True",IF(_xlfn.XLOOKUP("Service_Any_OR_RangeGt1000",'Scoring_Config'!$A:$A,'Scoring_Config'!$D:$D,"Yes")="Yes",_xlfn.XLOOKUP("Service_Any_OR_RangeGt1000",'Scoring_Config'!$A:$A,'Scoring_Config'!$C:$C,25),0),0)+IF(LEFT(AL397,4)="True",IF(_xlfn.XLOOKUP("App_Any_OR_RangeGt1000",'Scoring_Config'!$A:$A,'Scoring_Config'!$D:$D,"Yes")="Yes",_xlfn.XLOOKUP("App_Any_OR_RangeGt1000",'Scoring_Config'!$A:$A,'Scoring_Config'!$C:$C,25),0),0)+IF(LEFT(AM397,4)="True",IF(_xlfn.XLOOKUP("Service_Insecure_Match",'Scoring_Config'!$A:$A,'Scoring_Config'!$D:$D,"Yes")="Yes",_xlfn.XLOOKUP("Service_Insecure_Match",'Scoring_Config'!$A:$A,'Scoring_Config'!$C:$C,20),0),0)+IF(LEFT(AN397,4)="True",IF(_xlfn.XLOOKUP("Risky_Inbound",'Scoring_Config'!$A:$A,'Scoring_Config'!$D:$D,"Yes")="Yes",_xlfn.XLOOKUP("Risky_Inbound",'Scoring_Config'!$A:$A,'Scoring_Config'!$C:$C,20),0),0)+IF(LEFT(AO397,4)="True",IF(_xlfn.XLOOKUP("Risky_Outbound",'Scoring_Config'!$A:$A,'Scoring_Config'!$D:$D,"Yes")="Yes",_xlfn.XLOOKUP("Risky_Outbound",'Scoring_Config'!$A:$A,'Scoring_Config'!$C:$C,10),0),0)+IF(LEFT(AW397,4)="True",IF(_xlfn.XLOOKUP("Migrate_Insecure",'Scoring_Config'!$A:$A,'Scoring_Config'!$D:$D,"Yes")="Yes",_xlfn.XLOOKUP("Migrate_Insecure",'Scoring_Config'!$A:$A,'Scoring_Config'!$C:$C,15),0),0)+IF(LEFT(AY397,4)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397,FIND(",",AP397)+1,100)),0)+IF(LEFT(AQ397,4)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397,FIND(",",AR397)+1,100)),0)+IF(_xlfn.XLOOKUP("Profile_Scoring",'Scoring_Config'!$A:$A,'Scoring_Config'!$D:$D,"Yes")="Yes",VALUE(MID(AS397,FIND(",",AS397)+1,100)),0)+IF(_xlfn.XLOOKUP("Options_Scoring",'Scoring_Config'!$A:$A,'Scoring_Config'!$D:$D,"Yes")="Yes",VALUE(MID(AT397,FIND(",",AT397)+1,100)),0)))</f>
        <v>0</v>
      </c>
    </row>
    <row r="398" spans="1:52">
      <c r="A398" s="3" t="s">
        <v>55</v>
      </c>
      <c r="B398" s="3" t="s">
        <v>170</v>
      </c>
      <c r="C398" s="3" t="s">
        <v>332</v>
      </c>
      <c r="D398" s="3"/>
      <c r="E398" s="3" t="s">
        <v>359</v>
      </c>
      <c r="F398" s="3" t="s">
        <v>363</v>
      </c>
      <c r="G398" s="3" t="s">
        <v>519</v>
      </c>
      <c r="H398" s="3" t="s">
        <v>611</v>
      </c>
      <c r="I398" s="3" t="s">
        <v>365</v>
      </c>
      <c r="J398" s="3" t="s">
        <v>360</v>
      </c>
      <c r="K398" s="3" t="s">
        <v>722</v>
      </c>
      <c r="L398" s="3" t="s">
        <v>765</v>
      </c>
      <c r="M398" s="3" t="s">
        <v>770</v>
      </c>
      <c r="N398" s="3" t="s">
        <v>770</v>
      </c>
      <c r="O398" s="4" t="s">
        <v>834</v>
      </c>
      <c r="P398" s="3" t="s">
        <v>895</v>
      </c>
      <c r="Q398" s="3" t="s">
        <v>905</v>
      </c>
      <c r="R398" s="3" t="s">
        <v>909</v>
      </c>
      <c r="S398" s="3" t="s">
        <v>907</v>
      </c>
      <c r="T398" s="3" t="s">
        <v>919</v>
      </c>
      <c r="U398" s="3" t="s">
        <v>1157</v>
      </c>
      <c r="V398" s="3" t="s">
        <v>1388</v>
      </c>
      <c r="W398" s="3" t="s">
        <v>1586</v>
      </c>
      <c r="X398" s="3" t="s">
        <v>2002</v>
      </c>
      <c r="Y398" s="3" t="s">
        <v>2471</v>
      </c>
      <c r="Z398" s="3"/>
      <c r="AA398" s="3"/>
      <c r="AB398" s="3"/>
      <c r="AC398" s="4" cm="1">
        <f t="array" ref="AC398">IF(FALSE,"True," &amp; IF(_xlfn.XLOOKUP("Src_IsAny",'Scoring_Config'!$A:$A,'Scoring_Config'!$D:$D,"Yes")="Yes",_xlfn.XLOOKUP("Src_IsAny",'Scoring_Config'!$A:$A,'Scoring_Config'!$C:$C,25),0),"False,0")</f>
        <v>0</v>
      </c>
      <c r="AD398" s="4" cm="1">
        <f t="array" ref="AD398">IF(FALSE,"True," &amp; IF(_xlfn.XLOOKUP("Src_CIDR_Le_16",'Scoring_Config'!$A:$A,'Scoring_Config'!$D:$D,"Yes")="Yes",_xlfn.XLOOKUP("Src_CIDR_Le_16",'Scoring_Config'!$A:$A,'Scoring_Config'!$C:$C,25),0),"False,0")</f>
        <v>0</v>
      </c>
      <c r="AE398" s="4" cm="1">
        <f t="array" ref="AE398">IF(FALSE,"True," &amp; IF(_xlfn.XLOOKUP("Src_CIDR_17_22",'Scoring_Config'!$A:$A,'Scoring_Config'!$D:$D,"Yes")="Yes",_xlfn.XLOOKUP("Src_CIDR_17_22",'Scoring_Config'!$A:$A,'Scoring_Config'!$C:$C,15),0),"False,0")</f>
        <v>0</v>
      </c>
      <c r="AF398" s="4" cm="1">
        <f t="array" ref="AF398">IF(FALSE,"True," &amp; IF(_xlfn.XLOOKUP("Dst_IsAny",'Scoring_Config'!$A:$A,'Scoring_Config'!$D:$D,"Yes")="Yes",_xlfn.XLOOKUP("Dst_IsAny",'Scoring_Config'!$A:$A,'Scoring_Config'!$C:$C,25),0),"False,0")</f>
        <v>0</v>
      </c>
      <c r="AG398" s="4" cm="1">
        <f t="array" ref="AG398">IF(FALSE,"True," &amp; IF(_xlfn.XLOOKUP("Dst_CIDR_Le_16",'Scoring_Config'!$A:$A,'Scoring_Config'!$D:$D,"Yes")="Yes",_xlfn.XLOOKUP("Dst_CIDR_Le_16",'Scoring_Config'!$A:$A,'Scoring_Config'!$C:$C,25),0),"False,0")</f>
        <v>0</v>
      </c>
      <c r="AH398" s="4" cm="1">
        <f t="array" ref="AH398">IF(FALSE,"True," &amp; IF(_xlfn.XLOOKUP("Dst_CIDR_17_22",'Scoring_Config'!$A:$A,'Scoring_Config'!$D:$D,"Yes")="Yes",_xlfn.XLOOKUP("Dst_CIDR_17_22",'Scoring_Config'!$A:$A,'Scoring_Config'!$C:$C,15),0),"False,0")</f>
        <v>0</v>
      </c>
      <c r="AI398" s="4" cm="1">
        <f t="array" ref="AI398">IF(FALSE,"True," &amp; IF(_xlfn.XLOOKUP("SrcZone_IsAny",'Scoring_Config'!$A:$A,'Scoring_Config'!$D:$D,"Yes")="Yes",_xlfn.XLOOKUP("SrcZone_IsAny",'Scoring_Config'!$A:$A,'Scoring_Config'!$C:$C,5),0),"False,0")</f>
        <v>0</v>
      </c>
      <c r="AJ398" s="4" cm="1">
        <f t="array" ref="AJ398">IF(FALSE,"True," &amp; IF(_xlfn.XLOOKUP("DstZone_IsAny",'Scoring_Config'!$A:$A,'Scoring_Config'!$D:$D,"Yes")="Yes",_xlfn.XLOOKUP("DstZone_IsAny",'Scoring_Config'!$A:$A,'Scoring_Config'!$C:$C,5),0),"False,0")</f>
        <v>0</v>
      </c>
      <c r="AK398" s="4" cm="1">
        <f t="array" ref="AK39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398" s="4" cm="1">
        <f t="array" ref="AL398">IF(FALSE,"True," &amp; IF(_xlfn.XLOOKUP("App_Any_OR_RangeGt1000",'Scoring_Config'!$A:$A,'Scoring_Config'!$D:$D,"Yes")="Yes",_xlfn.XLOOKUP("App_Any_OR_RangeGt1000",'Scoring_Config'!$A:$A,'Scoring_Config'!$C:$C,25),0),"False,0")</f>
        <v>0</v>
      </c>
      <c r="AM398" s="5" cm="1">
        <f t="array" ref="AM398">IF(TRUE,"True," &amp; IF(_xlfn.XLOOKUP("Service_Insecure_Match",'Scoring_Config'!$A:$A,'Scoring_Config'!$D:$D,"Yes")="Yes",_xlfn.XLOOKUP("Service_Insecure_Match",'Scoring_Config'!$A:$A,'Scoring_Config'!$C:$C,20),0),"False,0")</f>
        <v>0</v>
      </c>
      <c r="AN398" s="4" cm="1">
        <f t="array" ref="AN398">IF(FALSE,"True," &amp; IF(_xlfn.XLOOKUP("Risky_Inbound",'Scoring_Config'!$A:$A,'Scoring_Config'!$D:$D,"Yes")="Yes",_xlfn.XLOOKUP("Risky_Inbound",'Scoring_Config'!$A:$A,'Scoring_Config'!$C:$C,20),0),"False,0")</f>
        <v>0</v>
      </c>
      <c r="AO398" s="4" cm="1">
        <f t="array" ref="AO398">IF(FALSE,"True," &amp; IF(_xlfn.XLOOKUP("Risky_Outbound",'Scoring_Config'!$A:$A,'Scoring_Config'!$D:$D,"Yes")="Yes",_xlfn.XLOOKUP("Risky_Outbound",'Scoring_Config'!$A:$A,'Scoring_Config'!$C:$C,10),0),"False,0")</f>
        <v>0</v>
      </c>
      <c r="AP398" s="5" t="s">
        <v>2595</v>
      </c>
      <c r="AQ398" s="5" cm="1">
        <f t="array" ref="AQ39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8" s="4" t="s">
        <v>2592</v>
      </c>
      <c r="AS398" s="4" t="s">
        <v>2592</v>
      </c>
      <c r="AT398" s="5" t="s">
        <v>2595</v>
      </c>
      <c r="AU398" s="4" cm="1">
        <f t="array" ref="AU398">IF(FALSE,"True," &amp; IF(_xlfn.XLOOKUP("Action_IsDenyOrDrop",'Scoring_Config'!$A:$A,'Scoring_Config'!$D:$D,"Yes")="Yes",_xlfn.XLOOKUP("Action_IsDenyOrDrop",'Scoring_Config'!$A:$A,'Scoring_Config'!$C:$C,0),0),"False,0")</f>
        <v>0</v>
      </c>
      <c r="AV398" s="4"/>
      <c r="AW398" s="4" cm="1">
        <f t="array" ref="AW398">IF(FALSE,"True," &amp; IF(_xlfn.XLOOKUP("Migrate_Insecure",'Scoring_Config'!$A:$A,'Scoring_Config'!$D:$D,"Yes")="Yes",_xlfn.XLOOKUP("Migrate_Insecure",'Scoring_Config'!$A:$A,'Scoring_Config'!$C:$C,15),0),"False,0")</f>
        <v>0</v>
      </c>
      <c r="AX398" s="4"/>
      <c r="AY398" s="4" cm="1">
        <f t="array" ref="AY398">IF(FALSE,"True," &amp; IF(_xlfn.XLOOKUP("Migrate_Other_Ports",'Scoring_Config'!$A:$A,'Scoring_Config'!$D:$D,"Yes")="Yes",_xlfn.XLOOKUP("Migrate_Other_Ports",'Scoring_Config'!$A:$A,'Scoring_Config'!$C:$C,5),0),"False,0")</f>
        <v>0</v>
      </c>
      <c r="AZ398" s="4" cm="1">
        <f t="array" ref="AZ398">IF(LEFT(AU398,4)="True",0,(IF(LEFT(AC398,4)="True",IF(_xlfn.XLOOKUP("Src_IsAny",'Scoring_Config'!$A:$A,'Scoring_Config'!$D:$D,"Yes")="Yes",_xlfn.XLOOKUP("Src_IsAny",'Scoring_Config'!$A:$A,'Scoring_Config'!$C:$C,25),0),0)+IF(LEFT(AD398,4)="True",IF(_xlfn.XLOOKUP("Src_CIDR_Le_16",'Scoring_Config'!$A:$A,'Scoring_Config'!$D:$D,"Yes")="Yes",_xlfn.XLOOKUP("Src_CIDR_Le_16",'Scoring_Config'!$A:$A,'Scoring_Config'!$C:$C,25),0),0)+IF(LEFT(AE398,4)="True",IF(_xlfn.XLOOKUP("Src_CIDR_17_22",'Scoring_Config'!$A:$A,'Scoring_Config'!$D:$D,"Yes")="Yes",_xlfn.XLOOKUP("Src_CIDR_17_22",'Scoring_Config'!$A:$A,'Scoring_Config'!$C:$C,15),0),0)+IF(LEFT(AF398,4)="True",IF(_xlfn.XLOOKUP("Dst_IsAny",'Scoring_Config'!$A:$A,'Scoring_Config'!$D:$D,"Yes")="Yes",_xlfn.XLOOKUP("Dst_IsAny",'Scoring_Config'!$A:$A,'Scoring_Config'!$C:$C,25),0),0)+IF(LEFT(AG398,4)="True",IF(_xlfn.XLOOKUP("Dst_CIDR_Le_16",'Scoring_Config'!$A:$A,'Scoring_Config'!$D:$D,"Yes")="Yes",_xlfn.XLOOKUP("Dst_CIDR_Le_16",'Scoring_Config'!$A:$A,'Scoring_Config'!$C:$C,25),0),0)+IF(LEFT(AH398,4)="True",IF(_xlfn.XLOOKUP("Dst_CIDR_17_22",'Scoring_Config'!$A:$A,'Scoring_Config'!$D:$D,"Yes")="Yes",_xlfn.XLOOKUP("Dst_CIDR_17_22",'Scoring_Config'!$A:$A,'Scoring_Config'!$C:$C,15),0),0)+IF(LEFT(AI398,4)="True",IF(_xlfn.XLOOKUP("SrcZone_IsAny",'Scoring_Config'!$A:$A,'Scoring_Config'!$D:$D,"Yes")="Yes",_xlfn.XLOOKUP("SrcZone_IsAny",'Scoring_Config'!$A:$A,'Scoring_Config'!$C:$C,5),0),0)+IF(LEFT(AJ398,4)="True",IF(_xlfn.XLOOKUP("DstZone_IsAny",'Scoring_Config'!$A:$A,'Scoring_Config'!$D:$D,"Yes")="Yes",_xlfn.XLOOKUP("DstZone_IsAny",'Scoring_Config'!$A:$A,'Scoring_Config'!$C:$C,5),0),0)+IF(LEFT(AK398,4)="True",IF(_xlfn.XLOOKUP("Service_Any_OR_RangeGt1000",'Scoring_Config'!$A:$A,'Scoring_Config'!$D:$D,"Yes")="Yes",_xlfn.XLOOKUP("Service_Any_OR_RangeGt1000",'Scoring_Config'!$A:$A,'Scoring_Config'!$C:$C,25),0),0)+IF(LEFT(AL398,4)="True",IF(_xlfn.XLOOKUP("App_Any_OR_RangeGt1000",'Scoring_Config'!$A:$A,'Scoring_Config'!$D:$D,"Yes")="Yes",_xlfn.XLOOKUP("App_Any_OR_RangeGt1000",'Scoring_Config'!$A:$A,'Scoring_Config'!$C:$C,25),0),0)+IF(LEFT(AM398,4)="True",IF(_xlfn.XLOOKUP("Service_Insecure_Match",'Scoring_Config'!$A:$A,'Scoring_Config'!$D:$D,"Yes")="Yes",_xlfn.XLOOKUP("Service_Insecure_Match",'Scoring_Config'!$A:$A,'Scoring_Config'!$C:$C,20),0),0)+IF(LEFT(AN398,4)="True",IF(_xlfn.XLOOKUP("Risky_Inbound",'Scoring_Config'!$A:$A,'Scoring_Config'!$D:$D,"Yes")="Yes",_xlfn.XLOOKUP("Risky_Inbound",'Scoring_Config'!$A:$A,'Scoring_Config'!$C:$C,20),0),0)+IF(LEFT(AO398,4)="True",IF(_xlfn.XLOOKUP("Risky_Outbound",'Scoring_Config'!$A:$A,'Scoring_Config'!$D:$D,"Yes")="Yes",_xlfn.XLOOKUP("Risky_Outbound",'Scoring_Config'!$A:$A,'Scoring_Config'!$C:$C,10),0),0)+IF(LEFT(AW398,4)="True",IF(_xlfn.XLOOKUP("Migrate_Insecure",'Scoring_Config'!$A:$A,'Scoring_Config'!$D:$D,"Yes")="Yes",_xlfn.XLOOKUP("Migrate_Insecure",'Scoring_Config'!$A:$A,'Scoring_Config'!$C:$C,15),0),0)+IF(LEFT(AY398,4)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398,FIND(",",AP398)+1,100)),0)+IF(LEFT(AQ398,4)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398,FIND(",",AR398)+1,100)),0)+IF(_xlfn.XLOOKUP("Profile_Scoring",'Scoring_Config'!$A:$A,'Scoring_Config'!$D:$D,"Yes")="Yes",VALUE(MID(AS398,FIND(",",AS398)+1,100)),0)+IF(_xlfn.XLOOKUP("Options_Scoring",'Scoring_Config'!$A:$A,'Scoring_Config'!$D:$D,"Yes")="Yes",VALUE(MID(AT398,FIND(",",AT398)+1,100)),0)))</f>
        <v>0</v>
      </c>
    </row>
    <row r="399" spans="1:52">
      <c r="A399" s="3" t="s">
        <v>55</v>
      </c>
      <c r="B399" s="3" t="s">
        <v>299</v>
      </c>
      <c r="C399" s="3" t="s">
        <v>332</v>
      </c>
      <c r="D399" s="3"/>
      <c r="E399" s="3" t="s">
        <v>359</v>
      </c>
      <c r="F399" s="3" t="s">
        <v>362</v>
      </c>
      <c r="G399" s="3" t="s">
        <v>516</v>
      </c>
      <c r="H399" s="3" t="s">
        <v>609</v>
      </c>
      <c r="I399" s="3" t="s">
        <v>622</v>
      </c>
      <c r="J399" s="3" t="s">
        <v>364</v>
      </c>
      <c r="K399" s="3" t="s">
        <v>365</v>
      </c>
      <c r="L399" s="3" t="s">
        <v>365</v>
      </c>
      <c r="M399" s="3" t="s">
        <v>773</v>
      </c>
      <c r="N399" s="3" t="s">
        <v>773</v>
      </c>
      <c r="O399" s="4" t="s">
        <v>818</v>
      </c>
      <c r="P399" s="3" t="s">
        <v>879</v>
      </c>
      <c r="Q399" s="3" t="s">
        <v>905</v>
      </c>
      <c r="R399" s="3" t="s">
        <v>910</v>
      </c>
      <c r="S399" s="3" t="s">
        <v>907</v>
      </c>
      <c r="T399" s="3" t="s">
        <v>1101</v>
      </c>
      <c r="U399" s="3" t="s">
        <v>1150</v>
      </c>
      <c r="V399" s="3" t="s">
        <v>789</v>
      </c>
      <c r="W399" s="3" t="s">
        <v>1544</v>
      </c>
      <c r="X399" s="3" t="s">
        <v>2003</v>
      </c>
      <c r="Y399" s="3" t="s">
        <v>2472</v>
      </c>
      <c r="Z399" s="3"/>
      <c r="AA399" s="3"/>
      <c r="AB399" s="3"/>
      <c r="AC399" s="4" cm="1">
        <f t="array" ref="AC399">IF(FALSE,"True," &amp; IF(_xlfn.XLOOKUP("Src_IsAny",'Scoring_Config'!$A:$A,'Scoring_Config'!$D:$D,"Yes")="Yes",_xlfn.XLOOKUP("Src_IsAny",'Scoring_Config'!$A:$A,'Scoring_Config'!$C:$C,25),0),"False,0")</f>
        <v>0</v>
      </c>
      <c r="AD399" s="5" cm="1">
        <f t="array" ref="AD399">IF(TRUE,"True," &amp; IF(_xlfn.XLOOKUP("Src_CIDR_Le_16",'Scoring_Config'!$A:$A,'Scoring_Config'!$D:$D,"Yes")="Yes",_xlfn.XLOOKUP("Src_CIDR_Le_16",'Scoring_Config'!$A:$A,'Scoring_Config'!$C:$C,25),0),"False,0")</f>
        <v>0</v>
      </c>
      <c r="AE399" s="4" cm="1">
        <f t="array" ref="AE399">IF(FALSE,"True," &amp; IF(_xlfn.XLOOKUP("Src_CIDR_17_22",'Scoring_Config'!$A:$A,'Scoring_Config'!$D:$D,"Yes")="Yes",_xlfn.XLOOKUP("Src_CIDR_17_22",'Scoring_Config'!$A:$A,'Scoring_Config'!$C:$C,15),0),"False,0")</f>
        <v>0</v>
      </c>
      <c r="AF399" s="5" cm="1">
        <f t="array" ref="AF399">IF(TRUE,"True," &amp; IF(_xlfn.XLOOKUP("Dst_IsAny",'Scoring_Config'!$A:$A,'Scoring_Config'!$D:$D,"Yes")="Yes",_xlfn.XLOOKUP("Dst_IsAny",'Scoring_Config'!$A:$A,'Scoring_Config'!$C:$C,25),0),"False,0")</f>
        <v>0</v>
      </c>
      <c r="AG399" s="4" cm="1">
        <f t="array" ref="AG399">IF(FALSE,"True," &amp; IF(_xlfn.XLOOKUP("Dst_CIDR_Le_16",'Scoring_Config'!$A:$A,'Scoring_Config'!$D:$D,"Yes")="Yes",_xlfn.XLOOKUP("Dst_CIDR_Le_16",'Scoring_Config'!$A:$A,'Scoring_Config'!$C:$C,25),0),"False,0")</f>
        <v>0</v>
      </c>
      <c r="AH399" s="4" cm="1">
        <f t="array" ref="AH399">IF(FALSE,"True," &amp; IF(_xlfn.XLOOKUP("Dst_CIDR_17_22",'Scoring_Config'!$A:$A,'Scoring_Config'!$D:$D,"Yes")="Yes",_xlfn.XLOOKUP("Dst_CIDR_17_22",'Scoring_Config'!$A:$A,'Scoring_Config'!$C:$C,15),0),"False,0")</f>
        <v>0</v>
      </c>
      <c r="AI399" s="4" cm="1">
        <f t="array" ref="AI399">IF(FALSE,"True," &amp; IF(_xlfn.XLOOKUP("SrcZone_IsAny",'Scoring_Config'!$A:$A,'Scoring_Config'!$D:$D,"Yes")="Yes",_xlfn.XLOOKUP("SrcZone_IsAny",'Scoring_Config'!$A:$A,'Scoring_Config'!$C:$C,5),0),"False,0")</f>
        <v>0</v>
      </c>
      <c r="AJ399" s="4" cm="1">
        <f t="array" ref="AJ399">IF(FALSE,"True," &amp; IF(_xlfn.XLOOKUP("DstZone_IsAny",'Scoring_Config'!$A:$A,'Scoring_Config'!$D:$D,"Yes")="Yes",_xlfn.XLOOKUP("DstZone_IsAny",'Scoring_Config'!$A:$A,'Scoring_Config'!$C:$C,5),0),"False,0")</f>
        <v>0</v>
      </c>
      <c r="AK399" s="5" cm="1">
        <f t="array" ref="AK399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399" s="4" cm="1">
        <f t="array" ref="AL399">IF(FALSE,"True," &amp; IF(_xlfn.XLOOKUP("App_Any_OR_RangeGt1000",'Scoring_Config'!$A:$A,'Scoring_Config'!$D:$D,"Yes")="Yes",_xlfn.XLOOKUP("App_Any_OR_RangeGt1000",'Scoring_Config'!$A:$A,'Scoring_Config'!$C:$C,25),0),"False,0")</f>
        <v>0</v>
      </c>
      <c r="AM399" s="5" cm="1">
        <f t="array" ref="AM399">IF(TRUE,"True," &amp; IF(_xlfn.XLOOKUP("Service_Insecure_Match",'Scoring_Config'!$A:$A,'Scoring_Config'!$D:$D,"Yes")="Yes",_xlfn.XLOOKUP("Service_Insecure_Match",'Scoring_Config'!$A:$A,'Scoring_Config'!$C:$C,20),0),"False,0")</f>
        <v>0</v>
      </c>
      <c r="AN399" s="4" cm="1">
        <f t="array" ref="AN399">IF(FALSE,"True," &amp; IF(_xlfn.XLOOKUP("Risky_Inbound",'Scoring_Config'!$A:$A,'Scoring_Config'!$D:$D,"Yes")="Yes",_xlfn.XLOOKUP("Risky_Inbound",'Scoring_Config'!$A:$A,'Scoring_Config'!$C:$C,20),0),"False,0")</f>
        <v>0</v>
      </c>
      <c r="AO399" s="4" cm="1">
        <f t="array" ref="AO399">IF(FALSE,"True," &amp; IF(_xlfn.XLOOKUP("Risky_Outbound",'Scoring_Config'!$A:$A,'Scoring_Config'!$D:$D,"Yes")="Yes",_xlfn.XLOOKUP("Risky_Outbound",'Scoring_Config'!$A:$A,'Scoring_Config'!$C:$C,10),0),"False,0")</f>
        <v>0</v>
      </c>
      <c r="AP399" s="5" t="s">
        <v>2595</v>
      </c>
      <c r="AQ399" s="5" cm="1">
        <f t="array" ref="AQ39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399" s="5" t="s">
        <v>2598</v>
      </c>
      <c r="AS399" s="4" t="s">
        <v>2592</v>
      </c>
      <c r="AT399" s="5" t="s">
        <v>2595</v>
      </c>
      <c r="AU399" s="4" cm="1">
        <f t="array" ref="AU399">IF(FALSE,"True," &amp; IF(_xlfn.XLOOKUP("Action_IsDenyOrDrop",'Scoring_Config'!$A:$A,'Scoring_Config'!$D:$D,"Yes")="Yes",_xlfn.XLOOKUP("Action_IsDenyOrDrop",'Scoring_Config'!$A:$A,'Scoring_Config'!$C:$C,0),0),"False,0")</f>
        <v>0</v>
      </c>
      <c r="AV399" s="4"/>
      <c r="AW399" s="4" cm="1">
        <f t="array" ref="AW399">IF(FALSE,"True," &amp; IF(_xlfn.XLOOKUP("Migrate_Insecure",'Scoring_Config'!$A:$A,'Scoring_Config'!$D:$D,"Yes")="Yes",_xlfn.XLOOKUP("Migrate_Insecure",'Scoring_Config'!$A:$A,'Scoring_Config'!$C:$C,15),0),"False,0")</f>
        <v>0</v>
      </c>
      <c r="AX399" s="4"/>
      <c r="AY399" s="4" cm="1">
        <f t="array" ref="AY399">IF(FALSE,"True," &amp; IF(_xlfn.XLOOKUP("Migrate_Other_Ports",'Scoring_Config'!$A:$A,'Scoring_Config'!$D:$D,"Yes")="Yes",_xlfn.XLOOKUP("Migrate_Other_Ports",'Scoring_Config'!$A:$A,'Scoring_Config'!$C:$C,5),0),"False,0")</f>
        <v>0</v>
      </c>
      <c r="AZ399" s="4" cm="1">
        <f t="array" ref="AZ399">IF(LEFT(AU399,4)="True",0,(IF(LEFT(AC399,4)="True",IF(_xlfn.XLOOKUP("Src_IsAny",'Scoring_Config'!$A:$A,'Scoring_Config'!$D:$D,"Yes")="Yes",_xlfn.XLOOKUP("Src_IsAny",'Scoring_Config'!$A:$A,'Scoring_Config'!$C:$C,25),0),0)+IF(LEFT(AD399,4)="True",IF(_xlfn.XLOOKUP("Src_CIDR_Le_16",'Scoring_Config'!$A:$A,'Scoring_Config'!$D:$D,"Yes")="Yes",_xlfn.XLOOKUP("Src_CIDR_Le_16",'Scoring_Config'!$A:$A,'Scoring_Config'!$C:$C,25),0),0)+IF(LEFT(AE399,4)="True",IF(_xlfn.XLOOKUP("Src_CIDR_17_22",'Scoring_Config'!$A:$A,'Scoring_Config'!$D:$D,"Yes")="Yes",_xlfn.XLOOKUP("Src_CIDR_17_22",'Scoring_Config'!$A:$A,'Scoring_Config'!$C:$C,15),0),0)+IF(LEFT(AF399,4)="True",IF(_xlfn.XLOOKUP("Dst_IsAny",'Scoring_Config'!$A:$A,'Scoring_Config'!$D:$D,"Yes")="Yes",_xlfn.XLOOKUP("Dst_IsAny",'Scoring_Config'!$A:$A,'Scoring_Config'!$C:$C,25),0),0)+IF(LEFT(AG399,4)="True",IF(_xlfn.XLOOKUP("Dst_CIDR_Le_16",'Scoring_Config'!$A:$A,'Scoring_Config'!$D:$D,"Yes")="Yes",_xlfn.XLOOKUP("Dst_CIDR_Le_16",'Scoring_Config'!$A:$A,'Scoring_Config'!$C:$C,25),0),0)+IF(LEFT(AH399,4)="True",IF(_xlfn.XLOOKUP("Dst_CIDR_17_22",'Scoring_Config'!$A:$A,'Scoring_Config'!$D:$D,"Yes")="Yes",_xlfn.XLOOKUP("Dst_CIDR_17_22",'Scoring_Config'!$A:$A,'Scoring_Config'!$C:$C,15),0),0)+IF(LEFT(AI399,4)="True",IF(_xlfn.XLOOKUP("SrcZone_IsAny",'Scoring_Config'!$A:$A,'Scoring_Config'!$D:$D,"Yes")="Yes",_xlfn.XLOOKUP("SrcZone_IsAny",'Scoring_Config'!$A:$A,'Scoring_Config'!$C:$C,5),0),0)+IF(LEFT(AJ399,4)="True",IF(_xlfn.XLOOKUP("DstZone_IsAny",'Scoring_Config'!$A:$A,'Scoring_Config'!$D:$D,"Yes")="Yes",_xlfn.XLOOKUP("DstZone_IsAny",'Scoring_Config'!$A:$A,'Scoring_Config'!$C:$C,5),0),0)+IF(LEFT(AK399,4)="True",IF(_xlfn.XLOOKUP("Service_Any_OR_RangeGt1000",'Scoring_Config'!$A:$A,'Scoring_Config'!$D:$D,"Yes")="Yes",_xlfn.XLOOKUP("Service_Any_OR_RangeGt1000",'Scoring_Config'!$A:$A,'Scoring_Config'!$C:$C,25),0),0)+IF(LEFT(AL399,4)="True",IF(_xlfn.XLOOKUP("App_Any_OR_RangeGt1000",'Scoring_Config'!$A:$A,'Scoring_Config'!$D:$D,"Yes")="Yes",_xlfn.XLOOKUP("App_Any_OR_RangeGt1000",'Scoring_Config'!$A:$A,'Scoring_Config'!$C:$C,25),0),0)+IF(LEFT(AM399,4)="True",IF(_xlfn.XLOOKUP("Service_Insecure_Match",'Scoring_Config'!$A:$A,'Scoring_Config'!$D:$D,"Yes")="Yes",_xlfn.XLOOKUP("Service_Insecure_Match",'Scoring_Config'!$A:$A,'Scoring_Config'!$C:$C,20),0),0)+IF(LEFT(AN399,4)="True",IF(_xlfn.XLOOKUP("Risky_Inbound",'Scoring_Config'!$A:$A,'Scoring_Config'!$D:$D,"Yes")="Yes",_xlfn.XLOOKUP("Risky_Inbound",'Scoring_Config'!$A:$A,'Scoring_Config'!$C:$C,20),0),0)+IF(LEFT(AO399,4)="True",IF(_xlfn.XLOOKUP("Risky_Outbound",'Scoring_Config'!$A:$A,'Scoring_Config'!$D:$D,"Yes")="Yes",_xlfn.XLOOKUP("Risky_Outbound",'Scoring_Config'!$A:$A,'Scoring_Config'!$C:$C,10),0),0)+IF(LEFT(AW399,4)="True",IF(_xlfn.XLOOKUP("Migrate_Insecure",'Scoring_Config'!$A:$A,'Scoring_Config'!$D:$D,"Yes")="Yes",_xlfn.XLOOKUP("Migrate_Insecure",'Scoring_Config'!$A:$A,'Scoring_Config'!$C:$C,15),0),0)+IF(LEFT(AY399,4)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399,FIND(",",AP399)+1,100)),0)+IF(LEFT(AQ399,4)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399,FIND(",",AR399)+1,100)),0)+IF(_xlfn.XLOOKUP("Profile_Scoring",'Scoring_Config'!$A:$A,'Scoring_Config'!$D:$D,"Yes")="Yes",VALUE(MID(AS399,FIND(",",AS399)+1,100)),0)+IF(_xlfn.XLOOKUP("Options_Scoring",'Scoring_Config'!$A:$A,'Scoring_Config'!$D:$D,"Yes")="Yes",VALUE(MID(AT399,FIND(",",AT399)+1,100)),0)))</f>
        <v>0</v>
      </c>
    </row>
    <row r="400" spans="1:52">
      <c r="A400" s="3" t="s">
        <v>55</v>
      </c>
      <c r="B400" s="3" t="s">
        <v>208</v>
      </c>
      <c r="C400" s="3" t="s">
        <v>332</v>
      </c>
      <c r="D400" s="3"/>
      <c r="E400" s="3" t="s">
        <v>359</v>
      </c>
      <c r="F400" s="3" t="s">
        <v>360</v>
      </c>
      <c r="G400" s="3" t="s">
        <v>516</v>
      </c>
      <c r="H400" s="3" t="s">
        <v>609</v>
      </c>
      <c r="I400" s="3" t="s">
        <v>622</v>
      </c>
      <c r="J400" s="3" t="s">
        <v>360</v>
      </c>
      <c r="K400" s="3" t="s">
        <v>723</v>
      </c>
      <c r="L400" s="3" t="s">
        <v>723</v>
      </c>
      <c r="M400" s="3" t="s">
        <v>772</v>
      </c>
      <c r="N400" s="3" t="s">
        <v>794</v>
      </c>
      <c r="O400" s="4" t="s">
        <v>815</v>
      </c>
      <c r="P400" s="3" t="s">
        <v>876</v>
      </c>
      <c r="Q400" s="3" t="s">
        <v>905</v>
      </c>
      <c r="R400" s="3" t="s">
        <v>908</v>
      </c>
      <c r="S400" s="3" t="s">
        <v>914</v>
      </c>
      <c r="T400" s="3" t="s">
        <v>1102</v>
      </c>
      <c r="U400" s="3" t="s">
        <v>1150</v>
      </c>
      <c r="V400" s="3" t="s">
        <v>1388</v>
      </c>
      <c r="W400" s="3" t="s">
        <v>1540</v>
      </c>
      <c r="X400" s="3" t="s">
        <v>2004</v>
      </c>
      <c r="Y400" s="3" t="s">
        <v>2473</v>
      </c>
      <c r="Z400" s="3"/>
      <c r="AA400" s="3"/>
      <c r="AB400" s="3"/>
      <c r="AC400" s="4" cm="1">
        <f t="array" ref="AC400">IF(FALSE,"True," &amp; IF(_xlfn.XLOOKUP("Src_IsAny",'Scoring_Config'!$A:$A,'Scoring_Config'!$D:$D,"Yes")="Yes",_xlfn.XLOOKUP("Src_IsAny",'Scoring_Config'!$A:$A,'Scoring_Config'!$C:$C,25),0),"False,0")</f>
        <v>0</v>
      </c>
      <c r="AD400" s="5" cm="1">
        <f t="array" ref="AD400">IF(TRUE,"True," &amp; IF(_xlfn.XLOOKUP("Src_CIDR_Le_16",'Scoring_Config'!$A:$A,'Scoring_Config'!$D:$D,"Yes")="Yes",_xlfn.XLOOKUP("Src_CIDR_Le_16",'Scoring_Config'!$A:$A,'Scoring_Config'!$C:$C,25),0),"False,0")</f>
        <v>0</v>
      </c>
      <c r="AE400" s="4" cm="1">
        <f t="array" ref="AE400">IF(FALSE,"True," &amp; IF(_xlfn.XLOOKUP("Src_CIDR_17_22",'Scoring_Config'!$A:$A,'Scoring_Config'!$D:$D,"Yes")="Yes",_xlfn.XLOOKUP("Src_CIDR_17_22",'Scoring_Config'!$A:$A,'Scoring_Config'!$C:$C,15),0),"False,0")</f>
        <v>0</v>
      </c>
      <c r="AF400" s="4" cm="1">
        <f t="array" ref="AF400">IF(FALSE,"True," &amp; IF(_xlfn.XLOOKUP("Dst_IsAny",'Scoring_Config'!$A:$A,'Scoring_Config'!$D:$D,"Yes")="Yes",_xlfn.XLOOKUP("Dst_IsAny",'Scoring_Config'!$A:$A,'Scoring_Config'!$C:$C,25),0),"False,0")</f>
        <v>0</v>
      </c>
      <c r="AG400" s="4" cm="1">
        <f t="array" ref="AG400">IF(FALSE,"True," &amp; IF(_xlfn.XLOOKUP("Dst_CIDR_Le_16",'Scoring_Config'!$A:$A,'Scoring_Config'!$D:$D,"Yes")="Yes",_xlfn.XLOOKUP("Dst_CIDR_Le_16",'Scoring_Config'!$A:$A,'Scoring_Config'!$C:$C,25),0),"False,0")</f>
        <v>0</v>
      </c>
      <c r="AH400" s="4" cm="1">
        <f t="array" ref="AH400">IF(FALSE,"True," &amp; IF(_xlfn.XLOOKUP("Dst_CIDR_17_22",'Scoring_Config'!$A:$A,'Scoring_Config'!$D:$D,"Yes")="Yes",_xlfn.XLOOKUP("Dst_CIDR_17_22",'Scoring_Config'!$A:$A,'Scoring_Config'!$C:$C,15),0),"False,0")</f>
        <v>0</v>
      </c>
      <c r="AI400" s="4" cm="1">
        <f t="array" ref="AI400">IF(FALSE,"True," &amp; IF(_xlfn.XLOOKUP("SrcZone_IsAny",'Scoring_Config'!$A:$A,'Scoring_Config'!$D:$D,"Yes")="Yes",_xlfn.XLOOKUP("SrcZone_IsAny",'Scoring_Config'!$A:$A,'Scoring_Config'!$C:$C,5),0),"False,0")</f>
        <v>0</v>
      </c>
      <c r="AJ400" s="4" cm="1">
        <f t="array" ref="AJ400">IF(FALSE,"True," &amp; IF(_xlfn.XLOOKUP("DstZone_IsAny",'Scoring_Config'!$A:$A,'Scoring_Config'!$D:$D,"Yes")="Yes",_xlfn.XLOOKUP("DstZone_IsAny",'Scoring_Config'!$A:$A,'Scoring_Config'!$C:$C,5),0),"False,0")</f>
        <v>0</v>
      </c>
      <c r="AK400" s="4" cm="1">
        <f t="array" ref="AK40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0" s="4" cm="1">
        <f t="array" ref="AL400">IF(FALSE,"True," &amp; IF(_xlfn.XLOOKUP("App_Any_OR_RangeGt1000",'Scoring_Config'!$A:$A,'Scoring_Config'!$D:$D,"Yes")="Yes",_xlfn.XLOOKUP("App_Any_OR_RangeGt1000",'Scoring_Config'!$A:$A,'Scoring_Config'!$C:$C,25),0),"False,0")</f>
        <v>0</v>
      </c>
      <c r="AM400" s="4" cm="1">
        <f t="array" ref="AM400">IF(FALSE,"True," &amp; IF(_xlfn.XLOOKUP("Service_Insecure_Match",'Scoring_Config'!$A:$A,'Scoring_Config'!$D:$D,"Yes")="Yes",_xlfn.XLOOKUP("Service_Insecure_Match",'Scoring_Config'!$A:$A,'Scoring_Config'!$C:$C,20),0),"False,0")</f>
        <v>0</v>
      </c>
      <c r="AN400" s="4" cm="1">
        <f t="array" ref="AN400">IF(FALSE,"True," &amp; IF(_xlfn.XLOOKUP("Risky_Inbound",'Scoring_Config'!$A:$A,'Scoring_Config'!$D:$D,"Yes")="Yes",_xlfn.XLOOKUP("Risky_Inbound",'Scoring_Config'!$A:$A,'Scoring_Config'!$C:$C,20),0),"False,0")</f>
        <v>0</v>
      </c>
      <c r="AO400" s="4" cm="1">
        <f t="array" ref="AO400">IF(FALSE,"True," &amp; IF(_xlfn.XLOOKUP("Risky_Outbound",'Scoring_Config'!$A:$A,'Scoring_Config'!$D:$D,"Yes")="Yes",_xlfn.XLOOKUP("Risky_Outbound",'Scoring_Config'!$A:$A,'Scoring_Config'!$C:$C,10),0),"False,0")</f>
        <v>0</v>
      </c>
      <c r="AP400" s="5" t="s">
        <v>2595</v>
      </c>
      <c r="AQ400" s="5" cm="1">
        <f t="array" ref="AQ40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0" s="5" t="s">
        <v>2598</v>
      </c>
      <c r="AS400" s="4" t="s">
        <v>2592</v>
      </c>
      <c r="AT400" s="4" t="s">
        <v>2592</v>
      </c>
      <c r="AU400" s="4" cm="1">
        <f t="array" ref="AU400">IF(FALSE,"True," &amp; IF(_xlfn.XLOOKUP("Action_IsDenyOrDrop",'Scoring_Config'!$A:$A,'Scoring_Config'!$D:$D,"Yes")="Yes",_xlfn.XLOOKUP("Action_IsDenyOrDrop",'Scoring_Config'!$A:$A,'Scoring_Config'!$C:$C,0),0),"False,0")</f>
        <v>0</v>
      </c>
      <c r="AV400" s="4"/>
      <c r="AW400" s="4" cm="1">
        <f t="array" ref="AW400">IF(FALSE,"True," &amp; IF(_xlfn.XLOOKUP("Migrate_Insecure",'Scoring_Config'!$A:$A,'Scoring_Config'!$D:$D,"Yes")="Yes",_xlfn.XLOOKUP("Migrate_Insecure",'Scoring_Config'!$A:$A,'Scoring_Config'!$C:$C,15),0),"False,0")</f>
        <v>0</v>
      </c>
      <c r="AX400" s="4"/>
      <c r="AY400" s="4" cm="1">
        <f t="array" ref="AY400">IF(FALSE,"True," &amp; IF(_xlfn.XLOOKUP("Migrate_Other_Ports",'Scoring_Config'!$A:$A,'Scoring_Config'!$D:$D,"Yes")="Yes",_xlfn.XLOOKUP("Migrate_Other_Ports",'Scoring_Config'!$A:$A,'Scoring_Config'!$C:$C,5),0),"False,0")</f>
        <v>0</v>
      </c>
      <c r="AZ400" s="4" cm="1">
        <f t="array" ref="AZ400">IF(LEFT(AU400,4)="True",0,(IF(LEFT(AC400,4)="True",IF(_xlfn.XLOOKUP("Src_IsAny",'Scoring_Config'!$A:$A,'Scoring_Config'!$D:$D,"Yes")="Yes",_xlfn.XLOOKUP("Src_IsAny",'Scoring_Config'!$A:$A,'Scoring_Config'!$C:$C,25),0),0)+IF(LEFT(AD400,4)="True",IF(_xlfn.XLOOKUP("Src_CIDR_Le_16",'Scoring_Config'!$A:$A,'Scoring_Config'!$D:$D,"Yes")="Yes",_xlfn.XLOOKUP("Src_CIDR_Le_16",'Scoring_Config'!$A:$A,'Scoring_Config'!$C:$C,25),0),0)+IF(LEFT(AE400,4)="True",IF(_xlfn.XLOOKUP("Src_CIDR_17_22",'Scoring_Config'!$A:$A,'Scoring_Config'!$D:$D,"Yes")="Yes",_xlfn.XLOOKUP("Src_CIDR_17_22",'Scoring_Config'!$A:$A,'Scoring_Config'!$C:$C,15),0),0)+IF(LEFT(AF400,4)="True",IF(_xlfn.XLOOKUP("Dst_IsAny",'Scoring_Config'!$A:$A,'Scoring_Config'!$D:$D,"Yes")="Yes",_xlfn.XLOOKUP("Dst_IsAny",'Scoring_Config'!$A:$A,'Scoring_Config'!$C:$C,25),0),0)+IF(LEFT(AG400,4)="True",IF(_xlfn.XLOOKUP("Dst_CIDR_Le_16",'Scoring_Config'!$A:$A,'Scoring_Config'!$D:$D,"Yes")="Yes",_xlfn.XLOOKUP("Dst_CIDR_Le_16",'Scoring_Config'!$A:$A,'Scoring_Config'!$C:$C,25),0),0)+IF(LEFT(AH400,4)="True",IF(_xlfn.XLOOKUP("Dst_CIDR_17_22",'Scoring_Config'!$A:$A,'Scoring_Config'!$D:$D,"Yes")="Yes",_xlfn.XLOOKUP("Dst_CIDR_17_22",'Scoring_Config'!$A:$A,'Scoring_Config'!$C:$C,15),0),0)+IF(LEFT(AI400,4)="True",IF(_xlfn.XLOOKUP("SrcZone_IsAny",'Scoring_Config'!$A:$A,'Scoring_Config'!$D:$D,"Yes")="Yes",_xlfn.XLOOKUP("SrcZone_IsAny",'Scoring_Config'!$A:$A,'Scoring_Config'!$C:$C,5),0),0)+IF(LEFT(AJ400,4)="True",IF(_xlfn.XLOOKUP("DstZone_IsAny",'Scoring_Config'!$A:$A,'Scoring_Config'!$D:$D,"Yes")="Yes",_xlfn.XLOOKUP("DstZone_IsAny",'Scoring_Config'!$A:$A,'Scoring_Config'!$C:$C,5),0),0)+IF(LEFT(AK400,4)="True",IF(_xlfn.XLOOKUP("Service_Any_OR_RangeGt1000",'Scoring_Config'!$A:$A,'Scoring_Config'!$D:$D,"Yes")="Yes",_xlfn.XLOOKUP("Service_Any_OR_RangeGt1000",'Scoring_Config'!$A:$A,'Scoring_Config'!$C:$C,25),0),0)+IF(LEFT(AL400,4)="True",IF(_xlfn.XLOOKUP("App_Any_OR_RangeGt1000",'Scoring_Config'!$A:$A,'Scoring_Config'!$D:$D,"Yes")="Yes",_xlfn.XLOOKUP("App_Any_OR_RangeGt1000",'Scoring_Config'!$A:$A,'Scoring_Config'!$C:$C,25),0),0)+IF(LEFT(AM400,4)="True",IF(_xlfn.XLOOKUP("Service_Insecure_Match",'Scoring_Config'!$A:$A,'Scoring_Config'!$D:$D,"Yes")="Yes",_xlfn.XLOOKUP("Service_Insecure_Match",'Scoring_Config'!$A:$A,'Scoring_Config'!$C:$C,20),0),0)+IF(LEFT(AN400,4)="True",IF(_xlfn.XLOOKUP("Risky_Inbound",'Scoring_Config'!$A:$A,'Scoring_Config'!$D:$D,"Yes")="Yes",_xlfn.XLOOKUP("Risky_Inbound",'Scoring_Config'!$A:$A,'Scoring_Config'!$C:$C,20),0),0)+IF(LEFT(AO400,4)="True",IF(_xlfn.XLOOKUP("Risky_Outbound",'Scoring_Config'!$A:$A,'Scoring_Config'!$D:$D,"Yes")="Yes",_xlfn.XLOOKUP("Risky_Outbound",'Scoring_Config'!$A:$A,'Scoring_Config'!$C:$C,10),0),0)+IF(LEFT(AW400,4)="True",IF(_xlfn.XLOOKUP("Migrate_Insecure",'Scoring_Config'!$A:$A,'Scoring_Config'!$D:$D,"Yes")="Yes",_xlfn.XLOOKUP("Migrate_Insecure",'Scoring_Config'!$A:$A,'Scoring_Config'!$C:$C,15),0),0)+IF(LEFT(AY400,4)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400,FIND(",",AP400)+1,100)),0)+IF(LEFT(AQ400,4)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400,FIND(",",AR400)+1,100)),0)+IF(_xlfn.XLOOKUP("Profile_Scoring",'Scoring_Config'!$A:$A,'Scoring_Config'!$D:$D,"Yes")="Yes",VALUE(MID(AS400,FIND(",",AS400)+1,100)),0)+IF(_xlfn.XLOOKUP("Options_Scoring",'Scoring_Config'!$A:$A,'Scoring_Config'!$D:$D,"Yes")="Yes",VALUE(MID(AT400,FIND(",",AT400)+1,100)),0)))</f>
        <v>0</v>
      </c>
    </row>
    <row r="401" spans="1:52">
      <c r="A401" s="3" t="s">
        <v>55</v>
      </c>
      <c r="B401" s="3" t="s">
        <v>90</v>
      </c>
      <c r="C401" s="3" t="s">
        <v>332</v>
      </c>
      <c r="D401" s="3"/>
      <c r="E401" s="3" t="s">
        <v>359</v>
      </c>
      <c r="F401" s="3" t="s">
        <v>364</v>
      </c>
      <c r="G401" s="3" t="s">
        <v>520</v>
      </c>
      <c r="H401" s="3" t="s">
        <v>612</v>
      </c>
      <c r="I401" s="3" t="s">
        <v>624</v>
      </c>
      <c r="J401" s="3" t="s">
        <v>364</v>
      </c>
      <c r="K401" s="3" t="s">
        <v>521</v>
      </c>
      <c r="L401" s="3" t="s">
        <v>613</v>
      </c>
      <c r="M401" s="3" t="s">
        <v>771</v>
      </c>
      <c r="N401" s="3" t="s">
        <v>793</v>
      </c>
      <c r="O401" s="4" t="s">
        <v>825</v>
      </c>
      <c r="P401" s="3" t="s">
        <v>886</v>
      </c>
      <c r="Q401" s="3" t="s">
        <v>905</v>
      </c>
      <c r="R401" s="3" t="s">
        <v>910</v>
      </c>
      <c r="S401" s="3" t="s">
        <v>907</v>
      </c>
      <c r="T401" s="3" t="s">
        <v>919</v>
      </c>
      <c r="U401" s="3" t="s">
        <v>1347</v>
      </c>
      <c r="V401" s="3" t="s">
        <v>1388</v>
      </c>
      <c r="W401" s="3" t="s">
        <v>1080</v>
      </c>
      <c r="X401" s="3" t="s">
        <v>2005</v>
      </c>
      <c r="Y401" s="3" t="s">
        <v>2474</v>
      </c>
      <c r="Z401" s="3"/>
      <c r="AA401" s="3"/>
      <c r="AB401" s="3"/>
      <c r="AC401" s="4" cm="1">
        <f t="array" ref="AC401">IF(FALSE,"True," &amp; IF(_xlfn.XLOOKUP("Src_IsAny",'Scoring_Config'!$A:$A,'Scoring_Config'!$D:$D,"Yes")="Yes",_xlfn.XLOOKUP("Src_IsAny",'Scoring_Config'!$A:$A,'Scoring_Config'!$C:$C,25),0),"False,0")</f>
        <v>0</v>
      </c>
      <c r="AD401" s="4" cm="1">
        <f t="array" ref="AD401">IF(FALSE,"True," &amp; IF(_xlfn.XLOOKUP("Src_CIDR_Le_16",'Scoring_Config'!$A:$A,'Scoring_Config'!$D:$D,"Yes")="Yes",_xlfn.XLOOKUP("Src_CIDR_Le_16",'Scoring_Config'!$A:$A,'Scoring_Config'!$C:$C,25),0),"False,0")</f>
        <v>0</v>
      </c>
      <c r="AE401" s="4" cm="1">
        <f t="array" ref="AE401">IF(FALSE,"True," &amp; IF(_xlfn.XLOOKUP("Src_CIDR_17_22",'Scoring_Config'!$A:$A,'Scoring_Config'!$D:$D,"Yes")="Yes",_xlfn.XLOOKUP("Src_CIDR_17_22",'Scoring_Config'!$A:$A,'Scoring_Config'!$C:$C,15),0),"False,0")</f>
        <v>0</v>
      </c>
      <c r="AF401" s="4" cm="1">
        <f t="array" ref="AF401">IF(FALSE,"True," &amp; IF(_xlfn.XLOOKUP("Dst_IsAny",'Scoring_Config'!$A:$A,'Scoring_Config'!$D:$D,"Yes")="Yes",_xlfn.XLOOKUP("Dst_IsAny",'Scoring_Config'!$A:$A,'Scoring_Config'!$C:$C,25),0),"False,0")</f>
        <v>0</v>
      </c>
      <c r="AG401" s="4" cm="1">
        <f t="array" ref="AG401">IF(FALSE,"True," &amp; IF(_xlfn.XLOOKUP("Dst_CIDR_Le_16",'Scoring_Config'!$A:$A,'Scoring_Config'!$D:$D,"Yes")="Yes",_xlfn.XLOOKUP("Dst_CIDR_Le_16",'Scoring_Config'!$A:$A,'Scoring_Config'!$C:$C,25),0),"False,0")</f>
        <v>0</v>
      </c>
      <c r="AH401" s="4" cm="1">
        <f t="array" ref="AH401">IF(FALSE,"True," &amp; IF(_xlfn.XLOOKUP("Dst_CIDR_17_22",'Scoring_Config'!$A:$A,'Scoring_Config'!$D:$D,"Yes")="Yes",_xlfn.XLOOKUP("Dst_CIDR_17_22",'Scoring_Config'!$A:$A,'Scoring_Config'!$C:$C,15),0),"False,0")</f>
        <v>0</v>
      </c>
      <c r="AI401" s="4" cm="1">
        <f t="array" ref="AI401">IF(FALSE,"True," &amp; IF(_xlfn.XLOOKUP("SrcZone_IsAny",'Scoring_Config'!$A:$A,'Scoring_Config'!$D:$D,"Yes")="Yes",_xlfn.XLOOKUP("SrcZone_IsAny",'Scoring_Config'!$A:$A,'Scoring_Config'!$C:$C,5),0),"False,0")</f>
        <v>0</v>
      </c>
      <c r="AJ401" s="4" cm="1">
        <f t="array" ref="AJ401">IF(FALSE,"True," &amp; IF(_xlfn.XLOOKUP("DstZone_IsAny",'Scoring_Config'!$A:$A,'Scoring_Config'!$D:$D,"Yes")="Yes",_xlfn.XLOOKUP("DstZone_IsAny",'Scoring_Config'!$A:$A,'Scoring_Config'!$C:$C,5),0),"False,0")</f>
        <v>0</v>
      </c>
      <c r="AK401" s="4" cm="1">
        <f t="array" ref="AK40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1" s="4" cm="1">
        <f t="array" ref="AL401">IF(FALSE,"True," &amp; IF(_xlfn.XLOOKUP("App_Any_OR_RangeGt1000",'Scoring_Config'!$A:$A,'Scoring_Config'!$D:$D,"Yes")="Yes",_xlfn.XLOOKUP("App_Any_OR_RangeGt1000",'Scoring_Config'!$A:$A,'Scoring_Config'!$C:$C,25),0),"False,0")</f>
        <v>0</v>
      </c>
      <c r="AM401" s="5" cm="1">
        <f t="array" ref="AM401">IF(TRUE,"True," &amp; IF(_xlfn.XLOOKUP("Service_Insecure_Match",'Scoring_Config'!$A:$A,'Scoring_Config'!$D:$D,"Yes")="Yes",_xlfn.XLOOKUP("Service_Insecure_Match",'Scoring_Config'!$A:$A,'Scoring_Config'!$C:$C,20),0),"False,0")</f>
        <v>0</v>
      </c>
      <c r="AN401" s="4" cm="1">
        <f t="array" ref="AN401">IF(FALSE,"True," &amp; IF(_xlfn.XLOOKUP("Risky_Inbound",'Scoring_Config'!$A:$A,'Scoring_Config'!$D:$D,"Yes")="Yes",_xlfn.XLOOKUP("Risky_Inbound",'Scoring_Config'!$A:$A,'Scoring_Config'!$C:$C,20),0),"False,0")</f>
        <v>0</v>
      </c>
      <c r="AO401" s="4" cm="1">
        <f t="array" ref="AO401">IF(FALSE,"True," &amp; IF(_xlfn.XLOOKUP("Risky_Outbound",'Scoring_Config'!$A:$A,'Scoring_Config'!$D:$D,"Yes")="Yes",_xlfn.XLOOKUP("Risky_Outbound",'Scoring_Config'!$A:$A,'Scoring_Config'!$C:$C,10),0),"False,0")</f>
        <v>0</v>
      </c>
      <c r="AP401" s="5" t="s">
        <v>2595</v>
      </c>
      <c r="AQ401" s="4" cm="1">
        <f t="array" ref="AQ40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1" s="5" t="s">
        <v>2598</v>
      </c>
      <c r="AS401" s="4" t="s">
        <v>2592</v>
      </c>
      <c r="AT401" s="5" t="s">
        <v>2595</v>
      </c>
      <c r="AU401" s="4" cm="1">
        <f t="array" ref="AU401">IF(FALSE,"True," &amp; IF(_xlfn.XLOOKUP("Action_IsDenyOrDrop",'Scoring_Config'!$A:$A,'Scoring_Config'!$D:$D,"Yes")="Yes",_xlfn.XLOOKUP("Action_IsDenyOrDrop",'Scoring_Config'!$A:$A,'Scoring_Config'!$C:$C,0),0),"False,0")</f>
        <v>0</v>
      </c>
      <c r="AV401" s="4"/>
      <c r="AW401" s="4" cm="1">
        <f t="array" ref="AW401">IF(FALSE,"True," &amp; IF(_xlfn.XLOOKUP("Migrate_Insecure",'Scoring_Config'!$A:$A,'Scoring_Config'!$D:$D,"Yes")="Yes",_xlfn.XLOOKUP("Migrate_Insecure",'Scoring_Config'!$A:$A,'Scoring_Config'!$C:$C,15),0),"False,0")</f>
        <v>0</v>
      </c>
      <c r="AX401" s="4"/>
      <c r="AY401" s="4" cm="1">
        <f t="array" ref="AY401">IF(FALSE,"True," &amp; IF(_xlfn.XLOOKUP("Migrate_Other_Ports",'Scoring_Config'!$A:$A,'Scoring_Config'!$D:$D,"Yes")="Yes",_xlfn.XLOOKUP("Migrate_Other_Ports",'Scoring_Config'!$A:$A,'Scoring_Config'!$C:$C,5),0),"False,0")</f>
        <v>0</v>
      </c>
      <c r="AZ401" s="4" cm="1">
        <f t="array" ref="AZ401">IF(LEFT(AU401,4)="True",0,(IF(LEFT(AC401,4)="True",IF(_xlfn.XLOOKUP("Src_IsAny",'Scoring_Config'!$A:$A,'Scoring_Config'!$D:$D,"Yes")="Yes",_xlfn.XLOOKUP("Src_IsAny",'Scoring_Config'!$A:$A,'Scoring_Config'!$C:$C,25),0),0)+IF(LEFT(AD401,4)="True",IF(_xlfn.XLOOKUP("Src_CIDR_Le_16",'Scoring_Config'!$A:$A,'Scoring_Config'!$D:$D,"Yes")="Yes",_xlfn.XLOOKUP("Src_CIDR_Le_16",'Scoring_Config'!$A:$A,'Scoring_Config'!$C:$C,25),0),0)+IF(LEFT(AE401,4)="True",IF(_xlfn.XLOOKUP("Src_CIDR_17_22",'Scoring_Config'!$A:$A,'Scoring_Config'!$D:$D,"Yes")="Yes",_xlfn.XLOOKUP("Src_CIDR_17_22",'Scoring_Config'!$A:$A,'Scoring_Config'!$C:$C,15),0),0)+IF(LEFT(AF401,4)="True",IF(_xlfn.XLOOKUP("Dst_IsAny",'Scoring_Config'!$A:$A,'Scoring_Config'!$D:$D,"Yes")="Yes",_xlfn.XLOOKUP("Dst_IsAny",'Scoring_Config'!$A:$A,'Scoring_Config'!$C:$C,25),0),0)+IF(LEFT(AG401,4)="True",IF(_xlfn.XLOOKUP("Dst_CIDR_Le_16",'Scoring_Config'!$A:$A,'Scoring_Config'!$D:$D,"Yes")="Yes",_xlfn.XLOOKUP("Dst_CIDR_Le_16",'Scoring_Config'!$A:$A,'Scoring_Config'!$C:$C,25),0),0)+IF(LEFT(AH401,4)="True",IF(_xlfn.XLOOKUP("Dst_CIDR_17_22",'Scoring_Config'!$A:$A,'Scoring_Config'!$D:$D,"Yes")="Yes",_xlfn.XLOOKUP("Dst_CIDR_17_22",'Scoring_Config'!$A:$A,'Scoring_Config'!$C:$C,15),0),0)+IF(LEFT(AI401,4)="True",IF(_xlfn.XLOOKUP("SrcZone_IsAny",'Scoring_Config'!$A:$A,'Scoring_Config'!$D:$D,"Yes")="Yes",_xlfn.XLOOKUP("SrcZone_IsAny",'Scoring_Config'!$A:$A,'Scoring_Config'!$C:$C,5),0),0)+IF(LEFT(AJ401,4)="True",IF(_xlfn.XLOOKUP("DstZone_IsAny",'Scoring_Config'!$A:$A,'Scoring_Config'!$D:$D,"Yes")="Yes",_xlfn.XLOOKUP("DstZone_IsAny",'Scoring_Config'!$A:$A,'Scoring_Config'!$C:$C,5),0),0)+IF(LEFT(AK401,4)="True",IF(_xlfn.XLOOKUP("Service_Any_OR_RangeGt1000",'Scoring_Config'!$A:$A,'Scoring_Config'!$D:$D,"Yes")="Yes",_xlfn.XLOOKUP("Service_Any_OR_RangeGt1000",'Scoring_Config'!$A:$A,'Scoring_Config'!$C:$C,25),0),0)+IF(LEFT(AL401,4)="True",IF(_xlfn.XLOOKUP("App_Any_OR_RangeGt1000",'Scoring_Config'!$A:$A,'Scoring_Config'!$D:$D,"Yes")="Yes",_xlfn.XLOOKUP("App_Any_OR_RangeGt1000",'Scoring_Config'!$A:$A,'Scoring_Config'!$C:$C,25),0),0)+IF(LEFT(AM401,4)="True",IF(_xlfn.XLOOKUP("Service_Insecure_Match",'Scoring_Config'!$A:$A,'Scoring_Config'!$D:$D,"Yes")="Yes",_xlfn.XLOOKUP("Service_Insecure_Match",'Scoring_Config'!$A:$A,'Scoring_Config'!$C:$C,20),0),0)+IF(LEFT(AN401,4)="True",IF(_xlfn.XLOOKUP("Risky_Inbound",'Scoring_Config'!$A:$A,'Scoring_Config'!$D:$D,"Yes")="Yes",_xlfn.XLOOKUP("Risky_Inbound",'Scoring_Config'!$A:$A,'Scoring_Config'!$C:$C,20),0),0)+IF(LEFT(AO401,4)="True",IF(_xlfn.XLOOKUP("Risky_Outbound",'Scoring_Config'!$A:$A,'Scoring_Config'!$D:$D,"Yes")="Yes",_xlfn.XLOOKUP("Risky_Outbound",'Scoring_Config'!$A:$A,'Scoring_Config'!$C:$C,10),0),0)+IF(LEFT(AW401,4)="True",IF(_xlfn.XLOOKUP("Migrate_Insecure",'Scoring_Config'!$A:$A,'Scoring_Config'!$D:$D,"Yes")="Yes",_xlfn.XLOOKUP("Migrate_Insecure",'Scoring_Config'!$A:$A,'Scoring_Config'!$C:$C,15),0),0)+IF(LEFT(AY401,4)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401,FIND(",",AP401)+1,100)),0)+IF(LEFT(AQ401,4)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401,FIND(",",AR401)+1,100)),0)+IF(_xlfn.XLOOKUP("Profile_Scoring",'Scoring_Config'!$A:$A,'Scoring_Config'!$D:$D,"Yes")="Yes",VALUE(MID(AS401,FIND(",",AS401)+1,100)),0)+IF(_xlfn.XLOOKUP("Options_Scoring",'Scoring_Config'!$A:$A,'Scoring_Config'!$D:$D,"Yes")="Yes",VALUE(MID(AT401,FIND(",",AT401)+1,100)),0)))</f>
        <v>0</v>
      </c>
    </row>
    <row r="402" spans="1:52">
      <c r="A402" s="3" t="s">
        <v>55</v>
      </c>
      <c r="B402" s="3" t="s">
        <v>159</v>
      </c>
      <c r="C402" s="3" t="s">
        <v>332</v>
      </c>
      <c r="D402" s="3"/>
      <c r="E402" s="3" t="s">
        <v>359</v>
      </c>
      <c r="F402" s="3" t="s">
        <v>361</v>
      </c>
      <c r="G402" s="3" t="s">
        <v>365</v>
      </c>
      <c r="H402" s="3" t="s">
        <v>365</v>
      </c>
      <c r="I402" s="3" t="s">
        <v>365</v>
      </c>
      <c r="J402" s="3" t="s">
        <v>364</v>
      </c>
      <c r="K402" s="3" t="s">
        <v>510</v>
      </c>
      <c r="L402" s="3" t="s">
        <v>510</v>
      </c>
      <c r="M402" s="3" t="s">
        <v>772</v>
      </c>
      <c r="N402" s="3" t="s">
        <v>794</v>
      </c>
      <c r="O402" s="4" t="s">
        <v>833</v>
      </c>
      <c r="P402" s="3" t="s">
        <v>894</v>
      </c>
      <c r="Q402" s="3" t="s">
        <v>905</v>
      </c>
      <c r="R402" s="3" t="s">
        <v>908</v>
      </c>
      <c r="S402" s="3" t="s">
        <v>914</v>
      </c>
      <c r="T402" s="3" t="s">
        <v>919</v>
      </c>
      <c r="U402" s="3" t="s">
        <v>1348</v>
      </c>
      <c r="V402" s="3" t="s">
        <v>1386</v>
      </c>
      <c r="W402" s="3" t="s">
        <v>1114</v>
      </c>
      <c r="X402" s="3" t="s">
        <v>2006</v>
      </c>
      <c r="Y402" s="3" t="s">
        <v>2475</v>
      </c>
      <c r="Z402" s="3"/>
      <c r="AA402" s="3"/>
      <c r="AB402" s="3"/>
      <c r="AC402" s="5" cm="1">
        <f t="array" ref="AC402">IF(TRUE,"True," &amp; IF(_xlfn.XLOOKUP("Src_IsAny",'Scoring_Config'!$A:$A,'Scoring_Config'!$D:$D,"Yes")="Yes",_xlfn.XLOOKUP("Src_IsAny",'Scoring_Config'!$A:$A,'Scoring_Config'!$C:$C,25),0),"False,0")</f>
        <v>0</v>
      </c>
      <c r="AD402" s="4" cm="1">
        <f t="array" ref="AD402">IF(FALSE,"True," &amp; IF(_xlfn.XLOOKUP("Src_CIDR_Le_16",'Scoring_Config'!$A:$A,'Scoring_Config'!$D:$D,"Yes")="Yes",_xlfn.XLOOKUP("Src_CIDR_Le_16",'Scoring_Config'!$A:$A,'Scoring_Config'!$C:$C,25),0),"False,0")</f>
        <v>0</v>
      </c>
      <c r="AE402" s="4" cm="1">
        <f t="array" ref="AE402">IF(FALSE,"True," &amp; IF(_xlfn.XLOOKUP("Src_CIDR_17_22",'Scoring_Config'!$A:$A,'Scoring_Config'!$D:$D,"Yes")="Yes",_xlfn.XLOOKUP("Src_CIDR_17_22",'Scoring_Config'!$A:$A,'Scoring_Config'!$C:$C,15),0),"False,0")</f>
        <v>0</v>
      </c>
      <c r="AF402" s="4" cm="1">
        <f t="array" ref="AF402">IF(FALSE,"True," &amp; IF(_xlfn.XLOOKUP("Dst_IsAny",'Scoring_Config'!$A:$A,'Scoring_Config'!$D:$D,"Yes")="Yes",_xlfn.XLOOKUP("Dst_IsAny",'Scoring_Config'!$A:$A,'Scoring_Config'!$C:$C,25),0),"False,0")</f>
        <v>0</v>
      </c>
      <c r="AG402" s="4" cm="1">
        <f t="array" ref="AG402">IF(FALSE,"True," &amp; IF(_xlfn.XLOOKUP("Dst_CIDR_Le_16",'Scoring_Config'!$A:$A,'Scoring_Config'!$D:$D,"Yes")="Yes",_xlfn.XLOOKUP("Dst_CIDR_Le_16",'Scoring_Config'!$A:$A,'Scoring_Config'!$C:$C,25),0),"False,0")</f>
        <v>0</v>
      </c>
      <c r="AH402" s="4" cm="1">
        <f t="array" ref="AH402">IF(FALSE,"True," &amp; IF(_xlfn.XLOOKUP("Dst_CIDR_17_22",'Scoring_Config'!$A:$A,'Scoring_Config'!$D:$D,"Yes")="Yes",_xlfn.XLOOKUP("Dst_CIDR_17_22",'Scoring_Config'!$A:$A,'Scoring_Config'!$C:$C,15),0),"False,0")</f>
        <v>0</v>
      </c>
      <c r="AI402" s="4" cm="1">
        <f t="array" ref="AI402">IF(FALSE,"True," &amp; IF(_xlfn.XLOOKUP("SrcZone_IsAny",'Scoring_Config'!$A:$A,'Scoring_Config'!$D:$D,"Yes")="Yes",_xlfn.XLOOKUP("SrcZone_IsAny",'Scoring_Config'!$A:$A,'Scoring_Config'!$C:$C,5),0),"False,0")</f>
        <v>0</v>
      </c>
      <c r="AJ402" s="4" cm="1">
        <f t="array" ref="AJ402">IF(FALSE,"True," &amp; IF(_xlfn.XLOOKUP("DstZone_IsAny",'Scoring_Config'!$A:$A,'Scoring_Config'!$D:$D,"Yes")="Yes",_xlfn.XLOOKUP("DstZone_IsAny",'Scoring_Config'!$A:$A,'Scoring_Config'!$C:$C,5),0),"False,0")</f>
        <v>0</v>
      </c>
      <c r="AK402" s="5" cm="1">
        <f t="array" ref="AK402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402" s="4" cm="1">
        <f t="array" ref="AL402">IF(FALSE,"True," &amp; IF(_xlfn.XLOOKUP("App_Any_OR_RangeGt1000",'Scoring_Config'!$A:$A,'Scoring_Config'!$D:$D,"Yes")="Yes",_xlfn.XLOOKUP("App_Any_OR_RangeGt1000",'Scoring_Config'!$A:$A,'Scoring_Config'!$C:$C,25),0),"False,0")</f>
        <v>0</v>
      </c>
      <c r="AM402" s="5" cm="1">
        <f t="array" ref="AM402">IF(TRUE,"True," &amp; IF(_xlfn.XLOOKUP("Service_Insecure_Match",'Scoring_Config'!$A:$A,'Scoring_Config'!$D:$D,"Yes")="Yes",_xlfn.XLOOKUP("Service_Insecure_Match",'Scoring_Config'!$A:$A,'Scoring_Config'!$C:$C,20),0),"False,0")</f>
        <v>0</v>
      </c>
      <c r="AN402" s="4" cm="1">
        <f t="array" ref="AN402">IF(FALSE,"True," &amp; IF(_xlfn.XLOOKUP("Risky_Inbound",'Scoring_Config'!$A:$A,'Scoring_Config'!$D:$D,"Yes")="Yes",_xlfn.XLOOKUP("Risky_Inbound",'Scoring_Config'!$A:$A,'Scoring_Config'!$C:$C,20),0),"False,0")</f>
        <v>0</v>
      </c>
      <c r="AO402" s="4" cm="1">
        <f t="array" ref="AO402">IF(FALSE,"True," &amp; IF(_xlfn.XLOOKUP("Risky_Outbound",'Scoring_Config'!$A:$A,'Scoring_Config'!$D:$D,"Yes")="Yes",_xlfn.XLOOKUP("Risky_Outbound",'Scoring_Config'!$A:$A,'Scoring_Config'!$C:$C,10),0),"False,0")</f>
        <v>0</v>
      </c>
      <c r="AP402" s="5" t="s">
        <v>2595</v>
      </c>
      <c r="AQ402" s="4" cm="1">
        <f t="array" ref="AQ40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2" s="4" t="s">
        <v>2592</v>
      </c>
      <c r="AS402" s="4" t="s">
        <v>2592</v>
      </c>
      <c r="AT402" s="4" t="s">
        <v>2592</v>
      </c>
      <c r="AU402" s="4" cm="1">
        <f t="array" ref="AU402">IF(FALSE,"True," &amp; IF(_xlfn.XLOOKUP("Action_IsDenyOrDrop",'Scoring_Config'!$A:$A,'Scoring_Config'!$D:$D,"Yes")="Yes",_xlfn.XLOOKUP("Action_IsDenyOrDrop",'Scoring_Config'!$A:$A,'Scoring_Config'!$C:$C,0),0),"False,0")</f>
        <v>0</v>
      </c>
      <c r="AV402" s="4"/>
      <c r="AW402" s="4" cm="1">
        <f t="array" ref="AW402">IF(FALSE,"True," &amp; IF(_xlfn.XLOOKUP("Migrate_Insecure",'Scoring_Config'!$A:$A,'Scoring_Config'!$D:$D,"Yes")="Yes",_xlfn.XLOOKUP("Migrate_Insecure",'Scoring_Config'!$A:$A,'Scoring_Config'!$C:$C,15),0),"False,0")</f>
        <v>0</v>
      </c>
      <c r="AX402" s="4" t="s">
        <v>2601</v>
      </c>
      <c r="AY402" s="5" cm="1">
        <f t="array" ref="AY402">IF(TRUE,"True," &amp; IF(_xlfn.XLOOKUP("Migrate_Other_Ports",'Scoring_Config'!$A:$A,'Scoring_Config'!$D:$D,"Yes")="Yes",_xlfn.XLOOKUP("Migrate_Other_Ports",'Scoring_Config'!$A:$A,'Scoring_Config'!$C:$C,5),0),"False,0")</f>
        <v>0</v>
      </c>
      <c r="AZ402" s="4" cm="1">
        <f t="array" ref="AZ402">IF(LEFT(AU402,4)="True",0,(IF(LEFT(AC402,4)="True",IF(_xlfn.XLOOKUP("Src_IsAny",'Scoring_Config'!$A:$A,'Scoring_Config'!$D:$D,"Yes")="Yes",_xlfn.XLOOKUP("Src_IsAny",'Scoring_Config'!$A:$A,'Scoring_Config'!$C:$C,25),0),0)+IF(LEFT(AD402,4)="True",IF(_xlfn.XLOOKUP("Src_CIDR_Le_16",'Scoring_Config'!$A:$A,'Scoring_Config'!$D:$D,"Yes")="Yes",_xlfn.XLOOKUP("Src_CIDR_Le_16",'Scoring_Config'!$A:$A,'Scoring_Config'!$C:$C,25),0),0)+IF(LEFT(AE402,4)="True",IF(_xlfn.XLOOKUP("Src_CIDR_17_22",'Scoring_Config'!$A:$A,'Scoring_Config'!$D:$D,"Yes")="Yes",_xlfn.XLOOKUP("Src_CIDR_17_22",'Scoring_Config'!$A:$A,'Scoring_Config'!$C:$C,15),0),0)+IF(LEFT(AF402,4)="True",IF(_xlfn.XLOOKUP("Dst_IsAny",'Scoring_Config'!$A:$A,'Scoring_Config'!$D:$D,"Yes")="Yes",_xlfn.XLOOKUP("Dst_IsAny",'Scoring_Config'!$A:$A,'Scoring_Config'!$C:$C,25),0),0)+IF(LEFT(AG402,4)="True",IF(_xlfn.XLOOKUP("Dst_CIDR_Le_16",'Scoring_Config'!$A:$A,'Scoring_Config'!$D:$D,"Yes")="Yes",_xlfn.XLOOKUP("Dst_CIDR_Le_16",'Scoring_Config'!$A:$A,'Scoring_Config'!$C:$C,25),0),0)+IF(LEFT(AH402,4)="True",IF(_xlfn.XLOOKUP("Dst_CIDR_17_22",'Scoring_Config'!$A:$A,'Scoring_Config'!$D:$D,"Yes")="Yes",_xlfn.XLOOKUP("Dst_CIDR_17_22",'Scoring_Config'!$A:$A,'Scoring_Config'!$C:$C,15),0),0)+IF(LEFT(AI402,4)="True",IF(_xlfn.XLOOKUP("SrcZone_IsAny",'Scoring_Config'!$A:$A,'Scoring_Config'!$D:$D,"Yes")="Yes",_xlfn.XLOOKUP("SrcZone_IsAny",'Scoring_Config'!$A:$A,'Scoring_Config'!$C:$C,5),0),0)+IF(LEFT(AJ402,4)="True",IF(_xlfn.XLOOKUP("DstZone_IsAny",'Scoring_Config'!$A:$A,'Scoring_Config'!$D:$D,"Yes")="Yes",_xlfn.XLOOKUP("DstZone_IsAny",'Scoring_Config'!$A:$A,'Scoring_Config'!$C:$C,5),0),0)+IF(LEFT(AK402,4)="True",IF(_xlfn.XLOOKUP("Service_Any_OR_RangeGt1000",'Scoring_Config'!$A:$A,'Scoring_Config'!$D:$D,"Yes")="Yes",_xlfn.XLOOKUP("Service_Any_OR_RangeGt1000",'Scoring_Config'!$A:$A,'Scoring_Config'!$C:$C,25),0),0)+IF(LEFT(AL402,4)="True",IF(_xlfn.XLOOKUP("App_Any_OR_RangeGt1000",'Scoring_Config'!$A:$A,'Scoring_Config'!$D:$D,"Yes")="Yes",_xlfn.XLOOKUP("App_Any_OR_RangeGt1000",'Scoring_Config'!$A:$A,'Scoring_Config'!$C:$C,25),0),0)+IF(LEFT(AM402,4)="True",IF(_xlfn.XLOOKUP("Service_Insecure_Match",'Scoring_Config'!$A:$A,'Scoring_Config'!$D:$D,"Yes")="Yes",_xlfn.XLOOKUP("Service_Insecure_Match",'Scoring_Config'!$A:$A,'Scoring_Config'!$C:$C,20),0),0)+IF(LEFT(AN402,4)="True",IF(_xlfn.XLOOKUP("Risky_Inbound",'Scoring_Config'!$A:$A,'Scoring_Config'!$D:$D,"Yes")="Yes",_xlfn.XLOOKUP("Risky_Inbound",'Scoring_Config'!$A:$A,'Scoring_Config'!$C:$C,20),0),0)+IF(LEFT(AO402,4)="True",IF(_xlfn.XLOOKUP("Risky_Outbound",'Scoring_Config'!$A:$A,'Scoring_Config'!$D:$D,"Yes")="Yes",_xlfn.XLOOKUP("Risky_Outbound",'Scoring_Config'!$A:$A,'Scoring_Config'!$C:$C,10),0),0)+IF(LEFT(AW402,4)="True",IF(_xlfn.XLOOKUP("Migrate_Insecure",'Scoring_Config'!$A:$A,'Scoring_Config'!$D:$D,"Yes")="Yes",_xlfn.XLOOKUP("Migrate_Insecure",'Scoring_Config'!$A:$A,'Scoring_Config'!$C:$C,15),0),0)+IF(LEFT(AY402,4)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402,FIND(",",AP402)+1,100)),0)+IF(LEFT(AQ402,4)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402,FIND(",",AR402)+1,100)),0)+IF(_xlfn.XLOOKUP("Profile_Scoring",'Scoring_Config'!$A:$A,'Scoring_Config'!$D:$D,"Yes")="Yes",VALUE(MID(AS402,FIND(",",AS402)+1,100)),0)+IF(_xlfn.XLOOKUP("Options_Scoring",'Scoring_Config'!$A:$A,'Scoring_Config'!$D:$D,"Yes")="Yes",VALUE(MID(AT402,FIND(",",AT402)+1,100)),0)))</f>
        <v>0</v>
      </c>
    </row>
    <row r="403" spans="1:52">
      <c r="A403" s="3" t="s">
        <v>55</v>
      </c>
      <c r="B403" s="3" t="s">
        <v>300</v>
      </c>
      <c r="C403" s="3" t="s">
        <v>332</v>
      </c>
      <c r="D403" s="3"/>
      <c r="E403" s="3" t="s">
        <v>359</v>
      </c>
      <c r="F403" s="3" t="s">
        <v>360</v>
      </c>
      <c r="G403" s="3" t="s">
        <v>521</v>
      </c>
      <c r="H403" s="3" t="s">
        <v>613</v>
      </c>
      <c r="I403" s="3" t="s">
        <v>622</v>
      </c>
      <c r="J403" s="3" t="s">
        <v>360</v>
      </c>
      <c r="K403" s="3" t="s">
        <v>724</v>
      </c>
      <c r="L403" s="3" t="s">
        <v>766</v>
      </c>
      <c r="M403" s="3" t="s">
        <v>775</v>
      </c>
      <c r="N403" s="3" t="s">
        <v>796</v>
      </c>
      <c r="O403" s="4" t="s">
        <v>833</v>
      </c>
      <c r="P403" s="3" t="s">
        <v>894</v>
      </c>
      <c r="Q403" s="3" t="s">
        <v>905</v>
      </c>
      <c r="R403" s="3" t="s">
        <v>907</v>
      </c>
      <c r="S403" s="3" t="s">
        <v>912</v>
      </c>
      <c r="T403" s="3" t="s">
        <v>1103</v>
      </c>
      <c r="U403" s="3" t="s">
        <v>1349</v>
      </c>
      <c r="V403" s="3" t="s">
        <v>789</v>
      </c>
      <c r="W403" s="3" t="s">
        <v>1567</v>
      </c>
      <c r="X403" s="3" t="s">
        <v>2007</v>
      </c>
      <c r="Y403" s="3" t="s">
        <v>2476</v>
      </c>
      <c r="Z403" s="3"/>
      <c r="AA403" s="3"/>
      <c r="AB403" s="3"/>
      <c r="AC403" s="4" cm="1">
        <f t="array" ref="AC403">IF(FALSE,"True," &amp; IF(_xlfn.XLOOKUP("Src_IsAny",'Scoring_Config'!$A:$A,'Scoring_Config'!$D:$D,"Yes")="Yes",_xlfn.XLOOKUP("Src_IsAny",'Scoring_Config'!$A:$A,'Scoring_Config'!$C:$C,25),0),"False,0")</f>
        <v>0</v>
      </c>
      <c r="AD403" s="4" cm="1">
        <f t="array" ref="AD403">IF(FALSE,"True," &amp; IF(_xlfn.XLOOKUP("Src_CIDR_Le_16",'Scoring_Config'!$A:$A,'Scoring_Config'!$D:$D,"Yes")="Yes",_xlfn.XLOOKUP("Src_CIDR_Le_16",'Scoring_Config'!$A:$A,'Scoring_Config'!$C:$C,25),0),"False,0")</f>
        <v>0</v>
      </c>
      <c r="AE403" s="4" cm="1">
        <f t="array" ref="AE403">IF(FALSE,"True," &amp; IF(_xlfn.XLOOKUP("Src_CIDR_17_22",'Scoring_Config'!$A:$A,'Scoring_Config'!$D:$D,"Yes")="Yes",_xlfn.XLOOKUP("Src_CIDR_17_22",'Scoring_Config'!$A:$A,'Scoring_Config'!$C:$C,15),0),"False,0")</f>
        <v>0</v>
      </c>
      <c r="AF403" s="4" cm="1">
        <f t="array" ref="AF403">IF(FALSE,"True," &amp; IF(_xlfn.XLOOKUP("Dst_IsAny",'Scoring_Config'!$A:$A,'Scoring_Config'!$D:$D,"Yes")="Yes",_xlfn.XLOOKUP("Dst_IsAny",'Scoring_Config'!$A:$A,'Scoring_Config'!$C:$C,25),0),"False,0")</f>
        <v>0</v>
      </c>
      <c r="AG403" s="4" cm="1">
        <f t="array" ref="AG403">IF(FALSE,"True," &amp; IF(_xlfn.XLOOKUP("Dst_CIDR_Le_16",'Scoring_Config'!$A:$A,'Scoring_Config'!$D:$D,"Yes")="Yes",_xlfn.XLOOKUP("Dst_CIDR_Le_16",'Scoring_Config'!$A:$A,'Scoring_Config'!$C:$C,25),0),"False,0")</f>
        <v>0</v>
      </c>
      <c r="AH403" s="4" cm="1">
        <f t="array" ref="AH403">IF(FALSE,"True," &amp; IF(_xlfn.XLOOKUP("Dst_CIDR_17_22",'Scoring_Config'!$A:$A,'Scoring_Config'!$D:$D,"Yes")="Yes",_xlfn.XLOOKUP("Dst_CIDR_17_22",'Scoring_Config'!$A:$A,'Scoring_Config'!$C:$C,15),0),"False,0")</f>
        <v>0</v>
      </c>
      <c r="AI403" s="4" cm="1">
        <f t="array" ref="AI403">IF(FALSE,"True," &amp; IF(_xlfn.XLOOKUP("SrcZone_IsAny",'Scoring_Config'!$A:$A,'Scoring_Config'!$D:$D,"Yes")="Yes",_xlfn.XLOOKUP("SrcZone_IsAny",'Scoring_Config'!$A:$A,'Scoring_Config'!$C:$C,5),0),"False,0")</f>
        <v>0</v>
      </c>
      <c r="AJ403" s="4" cm="1">
        <f t="array" ref="AJ403">IF(FALSE,"True," &amp; IF(_xlfn.XLOOKUP("DstZone_IsAny",'Scoring_Config'!$A:$A,'Scoring_Config'!$D:$D,"Yes")="Yes",_xlfn.XLOOKUP("DstZone_IsAny",'Scoring_Config'!$A:$A,'Scoring_Config'!$C:$C,5),0),"False,0")</f>
        <v>0</v>
      </c>
      <c r="AK403" s="5" cm="1">
        <f t="array" ref="AK40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403" s="4" cm="1">
        <f t="array" ref="AL403">IF(FALSE,"True," &amp; IF(_xlfn.XLOOKUP("App_Any_OR_RangeGt1000",'Scoring_Config'!$A:$A,'Scoring_Config'!$D:$D,"Yes")="Yes",_xlfn.XLOOKUP("App_Any_OR_RangeGt1000",'Scoring_Config'!$A:$A,'Scoring_Config'!$C:$C,25),0),"False,0")</f>
        <v>0</v>
      </c>
      <c r="AM403" s="5" cm="1">
        <f t="array" ref="AM403">IF(TRUE,"True," &amp; IF(_xlfn.XLOOKUP("Service_Insecure_Match",'Scoring_Config'!$A:$A,'Scoring_Config'!$D:$D,"Yes")="Yes",_xlfn.XLOOKUP("Service_Insecure_Match",'Scoring_Config'!$A:$A,'Scoring_Config'!$C:$C,20),0),"False,0")</f>
        <v>0</v>
      </c>
      <c r="AN403" s="4" cm="1">
        <f t="array" ref="AN403">IF(FALSE,"True," &amp; IF(_xlfn.XLOOKUP("Risky_Inbound",'Scoring_Config'!$A:$A,'Scoring_Config'!$D:$D,"Yes")="Yes",_xlfn.XLOOKUP("Risky_Inbound",'Scoring_Config'!$A:$A,'Scoring_Config'!$C:$C,20),0),"False,0")</f>
        <v>0</v>
      </c>
      <c r="AO403" s="4" cm="1">
        <f t="array" ref="AO403">IF(FALSE,"True," &amp; IF(_xlfn.XLOOKUP("Risky_Outbound",'Scoring_Config'!$A:$A,'Scoring_Config'!$D:$D,"Yes")="Yes",_xlfn.XLOOKUP("Risky_Outbound",'Scoring_Config'!$A:$A,'Scoring_Config'!$C:$C,10),0),"False,0")</f>
        <v>0</v>
      </c>
      <c r="AP403" s="5" t="s">
        <v>2595</v>
      </c>
      <c r="AQ403" s="4" cm="1">
        <f t="array" ref="AQ40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3" s="5" t="s">
        <v>2598</v>
      </c>
      <c r="AS403" s="5" t="s">
        <v>2595</v>
      </c>
      <c r="AT403" s="4" t="s">
        <v>2592</v>
      </c>
      <c r="AU403" s="4" cm="1">
        <f t="array" ref="AU403">IF(FALSE,"True," &amp; IF(_xlfn.XLOOKUP("Action_IsDenyOrDrop",'Scoring_Config'!$A:$A,'Scoring_Config'!$D:$D,"Yes")="Yes",_xlfn.XLOOKUP("Action_IsDenyOrDrop",'Scoring_Config'!$A:$A,'Scoring_Config'!$C:$C,0),0),"False,0")</f>
        <v>0</v>
      </c>
      <c r="AV403" s="4"/>
      <c r="AW403" s="4" cm="1">
        <f t="array" ref="AW403">IF(FALSE,"True," &amp; IF(_xlfn.XLOOKUP("Migrate_Insecure",'Scoring_Config'!$A:$A,'Scoring_Config'!$D:$D,"Yes")="Yes",_xlfn.XLOOKUP("Migrate_Insecure",'Scoring_Config'!$A:$A,'Scoring_Config'!$C:$C,15),0),"False,0")</f>
        <v>0</v>
      </c>
      <c r="AX403" s="4" t="s">
        <v>2600</v>
      </c>
      <c r="AY403" s="5" cm="1">
        <f t="array" ref="AY403">IF(TRUE,"True," &amp; IF(_xlfn.XLOOKUP("Migrate_Other_Ports",'Scoring_Config'!$A:$A,'Scoring_Config'!$D:$D,"Yes")="Yes",_xlfn.XLOOKUP("Migrate_Other_Ports",'Scoring_Config'!$A:$A,'Scoring_Config'!$C:$C,5),0),"False,0")</f>
        <v>0</v>
      </c>
      <c r="AZ403" s="4" cm="1">
        <f t="array" ref="AZ403">IF(LEFT(AU403,4)="True",0,(IF(LEFT(AC403,4)="True",IF(_xlfn.XLOOKUP("Src_IsAny",'Scoring_Config'!$A:$A,'Scoring_Config'!$D:$D,"Yes")="Yes",_xlfn.XLOOKUP("Src_IsAny",'Scoring_Config'!$A:$A,'Scoring_Config'!$C:$C,25),0),0)+IF(LEFT(AD403,4)="True",IF(_xlfn.XLOOKUP("Src_CIDR_Le_16",'Scoring_Config'!$A:$A,'Scoring_Config'!$D:$D,"Yes")="Yes",_xlfn.XLOOKUP("Src_CIDR_Le_16",'Scoring_Config'!$A:$A,'Scoring_Config'!$C:$C,25),0),0)+IF(LEFT(AE403,4)="True",IF(_xlfn.XLOOKUP("Src_CIDR_17_22",'Scoring_Config'!$A:$A,'Scoring_Config'!$D:$D,"Yes")="Yes",_xlfn.XLOOKUP("Src_CIDR_17_22",'Scoring_Config'!$A:$A,'Scoring_Config'!$C:$C,15),0),0)+IF(LEFT(AF403,4)="True",IF(_xlfn.XLOOKUP("Dst_IsAny",'Scoring_Config'!$A:$A,'Scoring_Config'!$D:$D,"Yes")="Yes",_xlfn.XLOOKUP("Dst_IsAny",'Scoring_Config'!$A:$A,'Scoring_Config'!$C:$C,25),0),0)+IF(LEFT(AG403,4)="True",IF(_xlfn.XLOOKUP("Dst_CIDR_Le_16",'Scoring_Config'!$A:$A,'Scoring_Config'!$D:$D,"Yes")="Yes",_xlfn.XLOOKUP("Dst_CIDR_Le_16",'Scoring_Config'!$A:$A,'Scoring_Config'!$C:$C,25),0),0)+IF(LEFT(AH403,4)="True",IF(_xlfn.XLOOKUP("Dst_CIDR_17_22",'Scoring_Config'!$A:$A,'Scoring_Config'!$D:$D,"Yes")="Yes",_xlfn.XLOOKUP("Dst_CIDR_17_22",'Scoring_Config'!$A:$A,'Scoring_Config'!$C:$C,15),0),0)+IF(LEFT(AI403,4)="True",IF(_xlfn.XLOOKUP("SrcZone_IsAny",'Scoring_Config'!$A:$A,'Scoring_Config'!$D:$D,"Yes")="Yes",_xlfn.XLOOKUP("SrcZone_IsAny",'Scoring_Config'!$A:$A,'Scoring_Config'!$C:$C,5),0),0)+IF(LEFT(AJ403,4)="True",IF(_xlfn.XLOOKUP("DstZone_IsAny",'Scoring_Config'!$A:$A,'Scoring_Config'!$D:$D,"Yes")="Yes",_xlfn.XLOOKUP("DstZone_IsAny",'Scoring_Config'!$A:$A,'Scoring_Config'!$C:$C,5),0),0)+IF(LEFT(AK403,4)="True",IF(_xlfn.XLOOKUP("Service_Any_OR_RangeGt1000",'Scoring_Config'!$A:$A,'Scoring_Config'!$D:$D,"Yes")="Yes",_xlfn.XLOOKUP("Service_Any_OR_RangeGt1000",'Scoring_Config'!$A:$A,'Scoring_Config'!$C:$C,25),0),0)+IF(LEFT(AL403,4)="True",IF(_xlfn.XLOOKUP("App_Any_OR_RangeGt1000",'Scoring_Config'!$A:$A,'Scoring_Config'!$D:$D,"Yes")="Yes",_xlfn.XLOOKUP("App_Any_OR_RangeGt1000",'Scoring_Config'!$A:$A,'Scoring_Config'!$C:$C,25),0),0)+IF(LEFT(AM403,4)="True",IF(_xlfn.XLOOKUP("Service_Insecure_Match",'Scoring_Config'!$A:$A,'Scoring_Config'!$D:$D,"Yes")="Yes",_xlfn.XLOOKUP("Service_Insecure_Match",'Scoring_Config'!$A:$A,'Scoring_Config'!$C:$C,20),0),0)+IF(LEFT(AN403,4)="True",IF(_xlfn.XLOOKUP("Risky_Inbound",'Scoring_Config'!$A:$A,'Scoring_Config'!$D:$D,"Yes")="Yes",_xlfn.XLOOKUP("Risky_Inbound",'Scoring_Config'!$A:$A,'Scoring_Config'!$C:$C,20),0),0)+IF(LEFT(AO403,4)="True",IF(_xlfn.XLOOKUP("Risky_Outbound",'Scoring_Config'!$A:$A,'Scoring_Config'!$D:$D,"Yes")="Yes",_xlfn.XLOOKUP("Risky_Outbound",'Scoring_Config'!$A:$A,'Scoring_Config'!$C:$C,10),0),0)+IF(LEFT(AW403,4)="True",IF(_xlfn.XLOOKUP("Migrate_Insecure",'Scoring_Config'!$A:$A,'Scoring_Config'!$D:$D,"Yes")="Yes",_xlfn.XLOOKUP("Migrate_Insecure",'Scoring_Config'!$A:$A,'Scoring_Config'!$C:$C,15),0),0)+IF(LEFT(AY403,4)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403,FIND(",",AP403)+1,100)),0)+IF(LEFT(AQ403,4)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403,FIND(",",AR403)+1,100)),0)+IF(_xlfn.XLOOKUP("Profile_Scoring",'Scoring_Config'!$A:$A,'Scoring_Config'!$D:$D,"Yes")="Yes",VALUE(MID(AS403,FIND(",",AS403)+1,100)),0)+IF(_xlfn.XLOOKUP("Options_Scoring",'Scoring_Config'!$A:$A,'Scoring_Config'!$D:$D,"Yes")="Yes",VALUE(MID(AT403,FIND(",",AT403)+1,100)),0)))</f>
        <v>0</v>
      </c>
    </row>
    <row r="404" spans="1:52">
      <c r="A404" s="3" t="s">
        <v>55</v>
      </c>
      <c r="B404" s="3" t="s">
        <v>301</v>
      </c>
      <c r="C404" s="3" t="s">
        <v>332</v>
      </c>
      <c r="D404" s="3"/>
      <c r="E404" s="3" t="s">
        <v>359</v>
      </c>
      <c r="F404" s="3" t="s">
        <v>364</v>
      </c>
      <c r="G404" s="3" t="s">
        <v>365</v>
      </c>
      <c r="H404" s="3" t="s">
        <v>365</v>
      </c>
      <c r="I404" s="3" t="s">
        <v>623</v>
      </c>
      <c r="J404" s="3" t="s">
        <v>362</v>
      </c>
      <c r="K404" s="3" t="s">
        <v>533</v>
      </c>
      <c r="L404" s="3" t="s">
        <v>594</v>
      </c>
      <c r="M404" s="3" t="s">
        <v>773</v>
      </c>
      <c r="N404" s="3" t="s">
        <v>773</v>
      </c>
      <c r="O404" s="4" t="s">
        <v>815</v>
      </c>
      <c r="P404" s="3" t="s">
        <v>876</v>
      </c>
      <c r="Q404" s="3" t="s">
        <v>905</v>
      </c>
      <c r="R404" s="3" t="s">
        <v>906</v>
      </c>
      <c r="S404" s="3" t="s">
        <v>913</v>
      </c>
      <c r="T404" s="3" t="s">
        <v>919</v>
      </c>
      <c r="U404" s="3" t="s">
        <v>1350</v>
      </c>
      <c r="V404" s="3" t="s">
        <v>1386</v>
      </c>
      <c r="W404" s="3" t="s">
        <v>1531</v>
      </c>
      <c r="X404" s="3" t="s">
        <v>2008</v>
      </c>
      <c r="Y404" s="3" t="s">
        <v>2477</v>
      </c>
      <c r="Z404" s="3"/>
      <c r="AA404" s="3"/>
      <c r="AB404" s="3"/>
      <c r="AC404" s="5" cm="1">
        <f t="array" ref="AC404">IF(TRUE,"True," &amp; IF(_xlfn.XLOOKUP("Src_IsAny",'Scoring_Config'!$A:$A,'Scoring_Config'!$D:$D,"Yes")="Yes",_xlfn.XLOOKUP("Src_IsAny",'Scoring_Config'!$A:$A,'Scoring_Config'!$C:$C,25),0),"False,0")</f>
        <v>0</v>
      </c>
      <c r="AD404" s="4" cm="1">
        <f t="array" ref="AD404">IF(FALSE,"True," &amp; IF(_xlfn.XLOOKUP("Src_CIDR_Le_16",'Scoring_Config'!$A:$A,'Scoring_Config'!$D:$D,"Yes")="Yes",_xlfn.XLOOKUP("Src_CIDR_Le_16",'Scoring_Config'!$A:$A,'Scoring_Config'!$C:$C,25),0),"False,0")</f>
        <v>0</v>
      </c>
      <c r="AE404" s="4" cm="1">
        <f t="array" ref="AE404">IF(FALSE,"True," &amp; IF(_xlfn.XLOOKUP("Src_CIDR_17_22",'Scoring_Config'!$A:$A,'Scoring_Config'!$D:$D,"Yes")="Yes",_xlfn.XLOOKUP("Src_CIDR_17_22",'Scoring_Config'!$A:$A,'Scoring_Config'!$C:$C,15),0),"False,0")</f>
        <v>0</v>
      </c>
      <c r="AF404" s="4" cm="1">
        <f t="array" ref="AF404">IF(FALSE,"True," &amp; IF(_xlfn.XLOOKUP("Dst_IsAny",'Scoring_Config'!$A:$A,'Scoring_Config'!$D:$D,"Yes")="Yes",_xlfn.XLOOKUP("Dst_IsAny",'Scoring_Config'!$A:$A,'Scoring_Config'!$C:$C,25),0),"False,0")</f>
        <v>0</v>
      </c>
      <c r="AG404" s="5" cm="1">
        <f t="array" ref="AG404">IF(TRUE,"True," &amp; IF(_xlfn.XLOOKUP("Dst_CIDR_Le_16",'Scoring_Config'!$A:$A,'Scoring_Config'!$D:$D,"Yes")="Yes",_xlfn.XLOOKUP("Dst_CIDR_Le_16",'Scoring_Config'!$A:$A,'Scoring_Config'!$C:$C,25),0),"False,0")</f>
        <v>0</v>
      </c>
      <c r="AH404" s="4" cm="1">
        <f t="array" ref="AH404">IF(FALSE,"True," &amp; IF(_xlfn.XLOOKUP("Dst_CIDR_17_22",'Scoring_Config'!$A:$A,'Scoring_Config'!$D:$D,"Yes")="Yes",_xlfn.XLOOKUP("Dst_CIDR_17_22",'Scoring_Config'!$A:$A,'Scoring_Config'!$C:$C,15),0),"False,0")</f>
        <v>0</v>
      </c>
      <c r="AI404" s="4" cm="1">
        <f t="array" ref="AI404">IF(FALSE,"True," &amp; IF(_xlfn.XLOOKUP("SrcZone_IsAny",'Scoring_Config'!$A:$A,'Scoring_Config'!$D:$D,"Yes")="Yes",_xlfn.XLOOKUP("SrcZone_IsAny",'Scoring_Config'!$A:$A,'Scoring_Config'!$C:$C,5),0),"False,0")</f>
        <v>0</v>
      </c>
      <c r="AJ404" s="4" cm="1">
        <f t="array" ref="AJ404">IF(FALSE,"True," &amp; IF(_xlfn.XLOOKUP("DstZone_IsAny",'Scoring_Config'!$A:$A,'Scoring_Config'!$D:$D,"Yes")="Yes",_xlfn.XLOOKUP("DstZone_IsAny",'Scoring_Config'!$A:$A,'Scoring_Config'!$C:$C,5),0),"False,0")</f>
        <v>0</v>
      </c>
      <c r="AK404" s="4" cm="1">
        <f t="array" ref="AK40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4" s="4" cm="1">
        <f t="array" ref="AL404">IF(FALSE,"True," &amp; IF(_xlfn.XLOOKUP("App_Any_OR_RangeGt1000",'Scoring_Config'!$A:$A,'Scoring_Config'!$D:$D,"Yes")="Yes",_xlfn.XLOOKUP("App_Any_OR_RangeGt1000",'Scoring_Config'!$A:$A,'Scoring_Config'!$C:$C,25),0),"False,0")</f>
        <v>0</v>
      </c>
      <c r="AM404" s="4" cm="1">
        <f t="array" ref="AM404">IF(FALSE,"True," &amp; IF(_xlfn.XLOOKUP("Service_Insecure_Match",'Scoring_Config'!$A:$A,'Scoring_Config'!$D:$D,"Yes")="Yes",_xlfn.XLOOKUP("Service_Insecure_Match",'Scoring_Config'!$A:$A,'Scoring_Config'!$C:$C,20),0),"False,0")</f>
        <v>0</v>
      </c>
      <c r="AN404" s="4" cm="1">
        <f t="array" ref="AN404">IF(FALSE,"True," &amp; IF(_xlfn.XLOOKUP("Risky_Inbound",'Scoring_Config'!$A:$A,'Scoring_Config'!$D:$D,"Yes")="Yes",_xlfn.XLOOKUP("Risky_Inbound",'Scoring_Config'!$A:$A,'Scoring_Config'!$C:$C,20),0),"False,0")</f>
        <v>0</v>
      </c>
      <c r="AO404" s="4" cm="1">
        <f t="array" ref="AO404">IF(FALSE,"True," &amp; IF(_xlfn.XLOOKUP("Risky_Outbound",'Scoring_Config'!$A:$A,'Scoring_Config'!$D:$D,"Yes")="Yes",_xlfn.XLOOKUP("Risky_Outbound",'Scoring_Config'!$A:$A,'Scoring_Config'!$C:$C,10),0),"False,0")</f>
        <v>0</v>
      </c>
      <c r="AP404" s="5" t="s">
        <v>2595</v>
      </c>
      <c r="AQ404" s="4" cm="1">
        <f t="array" ref="AQ40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4" s="5" t="s">
        <v>2598</v>
      </c>
      <c r="AS404" s="4" t="s">
        <v>2592</v>
      </c>
      <c r="AT404" s="4" t="s">
        <v>2592</v>
      </c>
      <c r="AU404" s="4" cm="1">
        <f t="array" ref="AU404">IF(FALSE,"True," &amp; IF(_xlfn.XLOOKUP("Action_IsDenyOrDrop",'Scoring_Config'!$A:$A,'Scoring_Config'!$D:$D,"Yes")="Yes",_xlfn.XLOOKUP("Action_IsDenyOrDrop",'Scoring_Config'!$A:$A,'Scoring_Config'!$C:$C,0),0),"False,0")</f>
        <v>0</v>
      </c>
      <c r="AV404" s="4"/>
      <c r="AW404" s="4" cm="1">
        <f t="array" ref="AW404">IF(FALSE,"True," &amp; IF(_xlfn.XLOOKUP("Migrate_Insecure",'Scoring_Config'!$A:$A,'Scoring_Config'!$D:$D,"Yes")="Yes",_xlfn.XLOOKUP("Migrate_Insecure",'Scoring_Config'!$A:$A,'Scoring_Config'!$C:$C,15),0),"False,0")</f>
        <v>0</v>
      </c>
      <c r="AX404" s="4"/>
      <c r="AY404" s="4" cm="1">
        <f t="array" ref="AY404">IF(FALSE,"True," &amp; IF(_xlfn.XLOOKUP("Migrate_Other_Ports",'Scoring_Config'!$A:$A,'Scoring_Config'!$D:$D,"Yes")="Yes",_xlfn.XLOOKUP("Migrate_Other_Ports",'Scoring_Config'!$A:$A,'Scoring_Config'!$C:$C,5),0),"False,0")</f>
        <v>0</v>
      </c>
      <c r="AZ404" s="4" cm="1">
        <f t="array" ref="AZ404">IF(LEFT(AU404,4)="True",0,(IF(LEFT(AC404,4)="True",IF(_xlfn.XLOOKUP("Src_IsAny",'Scoring_Config'!$A:$A,'Scoring_Config'!$D:$D,"Yes")="Yes",_xlfn.XLOOKUP("Src_IsAny",'Scoring_Config'!$A:$A,'Scoring_Config'!$C:$C,25),0),0)+IF(LEFT(AD404,4)="True",IF(_xlfn.XLOOKUP("Src_CIDR_Le_16",'Scoring_Config'!$A:$A,'Scoring_Config'!$D:$D,"Yes")="Yes",_xlfn.XLOOKUP("Src_CIDR_Le_16",'Scoring_Config'!$A:$A,'Scoring_Config'!$C:$C,25),0),0)+IF(LEFT(AE404,4)="True",IF(_xlfn.XLOOKUP("Src_CIDR_17_22",'Scoring_Config'!$A:$A,'Scoring_Config'!$D:$D,"Yes")="Yes",_xlfn.XLOOKUP("Src_CIDR_17_22",'Scoring_Config'!$A:$A,'Scoring_Config'!$C:$C,15),0),0)+IF(LEFT(AF404,4)="True",IF(_xlfn.XLOOKUP("Dst_IsAny",'Scoring_Config'!$A:$A,'Scoring_Config'!$D:$D,"Yes")="Yes",_xlfn.XLOOKUP("Dst_IsAny",'Scoring_Config'!$A:$A,'Scoring_Config'!$C:$C,25),0),0)+IF(LEFT(AG404,4)="True",IF(_xlfn.XLOOKUP("Dst_CIDR_Le_16",'Scoring_Config'!$A:$A,'Scoring_Config'!$D:$D,"Yes")="Yes",_xlfn.XLOOKUP("Dst_CIDR_Le_16",'Scoring_Config'!$A:$A,'Scoring_Config'!$C:$C,25),0),0)+IF(LEFT(AH404,4)="True",IF(_xlfn.XLOOKUP("Dst_CIDR_17_22",'Scoring_Config'!$A:$A,'Scoring_Config'!$D:$D,"Yes")="Yes",_xlfn.XLOOKUP("Dst_CIDR_17_22",'Scoring_Config'!$A:$A,'Scoring_Config'!$C:$C,15),0),0)+IF(LEFT(AI404,4)="True",IF(_xlfn.XLOOKUP("SrcZone_IsAny",'Scoring_Config'!$A:$A,'Scoring_Config'!$D:$D,"Yes")="Yes",_xlfn.XLOOKUP("SrcZone_IsAny",'Scoring_Config'!$A:$A,'Scoring_Config'!$C:$C,5),0),0)+IF(LEFT(AJ404,4)="True",IF(_xlfn.XLOOKUP("DstZone_IsAny",'Scoring_Config'!$A:$A,'Scoring_Config'!$D:$D,"Yes")="Yes",_xlfn.XLOOKUP("DstZone_IsAny",'Scoring_Config'!$A:$A,'Scoring_Config'!$C:$C,5),0),0)+IF(LEFT(AK404,4)="True",IF(_xlfn.XLOOKUP("Service_Any_OR_RangeGt1000",'Scoring_Config'!$A:$A,'Scoring_Config'!$D:$D,"Yes")="Yes",_xlfn.XLOOKUP("Service_Any_OR_RangeGt1000",'Scoring_Config'!$A:$A,'Scoring_Config'!$C:$C,25),0),0)+IF(LEFT(AL404,4)="True",IF(_xlfn.XLOOKUP("App_Any_OR_RangeGt1000",'Scoring_Config'!$A:$A,'Scoring_Config'!$D:$D,"Yes")="Yes",_xlfn.XLOOKUP("App_Any_OR_RangeGt1000",'Scoring_Config'!$A:$A,'Scoring_Config'!$C:$C,25),0),0)+IF(LEFT(AM404,4)="True",IF(_xlfn.XLOOKUP("Service_Insecure_Match",'Scoring_Config'!$A:$A,'Scoring_Config'!$D:$D,"Yes")="Yes",_xlfn.XLOOKUP("Service_Insecure_Match",'Scoring_Config'!$A:$A,'Scoring_Config'!$C:$C,20),0),0)+IF(LEFT(AN404,4)="True",IF(_xlfn.XLOOKUP("Risky_Inbound",'Scoring_Config'!$A:$A,'Scoring_Config'!$D:$D,"Yes")="Yes",_xlfn.XLOOKUP("Risky_Inbound",'Scoring_Config'!$A:$A,'Scoring_Config'!$C:$C,20),0),0)+IF(LEFT(AO404,4)="True",IF(_xlfn.XLOOKUP("Risky_Outbound",'Scoring_Config'!$A:$A,'Scoring_Config'!$D:$D,"Yes")="Yes",_xlfn.XLOOKUP("Risky_Outbound",'Scoring_Config'!$A:$A,'Scoring_Config'!$C:$C,10),0),0)+IF(LEFT(AW404,4)="True",IF(_xlfn.XLOOKUP("Migrate_Insecure",'Scoring_Config'!$A:$A,'Scoring_Config'!$D:$D,"Yes")="Yes",_xlfn.XLOOKUP("Migrate_Insecure",'Scoring_Config'!$A:$A,'Scoring_Config'!$C:$C,15),0),0)+IF(LEFT(AY404,4)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404,FIND(",",AP404)+1,100)),0)+IF(LEFT(AQ404,4)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404,FIND(",",AR404)+1,100)),0)+IF(_xlfn.XLOOKUP("Profile_Scoring",'Scoring_Config'!$A:$A,'Scoring_Config'!$D:$D,"Yes")="Yes",VALUE(MID(AS404,FIND(",",AS404)+1,100)),0)+IF(_xlfn.XLOOKUP("Options_Scoring",'Scoring_Config'!$A:$A,'Scoring_Config'!$D:$D,"Yes")="Yes",VALUE(MID(AT404,FIND(",",AT404)+1,100)),0)))</f>
        <v>0</v>
      </c>
    </row>
    <row r="405" spans="1:52">
      <c r="A405" s="3" t="s">
        <v>55</v>
      </c>
      <c r="B405" s="3" t="s">
        <v>144</v>
      </c>
      <c r="C405" s="3" t="s">
        <v>332</v>
      </c>
      <c r="D405" s="3"/>
      <c r="E405" s="3" t="s">
        <v>359</v>
      </c>
      <c r="F405" s="3" t="s">
        <v>361</v>
      </c>
      <c r="G405" s="3" t="s">
        <v>522</v>
      </c>
      <c r="H405" s="3" t="s">
        <v>614</v>
      </c>
      <c r="I405" s="3" t="s">
        <v>365</v>
      </c>
      <c r="J405" s="3" t="s">
        <v>360</v>
      </c>
      <c r="K405" s="3" t="s">
        <v>519</v>
      </c>
      <c r="L405" s="3" t="s">
        <v>611</v>
      </c>
      <c r="M405" s="3" t="s">
        <v>771</v>
      </c>
      <c r="N405" s="3" t="s">
        <v>793</v>
      </c>
      <c r="O405" s="4" t="s">
        <v>859</v>
      </c>
      <c r="P405" s="3" t="s">
        <v>881</v>
      </c>
      <c r="Q405" s="3" t="s">
        <v>905</v>
      </c>
      <c r="R405" s="3" t="s">
        <v>909</v>
      </c>
      <c r="S405" s="3" t="s">
        <v>916</v>
      </c>
      <c r="T405" s="3" t="s">
        <v>1104</v>
      </c>
      <c r="U405" s="3" t="s">
        <v>1145</v>
      </c>
      <c r="V405" s="3" t="s">
        <v>1388</v>
      </c>
      <c r="W405" s="3" t="s">
        <v>1540</v>
      </c>
      <c r="X405" s="3" t="s">
        <v>2009</v>
      </c>
      <c r="Y405" s="3" t="s">
        <v>2478</v>
      </c>
      <c r="Z405" s="3"/>
      <c r="AA405" s="3"/>
      <c r="AB405" s="3"/>
      <c r="AC405" s="5" cm="1">
        <f t="array" ref="AC405">IF(TRUE,"True," &amp; IF(_xlfn.XLOOKUP("Src_IsAny",'Scoring_Config'!$A:$A,'Scoring_Config'!$D:$D,"Yes")="Yes",_xlfn.XLOOKUP("Src_IsAny",'Scoring_Config'!$A:$A,'Scoring_Config'!$C:$C,25),0),"False,0")</f>
        <v>0</v>
      </c>
      <c r="AD405" s="4" cm="1">
        <f t="array" ref="AD405">IF(FALSE,"True," &amp; IF(_xlfn.XLOOKUP("Src_CIDR_Le_16",'Scoring_Config'!$A:$A,'Scoring_Config'!$D:$D,"Yes")="Yes",_xlfn.XLOOKUP("Src_CIDR_Le_16",'Scoring_Config'!$A:$A,'Scoring_Config'!$C:$C,25),0),"False,0")</f>
        <v>0</v>
      </c>
      <c r="AE405" s="4" cm="1">
        <f t="array" ref="AE405">IF(FALSE,"True," &amp; IF(_xlfn.XLOOKUP("Src_CIDR_17_22",'Scoring_Config'!$A:$A,'Scoring_Config'!$D:$D,"Yes")="Yes",_xlfn.XLOOKUP("Src_CIDR_17_22",'Scoring_Config'!$A:$A,'Scoring_Config'!$C:$C,15),0),"False,0")</f>
        <v>0</v>
      </c>
      <c r="AF405" s="4" cm="1">
        <f t="array" ref="AF405">IF(FALSE,"True," &amp; IF(_xlfn.XLOOKUP("Dst_IsAny",'Scoring_Config'!$A:$A,'Scoring_Config'!$D:$D,"Yes")="Yes",_xlfn.XLOOKUP("Dst_IsAny",'Scoring_Config'!$A:$A,'Scoring_Config'!$C:$C,25),0),"False,0")</f>
        <v>0</v>
      </c>
      <c r="AG405" s="4" cm="1">
        <f t="array" ref="AG405">IF(FALSE,"True," &amp; IF(_xlfn.XLOOKUP("Dst_CIDR_Le_16",'Scoring_Config'!$A:$A,'Scoring_Config'!$D:$D,"Yes")="Yes",_xlfn.XLOOKUP("Dst_CIDR_Le_16",'Scoring_Config'!$A:$A,'Scoring_Config'!$C:$C,25),0),"False,0")</f>
        <v>0</v>
      </c>
      <c r="AH405" s="4" cm="1">
        <f t="array" ref="AH405">IF(FALSE,"True," &amp; IF(_xlfn.XLOOKUP("Dst_CIDR_17_22",'Scoring_Config'!$A:$A,'Scoring_Config'!$D:$D,"Yes")="Yes",_xlfn.XLOOKUP("Dst_CIDR_17_22",'Scoring_Config'!$A:$A,'Scoring_Config'!$C:$C,15),0),"False,0")</f>
        <v>0</v>
      </c>
      <c r="AI405" s="4" cm="1">
        <f t="array" ref="AI405">IF(FALSE,"True," &amp; IF(_xlfn.XLOOKUP("SrcZone_IsAny",'Scoring_Config'!$A:$A,'Scoring_Config'!$D:$D,"Yes")="Yes",_xlfn.XLOOKUP("SrcZone_IsAny",'Scoring_Config'!$A:$A,'Scoring_Config'!$C:$C,5),0),"False,0")</f>
        <v>0</v>
      </c>
      <c r="AJ405" s="4" cm="1">
        <f t="array" ref="AJ405">IF(FALSE,"True," &amp; IF(_xlfn.XLOOKUP("DstZone_IsAny",'Scoring_Config'!$A:$A,'Scoring_Config'!$D:$D,"Yes")="Yes",_xlfn.XLOOKUP("DstZone_IsAny",'Scoring_Config'!$A:$A,'Scoring_Config'!$C:$C,5),0),"False,0")</f>
        <v>0</v>
      </c>
      <c r="AK405" s="4" cm="1">
        <f t="array" ref="AK40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5" s="4" cm="1">
        <f t="array" ref="AL405">IF(FALSE,"True," &amp; IF(_xlfn.XLOOKUP("App_Any_OR_RangeGt1000",'Scoring_Config'!$A:$A,'Scoring_Config'!$D:$D,"Yes")="Yes",_xlfn.XLOOKUP("App_Any_OR_RangeGt1000",'Scoring_Config'!$A:$A,'Scoring_Config'!$C:$C,25),0),"False,0")</f>
        <v>0</v>
      </c>
      <c r="AM405" s="5" cm="1">
        <f t="array" ref="AM405">IF(TRUE,"True," &amp; IF(_xlfn.XLOOKUP("Service_Insecure_Match",'Scoring_Config'!$A:$A,'Scoring_Config'!$D:$D,"Yes")="Yes",_xlfn.XLOOKUP("Service_Insecure_Match",'Scoring_Config'!$A:$A,'Scoring_Config'!$C:$C,20),0),"False,0")</f>
        <v>0</v>
      </c>
      <c r="AN405" s="5" cm="1">
        <f t="array" ref="AN405">IF(TRUE,"True," &amp; IF(_xlfn.XLOOKUP("Risky_Inbound",'Scoring_Config'!$A:$A,'Scoring_Config'!$D:$D,"Yes")="Yes",_xlfn.XLOOKUP("Risky_Inbound",'Scoring_Config'!$A:$A,'Scoring_Config'!$C:$C,20),0),"False,0")</f>
        <v>0</v>
      </c>
      <c r="AO405" s="4" cm="1">
        <f t="array" ref="AO405">IF(FALSE,"True," &amp; IF(_xlfn.XLOOKUP("Risky_Outbound",'Scoring_Config'!$A:$A,'Scoring_Config'!$D:$D,"Yes")="Yes",_xlfn.XLOOKUP("Risky_Outbound",'Scoring_Config'!$A:$A,'Scoring_Config'!$C:$C,10),0),"False,0")</f>
        <v>0</v>
      </c>
      <c r="AP405" s="5" t="s">
        <v>2595</v>
      </c>
      <c r="AQ405" s="5" cm="1">
        <f t="array" ref="AQ40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5" s="4" t="s">
        <v>2592</v>
      </c>
      <c r="AS405" s="4" t="s">
        <v>2592</v>
      </c>
      <c r="AT405" s="4" t="s">
        <v>2592</v>
      </c>
      <c r="AU405" s="4" cm="1">
        <f t="array" ref="AU405">IF(FALSE,"True," &amp; IF(_xlfn.XLOOKUP("Action_IsDenyOrDrop",'Scoring_Config'!$A:$A,'Scoring_Config'!$D:$D,"Yes")="Yes",_xlfn.XLOOKUP("Action_IsDenyOrDrop",'Scoring_Config'!$A:$A,'Scoring_Config'!$C:$C,0),0),"False,0")</f>
        <v>0</v>
      </c>
      <c r="AV405" s="4"/>
      <c r="AW405" s="4" cm="1">
        <f t="array" ref="AW405">IF(FALSE,"True," &amp; IF(_xlfn.XLOOKUP("Migrate_Insecure",'Scoring_Config'!$A:$A,'Scoring_Config'!$D:$D,"Yes")="Yes",_xlfn.XLOOKUP("Migrate_Insecure",'Scoring_Config'!$A:$A,'Scoring_Config'!$C:$C,15),0),"False,0")</f>
        <v>0</v>
      </c>
      <c r="AX405" s="4"/>
      <c r="AY405" s="4" cm="1">
        <f t="array" ref="AY405">IF(FALSE,"True," &amp; IF(_xlfn.XLOOKUP("Migrate_Other_Ports",'Scoring_Config'!$A:$A,'Scoring_Config'!$D:$D,"Yes")="Yes",_xlfn.XLOOKUP("Migrate_Other_Ports",'Scoring_Config'!$A:$A,'Scoring_Config'!$C:$C,5),0),"False,0")</f>
        <v>0</v>
      </c>
      <c r="AZ405" s="4" cm="1">
        <f t="array" ref="AZ405">IF(LEFT(AU405,4)="True",0,(IF(LEFT(AC405,4)="True",IF(_xlfn.XLOOKUP("Src_IsAny",'Scoring_Config'!$A:$A,'Scoring_Config'!$D:$D,"Yes")="Yes",_xlfn.XLOOKUP("Src_IsAny",'Scoring_Config'!$A:$A,'Scoring_Config'!$C:$C,25),0),0)+IF(LEFT(AD405,4)="True",IF(_xlfn.XLOOKUP("Src_CIDR_Le_16",'Scoring_Config'!$A:$A,'Scoring_Config'!$D:$D,"Yes")="Yes",_xlfn.XLOOKUP("Src_CIDR_Le_16",'Scoring_Config'!$A:$A,'Scoring_Config'!$C:$C,25),0),0)+IF(LEFT(AE405,4)="True",IF(_xlfn.XLOOKUP("Src_CIDR_17_22",'Scoring_Config'!$A:$A,'Scoring_Config'!$D:$D,"Yes")="Yes",_xlfn.XLOOKUP("Src_CIDR_17_22",'Scoring_Config'!$A:$A,'Scoring_Config'!$C:$C,15),0),0)+IF(LEFT(AF405,4)="True",IF(_xlfn.XLOOKUP("Dst_IsAny",'Scoring_Config'!$A:$A,'Scoring_Config'!$D:$D,"Yes")="Yes",_xlfn.XLOOKUP("Dst_IsAny",'Scoring_Config'!$A:$A,'Scoring_Config'!$C:$C,25),0),0)+IF(LEFT(AG405,4)="True",IF(_xlfn.XLOOKUP("Dst_CIDR_Le_16",'Scoring_Config'!$A:$A,'Scoring_Config'!$D:$D,"Yes")="Yes",_xlfn.XLOOKUP("Dst_CIDR_Le_16",'Scoring_Config'!$A:$A,'Scoring_Config'!$C:$C,25),0),0)+IF(LEFT(AH405,4)="True",IF(_xlfn.XLOOKUP("Dst_CIDR_17_22",'Scoring_Config'!$A:$A,'Scoring_Config'!$D:$D,"Yes")="Yes",_xlfn.XLOOKUP("Dst_CIDR_17_22",'Scoring_Config'!$A:$A,'Scoring_Config'!$C:$C,15),0),0)+IF(LEFT(AI405,4)="True",IF(_xlfn.XLOOKUP("SrcZone_IsAny",'Scoring_Config'!$A:$A,'Scoring_Config'!$D:$D,"Yes")="Yes",_xlfn.XLOOKUP("SrcZone_IsAny",'Scoring_Config'!$A:$A,'Scoring_Config'!$C:$C,5),0),0)+IF(LEFT(AJ405,4)="True",IF(_xlfn.XLOOKUP("DstZone_IsAny",'Scoring_Config'!$A:$A,'Scoring_Config'!$D:$D,"Yes")="Yes",_xlfn.XLOOKUP("DstZone_IsAny",'Scoring_Config'!$A:$A,'Scoring_Config'!$C:$C,5),0),0)+IF(LEFT(AK405,4)="True",IF(_xlfn.XLOOKUP("Service_Any_OR_RangeGt1000",'Scoring_Config'!$A:$A,'Scoring_Config'!$D:$D,"Yes")="Yes",_xlfn.XLOOKUP("Service_Any_OR_RangeGt1000",'Scoring_Config'!$A:$A,'Scoring_Config'!$C:$C,25),0),0)+IF(LEFT(AL405,4)="True",IF(_xlfn.XLOOKUP("App_Any_OR_RangeGt1000",'Scoring_Config'!$A:$A,'Scoring_Config'!$D:$D,"Yes")="Yes",_xlfn.XLOOKUP("App_Any_OR_RangeGt1000",'Scoring_Config'!$A:$A,'Scoring_Config'!$C:$C,25),0),0)+IF(LEFT(AM405,4)="True",IF(_xlfn.XLOOKUP("Service_Insecure_Match",'Scoring_Config'!$A:$A,'Scoring_Config'!$D:$D,"Yes")="Yes",_xlfn.XLOOKUP("Service_Insecure_Match",'Scoring_Config'!$A:$A,'Scoring_Config'!$C:$C,20),0),0)+IF(LEFT(AN405,4)="True",IF(_xlfn.XLOOKUP("Risky_Inbound",'Scoring_Config'!$A:$A,'Scoring_Config'!$D:$D,"Yes")="Yes",_xlfn.XLOOKUP("Risky_Inbound",'Scoring_Config'!$A:$A,'Scoring_Config'!$C:$C,20),0),0)+IF(LEFT(AO405,4)="True",IF(_xlfn.XLOOKUP("Risky_Outbound",'Scoring_Config'!$A:$A,'Scoring_Config'!$D:$D,"Yes")="Yes",_xlfn.XLOOKUP("Risky_Outbound",'Scoring_Config'!$A:$A,'Scoring_Config'!$C:$C,10),0),0)+IF(LEFT(AW405,4)="True",IF(_xlfn.XLOOKUP("Migrate_Insecure",'Scoring_Config'!$A:$A,'Scoring_Config'!$D:$D,"Yes")="Yes",_xlfn.XLOOKUP("Migrate_Insecure",'Scoring_Config'!$A:$A,'Scoring_Config'!$C:$C,15),0),0)+IF(LEFT(AY405,4)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405,FIND(",",AP405)+1,100)),0)+IF(LEFT(AQ405,4)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405,FIND(",",AR405)+1,100)),0)+IF(_xlfn.XLOOKUP("Profile_Scoring",'Scoring_Config'!$A:$A,'Scoring_Config'!$D:$D,"Yes")="Yes",VALUE(MID(AS405,FIND(",",AS405)+1,100)),0)+IF(_xlfn.XLOOKUP("Options_Scoring",'Scoring_Config'!$A:$A,'Scoring_Config'!$D:$D,"Yes")="Yes",VALUE(MID(AT405,FIND(",",AT405)+1,100)),0)))</f>
        <v>0</v>
      </c>
    </row>
    <row r="406" spans="1:52">
      <c r="A406" s="3" t="s">
        <v>55</v>
      </c>
      <c r="B406" s="3" t="s">
        <v>302</v>
      </c>
      <c r="C406" s="3" t="s">
        <v>332</v>
      </c>
      <c r="D406" s="3"/>
      <c r="E406" s="3" t="s">
        <v>359</v>
      </c>
      <c r="F406" s="3" t="s">
        <v>365</v>
      </c>
      <c r="G406" s="3" t="s">
        <v>523</v>
      </c>
      <c r="H406" s="3" t="s">
        <v>615</v>
      </c>
      <c r="I406" s="3" t="s">
        <v>625</v>
      </c>
      <c r="J406" s="3" t="s">
        <v>363</v>
      </c>
      <c r="K406" s="3" t="s">
        <v>530</v>
      </c>
      <c r="L406" s="3" t="s">
        <v>530</v>
      </c>
      <c r="M406" s="3" t="s">
        <v>790</v>
      </c>
      <c r="N406" s="3" t="s">
        <v>791</v>
      </c>
      <c r="O406" s="4" t="s">
        <v>808</v>
      </c>
      <c r="P406" s="3" t="s">
        <v>869</v>
      </c>
      <c r="Q406" s="3" t="s">
        <v>904</v>
      </c>
      <c r="R406" s="3" t="s">
        <v>908</v>
      </c>
      <c r="S406" s="3" t="s">
        <v>912</v>
      </c>
      <c r="T406" s="3" t="s">
        <v>1105</v>
      </c>
      <c r="U406" s="3" t="s">
        <v>1351</v>
      </c>
      <c r="V406" s="3" t="s">
        <v>1388</v>
      </c>
      <c r="W406" s="3" t="s">
        <v>1422</v>
      </c>
      <c r="X406" s="3" t="s">
        <v>2010</v>
      </c>
      <c r="Y406" s="3" t="s">
        <v>2479</v>
      </c>
      <c r="Z406" s="3"/>
      <c r="AA406" s="3"/>
      <c r="AB406" s="3"/>
      <c r="AC406" s="4" cm="1">
        <f t="array" ref="AC406">IF(FALSE,"True," &amp; IF(_xlfn.XLOOKUP("Src_IsAny",'Scoring_Config'!$A:$A,'Scoring_Config'!$D:$D,"Yes")="Yes",_xlfn.XLOOKUP("Src_IsAny",'Scoring_Config'!$A:$A,'Scoring_Config'!$C:$C,25),0),"False,0")</f>
        <v>0</v>
      </c>
      <c r="AD406" s="4" cm="1">
        <f t="array" ref="AD406">IF(FALSE,"True," &amp; IF(_xlfn.XLOOKUP("Src_CIDR_Le_16",'Scoring_Config'!$A:$A,'Scoring_Config'!$D:$D,"Yes")="Yes",_xlfn.XLOOKUP("Src_CIDR_Le_16",'Scoring_Config'!$A:$A,'Scoring_Config'!$C:$C,25),0),"False,0")</f>
        <v>0</v>
      </c>
      <c r="AE406" s="4" cm="1">
        <f t="array" ref="AE406">IF(FALSE,"True," &amp; IF(_xlfn.XLOOKUP("Src_CIDR_17_22",'Scoring_Config'!$A:$A,'Scoring_Config'!$D:$D,"Yes")="Yes",_xlfn.XLOOKUP("Src_CIDR_17_22",'Scoring_Config'!$A:$A,'Scoring_Config'!$C:$C,15),0),"False,0")</f>
        <v>0</v>
      </c>
      <c r="AF406" s="4" cm="1">
        <f t="array" ref="AF406">IF(FALSE,"True," &amp; IF(_xlfn.XLOOKUP("Dst_IsAny",'Scoring_Config'!$A:$A,'Scoring_Config'!$D:$D,"Yes")="Yes",_xlfn.XLOOKUP("Dst_IsAny",'Scoring_Config'!$A:$A,'Scoring_Config'!$C:$C,25),0),"False,0")</f>
        <v>0</v>
      </c>
      <c r="AG406" s="5" cm="1">
        <f t="array" ref="AG406">IF(TRUE,"True," &amp; IF(_xlfn.XLOOKUP("Dst_CIDR_Le_16",'Scoring_Config'!$A:$A,'Scoring_Config'!$D:$D,"Yes")="Yes",_xlfn.XLOOKUP("Dst_CIDR_Le_16",'Scoring_Config'!$A:$A,'Scoring_Config'!$C:$C,25),0),"False,0")</f>
        <v>0</v>
      </c>
      <c r="AH406" s="4" cm="1">
        <f t="array" ref="AH406">IF(FALSE,"True," &amp; IF(_xlfn.XLOOKUP("Dst_CIDR_17_22",'Scoring_Config'!$A:$A,'Scoring_Config'!$D:$D,"Yes")="Yes",_xlfn.XLOOKUP("Dst_CIDR_17_22",'Scoring_Config'!$A:$A,'Scoring_Config'!$C:$C,15),0),"False,0")</f>
        <v>0</v>
      </c>
      <c r="AI406" s="5" cm="1">
        <f t="array" ref="AI406">IF(TRUE,"True," &amp; IF(_xlfn.XLOOKUP("SrcZone_IsAny",'Scoring_Config'!$A:$A,'Scoring_Config'!$D:$D,"Yes")="Yes",_xlfn.XLOOKUP("SrcZone_IsAny",'Scoring_Config'!$A:$A,'Scoring_Config'!$C:$C,5),0),"False,0")</f>
        <v>0</v>
      </c>
      <c r="AJ406" s="4" cm="1">
        <f t="array" ref="AJ406">IF(FALSE,"True," &amp; IF(_xlfn.XLOOKUP("DstZone_IsAny",'Scoring_Config'!$A:$A,'Scoring_Config'!$D:$D,"Yes")="Yes",_xlfn.XLOOKUP("DstZone_IsAny",'Scoring_Config'!$A:$A,'Scoring_Config'!$C:$C,5),0),"False,0")</f>
        <v>0</v>
      </c>
      <c r="AK406" s="4" cm="1">
        <f t="array" ref="AK40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6" s="5" cm="1">
        <f t="array" ref="AL406">IF(TRUE,"True," &amp; IF(_xlfn.XLOOKUP("App_Any_OR_RangeGt1000",'Scoring_Config'!$A:$A,'Scoring_Config'!$D:$D,"Yes")="Yes",_xlfn.XLOOKUP("App_Any_OR_RangeGt1000",'Scoring_Config'!$A:$A,'Scoring_Config'!$C:$C,25),0),"False,0")</f>
        <v>0</v>
      </c>
      <c r="AM406" s="5" cm="1">
        <f t="array" ref="AM406">IF(TRUE,"True," &amp; IF(_xlfn.XLOOKUP("Service_Insecure_Match",'Scoring_Config'!$A:$A,'Scoring_Config'!$D:$D,"Yes")="Yes",_xlfn.XLOOKUP("Service_Insecure_Match",'Scoring_Config'!$A:$A,'Scoring_Config'!$C:$C,20),0),"False,0")</f>
        <v>0</v>
      </c>
      <c r="AN406" s="5" cm="1">
        <f t="array" ref="AN406">IF(TRUE,"True," &amp; IF(_xlfn.XLOOKUP("Risky_Inbound",'Scoring_Config'!$A:$A,'Scoring_Config'!$D:$D,"Yes")="Yes",_xlfn.XLOOKUP("Risky_Inbound",'Scoring_Config'!$A:$A,'Scoring_Config'!$C:$C,20),0),"False,0")</f>
        <v>0</v>
      </c>
      <c r="AO406" s="4" cm="1">
        <f t="array" ref="AO406">IF(FALSE,"True," &amp; IF(_xlfn.XLOOKUP("Risky_Outbound",'Scoring_Config'!$A:$A,'Scoring_Config'!$D:$D,"Yes")="Yes",_xlfn.XLOOKUP("Risky_Outbound",'Scoring_Config'!$A:$A,'Scoring_Config'!$C:$C,10),0),"False,0")</f>
        <v>0</v>
      </c>
      <c r="AP406" s="5" t="s">
        <v>2595</v>
      </c>
      <c r="AQ406" s="4" cm="1">
        <f t="array" ref="AQ40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6" s="5" t="s">
        <v>2598</v>
      </c>
      <c r="AS406" s="4" t="s">
        <v>2592</v>
      </c>
      <c r="AT406" s="4" t="s">
        <v>2592</v>
      </c>
      <c r="AU406" s="5" cm="1">
        <f t="array" ref="AU406">IF(TRUE,"True," &amp; IF(_xlfn.XLOOKUP("Action_IsDenyOrDrop",'Scoring_Config'!$A:$A,'Scoring_Config'!$D:$D,"Yes")="Yes",_xlfn.XLOOKUP("Action_IsDenyOrDrop",'Scoring_Config'!$A:$A,'Scoring_Config'!$C:$C,0),0),"False,0")</f>
        <v>0</v>
      </c>
      <c r="AV406" s="4"/>
      <c r="AW406" s="4" cm="1">
        <f t="array" ref="AW406">IF(FALSE,"True," &amp; IF(_xlfn.XLOOKUP("Migrate_Insecure",'Scoring_Config'!$A:$A,'Scoring_Config'!$D:$D,"Yes")="Yes",_xlfn.XLOOKUP("Migrate_Insecure",'Scoring_Config'!$A:$A,'Scoring_Config'!$C:$C,15),0),"False,0")</f>
        <v>0</v>
      </c>
      <c r="AX406" s="4"/>
      <c r="AY406" s="4" cm="1">
        <f t="array" ref="AY406">IF(FALSE,"True," &amp; IF(_xlfn.XLOOKUP("Migrate_Other_Ports",'Scoring_Config'!$A:$A,'Scoring_Config'!$D:$D,"Yes")="Yes",_xlfn.XLOOKUP("Migrate_Other_Ports",'Scoring_Config'!$A:$A,'Scoring_Config'!$C:$C,5),0),"False,0")</f>
        <v>0</v>
      </c>
      <c r="AZ406" s="4" cm="1">
        <f t="array" ref="AZ406">IF(LEFT(AU406,4)="True",0,(IF(LEFT(AC406,4)="True",IF(_xlfn.XLOOKUP("Src_IsAny",'Scoring_Config'!$A:$A,'Scoring_Config'!$D:$D,"Yes")="Yes",_xlfn.XLOOKUP("Src_IsAny",'Scoring_Config'!$A:$A,'Scoring_Config'!$C:$C,25),0),0)+IF(LEFT(AD406,4)="True",IF(_xlfn.XLOOKUP("Src_CIDR_Le_16",'Scoring_Config'!$A:$A,'Scoring_Config'!$D:$D,"Yes")="Yes",_xlfn.XLOOKUP("Src_CIDR_Le_16",'Scoring_Config'!$A:$A,'Scoring_Config'!$C:$C,25),0),0)+IF(LEFT(AE406,4)="True",IF(_xlfn.XLOOKUP("Src_CIDR_17_22",'Scoring_Config'!$A:$A,'Scoring_Config'!$D:$D,"Yes")="Yes",_xlfn.XLOOKUP("Src_CIDR_17_22",'Scoring_Config'!$A:$A,'Scoring_Config'!$C:$C,15),0),0)+IF(LEFT(AF406,4)="True",IF(_xlfn.XLOOKUP("Dst_IsAny",'Scoring_Config'!$A:$A,'Scoring_Config'!$D:$D,"Yes")="Yes",_xlfn.XLOOKUP("Dst_IsAny",'Scoring_Config'!$A:$A,'Scoring_Config'!$C:$C,25),0),0)+IF(LEFT(AG406,4)="True",IF(_xlfn.XLOOKUP("Dst_CIDR_Le_16",'Scoring_Config'!$A:$A,'Scoring_Config'!$D:$D,"Yes")="Yes",_xlfn.XLOOKUP("Dst_CIDR_Le_16",'Scoring_Config'!$A:$A,'Scoring_Config'!$C:$C,25),0),0)+IF(LEFT(AH406,4)="True",IF(_xlfn.XLOOKUP("Dst_CIDR_17_22",'Scoring_Config'!$A:$A,'Scoring_Config'!$D:$D,"Yes")="Yes",_xlfn.XLOOKUP("Dst_CIDR_17_22",'Scoring_Config'!$A:$A,'Scoring_Config'!$C:$C,15),0),0)+IF(LEFT(AI406,4)="True",IF(_xlfn.XLOOKUP("SrcZone_IsAny",'Scoring_Config'!$A:$A,'Scoring_Config'!$D:$D,"Yes")="Yes",_xlfn.XLOOKUP("SrcZone_IsAny",'Scoring_Config'!$A:$A,'Scoring_Config'!$C:$C,5),0),0)+IF(LEFT(AJ406,4)="True",IF(_xlfn.XLOOKUP("DstZone_IsAny",'Scoring_Config'!$A:$A,'Scoring_Config'!$D:$D,"Yes")="Yes",_xlfn.XLOOKUP("DstZone_IsAny",'Scoring_Config'!$A:$A,'Scoring_Config'!$C:$C,5),0),0)+IF(LEFT(AK406,4)="True",IF(_xlfn.XLOOKUP("Service_Any_OR_RangeGt1000",'Scoring_Config'!$A:$A,'Scoring_Config'!$D:$D,"Yes")="Yes",_xlfn.XLOOKUP("Service_Any_OR_RangeGt1000",'Scoring_Config'!$A:$A,'Scoring_Config'!$C:$C,25),0),0)+IF(LEFT(AL406,4)="True",IF(_xlfn.XLOOKUP("App_Any_OR_RangeGt1000",'Scoring_Config'!$A:$A,'Scoring_Config'!$D:$D,"Yes")="Yes",_xlfn.XLOOKUP("App_Any_OR_RangeGt1000",'Scoring_Config'!$A:$A,'Scoring_Config'!$C:$C,25),0),0)+IF(LEFT(AM406,4)="True",IF(_xlfn.XLOOKUP("Service_Insecure_Match",'Scoring_Config'!$A:$A,'Scoring_Config'!$D:$D,"Yes")="Yes",_xlfn.XLOOKUP("Service_Insecure_Match",'Scoring_Config'!$A:$A,'Scoring_Config'!$C:$C,20),0),0)+IF(LEFT(AN406,4)="True",IF(_xlfn.XLOOKUP("Risky_Inbound",'Scoring_Config'!$A:$A,'Scoring_Config'!$D:$D,"Yes")="Yes",_xlfn.XLOOKUP("Risky_Inbound",'Scoring_Config'!$A:$A,'Scoring_Config'!$C:$C,20),0),0)+IF(LEFT(AO406,4)="True",IF(_xlfn.XLOOKUP("Risky_Outbound",'Scoring_Config'!$A:$A,'Scoring_Config'!$D:$D,"Yes")="Yes",_xlfn.XLOOKUP("Risky_Outbound",'Scoring_Config'!$A:$A,'Scoring_Config'!$C:$C,10),0),0)+IF(LEFT(AW406,4)="True",IF(_xlfn.XLOOKUP("Migrate_Insecure",'Scoring_Config'!$A:$A,'Scoring_Config'!$D:$D,"Yes")="Yes",_xlfn.XLOOKUP("Migrate_Insecure",'Scoring_Config'!$A:$A,'Scoring_Config'!$C:$C,15),0),0)+IF(LEFT(AY406,4)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406,FIND(",",AP406)+1,100)),0)+IF(LEFT(AQ406,4)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406,FIND(",",AR406)+1,100)),0)+IF(_xlfn.XLOOKUP("Profile_Scoring",'Scoring_Config'!$A:$A,'Scoring_Config'!$D:$D,"Yes")="Yes",VALUE(MID(AS406,FIND(",",AS406)+1,100)),0)+IF(_xlfn.XLOOKUP("Options_Scoring",'Scoring_Config'!$A:$A,'Scoring_Config'!$D:$D,"Yes")="Yes",VALUE(MID(AT406,FIND(",",AT406)+1,100)),0)))</f>
        <v>0</v>
      </c>
    </row>
    <row r="407" spans="1:52">
      <c r="A407" s="3" t="s">
        <v>55</v>
      </c>
      <c r="B407" s="3" t="s">
        <v>102</v>
      </c>
      <c r="C407" s="3" t="s">
        <v>332</v>
      </c>
      <c r="D407" s="3"/>
      <c r="E407" s="3" t="s">
        <v>359</v>
      </c>
      <c r="F407" s="3" t="s">
        <v>364</v>
      </c>
      <c r="G407" s="3" t="s">
        <v>518</v>
      </c>
      <c r="H407" s="3" t="s">
        <v>610</v>
      </c>
      <c r="I407" s="3" t="s">
        <v>365</v>
      </c>
      <c r="J407" s="3" t="s">
        <v>362</v>
      </c>
      <c r="K407" s="3" t="s">
        <v>518</v>
      </c>
      <c r="L407" s="3" t="s">
        <v>610</v>
      </c>
      <c r="M407" s="3" t="s">
        <v>771</v>
      </c>
      <c r="N407" s="3" t="s">
        <v>793</v>
      </c>
      <c r="O407" s="4" t="s">
        <v>823</v>
      </c>
      <c r="P407" s="3" t="s">
        <v>884</v>
      </c>
      <c r="Q407" s="3" t="s">
        <v>905</v>
      </c>
      <c r="R407" s="3" t="s">
        <v>909</v>
      </c>
      <c r="S407" s="3" t="s">
        <v>914</v>
      </c>
      <c r="T407" s="3" t="s">
        <v>1106</v>
      </c>
      <c r="U407" s="3" t="s">
        <v>1150</v>
      </c>
      <c r="V407" s="3" t="s">
        <v>1389</v>
      </c>
      <c r="W407" s="3" t="s">
        <v>1587</v>
      </c>
      <c r="X407" s="3" t="s">
        <v>2011</v>
      </c>
      <c r="Y407" s="3" t="s">
        <v>2480</v>
      </c>
      <c r="Z407" s="3"/>
      <c r="AA407" s="3"/>
      <c r="AB407" s="3"/>
      <c r="AC407" s="4" cm="1">
        <f t="array" ref="AC407">IF(FALSE,"True," &amp; IF(_xlfn.XLOOKUP("Src_IsAny",'Scoring_Config'!$A:$A,'Scoring_Config'!$D:$D,"Yes")="Yes",_xlfn.XLOOKUP("Src_IsAny",'Scoring_Config'!$A:$A,'Scoring_Config'!$C:$C,25),0),"False,0")</f>
        <v>0</v>
      </c>
      <c r="AD407" s="4" cm="1">
        <f t="array" ref="AD407">IF(FALSE,"True," &amp; IF(_xlfn.XLOOKUP("Src_CIDR_Le_16",'Scoring_Config'!$A:$A,'Scoring_Config'!$D:$D,"Yes")="Yes",_xlfn.XLOOKUP("Src_CIDR_Le_16",'Scoring_Config'!$A:$A,'Scoring_Config'!$C:$C,25),0),"False,0")</f>
        <v>0</v>
      </c>
      <c r="AE407" s="4" cm="1">
        <f t="array" ref="AE407">IF(FALSE,"True," &amp; IF(_xlfn.XLOOKUP("Src_CIDR_17_22",'Scoring_Config'!$A:$A,'Scoring_Config'!$D:$D,"Yes")="Yes",_xlfn.XLOOKUP("Src_CIDR_17_22",'Scoring_Config'!$A:$A,'Scoring_Config'!$C:$C,15),0),"False,0")</f>
        <v>0</v>
      </c>
      <c r="AF407" s="4" cm="1">
        <f t="array" ref="AF407">IF(FALSE,"True," &amp; IF(_xlfn.XLOOKUP("Dst_IsAny",'Scoring_Config'!$A:$A,'Scoring_Config'!$D:$D,"Yes")="Yes",_xlfn.XLOOKUP("Dst_IsAny",'Scoring_Config'!$A:$A,'Scoring_Config'!$C:$C,25),0),"False,0")</f>
        <v>0</v>
      </c>
      <c r="AG407" s="4" cm="1">
        <f t="array" ref="AG407">IF(FALSE,"True," &amp; IF(_xlfn.XLOOKUP("Dst_CIDR_Le_16",'Scoring_Config'!$A:$A,'Scoring_Config'!$D:$D,"Yes")="Yes",_xlfn.XLOOKUP("Dst_CIDR_Le_16",'Scoring_Config'!$A:$A,'Scoring_Config'!$C:$C,25),0),"False,0")</f>
        <v>0</v>
      </c>
      <c r="AH407" s="4" cm="1">
        <f t="array" ref="AH407">IF(FALSE,"True," &amp; IF(_xlfn.XLOOKUP("Dst_CIDR_17_22",'Scoring_Config'!$A:$A,'Scoring_Config'!$D:$D,"Yes")="Yes",_xlfn.XLOOKUP("Dst_CIDR_17_22",'Scoring_Config'!$A:$A,'Scoring_Config'!$C:$C,15),0),"False,0")</f>
        <v>0</v>
      </c>
      <c r="AI407" s="4" cm="1">
        <f t="array" ref="AI407">IF(FALSE,"True," &amp; IF(_xlfn.XLOOKUP("SrcZone_IsAny",'Scoring_Config'!$A:$A,'Scoring_Config'!$D:$D,"Yes")="Yes",_xlfn.XLOOKUP("SrcZone_IsAny",'Scoring_Config'!$A:$A,'Scoring_Config'!$C:$C,5),0),"False,0")</f>
        <v>0</v>
      </c>
      <c r="AJ407" s="4" cm="1">
        <f t="array" ref="AJ407">IF(FALSE,"True," &amp; IF(_xlfn.XLOOKUP("DstZone_IsAny",'Scoring_Config'!$A:$A,'Scoring_Config'!$D:$D,"Yes")="Yes",_xlfn.XLOOKUP("DstZone_IsAny",'Scoring_Config'!$A:$A,'Scoring_Config'!$C:$C,5),0),"False,0")</f>
        <v>0</v>
      </c>
      <c r="AK407" s="4" cm="1">
        <f t="array" ref="AK40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7" s="4" cm="1">
        <f t="array" ref="AL407">IF(FALSE,"True," &amp; IF(_xlfn.XLOOKUP("App_Any_OR_RangeGt1000",'Scoring_Config'!$A:$A,'Scoring_Config'!$D:$D,"Yes")="Yes",_xlfn.XLOOKUP("App_Any_OR_RangeGt1000",'Scoring_Config'!$A:$A,'Scoring_Config'!$C:$C,25),0),"False,0")</f>
        <v>0</v>
      </c>
      <c r="AM407" s="5" cm="1">
        <f t="array" ref="AM407">IF(TRUE,"True," &amp; IF(_xlfn.XLOOKUP("Service_Insecure_Match",'Scoring_Config'!$A:$A,'Scoring_Config'!$D:$D,"Yes")="Yes",_xlfn.XLOOKUP("Service_Insecure_Match",'Scoring_Config'!$A:$A,'Scoring_Config'!$C:$C,20),0),"False,0")</f>
        <v>0</v>
      </c>
      <c r="AN407" s="4" cm="1">
        <f t="array" ref="AN407">IF(FALSE,"True," &amp; IF(_xlfn.XLOOKUP("Risky_Inbound",'Scoring_Config'!$A:$A,'Scoring_Config'!$D:$D,"Yes")="Yes",_xlfn.XLOOKUP("Risky_Inbound",'Scoring_Config'!$A:$A,'Scoring_Config'!$C:$C,20),0),"False,0")</f>
        <v>0</v>
      </c>
      <c r="AO407" s="4" cm="1">
        <f t="array" ref="AO407">IF(FALSE,"True," &amp; IF(_xlfn.XLOOKUP("Risky_Outbound",'Scoring_Config'!$A:$A,'Scoring_Config'!$D:$D,"Yes")="Yes",_xlfn.XLOOKUP("Risky_Outbound",'Scoring_Config'!$A:$A,'Scoring_Config'!$C:$C,10),0),"False,0")</f>
        <v>0</v>
      </c>
      <c r="AP407" s="5" t="s">
        <v>2595</v>
      </c>
      <c r="AQ407" s="5" cm="1">
        <f t="array" ref="AQ407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7" s="4" t="s">
        <v>2592</v>
      </c>
      <c r="AS407" s="4" t="s">
        <v>2592</v>
      </c>
      <c r="AT407" s="4" t="s">
        <v>2592</v>
      </c>
      <c r="AU407" s="4" cm="1">
        <f t="array" ref="AU407">IF(FALSE,"True," &amp; IF(_xlfn.XLOOKUP("Action_IsDenyOrDrop",'Scoring_Config'!$A:$A,'Scoring_Config'!$D:$D,"Yes")="Yes",_xlfn.XLOOKUP("Action_IsDenyOrDrop",'Scoring_Config'!$A:$A,'Scoring_Config'!$C:$C,0),0),"False,0")</f>
        <v>0</v>
      </c>
      <c r="AV407" s="4"/>
      <c r="AW407" s="4" cm="1">
        <f t="array" ref="AW407">IF(FALSE,"True," &amp; IF(_xlfn.XLOOKUP("Migrate_Insecure",'Scoring_Config'!$A:$A,'Scoring_Config'!$D:$D,"Yes")="Yes",_xlfn.XLOOKUP("Migrate_Insecure",'Scoring_Config'!$A:$A,'Scoring_Config'!$C:$C,15),0),"False,0")</f>
        <v>0</v>
      </c>
      <c r="AX407" s="4"/>
      <c r="AY407" s="4" cm="1">
        <f t="array" ref="AY407">IF(FALSE,"True," &amp; IF(_xlfn.XLOOKUP("Migrate_Other_Ports",'Scoring_Config'!$A:$A,'Scoring_Config'!$D:$D,"Yes")="Yes",_xlfn.XLOOKUP("Migrate_Other_Ports",'Scoring_Config'!$A:$A,'Scoring_Config'!$C:$C,5),0),"False,0")</f>
        <v>0</v>
      </c>
      <c r="AZ407" s="4" cm="1">
        <f t="array" ref="AZ407">IF(LEFT(AU407,4)="True",0,(IF(LEFT(AC407,4)="True",IF(_xlfn.XLOOKUP("Src_IsAny",'Scoring_Config'!$A:$A,'Scoring_Config'!$D:$D,"Yes")="Yes",_xlfn.XLOOKUP("Src_IsAny",'Scoring_Config'!$A:$A,'Scoring_Config'!$C:$C,25),0),0)+IF(LEFT(AD407,4)="True",IF(_xlfn.XLOOKUP("Src_CIDR_Le_16",'Scoring_Config'!$A:$A,'Scoring_Config'!$D:$D,"Yes")="Yes",_xlfn.XLOOKUP("Src_CIDR_Le_16",'Scoring_Config'!$A:$A,'Scoring_Config'!$C:$C,25),0),0)+IF(LEFT(AE407,4)="True",IF(_xlfn.XLOOKUP("Src_CIDR_17_22",'Scoring_Config'!$A:$A,'Scoring_Config'!$D:$D,"Yes")="Yes",_xlfn.XLOOKUP("Src_CIDR_17_22",'Scoring_Config'!$A:$A,'Scoring_Config'!$C:$C,15),0),0)+IF(LEFT(AF407,4)="True",IF(_xlfn.XLOOKUP("Dst_IsAny",'Scoring_Config'!$A:$A,'Scoring_Config'!$D:$D,"Yes")="Yes",_xlfn.XLOOKUP("Dst_IsAny",'Scoring_Config'!$A:$A,'Scoring_Config'!$C:$C,25),0),0)+IF(LEFT(AG407,4)="True",IF(_xlfn.XLOOKUP("Dst_CIDR_Le_16",'Scoring_Config'!$A:$A,'Scoring_Config'!$D:$D,"Yes")="Yes",_xlfn.XLOOKUP("Dst_CIDR_Le_16",'Scoring_Config'!$A:$A,'Scoring_Config'!$C:$C,25),0),0)+IF(LEFT(AH407,4)="True",IF(_xlfn.XLOOKUP("Dst_CIDR_17_22",'Scoring_Config'!$A:$A,'Scoring_Config'!$D:$D,"Yes")="Yes",_xlfn.XLOOKUP("Dst_CIDR_17_22",'Scoring_Config'!$A:$A,'Scoring_Config'!$C:$C,15),0),0)+IF(LEFT(AI407,4)="True",IF(_xlfn.XLOOKUP("SrcZone_IsAny",'Scoring_Config'!$A:$A,'Scoring_Config'!$D:$D,"Yes")="Yes",_xlfn.XLOOKUP("SrcZone_IsAny",'Scoring_Config'!$A:$A,'Scoring_Config'!$C:$C,5),0),0)+IF(LEFT(AJ407,4)="True",IF(_xlfn.XLOOKUP("DstZone_IsAny",'Scoring_Config'!$A:$A,'Scoring_Config'!$D:$D,"Yes")="Yes",_xlfn.XLOOKUP("DstZone_IsAny",'Scoring_Config'!$A:$A,'Scoring_Config'!$C:$C,5),0),0)+IF(LEFT(AK407,4)="True",IF(_xlfn.XLOOKUP("Service_Any_OR_RangeGt1000",'Scoring_Config'!$A:$A,'Scoring_Config'!$D:$D,"Yes")="Yes",_xlfn.XLOOKUP("Service_Any_OR_RangeGt1000",'Scoring_Config'!$A:$A,'Scoring_Config'!$C:$C,25),0),0)+IF(LEFT(AL407,4)="True",IF(_xlfn.XLOOKUP("App_Any_OR_RangeGt1000",'Scoring_Config'!$A:$A,'Scoring_Config'!$D:$D,"Yes")="Yes",_xlfn.XLOOKUP("App_Any_OR_RangeGt1000",'Scoring_Config'!$A:$A,'Scoring_Config'!$C:$C,25),0),0)+IF(LEFT(AM407,4)="True",IF(_xlfn.XLOOKUP("Service_Insecure_Match",'Scoring_Config'!$A:$A,'Scoring_Config'!$D:$D,"Yes")="Yes",_xlfn.XLOOKUP("Service_Insecure_Match",'Scoring_Config'!$A:$A,'Scoring_Config'!$C:$C,20),0),0)+IF(LEFT(AN407,4)="True",IF(_xlfn.XLOOKUP("Risky_Inbound",'Scoring_Config'!$A:$A,'Scoring_Config'!$D:$D,"Yes")="Yes",_xlfn.XLOOKUP("Risky_Inbound",'Scoring_Config'!$A:$A,'Scoring_Config'!$C:$C,20),0),0)+IF(LEFT(AO407,4)="True",IF(_xlfn.XLOOKUP("Risky_Outbound",'Scoring_Config'!$A:$A,'Scoring_Config'!$D:$D,"Yes")="Yes",_xlfn.XLOOKUP("Risky_Outbound",'Scoring_Config'!$A:$A,'Scoring_Config'!$C:$C,10),0),0)+IF(LEFT(AW407,4)="True",IF(_xlfn.XLOOKUP("Migrate_Insecure",'Scoring_Config'!$A:$A,'Scoring_Config'!$D:$D,"Yes")="Yes",_xlfn.XLOOKUP("Migrate_Insecure",'Scoring_Config'!$A:$A,'Scoring_Config'!$C:$C,15),0),0)+IF(LEFT(AY407,4)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407,FIND(",",AP407)+1,100)),0)+IF(LEFT(AQ407,4)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407,FIND(",",AR407)+1,100)),0)+IF(_xlfn.XLOOKUP("Profile_Scoring",'Scoring_Config'!$A:$A,'Scoring_Config'!$D:$D,"Yes")="Yes",VALUE(MID(AS407,FIND(",",AS407)+1,100)),0)+IF(_xlfn.XLOOKUP("Options_Scoring",'Scoring_Config'!$A:$A,'Scoring_Config'!$D:$D,"Yes")="Yes",VALUE(MID(AT407,FIND(",",AT407)+1,100)),0)))</f>
        <v>0</v>
      </c>
    </row>
    <row r="408" spans="1:52">
      <c r="A408" s="3" t="s">
        <v>55</v>
      </c>
      <c r="B408" s="3" t="s">
        <v>303</v>
      </c>
      <c r="C408" s="3" t="s">
        <v>332</v>
      </c>
      <c r="D408" s="3"/>
      <c r="E408" s="3" t="s">
        <v>359</v>
      </c>
      <c r="F408" s="3" t="s">
        <v>361</v>
      </c>
      <c r="G408" s="3" t="s">
        <v>365</v>
      </c>
      <c r="H408" s="3" t="s">
        <v>365</v>
      </c>
      <c r="I408" s="3" t="s">
        <v>622</v>
      </c>
      <c r="J408" s="3" t="s">
        <v>360</v>
      </c>
      <c r="K408" s="3" t="s">
        <v>365</v>
      </c>
      <c r="L408" s="3" t="s">
        <v>365</v>
      </c>
      <c r="M408" s="3" t="s">
        <v>365</v>
      </c>
      <c r="N408" s="3" t="s">
        <v>365</v>
      </c>
      <c r="O408" s="4" t="s">
        <v>801</v>
      </c>
      <c r="P408" s="3" t="s">
        <v>862</v>
      </c>
      <c r="Q408" s="3" t="s">
        <v>905</v>
      </c>
      <c r="R408" s="3" t="s">
        <v>907</v>
      </c>
      <c r="S408" s="3" t="s">
        <v>915</v>
      </c>
      <c r="T408" s="3" t="s">
        <v>919</v>
      </c>
      <c r="U408" s="3"/>
      <c r="V408" s="3" t="s">
        <v>770</v>
      </c>
      <c r="W408" s="3" t="s">
        <v>1573</v>
      </c>
      <c r="X408" s="3" t="s">
        <v>2012</v>
      </c>
      <c r="Y408" s="3" t="s">
        <v>2481</v>
      </c>
      <c r="Z408" s="3"/>
      <c r="AA408" s="3"/>
      <c r="AB408" s="3"/>
      <c r="AC408" s="5" cm="1">
        <f t="array" ref="AC408">IF(TRUE,"True," &amp; IF(_xlfn.XLOOKUP("Src_IsAny",'Scoring_Config'!$A:$A,'Scoring_Config'!$D:$D,"Yes")="Yes",_xlfn.XLOOKUP("Src_IsAny",'Scoring_Config'!$A:$A,'Scoring_Config'!$C:$C,25),0),"False,0")</f>
        <v>0</v>
      </c>
      <c r="AD408" s="4" cm="1">
        <f t="array" ref="AD408">IF(FALSE,"True," &amp; IF(_xlfn.XLOOKUP("Src_CIDR_Le_16",'Scoring_Config'!$A:$A,'Scoring_Config'!$D:$D,"Yes")="Yes",_xlfn.XLOOKUP("Src_CIDR_Le_16",'Scoring_Config'!$A:$A,'Scoring_Config'!$C:$C,25),0),"False,0")</f>
        <v>0</v>
      </c>
      <c r="AE408" s="4" cm="1">
        <f t="array" ref="AE408">IF(FALSE,"True," &amp; IF(_xlfn.XLOOKUP("Src_CIDR_17_22",'Scoring_Config'!$A:$A,'Scoring_Config'!$D:$D,"Yes")="Yes",_xlfn.XLOOKUP("Src_CIDR_17_22",'Scoring_Config'!$A:$A,'Scoring_Config'!$C:$C,15),0),"False,0")</f>
        <v>0</v>
      </c>
      <c r="AF408" s="5" cm="1">
        <f t="array" ref="AF408">IF(TRUE,"True," &amp; IF(_xlfn.XLOOKUP("Dst_IsAny",'Scoring_Config'!$A:$A,'Scoring_Config'!$D:$D,"Yes")="Yes",_xlfn.XLOOKUP("Dst_IsAny",'Scoring_Config'!$A:$A,'Scoring_Config'!$C:$C,25),0),"False,0")</f>
        <v>0</v>
      </c>
      <c r="AG408" s="4" cm="1">
        <f t="array" ref="AG408">IF(FALSE,"True," &amp; IF(_xlfn.XLOOKUP("Dst_CIDR_Le_16",'Scoring_Config'!$A:$A,'Scoring_Config'!$D:$D,"Yes")="Yes",_xlfn.XLOOKUP("Dst_CIDR_Le_16",'Scoring_Config'!$A:$A,'Scoring_Config'!$C:$C,25),0),"False,0")</f>
        <v>0</v>
      </c>
      <c r="AH408" s="4" cm="1">
        <f t="array" ref="AH408">IF(FALSE,"True," &amp; IF(_xlfn.XLOOKUP("Dst_CIDR_17_22",'Scoring_Config'!$A:$A,'Scoring_Config'!$D:$D,"Yes")="Yes",_xlfn.XLOOKUP("Dst_CIDR_17_22",'Scoring_Config'!$A:$A,'Scoring_Config'!$C:$C,15),0),"False,0")</f>
        <v>0</v>
      </c>
      <c r="AI408" s="4" cm="1">
        <f t="array" ref="AI408">IF(FALSE,"True," &amp; IF(_xlfn.XLOOKUP("SrcZone_IsAny",'Scoring_Config'!$A:$A,'Scoring_Config'!$D:$D,"Yes")="Yes",_xlfn.XLOOKUP("SrcZone_IsAny",'Scoring_Config'!$A:$A,'Scoring_Config'!$C:$C,5),0),"False,0")</f>
        <v>0</v>
      </c>
      <c r="AJ408" s="4" cm="1">
        <f t="array" ref="AJ408">IF(FALSE,"True," &amp; IF(_xlfn.XLOOKUP("DstZone_IsAny",'Scoring_Config'!$A:$A,'Scoring_Config'!$D:$D,"Yes")="Yes",_xlfn.XLOOKUP("DstZone_IsAny",'Scoring_Config'!$A:$A,'Scoring_Config'!$C:$C,5),0),"False,0")</f>
        <v>0</v>
      </c>
      <c r="AK408" s="4" cm="1">
        <f t="array" ref="AK40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8" s="5" cm="1">
        <f t="array" ref="AL408">IF(TRUE,"True," &amp; IF(_xlfn.XLOOKUP("App_Any_OR_RangeGt1000",'Scoring_Config'!$A:$A,'Scoring_Config'!$D:$D,"Yes")="Yes",_xlfn.XLOOKUP("App_Any_OR_RangeGt1000",'Scoring_Config'!$A:$A,'Scoring_Config'!$C:$C,25),0),"False,0")</f>
        <v>0</v>
      </c>
      <c r="AM408" s="5" cm="1">
        <f t="array" ref="AM408">IF(TRUE,"True," &amp; IF(_xlfn.XLOOKUP("Service_Insecure_Match",'Scoring_Config'!$A:$A,'Scoring_Config'!$D:$D,"Yes")="Yes",_xlfn.XLOOKUP("Service_Insecure_Match",'Scoring_Config'!$A:$A,'Scoring_Config'!$C:$C,20),0),"False,0")</f>
        <v>0</v>
      </c>
      <c r="AN408" s="4" cm="1">
        <f t="array" ref="AN408">IF(FALSE,"True," &amp; IF(_xlfn.XLOOKUP("Risky_Inbound",'Scoring_Config'!$A:$A,'Scoring_Config'!$D:$D,"Yes")="Yes",_xlfn.XLOOKUP("Risky_Inbound",'Scoring_Config'!$A:$A,'Scoring_Config'!$C:$C,20),0),"False,0")</f>
        <v>0</v>
      </c>
      <c r="AO408" s="4" cm="1">
        <f t="array" ref="AO408">IF(FALSE,"True," &amp; IF(_xlfn.XLOOKUP("Risky_Outbound",'Scoring_Config'!$A:$A,'Scoring_Config'!$D:$D,"Yes")="Yes",_xlfn.XLOOKUP("Risky_Outbound",'Scoring_Config'!$A:$A,'Scoring_Config'!$C:$C,10),0),"False,0")</f>
        <v>0</v>
      </c>
      <c r="AP408" s="5" t="s">
        <v>2595</v>
      </c>
      <c r="AQ408" s="5" cm="1">
        <f t="array" ref="AQ40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8" s="5" t="s">
        <v>2598</v>
      </c>
      <c r="AS408" s="5" t="s">
        <v>2595</v>
      </c>
      <c r="AT408" s="4" t="s">
        <v>2592</v>
      </c>
      <c r="AU408" s="4" cm="1">
        <f t="array" ref="AU408">IF(FALSE,"True," &amp; IF(_xlfn.XLOOKUP("Action_IsDenyOrDrop",'Scoring_Config'!$A:$A,'Scoring_Config'!$D:$D,"Yes")="Yes",_xlfn.XLOOKUP("Action_IsDenyOrDrop",'Scoring_Config'!$A:$A,'Scoring_Config'!$C:$C,0),0),"False,0")</f>
        <v>0</v>
      </c>
      <c r="AV408" s="4"/>
      <c r="AW408" s="4" cm="1">
        <f t="array" ref="AW408">IF(FALSE,"True," &amp; IF(_xlfn.XLOOKUP("Migrate_Insecure",'Scoring_Config'!$A:$A,'Scoring_Config'!$D:$D,"Yes")="Yes",_xlfn.XLOOKUP("Migrate_Insecure",'Scoring_Config'!$A:$A,'Scoring_Config'!$C:$C,15),0),"False,0")</f>
        <v>0</v>
      </c>
      <c r="AX408" s="4"/>
      <c r="AY408" s="4" cm="1">
        <f t="array" ref="AY408">IF(FALSE,"True," &amp; IF(_xlfn.XLOOKUP("Migrate_Other_Ports",'Scoring_Config'!$A:$A,'Scoring_Config'!$D:$D,"Yes")="Yes",_xlfn.XLOOKUP("Migrate_Other_Ports",'Scoring_Config'!$A:$A,'Scoring_Config'!$C:$C,5),0),"False,0")</f>
        <v>0</v>
      </c>
      <c r="AZ408" s="4" cm="1">
        <f t="array" ref="AZ408">IF(LEFT(AU408,4)="True",0,(IF(LEFT(AC408,4)="True",IF(_xlfn.XLOOKUP("Src_IsAny",'Scoring_Config'!$A:$A,'Scoring_Config'!$D:$D,"Yes")="Yes",_xlfn.XLOOKUP("Src_IsAny",'Scoring_Config'!$A:$A,'Scoring_Config'!$C:$C,25),0),0)+IF(LEFT(AD408,4)="True",IF(_xlfn.XLOOKUP("Src_CIDR_Le_16",'Scoring_Config'!$A:$A,'Scoring_Config'!$D:$D,"Yes")="Yes",_xlfn.XLOOKUP("Src_CIDR_Le_16",'Scoring_Config'!$A:$A,'Scoring_Config'!$C:$C,25),0),0)+IF(LEFT(AE408,4)="True",IF(_xlfn.XLOOKUP("Src_CIDR_17_22",'Scoring_Config'!$A:$A,'Scoring_Config'!$D:$D,"Yes")="Yes",_xlfn.XLOOKUP("Src_CIDR_17_22",'Scoring_Config'!$A:$A,'Scoring_Config'!$C:$C,15),0),0)+IF(LEFT(AF408,4)="True",IF(_xlfn.XLOOKUP("Dst_IsAny",'Scoring_Config'!$A:$A,'Scoring_Config'!$D:$D,"Yes")="Yes",_xlfn.XLOOKUP("Dst_IsAny",'Scoring_Config'!$A:$A,'Scoring_Config'!$C:$C,25),0),0)+IF(LEFT(AG408,4)="True",IF(_xlfn.XLOOKUP("Dst_CIDR_Le_16",'Scoring_Config'!$A:$A,'Scoring_Config'!$D:$D,"Yes")="Yes",_xlfn.XLOOKUP("Dst_CIDR_Le_16",'Scoring_Config'!$A:$A,'Scoring_Config'!$C:$C,25),0),0)+IF(LEFT(AH408,4)="True",IF(_xlfn.XLOOKUP("Dst_CIDR_17_22",'Scoring_Config'!$A:$A,'Scoring_Config'!$D:$D,"Yes")="Yes",_xlfn.XLOOKUP("Dst_CIDR_17_22",'Scoring_Config'!$A:$A,'Scoring_Config'!$C:$C,15),0),0)+IF(LEFT(AI408,4)="True",IF(_xlfn.XLOOKUP("SrcZone_IsAny",'Scoring_Config'!$A:$A,'Scoring_Config'!$D:$D,"Yes")="Yes",_xlfn.XLOOKUP("SrcZone_IsAny",'Scoring_Config'!$A:$A,'Scoring_Config'!$C:$C,5),0),0)+IF(LEFT(AJ408,4)="True",IF(_xlfn.XLOOKUP("DstZone_IsAny",'Scoring_Config'!$A:$A,'Scoring_Config'!$D:$D,"Yes")="Yes",_xlfn.XLOOKUP("DstZone_IsAny",'Scoring_Config'!$A:$A,'Scoring_Config'!$C:$C,5),0),0)+IF(LEFT(AK408,4)="True",IF(_xlfn.XLOOKUP("Service_Any_OR_RangeGt1000",'Scoring_Config'!$A:$A,'Scoring_Config'!$D:$D,"Yes")="Yes",_xlfn.XLOOKUP("Service_Any_OR_RangeGt1000",'Scoring_Config'!$A:$A,'Scoring_Config'!$C:$C,25),0),0)+IF(LEFT(AL408,4)="True",IF(_xlfn.XLOOKUP("App_Any_OR_RangeGt1000",'Scoring_Config'!$A:$A,'Scoring_Config'!$D:$D,"Yes")="Yes",_xlfn.XLOOKUP("App_Any_OR_RangeGt1000",'Scoring_Config'!$A:$A,'Scoring_Config'!$C:$C,25),0),0)+IF(LEFT(AM408,4)="True",IF(_xlfn.XLOOKUP("Service_Insecure_Match",'Scoring_Config'!$A:$A,'Scoring_Config'!$D:$D,"Yes")="Yes",_xlfn.XLOOKUP("Service_Insecure_Match",'Scoring_Config'!$A:$A,'Scoring_Config'!$C:$C,20),0),0)+IF(LEFT(AN408,4)="True",IF(_xlfn.XLOOKUP("Risky_Inbound",'Scoring_Config'!$A:$A,'Scoring_Config'!$D:$D,"Yes")="Yes",_xlfn.XLOOKUP("Risky_Inbound",'Scoring_Config'!$A:$A,'Scoring_Config'!$C:$C,20),0),0)+IF(LEFT(AO408,4)="True",IF(_xlfn.XLOOKUP("Risky_Outbound",'Scoring_Config'!$A:$A,'Scoring_Config'!$D:$D,"Yes")="Yes",_xlfn.XLOOKUP("Risky_Outbound",'Scoring_Config'!$A:$A,'Scoring_Config'!$C:$C,10),0),0)+IF(LEFT(AW408,4)="True",IF(_xlfn.XLOOKUP("Migrate_Insecure",'Scoring_Config'!$A:$A,'Scoring_Config'!$D:$D,"Yes")="Yes",_xlfn.XLOOKUP("Migrate_Insecure",'Scoring_Config'!$A:$A,'Scoring_Config'!$C:$C,15),0),0)+IF(LEFT(AY408,4)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408,FIND(",",AP408)+1,100)),0)+IF(LEFT(AQ408,4)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408,FIND(",",AR408)+1,100)),0)+IF(_xlfn.XLOOKUP("Profile_Scoring",'Scoring_Config'!$A:$A,'Scoring_Config'!$D:$D,"Yes")="Yes",VALUE(MID(AS408,FIND(",",AS408)+1,100)),0)+IF(_xlfn.XLOOKUP("Options_Scoring",'Scoring_Config'!$A:$A,'Scoring_Config'!$D:$D,"Yes")="Yes",VALUE(MID(AT408,FIND(",",AT408)+1,100)),0)))</f>
        <v>0</v>
      </c>
    </row>
    <row r="409" spans="1:52">
      <c r="A409" s="3" t="s">
        <v>55</v>
      </c>
      <c r="B409" s="3" t="s">
        <v>208</v>
      </c>
      <c r="C409" s="3" t="s">
        <v>332</v>
      </c>
      <c r="D409" s="3"/>
      <c r="E409" s="3" t="s">
        <v>359</v>
      </c>
      <c r="F409" s="3" t="s">
        <v>360</v>
      </c>
      <c r="G409" s="3" t="s">
        <v>507</v>
      </c>
      <c r="H409" s="3" t="s">
        <v>507</v>
      </c>
      <c r="I409" s="3" t="s">
        <v>624</v>
      </c>
      <c r="J409" s="3" t="s">
        <v>360</v>
      </c>
      <c r="K409" s="3" t="s">
        <v>365</v>
      </c>
      <c r="L409" s="3" t="s">
        <v>365</v>
      </c>
      <c r="M409" s="3" t="s">
        <v>772</v>
      </c>
      <c r="N409" s="3" t="s">
        <v>794</v>
      </c>
      <c r="O409" s="4" t="s">
        <v>858</v>
      </c>
      <c r="P409" s="3" t="s">
        <v>880</v>
      </c>
      <c r="Q409" s="3" t="s">
        <v>905</v>
      </c>
      <c r="R409" s="3" t="s">
        <v>908</v>
      </c>
      <c r="S409" s="3" t="s">
        <v>912</v>
      </c>
      <c r="T409" s="3" t="s">
        <v>919</v>
      </c>
      <c r="U409" s="3" t="s">
        <v>1157</v>
      </c>
      <c r="V409" s="3" t="s">
        <v>1389</v>
      </c>
      <c r="W409" s="3" t="s">
        <v>1092</v>
      </c>
      <c r="X409" s="3" t="s">
        <v>2013</v>
      </c>
      <c r="Y409" s="3" t="s">
        <v>2482</v>
      </c>
      <c r="Z409" s="3"/>
      <c r="AA409" s="3"/>
      <c r="AB409" s="3"/>
      <c r="AC409" s="4" cm="1">
        <f t="array" ref="AC409">IF(FALSE,"True," &amp; IF(_xlfn.XLOOKUP("Src_IsAny",'Scoring_Config'!$A:$A,'Scoring_Config'!$D:$D,"Yes")="Yes",_xlfn.XLOOKUP("Src_IsAny",'Scoring_Config'!$A:$A,'Scoring_Config'!$C:$C,25),0),"False,0")</f>
        <v>0</v>
      </c>
      <c r="AD409" s="4" cm="1">
        <f t="array" ref="AD409">IF(FALSE,"True," &amp; IF(_xlfn.XLOOKUP("Src_CIDR_Le_16",'Scoring_Config'!$A:$A,'Scoring_Config'!$D:$D,"Yes")="Yes",_xlfn.XLOOKUP("Src_CIDR_Le_16",'Scoring_Config'!$A:$A,'Scoring_Config'!$C:$C,25),0),"False,0")</f>
        <v>0</v>
      </c>
      <c r="AE409" s="4" cm="1">
        <f t="array" ref="AE409">IF(FALSE,"True," &amp; IF(_xlfn.XLOOKUP("Src_CIDR_17_22",'Scoring_Config'!$A:$A,'Scoring_Config'!$D:$D,"Yes")="Yes",_xlfn.XLOOKUP("Src_CIDR_17_22",'Scoring_Config'!$A:$A,'Scoring_Config'!$C:$C,15),0),"False,0")</f>
        <v>0</v>
      </c>
      <c r="AF409" s="5" cm="1">
        <f t="array" ref="AF409">IF(TRUE,"True," &amp; IF(_xlfn.XLOOKUP("Dst_IsAny",'Scoring_Config'!$A:$A,'Scoring_Config'!$D:$D,"Yes")="Yes",_xlfn.XLOOKUP("Dst_IsAny",'Scoring_Config'!$A:$A,'Scoring_Config'!$C:$C,25),0),"False,0")</f>
        <v>0</v>
      </c>
      <c r="AG409" s="4" cm="1">
        <f t="array" ref="AG409">IF(FALSE,"True," &amp; IF(_xlfn.XLOOKUP("Dst_CIDR_Le_16",'Scoring_Config'!$A:$A,'Scoring_Config'!$D:$D,"Yes")="Yes",_xlfn.XLOOKUP("Dst_CIDR_Le_16",'Scoring_Config'!$A:$A,'Scoring_Config'!$C:$C,25),0),"False,0")</f>
        <v>0</v>
      </c>
      <c r="AH409" s="4" cm="1">
        <f t="array" ref="AH409">IF(FALSE,"True," &amp; IF(_xlfn.XLOOKUP("Dst_CIDR_17_22",'Scoring_Config'!$A:$A,'Scoring_Config'!$D:$D,"Yes")="Yes",_xlfn.XLOOKUP("Dst_CIDR_17_22",'Scoring_Config'!$A:$A,'Scoring_Config'!$C:$C,15),0),"False,0")</f>
        <v>0</v>
      </c>
      <c r="AI409" s="4" cm="1">
        <f t="array" ref="AI409">IF(FALSE,"True," &amp; IF(_xlfn.XLOOKUP("SrcZone_IsAny",'Scoring_Config'!$A:$A,'Scoring_Config'!$D:$D,"Yes")="Yes",_xlfn.XLOOKUP("SrcZone_IsAny",'Scoring_Config'!$A:$A,'Scoring_Config'!$C:$C,5),0),"False,0")</f>
        <v>0</v>
      </c>
      <c r="AJ409" s="4" cm="1">
        <f t="array" ref="AJ409">IF(FALSE,"True," &amp; IF(_xlfn.XLOOKUP("DstZone_IsAny",'Scoring_Config'!$A:$A,'Scoring_Config'!$D:$D,"Yes")="Yes",_xlfn.XLOOKUP("DstZone_IsAny",'Scoring_Config'!$A:$A,'Scoring_Config'!$C:$C,5),0),"False,0")</f>
        <v>0</v>
      </c>
      <c r="AK409" s="4" cm="1">
        <f t="array" ref="AK40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09" s="4" cm="1">
        <f t="array" ref="AL409">IF(FALSE,"True," &amp; IF(_xlfn.XLOOKUP("App_Any_OR_RangeGt1000",'Scoring_Config'!$A:$A,'Scoring_Config'!$D:$D,"Yes")="Yes",_xlfn.XLOOKUP("App_Any_OR_RangeGt1000",'Scoring_Config'!$A:$A,'Scoring_Config'!$C:$C,25),0),"False,0")</f>
        <v>0</v>
      </c>
      <c r="AM409" s="5" cm="1">
        <f t="array" ref="AM409">IF(TRUE,"True," &amp; IF(_xlfn.XLOOKUP("Service_Insecure_Match",'Scoring_Config'!$A:$A,'Scoring_Config'!$D:$D,"Yes")="Yes",_xlfn.XLOOKUP("Service_Insecure_Match",'Scoring_Config'!$A:$A,'Scoring_Config'!$C:$C,20),0),"False,0")</f>
        <v>0</v>
      </c>
      <c r="AN409" s="4" cm="1">
        <f t="array" ref="AN409">IF(FALSE,"True," &amp; IF(_xlfn.XLOOKUP("Risky_Inbound",'Scoring_Config'!$A:$A,'Scoring_Config'!$D:$D,"Yes")="Yes",_xlfn.XLOOKUP("Risky_Inbound",'Scoring_Config'!$A:$A,'Scoring_Config'!$C:$C,20),0),"False,0")</f>
        <v>0</v>
      </c>
      <c r="AO409" s="4" cm="1">
        <f t="array" ref="AO409">IF(FALSE,"True," &amp; IF(_xlfn.XLOOKUP("Risky_Outbound",'Scoring_Config'!$A:$A,'Scoring_Config'!$D:$D,"Yes")="Yes",_xlfn.XLOOKUP("Risky_Outbound",'Scoring_Config'!$A:$A,'Scoring_Config'!$C:$C,10),0),"False,0")</f>
        <v>0</v>
      </c>
      <c r="AP409" s="5" t="s">
        <v>2595</v>
      </c>
      <c r="AQ409" s="5" cm="1">
        <f t="array" ref="AQ40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09" s="5" t="s">
        <v>2598</v>
      </c>
      <c r="AS409" s="4" t="s">
        <v>2592</v>
      </c>
      <c r="AT409" s="4" t="s">
        <v>2592</v>
      </c>
      <c r="AU409" s="4" cm="1">
        <f t="array" ref="AU409">IF(FALSE,"True," &amp; IF(_xlfn.XLOOKUP("Action_IsDenyOrDrop",'Scoring_Config'!$A:$A,'Scoring_Config'!$D:$D,"Yes")="Yes",_xlfn.XLOOKUP("Action_IsDenyOrDrop",'Scoring_Config'!$A:$A,'Scoring_Config'!$C:$C,0),0),"False,0")</f>
        <v>0</v>
      </c>
      <c r="AV409" s="4"/>
      <c r="AW409" s="4" cm="1">
        <f t="array" ref="AW409">IF(FALSE,"True," &amp; IF(_xlfn.XLOOKUP("Migrate_Insecure",'Scoring_Config'!$A:$A,'Scoring_Config'!$D:$D,"Yes")="Yes",_xlfn.XLOOKUP("Migrate_Insecure",'Scoring_Config'!$A:$A,'Scoring_Config'!$C:$C,15),0),"False,0")</f>
        <v>0</v>
      </c>
      <c r="AX409" s="4"/>
      <c r="AY409" s="4" cm="1">
        <f t="array" ref="AY409">IF(FALSE,"True," &amp; IF(_xlfn.XLOOKUP("Migrate_Other_Ports",'Scoring_Config'!$A:$A,'Scoring_Config'!$D:$D,"Yes")="Yes",_xlfn.XLOOKUP("Migrate_Other_Ports",'Scoring_Config'!$A:$A,'Scoring_Config'!$C:$C,5),0),"False,0")</f>
        <v>0</v>
      </c>
      <c r="AZ409" s="4" cm="1">
        <f t="array" ref="AZ409">IF(LEFT(AU409,4)="True",0,(IF(LEFT(AC409,4)="True",IF(_xlfn.XLOOKUP("Src_IsAny",'Scoring_Config'!$A:$A,'Scoring_Config'!$D:$D,"Yes")="Yes",_xlfn.XLOOKUP("Src_IsAny",'Scoring_Config'!$A:$A,'Scoring_Config'!$C:$C,25),0),0)+IF(LEFT(AD409,4)="True",IF(_xlfn.XLOOKUP("Src_CIDR_Le_16",'Scoring_Config'!$A:$A,'Scoring_Config'!$D:$D,"Yes")="Yes",_xlfn.XLOOKUP("Src_CIDR_Le_16",'Scoring_Config'!$A:$A,'Scoring_Config'!$C:$C,25),0),0)+IF(LEFT(AE409,4)="True",IF(_xlfn.XLOOKUP("Src_CIDR_17_22",'Scoring_Config'!$A:$A,'Scoring_Config'!$D:$D,"Yes")="Yes",_xlfn.XLOOKUP("Src_CIDR_17_22",'Scoring_Config'!$A:$A,'Scoring_Config'!$C:$C,15),0),0)+IF(LEFT(AF409,4)="True",IF(_xlfn.XLOOKUP("Dst_IsAny",'Scoring_Config'!$A:$A,'Scoring_Config'!$D:$D,"Yes")="Yes",_xlfn.XLOOKUP("Dst_IsAny",'Scoring_Config'!$A:$A,'Scoring_Config'!$C:$C,25),0),0)+IF(LEFT(AG409,4)="True",IF(_xlfn.XLOOKUP("Dst_CIDR_Le_16",'Scoring_Config'!$A:$A,'Scoring_Config'!$D:$D,"Yes")="Yes",_xlfn.XLOOKUP("Dst_CIDR_Le_16",'Scoring_Config'!$A:$A,'Scoring_Config'!$C:$C,25),0),0)+IF(LEFT(AH409,4)="True",IF(_xlfn.XLOOKUP("Dst_CIDR_17_22",'Scoring_Config'!$A:$A,'Scoring_Config'!$D:$D,"Yes")="Yes",_xlfn.XLOOKUP("Dst_CIDR_17_22",'Scoring_Config'!$A:$A,'Scoring_Config'!$C:$C,15),0),0)+IF(LEFT(AI409,4)="True",IF(_xlfn.XLOOKUP("SrcZone_IsAny",'Scoring_Config'!$A:$A,'Scoring_Config'!$D:$D,"Yes")="Yes",_xlfn.XLOOKUP("SrcZone_IsAny",'Scoring_Config'!$A:$A,'Scoring_Config'!$C:$C,5),0),0)+IF(LEFT(AJ409,4)="True",IF(_xlfn.XLOOKUP("DstZone_IsAny",'Scoring_Config'!$A:$A,'Scoring_Config'!$D:$D,"Yes")="Yes",_xlfn.XLOOKUP("DstZone_IsAny",'Scoring_Config'!$A:$A,'Scoring_Config'!$C:$C,5),0),0)+IF(LEFT(AK409,4)="True",IF(_xlfn.XLOOKUP("Service_Any_OR_RangeGt1000",'Scoring_Config'!$A:$A,'Scoring_Config'!$D:$D,"Yes")="Yes",_xlfn.XLOOKUP("Service_Any_OR_RangeGt1000",'Scoring_Config'!$A:$A,'Scoring_Config'!$C:$C,25),0),0)+IF(LEFT(AL409,4)="True",IF(_xlfn.XLOOKUP("App_Any_OR_RangeGt1000",'Scoring_Config'!$A:$A,'Scoring_Config'!$D:$D,"Yes")="Yes",_xlfn.XLOOKUP("App_Any_OR_RangeGt1000",'Scoring_Config'!$A:$A,'Scoring_Config'!$C:$C,25),0),0)+IF(LEFT(AM409,4)="True",IF(_xlfn.XLOOKUP("Service_Insecure_Match",'Scoring_Config'!$A:$A,'Scoring_Config'!$D:$D,"Yes")="Yes",_xlfn.XLOOKUP("Service_Insecure_Match",'Scoring_Config'!$A:$A,'Scoring_Config'!$C:$C,20),0),0)+IF(LEFT(AN409,4)="True",IF(_xlfn.XLOOKUP("Risky_Inbound",'Scoring_Config'!$A:$A,'Scoring_Config'!$D:$D,"Yes")="Yes",_xlfn.XLOOKUP("Risky_Inbound",'Scoring_Config'!$A:$A,'Scoring_Config'!$C:$C,20),0),0)+IF(LEFT(AO409,4)="True",IF(_xlfn.XLOOKUP("Risky_Outbound",'Scoring_Config'!$A:$A,'Scoring_Config'!$D:$D,"Yes")="Yes",_xlfn.XLOOKUP("Risky_Outbound",'Scoring_Config'!$A:$A,'Scoring_Config'!$C:$C,10),0),0)+IF(LEFT(AW409,4)="True",IF(_xlfn.XLOOKUP("Migrate_Insecure",'Scoring_Config'!$A:$A,'Scoring_Config'!$D:$D,"Yes")="Yes",_xlfn.XLOOKUP("Migrate_Insecure",'Scoring_Config'!$A:$A,'Scoring_Config'!$C:$C,15),0),0)+IF(LEFT(AY409,4)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409,FIND(",",AP409)+1,100)),0)+IF(LEFT(AQ409,4)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409,FIND(",",AR409)+1,100)),0)+IF(_xlfn.XLOOKUP("Profile_Scoring",'Scoring_Config'!$A:$A,'Scoring_Config'!$D:$D,"Yes")="Yes",VALUE(MID(AS409,FIND(",",AS409)+1,100)),0)+IF(_xlfn.XLOOKUP("Options_Scoring",'Scoring_Config'!$A:$A,'Scoring_Config'!$D:$D,"Yes")="Yes",VALUE(MID(AT409,FIND(",",AT409)+1,100)),0)))</f>
        <v>0</v>
      </c>
    </row>
    <row r="410" spans="1:52">
      <c r="A410" s="3" t="s">
        <v>55</v>
      </c>
      <c r="B410" s="3" t="s">
        <v>77</v>
      </c>
      <c r="C410" s="3" t="s">
        <v>332</v>
      </c>
      <c r="D410" s="3"/>
      <c r="E410" s="3" t="s">
        <v>359</v>
      </c>
      <c r="F410" s="3" t="s">
        <v>360</v>
      </c>
      <c r="G410" s="3" t="s">
        <v>497</v>
      </c>
      <c r="H410" s="3" t="s">
        <v>601</v>
      </c>
      <c r="I410" s="3" t="s">
        <v>624</v>
      </c>
      <c r="J410" s="3" t="s">
        <v>363</v>
      </c>
      <c r="K410" s="3" t="s">
        <v>499</v>
      </c>
      <c r="L410" s="3" t="s">
        <v>602</v>
      </c>
      <c r="M410" s="3" t="s">
        <v>770</v>
      </c>
      <c r="N410" s="3" t="s">
        <v>770</v>
      </c>
      <c r="O410" s="4" t="s">
        <v>856</v>
      </c>
      <c r="P410" s="3" t="s">
        <v>864</v>
      </c>
      <c r="Q410" s="3" t="s">
        <v>905</v>
      </c>
      <c r="R410" s="3" t="s">
        <v>910</v>
      </c>
      <c r="S410" s="3" t="s">
        <v>907</v>
      </c>
      <c r="T410" s="3" t="s">
        <v>919</v>
      </c>
      <c r="U410" s="3" t="s">
        <v>1147</v>
      </c>
      <c r="V410" s="3" t="s">
        <v>1389</v>
      </c>
      <c r="W410" s="3" t="s">
        <v>1588</v>
      </c>
      <c r="X410" s="3" t="s">
        <v>2014</v>
      </c>
      <c r="Y410" s="3" t="s">
        <v>2483</v>
      </c>
      <c r="Z410" s="3"/>
      <c r="AA410" s="3"/>
      <c r="AB410" s="3"/>
      <c r="AC410" s="5" cm="1">
        <f t="array" ref="AC410">IF(TRUE,"True," &amp; IF(_xlfn.XLOOKUP("Src_IsAny",'Scoring_Config'!$A:$A,'Scoring_Config'!$D:$D,"Yes")="Yes",_xlfn.XLOOKUP("Src_IsAny",'Scoring_Config'!$A:$A,'Scoring_Config'!$C:$C,25),0),"False,0")</f>
        <v>0</v>
      </c>
      <c r="AD410" s="5" cm="1">
        <f t="array" ref="AD410">IF(TRUE,"True," &amp; IF(_xlfn.XLOOKUP("Src_CIDR_Le_16",'Scoring_Config'!$A:$A,'Scoring_Config'!$D:$D,"Yes")="Yes",_xlfn.XLOOKUP("Src_CIDR_Le_16",'Scoring_Config'!$A:$A,'Scoring_Config'!$C:$C,25),0),"False,0")</f>
        <v>0</v>
      </c>
      <c r="AE410" s="4" cm="1">
        <f t="array" ref="AE410">IF(FALSE,"True," &amp; IF(_xlfn.XLOOKUP("Src_CIDR_17_22",'Scoring_Config'!$A:$A,'Scoring_Config'!$D:$D,"Yes")="Yes",_xlfn.XLOOKUP("Src_CIDR_17_22",'Scoring_Config'!$A:$A,'Scoring_Config'!$C:$C,15),0),"False,0")</f>
        <v>0</v>
      </c>
      <c r="AF410" s="5" cm="1">
        <f t="array" ref="AF410">IF(TRUE,"True," &amp; IF(_xlfn.XLOOKUP("Dst_IsAny",'Scoring_Config'!$A:$A,'Scoring_Config'!$D:$D,"Yes")="Yes",_xlfn.XLOOKUP("Dst_IsAny",'Scoring_Config'!$A:$A,'Scoring_Config'!$C:$C,25),0),"False,0")</f>
        <v>0</v>
      </c>
      <c r="AG410" s="5" cm="1">
        <f t="array" ref="AG410">IF(TRUE,"True," &amp; IF(_xlfn.XLOOKUP("Dst_CIDR_Le_16",'Scoring_Config'!$A:$A,'Scoring_Config'!$D:$D,"Yes")="Yes",_xlfn.XLOOKUP("Dst_CIDR_Le_16",'Scoring_Config'!$A:$A,'Scoring_Config'!$C:$C,25),0),"False,0")</f>
        <v>0</v>
      </c>
      <c r="AH410" s="4" cm="1">
        <f t="array" ref="AH410">IF(FALSE,"True," &amp; IF(_xlfn.XLOOKUP("Dst_CIDR_17_22",'Scoring_Config'!$A:$A,'Scoring_Config'!$D:$D,"Yes")="Yes",_xlfn.XLOOKUP("Dst_CIDR_17_22",'Scoring_Config'!$A:$A,'Scoring_Config'!$C:$C,15),0),"False,0")</f>
        <v>0</v>
      </c>
      <c r="AI410" s="4" cm="1">
        <f t="array" ref="AI410">IF(FALSE,"True," &amp; IF(_xlfn.XLOOKUP("SrcZone_IsAny",'Scoring_Config'!$A:$A,'Scoring_Config'!$D:$D,"Yes")="Yes",_xlfn.XLOOKUP("SrcZone_IsAny",'Scoring_Config'!$A:$A,'Scoring_Config'!$C:$C,5),0),"False,0")</f>
        <v>0</v>
      </c>
      <c r="AJ410" s="4" cm="1">
        <f t="array" ref="AJ410">IF(FALSE,"True," &amp; IF(_xlfn.XLOOKUP("DstZone_IsAny",'Scoring_Config'!$A:$A,'Scoring_Config'!$D:$D,"Yes")="Yes",_xlfn.XLOOKUP("DstZone_IsAny",'Scoring_Config'!$A:$A,'Scoring_Config'!$C:$C,5),0),"False,0")</f>
        <v>0</v>
      </c>
      <c r="AK410" s="4" cm="1">
        <f t="array" ref="AK41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0" s="4" cm="1">
        <f t="array" ref="AL410">IF(FALSE,"True," &amp; IF(_xlfn.XLOOKUP("App_Any_OR_RangeGt1000",'Scoring_Config'!$A:$A,'Scoring_Config'!$D:$D,"Yes")="Yes",_xlfn.XLOOKUP("App_Any_OR_RangeGt1000",'Scoring_Config'!$A:$A,'Scoring_Config'!$C:$C,25),0),"False,0")</f>
        <v>0</v>
      </c>
      <c r="AM410" s="5" cm="1">
        <f t="array" ref="AM410">IF(TRUE,"True," &amp; IF(_xlfn.XLOOKUP("Service_Insecure_Match",'Scoring_Config'!$A:$A,'Scoring_Config'!$D:$D,"Yes")="Yes",_xlfn.XLOOKUP("Service_Insecure_Match",'Scoring_Config'!$A:$A,'Scoring_Config'!$C:$C,20),0),"False,0")</f>
        <v>0</v>
      </c>
      <c r="AN410" s="4" cm="1">
        <f t="array" ref="AN410">IF(FALSE,"True," &amp; IF(_xlfn.XLOOKUP("Risky_Inbound",'Scoring_Config'!$A:$A,'Scoring_Config'!$D:$D,"Yes")="Yes",_xlfn.XLOOKUP("Risky_Inbound",'Scoring_Config'!$A:$A,'Scoring_Config'!$C:$C,20),0),"False,0")</f>
        <v>0</v>
      </c>
      <c r="AO410" s="4" cm="1">
        <f t="array" ref="AO410">IF(FALSE,"True," &amp; IF(_xlfn.XLOOKUP("Risky_Outbound",'Scoring_Config'!$A:$A,'Scoring_Config'!$D:$D,"Yes")="Yes",_xlfn.XLOOKUP("Risky_Outbound",'Scoring_Config'!$A:$A,'Scoring_Config'!$C:$C,10),0),"False,0")</f>
        <v>0</v>
      </c>
      <c r="AP410" s="5" t="s">
        <v>2595</v>
      </c>
      <c r="AQ410" s="5" cm="1">
        <f t="array" ref="AQ41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0" s="5" t="s">
        <v>2598</v>
      </c>
      <c r="AS410" s="4" t="s">
        <v>2592</v>
      </c>
      <c r="AT410" s="5" t="s">
        <v>2595</v>
      </c>
      <c r="AU410" s="4" cm="1">
        <f t="array" ref="AU410">IF(FALSE,"True," &amp; IF(_xlfn.XLOOKUP("Action_IsDenyOrDrop",'Scoring_Config'!$A:$A,'Scoring_Config'!$D:$D,"Yes")="Yes",_xlfn.XLOOKUP("Action_IsDenyOrDrop",'Scoring_Config'!$A:$A,'Scoring_Config'!$C:$C,0),0),"False,0")</f>
        <v>0</v>
      </c>
      <c r="AV410" s="4"/>
      <c r="AW410" s="4" cm="1">
        <f t="array" ref="AW410">IF(FALSE,"True," &amp; IF(_xlfn.XLOOKUP("Migrate_Insecure",'Scoring_Config'!$A:$A,'Scoring_Config'!$D:$D,"Yes")="Yes",_xlfn.XLOOKUP("Migrate_Insecure",'Scoring_Config'!$A:$A,'Scoring_Config'!$C:$C,15),0),"False,0")</f>
        <v>0</v>
      </c>
      <c r="AX410" s="4"/>
      <c r="AY410" s="4" cm="1">
        <f t="array" ref="AY410">IF(FALSE,"True," &amp; IF(_xlfn.XLOOKUP("Migrate_Other_Ports",'Scoring_Config'!$A:$A,'Scoring_Config'!$D:$D,"Yes")="Yes",_xlfn.XLOOKUP("Migrate_Other_Ports",'Scoring_Config'!$A:$A,'Scoring_Config'!$C:$C,5),0),"False,0")</f>
        <v>0</v>
      </c>
      <c r="AZ410" s="4" cm="1">
        <f t="array" ref="AZ410">IF(LEFT(AU410,4)="True",0,(IF(LEFT(AC410,4)="True",IF(_xlfn.XLOOKUP("Src_IsAny",'Scoring_Config'!$A:$A,'Scoring_Config'!$D:$D,"Yes")="Yes",_xlfn.XLOOKUP("Src_IsAny",'Scoring_Config'!$A:$A,'Scoring_Config'!$C:$C,25),0),0)+IF(LEFT(AD410,4)="True",IF(_xlfn.XLOOKUP("Src_CIDR_Le_16",'Scoring_Config'!$A:$A,'Scoring_Config'!$D:$D,"Yes")="Yes",_xlfn.XLOOKUP("Src_CIDR_Le_16",'Scoring_Config'!$A:$A,'Scoring_Config'!$C:$C,25),0),0)+IF(LEFT(AE410,4)="True",IF(_xlfn.XLOOKUP("Src_CIDR_17_22",'Scoring_Config'!$A:$A,'Scoring_Config'!$D:$D,"Yes")="Yes",_xlfn.XLOOKUP("Src_CIDR_17_22",'Scoring_Config'!$A:$A,'Scoring_Config'!$C:$C,15),0),0)+IF(LEFT(AF410,4)="True",IF(_xlfn.XLOOKUP("Dst_IsAny",'Scoring_Config'!$A:$A,'Scoring_Config'!$D:$D,"Yes")="Yes",_xlfn.XLOOKUP("Dst_IsAny",'Scoring_Config'!$A:$A,'Scoring_Config'!$C:$C,25),0),0)+IF(LEFT(AG410,4)="True",IF(_xlfn.XLOOKUP("Dst_CIDR_Le_16",'Scoring_Config'!$A:$A,'Scoring_Config'!$D:$D,"Yes")="Yes",_xlfn.XLOOKUP("Dst_CIDR_Le_16",'Scoring_Config'!$A:$A,'Scoring_Config'!$C:$C,25),0),0)+IF(LEFT(AH410,4)="True",IF(_xlfn.XLOOKUP("Dst_CIDR_17_22",'Scoring_Config'!$A:$A,'Scoring_Config'!$D:$D,"Yes")="Yes",_xlfn.XLOOKUP("Dst_CIDR_17_22",'Scoring_Config'!$A:$A,'Scoring_Config'!$C:$C,15),0),0)+IF(LEFT(AI410,4)="True",IF(_xlfn.XLOOKUP("SrcZone_IsAny",'Scoring_Config'!$A:$A,'Scoring_Config'!$D:$D,"Yes")="Yes",_xlfn.XLOOKUP("SrcZone_IsAny",'Scoring_Config'!$A:$A,'Scoring_Config'!$C:$C,5),0),0)+IF(LEFT(AJ410,4)="True",IF(_xlfn.XLOOKUP("DstZone_IsAny",'Scoring_Config'!$A:$A,'Scoring_Config'!$D:$D,"Yes")="Yes",_xlfn.XLOOKUP("DstZone_IsAny",'Scoring_Config'!$A:$A,'Scoring_Config'!$C:$C,5),0),0)+IF(LEFT(AK410,4)="True",IF(_xlfn.XLOOKUP("Service_Any_OR_RangeGt1000",'Scoring_Config'!$A:$A,'Scoring_Config'!$D:$D,"Yes")="Yes",_xlfn.XLOOKUP("Service_Any_OR_RangeGt1000",'Scoring_Config'!$A:$A,'Scoring_Config'!$C:$C,25),0),0)+IF(LEFT(AL410,4)="True",IF(_xlfn.XLOOKUP("App_Any_OR_RangeGt1000",'Scoring_Config'!$A:$A,'Scoring_Config'!$D:$D,"Yes")="Yes",_xlfn.XLOOKUP("App_Any_OR_RangeGt1000",'Scoring_Config'!$A:$A,'Scoring_Config'!$C:$C,25),0),0)+IF(LEFT(AM410,4)="True",IF(_xlfn.XLOOKUP("Service_Insecure_Match",'Scoring_Config'!$A:$A,'Scoring_Config'!$D:$D,"Yes")="Yes",_xlfn.XLOOKUP("Service_Insecure_Match",'Scoring_Config'!$A:$A,'Scoring_Config'!$C:$C,20),0),0)+IF(LEFT(AN410,4)="True",IF(_xlfn.XLOOKUP("Risky_Inbound",'Scoring_Config'!$A:$A,'Scoring_Config'!$D:$D,"Yes")="Yes",_xlfn.XLOOKUP("Risky_Inbound",'Scoring_Config'!$A:$A,'Scoring_Config'!$C:$C,20),0),0)+IF(LEFT(AO410,4)="True",IF(_xlfn.XLOOKUP("Risky_Outbound",'Scoring_Config'!$A:$A,'Scoring_Config'!$D:$D,"Yes")="Yes",_xlfn.XLOOKUP("Risky_Outbound",'Scoring_Config'!$A:$A,'Scoring_Config'!$C:$C,10),0),0)+IF(LEFT(AW410,4)="True",IF(_xlfn.XLOOKUP("Migrate_Insecure",'Scoring_Config'!$A:$A,'Scoring_Config'!$D:$D,"Yes")="Yes",_xlfn.XLOOKUP("Migrate_Insecure",'Scoring_Config'!$A:$A,'Scoring_Config'!$C:$C,15),0),0)+IF(LEFT(AY410,4)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410,FIND(",",AP410)+1,100)),0)+IF(LEFT(AQ410,4)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410,FIND(",",AR410)+1,100)),0)+IF(_xlfn.XLOOKUP("Profile_Scoring",'Scoring_Config'!$A:$A,'Scoring_Config'!$D:$D,"Yes")="Yes",VALUE(MID(AS410,FIND(",",AS410)+1,100)),0)+IF(_xlfn.XLOOKUP("Options_Scoring",'Scoring_Config'!$A:$A,'Scoring_Config'!$D:$D,"Yes")="Yes",VALUE(MID(AT410,FIND(",",AT410)+1,100)),0)))</f>
        <v>0</v>
      </c>
    </row>
    <row r="411" spans="1:52">
      <c r="A411" s="3" t="s">
        <v>55</v>
      </c>
      <c r="B411" s="3" t="s">
        <v>304</v>
      </c>
      <c r="C411" s="3" t="s">
        <v>332</v>
      </c>
      <c r="D411" s="3"/>
      <c r="E411" s="3" t="s">
        <v>359</v>
      </c>
      <c r="F411" s="3" t="s">
        <v>361</v>
      </c>
      <c r="G411" s="3" t="s">
        <v>365</v>
      </c>
      <c r="H411" s="3" t="s">
        <v>365</v>
      </c>
      <c r="I411" s="3" t="s">
        <v>365</v>
      </c>
      <c r="J411" s="3" t="s">
        <v>364</v>
      </c>
      <c r="K411" s="3" t="s">
        <v>365</v>
      </c>
      <c r="L411" s="3" t="s">
        <v>365</v>
      </c>
      <c r="M411" s="3" t="s">
        <v>365</v>
      </c>
      <c r="N411" s="3" t="s">
        <v>365</v>
      </c>
      <c r="O411" s="4" t="s">
        <v>824</v>
      </c>
      <c r="P411" s="3" t="s">
        <v>885</v>
      </c>
      <c r="Q411" s="3" t="s">
        <v>905</v>
      </c>
      <c r="R411" s="3" t="s">
        <v>907</v>
      </c>
      <c r="S411" s="3" t="s">
        <v>915</v>
      </c>
      <c r="T411" s="3" t="s">
        <v>1107</v>
      </c>
      <c r="U411" s="3"/>
      <c r="V411" s="3" t="s">
        <v>1388</v>
      </c>
      <c r="W411" s="3" t="s">
        <v>1495</v>
      </c>
      <c r="X411" s="3" t="s">
        <v>2015</v>
      </c>
      <c r="Y411" s="3" t="s">
        <v>2484</v>
      </c>
      <c r="Z411" s="3"/>
      <c r="AA411" s="3"/>
      <c r="AB411" s="3"/>
      <c r="AC411" s="5" cm="1">
        <f t="array" ref="AC411">IF(TRUE,"True," &amp; IF(_xlfn.XLOOKUP("Src_IsAny",'Scoring_Config'!$A:$A,'Scoring_Config'!$D:$D,"Yes")="Yes",_xlfn.XLOOKUP("Src_IsAny",'Scoring_Config'!$A:$A,'Scoring_Config'!$C:$C,25),0),"False,0")</f>
        <v>0</v>
      </c>
      <c r="AD411" s="4" cm="1">
        <f t="array" ref="AD411">IF(FALSE,"True," &amp; IF(_xlfn.XLOOKUP("Src_CIDR_Le_16",'Scoring_Config'!$A:$A,'Scoring_Config'!$D:$D,"Yes")="Yes",_xlfn.XLOOKUP("Src_CIDR_Le_16",'Scoring_Config'!$A:$A,'Scoring_Config'!$C:$C,25),0),"False,0")</f>
        <v>0</v>
      </c>
      <c r="AE411" s="4" cm="1">
        <f t="array" ref="AE411">IF(FALSE,"True," &amp; IF(_xlfn.XLOOKUP("Src_CIDR_17_22",'Scoring_Config'!$A:$A,'Scoring_Config'!$D:$D,"Yes")="Yes",_xlfn.XLOOKUP("Src_CIDR_17_22",'Scoring_Config'!$A:$A,'Scoring_Config'!$C:$C,15),0),"False,0")</f>
        <v>0</v>
      </c>
      <c r="AF411" s="5" cm="1">
        <f t="array" ref="AF411">IF(TRUE,"True," &amp; IF(_xlfn.XLOOKUP("Dst_IsAny",'Scoring_Config'!$A:$A,'Scoring_Config'!$D:$D,"Yes")="Yes",_xlfn.XLOOKUP("Dst_IsAny",'Scoring_Config'!$A:$A,'Scoring_Config'!$C:$C,25),0),"False,0")</f>
        <v>0</v>
      </c>
      <c r="AG411" s="4" cm="1">
        <f t="array" ref="AG411">IF(FALSE,"True," &amp; IF(_xlfn.XLOOKUP("Dst_CIDR_Le_16",'Scoring_Config'!$A:$A,'Scoring_Config'!$D:$D,"Yes")="Yes",_xlfn.XLOOKUP("Dst_CIDR_Le_16",'Scoring_Config'!$A:$A,'Scoring_Config'!$C:$C,25),0),"False,0")</f>
        <v>0</v>
      </c>
      <c r="AH411" s="4" cm="1">
        <f t="array" ref="AH411">IF(FALSE,"True," &amp; IF(_xlfn.XLOOKUP("Dst_CIDR_17_22",'Scoring_Config'!$A:$A,'Scoring_Config'!$D:$D,"Yes")="Yes",_xlfn.XLOOKUP("Dst_CIDR_17_22",'Scoring_Config'!$A:$A,'Scoring_Config'!$C:$C,15),0),"False,0")</f>
        <v>0</v>
      </c>
      <c r="AI411" s="4" cm="1">
        <f t="array" ref="AI411">IF(FALSE,"True," &amp; IF(_xlfn.XLOOKUP("SrcZone_IsAny",'Scoring_Config'!$A:$A,'Scoring_Config'!$D:$D,"Yes")="Yes",_xlfn.XLOOKUP("SrcZone_IsAny",'Scoring_Config'!$A:$A,'Scoring_Config'!$C:$C,5),0),"False,0")</f>
        <v>0</v>
      </c>
      <c r="AJ411" s="4" cm="1">
        <f t="array" ref="AJ411">IF(FALSE,"True," &amp; IF(_xlfn.XLOOKUP("DstZone_IsAny",'Scoring_Config'!$A:$A,'Scoring_Config'!$D:$D,"Yes")="Yes",_xlfn.XLOOKUP("DstZone_IsAny",'Scoring_Config'!$A:$A,'Scoring_Config'!$C:$C,5),0),"False,0")</f>
        <v>0</v>
      </c>
      <c r="AK411" s="4" cm="1">
        <f t="array" ref="AK41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1" s="5" cm="1">
        <f t="array" ref="AL411">IF(TRUE,"True," &amp; IF(_xlfn.XLOOKUP("App_Any_OR_RangeGt1000",'Scoring_Config'!$A:$A,'Scoring_Config'!$D:$D,"Yes")="Yes",_xlfn.XLOOKUP("App_Any_OR_RangeGt1000",'Scoring_Config'!$A:$A,'Scoring_Config'!$C:$C,25),0),"False,0")</f>
        <v>0</v>
      </c>
      <c r="AM411" s="5" cm="1">
        <f t="array" ref="AM411">IF(TRUE,"True," &amp; IF(_xlfn.XLOOKUP("Service_Insecure_Match",'Scoring_Config'!$A:$A,'Scoring_Config'!$D:$D,"Yes")="Yes",_xlfn.XLOOKUP("Service_Insecure_Match",'Scoring_Config'!$A:$A,'Scoring_Config'!$C:$C,20),0),"False,0")</f>
        <v>0</v>
      </c>
      <c r="AN411" s="4" cm="1">
        <f t="array" ref="AN411">IF(FALSE,"True," &amp; IF(_xlfn.XLOOKUP("Risky_Inbound",'Scoring_Config'!$A:$A,'Scoring_Config'!$D:$D,"Yes")="Yes",_xlfn.XLOOKUP("Risky_Inbound",'Scoring_Config'!$A:$A,'Scoring_Config'!$C:$C,20),0),"False,0")</f>
        <v>0</v>
      </c>
      <c r="AO411" s="4" cm="1">
        <f t="array" ref="AO411">IF(FALSE,"True," &amp; IF(_xlfn.XLOOKUP("Risky_Outbound",'Scoring_Config'!$A:$A,'Scoring_Config'!$D:$D,"Yes")="Yes",_xlfn.XLOOKUP("Risky_Outbound",'Scoring_Config'!$A:$A,'Scoring_Config'!$C:$C,10),0),"False,0")</f>
        <v>0</v>
      </c>
      <c r="AP411" s="5" t="s">
        <v>2595</v>
      </c>
      <c r="AQ411" s="5" cm="1">
        <f t="array" ref="AQ41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1" s="4" t="s">
        <v>2592</v>
      </c>
      <c r="AS411" s="5" t="s">
        <v>2595</v>
      </c>
      <c r="AT411" s="4" t="s">
        <v>2592</v>
      </c>
      <c r="AU411" s="4" cm="1">
        <f t="array" ref="AU411">IF(FALSE,"True," &amp; IF(_xlfn.XLOOKUP("Action_IsDenyOrDrop",'Scoring_Config'!$A:$A,'Scoring_Config'!$D:$D,"Yes")="Yes",_xlfn.XLOOKUP("Action_IsDenyOrDrop",'Scoring_Config'!$A:$A,'Scoring_Config'!$C:$C,0),0),"False,0")</f>
        <v>0</v>
      </c>
      <c r="AV411" s="4"/>
      <c r="AW411" s="4" cm="1">
        <f t="array" ref="AW411">IF(FALSE,"True," &amp; IF(_xlfn.XLOOKUP("Migrate_Insecure",'Scoring_Config'!$A:$A,'Scoring_Config'!$D:$D,"Yes")="Yes",_xlfn.XLOOKUP("Migrate_Insecure",'Scoring_Config'!$A:$A,'Scoring_Config'!$C:$C,15),0),"False,0")</f>
        <v>0</v>
      </c>
      <c r="AX411" s="4"/>
      <c r="AY411" s="4" cm="1">
        <f t="array" ref="AY411">IF(FALSE,"True," &amp; IF(_xlfn.XLOOKUP("Migrate_Other_Ports",'Scoring_Config'!$A:$A,'Scoring_Config'!$D:$D,"Yes")="Yes",_xlfn.XLOOKUP("Migrate_Other_Ports",'Scoring_Config'!$A:$A,'Scoring_Config'!$C:$C,5),0),"False,0")</f>
        <v>0</v>
      </c>
      <c r="AZ411" s="4" cm="1">
        <f t="array" ref="AZ411">IF(LEFT(AU411,4)="True",0,(IF(LEFT(AC411,4)="True",IF(_xlfn.XLOOKUP("Src_IsAny",'Scoring_Config'!$A:$A,'Scoring_Config'!$D:$D,"Yes")="Yes",_xlfn.XLOOKUP("Src_IsAny",'Scoring_Config'!$A:$A,'Scoring_Config'!$C:$C,25),0),0)+IF(LEFT(AD411,4)="True",IF(_xlfn.XLOOKUP("Src_CIDR_Le_16",'Scoring_Config'!$A:$A,'Scoring_Config'!$D:$D,"Yes")="Yes",_xlfn.XLOOKUP("Src_CIDR_Le_16",'Scoring_Config'!$A:$A,'Scoring_Config'!$C:$C,25),0),0)+IF(LEFT(AE411,4)="True",IF(_xlfn.XLOOKUP("Src_CIDR_17_22",'Scoring_Config'!$A:$A,'Scoring_Config'!$D:$D,"Yes")="Yes",_xlfn.XLOOKUP("Src_CIDR_17_22",'Scoring_Config'!$A:$A,'Scoring_Config'!$C:$C,15),0),0)+IF(LEFT(AF411,4)="True",IF(_xlfn.XLOOKUP("Dst_IsAny",'Scoring_Config'!$A:$A,'Scoring_Config'!$D:$D,"Yes")="Yes",_xlfn.XLOOKUP("Dst_IsAny",'Scoring_Config'!$A:$A,'Scoring_Config'!$C:$C,25),0),0)+IF(LEFT(AG411,4)="True",IF(_xlfn.XLOOKUP("Dst_CIDR_Le_16",'Scoring_Config'!$A:$A,'Scoring_Config'!$D:$D,"Yes")="Yes",_xlfn.XLOOKUP("Dst_CIDR_Le_16",'Scoring_Config'!$A:$A,'Scoring_Config'!$C:$C,25),0),0)+IF(LEFT(AH411,4)="True",IF(_xlfn.XLOOKUP("Dst_CIDR_17_22",'Scoring_Config'!$A:$A,'Scoring_Config'!$D:$D,"Yes")="Yes",_xlfn.XLOOKUP("Dst_CIDR_17_22",'Scoring_Config'!$A:$A,'Scoring_Config'!$C:$C,15),0),0)+IF(LEFT(AI411,4)="True",IF(_xlfn.XLOOKUP("SrcZone_IsAny",'Scoring_Config'!$A:$A,'Scoring_Config'!$D:$D,"Yes")="Yes",_xlfn.XLOOKUP("SrcZone_IsAny",'Scoring_Config'!$A:$A,'Scoring_Config'!$C:$C,5),0),0)+IF(LEFT(AJ411,4)="True",IF(_xlfn.XLOOKUP("DstZone_IsAny",'Scoring_Config'!$A:$A,'Scoring_Config'!$D:$D,"Yes")="Yes",_xlfn.XLOOKUP("DstZone_IsAny",'Scoring_Config'!$A:$A,'Scoring_Config'!$C:$C,5),0),0)+IF(LEFT(AK411,4)="True",IF(_xlfn.XLOOKUP("Service_Any_OR_RangeGt1000",'Scoring_Config'!$A:$A,'Scoring_Config'!$D:$D,"Yes")="Yes",_xlfn.XLOOKUP("Service_Any_OR_RangeGt1000",'Scoring_Config'!$A:$A,'Scoring_Config'!$C:$C,25),0),0)+IF(LEFT(AL411,4)="True",IF(_xlfn.XLOOKUP("App_Any_OR_RangeGt1000",'Scoring_Config'!$A:$A,'Scoring_Config'!$D:$D,"Yes")="Yes",_xlfn.XLOOKUP("App_Any_OR_RangeGt1000",'Scoring_Config'!$A:$A,'Scoring_Config'!$C:$C,25),0),0)+IF(LEFT(AM411,4)="True",IF(_xlfn.XLOOKUP("Service_Insecure_Match",'Scoring_Config'!$A:$A,'Scoring_Config'!$D:$D,"Yes")="Yes",_xlfn.XLOOKUP("Service_Insecure_Match",'Scoring_Config'!$A:$A,'Scoring_Config'!$C:$C,20),0),0)+IF(LEFT(AN411,4)="True",IF(_xlfn.XLOOKUP("Risky_Inbound",'Scoring_Config'!$A:$A,'Scoring_Config'!$D:$D,"Yes")="Yes",_xlfn.XLOOKUP("Risky_Inbound",'Scoring_Config'!$A:$A,'Scoring_Config'!$C:$C,20),0),0)+IF(LEFT(AO411,4)="True",IF(_xlfn.XLOOKUP("Risky_Outbound",'Scoring_Config'!$A:$A,'Scoring_Config'!$D:$D,"Yes")="Yes",_xlfn.XLOOKUP("Risky_Outbound",'Scoring_Config'!$A:$A,'Scoring_Config'!$C:$C,10),0),0)+IF(LEFT(AW411,4)="True",IF(_xlfn.XLOOKUP("Migrate_Insecure",'Scoring_Config'!$A:$A,'Scoring_Config'!$D:$D,"Yes")="Yes",_xlfn.XLOOKUP("Migrate_Insecure",'Scoring_Config'!$A:$A,'Scoring_Config'!$C:$C,15),0),0)+IF(LEFT(AY411,4)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411,FIND(",",AP411)+1,100)),0)+IF(LEFT(AQ411,4)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411,FIND(",",AR411)+1,100)),0)+IF(_xlfn.XLOOKUP("Profile_Scoring",'Scoring_Config'!$A:$A,'Scoring_Config'!$D:$D,"Yes")="Yes",VALUE(MID(AS411,FIND(",",AS411)+1,100)),0)+IF(_xlfn.XLOOKUP("Options_Scoring",'Scoring_Config'!$A:$A,'Scoring_Config'!$D:$D,"Yes")="Yes",VALUE(MID(AT411,FIND(",",AT411)+1,100)),0)))</f>
        <v>0</v>
      </c>
    </row>
    <row r="412" spans="1:52">
      <c r="A412" s="3" t="s">
        <v>55</v>
      </c>
      <c r="B412" s="3" t="s">
        <v>154</v>
      </c>
      <c r="C412" s="3" t="s">
        <v>332</v>
      </c>
      <c r="D412" s="3"/>
      <c r="E412" s="3" t="s">
        <v>359</v>
      </c>
      <c r="F412" s="3" t="s">
        <v>364</v>
      </c>
      <c r="G412" s="3" t="s">
        <v>508</v>
      </c>
      <c r="H412" s="3" t="s">
        <v>605</v>
      </c>
      <c r="I412" s="3" t="s">
        <v>622</v>
      </c>
      <c r="J412" s="3" t="s">
        <v>364</v>
      </c>
      <c r="K412" s="3" t="s">
        <v>495</v>
      </c>
      <c r="L412" s="3" t="s">
        <v>600</v>
      </c>
      <c r="M412" s="3" t="s">
        <v>770</v>
      </c>
      <c r="N412" s="3" t="s">
        <v>770</v>
      </c>
      <c r="O412" s="4" t="s">
        <v>828</v>
      </c>
      <c r="P412" s="3" t="s">
        <v>889</v>
      </c>
      <c r="Q412" s="3" t="s">
        <v>905</v>
      </c>
      <c r="R412" s="3" t="s">
        <v>908</v>
      </c>
      <c r="S412" s="3" t="s">
        <v>912</v>
      </c>
      <c r="T412" s="3" t="s">
        <v>1108</v>
      </c>
      <c r="U412" s="3" t="s">
        <v>1352</v>
      </c>
      <c r="V412" s="3" t="s">
        <v>1386</v>
      </c>
      <c r="W412" s="3" t="s">
        <v>1480</v>
      </c>
      <c r="X412" s="3" t="s">
        <v>2016</v>
      </c>
      <c r="Y412" s="3" t="s">
        <v>2485</v>
      </c>
      <c r="Z412" s="3"/>
      <c r="AA412" s="3"/>
      <c r="AB412" s="3"/>
      <c r="AC412" s="4" cm="1">
        <f t="array" ref="AC412">IF(FALSE,"True," &amp; IF(_xlfn.XLOOKUP("Src_IsAny",'Scoring_Config'!$A:$A,'Scoring_Config'!$D:$D,"Yes")="Yes",_xlfn.XLOOKUP("Src_IsAny",'Scoring_Config'!$A:$A,'Scoring_Config'!$C:$C,25),0),"False,0")</f>
        <v>0</v>
      </c>
      <c r="AD412" s="4" cm="1">
        <f t="array" ref="AD412">IF(FALSE,"True," &amp; IF(_xlfn.XLOOKUP("Src_CIDR_Le_16",'Scoring_Config'!$A:$A,'Scoring_Config'!$D:$D,"Yes")="Yes",_xlfn.XLOOKUP("Src_CIDR_Le_16",'Scoring_Config'!$A:$A,'Scoring_Config'!$C:$C,25),0),"False,0")</f>
        <v>0</v>
      </c>
      <c r="AE412" s="4" cm="1">
        <f t="array" ref="AE412">IF(FALSE,"True," &amp; IF(_xlfn.XLOOKUP("Src_CIDR_17_22",'Scoring_Config'!$A:$A,'Scoring_Config'!$D:$D,"Yes")="Yes",_xlfn.XLOOKUP("Src_CIDR_17_22",'Scoring_Config'!$A:$A,'Scoring_Config'!$C:$C,15),0),"False,0")</f>
        <v>0</v>
      </c>
      <c r="AF412" s="5" cm="1">
        <f t="array" ref="AF412">IF(TRUE,"True," &amp; IF(_xlfn.XLOOKUP("Dst_IsAny",'Scoring_Config'!$A:$A,'Scoring_Config'!$D:$D,"Yes")="Yes",_xlfn.XLOOKUP("Dst_IsAny",'Scoring_Config'!$A:$A,'Scoring_Config'!$C:$C,25),0),"False,0")</f>
        <v>0</v>
      </c>
      <c r="AG412" s="5" cm="1">
        <f t="array" ref="AG412">IF(TRUE,"True," &amp; IF(_xlfn.XLOOKUP("Dst_CIDR_Le_16",'Scoring_Config'!$A:$A,'Scoring_Config'!$D:$D,"Yes")="Yes",_xlfn.XLOOKUP("Dst_CIDR_Le_16",'Scoring_Config'!$A:$A,'Scoring_Config'!$C:$C,25),0),"False,0")</f>
        <v>0</v>
      </c>
      <c r="AH412" s="4" cm="1">
        <f t="array" ref="AH412">IF(FALSE,"True," &amp; IF(_xlfn.XLOOKUP("Dst_CIDR_17_22",'Scoring_Config'!$A:$A,'Scoring_Config'!$D:$D,"Yes")="Yes",_xlfn.XLOOKUP("Dst_CIDR_17_22",'Scoring_Config'!$A:$A,'Scoring_Config'!$C:$C,15),0),"False,0")</f>
        <v>0</v>
      </c>
      <c r="AI412" s="4" cm="1">
        <f t="array" ref="AI412">IF(FALSE,"True," &amp; IF(_xlfn.XLOOKUP("SrcZone_IsAny",'Scoring_Config'!$A:$A,'Scoring_Config'!$D:$D,"Yes")="Yes",_xlfn.XLOOKUP("SrcZone_IsAny",'Scoring_Config'!$A:$A,'Scoring_Config'!$C:$C,5),0),"False,0")</f>
        <v>0</v>
      </c>
      <c r="AJ412" s="4" cm="1">
        <f t="array" ref="AJ412">IF(FALSE,"True," &amp; IF(_xlfn.XLOOKUP("DstZone_IsAny",'Scoring_Config'!$A:$A,'Scoring_Config'!$D:$D,"Yes")="Yes",_xlfn.XLOOKUP("DstZone_IsAny",'Scoring_Config'!$A:$A,'Scoring_Config'!$C:$C,5),0),"False,0")</f>
        <v>0</v>
      </c>
      <c r="AK412" s="4" cm="1">
        <f t="array" ref="AK41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2" s="4" cm="1">
        <f t="array" ref="AL412">IF(FALSE,"True," &amp; IF(_xlfn.XLOOKUP("App_Any_OR_RangeGt1000",'Scoring_Config'!$A:$A,'Scoring_Config'!$D:$D,"Yes")="Yes",_xlfn.XLOOKUP("App_Any_OR_RangeGt1000",'Scoring_Config'!$A:$A,'Scoring_Config'!$C:$C,25),0),"False,0")</f>
        <v>0</v>
      </c>
      <c r="AM412" s="5" cm="1">
        <f t="array" ref="AM412">IF(TRUE,"True," &amp; IF(_xlfn.XLOOKUP("Service_Insecure_Match",'Scoring_Config'!$A:$A,'Scoring_Config'!$D:$D,"Yes")="Yes",_xlfn.XLOOKUP("Service_Insecure_Match",'Scoring_Config'!$A:$A,'Scoring_Config'!$C:$C,20),0),"False,0")</f>
        <v>0</v>
      </c>
      <c r="AN412" s="4" cm="1">
        <f t="array" ref="AN412">IF(FALSE,"True," &amp; IF(_xlfn.XLOOKUP("Risky_Inbound",'Scoring_Config'!$A:$A,'Scoring_Config'!$D:$D,"Yes")="Yes",_xlfn.XLOOKUP("Risky_Inbound",'Scoring_Config'!$A:$A,'Scoring_Config'!$C:$C,20),0),"False,0")</f>
        <v>0</v>
      </c>
      <c r="AO412" s="4" cm="1">
        <f t="array" ref="AO412">IF(FALSE,"True," &amp; IF(_xlfn.XLOOKUP("Risky_Outbound",'Scoring_Config'!$A:$A,'Scoring_Config'!$D:$D,"Yes")="Yes",_xlfn.XLOOKUP("Risky_Outbound",'Scoring_Config'!$A:$A,'Scoring_Config'!$C:$C,10),0),"False,0")</f>
        <v>0</v>
      </c>
      <c r="AP412" s="5" t="s">
        <v>2595</v>
      </c>
      <c r="AQ412" s="4" cm="1">
        <f t="array" ref="AQ41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2" s="5" t="s">
        <v>2598</v>
      </c>
      <c r="AS412" s="4" t="s">
        <v>2592</v>
      </c>
      <c r="AT412" s="4" t="s">
        <v>2592</v>
      </c>
      <c r="AU412" s="4" cm="1">
        <f t="array" ref="AU412">IF(FALSE,"True," &amp; IF(_xlfn.XLOOKUP("Action_IsDenyOrDrop",'Scoring_Config'!$A:$A,'Scoring_Config'!$D:$D,"Yes")="Yes",_xlfn.XLOOKUP("Action_IsDenyOrDrop",'Scoring_Config'!$A:$A,'Scoring_Config'!$C:$C,0),0),"False,0")</f>
        <v>0</v>
      </c>
      <c r="AV412" s="4"/>
      <c r="AW412" s="4" cm="1">
        <f t="array" ref="AW412">IF(FALSE,"True," &amp; IF(_xlfn.XLOOKUP("Migrate_Insecure",'Scoring_Config'!$A:$A,'Scoring_Config'!$D:$D,"Yes")="Yes",_xlfn.XLOOKUP("Migrate_Insecure",'Scoring_Config'!$A:$A,'Scoring_Config'!$C:$C,15),0),"False,0")</f>
        <v>0</v>
      </c>
      <c r="AX412" s="4"/>
      <c r="AY412" s="4" cm="1">
        <f t="array" ref="AY412">IF(FALSE,"True," &amp; IF(_xlfn.XLOOKUP("Migrate_Other_Ports",'Scoring_Config'!$A:$A,'Scoring_Config'!$D:$D,"Yes")="Yes",_xlfn.XLOOKUP("Migrate_Other_Ports",'Scoring_Config'!$A:$A,'Scoring_Config'!$C:$C,5),0),"False,0")</f>
        <v>0</v>
      </c>
      <c r="AZ412" s="4" cm="1">
        <f t="array" ref="AZ412">IF(LEFT(AU412,4)="True",0,(IF(LEFT(AC412,4)="True",IF(_xlfn.XLOOKUP("Src_IsAny",'Scoring_Config'!$A:$A,'Scoring_Config'!$D:$D,"Yes")="Yes",_xlfn.XLOOKUP("Src_IsAny",'Scoring_Config'!$A:$A,'Scoring_Config'!$C:$C,25),0),0)+IF(LEFT(AD412,4)="True",IF(_xlfn.XLOOKUP("Src_CIDR_Le_16",'Scoring_Config'!$A:$A,'Scoring_Config'!$D:$D,"Yes")="Yes",_xlfn.XLOOKUP("Src_CIDR_Le_16",'Scoring_Config'!$A:$A,'Scoring_Config'!$C:$C,25),0),0)+IF(LEFT(AE412,4)="True",IF(_xlfn.XLOOKUP("Src_CIDR_17_22",'Scoring_Config'!$A:$A,'Scoring_Config'!$D:$D,"Yes")="Yes",_xlfn.XLOOKUP("Src_CIDR_17_22",'Scoring_Config'!$A:$A,'Scoring_Config'!$C:$C,15),0),0)+IF(LEFT(AF412,4)="True",IF(_xlfn.XLOOKUP("Dst_IsAny",'Scoring_Config'!$A:$A,'Scoring_Config'!$D:$D,"Yes")="Yes",_xlfn.XLOOKUP("Dst_IsAny",'Scoring_Config'!$A:$A,'Scoring_Config'!$C:$C,25),0),0)+IF(LEFT(AG412,4)="True",IF(_xlfn.XLOOKUP("Dst_CIDR_Le_16",'Scoring_Config'!$A:$A,'Scoring_Config'!$D:$D,"Yes")="Yes",_xlfn.XLOOKUP("Dst_CIDR_Le_16",'Scoring_Config'!$A:$A,'Scoring_Config'!$C:$C,25),0),0)+IF(LEFT(AH412,4)="True",IF(_xlfn.XLOOKUP("Dst_CIDR_17_22",'Scoring_Config'!$A:$A,'Scoring_Config'!$D:$D,"Yes")="Yes",_xlfn.XLOOKUP("Dst_CIDR_17_22",'Scoring_Config'!$A:$A,'Scoring_Config'!$C:$C,15),0),0)+IF(LEFT(AI412,4)="True",IF(_xlfn.XLOOKUP("SrcZone_IsAny",'Scoring_Config'!$A:$A,'Scoring_Config'!$D:$D,"Yes")="Yes",_xlfn.XLOOKUP("SrcZone_IsAny",'Scoring_Config'!$A:$A,'Scoring_Config'!$C:$C,5),0),0)+IF(LEFT(AJ412,4)="True",IF(_xlfn.XLOOKUP("DstZone_IsAny",'Scoring_Config'!$A:$A,'Scoring_Config'!$D:$D,"Yes")="Yes",_xlfn.XLOOKUP("DstZone_IsAny",'Scoring_Config'!$A:$A,'Scoring_Config'!$C:$C,5),0),0)+IF(LEFT(AK412,4)="True",IF(_xlfn.XLOOKUP("Service_Any_OR_RangeGt1000",'Scoring_Config'!$A:$A,'Scoring_Config'!$D:$D,"Yes")="Yes",_xlfn.XLOOKUP("Service_Any_OR_RangeGt1000",'Scoring_Config'!$A:$A,'Scoring_Config'!$C:$C,25),0),0)+IF(LEFT(AL412,4)="True",IF(_xlfn.XLOOKUP("App_Any_OR_RangeGt1000",'Scoring_Config'!$A:$A,'Scoring_Config'!$D:$D,"Yes")="Yes",_xlfn.XLOOKUP("App_Any_OR_RangeGt1000",'Scoring_Config'!$A:$A,'Scoring_Config'!$C:$C,25),0),0)+IF(LEFT(AM412,4)="True",IF(_xlfn.XLOOKUP("Service_Insecure_Match",'Scoring_Config'!$A:$A,'Scoring_Config'!$D:$D,"Yes")="Yes",_xlfn.XLOOKUP("Service_Insecure_Match",'Scoring_Config'!$A:$A,'Scoring_Config'!$C:$C,20),0),0)+IF(LEFT(AN412,4)="True",IF(_xlfn.XLOOKUP("Risky_Inbound",'Scoring_Config'!$A:$A,'Scoring_Config'!$D:$D,"Yes")="Yes",_xlfn.XLOOKUP("Risky_Inbound",'Scoring_Config'!$A:$A,'Scoring_Config'!$C:$C,20),0),0)+IF(LEFT(AO412,4)="True",IF(_xlfn.XLOOKUP("Risky_Outbound",'Scoring_Config'!$A:$A,'Scoring_Config'!$D:$D,"Yes")="Yes",_xlfn.XLOOKUP("Risky_Outbound",'Scoring_Config'!$A:$A,'Scoring_Config'!$C:$C,10),0),0)+IF(LEFT(AW412,4)="True",IF(_xlfn.XLOOKUP("Migrate_Insecure",'Scoring_Config'!$A:$A,'Scoring_Config'!$D:$D,"Yes")="Yes",_xlfn.XLOOKUP("Migrate_Insecure",'Scoring_Config'!$A:$A,'Scoring_Config'!$C:$C,15),0),0)+IF(LEFT(AY412,4)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412,FIND(",",AP412)+1,100)),0)+IF(LEFT(AQ412,4)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412,FIND(",",AR412)+1,100)),0)+IF(_xlfn.XLOOKUP("Profile_Scoring",'Scoring_Config'!$A:$A,'Scoring_Config'!$D:$D,"Yes")="Yes",VALUE(MID(AS412,FIND(",",AS412)+1,100)),0)+IF(_xlfn.XLOOKUP("Options_Scoring",'Scoring_Config'!$A:$A,'Scoring_Config'!$D:$D,"Yes")="Yes",VALUE(MID(AT412,FIND(",",AT412)+1,100)),0)))</f>
        <v>0</v>
      </c>
    </row>
    <row r="413" spans="1:52">
      <c r="A413" s="3" t="s">
        <v>55</v>
      </c>
      <c r="B413" s="3" t="s">
        <v>212</v>
      </c>
      <c r="C413" s="3" t="s">
        <v>332</v>
      </c>
      <c r="D413" s="3"/>
      <c r="E413" s="3" t="s">
        <v>359</v>
      </c>
      <c r="F413" s="3" t="s">
        <v>360</v>
      </c>
      <c r="G413" s="3" t="s">
        <v>365</v>
      </c>
      <c r="H413" s="3" t="s">
        <v>365</v>
      </c>
      <c r="I413" s="3" t="s">
        <v>622</v>
      </c>
      <c r="J413" s="3" t="s">
        <v>364</v>
      </c>
      <c r="K413" s="3" t="s">
        <v>508</v>
      </c>
      <c r="L413" s="3" t="s">
        <v>605</v>
      </c>
      <c r="M413" s="3" t="s">
        <v>775</v>
      </c>
      <c r="N413" s="3" t="s">
        <v>796</v>
      </c>
      <c r="O413" s="4" t="s">
        <v>833</v>
      </c>
      <c r="P413" s="3" t="s">
        <v>894</v>
      </c>
      <c r="Q413" s="3" t="s">
        <v>905</v>
      </c>
      <c r="R413" s="3" t="s">
        <v>908</v>
      </c>
      <c r="S413" s="3" t="s">
        <v>912</v>
      </c>
      <c r="T413" s="3" t="s">
        <v>1109</v>
      </c>
      <c r="U413" s="3" t="s">
        <v>1353</v>
      </c>
      <c r="V413" s="3" t="s">
        <v>772</v>
      </c>
      <c r="W413" s="3" t="s">
        <v>1452</v>
      </c>
      <c r="X413" s="3" t="s">
        <v>2017</v>
      </c>
      <c r="Y413" s="3" t="s">
        <v>2486</v>
      </c>
      <c r="Z413" s="3"/>
      <c r="AA413" s="3"/>
      <c r="AB413" s="3"/>
      <c r="AC413" s="5" cm="1">
        <f t="array" ref="AC413">IF(TRUE,"True," &amp; IF(_xlfn.XLOOKUP("Src_IsAny",'Scoring_Config'!$A:$A,'Scoring_Config'!$D:$D,"Yes")="Yes",_xlfn.XLOOKUP("Src_IsAny",'Scoring_Config'!$A:$A,'Scoring_Config'!$C:$C,25),0),"False,0")</f>
        <v>0</v>
      </c>
      <c r="AD413" s="4" cm="1">
        <f t="array" ref="AD413">IF(FALSE,"True," &amp; IF(_xlfn.XLOOKUP("Src_CIDR_Le_16",'Scoring_Config'!$A:$A,'Scoring_Config'!$D:$D,"Yes")="Yes",_xlfn.XLOOKUP("Src_CIDR_Le_16",'Scoring_Config'!$A:$A,'Scoring_Config'!$C:$C,25),0),"False,0")</f>
        <v>0</v>
      </c>
      <c r="AE413" s="4" cm="1">
        <f t="array" ref="AE413">IF(FALSE,"True," &amp; IF(_xlfn.XLOOKUP("Src_CIDR_17_22",'Scoring_Config'!$A:$A,'Scoring_Config'!$D:$D,"Yes")="Yes",_xlfn.XLOOKUP("Src_CIDR_17_22",'Scoring_Config'!$A:$A,'Scoring_Config'!$C:$C,15),0),"False,0")</f>
        <v>0</v>
      </c>
      <c r="AF413" s="4" cm="1">
        <f t="array" ref="AF413">IF(FALSE,"True," &amp; IF(_xlfn.XLOOKUP("Dst_IsAny",'Scoring_Config'!$A:$A,'Scoring_Config'!$D:$D,"Yes")="Yes",_xlfn.XLOOKUP("Dst_IsAny",'Scoring_Config'!$A:$A,'Scoring_Config'!$C:$C,25),0),"False,0")</f>
        <v>0</v>
      </c>
      <c r="AG413" s="4" cm="1">
        <f t="array" ref="AG413">IF(FALSE,"True," &amp; IF(_xlfn.XLOOKUP("Dst_CIDR_Le_16",'Scoring_Config'!$A:$A,'Scoring_Config'!$D:$D,"Yes")="Yes",_xlfn.XLOOKUP("Dst_CIDR_Le_16",'Scoring_Config'!$A:$A,'Scoring_Config'!$C:$C,25),0),"False,0")</f>
        <v>0</v>
      </c>
      <c r="AH413" s="4" cm="1">
        <f t="array" ref="AH413">IF(FALSE,"True," &amp; IF(_xlfn.XLOOKUP("Dst_CIDR_17_22",'Scoring_Config'!$A:$A,'Scoring_Config'!$D:$D,"Yes")="Yes",_xlfn.XLOOKUP("Dst_CIDR_17_22",'Scoring_Config'!$A:$A,'Scoring_Config'!$C:$C,15),0),"False,0")</f>
        <v>0</v>
      </c>
      <c r="AI413" s="4" cm="1">
        <f t="array" ref="AI413">IF(FALSE,"True," &amp; IF(_xlfn.XLOOKUP("SrcZone_IsAny",'Scoring_Config'!$A:$A,'Scoring_Config'!$D:$D,"Yes")="Yes",_xlfn.XLOOKUP("SrcZone_IsAny",'Scoring_Config'!$A:$A,'Scoring_Config'!$C:$C,5),0),"False,0")</f>
        <v>0</v>
      </c>
      <c r="AJ413" s="4" cm="1">
        <f t="array" ref="AJ413">IF(FALSE,"True," &amp; IF(_xlfn.XLOOKUP("DstZone_IsAny",'Scoring_Config'!$A:$A,'Scoring_Config'!$D:$D,"Yes")="Yes",_xlfn.XLOOKUP("DstZone_IsAny",'Scoring_Config'!$A:$A,'Scoring_Config'!$C:$C,5),0),"False,0")</f>
        <v>0</v>
      </c>
      <c r="AK413" s="5" cm="1">
        <f t="array" ref="AK413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413" s="4" cm="1">
        <f t="array" ref="AL413">IF(FALSE,"True," &amp; IF(_xlfn.XLOOKUP("App_Any_OR_RangeGt1000",'Scoring_Config'!$A:$A,'Scoring_Config'!$D:$D,"Yes")="Yes",_xlfn.XLOOKUP("App_Any_OR_RangeGt1000",'Scoring_Config'!$A:$A,'Scoring_Config'!$C:$C,25),0),"False,0")</f>
        <v>0</v>
      </c>
      <c r="AM413" s="5" cm="1">
        <f t="array" ref="AM413">IF(TRUE,"True," &amp; IF(_xlfn.XLOOKUP("Service_Insecure_Match",'Scoring_Config'!$A:$A,'Scoring_Config'!$D:$D,"Yes")="Yes",_xlfn.XLOOKUP("Service_Insecure_Match",'Scoring_Config'!$A:$A,'Scoring_Config'!$C:$C,20),0),"False,0")</f>
        <v>0</v>
      </c>
      <c r="AN413" s="4" cm="1">
        <f t="array" ref="AN413">IF(FALSE,"True," &amp; IF(_xlfn.XLOOKUP("Risky_Inbound",'Scoring_Config'!$A:$A,'Scoring_Config'!$D:$D,"Yes")="Yes",_xlfn.XLOOKUP("Risky_Inbound",'Scoring_Config'!$A:$A,'Scoring_Config'!$C:$C,20),0),"False,0")</f>
        <v>0</v>
      </c>
      <c r="AO413" s="4" cm="1">
        <f t="array" ref="AO413">IF(FALSE,"True," &amp; IF(_xlfn.XLOOKUP("Risky_Outbound",'Scoring_Config'!$A:$A,'Scoring_Config'!$D:$D,"Yes")="Yes",_xlfn.XLOOKUP("Risky_Outbound",'Scoring_Config'!$A:$A,'Scoring_Config'!$C:$C,10),0),"False,0")</f>
        <v>0</v>
      </c>
      <c r="AP413" s="5" t="s">
        <v>2595</v>
      </c>
      <c r="AQ413" s="4" cm="1">
        <f t="array" ref="AQ41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3" s="5" t="s">
        <v>2598</v>
      </c>
      <c r="AS413" s="4" t="s">
        <v>2592</v>
      </c>
      <c r="AT413" s="4" t="s">
        <v>2592</v>
      </c>
      <c r="AU413" s="4" cm="1">
        <f t="array" ref="AU413">IF(FALSE,"True," &amp; IF(_xlfn.XLOOKUP("Action_IsDenyOrDrop",'Scoring_Config'!$A:$A,'Scoring_Config'!$D:$D,"Yes")="Yes",_xlfn.XLOOKUP("Action_IsDenyOrDrop",'Scoring_Config'!$A:$A,'Scoring_Config'!$C:$C,0),0),"False,0")</f>
        <v>0</v>
      </c>
      <c r="AV413" s="4"/>
      <c r="AW413" s="4" cm="1">
        <f t="array" ref="AW413">IF(FALSE,"True," &amp; IF(_xlfn.XLOOKUP("Migrate_Insecure",'Scoring_Config'!$A:$A,'Scoring_Config'!$D:$D,"Yes")="Yes",_xlfn.XLOOKUP("Migrate_Insecure",'Scoring_Config'!$A:$A,'Scoring_Config'!$C:$C,15),0),"False,0")</f>
        <v>0</v>
      </c>
      <c r="AX413" s="4" t="s">
        <v>2600</v>
      </c>
      <c r="AY413" s="5" cm="1">
        <f t="array" ref="AY413">IF(TRUE,"True," &amp; IF(_xlfn.XLOOKUP("Migrate_Other_Ports",'Scoring_Config'!$A:$A,'Scoring_Config'!$D:$D,"Yes")="Yes",_xlfn.XLOOKUP("Migrate_Other_Ports",'Scoring_Config'!$A:$A,'Scoring_Config'!$C:$C,5),0),"False,0")</f>
        <v>0</v>
      </c>
      <c r="AZ413" s="4" cm="1">
        <f t="array" ref="AZ413">IF(LEFT(AU413,4)="True",0,(IF(LEFT(AC413,4)="True",IF(_xlfn.XLOOKUP("Src_IsAny",'Scoring_Config'!$A:$A,'Scoring_Config'!$D:$D,"Yes")="Yes",_xlfn.XLOOKUP("Src_IsAny",'Scoring_Config'!$A:$A,'Scoring_Config'!$C:$C,25),0),0)+IF(LEFT(AD413,4)="True",IF(_xlfn.XLOOKUP("Src_CIDR_Le_16",'Scoring_Config'!$A:$A,'Scoring_Config'!$D:$D,"Yes")="Yes",_xlfn.XLOOKUP("Src_CIDR_Le_16",'Scoring_Config'!$A:$A,'Scoring_Config'!$C:$C,25),0),0)+IF(LEFT(AE413,4)="True",IF(_xlfn.XLOOKUP("Src_CIDR_17_22",'Scoring_Config'!$A:$A,'Scoring_Config'!$D:$D,"Yes")="Yes",_xlfn.XLOOKUP("Src_CIDR_17_22",'Scoring_Config'!$A:$A,'Scoring_Config'!$C:$C,15),0),0)+IF(LEFT(AF413,4)="True",IF(_xlfn.XLOOKUP("Dst_IsAny",'Scoring_Config'!$A:$A,'Scoring_Config'!$D:$D,"Yes")="Yes",_xlfn.XLOOKUP("Dst_IsAny",'Scoring_Config'!$A:$A,'Scoring_Config'!$C:$C,25),0),0)+IF(LEFT(AG413,4)="True",IF(_xlfn.XLOOKUP("Dst_CIDR_Le_16",'Scoring_Config'!$A:$A,'Scoring_Config'!$D:$D,"Yes")="Yes",_xlfn.XLOOKUP("Dst_CIDR_Le_16",'Scoring_Config'!$A:$A,'Scoring_Config'!$C:$C,25),0),0)+IF(LEFT(AH413,4)="True",IF(_xlfn.XLOOKUP("Dst_CIDR_17_22",'Scoring_Config'!$A:$A,'Scoring_Config'!$D:$D,"Yes")="Yes",_xlfn.XLOOKUP("Dst_CIDR_17_22",'Scoring_Config'!$A:$A,'Scoring_Config'!$C:$C,15),0),0)+IF(LEFT(AI413,4)="True",IF(_xlfn.XLOOKUP("SrcZone_IsAny",'Scoring_Config'!$A:$A,'Scoring_Config'!$D:$D,"Yes")="Yes",_xlfn.XLOOKUP("SrcZone_IsAny",'Scoring_Config'!$A:$A,'Scoring_Config'!$C:$C,5),0),0)+IF(LEFT(AJ413,4)="True",IF(_xlfn.XLOOKUP("DstZone_IsAny",'Scoring_Config'!$A:$A,'Scoring_Config'!$D:$D,"Yes")="Yes",_xlfn.XLOOKUP("DstZone_IsAny",'Scoring_Config'!$A:$A,'Scoring_Config'!$C:$C,5),0),0)+IF(LEFT(AK413,4)="True",IF(_xlfn.XLOOKUP("Service_Any_OR_RangeGt1000",'Scoring_Config'!$A:$A,'Scoring_Config'!$D:$D,"Yes")="Yes",_xlfn.XLOOKUP("Service_Any_OR_RangeGt1000",'Scoring_Config'!$A:$A,'Scoring_Config'!$C:$C,25),0),0)+IF(LEFT(AL413,4)="True",IF(_xlfn.XLOOKUP("App_Any_OR_RangeGt1000",'Scoring_Config'!$A:$A,'Scoring_Config'!$D:$D,"Yes")="Yes",_xlfn.XLOOKUP("App_Any_OR_RangeGt1000",'Scoring_Config'!$A:$A,'Scoring_Config'!$C:$C,25),0),0)+IF(LEFT(AM413,4)="True",IF(_xlfn.XLOOKUP("Service_Insecure_Match",'Scoring_Config'!$A:$A,'Scoring_Config'!$D:$D,"Yes")="Yes",_xlfn.XLOOKUP("Service_Insecure_Match",'Scoring_Config'!$A:$A,'Scoring_Config'!$C:$C,20),0),0)+IF(LEFT(AN413,4)="True",IF(_xlfn.XLOOKUP("Risky_Inbound",'Scoring_Config'!$A:$A,'Scoring_Config'!$D:$D,"Yes")="Yes",_xlfn.XLOOKUP("Risky_Inbound",'Scoring_Config'!$A:$A,'Scoring_Config'!$C:$C,20),0),0)+IF(LEFT(AO413,4)="True",IF(_xlfn.XLOOKUP("Risky_Outbound",'Scoring_Config'!$A:$A,'Scoring_Config'!$D:$D,"Yes")="Yes",_xlfn.XLOOKUP("Risky_Outbound",'Scoring_Config'!$A:$A,'Scoring_Config'!$C:$C,10),0),0)+IF(LEFT(AW413,4)="True",IF(_xlfn.XLOOKUP("Migrate_Insecure",'Scoring_Config'!$A:$A,'Scoring_Config'!$D:$D,"Yes")="Yes",_xlfn.XLOOKUP("Migrate_Insecure",'Scoring_Config'!$A:$A,'Scoring_Config'!$C:$C,15),0),0)+IF(LEFT(AY413,4)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413,FIND(",",AP413)+1,100)),0)+IF(LEFT(AQ413,4)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413,FIND(",",AR413)+1,100)),0)+IF(_xlfn.XLOOKUP("Profile_Scoring",'Scoring_Config'!$A:$A,'Scoring_Config'!$D:$D,"Yes")="Yes",VALUE(MID(AS413,FIND(",",AS413)+1,100)),0)+IF(_xlfn.XLOOKUP("Options_Scoring",'Scoring_Config'!$A:$A,'Scoring_Config'!$D:$D,"Yes")="Yes",VALUE(MID(AT413,FIND(",",AT413)+1,100)),0)))</f>
        <v>0</v>
      </c>
    </row>
    <row r="414" spans="1:52">
      <c r="A414" s="3" t="s">
        <v>55</v>
      </c>
      <c r="B414" s="3" t="s">
        <v>128</v>
      </c>
      <c r="C414" s="3" t="s">
        <v>332</v>
      </c>
      <c r="D414" s="3"/>
      <c r="E414" s="3" t="s">
        <v>359</v>
      </c>
      <c r="F414" s="3" t="s">
        <v>360</v>
      </c>
      <c r="G414" s="3" t="s">
        <v>365</v>
      </c>
      <c r="H414" s="3" t="s">
        <v>365</v>
      </c>
      <c r="I414" s="3" t="s">
        <v>623</v>
      </c>
      <c r="J414" s="3" t="s">
        <v>364</v>
      </c>
      <c r="K414" s="3" t="s">
        <v>533</v>
      </c>
      <c r="L414" s="3" t="s">
        <v>594</v>
      </c>
      <c r="M414" s="3" t="s">
        <v>774</v>
      </c>
      <c r="N414" s="3" t="s">
        <v>795</v>
      </c>
      <c r="O414" s="4" t="s">
        <v>810</v>
      </c>
      <c r="P414" s="3" t="s">
        <v>871</v>
      </c>
      <c r="Q414" s="3" t="s">
        <v>905</v>
      </c>
      <c r="R414" s="3" t="s">
        <v>910</v>
      </c>
      <c r="S414" s="3" t="s">
        <v>914</v>
      </c>
      <c r="T414" s="3" t="s">
        <v>1110</v>
      </c>
      <c r="U414" s="3" t="s">
        <v>1354</v>
      </c>
      <c r="V414" s="3" t="s">
        <v>789</v>
      </c>
      <c r="W414" s="3" t="s">
        <v>1548</v>
      </c>
      <c r="X414" s="3" t="s">
        <v>2018</v>
      </c>
      <c r="Y414" s="3" t="s">
        <v>2487</v>
      </c>
      <c r="Z414" s="3"/>
      <c r="AA414" s="3"/>
      <c r="AB414" s="3"/>
      <c r="AC414" s="5" cm="1">
        <f t="array" ref="AC414">IF(TRUE,"True," &amp; IF(_xlfn.XLOOKUP("Src_IsAny",'Scoring_Config'!$A:$A,'Scoring_Config'!$D:$D,"Yes")="Yes",_xlfn.XLOOKUP("Src_IsAny",'Scoring_Config'!$A:$A,'Scoring_Config'!$C:$C,25),0),"False,0")</f>
        <v>0</v>
      </c>
      <c r="AD414" s="4" cm="1">
        <f t="array" ref="AD414">IF(FALSE,"True," &amp; IF(_xlfn.XLOOKUP("Src_CIDR_Le_16",'Scoring_Config'!$A:$A,'Scoring_Config'!$D:$D,"Yes")="Yes",_xlfn.XLOOKUP("Src_CIDR_Le_16",'Scoring_Config'!$A:$A,'Scoring_Config'!$C:$C,25),0),"False,0")</f>
        <v>0</v>
      </c>
      <c r="AE414" s="4" cm="1">
        <f t="array" ref="AE414">IF(FALSE,"True," &amp; IF(_xlfn.XLOOKUP("Src_CIDR_17_22",'Scoring_Config'!$A:$A,'Scoring_Config'!$D:$D,"Yes")="Yes",_xlfn.XLOOKUP("Src_CIDR_17_22",'Scoring_Config'!$A:$A,'Scoring_Config'!$C:$C,15),0),"False,0")</f>
        <v>0</v>
      </c>
      <c r="AF414" s="4" cm="1">
        <f t="array" ref="AF414">IF(FALSE,"True," &amp; IF(_xlfn.XLOOKUP("Dst_IsAny",'Scoring_Config'!$A:$A,'Scoring_Config'!$D:$D,"Yes")="Yes",_xlfn.XLOOKUP("Dst_IsAny",'Scoring_Config'!$A:$A,'Scoring_Config'!$C:$C,25),0),"False,0")</f>
        <v>0</v>
      </c>
      <c r="AG414" s="5" cm="1">
        <f t="array" ref="AG414">IF(TRUE,"True," &amp; IF(_xlfn.XLOOKUP("Dst_CIDR_Le_16",'Scoring_Config'!$A:$A,'Scoring_Config'!$D:$D,"Yes")="Yes",_xlfn.XLOOKUP("Dst_CIDR_Le_16",'Scoring_Config'!$A:$A,'Scoring_Config'!$C:$C,25),0),"False,0")</f>
        <v>0</v>
      </c>
      <c r="AH414" s="4" cm="1">
        <f t="array" ref="AH414">IF(FALSE,"True," &amp; IF(_xlfn.XLOOKUP("Dst_CIDR_17_22",'Scoring_Config'!$A:$A,'Scoring_Config'!$D:$D,"Yes")="Yes",_xlfn.XLOOKUP("Dst_CIDR_17_22",'Scoring_Config'!$A:$A,'Scoring_Config'!$C:$C,15),0),"False,0")</f>
        <v>0</v>
      </c>
      <c r="AI414" s="4" cm="1">
        <f t="array" ref="AI414">IF(FALSE,"True," &amp; IF(_xlfn.XLOOKUP("SrcZone_IsAny",'Scoring_Config'!$A:$A,'Scoring_Config'!$D:$D,"Yes")="Yes",_xlfn.XLOOKUP("SrcZone_IsAny",'Scoring_Config'!$A:$A,'Scoring_Config'!$C:$C,5),0),"False,0")</f>
        <v>0</v>
      </c>
      <c r="AJ414" s="4" cm="1">
        <f t="array" ref="AJ414">IF(FALSE,"True," &amp; IF(_xlfn.XLOOKUP("DstZone_IsAny",'Scoring_Config'!$A:$A,'Scoring_Config'!$D:$D,"Yes")="Yes",_xlfn.XLOOKUP("DstZone_IsAny",'Scoring_Config'!$A:$A,'Scoring_Config'!$C:$C,5),0),"False,0")</f>
        <v>0</v>
      </c>
      <c r="AK414" s="4" cm="1">
        <f t="array" ref="AK41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4" s="4" cm="1">
        <f t="array" ref="AL414">IF(FALSE,"True," &amp; IF(_xlfn.XLOOKUP("App_Any_OR_RangeGt1000",'Scoring_Config'!$A:$A,'Scoring_Config'!$D:$D,"Yes")="Yes",_xlfn.XLOOKUP("App_Any_OR_RangeGt1000",'Scoring_Config'!$A:$A,'Scoring_Config'!$C:$C,25),0),"False,0")</f>
        <v>0</v>
      </c>
      <c r="AM414" s="5" cm="1">
        <f t="array" ref="AM414">IF(TRUE,"True," &amp; IF(_xlfn.XLOOKUP("Service_Insecure_Match",'Scoring_Config'!$A:$A,'Scoring_Config'!$D:$D,"Yes")="Yes",_xlfn.XLOOKUP("Service_Insecure_Match",'Scoring_Config'!$A:$A,'Scoring_Config'!$C:$C,20),0),"False,0")</f>
        <v>0</v>
      </c>
      <c r="AN414" s="4" cm="1">
        <f t="array" ref="AN414">IF(FALSE,"True," &amp; IF(_xlfn.XLOOKUP("Risky_Inbound",'Scoring_Config'!$A:$A,'Scoring_Config'!$D:$D,"Yes")="Yes",_xlfn.XLOOKUP("Risky_Inbound",'Scoring_Config'!$A:$A,'Scoring_Config'!$C:$C,20),0),"False,0")</f>
        <v>0</v>
      </c>
      <c r="AO414" s="4" cm="1">
        <f t="array" ref="AO414">IF(FALSE,"True," &amp; IF(_xlfn.XLOOKUP("Risky_Outbound",'Scoring_Config'!$A:$A,'Scoring_Config'!$D:$D,"Yes")="Yes",_xlfn.XLOOKUP("Risky_Outbound",'Scoring_Config'!$A:$A,'Scoring_Config'!$C:$C,10),0),"False,0")</f>
        <v>0</v>
      </c>
      <c r="AP414" s="5" t="s">
        <v>2595</v>
      </c>
      <c r="AQ414" s="4" cm="1">
        <f t="array" ref="AQ41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4" s="5" t="s">
        <v>2598</v>
      </c>
      <c r="AS414" s="4" t="s">
        <v>2592</v>
      </c>
      <c r="AT414" s="4" t="s">
        <v>2592</v>
      </c>
      <c r="AU414" s="4" cm="1">
        <f t="array" ref="AU414">IF(FALSE,"True," &amp; IF(_xlfn.XLOOKUP("Action_IsDenyOrDrop",'Scoring_Config'!$A:$A,'Scoring_Config'!$D:$D,"Yes")="Yes",_xlfn.XLOOKUP("Action_IsDenyOrDrop",'Scoring_Config'!$A:$A,'Scoring_Config'!$C:$C,0),0),"False,0")</f>
        <v>0</v>
      </c>
      <c r="AV414" s="4"/>
      <c r="AW414" s="4" cm="1">
        <f t="array" ref="AW414">IF(FALSE,"True," &amp; IF(_xlfn.XLOOKUP("Migrate_Insecure",'Scoring_Config'!$A:$A,'Scoring_Config'!$D:$D,"Yes")="Yes",_xlfn.XLOOKUP("Migrate_Insecure",'Scoring_Config'!$A:$A,'Scoring_Config'!$C:$C,15),0),"False,0")</f>
        <v>0</v>
      </c>
      <c r="AX414" s="4"/>
      <c r="AY414" s="4" cm="1">
        <f t="array" ref="AY414">IF(FALSE,"True," &amp; IF(_xlfn.XLOOKUP("Migrate_Other_Ports",'Scoring_Config'!$A:$A,'Scoring_Config'!$D:$D,"Yes")="Yes",_xlfn.XLOOKUP("Migrate_Other_Ports",'Scoring_Config'!$A:$A,'Scoring_Config'!$C:$C,5),0),"False,0")</f>
        <v>0</v>
      </c>
      <c r="AZ414" s="4" cm="1">
        <f t="array" ref="AZ414">IF(LEFT(AU414,4)="True",0,(IF(LEFT(AC414,4)="True",IF(_xlfn.XLOOKUP("Src_IsAny",'Scoring_Config'!$A:$A,'Scoring_Config'!$D:$D,"Yes")="Yes",_xlfn.XLOOKUP("Src_IsAny",'Scoring_Config'!$A:$A,'Scoring_Config'!$C:$C,25),0),0)+IF(LEFT(AD414,4)="True",IF(_xlfn.XLOOKUP("Src_CIDR_Le_16",'Scoring_Config'!$A:$A,'Scoring_Config'!$D:$D,"Yes")="Yes",_xlfn.XLOOKUP("Src_CIDR_Le_16",'Scoring_Config'!$A:$A,'Scoring_Config'!$C:$C,25),0),0)+IF(LEFT(AE414,4)="True",IF(_xlfn.XLOOKUP("Src_CIDR_17_22",'Scoring_Config'!$A:$A,'Scoring_Config'!$D:$D,"Yes")="Yes",_xlfn.XLOOKUP("Src_CIDR_17_22",'Scoring_Config'!$A:$A,'Scoring_Config'!$C:$C,15),0),0)+IF(LEFT(AF414,4)="True",IF(_xlfn.XLOOKUP("Dst_IsAny",'Scoring_Config'!$A:$A,'Scoring_Config'!$D:$D,"Yes")="Yes",_xlfn.XLOOKUP("Dst_IsAny",'Scoring_Config'!$A:$A,'Scoring_Config'!$C:$C,25),0),0)+IF(LEFT(AG414,4)="True",IF(_xlfn.XLOOKUP("Dst_CIDR_Le_16",'Scoring_Config'!$A:$A,'Scoring_Config'!$D:$D,"Yes")="Yes",_xlfn.XLOOKUP("Dst_CIDR_Le_16",'Scoring_Config'!$A:$A,'Scoring_Config'!$C:$C,25),0),0)+IF(LEFT(AH414,4)="True",IF(_xlfn.XLOOKUP("Dst_CIDR_17_22",'Scoring_Config'!$A:$A,'Scoring_Config'!$D:$D,"Yes")="Yes",_xlfn.XLOOKUP("Dst_CIDR_17_22",'Scoring_Config'!$A:$A,'Scoring_Config'!$C:$C,15),0),0)+IF(LEFT(AI414,4)="True",IF(_xlfn.XLOOKUP("SrcZone_IsAny",'Scoring_Config'!$A:$A,'Scoring_Config'!$D:$D,"Yes")="Yes",_xlfn.XLOOKUP("SrcZone_IsAny",'Scoring_Config'!$A:$A,'Scoring_Config'!$C:$C,5),0),0)+IF(LEFT(AJ414,4)="True",IF(_xlfn.XLOOKUP("DstZone_IsAny",'Scoring_Config'!$A:$A,'Scoring_Config'!$D:$D,"Yes")="Yes",_xlfn.XLOOKUP("DstZone_IsAny",'Scoring_Config'!$A:$A,'Scoring_Config'!$C:$C,5),0),0)+IF(LEFT(AK414,4)="True",IF(_xlfn.XLOOKUP("Service_Any_OR_RangeGt1000",'Scoring_Config'!$A:$A,'Scoring_Config'!$D:$D,"Yes")="Yes",_xlfn.XLOOKUP("Service_Any_OR_RangeGt1000",'Scoring_Config'!$A:$A,'Scoring_Config'!$C:$C,25),0),0)+IF(LEFT(AL414,4)="True",IF(_xlfn.XLOOKUP("App_Any_OR_RangeGt1000",'Scoring_Config'!$A:$A,'Scoring_Config'!$D:$D,"Yes")="Yes",_xlfn.XLOOKUP("App_Any_OR_RangeGt1000",'Scoring_Config'!$A:$A,'Scoring_Config'!$C:$C,25),0),0)+IF(LEFT(AM414,4)="True",IF(_xlfn.XLOOKUP("Service_Insecure_Match",'Scoring_Config'!$A:$A,'Scoring_Config'!$D:$D,"Yes")="Yes",_xlfn.XLOOKUP("Service_Insecure_Match",'Scoring_Config'!$A:$A,'Scoring_Config'!$C:$C,20),0),0)+IF(LEFT(AN414,4)="True",IF(_xlfn.XLOOKUP("Risky_Inbound",'Scoring_Config'!$A:$A,'Scoring_Config'!$D:$D,"Yes")="Yes",_xlfn.XLOOKUP("Risky_Inbound",'Scoring_Config'!$A:$A,'Scoring_Config'!$C:$C,20),0),0)+IF(LEFT(AO414,4)="True",IF(_xlfn.XLOOKUP("Risky_Outbound",'Scoring_Config'!$A:$A,'Scoring_Config'!$D:$D,"Yes")="Yes",_xlfn.XLOOKUP("Risky_Outbound",'Scoring_Config'!$A:$A,'Scoring_Config'!$C:$C,10),0),0)+IF(LEFT(AW414,4)="True",IF(_xlfn.XLOOKUP("Migrate_Insecure",'Scoring_Config'!$A:$A,'Scoring_Config'!$D:$D,"Yes")="Yes",_xlfn.XLOOKUP("Migrate_Insecure",'Scoring_Config'!$A:$A,'Scoring_Config'!$C:$C,15),0),0)+IF(LEFT(AY414,4)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414,FIND(",",AP414)+1,100)),0)+IF(LEFT(AQ414,4)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414,FIND(",",AR414)+1,100)),0)+IF(_xlfn.XLOOKUP("Profile_Scoring",'Scoring_Config'!$A:$A,'Scoring_Config'!$D:$D,"Yes")="Yes",VALUE(MID(AS414,FIND(",",AS414)+1,100)),0)+IF(_xlfn.XLOOKUP("Options_Scoring",'Scoring_Config'!$A:$A,'Scoring_Config'!$D:$D,"Yes")="Yes",VALUE(MID(AT414,FIND(",",AT414)+1,100)),0)))</f>
        <v>0</v>
      </c>
    </row>
    <row r="415" spans="1:52">
      <c r="A415" s="3" t="s">
        <v>55</v>
      </c>
      <c r="B415" s="3" t="s">
        <v>305</v>
      </c>
      <c r="C415" s="3" t="s">
        <v>332</v>
      </c>
      <c r="D415" s="3"/>
      <c r="E415" s="3" t="s">
        <v>359</v>
      </c>
      <c r="F415" s="3" t="s">
        <v>360</v>
      </c>
      <c r="G415" s="3" t="s">
        <v>495</v>
      </c>
      <c r="H415" s="3" t="s">
        <v>600</v>
      </c>
      <c r="I415" s="3" t="s">
        <v>625</v>
      </c>
      <c r="J415" s="3" t="s">
        <v>360</v>
      </c>
      <c r="K415" s="3" t="s">
        <v>365</v>
      </c>
      <c r="L415" s="3" t="s">
        <v>365</v>
      </c>
      <c r="M415" s="3" t="s">
        <v>769</v>
      </c>
      <c r="N415" s="3" t="s">
        <v>792</v>
      </c>
      <c r="O415" s="4" t="s">
        <v>833</v>
      </c>
      <c r="P415" s="3" t="s">
        <v>894</v>
      </c>
      <c r="Q415" s="3" t="s">
        <v>904</v>
      </c>
      <c r="R415" s="3" t="s">
        <v>907</v>
      </c>
      <c r="S415" s="3" t="s">
        <v>914</v>
      </c>
      <c r="T415" s="3" t="s">
        <v>1111</v>
      </c>
      <c r="U415" s="3" t="s">
        <v>1355</v>
      </c>
      <c r="V415" s="3" t="s">
        <v>770</v>
      </c>
      <c r="W415" s="3" t="s">
        <v>1431</v>
      </c>
      <c r="X415" s="3" t="s">
        <v>2019</v>
      </c>
      <c r="Y415" s="3" t="s">
        <v>2488</v>
      </c>
      <c r="Z415" s="3"/>
      <c r="AA415" s="3"/>
      <c r="AB415" s="3"/>
      <c r="AC415" s="5" cm="1">
        <f t="array" ref="AC415">IF(TRUE,"True," &amp; IF(_xlfn.XLOOKUP("Src_IsAny",'Scoring_Config'!$A:$A,'Scoring_Config'!$D:$D,"Yes")="Yes",_xlfn.XLOOKUP("Src_IsAny",'Scoring_Config'!$A:$A,'Scoring_Config'!$C:$C,25),0),"False,0")</f>
        <v>0</v>
      </c>
      <c r="AD415" s="5" cm="1">
        <f t="array" ref="AD415">IF(TRUE,"True," &amp; IF(_xlfn.XLOOKUP("Src_CIDR_Le_16",'Scoring_Config'!$A:$A,'Scoring_Config'!$D:$D,"Yes")="Yes",_xlfn.XLOOKUP("Src_CIDR_Le_16",'Scoring_Config'!$A:$A,'Scoring_Config'!$C:$C,25),0),"False,0")</f>
        <v>0</v>
      </c>
      <c r="AE415" s="4" cm="1">
        <f t="array" ref="AE415">IF(FALSE,"True," &amp; IF(_xlfn.XLOOKUP("Src_CIDR_17_22",'Scoring_Config'!$A:$A,'Scoring_Config'!$D:$D,"Yes")="Yes",_xlfn.XLOOKUP("Src_CIDR_17_22",'Scoring_Config'!$A:$A,'Scoring_Config'!$C:$C,15),0),"False,0")</f>
        <v>0</v>
      </c>
      <c r="AF415" s="5" cm="1">
        <f t="array" ref="AF415">IF(TRUE,"True," &amp; IF(_xlfn.XLOOKUP("Dst_IsAny",'Scoring_Config'!$A:$A,'Scoring_Config'!$D:$D,"Yes")="Yes",_xlfn.XLOOKUP("Dst_IsAny",'Scoring_Config'!$A:$A,'Scoring_Config'!$C:$C,25),0),"False,0")</f>
        <v>0</v>
      </c>
      <c r="AG415" s="4" cm="1">
        <f t="array" ref="AG415">IF(FALSE,"True," &amp; IF(_xlfn.XLOOKUP("Dst_CIDR_Le_16",'Scoring_Config'!$A:$A,'Scoring_Config'!$D:$D,"Yes")="Yes",_xlfn.XLOOKUP("Dst_CIDR_Le_16",'Scoring_Config'!$A:$A,'Scoring_Config'!$C:$C,25),0),"False,0")</f>
        <v>0</v>
      </c>
      <c r="AH415" s="4" cm="1">
        <f t="array" ref="AH415">IF(FALSE,"True," &amp; IF(_xlfn.XLOOKUP("Dst_CIDR_17_22",'Scoring_Config'!$A:$A,'Scoring_Config'!$D:$D,"Yes")="Yes",_xlfn.XLOOKUP("Dst_CIDR_17_22",'Scoring_Config'!$A:$A,'Scoring_Config'!$C:$C,15),0),"False,0")</f>
        <v>0</v>
      </c>
      <c r="AI415" s="4" cm="1">
        <f t="array" ref="AI415">IF(FALSE,"True," &amp; IF(_xlfn.XLOOKUP("SrcZone_IsAny",'Scoring_Config'!$A:$A,'Scoring_Config'!$D:$D,"Yes")="Yes",_xlfn.XLOOKUP("SrcZone_IsAny",'Scoring_Config'!$A:$A,'Scoring_Config'!$C:$C,5),0),"False,0")</f>
        <v>0</v>
      </c>
      <c r="AJ415" s="4" cm="1">
        <f t="array" ref="AJ415">IF(FALSE,"True," &amp; IF(_xlfn.XLOOKUP("DstZone_IsAny",'Scoring_Config'!$A:$A,'Scoring_Config'!$D:$D,"Yes")="Yes",_xlfn.XLOOKUP("DstZone_IsAny",'Scoring_Config'!$A:$A,'Scoring_Config'!$C:$C,5),0),"False,0")</f>
        <v>0</v>
      </c>
      <c r="AK415" s="5" cm="1">
        <f t="array" ref="AK415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415" s="4" cm="1">
        <f t="array" ref="AL415">IF(FALSE,"True," &amp; IF(_xlfn.XLOOKUP("App_Any_OR_RangeGt1000",'Scoring_Config'!$A:$A,'Scoring_Config'!$D:$D,"Yes")="Yes",_xlfn.XLOOKUP("App_Any_OR_RangeGt1000",'Scoring_Config'!$A:$A,'Scoring_Config'!$C:$C,25),0),"False,0")</f>
        <v>0</v>
      </c>
      <c r="AM415" s="5" cm="1">
        <f t="array" ref="AM415">IF(TRUE,"True," &amp; IF(_xlfn.XLOOKUP("Service_Insecure_Match",'Scoring_Config'!$A:$A,'Scoring_Config'!$D:$D,"Yes")="Yes",_xlfn.XLOOKUP("Service_Insecure_Match",'Scoring_Config'!$A:$A,'Scoring_Config'!$C:$C,20),0),"False,0")</f>
        <v>0</v>
      </c>
      <c r="AN415" s="4" cm="1">
        <f t="array" ref="AN415">IF(FALSE,"True," &amp; IF(_xlfn.XLOOKUP("Risky_Inbound",'Scoring_Config'!$A:$A,'Scoring_Config'!$D:$D,"Yes")="Yes",_xlfn.XLOOKUP("Risky_Inbound",'Scoring_Config'!$A:$A,'Scoring_Config'!$C:$C,20),0),"False,0")</f>
        <v>0</v>
      </c>
      <c r="AO415" s="4" cm="1">
        <f t="array" ref="AO415">IF(FALSE,"True," &amp; IF(_xlfn.XLOOKUP("Risky_Outbound",'Scoring_Config'!$A:$A,'Scoring_Config'!$D:$D,"Yes")="Yes",_xlfn.XLOOKUP("Risky_Outbound",'Scoring_Config'!$A:$A,'Scoring_Config'!$C:$C,10),0),"False,0")</f>
        <v>0</v>
      </c>
      <c r="AP415" s="5" t="s">
        <v>2595</v>
      </c>
      <c r="AQ415" s="4" cm="1">
        <f t="array" ref="AQ41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5" s="5" t="s">
        <v>2598</v>
      </c>
      <c r="AS415" s="5" t="s">
        <v>2595</v>
      </c>
      <c r="AT415" s="4" t="s">
        <v>2592</v>
      </c>
      <c r="AU415" s="5" cm="1">
        <f t="array" ref="AU415">IF(TRUE,"True," &amp; IF(_xlfn.XLOOKUP("Action_IsDenyOrDrop",'Scoring_Config'!$A:$A,'Scoring_Config'!$D:$D,"Yes")="Yes",_xlfn.XLOOKUP("Action_IsDenyOrDrop",'Scoring_Config'!$A:$A,'Scoring_Config'!$C:$C,0),0),"False,0")</f>
        <v>0</v>
      </c>
      <c r="AV415" s="4"/>
      <c r="AW415" s="4" cm="1">
        <f t="array" ref="AW415">IF(FALSE,"True," &amp; IF(_xlfn.XLOOKUP("Migrate_Insecure",'Scoring_Config'!$A:$A,'Scoring_Config'!$D:$D,"Yes")="Yes",_xlfn.XLOOKUP("Migrate_Insecure",'Scoring_Config'!$A:$A,'Scoring_Config'!$C:$C,15),0),"False,0")</f>
        <v>0</v>
      </c>
      <c r="AX415" s="4" t="s">
        <v>1542</v>
      </c>
      <c r="AY415" s="5" cm="1">
        <f t="array" ref="AY415">IF(TRUE,"True," &amp; IF(_xlfn.XLOOKUP("Migrate_Other_Ports",'Scoring_Config'!$A:$A,'Scoring_Config'!$D:$D,"Yes")="Yes",_xlfn.XLOOKUP("Migrate_Other_Ports",'Scoring_Config'!$A:$A,'Scoring_Config'!$C:$C,5),0),"False,0")</f>
        <v>0</v>
      </c>
      <c r="AZ415" s="4" cm="1">
        <f t="array" ref="AZ415">IF(LEFT(AU415,4)="True",0,(IF(LEFT(AC415,4)="True",IF(_xlfn.XLOOKUP("Src_IsAny",'Scoring_Config'!$A:$A,'Scoring_Config'!$D:$D,"Yes")="Yes",_xlfn.XLOOKUP("Src_IsAny",'Scoring_Config'!$A:$A,'Scoring_Config'!$C:$C,25),0),0)+IF(LEFT(AD415,4)="True",IF(_xlfn.XLOOKUP("Src_CIDR_Le_16",'Scoring_Config'!$A:$A,'Scoring_Config'!$D:$D,"Yes")="Yes",_xlfn.XLOOKUP("Src_CIDR_Le_16",'Scoring_Config'!$A:$A,'Scoring_Config'!$C:$C,25),0),0)+IF(LEFT(AE415,4)="True",IF(_xlfn.XLOOKUP("Src_CIDR_17_22",'Scoring_Config'!$A:$A,'Scoring_Config'!$D:$D,"Yes")="Yes",_xlfn.XLOOKUP("Src_CIDR_17_22",'Scoring_Config'!$A:$A,'Scoring_Config'!$C:$C,15),0),0)+IF(LEFT(AF415,4)="True",IF(_xlfn.XLOOKUP("Dst_IsAny",'Scoring_Config'!$A:$A,'Scoring_Config'!$D:$D,"Yes")="Yes",_xlfn.XLOOKUP("Dst_IsAny",'Scoring_Config'!$A:$A,'Scoring_Config'!$C:$C,25),0),0)+IF(LEFT(AG415,4)="True",IF(_xlfn.XLOOKUP("Dst_CIDR_Le_16",'Scoring_Config'!$A:$A,'Scoring_Config'!$D:$D,"Yes")="Yes",_xlfn.XLOOKUP("Dst_CIDR_Le_16",'Scoring_Config'!$A:$A,'Scoring_Config'!$C:$C,25),0),0)+IF(LEFT(AH415,4)="True",IF(_xlfn.XLOOKUP("Dst_CIDR_17_22",'Scoring_Config'!$A:$A,'Scoring_Config'!$D:$D,"Yes")="Yes",_xlfn.XLOOKUP("Dst_CIDR_17_22",'Scoring_Config'!$A:$A,'Scoring_Config'!$C:$C,15),0),0)+IF(LEFT(AI415,4)="True",IF(_xlfn.XLOOKUP("SrcZone_IsAny",'Scoring_Config'!$A:$A,'Scoring_Config'!$D:$D,"Yes")="Yes",_xlfn.XLOOKUP("SrcZone_IsAny",'Scoring_Config'!$A:$A,'Scoring_Config'!$C:$C,5),0),0)+IF(LEFT(AJ415,4)="True",IF(_xlfn.XLOOKUP("DstZone_IsAny",'Scoring_Config'!$A:$A,'Scoring_Config'!$D:$D,"Yes")="Yes",_xlfn.XLOOKUP("DstZone_IsAny",'Scoring_Config'!$A:$A,'Scoring_Config'!$C:$C,5),0),0)+IF(LEFT(AK415,4)="True",IF(_xlfn.XLOOKUP("Service_Any_OR_RangeGt1000",'Scoring_Config'!$A:$A,'Scoring_Config'!$D:$D,"Yes")="Yes",_xlfn.XLOOKUP("Service_Any_OR_RangeGt1000",'Scoring_Config'!$A:$A,'Scoring_Config'!$C:$C,25),0),0)+IF(LEFT(AL415,4)="True",IF(_xlfn.XLOOKUP("App_Any_OR_RangeGt1000",'Scoring_Config'!$A:$A,'Scoring_Config'!$D:$D,"Yes")="Yes",_xlfn.XLOOKUP("App_Any_OR_RangeGt1000",'Scoring_Config'!$A:$A,'Scoring_Config'!$C:$C,25),0),0)+IF(LEFT(AM415,4)="True",IF(_xlfn.XLOOKUP("Service_Insecure_Match",'Scoring_Config'!$A:$A,'Scoring_Config'!$D:$D,"Yes")="Yes",_xlfn.XLOOKUP("Service_Insecure_Match",'Scoring_Config'!$A:$A,'Scoring_Config'!$C:$C,20),0),0)+IF(LEFT(AN415,4)="True",IF(_xlfn.XLOOKUP("Risky_Inbound",'Scoring_Config'!$A:$A,'Scoring_Config'!$D:$D,"Yes")="Yes",_xlfn.XLOOKUP("Risky_Inbound",'Scoring_Config'!$A:$A,'Scoring_Config'!$C:$C,20),0),0)+IF(LEFT(AO415,4)="True",IF(_xlfn.XLOOKUP("Risky_Outbound",'Scoring_Config'!$A:$A,'Scoring_Config'!$D:$D,"Yes")="Yes",_xlfn.XLOOKUP("Risky_Outbound",'Scoring_Config'!$A:$A,'Scoring_Config'!$C:$C,10),0),0)+IF(LEFT(AW415,4)="True",IF(_xlfn.XLOOKUP("Migrate_Insecure",'Scoring_Config'!$A:$A,'Scoring_Config'!$D:$D,"Yes")="Yes",_xlfn.XLOOKUP("Migrate_Insecure",'Scoring_Config'!$A:$A,'Scoring_Config'!$C:$C,15),0),0)+IF(LEFT(AY415,4)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415,FIND(",",AP415)+1,100)),0)+IF(LEFT(AQ415,4)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415,FIND(",",AR415)+1,100)),0)+IF(_xlfn.XLOOKUP("Profile_Scoring",'Scoring_Config'!$A:$A,'Scoring_Config'!$D:$D,"Yes")="Yes",VALUE(MID(AS415,FIND(",",AS415)+1,100)),0)+IF(_xlfn.XLOOKUP("Options_Scoring",'Scoring_Config'!$A:$A,'Scoring_Config'!$D:$D,"Yes")="Yes",VALUE(MID(AT415,FIND(",",AT415)+1,100)),0)))</f>
        <v>0</v>
      </c>
    </row>
    <row r="416" spans="1:52">
      <c r="A416" s="3" t="s">
        <v>55</v>
      </c>
      <c r="B416" s="3" t="s">
        <v>306</v>
      </c>
      <c r="C416" s="3" t="s">
        <v>332</v>
      </c>
      <c r="D416" s="3"/>
      <c r="E416" s="3" t="s">
        <v>359</v>
      </c>
      <c r="F416" s="3" t="s">
        <v>361</v>
      </c>
      <c r="G416" s="3" t="s">
        <v>365</v>
      </c>
      <c r="H416" s="3" t="s">
        <v>365</v>
      </c>
      <c r="I416" s="3" t="s">
        <v>623</v>
      </c>
      <c r="J416" s="3" t="s">
        <v>364</v>
      </c>
      <c r="K416" s="3" t="s">
        <v>365</v>
      </c>
      <c r="L416" s="3" t="s">
        <v>365</v>
      </c>
      <c r="M416" s="3" t="s">
        <v>365</v>
      </c>
      <c r="N416" s="3" t="s">
        <v>365</v>
      </c>
      <c r="O416" s="4" t="s">
        <v>834</v>
      </c>
      <c r="P416" s="3" t="s">
        <v>895</v>
      </c>
      <c r="Q416" s="3" t="s">
        <v>905</v>
      </c>
      <c r="R416" s="3" t="s">
        <v>907</v>
      </c>
      <c r="S416" s="3" t="s">
        <v>912</v>
      </c>
      <c r="T416" s="3" t="s">
        <v>1112</v>
      </c>
      <c r="U416" s="3" t="s">
        <v>1356</v>
      </c>
      <c r="V416" s="3" t="s">
        <v>772</v>
      </c>
      <c r="W416" s="3" t="s">
        <v>1566</v>
      </c>
      <c r="X416" s="3" t="s">
        <v>2020</v>
      </c>
      <c r="Y416" s="3" t="s">
        <v>2489</v>
      </c>
      <c r="Z416" s="3"/>
      <c r="AA416" s="3"/>
      <c r="AB416" s="3"/>
      <c r="AC416" s="5" cm="1">
        <f t="array" ref="AC416">IF(TRUE,"True," &amp; IF(_xlfn.XLOOKUP("Src_IsAny",'Scoring_Config'!$A:$A,'Scoring_Config'!$D:$D,"Yes")="Yes",_xlfn.XLOOKUP("Src_IsAny",'Scoring_Config'!$A:$A,'Scoring_Config'!$C:$C,25),0),"False,0")</f>
        <v>0</v>
      </c>
      <c r="AD416" s="4" cm="1">
        <f t="array" ref="AD416">IF(FALSE,"True," &amp; IF(_xlfn.XLOOKUP("Src_CIDR_Le_16",'Scoring_Config'!$A:$A,'Scoring_Config'!$D:$D,"Yes")="Yes",_xlfn.XLOOKUP("Src_CIDR_Le_16",'Scoring_Config'!$A:$A,'Scoring_Config'!$C:$C,25),0),"False,0")</f>
        <v>0</v>
      </c>
      <c r="AE416" s="4" cm="1">
        <f t="array" ref="AE416">IF(FALSE,"True," &amp; IF(_xlfn.XLOOKUP("Src_CIDR_17_22",'Scoring_Config'!$A:$A,'Scoring_Config'!$D:$D,"Yes")="Yes",_xlfn.XLOOKUP("Src_CIDR_17_22",'Scoring_Config'!$A:$A,'Scoring_Config'!$C:$C,15),0),"False,0")</f>
        <v>0</v>
      </c>
      <c r="AF416" s="5" cm="1">
        <f t="array" ref="AF416">IF(TRUE,"True," &amp; IF(_xlfn.XLOOKUP("Dst_IsAny",'Scoring_Config'!$A:$A,'Scoring_Config'!$D:$D,"Yes")="Yes",_xlfn.XLOOKUP("Dst_IsAny",'Scoring_Config'!$A:$A,'Scoring_Config'!$C:$C,25),0),"False,0")</f>
        <v>0</v>
      </c>
      <c r="AG416" s="4" cm="1">
        <f t="array" ref="AG416">IF(FALSE,"True," &amp; IF(_xlfn.XLOOKUP("Dst_CIDR_Le_16",'Scoring_Config'!$A:$A,'Scoring_Config'!$D:$D,"Yes")="Yes",_xlfn.XLOOKUP("Dst_CIDR_Le_16",'Scoring_Config'!$A:$A,'Scoring_Config'!$C:$C,25),0),"False,0")</f>
        <v>0</v>
      </c>
      <c r="AH416" s="4" cm="1">
        <f t="array" ref="AH416">IF(FALSE,"True," &amp; IF(_xlfn.XLOOKUP("Dst_CIDR_17_22",'Scoring_Config'!$A:$A,'Scoring_Config'!$D:$D,"Yes")="Yes",_xlfn.XLOOKUP("Dst_CIDR_17_22",'Scoring_Config'!$A:$A,'Scoring_Config'!$C:$C,15),0),"False,0")</f>
        <v>0</v>
      </c>
      <c r="AI416" s="4" cm="1">
        <f t="array" ref="AI416">IF(FALSE,"True," &amp; IF(_xlfn.XLOOKUP("SrcZone_IsAny",'Scoring_Config'!$A:$A,'Scoring_Config'!$D:$D,"Yes")="Yes",_xlfn.XLOOKUP("SrcZone_IsAny",'Scoring_Config'!$A:$A,'Scoring_Config'!$C:$C,5),0),"False,0")</f>
        <v>0</v>
      </c>
      <c r="AJ416" s="4" cm="1">
        <f t="array" ref="AJ416">IF(FALSE,"True," &amp; IF(_xlfn.XLOOKUP("DstZone_IsAny",'Scoring_Config'!$A:$A,'Scoring_Config'!$D:$D,"Yes")="Yes",_xlfn.XLOOKUP("DstZone_IsAny",'Scoring_Config'!$A:$A,'Scoring_Config'!$C:$C,5),0),"False,0")</f>
        <v>0</v>
      </c>
      <c r="AK416" s="4" cm="1">
        <f t="array" ref="AK41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6" s="5" cm="1">
        <f t="array" ref="AL416">IF(TRUE,"True," &amp; IF(_xlfn.XLOOKUP("App_Any_OR_RangeGt1000",'Scoring_Config'!$A:$A,'Scoring_Config'!$D:$D,"Yes")="Yes",_xlfn.XLOOKUP("App_Any_OR_RangeGt1000",'Scoring_Config'!$A:$A,'Scoring_Config'!$C:$C,25),0),"False,0")</f>
        <v>0</v>
      </c>
      <c r="AM416" s="5" cm="1">
        <f t="array" ref="AM416">IF(TRUE,"True," &amp; IF(_xlfn.XLOOKUP("Service_Insecure_Match",'Scoring_Config'!$A:$A,'Scoring_Config'!$D:$D,"Yes")="Yes",_xlfn.XLOOKUP("Service_Insecure_Match",'Scoring_Config'!$A:$A,'Scoring_Config'!$C:$C,20),0),"False,0")</f>
        <v>0</v>
      </c>
      <c r="AN416" s="4" cm="1">
        <f t="array" ref="AN416">IF(FALSE,"True," &amp; IF(_xlfn.XLOOKUP("Risky_Inbound",'Scoring_Config'!$A:$A,'Scoring_Config'!$D:$D,"Yes")="Yes",_xlfn.XLOOKUP("Risky_Inbound",'Scoring_Config'!$A:$A,'Scoring_Config'!$C:$C,20),0),"False,0")</f>
        <v>0</v>
      </c>
      <c r="AO416" s="4" cm="1">
        <f t="array" ref="AO416">IF(FALSE,"True," &amp; IF(_xlfn.XLOOKUP("Risky_Outbound",'Scoring_Config'!$A:$A,'Scoring_Config'!$D:$D,"Yes")="Yes",_xlfn.XLOOKUP("Risky_Outbound",'Scoring_Config'!$A:$A,'Scoring_Config'!$C:$C,10),0),"False,0")</f>
        <v>0</v>
      </c>
      <c r="AP416" s="5" t="s">
        <v>2595</v>
      </c>
      <c r="AQ416" s="4" cm="1">
        <f t="array" ref="AQ416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6" s="5" t="s">
        <v>2598</v>
      </c>
      <c r="AS416" s="5" t="s">
        <v>2595</v>
      </c>
      <c r="AT416" s="4" t="s">
        <v>2592</v>
      </c>
      <c r="AU416" s="4" cm="1">
        <f t="array" ref="AU416">IF(FALSE,"True," &amp; IF(_xlfn.XLOOKUP("Action_IsDenyOrDrop",'Scoring_Config'!$A:$A,'Scoring_Config'!$D:$D,"Yes")="Yes",_xlfn.XLOOKUP("Action_IsDenyOrDrop",'Scoring_Config'!$A:$A,'Scoring_Config'!$C:$C,0),0),"False,0")</f>
        <v>0</v>
      </c>
      <c r="AV416" s="4"/>
      <c r="AW416" s="4" cm="1">
        <f t="array" ref="AW416">IF(FALSE,"True," &amp; IF(_xlfn.XLOOKUP("Migrate_Insecure",'Scoring_Config'!$A:$A,'Scoring_Config'!$D:$D,"Yes")="Yes",_xlfn.XLOOKUP("Migrate_Insecure",'Scoring_Config'!$A:$A,'Scoring_Config'!$C:$C,15),0),"False,0")</f>
        <v>0</v>
      </c>
      <c r="AX416" s="4"/>
      <c r="AY416" s="4" cm="1">
        <f t="array" ref="AY416">IF(FALSE,"True," &amp; IF(_xlfn.XLOOKUP("Migrate_Other_Ports",'Scoring_Config'!$A:$A,'Scoring_Config'!$D:$D,"Yes")="Yes",_xlfn.XLOOKUP("Migrate_Other_Ports",'Scoring_Config'!$A:$A,'Scoring_Config'!$C:$C,5),0),"False,0")</f>
        <v>0</v>
      </c>
      <c r="AZ416" s="4" cm="1">
        <f t="array" ref="AZ416">IF(LEFT(AU416,4)="True",0,(IF(LEFT(AC416,4)="True",IF(_xlfn.XLOOKUP("Src_IsAny",'Scoring_Config'!$A:$A,'Scoring_Config'!$D:$D,"Yes")="Yes",_xlfn.XLOOKUP("Src_IsAny",'Scoring_Config'!$A:$A,'Scoring_Config'!$C:$C,25),0),0)+IF(LEFT(AD416,4)="True",IF(_xlfn.XLOOKUP("Src_CIDR_Le_16",'Scoring_Config'!$A:$A,'Scoring_Config'!$D:$D,"Yes")="Yes",_xlfn.XLOOKUP("Src_CIDR_Le_16",'Scoring_Config'!$A:$A,'Scoring_Config'!$C:$C,25),0),0)+IF(LEFT(AE416,4)="True",IF(_xlfn.XLOOKUP("Src_CIDR_17_22",'Scoring_Config'!$A:$A,'Scoring_Config'!$D:$D,"Yes")="Yes",_xlfn.XLOOKUP("Src_CIDR_17_22",'Scoring_Config'!$A:$A,'Scoring_Config'!$C:$C,15),0),0)+IF(LEFT(AF416,4)="True",IF(_xlfn.XLOOKUP("Dst_IsAny",'Scoring_Config'!$A:$A,'Scoring_Config'!$D:$D,"Yes")="Yes",_xlfn.XLOOKUP("Dst_IsAny",'Scoring_Config'!$A:$A,'Scoring_Config'!$C:$C,25),0),0)+IF(LEFT(AG416,4)="True",IF(_xlfn.XLOOKUP("Dst_CIDR_Le_16",'Scoring_Config'!$A:$A,'Scoring_Config'!$D:$D,"Yes")="Yes",_xlfn.XLOOKUP("Dst_CIDR_Le_16",'Scoring_Config'!$A:$A,'Scoring_Config'!$C:$C,25),0),0)+IF(LEFT(AH416,4)="True",IF(_xlfn.XLOOKUP("Dst_CIDR_17_22",'Scoring_Config'!$A:$A,'Scoring_Config'!$D:$D,"Yes")="Yes",_xlfn.XLOOKUP("Dst_CIDR_17_22",'Scoring_Config'!$A:$A,'Scoring_Config'!$C:$C,15),0),0)+IF(LEFT(AI416,4)="True",IF(_xlfn.XLOOKUP("SrcZone_IsAny",'Scoring_Config'!$A:$A,'Scoring_Config'!$D:$D,"Yes")="Yes",_xlfn.XLOOKUP("SrcZone_IsAny",'Scoring_Config'!$A:$A,'Scoring_Config'!$C:$C,5),0),0)+IF(LEFT(AJ416,4)="True",IF(_xlfn.XLOOKUP("DstZone_IsAny",'Scoring_Config'!$A:$A,'Scoring_Config'!$D:$D,"Yes")="Yes",_xlfn.XLOOKUP("DstZone_IsAny",'Scoring_Config'!$A:$A,'Scoring_Config'!$C:$C,5),0),0)+IF(LEFT(AK416,4)="True",IF(_xlfn.XLOOKUP("Service_Any_OR_RangeGt1000",'Scoring_Config'!$A:$A,'Scoring_Config'!$D:$D,"Yes")="Yes",_xlfn.XLOOKUP("Service_Any_OR_RangeGt1000",'Scoring_Config'!$A:$A,'Scoring_Config'!$C:$C,25),0),0)+IF(LEFT(AL416,4)="True",IF(_xlfn.XLOOKUP("App_Any_OR_RangeGt1000",'Scoring_Config'!$A:$A,'Scoring_Config'!$D:$D,"Yes")="Yes",_xlfn.XLOOKUP("App_Any_OR_RangeGt1000",'Scoring_Config'!$A:$A,'Scoring_Config'!$C:$C,25),0),0)+IF(LEFT(AM416,4)="True",IF(_xlfn.XLOOKUP("Service_Insecure_Match",'Scoring_Config'!$A:$A,'Scoring_Config'!$D:$D,"Yes")="Yes",_xlfn.XLOOKUP("Service_Insecure_Match",'Scoring_Config'!$A:$A,'Scoring_Config'!$C:$C,20),0),0)+IF(LEFT(AN416,4)="True",IF(_xlfn.XLOOKUP("Risky_Inbound",'Scoring_Config'!$A:$A,'Scoring_Config'!$D:$D,"Yes")="Yes",_xlfn.XLOOKUP("Risky_Inbound",'Scoring_Config'!$A:$A,'Scoring_Config'!$C:$C,20),0),0)+IF(LEFT(AO416,4)="True",IF(_xlfn.XLOOKUP("Risky_Outbound",'Scoring_Config'!$A:$A,'Scoring_Config'!$D:$D,"Yes")="Yes",_xlfn.XLOOKUP("Risky_Outbound",'Scoring_Config'!$A:$A,'Scoring_Config'!$C:$C,10),0),0)+IF(LEFT(AW416,4)="True",IF(_xlfn.XLOOKUP("Migrate_Insecure",'Scoring_Config'!$A:$A,'Scoring_Config'!$D:$D,"Yes")="Yes",_xlfn.XLOOKUP("Migrate_Insecure",'Scoring_Config'!$A:$A,'Scoring_Config'!$C:$C,15),0),0)+IF(LEFT(AY416,4)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416,FIND(",",AP416)+1,100)),0)+IF(LEFT(AQ416,4)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416,FIND(",",AR416)+1,100)),0)+IF(_xlfn.XLOOKUP("Profile_Scoring",'Scoring_Config'!$A:$A,'Scoring_Config'!$D:$D,"Yes")="Yes",VALUE(MID(AS416,FIND(",",AS416)+1,100)),0)+IF(_xlfn.XLOOKUP("Options_Scoring",'Scoring_Config'!$A:$A,'Scoring_Config'!$D:$D,"Yes")="Yes",VALUE(MID(AT416,FIND(",",AT416)+1,100)),0)))</f>
        <v>0</v>
      </c>
    </row>
    <row r="417" spans="1:52">
      <c r="A417" s="3" t="s">
        <v>55</v>
      </c>
      <c r="B417" s="3" t="s">
        <v>143</v>
      </c>
      <c r="C417" s="3" t="s">
        <v>332</v>
      </c>
      <c r="D417" s="3"/>
      <c r="E417" s="3" t="s">
        <v>359</v>
      </c>
      <c r="F417" s="3" t="s">
        <v>364</v>
      </c>
      <c r="G417" s="3" t="s">
        <v>365</v>
      </c>
      <c r="H417" s="3" t="s">
        <v>365</v>
      </c>
      <c r="I417" s="3" t="s">
        <v>623</v>
      </c>
      <c r="J417" s="3" t="s">
        <v>360</v>
      </c>
      <c r="K417" s="3" t="s">
        <v>725</v>
      </c>
      <c r="L417" s="3" t="s">
        <v>767</v>
      </c>
      <c r="M417" s="3" t="s">
        <v>365</v>
      </c>
      <c r="N417" s="3" t="s">
        <v>365</v>
      </c>
      <c r="O417" s="4" t="s">
        <v>815</v>
      </c>
      <c r="P417" s="3" t="s">
        <v>876</v>
      </c>
      <c r="Q417" s="3" t="s">
        <v>905</v>
      </c>
      <c r="R417" s="3" t="s">
        <v>907</v>
      </c>
      <c r="S417" s="3" t="s">
        <v>912</v>
      </c>
      <c r="T417" s="3" t="s">
        <v>919</v>
      </c>
      <c r="U417" s="3" t="s">
        <v>1357</v>
      </c>
      <c r="V417" s="3" t="s">
        <v>1386</v>
      </c>
      <c r="W417" s="3" t="s">
        <v>1589</v>
      </c>
      <c r="X417" s="3" t="s">
        <v>2021</v>
      </c>
      <c r="Y417" s="3" t="s">
        <v>2490</v>
      </c>
      <c r="Z417" s="3"/>
      <c r="AA417" s="3"/>
      <c r="AB417" s="3"/>
      <c r="AC417" s="5" cm="1">
        <f t="array" ref="AC417">IF(TRUE,"True," &amp; IF(_xlfn.XLOOKUP("Src_IsAny",'Scoring_Config'!$A:$A,'Scoring_Config'!$D:$D,"Yes")="Yes",_xlfn.XLOOKUP("Src_IsAny",'Scoring_Config'!$A:$A,'Scoring_Config'!$C:$C,25),0),"False,0")</f>
        <v>0</v>
      </c>
      <c r="AD417" s="4" cm="1">
        <f t="array" ref="AD417">IF(FALSE,"True," &amp; IF(_xlfn.XLOOKUP("Src_CIDR_Le_16",'Scoring_Config'!$A:$A,'Scoring_Config'!$D:$D,"Yes")="Yes",_xlfn.XLOOKUP("Src_CIDR_Le_16",'Scoring_Config'!$A:$A,'Scoring_Config'!$C:$C,25),0),"False,0")</f>
        <v>0</v>
      </c>
      <c r="AE417" s="4" cm="1">
        <f t="array" ref="AE417">IF(FALSE,"True," &amp; IF(_xlfn.XLOOKUP("Src_CIDR_17_22",'Scoring_Config'!$A:$A,'Scoring_Config'!$D:$D,"Yes")="Yes",_xlfn.XLOOKUP("Src_CIDR_17_22",'Scoring_Config'!$A:$A,'Scoring_Config'!$C:$C,15),0),"False,0")</f>
        <v>0</v>
      </c>
      <c r="AF417" s="4" cm="1">
        <f t="array" ref="AF417">IF(FALSE,"True," &amp; IF(_xlfn.XLOOKUP("Dst_IsAny",'Scoring_Config'!$A:$A,'Scoring_Config'!$D:$D,"Yes")="Yes",_xlfn.XLOOKUP("Dst_IsAny",'Scoring_Config'!$A:$A,'Scoring_Config'!$C:$C,25),0),"False,0")</f>
        <v>0</v>
      </c>
      <c r="AG417" s="5" cm="1">
        <f t="array" ref="AG417">IF(TRUE,"True," &amp; IF(_xlfn.XLOOKUP("Dst_CIDR_Le_16",'Scoring_Config'!$A:$A,'Scoring_Config'!$D:$D,"Yes")="Yes",_xlfn.XLOOKUP("Dst_CIDR_Le_16",'Scoring_Config'!$A:$A,'Scoring_Config'!$C:$C,25),0),"False,0")</f>
        <v>0</v>
      </c>
      <c r="AH417" s="4" cm="1">
        <f t="array" ref="AH417">IF(FALSE,"True," &amp; IF(_xlfn.XLOOKUP("Dst_CIDR_17_22",'Scoring_Config'!$A:$A,'Scoring_Config'!$D:$D,"Yes")="Yes",_xlfn.XLOOKUP("Dst_CIDR_17_22",'Scoring_Config'!$A:$A,'Scoring_Config'!$C:$C,15),0),"False,0")</f>
        <v>0</v>
      </c>
      <c r="AI417" s="4" cm="1">
        <f t="array" ref="AI417">IF(FALSE,"True," &amp; IF(_xlfn.XLOOKUP("SrcZone_IsAny",'Scoring_Config'!$A:$A,'Scoring_Config'!$D:$D,"Yes")="Yes",_xlfn.XLOOKUP("SrcZone_IsAny",'Scoring_Config'!$A:$A,'Scoring_Config'!$C:$C,5),0),"False,0")</f>
        <v>0</v>
      </c>
      <c r="AJ417" s="4" cm="1">
        <f t="array" ref="AJ417">IF(FALSE,"True," &amp; IF(_xlfn.XLOOKUP("DstZone_IsAny",'Scoring_Config'!$A:$A,'Scoring_Config'!$D:$D,"Yes")="Yes",_xlfn.XLOOKUP("DstZone_IsAny",'Scoring_Config'!$A:$A,'Scoring_Config'!$C:$C,5),0),"False,0")</f>
        <v>0</v>
      </c>
      <c r="AK417" s="4" cm="1">
        <f t="array" ref="AK41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7" s="5" cm="1">
        <f t="array" ref="AL417">IF(TRUE,"True," &amp; IF(_xlfn.XLOOKUP("App_Any_OR_RangeGt1000",'Scoring_Config'!$A:$A,'Scoring_Config'!$D:$D,"Yes")="Yes",_xlfn.XLOOKUP("App_Any_OR_RangeGt1000",'Scoring_Config'!$A:$A,'Scoring_Config'!$C:$C,25),0),"False,0")</f>
        <v>0</v>
      </c>
      <c r="AM417" s="4" cm="1">
        <f t="array" ref="AM417">IF(FALSE,"True," &amp; IF(_xlfn.XLOOKUP("Service_Insecure_Match",'Scoring_Config'!$A:$A,'Scoring_Config'!$D:$D,"Yes")="Yes",_xlfn.XLOOKUP("Service_Insecure_Match",'Scoring_Config'!$A:$A,'Scoring_Config'!$C:$C,20),0),"False,0")</f>
        <v>0</v>
      </c>
      <c r="AN417" s="4" cm="1">
        <f t="array" ref="AN417">IF(FALSE,"True," &amp; IF(_xlfn.XLOOKUP("Risky_Inbound",'Scoring_Config'!$A:$A,'Scoring_Config'!$D:$D,"Yes")="Yes",_xlfn.XLOOKUP("Risky_Inbound",'Scoring_Config'!$A:$A,'Scoring_Config'!$C:$C,20),0),"False,0")</f>
        <v>0</v>
      </c>
      <c r="AO417" s="4" cm="1">
        <f t="array" ref="AO417">IF(FALSE,"True," &amp; IF(_xlfn.XLOOKUP("Risky_Outbound",'Scoring_Config'!$A:$A,'Scoring_Config'!$D:$D,"Yes")="Yes",_xlfn.XLOOKUP("Risky_Outbound",'Scoring_Config'!$A:$A,'Scoring_Config'!$C:$C,10),0),"False,0")</f>
        <v>0</v>
      </c>
      <c r="AP417" s="5" t="s">
        <v>2595</v>
      </c>
      <c r="AQ417" s="4" cm="1">
        <f t="array" ref="AQ41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7" s="5" t="s">
        <v>2598</v>
      </c>
      <c r="AS417" s="5" t="s">
        <v>2595</v>
      </c>
      <c r="AT417" s="4" t="s">
        <v>2592</v>
      </c>
      <c r="AU417" s="4" cm="1">
        <f t="array" ref="AU417">IF(FALSE,"True," &amp; IF(_xlfn.XLOOKUP("Action_IsDenyOrDrop",'Scoring_Config'!$A:$A,'Scoring_Config'!$D:$D,"Yes")="Yes",_xlfn.XLOOKUP("Action_IsDenyOrDrop",'Scoring_Config'!$A:$A,'Scoring_Config'!$C:$C,0),0),"False,0")</f>
        <v>0</v>
      </c>
      <c r="AV417" s="4"/>
      <c r="AW417" s="4" cm="1">
        <f t="array" ref="AW417">IF(FALSE,"True," &amp; IF(_xlfn.XLOOKUP("Migrate_Insecure",'Scoring_Config'!$A:$A,'Scoring_Config'!$D:$D,"Yes")="Yes",_xlfn.XLOOKUP("Migrate_Insecure",'Scoring_Config'!$A:$A,'Scoring_Config'!$C:$C,15),0),"False,0")</f>
        <v>0</v>
      </c>
      <c r="AX417" s="4"/>
      <c r="AY417" s="4" cm="1">
        <f t="array" ref="AY417">IF(FALSE,"True," &amp; IF(_xlfn.XLOOKUP("Migrate_Other_Ports",'Scoring_Config'!$A:$A,'Scoring_Config'!$D:$D,"Yes")="Yes",_xlfn.XLOOKUP("Migrate_Other_Ports",'Scoring_Config'!$A:$A,'Scoring_Config'!$C:$C,5),0),"False,0")</f>
        <v>0</v>
      </c>
      <c r="AZ417" s="4" cm="1">
        <f t="array" ref="AZ417">IF(LEFT(AU417,4)="True",0,(IF(LEFT(AC417,4)="True",IF(_xlfn.XLOOKUP("Src_IsAny",'Scoring_Config'!$A:$A,'Scoring_Config'!$D:$D,"Yes")="Yes",_xlfn.XLOOKUP("Src_IsAny",'Scoring_Config'!$A:$A,'Scoring_Config'!$C:$C,25),0),0)+IF(LEFT(AD417,4)="True",IF(_xlfn.XLOOKUP("Src_CIDR_Le_16",'Scoring_Config'!$A:$A,'Scoring_Config'!$D:$D,"Yes")="Yes",_xlfn.XLOOKUP("Src_CIDR_Le_16",'Scoring_Config'!$A:$A,'Scoring_Config'!$C:$C,25),0),0)+IF(LEFT(AE417,4)="True",IF(_xlfn.XLOOKUP("Src_CIDR_17_22",'Scoring_Config'!$A:$A,'Scoring_Config'!$D:$D,"Yes")="Yes",_xlfn.XLOOKUP("Src_CIDR_17_22",'Scoring_Config'!$A:$A,'Scoring_Config'!$C:$C,15),0),0)+IF(LEFT(AF417,4)="True",IF(_xlfn.XLOOKUP("Dst_IsAny",'Scoring_Config'!$A:$A,'Scoring_Config'!$D:$D,"Yes")="Yes",_xlfn.XLOOKUP("Dst_IsAny",'Scoring_Config'!$A:$A,'Scoring_Config'!$C:$C,25),0),0)+IF(LEFT(AG417,4)="True",IF(_xlfn.XLOOKUP("Dst_CIDR_Le_16",'Scoring_Config'!$A:$A,'Scoring_Config'!$D:$D,"Yes")="Yes",_xlfn.XLOOKUP("Dst_CIDR_Le_16",'Scoring_Config'!$A:$A,'Scoring_Config'!$C:$C,25),0),0)+IF(LEFT(AH417,4)="True",IF(_xlfn.XLOOKUP("Dst_CIDR_17_22",'Scoring_Config'!$A:$A,'Scoring_Config'!$D:$D,"Yes")="Yes",_xlfn.XLOOKUP("Dst_CIDR_17_22",'Scoring_Config'!$A:$A,'Scoring_Config'!$C:$C,15),0),0)+IF(LEFT(AI417,4)="True",IF(_xlfn.XLOOKUP("SrcZone_IsAny",'Scoring_Config'!$A:$A,'Scoring_Config'!$D:$D,"Yes")="Yes",_xlfn.XLOOKUP("SrcZone_IsAny",'Scoring_Config'!$A:$A,'Scoring_Config'!$C:$C,5),0),0)+IF(LEFT(AJ417,4)="True",IF(_xlfn.XLOOKUP("DstZone_IsAny",'Scoring_Config'!$A:$A,'Scoring_Config'!$D:$D,"Yes")="Yes",_xlfn.XLOOKUP("DstZone_IsAny",'Scoring_Config'!$A:$A,'Scoring_Config'!$C:$C,5),0),0)+IF(LEFT(AK417,4)="True",IF(_xlfn.XLOOKUP("Service_Any_OR_RangeGt1000",'Scoring_Config'!$A:$A,'Scoring_Config'!$D:$D,"Yes")="Yes",_xlfn.XLOOKUP("Service_Any_OR_RangeGt1000",'Scoring_Config'!$A:$A,'Scoring_Config'!$C:$C,25),0),0)+IF(LEFT(AL417,4)="True",IF(_xlfn.XLOOKUP("App_Any_OR_RangeGt1000",'Scoring_Config'!$A:$A,'Scoring_Config'!$D:$D,"Yes")="Yes",_xlfn.XLOOKUP("App_Any_OR_RangeGt1000",'Scoring_Config'!$A:$A,'Scoring_Config'!$C:$C,25),0),0)+IF(LEFT(AM417,4)="True",IF(_xlfn.XLOOKUP("Service_Insecure_Match",'Scoring_Config'!$A:$A,'Scoring_Config'!$D:$D,"Yes")="Yes",_xlfn.XLOOKUP("Service_Insecure_Match",'Scoring_Config'!$A:$A,'Scoring_Config'!$C:$C,20),0),0)+IF(LEFT(AN417,4)="True",IF(_xlfn.XLOOKUP("Risky_Inbound",'Scoring_Config'!$A:$A,'Scoring_Config'!$D:$D,"Yes")="Yes",_xlfn.XLOOKUP("Risky_Inbound",'Scoring_Config'!$A:$A,'Scoring_Config'!$C:$C,20),0),0)+IF(LEFT(AO417,4)="True",IF(_xlfn.XLOOKUP("Risky_Outbound",'Scoring_Config'!$A:$A,'Scoring_Config'!$D:$D,"Yes")="Yes",_xlfn.XLOOKUP("Risky_Outbound",'Scoring_Config'!$A:$A,'Scoring_Config'!$C:$C,10),0),0)+IF(LEFT(AW417,4)="True",IF(_xlfn.XLOOKUP("Migrate_Insecure",'Scoring_Config'!$A:$A,'Scoring_Config'!$D:$D,"Yes")="Yes",_xlfn.XLOOKUP("Migrate_Insecure",'Scoring_Config'!$A:$A,'Scoring_Config'!$C:$C,15),0),0)+IF(LEFT(AY417,4)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417,FIND(",",AP417)+1,100)),0)+IF(LEFT(AQ417,4)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417,FIND(",",AR417)+1,100)),0)+IF(_xlfn.XLOOKUP("Profile_Scoring",'Scoring_Config'!$A:$A,'Scoring_Config'!$D:$D,"Yes")="Yes",VALUE(MID(AS417,FIND(",",AS417)+1,100)),0)+IF(_xlfn.XLOOKUP("Options_Scoring",'Scoring_Config'!$A:$A,'Scoring_Config'!$D:$D,"Yes")="Yes",VALUE(MID(AT417,FIND(",",AT417)+1,100)),0)))</f>
        <v>0</v>
      </c>
    </row>
    <row r="418" spans="1:52">
      <c r="A418" s="3" t="s">
        <v>55</v>
      </c>
      <c r="B418" s="3" t="s">
        <v>307</v>
      </c>
      <c r="C418" s="3" t="s">
        <v>332</v>
      </c>
      <c r="D418" s="3"/>
      <c r="E418" s="3" t="s">
        <v>359</v>
      </c>
      <c r="F418" s="3" t="s">
        <v>362</v>
      </c>
      <c r="G418" s="3" t="s">
        <v>524</v>
      </c>
      <c r="H418" s="3" t="s">
        <v>616</v>
      </c>
      <c r="I418" s="3" t="s">
        <v>623</v>
      </c>
      <c r="J418" s="3" t="s">
        <v>360</v>
      </c>
      <c r="K418" s="3" t="s">
        <v>505</v>
      </c>
      <c r="L418" s="3" t="s">
        <v>505</v>
      </c>
      <c r="M418" s="3" t="s">
        <v>772</v>
      </c>
      <c r="N418" s="3" t="s">
        <v>794</v>
      </c>
      <c r="O418" s="4" t="s">
        <v>809</v>
      </c>
      <c r="P418" s="3" t="s">
        <v>870</v>
      </c>
      <c r="Q418" s="3" t="s">
        <v>905</v>
      </c>
      <c r="R418" s="3" t="s">
        <v>908</v>
      </c>
      <c r="S418" s="3" t="s">
        <v>912</v>
      </c>
      <c r="T418" s="3" t="s">
        <v>919</v>
      </c>
      <c r="U418" s="3" t="s">
        <v>1358</v>
      </c>
      <c r="V418" s="3" t="s">
        <v>789</v>
      </c>
      <c r="W418" s="3" t="s">
        <v>1537</v>
      </c>
      <c r="X418" s="3" t="s">
        <v>2022</v>
      </c>
      <c r="Y418" s="3" t="s">
        <v>2491</v>
      </c>
      <c r="Z418" s="3"/>
      <c r="AA418" s="3"/>
      <c r="AB418" s="3"/>
      <c r="AC418" s="4" cm="1">
        <f t="array" ref="AC418">IF(FALSE,"True," &amp; IF(_xlfn.XLOOKUP("Src_IsAny",'Scoring_Config'!$A:$A,'Scoring_Config'!$D:$D,"Yes")="Yes",_xlfn.XLOOKUP("Src_IsAny",'Scoring_Config'!$A:$A,'Scoring_Config'!$C:$C,25),0),"False,0")</f>
        <v>0</v>
      </c>
      <c r="AD418" s="4" cm="1">
        <f t="array" ref="AD418">IF(FALSE,"True," &amp; IF(_xlfn.XLOOKUP("Src_CIDR_Le_16",'Scoring_Config'!$A:$A,'Scoring_Config'!$D:$D,"Yes")="Yes",_xlfn.XLOOKUP("Src_CIDR_Le_16",'Scoring_Config'!$A:$A,'Scoring_Config'!$C:$C,25),0),"False,0")</f>
        <v>0</v>
      </c>
      <c r="AE418" s="4" cm="1">
        <f t="array" ref="AE418">IF(FALSE,"True," &amp; IF(_xlfn.XLOOKUP("Src_CIDR_17_22",'Scoring_Config'!$A:$A,'Scoring_Config'!$D:$D,"Yes")="Yes",_xlfn.XLOOKUP("Src_CIDR_17_22",'Scoring_Config'!$A:$A,'Scoring_Config'!$C:$C,15),0),"False,0")</f>
        <v>0</v>
      </c>
      <c r="AF418" s="4" cm="1">
        <f t="array" ref="AF418">IF(FALSE,"True," &amp; IF(_xlfn.XLOOKUP("Dst_IsAny",'Scoring_Config'!$A:$A,'Scoring_Config'!$D:$D,"Yes")="Yes",_xlfn.XLOOKUP("Dst_IsAny",'Scoring_Config'!$A:$A,'Scoring_Config'!$C:$C,25),0),"False,0")</f>
        <v>0</v>
      </c>
      <c r="AG418" s="4" cm="1">
        <f t="array" ref="AG418">IF(FALSE,"True," &amp; IF(_xlfn.XLOOKUP("Dst_CIDR_Le_16",'Scoring_Config'!$A:$A,'Scoring_Config'!$D:$D,"Yes")="Yes",_xlfn.XLOOKUP("Dst_CIDR_Le_16",'Scoring_Config'!$A:$A,'Scoring_Config'!$C:$C,25),0),"False,0")</f>
        <v>0</v>
      </c>
      <c r="AH418" s="4" cm="1">
        <f t="array" ref="AH418">IF(FALSE,"True," &amp; IF(_xlfn.XLOOKUP("Dst_CIDR_17_22",'Scoring_Config'!$A:$A,'Scoring_Config'!$D:$D,"Yes")="Yes",_xlfn.XLOOKUP("Dst_CIDR_17_22",'Scoring_Config'!$A:$A,'Scoring_Config'!$C:$C,15),0),"False,0")</f>
        <v>0</v>
      </c>
      <c r="AI418" s="4" cm="1">
        <f t="array" ref="AI418">IF(FALSE,"True," &amp; IF(_xlfn.XLOOKUP("SrcZone_IsAny",'Scoring_Config'!$A:$A,'Scoring_Config'!$D:$D,"Yes")="Yes",_xlfn.XLOOKUP("SrcZone_IsAny",'Scoring_Config'!$A:$A,'Scoring_Config'!$C:$C,5),0),"False,0")</f>
        <v>0</v>
      </c>
      <c r="AJ418" s="4" cm="1">
        <f t="array" ref="AJ418">IF(FALSE,"True," &amp; IF(_xlfn.XLOOKUP("DstZone_IsAny",'Scoring_Config'!$A:$A,'Scoring_Config'!$D:$D,"Yes")="Yes",_xlfn.XLOOKUP("DstZone_IsAny",'Scoring_Config'!$A:$A,'Scoring_Config'!$C:$C,5),0),"False,0")</f>
        <v>0</v>
      </c>
      <c r="AK418" s="4" cm="1">
        <f t="array" ref="AK41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8" s="4" cm="1">
        <f t="array" ref="AL418">IF(FALSE,"True," &amp; IF(_xlfn.XLOOKUP("App_Any_OR_RangeGt1000",'Scoring_Config'!$A:$A,'Scoring_Config'!$D:$D,"Yes")="Yes",_xlfn.XLOOKUP("App_Any_OR_RangeGt1000",'Scoring_Config'!$A:$A,'Scoring_Config'!$C:$C,25),0),"False,0")</f>
        <v>0</v>
      </c>
      <c r="AM418" s="4" cm="1">
        <f t="array" ref="AM418">IF(FALSE,"True," &amp; IF(_xlfn.XLOOKUP("Service_Insecure_Match",'Scoring_Config'!$A:$A,'Scoring_Config'!$D:$D,"Yes")="Yes",_xlfn.XLOOKUP("Service_Insecure_Match",'Scoring_Config'!$A:$A,'Scoring_Config'!$C:$C,20),0),"False,0")</f>
        <v>0</v>
      </c>
      <c r="AN418" s="4" cm="1">
        <f t="array" ref="AN418">IF(FALSE,"True," &amp; IF(_xlfn.XLOOKUP("Risky_Inbound",'Scoring_Config'!$A:$A,'Scoring_Config'!$D:$D,"Yes")="Yes",_xlfn.XLOOKUP("Risky_Inbound",'Scoring_Config'!$A:$A,'Scoring_Config'!$C:$C,20),0),"False,0")</f>
        <v>0</v>
      </c>
      <c r="AO418" s="4" cm="1">
        <f t="array" ref="AO418">IF(FALSE,"True," &amp; IF(_xlfn.XLOOKUP("Risky_Outbound",'Scoring_Config'!$A:$A,'Scoring_Config'!$D:$D,"Yes")="Yes",_xlfn.XLOOKUP("Risky_Outbound",'Scoring_Config'!$A:$A,'Scoring_Config'!$C:$C,10),0),"False,0")</f>
        <v>0</v>
      </c>
      <c r="AP418" s="5" t="s">
        <v>2595</v>
      </c>
      <c r="AQ418" s="4" cm="1">
        <f t="array" ref="AQ41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8" s="5" t="s">
        <v>2598</v>
      </c>
      <c r="AS418" s="4" t="s">
        <v>2592</v>
      </c>
      <c r="AT418" s="4" t="s">
        <v>2592</v>
      </c>
      <c r="AU418" s="4" cm="1">
        <f t="array" ref="AU418">IF(FALSE,"True," &amp; IF(_xlfn.XLOOKUP("Action_IsDenyOrDrop",'Scoring_Config'!$A:$A,'Scoring_Config'!$D:$D,"Yes")="Yes",_xlfn.XLOOKUP("Action_IsDenyOrDrop",'Scoring_Config'!$A:$A,'Scoring_Config'!$C:$C,0),0),"False,0")</f>
        <v>0</v>
      </c>
      <c r="AV418" s="4"/>
      <c r="AW418" s="4" cm="1">
        <f t="array" ref="AW418">IF(FALSE,"True," &amp; IF(_xlfn.XLOOKUP("Migrate_Insecure",'Scoring_Config'!$A:$A,'Scoring_Config'!$D:$D,"Yes")="Yes",_xlfn.XLOOKUP("Migrate_Insecure",'Scoring_Config'!$A:$A,'Scoring_Config'!$C:$C,15),0),"False,0")</f>
        <v>0</v>
      </c>
      <c r="AX418" s="4"/>
      <c r="AY418" s="4" cm="1">
        <f t="array" ref="AY418">IF(FALSE,"True," &amp; IF(_xlfn.XLOOKUP("Migrate_Other_Ports",'Scoring_Config'!$A:$A,'Scoring_Config'!$D:$D,"Yes")="Yes",_xlfn.XLOOKUP("Migrate_Other_Ports",'Scoring_Config'!$A:$A,'Scoring_Config'!$C:$C,5),0),"False,0")</f>
        <v>0</v>
      </c>
      <c r="AZ418" s="4" cm="1">
        <f t="array" ref="AZ418">IF(LEFT(AU418,4)="True",0,(IF(LEFT(AC418,4)="True",IF(_xlfn.XLOOKUP("Src_IsAny",'Scoring_Config'!$A:$A,'Scoring_Config'!$D:$D,"Yes")="Yes",_xlfn.XLOOKUP("Src_IsAny",'Scoring_Config'!$A:$A,'Scoring_Config'!$C:$C,25),0),0)+IF(LEFT(AD418,4)="True",IF(_xlfn.XLOOKUP("Src_CIDR_Le_16",'Scoring_Config'!$A:$A,'Scoring_Config'!$D:$D,"Yes")="Yes",_xlfn.XLOOKUP("Src_CIDR_Le_16",'Scoring_Config'!$A:$A,'Scoring_Config'!$C:$C,25),0),0)+IF(LEFT(AE418,4)="True",IF(_xlfn.XLOOKUP("Src_CIDR_17_22",'Scoring_Config'!$A:$A,'Scoring_Config'!$D:$D,"Yes")="Yes",_xlfn.XLOOKUP("Src_CIDR_17_22",'Scoring_Config'!$A:$A,'Scoring_Config'!$C:$C,15),0),0)+IF(LEFT(AF418,4)="True",IF(_xlfn.XLOOKUP("Dst_IsAny",'Scoring_Config'!$A:$A,'Scoring_Config'!$D:$D,"Yes")="Yes",_xlfn.XLOOKUP("Dst_IsAny",'Scoring_Config'!$A:$A,'Scoring_Config'!$C:$C,25),0),0)+IF(LEFT(AG418,4)="True",IF(_xlfn.XLOOKUP("Dst_CIDR_Le_16",'Scoring_Config'!$A:$A,'Scoring_Config'!$D:$D,"Yes")="Yes",_xlfn.XLOOKUP("Dst_CIDR_Le_16",'Scoring_Config'!$A:$A,'Scoring_Config'!$C:$C,25),0),0)+IF(LEFT(AH418,4)="True",IF(_xlfn.XLOOKUP("Dst_CIDR_17_22",'Scoring_Config'!$A:$A,'Scoring_Config'!$D:$D,"Yes")="Yes",_xlfn.XLOOKUP("Dst_CIDR_17_22",'Scoring_Config'!$A:$A,'Scoring_Config'!$C:$C,15),0),0)+IF(LEFT(AI418,4)="True",IF(_xlfn.XLOOKUP("SrcZone_IsAny",'Scoring_Config'!$A:$A,'Scoring_Config'!$D:$D,"Yes")="Yes",_xlfn.XLOOKUP("SrcZone_IsAny",'Scoring_Config'!$A:$A,'Scoring_Config'!$C:$C,5),0),0)+IF(LEFT(AJ418,4)="True",IF(_xlfn.XLOOKUP("DstZone_IsAny",'Scoring_Config'!$A:$A,'Scoring_Config'!$D:$D,"Yes")="Yes",_xlfn.XLOOKUP("DstZone_IsAny",'Scoring_Config'!$A:$A,'Scoring_Config'!$C:$C,5),0),0)+IF(LEFT(AK418,4)="True",IF(_xlfn.XLOOKUP("Service_Any_OR_RangeGt1000",'Scoring_Config'!$A:$A,'Scoring_Config'!$D:$D,"Yes")="Yes",_xlfn.XLOOKUP("Service_Any_OR_RangeGt1000",'Scoring_Config'!$A:$A,'Scoring_Config'!$C:$C,25),0),0)+IF(LEFT(AL418,4)="True",IF(_xlfn.XLOOKUP("App_Any_OR_RangeGt1000",'Scoring_Config'!$A:$A,'Scoring_Config'!$D:$D,"Yes")="Yes",_xlfn.XLOOKUP("App_Any_OR_RangeGt1000",'Scoring_Config'!$A:$A,'Scoring_Config'!$C:$C,25),0),0)+IF(LEFT(AM418,4)="True",IF(_xlfn.XLOOKUP("Service_Insecure_Match",'Scoring_Config'!$A:$A,'Scoring_Config'!$D:$D,"Yes")="Yes",_xlfn.XLOOKUP("Service_Insecure_Match",'Scoring_Config'!$A:$A,'Scoring_Config'!$C:$C,20),0),0)+IF(LEFT(AN418,4)="True",IF(_xlfn.XLOOKUP("Risky_Inbound",'Scoring_Config'!$A:$A,'Scoring_Config'!$D:$D,"Yes")="Yes",_xlfn.XLOOKUP("Risky_Inbound",'Scoring_Config'!$A:$A,'Scoring_Config'!$C:$C,20),0),0)+IF(LEFT(AO418,4)="True",IF(_xlfn.XLOOKUP("Risky_Outbound",'Scoring_Config'!$A:$A,'Scoring_Config'!$D:$D,"Yes")="Yes",_xlfn.XLOOKUP("Risky_Outbound",'Scoring_Config'!$A:$A,'Scoring_Config'!$C:$C,10),0),0)+IF(LEFT(AW418,4)="True",IF(_xlfn.XLOOKUP("Migrate_Insecure",'Scoring_Config'!$A:$A,'Scoring_Config'!$D:$D,"Yes")="Yes",_xlfn.XLOOKUP("Migrate_Insecure",'Scoring_Config'!$A:$A,'Scoring_Config'!$C:$C,15),0),0)+IF(LEFT(AY418,4)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418,FIND(",",AP418)+1,100)),0)+IF(LEFT(AQ418,4)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418,FIND(",",AR418)+1,100)),0)+IF(_xlfn.XLOOKUP("Profile_Scoring",'Scoring_Config'!$A:$A,'Scoring_Config'!$D:$D,"Yes")="Yes",VALUE(MID(AS418,FIND(",",AS418)+1,100)),0)+IF(_xlfn.XLOOKUP("Options_Scoring",'Scoring_Config'!$A:$A,'Scoring_Config'!$D:$D,"Yes")="Yes",VALUE(MID(AT418,FIND(",",AT418)+1,100)),0)))</f>
        <v>0</v>
      </c>
    </row>
    <row r="419" spans="1:52">
      <c r="A419" s="3" t="s">
        <v>55</v>
      </c>
      <c r="B419" s="3" t="s">
        <v>308</v>
      </c>
      <c r="C419" s="3" t="s">
        <v>332</v>
      </c>
      <c r="D419" s="3"/>
      <c r="E419" s="3" t="s">
        <v>359</v>
      </c>
      <c r="F419" s="3" t="s">
        <v>364</v>
      </c>
      <c r="G419" s="3" t="s">
        <v>518</v>
      </c>
      <c r="H419" s="3" t="s">
        <v>610</v>
      </c>
      <c r="I419" s="3" t="s">
        <v>623</v>
      </c>
      <c r="J419" s="3" t="s">
        <v>363</v>
      </c>
      <c r="K419" s="3" t="s">
        <v>495</v>
      </c>
      <c r="L419" s="3" t="s">
        <v>600</v>
      </c>
      <c r="M419" s="3" t="s">
        <v>790</v>
      </c>
      <c r="N419" s="3" t="s">
        <v>791</v>
      </c>
      <c r="O419" s="4" t="s">
        <v>811</v>
      </c>
      <c r="P419" s="3" t="s">
        <v>872</v>
      </c>
      <c r="Q419" s="3" t="s">
        <v>904</v>
      </c>
      <c r="R419" s="3" t="s">
        <v>909</v>
      </c>
      <c r="S419" s="3" t="s">
        <v>916</v>
      </c>
      <c r="T419" s="3" t="s">
        <v>919</v>
      </c>
      <c r="U419" s="3" t="s">
        <v>1359</v>
      </c>
      <c r="V419" s="3" t="s">
        <v>1387</v>
      </c>
      <c r="W419" s="3" t="s">
        <v>1590</v>
      </c>
      <c r="X419" s="3" t="s">
        <v>2023</v>
      </c>
      <c r="Y419" s="3" t="s">
        <v>2492</v>
      </c>
      <c r="Z419" s="3"/>
      <c r="AA419" s="3"/>
      <c r="AB419" s="3"/>
      <c r="AC419" s="4" cm="1">
        <f t="array" ref="AC419">IF(FALSE,"True," &amp; IF(_xlfn.XLOOKUP("Src_IsAny",'Scoring_Config'!$A:$A,'Scoring_Config'!$D:$D,"Yes")="Yes",_xlfn.XLOOKUP("Src_IsAny",'Scoring_Config'!$A:$A,'Scoring_Config'!$C:$C,25),0),"False,0")</f>
        <v>0</v>
      </c>
      <c r="AD419" s="4" cm="1">
        <f t="array" ref="AD419">IF(FALSE,"True," &amp; IF(_xlfn.XLOOKUP("Src_CIDR_Le_16",'Scoring_Config'!$A:$A,'Scoring_Config'!$D:$D,"Yes")="Yes",_xlfn.XLOOKUP("Src_CIDR_Le_16",'Scoring_Config'!$A:$A,'Scoring_Config'!$C:$C,25),0),"False,0")</f>
        <v>0</v>
      </c>
      <c r="AE419" s="4" cm="1">
        <f t="array" ref="AE419">IF(FALSE,"True," &amp; IF(_xlfn.XLOOKUP("Src_CIDR_17_22",'Scoring_Config'!$A:$A,'Scoring_Config'!$D:$D,"Yes")="Yes",_xlfn.XLOOKUP("Src_CIDR_17_22",'Scoring_Config'!$A:$A,'Scoring_Config'!$C:$C,15),0),"False,0")</f>
        <v>0</v>
      </c>
      <c r="AF419" s="5" cm="1">
        <f t="array" ref="AF419">IF(TRUE,"True," &amp; IF(_xlfn.XLOOKUP("Dst_IsAny",'Scoring_Config'!$A:$A,'Scoring_Config'!$D:$D,"Yes")="Yes",_xlfn.XLOOKUP("Dst_IsAny",'Scoring_Config'!$A:$A,'Scoring_Config'!$C:$C,25),0),"False,0")</f>
        <v>0</v>
      </c>
      <c r="AG419" s="5" cm="1">
        <f t="array" ref="AG419">IF(TRUE,"True," &amp; IF(_xlfn.XLOOKUP("Dst_CIDR_Le_16",'Scoring_Config'!$A:$A,'Scoring_Config'!$D:$D,"Yes")="Yes",_xlfn.XLOOKUP("Dst_CIDR_Le_16",'Scoring_Config'!$A:$A,'Scoring_Config'!$C:$C,25),0),"False,0")</f>
        <v>0</v>
      </c>
      <c r="AH419" s="4" cm="1">
        <f t="array" ref="AH419">IF(FALSE,"True," &amp; IF(_xlfn.XLOOKUP("Dst_CIDR_17_22",'Scoring_Config'!$A:$A,'Scoring_Config'!$D:$D,"Yes")="Yes",_xlfn.XLOOKUP("Dst_CIDR_17_22",'Scoring_Config'!$A:$A,'Scoring_Config'!$C:$C,15),0),"False,0")</f>
        <v>0</v>
      </c>
      <c r="AI419" s="4" cm="1">
        <f t="array" ref="AI419">IF(FALSE,"True," &amp; IF(_xlfn.XLOOKUP("SrcZone_IsAny",'Scoring_Config'!$A:$A,'Scoring_Config'!$D:$D,"Yes")="Yes",_xlfn.XLOOKUP("SrcZone_IsAny",'Scoring_Config'!$A:$A,'Scoring_Config'!$C:$C,5),0),"False,0")</f>
        <v>0</v>
      </c>
      <c r="AJ419" s="4" cm="1">
        <f t="array" ref="AJ419">IF(FALSE,"True," &amp; IF(_xlfn.XLOOKUP("DstZone_IsAny",'Scoring_Config'!$A:$A,'Scoring_Config'!$D:$D,"Yes")="Yes",_xlfn.XLOOKUP("DstZone_IsAny",'Scoring_Config'!$A:$A,'Scoring_Config'!$C:$C,5),0),"False,0")</f>
        <v>0</v>
      </c>
      <c r="AK419" s="4" cm="1">
        <f t="array" ref="AK41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19" s="5" cm="1">
        <f t="array" ref="AL419">IF(TRUE,"True," &amp; IF(_xlfn.XLOOKUP("App_Any_OR_RangeGt1000",'Scoring_Config'!$A:$A,'Scoring_Config'!$D:$D,"Yes")="Yes",_xlfn.XLOOKUP("App_Any_OR_RangeGt1000",'Scoring_Config'!$A:$A,'Scoring_Config'!$C:$C,25),0),"False,0")</f>
        <v>0</v>
      </c>
      <c r="AM419" s="5" cm="1">
        <f t="array" ref="AM419">IF(TRUE,"True," &amp; IF(_xlfn.XLOOKUP("Service_Insecure_Match",'Scoring_Config'!$A:$A,'Scoring_Config'!$D:$D,"Yes")="Yes",_xlfn.XLOOKUP("Service_Insecure_Match",'Scoring_Config'!$A:$A,'Scoring_Config'!$C:$C,20),0),"False,0")</f>
        <v>0</v>
      </c>
      <c r="AN419" s="4" cm="1">
        <f t="array" ref="AN419">IF(FALSE,"True," &amp; IF(_xlfn.XLOOKUP("Risky_Inbound",'Scoring_Config'!$A:$A,'Scoring_Config'!$D:$D,"Yes")="Yes",_xlfn.XLOOKUP("Risky_Inbound",'Scoring_Config'!$A:$A,'Scoring_Config'!$C:$C,20),0),"False,0")</f>
        <v>0</v>
      </c>
      <c r="AO419" s="4" cm="1">
        <f t="array" ref="AO419">IF(FALSE,"True," &amp; IF(_xlfn.XLOOKUP("Risky_Outbound",'Scoring_Config'!$A:$A,'Scoring_Config'!$D:$D,"Yes")="Yes",_xlfn.XLOOKUP("Risky_Outbound",'Scoring_Config'!$A:$A,'Scoring_Config'!$C:$C,10),0),"False,0")</f>
        <v>0</v>
      </c>
      <c r="AP419" s="5" t="s">
        <v>2595</v>
      </c>
      <c r="AQ419" s="4" cm="1">
        <f t="array" ref="AQ41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19" s="5" t="s">
        <v>2598</v>
      </c>
      <c r="AS419" s="4" t="s">
        <v>2592</v>
      </c>
      <c r="AT419" s="4" t="s">
        <v>2592</v>
      </c>
      <c r="AU419" s="5" cm="1">
        <f t="array" ref="AU419">IF(TRUE,"True," &amp; IF(_xlfn.XLOOKUP("Action_IsDenyOrDrop",'Scoring_Config'!$A:$A,'Scoring_Config'!$D:$D,"Yes")="Yes",_xlfn.XLOOKUP("Action_IsDenyOrDrop",'Scoring_Config'!$A:$A,'Scoring_Config'!$C:$C,0),0),"False,0")</f>
        <v>0</v>
      </c>
      <c r="AV419" s="4"/>
      <c r="AW419" s="4" cm="1">
        <f t="array" ref="AW419">IF(FALSE,"True," &amp; IF(_xlfn.XLOOKUP("Migrate_Insecure",'Scoring_Config'!$A:$A,'Scoring_Config'!$D:$D,"Yes")="Yes",_xlfn.XLOOKUP("Migrate_Insecure",'Scoring_Config'!$A:$A,'Scoring_Config'!$C:$C,15),0),"False,0")</f>
        <v>0</v>
      </c>
      <c r="AX419" s="4"/>
      <c r="AY419" s="4" cm="1">
        <f t="array" ref="AY419">IF(FALSE,"True," &amp; IF(_xlfn.XLOOKUP("Migrate_Other_Ports",'Scoring_Config'!$A:$A,'Scoring_Config'!$D:$D,"Yes")="Yes",_xlfn.XLOOKUP("Migrate_Other_Ports",'Scoring_Config'!$A:$A,'Scoring_Config'!$C:$C,5),0),"False,0")</f>
        <v>0</v>
      </c>
      <c r="AZ419" s="4" cm="1">
        <f t="array" ref="AZ419">IF(LEFT(AU419,4)="True",0,(IF(LEFT(AC419,4)="True",IF(_xlfn.XLOOKUP("Src_IsAny",'Scoring_Config'!$A:$A,'Scoring_Config'!$D:$D,"Yes")="Yes",_xlfn.XLOOKUP("Src_IsAny",'Scoring_Config'!$A:$A,'Scoring_Config'!$C:$C,25),0),0)+IF(LEFT(AD419,4)="True",IF(_xlfn.XLOOKUP("Src_CIDR_Le_16",'Scoring_Config'!$A:$A,'Scoring_Config'!$D:$D,"Yes")="Yes",_xlfn.XLOOKUP("Src_CIDR_Le_16",'Scoring_Config'!$A:$A,'Scoring_Config'!$C:$C,25),0),0)+IF(LEFT(AE419,4)="True",IF(_xlfn.XLOOKUP("Src_CIDR_17_22",'Scoring_Config'!$A:$A,'Scoring_Config'!$D:$D,"Yes")="Yes",_xlfn.XLOOKUP("Src_CIDR_17_22",'Scoring_Config'!$A:$A,'Scoring_Config'!$C:$C,15),0),0)+IF(LEFT(AF419,4)="True",IF(_xlfn.XLOOKUP("Dst_IsAny",'Scoring_Config'!$A:$A,'Scoring_Config'!$D:$D,"Yes")="Yes",_xlfn.XLOOKUP("Dst_IsAny",'Scoring_Config'!$A:$A,'Scoring_Config'!$C:$C,25),0),0)+IF(LEFT(AG419,4)="True",IF(_xlfn.XLOOKUP("Dst_CIDR_Le_16",'Scoring_Config'!$A:$A,'Scoring_Config'!$D:$D,"Yes")="Yes",_xlfn.XLOOKUP("Dst_CIDR_Le_16",'Scoring_Config'!$A:$A,'Scoring_Config'!$C:$C,25),0),0)+IF(LEFT(AH419,4)="True",IF(_xlfn.XLOOKUP("Dst_CIDR_17_22",'Scoring_Config'!$A:$A,'Scoring_Config'!$D:$D,"Yes")="Yes",_xlfn.XLOOKUP("Dst_CIDR_17_22",'Scoring_Config'!$A:$A,'Scoring_Config'!$C:$C,15),0),0)+IF(LEFT(AI419,4)="True",IF(_xlfn.XLOOKUP("SrcZone_IsAny",'Scoring_Config'!$A:$A,'Scoring_Config'!$D:$D,"Yes")="Yes",_xlfn.XLOOKUP("SrcZone_IsAny",'Scoring_Config'!$A:$A,'Scoring_Config'!$C:$C,5),0),0)+IF(LEFT(AJ419,4)="True",IF(_xlfn.XLOOKUP("DstZone_IsAny",'Scoring_Config'!$A:$A,'Scoring_Config'!$D:$D,"Yes")="Yes",_xlfn.XLOOKUP("DstZone_IsAny",'Scoring_Config'!$A:$A,'Scoring_Config'!$C:$C,5),0),0)+IF(LEFT(AK419,4)="True",IF(_xlfn.XLOOKUP("Service_Any_OR_RangeGt1000",'Scoring_Config'!$A:$A,'Scoring_Config'!$D:$D,"Yes")="Yes",_xlfn.XLOOKUP("Service_Any_OR_RangeGt1000",'Scoring_Config'!$A:$A,'Scoring_Config'!$C:$C,25),0),0)+IF(LEFT(AL419,4)="True",IF(_xlfn.XLOOKUP("App_Any_OR_RangeGt1000",'Scoring_Config'!$A:$A,'Scoring_Config'!$D:$D,"Yes")="Yes",_xlfn.XLOOKUP("App_Any_OR_RangeGt1000",'Scoring_Config'!$A:$A,'Scoring_Config'!$C:$C,25),0),0)+IF(LEFT(AM419,4)="True",IF(_xlfn.XLOOKUP("Service_Insecure_Match",'Scoring_Config'!$A:$A,'Scoring_Config'!$D:$D,"Yes")="Yes",_xlfn.XLOOKUP("Service_Insecure_Match",'Scoring_Config'!$A:$A,'Scoring_Config'!$C:$C,20),0),0)+IF(LEFT(AN419,4)="True",IF(_xlfn.XLOOKUP("Risky_Inbound",'Scoring_Config'!$A:$A,'Scoring_Config'!$D:$D,"Yes")="Yes",_xlfn.XLOOKUP("Risky_Inbound",'Scoring_Config'!$A:$A,'Scoring_Config'!$C:$C,20),0),0)+IF(LEFT(AO419,4)="True",IF(_xlfn.XLOOKUP("Risky_Outbound",'Scoring_Config'!$A:$A,'Scoring_Config'!$D:$D,"Yes")="Yes",_xlfn.XLOOKUP("Risky_Outbound",'Scoring_Config'!$A:$A,'Scoring_Config'!$C:$C,10),0),0)+IF(LEFT(AW419,4)="True",IF(_xlfn.XLOOKUP("Migrate_Insecure",'Scoring_Config'!$A:$A,'Scoring_Config'!$D:$D,"Yes")="Yes",_xlfn.XLOOKUP("Migrate_Insecure",'Scoring_Config'!$A:$A,'Scoring_Config'!$C:$C,15),0),0)+IF(LEFT(AY419,4)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419,FIND(",",AP419)+1,100)),0)+IF(LEFT(AQ419,4)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419,FIND(",",AR419)+1,100)),0)+IF(_xlfn.XLOOKUP("Profile_Scoring",'Scoring_Config'!$A:$A,'Scoring_Config'!$D:$D,"Yes")="Yes",VALUE(MID(AS419,FIND(",",AS419)+1,100)),0)+IF(_xlfn.XLOOKUP("Options_Scoring",'Scoring_Config'!$A:$A,'Scoring_Config'!$D:$D,"Yes")="Yes",VALUE(MID(AT419,FIND(",",AT419)+1,100)),0)))</f>
        <v>0</v>
      </c>
    </row>
    <row r="420" spans="1:52">
      <c r="A420" s="3" t="s">
        <v>55</v>
      </c>
      <c r="B420" s="3" t="s">
        <v>195</v>
      </c>
      <c r="C420" s="3" t="s">
        <v>332</v>
      </c>
      <c r="D420" s="3"/>
      <c r="E420" s="3" t="s">
        <v>359</v>
      </c>
      <c r="F420" s="3" t="s">
        <v>362</v>
      </c>
      <c r="G420" s="3" t="s">
        <v>525</v>
      </c>
      <c r="H420" s="3" t="s">
        <v>617</v>
      </c>
      <c r="I420" s="3" t="s">
        <v>623</v>
      </c>
      <c r="J420" s="3" t="s">
        <v>364</v>
      </c>
      <c r="K420" s="3" t="s">
        <v>365</v>
      </c>
      <c r="L420" s="3" t="s">
        <v>365</v>
      </c>
      <c r="M420" s="3" t="s">
        <v>775</v>
      </c>
      <c r="N420" s="3" t="s">
        <v>796</v>
      </c>
      <c r="O420" s="4" t="s">
        <v>830</v>
      </c>
      <c r="P420" s="3" t="s">
        <v>891</v>
      </c>
      <c r="Q420" s="3" t="s">
        <v>905</v>
      </c>
      <c r="R420" s="3" t="s">
        <v>911</v>
      </c>
      <c r="S420" s="3" t="s">
        <v>916</v>
      </c>
      <c r="T420" s="3" t="s">
        <v>919</v>
      </c>
      <c r="U420" s="3" t="s">
        <v>1360</v>
      </c>
      <c r="V420" s="3" t="s">
        <v>1388</v>
      </c>
      <c r="W420" s="3" t="s">
        <v>1591</v>
      </c>
      <c r="X420" s="3" t="s">
        <v>2024</v>
      </c>
      <c r="Y420" s="3" t="s">
        <v>2493</v>
      </c>
      <c r="Z420" s="3"/>
      <c r="AA420" s="3"/>
      <c r="AB420" s="3"/>
      <c r="AC420" s="4" cm="1">
        <f t="array" ref="AC420">IF(FALSE,"True," &amp; IF(_xlfn.XLOOKUP("Src_IsAny",'Scoring_Config'!$A:$A,'Scoring_Config'!$D:$D,"Yes")="Yes",_xlfn.XLOOKUP("Src_IsAny",'Scoring_Config'!$A:$A,'Scoring_Config'!$C:$C,25),0),"False,0")</f>
        <v>0</v>
      </c>
      <c r="AD420" s="5" cm="1">
        <f t="array" ref="AD420">IF(TRUE,"True," &amp; IF(_xlfn.XLOOKUP("Src_CIDR_Le_16",'Scoring_Config'!$A:$A,'Scoring_Config'!$D:$D,"Yes")="Yes",_xlfn.XLOOKUP("Src_CIDR_Le_16",'Scoring_Config'!$A:$A,'Scoring_Config'!$C:$C,25),0),"False,0")</f>
        <v>0</v>
      </c>
      <c r="AE420" s="4" cm="1">
        <f t="array" ref="AE420">IF(FALSE,"True," &amp; IF(_xlfn.XLOOKUP("Src_CIDR_17_22",'Scoring_Config'!$A:$A,'Scoring_Config'!$D:$D,"Yes")="Yes",_xlfn.XLOOKUP("Src_CIDR_17_22",'Scoring_Config'!$A:$A,'Scoring_Config'!$C:$C,15),0),"False,0")</f>
        <v>0</v>
      </c>
      <c r="AF420" s="5" cm="1">
        <f t="array" ref="AF420">IF(TRUE,"True," &amp; IF(_xlfn.XLOOKUP("Dst_IsAny",'Scoring_Config'!$A:$A,'Scoring_Config'!$D:$D,"Yes")="Yes",_xlfn.XLOOKUP("Dst_IsAny",'Scoring_Config'!$A:$A,'Scoring_Config'!$C:$C,25),0),"False,0")</f>
        <v>0</v>
      </c>
      <c r="AG420" s="4" cm="1">
        <f t="array" ref="AG420">IF(FALSE,"True," &amp; IF(_xlfn.XLOOKUP("Dst_CIDR_Le_16",'Scoring_Config'!$A:$A,'Scoring_Config'!$D:$D,"Yes")="Yes",_xlfn.XLOOKUP("Dst_CIDR_Le_16",'Scoring_Config'!$A:$A,'Scoring_Config'!$C:$C,25),0),"False,0")</f>
        <v>0</v>
      </c>
      <c r="AH420" s="4" cm="1">
        <f t="array" ref="AH420">IF(FALSE,"True," &amp; IF(_xlfn.XLOOKUP("Dst_CIDR_17_22",'Scoring_Config'!$A:$A,'Scoring_Config'!$D:$D,"Yes")="Yes",_xlfn.XLOOKUP("Dst_CIDR_17_22",'Scoring_Config'!$A:$A,'Scoring_Config'!$C:$C,15),0),"False,0")</f>
        <v>0</v>
      </c>
      <c r="AI420" s="4" cm="1">
        <f t="array" ref="AI420">IF(FALSE,"True," &amp; IF(_xlfn.XLOOKUP("SrcZone_IsAny",'Scoring_Config'!$A:$A,'Scoring_Config'!$D:$D,"Yes")="Yes",_xlfn.XLOOKUP("SrcZone_IsAny",'Scoring_Config'!$A:$A,'Scoring_Config'!$C:$C,5),0),"False,0")</f>
        <v>0</v>
      </c>
      <c r="AJ420" s="4" cm="1">
        <f t="array" ref="AJ420">IF(FALSE,"True," &amp; IF(_xlfn.XLOOKUP("DstZone_IsAny",'Scoring_Config'!$A:$A,'Scoring_Config'!$D:$D,"Yes")="Yes",_xlfn.XLOOKUP("DstZone_IsAny",'Scoring_Config'!$A:$A,'Scoring_Config'!$C:$C,5),0),"False,0")</f>
        <v>0</v>
      </c>
      <c r="AK420" s="4" cm="1">
        <f t="array" ref="AK42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0" s="4" cm="1">
        <f t="array" ref="AL420">IF(FALSE,"True," &amp; IF(_xlfn.XLOOKUP("App_Any_OR_RangeGt1000",'Scoring_Config'!$A:$A,'Scoring_Config'!$D:$D,"Yes")="Yes",_xlfn.XLOOKUP("App_Any_OR_RangeGt1000",'Scoring_Config'!$A:$A,'Scoring_Config'!$C:$C,25),0),"False,0")</f>
        <v>0</v>
      </c>
      <c r="AM420" s="5" cm="1">
        <f t="array" ref="AM420">IF(TRUE,"True," &amp; IF(_xlfn.XLOOKUP("Service_Insecure_Match",'Scoring_Config'!$A:$A,'Scoring_Config'!$D:$D,"Yes")="Yes",_xlfn.XLOOKUP("Service_Insecure_Match",'Scoring_Config'!$A:$A,'Scoring_Config'!$C:$C,20),0),"False,0")</f>
        <v>0</v>
      </c>
      <c r="AN420" s="4" cm="1">
        <f t="array" ref="AN420">IF(FALSE,"True," &amp; IF(_xlfn.XLOOKUP("Risky_Inbound",'Scoring_Config'!$A:$A,'Scoring_Config'!$D:$D,"Yes")="Yes",_xlfn.XLOOKUP("Risky_Inbound",'Scoring_Config'!$A:$A,'Scoring_Config'!$C:$C,20),0),"False,0")</f>
        <v>0</v>
      </c>
      <c r="AO420" s="4" cm="1">
        <f t="array" ref="AO420">IF(FALSE,"True," &amp; IF(_xlfn.XLOOKUP("Risky_Outbound",'Scoring_Config'!$A:$A,'Scoring_Config'!$D:$D,"Yes")="Yes",_xlfn.XLOOKUP("Risky_Outbound",'Scoring_Config'!$A:$A,'Scoring_Config'!$C:$C,10),0),"False,0")</f>
        <v>0</v>
      </c>
      <c r="AP420" s="5" t="s">
        <v>2595</v>
      </c>
      <c r="AQ420" s="4" cm="1">
        <f t="array" ref="AQ42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0" s="5" t="s">
        <v>2598</v>
      </c>
      <c r="AS420" s="4" t="s">
        <v>2592</v>
      </c>
      <c r="AT420" s="4" t="s">
        <v>2592</v>
      </c>
      <c r="AU420" s="4" cm="1">
        <f t="array" ref="AU420">IF(FALSE,"True," &amp; IF(_xlfn.XLOOKUP("Action_IsDenyOrDrop",'Scoring_Config'!$A:$A,'Scoring_Config'!$D:$D,"Yes")="Yes",_xlfn.XLOOKUP("Action_IsDenyOrDrop",'Scoring_Config'!$A:$A,'Scoring_Config'!$C:$C,0),0),"False,0")</f>
        <v>0</v>
      </c>
      <c r="AV420" s="4"/>
      <c r="AW420" s="4" cm="1">
        <f t="array" ref="AW420">IF(FALSE,"True," &amp; IF(_xlfn.XLOOKUP("Migrate_Insecure",'Scoring_Config'!$A:$A,'Scoring_Config'!$D:$D,"Yes")="Yes",_xlfn.XLOOKUP("Migrate_Insecure",'Scoring_Config'!$A:$A,'Scoring_Config'!$C:$C,15),0),"False,0")</f>
        <v>0</v>
      </c>
      <c r="AX420" s="4"/>
      <c r="AY420" s="4" cm="1">
        <f t="array" ref="AY420">IF(FALSE,"True," &amp; IF(_xlfn.XLOOKUP("Migrate_Other_Ports",'Scoring_Config'!$A:$A,'Scoring_Config'!$D:$D,"Yes")="Yes",_xlfn.XLOOKUP("Migrate_Other_Ports",'Scoring_Config'!$A:$A,'Scoring_Config'!$C:$C,5),0),"False,0")</f>
        <v>0</v>
      </c>
      <c r="AZ420" s="4" cm="1">
        <f t="array" ref="AZ420">IF(LEFT(AU420,4)="True",0,(IF(LEFT(AC420,4)="True",IF(_xlfn.XLOOKUP("Src_IsAny",'Scoring_Config'!$A:$A,'Scoring_Config'!$D:$D,"Yes")="Yes",_xlfn.XLOOKUP("Src_IsAny",'Scoring_Config'!$A:$A,'Scoring_Config'!$C:$C,25),0),0)+IF(LEFT(AD420,4)="True",IF(_xlfn.XLOOKUP("Src_CIDR_Le_16",'Scoring_Config'!$A:$A,'Scoring_Config'!$D:$D,"Yes")="Yes",_xlfn.XLOOKUP("Src_CIDR_Le_16",'Scoring_Config'!$A:$A,'Scoring_Config'!$C:$C,25),0),0)+IF(LEFT(AE420,4)="True",IF(_xlfn.XLOOKUP("Src_CIDR_17_22",'Scoring_Config'!$A:$A,'Scoring_Config'!$D:$D,"Yes")="Yes",_xlfn.XLOOKUP("Src_CIDR_17_22",'Scoring_Config'!$A:$A,'Scoring_Config'!$C:$C,15),0),0)+IF(LEFT(AF420,4)="True",IF(_xlfn.XLOOKUP("Dst_IsAny",'Scoring_Config'!$A:$A,'Scoring_Config'!$D:$D,"Yes")="Yes",_xlfn.XLOOKUP("Dst_IsAny",'Scoring_Config'!$A:$A,'Scoring_Config'!$C:$C,25),0),0)+IF(LEFT(AG420,4)="True",IF(_xlfn.XLOOKUP("Dst_CIDR_Le_16",'Scoring_Config'!$A:$A,'Scoring_Config'!$D:$D,"Yes")="Yes",_xlfn.XLOOKUP("Dst_CIDR_Le_16",'Scoring_Config'!$A:$A,'Scoring_Config'!$C:$C,25),0),0)+IF(LEFT(AH420,4)="True",IF(_xlfn.XLOOKUP("Dst_CIDR_17_22",'Scoring_Config'!$A:$A,'Scoring_Config'!$D:$D,"Yes")="Yes",_xlfn.XLOOKUP("Dst_CIDR_17_22",'Scoring_Config'!$A:$A,'Scoring_Config'!$C:$C,15),0),0)+IF(LEFT(AI420,4)="True",IF(_xlfn.XLOOKUP("SrcZone_IsAny",'Scoring_Config'!$A:$A,'Scoring_Config'!$D:$D,"Yes")="Yes",_xlfn.XLOOKUP("SrcZone_IsAny",'Scoring_Config'!$A:$A,'Scoring_Config'!$C:$C,5),0),0)+IF(LEFT(AJ420,4)="True",IF(_xlfn.XLOOKUP("DstZone_IsAny",'Scoring_Config'!$A:$A,'Scoring_Config'!$D:$D,"Yes")="Yes",_xlfn.XLOOKUP("DstZone_IsAny",'Scoring_Config'!$A:$A,'Scoring_Config'!$C:$C,5),0),0)+IF(LEFT(AK420,4)="True",IF(_xlfn.XLOOKUP("Service_Any_OR_RangeGt1000",'Scoring_Config'!$A:$A,'Scoring_Config'!$D:$D,"Yes")="Yes",_xlfn.XLOOKUP("Service_Any_OR_RangeGt1000",'Scoring_Config'!$A:$A,'Scoring_Config'!$C:$C,25),0),0)+IF(LEFT(AL420,4)="True",IF(_xlfn.XLOOKUP("App_Any_OR_RangeGt1000",'Scoring_Config'!$A:$A,'Scoring_Config'!$D:$D,"Yes")="Yes",_xlfn.XLOOKUP("App_Any_OR_RangeGt1000",'Scoring_Config'!$A:$A,'Scoring_Config'!$C:$C,25),0),0)+IF(LEFT(AM420,4)="True",IF(_xlfn.XLOOKUP("Service_Insecure_Match",'Scoring_Config'!$A:$A,'Scoring_Config'!$D:$D,"Yes")="Yes",_xlfn.XLOOKUP("Service_Insecure_Match",'Scoring_Config'!$A:$A,'Scoring_Config'!$C:$C,20),0),0)+IF(LEFT(AN420,4)="True",IF(_xlfn.XLOOKUP("Risky_Inbound",'Scoring_Config'!$A:$A,'Scoring_Config'!$D:$D,"Yes")="Yes",_xlfn.XLOOKUP("Risky_Inbound",'Scoring_Config'!$A:$A,'Scoring_Config'!$C:$C,20),0),0)+IF(LEFT(AO420,4)="True",IF(_xlfn.XLOOKUP("Risky_Outbound",'Scoring_Config'!$A:$A,'Scoring_Config'!$D:$D,"Yes")="Yes",_xlfn.XLOOKUP("Risky_Outbound",'Scoring_Config'!$A:$A,'Scoring_Config'!$C:$C,10),0),0)+IF(LEFT(AW420,4)="True",IF(_xlfn.XLOOKUP("Migrate_Insecure",'Scoring_Config'!$A:$A,'Scoring_Config'!$D:$D,"Yes")="Yes",_xlfn.XLOOKUP("Migrate_Insecure",'Scoring_Config'!$A:$A,'Scoring_Config'!$C:$C,15),0),0)+IF(LEFT(AY420,4)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420,FIND(",",AP420)+1,100)),0)+IF(LEFT(AQ420,4)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420,FIND(",",AR420)+1,100)),0)+IF(_xlfn.XLOOKUP("Profile_Scoring",'Scoring_Config'!$A:$A,'Scoring_Config'!$D:$D,"Yes")="Yes",VALUE(MID(AS420,FIND(",",AS420)+1,100)),0)+IF(_xlfn.XLOOKUP("Options_Scoring",'Scoring_Config'!$A:$A,'Scoring_Config'!$D:$D,"Yes")="Yes",VALUE(MID(AT420,FIND(",",AT420)+1,100)),0)))</f>
        <v>0</v>
      </c>
    </row>
    <row r="421" spans="1:52">
      <c r="A421" s="3" t="s">
        <v>55</v>
      </c>
      <c r="B421" s="3" t="s">
        <v>140</v>
      </c>
      <c r="C421" s="3" t="s">
        <v>332</v>
      </c>
      <c r="D421" s="3"/>
      <c r="E421" s="3" t="s">
        <v>359</v>
      </c>
      <c r="F421" s="3" t="s">
        <v>361</v>
      </c>
      <c r="G421" s="3" t="s">
        <v>365</v>
      </c>
      <c r="H421" s="3" t="s">
        <v>365</v>
      </c>
      <c r="I421" s="3" t="s">
        <v>625</v>
      </c>
      <c r="J421" s="3" t="s">
        <v>364</v>
      </c>
      <c r="K421" s="3" t="s">
        <v>365</v>
      </c>
      <c r="L421" s="3" t="s">
        <v>365</v>
      </c>
      <c r="M421" s="3" t="s">
        <v>365</v>
      </c>
      <c r="N421" s="3" t="s">
        <v>365</v>
      </c>
      <c r="O421" s="4" t="s">
        <v>811</v>
      </c>
      <c r="P421" s="3" t="s">
        <v>872</v>
      </c>
      <c r="Q421" s="3" t="s">
        <v>905</v>
      </c>
      <c r="R421" s="3" t="s">
        <v>907</v>
      </c>
      <c r="S421" s="3" t="s">
        <v>912</v>
      </c>
      <c r="T421" s="3" t="s">
        <v>1113</v>
      </c>
      <c r="U421" s="3"/>
      <c r="V421" s="3" t="s">
        <v>1388</v>
      </c>
      <c r="W421" s="3" t="s">
        <v>1405</v>
      </c>
      <c r="X421" s="3" t="s">
        <v>2025</v>
      </c>
      <c r="Y421" s="3" t="s">
        <v>2494</v>
      </c>
      <c r="Z421" s="3"/>
      <c r="AA421" s="3"/>
      <c r="AB421" s="3"/>
      <c r="AC421" s="5" cm="1">
        <f t="array" ref="AC421">IF(TRUE,"True," &amp; IF(_xlfn.XLOOKUP("Src_IsAny",'Scoring_Config'!$A:$A,'Scoring_Config'!$D:$D,"Yes")="Yes",_xlfn.XLOOKUP("Src_IsAny",'Scoring_Config'!$A:$A,'Scoring_Config'!$C:$C,25),0),"False,0")</f>
        <v>0</v>
      </c>
      <c r="AD421" s="4" cm="1">
        <f t="array" ref="AD421">IF(FALSE,"True," &amp; IF(_xlfn.XLOOKUP("Src_CIDR_Le_16",'Scoring_Config'!$A:$A,'Scoring_Config'!$D:$D,"Yes")="Yes",_xlfn.XLOOKUP("Src_CIDR_Le_16",'Scoring_Config'!$A:$A,'Scoring_Config'!$C:$C,25),0),"False,0")</f>
        <v>0</v>
      </c>
      <c r="AE421" s="4" cm="1">
        <f t="array" ref="AE421">IF(FALSE,"True," &amp; IF(_xlfn.XLOOKUP("Src_CIDR_17_22",'Scoring_Config'!$A:$A,'Scoring_Config'!$D:$D,"Yes")="Yes",_xlfn.XLOOKUP("Src_CIDR_17_22",'Scoring_Config'!$A:$A,'Scoring_Config'!$C:$C,15),0),"False,0")</f>
        <v>0</v>
      </c>
      <c r="AF421" s="5" cm="1">
        <f t="array" ref="AF421">IF(TRUE,"True," &amp; IF(_xlfn.XLOOKUP("Dst_IsAny",'Scoring_Config'!$A:$A,'Scoring_Config'!$D:$D,"Yes")="Yes",_xlfn.XLOOKUP("Dst_IsAny",'Scoring_Config'!$A:$A,'Scoring_Config'!$C:$C,25),0),"False,0")</f>
        <v>0</v>
      </c>
      <c r="AG421" s="4" cm="1">
        <f t="array" ref="AG421">IF(FALSE,"True," &amp; IF(_xlfn.XLOOKUP("Dst_CIDR_Le_16",'Scoring_Config'!$A:$A,'Scoring_Config'!$D:$D,"Yes")="Yes",_xlfn.XLOOKUP("Dst_CIDR_Le_16",'Scoring_Config'!$A:$A,'Scoring_Config'!$C:$C,25),0),"False,0")</f>
        <v>0</v>
      </c>
      <c r="AH421" s="4" cm="1">
        <f t="array" ref="AH421">IF(FALSE,"True," &amp; IF(_xlfn.XLOOKUP("Dst_CIDR_17_22",'Scoring_Config'!$A:$A,'Scoring_Config'!$D:$D,"Yes")="Yes",_xlfn.XLOOKUP("Dst_CIDR_17_22",'Scoring_Config'!$A:$A,'Scoring_Config'!$C:$C,15),0),"False,0")</f>
        <v>0</v>
      </c>
      <c r="AI421" s="4" cm="1">
        <f t="array" ref="AI421">IF(FALSE,"True," &amp; IF(_xlfn.XLOOKUP("SrcZone_IsAny",'Scoring_Config'!$A:$A,'Scoring_Config'!$D:$D,"Yes")="Yes",_xlfn.XLOOKUP("SrcZone_IsAny",'Scoring_Config'!$A:$A,'Scoring_Config'!$C:$C,5),0),"False,0")</f>
        <v>0</v>
      </c>
      <c r="AJ421" s="4" cm="1">
        <f t="array" ref="AJ421">IF(FALSE,"True," &amp; IF(_xlfn.XLOOKUP("DstZone_IsAny",'Scoring_Config'!$A:$A,'Scoring_Config'!$D:$D,"Yes")="Yes",_xlfn.XLOOKUP("DstZone_IsAny",'Scoring_Config'!$A:$A,'Scoring_Config'!$C:$C,5),0),"False,0")</f>
        <v>0</v>
      </c>
      <c r="AK421" s="4" cm="1">
        <f t="array" ref="AK42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1" s="5" cm="1">
        <f t="array" ref="AL421">IF(TRUE,"True," &amp; IF(_xlfn.XLOOKUP("App_Any_OR_RangeGt1000",'Scoring_Config'!$A:$A,'Scoring_Config'!$D:$D,"Yes")="Yes",_xlfn.XLOOKUP("App_Any_OR_RangeGt1000",'Scoring_Config'!$A:$A,'Scoring_Config'!$C:$C,25),0),"False,0")</f>
        <v>0</v>
      </c>
      <c r="AM421" s="5" cm="1">
        <f t="array" ref="AM421">IF(TRUE,"True," &amp; IF(_xlfn.XLOOKUP("Service_Insecure_Match",'Scoring_Config'!$A:$A,'Scoring_Config'!$D:$D,"Yes")="Yes",_xlfn.XLOOKUP("Service_Insecure_Match",'Scoring_Config'!$A:$A,'Scoring_Config'!$C:$C,20),0),"False,0")</f>
        <v>0</v>
      </c>
      <c r="AN421" s="4" cm="1">
        <f t="array" ref="AN421">IF(FALSE,"True," &amp; IF(_xlfn.XLOOKUP("Risky_Inbound",'Scoring_Config'!$A:$A,'Scoring_Config'!$D:$D,"Yes")="Yes",_xlfn.XLOOKUP("Risky_Inbound",'Scoring_Config'!$A:$A,'Scoring_Config'!$C:$C,20),0),"False,0")</f>
        <v>0</v>
      </c>
      <c r="AO421" s="4" cm="1">
        <f t="array" ref="AO421">IF(FALSE,"True," &amp; IF(_xlfn.XLOOKUP("Risky_Outbound",'Scoring_Config'!$A:$A,'Scoring_Config'!$D:$D,"Yes")="Yes",_xlfn.XLOOKUP("Risky_Outbound",'Scoring_Config'!$A:$A,'Scoring_Config'!$C:$C,10),0),"False,0")</f>
        <v>0</v>
      </c>
      <c r="AP421" s="5" t="s">
        <v>2595</v>
      </c>
      <c r="AQ421" s="5" cm="1">
        <f t="array" ref="AQ42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1" s="5" t="s">
        <v>2598</v>
      </c>
      <c r="AS421" s="5" t="s">
        <v>2595</v>
      </c>
      <c r="AT421" s="4" t="s">
        <v>2592</v>
      </c>
      <c r="AU421" s="4" cm="1">
        <f t="array" ref="AU421">IF(FALSE,"True," &amp; IF(_xlfn.XLOOKUP("Action_IsDenyOrDrop",'Scoring_Config'!$A:$A,'Scoring_Config'!$D:$D,"Yes")="Yes",_xlfn.XLOOKUP("Action_IsDenyOrDrop",'Scoring_Config'!$A:$A,'Scoring_Config'!$C:$C,0),0),"False,0")</f>
        <v>0</v>
      </c>
      <c r="AV421" s="4"/>
      <c r="AW421" s="4" cm="1">
        <f t="array" ref="AW421">IF(FALSE,"True," &amp; IF(_xlfn.XLOOKUP("Migrate_Insecure",'Scoring_Config'!$A:$A,'Scoring_Config'!$D:$D,"Yes")="Yes",_xlfn.XLOOKUP("Migrate_Insecure",'Scoring_Config'!$A:$A,'Scoring_Config'!$C:$C,15),0),"False,0")</f>
        <v>0</v>
      </c>
      <c r="AX421" s="4"/>
      <c r="AY421" s="4" cm="1">
        <f t="array" ref="AY421">IF(FALSE,"True," &amp; IF(_xlfn.XLOOKUP("Migrate_Other_Ports",'Scoring_Config'!$A:$A,'Scoring_Config'!$D:$D,"Yes")="Yes",_xlfn.XLOOKUP("Migrate_Other_Ports",'Scoring_Config'!$A:$A,'Scoring_Config'!$C:$C,5),0),"False,0")</f>
        <v>0</v>
      </c>
      <c r="AZ421" s="4" cm="1">
        <f t="array" ref="AZ421">IF(LEFT(AU421,4)="True",0,(IF(LEFT(AC421,4)="True",IF(_xlfn.XLOOKUP("Src_IsAny",'Scoring_Config'!$A:$A,'Scoring_Config'!$D:$D,"Yes")="Yes",_xlfn.XLOOKUP("Src_IsAny",'Scoring_Config'!$A:$A,'Scoring_Config'!$C:$C,25),0),0)+IF(LEFT(AD421,4)="True",IF(_xlfn.XLOOKUP("Src_CIDR_Le_16",'Scoring_Config'!$A:$A,'Scoring_Config'!$D:$D,"Yes")="Yes",_xlfn.XLOOKUP("Src_CIDR_Le_16",'Scoring_Config'!$A:$A,'Scoring_Config'!$C:$C,25),0),0)+IF(LEFT(AE421,4)="True",IF(_xlfn.XLOOKUP("Src_CIDR_17_22",'Scoring_Config'!$A:$A,'Scoring_Config'!$D:$D,"Yes")="Yes",_xlfn.XLOOKUP("Src_CIDR_17_22",'Scoring_Config'!$A:$A,'Scoring_Config'!$C:$C,15),0),0)+IF(LEFT(AF421,4)="True",IF(_xlfn.XLOOKUP("Dst_IsAny",'Scoring_Config'!$A:$A,'Scoring_Config'!$D:$D,"Yes")="Yes",_xlfn.XLOOKUP("Dst_IsAny",'Scoring_Config'!$A:$A,'Scoring_Config'!$C:$C,25),0),0)+IF(LEFT(AG421,4)="True",IF(_xlfn.XLOOKUP("Dst_CIDR_Le_16",'Scoring_Config'!$A:$A,'Scoring_Config'!$D:$D,"Yes")="Yes",_xlfn.XLOOKUP("Dst_CIDR_Le_16",'Scoring_Config'!$A:$A,'Scoring_Config'!$C:$C,25),0),0)+IF(LEFT(AH421,4)="True",IF(_xlfn.XLOOKUP("Dst_CIDR_17_22",'Scoring_Config'!$A:$A,'Scoring_Config'!$D:$D,"Yes")="Yes",_xlfn.XLOOKUP("Dst_CIDR_17_22",'Scoring_Config'!$A:$A,'Scoring_Config'!$C:$C,15),0),0)+IF(LEFT(AI421,4)="True",IF(_xlfn.XLOOKUP("SrcZone_IsAny",'Scoring_Config'!$A:$A,'Scoring_Config'!$D:$D,"Yes")="Yes",_xlfn.XLOOKUP("SrcZone_IsAny",'Scoring_Config'!$A:$A,'Scoring_Config'!$C:$C,5),0),0)+IF(LEFT(AJ421,4)="True",IF(_xlfn.XLOOKUP("DstZone_IsAny",'Scoring_Config'!$A:$A,'Scoring_Config'!$D:$D,"Yes")="Yes",_xlfn.XLOOKUP("DstZone_IsAny",'Scoring_Config'!$A:$A,'Scoring_Config'!$C:$C,5),0),0)+IF(LEFT(AK421,4)="True",IF(_xlfn.XLOOKUP("Service_Any_OR_RangeGt1000",'Scoring_Config'!$A:$A,'Scoring_Config'!$D:$D,"Yes")="Yes",_xlfn.XLOOKUP("Service_Any_OR_RangeGt1000",'Scoring_Config'!$A:$A,'Scoring_Config'!$C:$C,25),0),0)+IF(LEFT(AL421,4)="True",IF(_xlfn.XLOOKUP("App_Any_OR_RangeGt1000",'Scoring_Config'!$A:$A,'Scoring_Config'!$D:$D,"Yes")="Yes",_xlfn.XLOOKUP("App_Any_OR_RangeGt1000",'Scoring_Config'!$A:$A,'Scoring_Config'!$C:$C,25),0),0)+IF(LEFT(AM421,4)="True",IF(_xlfn.XLOOKUP("Service_Insecure_Match",'Scoring_Config'!$A:$A,'Scoring_Config'!$D:$D,"Yes")="Yes",_xlfn.XLOOKUP("Service_Insecure_Match",'Scoring_Config'!$A:$A,'Scoring_Config'!$C:$C,20),0),0)+IF(LEFT(AN421,4)="True",IF(_xlfn.XLOOKUP("Risky_Inbound",'Scoring_Config'!$A:$A,'Scoring_Config'!$D:$D,"Yes")="Yes",_xlfn.XLOOKUP("Risky_Inbound",'Scoring_Config'!$A:$A,'Scoring_Config'!$C:$C,20),0),0)+IF(LEFT(AO421,4)="True",IF(_xlfn.XLOOKUP("Risky_Outbound",'Scoring_Config'!$A:$A,'Scoring_Config'!$D:$D,"Yes")="Yes",_xlfn.XLOOKUP("Risky_Outbound",'Scoring_Config'!$A:$A,'Scoring_Config'!$C:$C,10),0),0)+IF(LEFT(AW421,4)="True",IF(_xlfn.XLOOKUP("Migrate_Insecure",'Scoring_Config'!$A:$A,'Scoring_Config'!$D:$D,"Yes")="Yes",_xlfn.XLOOKUP("Migrate_Insecure",'Scoring_Config'!$A:$A,'Scoring_Config'!$C:$C,15),0),0)+IF(LEFT(AY421,4)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421,FIND(",",AP421)+1,100)),0)+IF(LEFT(AQ421,4)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421,FIND(",",AR421)+1,100)),0)+IF(_xlfn.XLOOKUP("Profile_Scoring",'Scoring_Config'!$A:$A,'Scoring_Config'!$D:$D,"Yes")="Yes",VALUE(MID(AS421,FIND(",",AS421)+1,100)),0)+IF(_xlfn.XLOOKUP("Options_Scoring",'Scoring_Config'!$A:$A,'Scoring_Config'!$D:$D,"Yes")="Yes",VALUE(MID(AT421,FIND(",",AT421)+1,100)),0)))</f>
        <v>0</v>
      </c>
    </row>
    <row r="422" spans="1:52">
      <c r="A422" s="3" t="s">
        <v>55</v>
      </c>
      <c r="B422" s="3" t="s">
        <v>117</v>
      </c>
      <c r="C422" s="3" t="s">
        <v>332</v>
      </c>
      <c r="D422" s="3"/>
      <c r="E422" s="3" t="s">
        <v>359</v>
      </c>
      <c r="F422" s="3" t="s">
        <v>363</v>
      </c>
      <c r="G422" s="3" t="s">
        <v>365</v>
      </c>
      <c r="H422" s="3" t="s">
        <v>365</v>
      </c>
      <c r="I422" s="3" t="s">
        <v>622</v>
      </c>
      <c r="J422" s="3" t="s">
        <v>360</v>
      </c>
      <c r="K422" s="3" t="s">
        <v>516</v>
      </c>
      <c r="L422" s="3" t="s">
        <v>609</v>
      </c>
      <c r="M422" s="3" t="s">
        <v>790</v>
      </c>
      <c r="N422" s="3" t="s">
        <v>791</v>
      </c>
      <c r="O422" s="4" t="s">
        <v>823</v>
      </c>
      <c r="P422" s="3" t="s">
        <v>884</v>
      </c>
      <c r="Q422" s="3" t="s">
        <v>905</v>
      </c>
      <c r="R422" s="3" t="s">
        <v>908</v>
      </c>
      <c r="S422" s="3" t="s">
        <v>914</v>
      </c>
      <c r="T422" s="3" t="s">
        <v>919</v>
      </c>
      <c r="U422" s="3" t="s">
        <v>1150</v>
      </c>
      <c r="V422" s="3" t="s">
        <v>1387</v>
      </c>
      <c r="W422" s="3" t="s">
        <v>941</v>
      </c>
      <c r="X422" s="3" t="s">
        <v>2026</v>
      </c>
      <c r="Y422" s="3" t="s">
        <v>2495</v>
      </c>
      <c r="Z422" s="3"/>
      <c r="AA422" s="3"/>
      <c r="AB422" s="3"/>
      <c r="AC422" s="5" cm="1">
        <f t="array" ref="AC422">IF(TRUE,"True," &amp; IF(_xlfn.XLOOKUP("Src_IsAny",'Scoring_Config'!$A:$A,'Scoring_Config'!$D:$D,"Yes")="Yes",_xlfn.XLOOKUP("Src_IsAny",'Scoring_Config'!$A:$A,'Scoring_Config'!$C:$C,25),0),"False,0")</f>
        <v>0</v>
      </c>
      <c r="AD422" s="4" cm="1">
        <f t="array" ref="AD422">IF(FALSE,"True," &amp; IF(_xlfn.XLOOKUP("Src_CIDR_Le_16",'Scoring_Config'!$A:$A,'Scoring_Config'!$D:$D,"Yes")="Yes",_xlfn.XLOOKUP("Src_CIDR_Le_16",'Scoring_Config'!$A:$A,'Scoring_Config'!$C:$C,25),0),"False,0")</f>
        <v>0</v>
      </c>
      <c r="AE422" s="4" cm="1">
        <f t="array" ref="AE422">IF(FALSE,"True," &amp; IF(_xlfn.XLOOKUP("Src_CIDR_17_22",'Scoring_Config'!$A:$A,'Scoring_Config'!$D:$D,"Yes")="Yes",_xlfn.XLOOKUP("Src_CIDR_17_22",'Scoring_Config'!$A:$A,'Scoring_Config'!$C:$C,15),0),"False,0")</f>
        <v>0</v>
      </c>
      <c r="AF422" s="4" cm="1">
        <f t="array" ref="AF422">IF(FALSE,"True," &amp; IF(_xlfn.XLOOKUP("Dst_IsAny",'Scoring_Config'!$A:$A,'Scoring_Config'!$D:$D,"Yes")="Yes",_xlfn.XLOOKUP("Dst_IsAny",'Scoring_Config'!$A:$A,'Scoring_Config'!$C:$C,25),0),"False,0")</f>
        <v>0</v>
      </c>
      <c r="AG422" s="5" cm="1">
        <f t="array" ref="AG422">IF(TRUE,"True," &amp; IF(_xlfn.XLOOKUP("Dst_CIDR_Le_16",'Scoring_Config'!$A:$A,'Scoring_Config'!$D:$D,"Yes")="Yes",_xlfn.XLOOKUP("Dst_CIDR_Le_16",'Scoring_Config'!$A:$A,'Scoring_Config'!$C:$C,25),0),"False,0")</f>
        <v>0</v>
      </c>
      <c r="AH422" s="4" cm="1">
        <f t="array" ref="AH422">IF(FALSE,"True," &amp; IF(_xlfn.XLOOKUP("Dst_CIDR_17_22",'Scoring_Config'!$A:$A,'Scoring_Config'!$D:$D,"Yes")="Yes",_xlfn.XLOOKUP("Dst_CIDR_17_22",'Scoring_Config'!$A:$A,'Scoring_Config'!$C:$C,15),0),"False,0")</f>
        <v>0</v>
      </c>
      <c r="AI422" s="4" cm="1">
        <f t="array" ref="AI422">IF(FALSE,"True," &amp; IF(_xlfn.XLOOKUP("SrcZone_IsAny",'Scoring_Config'!$A:$A,'Scoring_Config'!$D:$D,"Yes")="Yes",_xlfn.XLOOKUP("SrcZone_IsAny",'Scoring_Config'!$A:$A,'Scoring_Config'!$C:$C,5),0),"False,0")</f>
        <v>0</v>
      </c>
      <c r="AJ422" s="4" cm="1">
        <f t="array" ref="AJ422">IF(FALSE,"True," &amp; IF(_xlfn.XLOOKUP("DstZone_IsAny",'Scoring_Config'!$A:$A,'Scoring_Config'!$D:$D,"Yes")="Yes",_xlfn.XLOOKUP("DstZone_IsAny",'Scoring_Config'!$A:$A,'Scoring_Config'!$C:$C,5),0),"False,0")</f>
        <v>0</v>
      </c>
      <c r="AK422" s="4" cm="1">
        <f t="array" ref="AK42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2" s="5" cm="1">
        <f t="array" ref="AL422">IF(TRUE,"True," &amp; IF(_xlfn.XLOOKUP("App_Any_OR_RangeGt1000",'Scoring_Config'!$A:$A,'Scoring_Config'!$D:$D,"Yes")="Yes",_xlfn.XLOOKUP("App_Any_OR_RangeGt1000",'Scoring_Config'!$A:$A,'Scoring_Config'!$C:$C,25),0),"False,0")</f>
        <v>0</v>
      </c>
      <c r="AM422" s="5" cm="1">
        <f t="array" ref="AM422">IF(TRUE,"True," &amp; IF(_xlfn.XLOOKUP("Service_Insecure_Match",'Scoring_Config'!$A:$A,'Scoring_Config'!$D:$D,"Yes")="Yes",_xlfn.XLOOKUP("Service_Insecure_Match",'Scoring_Config'!$A:$A,'Scoring_Config'!$C:$C,20),0),"False,0")</f>
        <v>0</v>
      </c>
      <c r="AN422" s="4" cm="1">
        <f t="array" ref="AN422">IF(FALSE,"True," &amp; IF(_xlfn.XLOOKUP("Risky_Inbound",'Scoring_Config'!$A:$A,'Scoring_Config'!$D:$D,"Yes")="Yes",_xlfn.XLOOKUP("Risky_Inbound",'Scoring_Config'!$A:$A,'Scoring_Config'!$C:$C,20),0),"False,0")</f>
        <v>0</v>
      </c>
      <c r="AO422" s="4" cm="1">
        <f t="array" ref="AO422">IF(FALSE,"True," &amp; IF(_xlfn.XLOOKUP("Risky_Outbound",'Scoring_Config'!$A:$A,'Scoring_Config'!$D:$D,"Yes")="Yes",_xlfn.XLOOKUP("Risky_Outbound",'Scoring_Config'!$A:$A,'Scoring_Config'!$C:$C,10),0),"False,0")</f>
        <v>0</v>
      </c>
      <c r="AP422" s="5" t="s">
        <v>2595</v>
      </c>
      <c r="AQ422" s="5" cm="1">
        <f t="array" ref="AQ42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2" s="5" t="s">
        <v>2598</v>
      </c>
      <c r="AS422" s="4" t="s">
        <v>2592</v>
      </c>
      <c r="AT422" s="4" t="s">
        <v>2592</v>
      </c>
      <c r="AU422" s="4" cm="1">
        <f t="array" ref="AU422">IF(FALSE,"True," &amp; IF(_xlfn.XLOOKUP("Action_IsDenyOrDrop",'Scoring_Config'!$A:$A,'Scoring_Config'!$D:$D,"Yes")="Yes",_xlfn.XLOOKUP("Action_IsDenyOrDrop",'Scoring_Config'!$A:$A,'Scoring_Config'!$C:$C,0),0),"False,0")</f>
        <v>0</v>
      </c>
      <c r="AV422" s="4"/>
      <c r="AW422" s="4" cm="1">
        <f t="array" ref="AW422">IF(FALSE,"True," &amp; IF(_xlfn.XLOOKUP("Migrate_Insecure",'Scoring_Config'!$A:$A,'Scoring_Config'!$D:$D,"Yes")="Yes",_xlfn.XLOOKUP("Migrate_Insecure",'Scoring_Config'!$A:$A,'Scoring_Config'!$C:$C,15),0),"False,0")</f>
        <v>0</v>
      </c>
      <c r="AX422" s="4"/>
      <c r="AY422" s="4" cm="1">
        <f t="array" ref="AY422">IF(FALSE,"True," &amp; IF(_xlfn.XLOOKUP("Migrate_Other_Ports",'Scoring_Config'!$A:$A,'Scoring_Config'!$D:$D,"Yes")="Yes",_xlfn.XLOOKUP("Migrate_Other_Ports",'Scoring_Config'!$A:$A,'Scoring_Config'!$C:$C,5),0),"False,0")</f>
        <v>0</v>
      </c>
      <c r="AZ422" s="4" cm="1">
        <f t="array" ref="AZ422">IF(LEFT(AU422,4)="True",0,(IF(LEFT(AC422,4)="True",IF(_xlfn.XLOOKUP("Src_IsAny",'Scoring_Config'!$A:$A,'Scoring_Config'!$D:$D,"Yes")="Yes",_xlfn.XLOOKUP("Src_IsAny",'Scoring_Config'!$A:$A,'Scoring_Config'!$C:$C,25),0),0)+IF(LEFT(AD422,4)="True",IF(_xlfn.XLOOKUP("Src_CIDR_Le_16",'Scoring_Config'!$A:$A,'Scoring_Config'!$D:$D,"Yes")="Yes",_xlfn.XLOOKUP("Src_CIDR_Le_16",'Scoring_Config'!$A:$A,'Scoring_Config'!$C:$C,25),0),0)+IF(LEFT(AE422,4)="True",IF(_xlfn.XLOOKUP("Src_CIDR_17_22",'Scoring_Config'!$A:$A,'Scoring_Config'!$D:$D,"Yes")="Yes",_xlfn.XLOOKUP("Src_CIDR_17_22",'Scoring_Config'!$A:$A,'Scoring_Config'!$C:$C,15),0),0)+IF(LEFT(AF422,4)="True",IF(_xlfn.XLOOKUP("Dst_IsAny",'Scoring_Config'!$A:$A,'Scoring_Config'!$D:$D,"Yes")="Yes",_xlfn.XLOOKUP("Dst_IsAny",'Scoring_Config'!$A:$A,'Scoring_Config'!$C:$C,25),0),0)+IF(LEFT(AG422,4)="True",IF(_xlfn.XLOOKUP("Dst_CIDR_Le_16",'Scoring_Config'!$A:$A,'Scoring_Config'!$D:$D,"Yes")="Yes",_xlfn.XLOOKUP("Dst_CIDR_Le_16",'Scoring_Config'!$A:$A,'Scoring_Config'!$C:$C,25),0),0)+IF(LEFT(AH422,4)="True",IF(_xlfn.XLOOKUP("Dst_CIDR_17_22",'Scoring_Config'!$A:$A,'Scoring_Config'!$D:$D,"Yes")="Yes",_xlfn.XLOOKUP("Dst_CIDR_17_22",'Scoring_Config'!$A:$A,'Scoring_Config'!$C:$C,15),0),0)+IF(LEFT(AI422,4)="True",IF(_xlfn.XLOOKUP("SrcZone_IsAny",'Scoring_Config'!$A:$A,'Scoring_Config'!$D:$D,"Yes")="Yes",_xlfn.XLOOKUP("SrcZone_IsAny",'Scoring_Config'!$A:$A,'Scoring_Config'!$C:$C,5),0),0)+IF(LEFT(AJ422,4)="True",IF(_xlfn.XLOOKUP("DstZone_IsAny",'Scoring_Config'!$A:$A,'Scoring_Config'!$D:$D,"Yes")="Yes",_xlfn.XLOOKUP("DstZone_IsAny",'Scoring_Config'!$A:$A,'Scoring_Config'!$C:$C,5),0),0)+IF(LEFT(AK422,4)="True",IF(_xlfn.XLOOKUP("Service_Any_OR_RangeGt1000",'Scoring_Config'!$A:$A,'Scoring_Config'!$D:$D,"Yes")="Yes",_xlfn.XLOOKUP("Service_Any_OR_RangeGt1000",'Scoring_Config'!$A:$A,'Scoring_Config'!$C:$C,25),0),0)+IF(LEFT(AL422,4)="True",IF(_xlfn.XLOOKUP("App_Any_OR_RangeGt1000",'Scoring_Config'!$A:$A,'Scoring_Config'!$D:$D,"Yes")="Yes",_xlfn.XLOOKUP("App_Any_OR_RangeGt1000",'Scoring_Config'!$A:$A,'Scoring_Config'!$C:$C,25),0),0)+IF(LEFT(AM422,4)="True",IF(_xlfn.XLOOKUP("Service_Insecure_Match",'Scoring_Config'!$A:$A,'Scoring_Config'!$D:$D,"Yes")="Yes",_xlfn.XLOOKUP("Service_Insecure_Match",'Scoring_Config'!$A:$A,'Scoring_Config'!$C:$C,20),0),0)+IF(LEFT(AN422,4)="True",IF(_xlfn.XLOOKUP("Risky_Inbound",'Scoring_Config'!$A:$A,'Scoring_Config'!$D:$D,"Yes")="Yes",_xlfn.XLOOKUP("Risky_Inbound",'Scoring_Config'!$A:$A,'Scoring_Config'!$C:$C,20),0),0)+IF(LEFT(AO422,4)="True",IF(_xlfn.XLOOKUP("Risky_Outbound",'Scoring_Config'!$A:$A,'Scoring_Config'!$D:$D,"Yes")="Yes",_xlfn.XLOOKUP("Risky_Outbound",'Scoring_Config'!$A:$A,'Scoring_Config'!$C:$C,10),0),0)+IF(LEFT(AW422,4)="True",IF(_xlfn.XLOOKUP("Migrate_Insecure",'Scoring_Config'!$A:$A,'Scoring_Config'!$D:$D,"Yes")="Yes",_xlfn.XLOOKUP("Migrate_Insecure",'Scoring_Config'!$A:$A,'Scoring_Config'!$C:$C,15),0),0)+IF(LEFT(AY422,4)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422,FIND(",",AP422)+1,100)),0)+IF(LEFT(AQ422,4)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422,FIND(",",AR422)+1,100)),0)+IF(_xlfn.XLOOKUP("Profile_Scoring",'Scoring_Config'!$A:$A,'Scoring_Config'!$D:$D,"Yes")="Yes",VALUE(MID(AS422,FIND(",",AS422)+1,100)),0)+IF(_xlfn.XLOOKUP("Options_Scoring",'Scoring_Config'!$A:$A,'Scoring_Config'!$D:$D,"Yes")="Yes",VALUE(MID(AT422,FIND(",",AT422)+1,100)),0)))</f>
        <v>0</v>
      </c>
    </row>
    <row r="423" spans="1:52">
      <c r="A423" s="3" t="s">
        <v>55</v>
      </c>
      <c r="B423" s="3" t="s">
        <v>70</v>
      </c>
      <c r="C423" s="3" t="s">
        <v>332</v>
      </c>
      <c r="D423" s="3"/>
      <c r="E423" s="3" t="s">
        <v>359</v>
      </c>
      <c r="F423" s="3" t="s">
        <v>362</v>
      </c>
      <c r="G423" s="3" t="s">
        <v>526</v>
      </c>
      <c r="H423" s="3" t="s">
        <v>526</v>
      </c>
      <c r="I423" s="3" t="s">
        <v>365</v>
      </c>
      <c r="J423" s="3" t="s">
        <v>363</v>
      </c>
      <c r="K423" s="3" t="s">
        <v>533</v>
      </c>
      <c r="L423" s="3" t="s">
        <v>594</v>
      </c>
      <c r="M423" s="3" t="s">
        <v>770</v>
      </c>
      <c r="N423" s="3" t="s">
        <v>770</v>
      </c>
      <c r="O423" s="4" t="s">
        <v>827</v>
      </c>
      <c r="P423" s="3" t="s">
        <v>888</v>
      </c>
      <c r="Q423" s="3" t="s">
        <v>905</v>
      </c>
      <c r="R423" s="3" t="s">
        <v>906</v>
      </c>
      <c r="S423" s="3" t="s">
        <v>916</v>
      </c>
      <c r="T423" s="3" t="s">
        <v>1114</v>
      </c>
      <c r="U423" s="3" t="s">
        <v>1150</v>
      </c>
      <c r="V423" s="3" t="s">
        <v>1386</v>
      </c>
      <c r="W423" s="3" t="s">
        <v>1492</v>
      </c>
      <c r="X423" s="3" t="s">
        <v>2027</v>
      </c>
      <c r="Y423" s="3" t="s">
        <v>2496</v>
      </c>
      <c r="Z423" s="3"/>
      <c r="AA423" s="3"/>
      <c r="AB423" s="3"/>
      <c r="AC423" s="4" cm="1">
        <f t="array" ref="AC423">IF(FALSE,"True," &amp; IF(_xlfn.XLOOKUP("Src_IsAny",'Scoring_Config'!$A:$A,'Scoring_Config'!$D:$D,"Yes")="Yes",_xlfn.XLOOKUP("Src_IsAny",'Scoring_Config'!$A:$A,'Scoring_Config'!$C:$C,25),0),"False,0")</f>
        <v>0</v>
      </c>
      <c r="AD423" s="4" cm="1">
        <f t="array" ref="AD423">IF(FALSE,"True," &amp; IF(_xlfn.XLOOKUP("Src_CIDR_Le_16",'Scoring_Config'!$A:$A,'Scoring_Config'!$D:$D,"Yes")="Yes",_xlfn.XLOOKUP("Src_CIDR_Le_16",'Scoring_Config'!$A:$A,'Scoring_Config'!$C:$C,25),0),"False,0")</f>
        <v>0</v>
      </c>
      <c r="AE423" s="4" cm="1">
        <f t="array" ref="AE423">IF(FALSE,"True," &amp; IF(_xlfn.XLOOKUP("Src_CIDR_17_22",'Scoring_Config'!$A:$A,'Scoring_Config'!$D:$D,"Yes")="Yes",_xlfn.XLOOKUP("Src_CIDR_17_22",'Scoring_Config'!$A:$A,'Scoring_Config'!$C:$C,15),0),"False,0")</f>
        <v>0</v>
      </c>
      <c r="AF423" s="4" cm="1">
        <f t="array" ref="AF423">IF(FALSE,"True," &amp; IF(_xlfn.XLOOKUP("Dst_IsAny",'Scoring_Config'!$A:$A,'Scoring_Config'!$D:$D,"Yes")="Yes",_xlfn.XLOOKUP("Dst_IsAny",'Scoring_Config'!$A:$A,'Scoring_Config'!$C:$C,25),0),"False,0")</f>
        <v>0</v>
      </c>
      <c r="AG423" s="5" cm="1">
        <f t="array" ref="AG423">IF(TRUE,"True," &amp; IF(_xlfn.XLOOKUP("Dst_CIDR_Le_16",'Scoring_Config'!$A:$A,'Scoring_Config'!$D:$D,"Yes")="Yes",_xlfn.XLOOKUP("Dst_CIDR_Le_16",'Scoring_Config'!$A:$A,'Scoring_Config'!$C:$C,25),0),"False,0")</f>
        <v>0</v>
      </c>
      <c r="AH423" s="4" cm="1">
        <f t="array" ref="AH423">IF(FALSE,"True," &amp; IF(_xlfn.XLOOKUP("Dst_CIDR_17_22",'Scoring_Config'!$A:$A,'Scoring_Config'!$D:$D,"Yes")="Yes",_xlfn.XLOOKUP("Dst_CIDR_17_22",'Scoring_Config'!$A:$A,'Scoring_Config'!$C:$C,15),0),"False,0")</f>
        <v>0</v>
      </c>
      <c r="AI423" s="4" cm="1">
        <f t="array" ref="AI423">IF(FALSE,"True," &amp; IF(_xlfn.XLOOKUP("SrcZone_IsAny",'Scoring_Config'!$A:$A,'Scoring_Config'!$D:$D,"Yes")="Yes",_xlfn.XLOOKUP("SrcZone_IsAny",'Scoring_Config'!$A:$A,'Scoring_Config'!$C:$C,5),0),"False,0")</f>
        <v>0</v>
      </c>
      <c r="AJ423" s="4" cm="1">
        <f t="array" ref="AJ423">IF(FALSE,"True," &amp; IF(_xlfn.XLOOKUP("DstZone_IsAny",'Scoring_Config'!$A:$A,'Scoring_Config'!$D:$D,"Yes")="Yes",_xlfn.XLOOKUP("DstZone_IsAny",'Scoring_Config'!$A:$A,'Scoring_Config'!$C:$C,5),0),"False,0")</f>
        <v>0</v>
      </c>
      <c r="AK423" s="4" cm="1">
        <f t="array" ref="AK42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3" s="4" cm="1">
        <f t="array" ref="AL423">IF(FALSE,"True," &amp; IF(_xlfn.XLOOKUP("App_Any_OR_RangeGt1000",'Scoring_Config'!$A:$A,'Scoring_Config'!$D:$D,"Yes")="Yes",_xlfn.XLOOKUP("App_Any_OR_RangeGt1000",'Scoring_Config'!$A:$A,'Scoring_Config'!$C:$C,25),0),"False,0")</f>
        <v>0</v>
      </c>
      <c r="AM423" s="5" cm="1">
        <f t="array" ref="AM423">IF(TRUE,"True," &amp; IF(_xlfn.XLOOKUP("Service_Insecure_Match",'Scoring_Config'!$A:$A,'Scoring_Config'!$D:$D,"Yes")="Yes",_xlfn.XLOOKUP("Service_Insecure_Match",'Scoring_Config'!$A:$A,'Scoring_Config'!$C:$C,20),0),"False,0")</f>
        <v>0</v>
      </c>
      <c r="AN423" s="4" cm="1">
        <f t="array" ref="AN423">IF(FALSE,"True," &amp; IF(_xlfn.XLOOKUP("Risky_Inbound",'Scoring_Config'!$A:$A,'Scoring_Config'!$D:$D,"Yes")="Yes",_xlfn.XLOOKUP("Risky_Inbound",'Scoring_Config'!$A:$A,'Scoring_Config'!$C:$C,20),0),"False,0")</f>
        <v>0</v>
      </c>
      <c r="AO423" s="4" cm="1">
        <f t="array" ref="AO423">IF(FALSE,"True," &amp; IF(_xlfn.XLOOKUP("Risky_Outbound",'Scoring_Config'!$A:$A,'Scoring_Config'!$D:$D,"Yes")="Yes",_xlfn.XLOOKUP("Risky_Outbound",'Scoring_Config'!$A:$A,'Scoring_Config'!$C:$C,10),0),"False,0")</f>
        <v>0</v>
      </c>
      <c r="AP423" s="5" t="s">
        <v>2595</v>
      </c>
      <c r="AQ423" s="5" cm="1">
        <f t="array" ref="AQ423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3" s="4" t="s">
        <v>2592</v>
      </c>
      <c r="AS423" s="4" t="s">
        <v>2592</v>
      </c>
      <c r="AT423" s="4" t="s">
        <v>2592</v>
      </c>
      <c r="AU423" s="4" cm="1">
        <f t="array" ref="AU423">IF(FALSE,"True," &amp; IF(_xlfn.XLOOKUP("Action_IsDenyOrDrop",'Scoring_Config'!$A:$A,'Scoring_Config'!$D:$D,"Yes")="Yes",_xlfn.XLOOKUP("Action_IsDenyOrDrop",'Scoring_Config'!$A:$A,'Scoring_Config'!$C:$C,0),0),"False,0")</f>
        <v>0</v>
      </c>
      <c r="AV423" s="4"/>
      <c r="AW423" s="4" cm="1">
        <f t="array" ref="AW423">IF(FALSE,"True," &amp; IF(_xlfn.XLOOKUP("Migrate_Insecure",'Scoring_Config'!$A:$A,'Scoring_Config'!$D:$D,"Yes")="Yes",_xlfn.XLOOKUP("Migrate_Insecure",'Scoring_Config'!$A:$A,'Scoring_Config'!$C:$C,15),0),"False,0")</f>
        <v>0</v>
      </c>
      <c r="AX423" s="4"/>
      <c r="AY423" s="4" cm="1">
        <f t="array" ref="AY423">IF(FALSE,"True," &amp; IF(_xlfn.XLOOKUP("Migrate_Other_Ports",'Scoring_Config'!$A:$A,'Scoring_Config'!$D:$D,"Yes")="Yes",_xlfn.XLOOKUP("Migrate_Other_Ports",'Scoring_Config'!$A:$A,'Scoring_Config'!$C:$C,5),0),"False,0")</f>
        <v>0</v>
      </c>
      <c r="AZ423" s="4" cm="1">
        <f t="array" ref="AZ423">IF(LEFT(AU423,4)="True",0,(IF(LEFT(AC423,4)="True",IF(_xlfn.XLOOKUP("Src_IsAny",'Scoring_Config'!$A:$A,'Scoring_Config'!$D:$D,"Yes")="Yes",_xlfn.XLOOKUP("Src_IsAny",'Scoring_Config'!$A:$A,'Scoring_Config'!$C:$C,25),0),0)+IF(LEFT(AD423,4)="True",IF(_xlfn.XLOOKUP("Src_CIDR_Le_16",'Scoring_Config'!$A:$A,'Scoring_Config'!$D:$D,"Yes")="Yes",_xlfn.XLOOKUP("Src_CIDR_Le_16",'Scoring_Config'!$A:$A,'Scoring_Config'!$C:$C,25),0),0)+IF(LEFT(AE423,4)="True",IF(_xlfn.XLOOKUP("Src_CIDR_17_22",'Scoring_Config'!$A:$A,'Scoring_Config'!$D:$D,"Yes")="Yes",_xlfn.XLOOKUP("Src_CIDR_17_22",'Scoring_Config'!$A:$A,'Scoring_Config'!$C:$C,15),0),0)+IF(LEFT(AF423,4)="True",IF(_xlfn.XLOOKUP("Dst_IsAny",'Scoring_Config'!$A:$A,'Scoring_Config'!$D:$D,"Yes")="Yes",_xlfn.XLOOKUP("Dst_IsAny",'Scoring_Config'!$A:$A,'Scoring_Config'!$C:$C,25),0),0)+IF(LEFT(AG423,4)="True",IF(_xlfn.XLOOKUP("Dst_CIDR_Le_16",'Scoring_Config'!$A:$A,'Scoring_Config'!$D:$D,"Yes")="Yes",_xlfn.XLOOKUP("Dst_CIDR_Le_16",'Scoring_Config'!$A:$A,'Scoring_Config'!$C:$C,25),0),0)+IF(LEFT(AH423,4)="True",IF(_xlfn.XLOOKUP("Dst_CIDR_17_22",'Scoring_Config'!$A:$A,'Scoring_Config'!$D:$D,"Yes")="Yes",_xlfn.XLOOKUP("Dst_CIDR_17_22",'Scoring_Config'!$A:$A,'Scoring_Config'!$C:$C,15),0),0)+IF(LEFT(AI423,4)="True",IF(_xlfn.XLOOKUP("SrcZone_IsAny",'Scoring_Config'!$A:$A,'Scoring_Config'!$D:$D,"Yes")="Yes",_xlfn.XLOOKUP("SrcZone_IsAny",'Scoring_Config'!$A:$A,'Scoring_Config'!$C:$C,5),0),0)+IF(LEFT(AJ423,4)="True",IF(_xlfn.XLOOKUP("DstZone_IsAny",'Scoring_Config'!$A:$A,'Scoring_Config'!$D:$D,"Yes")="Yes",_xlfn.XLOOKUP("DstZone_IsAny",'Scoring_Config'!$A:$A,'Scoring_Config'!$C:$C,5),0),0)+IF(LEFT(AK423,4)="True",IF(_xlfn.XLOOKUP("Service_Any_OR_RangeGt1000",'Scoring_Config'!$A:$A,'Scoring_Config'!$D:$D,"Yes")="Yes",_xlfn.XLOOKUP("Service_Any_OR_RangeGt1000",'Scoring_Config'!$A:$A,'Scoring_Config'!$C:$C,25),0),0)+IF(LEFT(AL423,4)="True",IF(_xlfn.XLOOKUP("App_Any_OR_RangeGt1000",'Scoring_Config'!$A:$A,'Scoring_Config'!$D:$D,"Yes")="Yes",_xlfn.XLOOKUP("App_Any_OR_RangeGt1000",'Scoring_Config'!$A:$A,'Scoring_Config'!$C:$C,25),0),0)+IF(LEFT(AM423,4)="True",IF(_xlfn.XLOOKUP("Service_Insecure_Match",'Scoring_Config'!$A:$A,'Scoring_Config'!$D:$D,"Yes")="Yes",_xlfn.XLOOKUP("Service_Insecure_Match",'Scoring_Config'!$A:$A,'Scoring_Config'!$C:$C,20),0),0)+IF(LEFT(AN423,4)="True",IF(_xlfn.XLOOKUP("Risky_Inbound",'Scoring_Config'!$A:$A,'Scoring_Config'!$D:$D,"Yes")="Yes",_xlfn.XLOOKUP("Risky_Inbound",'Scoring_Config'!$A:$A,'Scoring_Config'!$C:$C,20),0),0)+IF(LEFT(AO423,4)="True",IF(_xlfn.XLOOKUP("Risky_Outbound",'Scoring_Config'!$A:$A,'Scoring_Config'!$D:$D,"Yes")="Yes",_xlfn.XLOOKUP("Risky_Outbound",'Scoring_Config'!$A:$A,'Scoring_Config'!$C:$C,10),0),0)+IF(LEFT(AW423,4)="True",IF(_xlfn.XLOOKUP("Migrate_Insecure",'Scoring_Config'!$A:$A,'Scoring_Config'!$D:$D,"Yes")="Yes",_xlfn.XLOOKUP("Migrate_Insecure",'Scoring_Config'!$A:$A,'Scoring_Config'!$C:$C,15),0),0)+IF(LEFT(AY423,4)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423,FIND(",",AP423)+1,100)),0)+IF(LEFT(AQ423,4)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423,FIND(",",AR423)+1,100)),0)+IF(_xlfn.XLOOKUP("Profile_Scoring",'Scoring_Config'!$A:$A,'Scoring_Config'!$D:$D,"Yes")="Yes",VALUE(MID(AS423,FIND(",",AS423)+1,100)),0)+IF(_xlfn.XLOOKUP("Options_Scoring",'Scoring_Config'!$A:$A,'Scoring_Config'!$D:$D,"Yes")="Yes",VALUE(MID(AT423,FIND(",",AT423)+1,100)),0)))</f>
        <v>0</v>
      </c>
    </row>
    <row r="424" spans="1:52">
      <c r="A424" s="3" t="s">
        <v>55</v>
      </c>
      <c r="B424" s="3" t="s">
        <v>183</v>
      </c>
      <c r="C424" s="3" t="s">
        <v>332</v>
      </c>
      <c r="D424" s="3"/>
      <c r="E424" s="3" t="s">
        <v>359</v>
      </c>
      <c r="F424" s="3" t="s">
        <v>361</v>
      </c>
      <c r="G424" s="3" t="s">
        <v>365</v>
      </c>
      <c r="H424" s="3" t="s">
        <v>365</v>
      </c>
      <c r="I424" s="3" t="s">
        <v>625</v>
      </c>
      <c r="J424" s="3" t="s">
        <v>364</v>
      </c>
      <c r="K424" s="3" t="s">
        <v>365</v>
      </c>
      <c r="L424" s="3" t="s">
        <v>365</v>
      </c>
      <c r="M424" s="3" t="s">
        <v>365</v>
      </c>
      <c r="N424" s="3" t="s">
        <v>365</v>
      </c>
      <c r="O424" s="4" t="s">
        <v>802</v>
      </c>
      <c r="P424" s="3" t="s">
        <v>863</v>
      </c>
      <c r="Q424" s="3" t="s">
        <v>905</v>
      </c>
      <c r="R424" s="3" t="s">
        <v>907</v>
      </c>
      <c r="S424" s="3" t="s">
        <v>912</v>
      </c>
      <c r="T424" s="3" t="s">
        <v>919</v>
      </c>
      <c r="U424" s="3" t="s">
        <v>1145</v>
      </c>
      <c r="V424" s="3" t="s">
        <v>1389</v>
      </c>
      <c r="W424" s="3" t="s">
        <v>1592</v>
      </c>
      <c r="X424" s="3" t="s">
        <v>2028</v>
      </c>
      <c r="Y424" s="3" t="s">
        <v>2497</v>
      </c>
      <c r="Z424" s="3"/>
      <c r="AA424" s="3"/>
      <c r="AB424" s="3"/>
      <c r="AC424" s="5" cm="1">
        <f t="array" ref="AC424">IF(TRUE,"True," &amp; IF(_xlfn.XLOOKUP("Src_IsAny",'Scoring_Config'!$A:$A,'Scoring_Config'!$D:$D,"Yes")="Yes",_xlfn.XLOOKUP("Src_IsAny",'Scoring_Config'!$A:$A,'Scoring_Config'!$C:$C,25),0),"False,0")</f>
        <v>0</v>
      </c>
      <c r="AD424" s="4" cm="1">
        <f t="array" ref="AD424">IF(FALSE,"True," &amp; IF(_xlfn.XLOOKUP("Src_CIDR_Le_16",'Scoring_Config'!$A:$A,'Scoring_Config'!$D:$D,"Yes")="Yes",_xlfn.XLOOKUP("Src_CIDR_Le_16",'Scoring_Config'!$A:$A,'Scoring_Config'!$C:$C,25),0),"False,0")</f>
        <v>0</v>
      </c>
      <c r="AE424" s="4" cm="1">
        <f t="array" ref="AE424">IF(FALSE,"True," &amp; IF(_xlfn.XLOOKUP("Src_CIDR_17_22",'Scoring_Config'!$A:$A,'Scoring_Config'!$D:$D,"Yes")="Yes",_xlfn.XLOOKUP("Src_CIDR_17_22",'Scoring_Config'!$A:$A,'Scoring_Config'!$C:$C,15),0),"False,0")</f>
        <v>0</v>
      </c>
      <c r="AF424" s="5" cm="1">
        <f t="array" ref="AF424">IF(TRUE,"True," &amp; IF(_xlfn.XLOOKUP("Dst_IsAny",'Scoring_Config'!$A:$A,'Scoring_Config'!$D:$D,"Yes")="Yes",_xlfn.XLOOKUP("Dst_IsAny",'Scoring_Config'!$A:$A,'Scoring_Config'!$C:$C,25),0),"False,0")</f>
        <v>0</v>
      </c>
      <c r="AG424" s="4" cm="1">
        <f t="array" ref="AG424">IF(FALSE,"True," &amp; IF(_xlfn.XLOOKUP("Dst_CIDR_Le_16",'Scoring_Config'!$A:$A,'Scoring_Config'!$D:$D,"Yes")="Yes",_xlfn.XLOOKUP("Dst_CIDR_Le_16",'Scoring_Config'!$A:$A,'Scoring_Config'!$C:$C,25),0),"False,0")</f>
        <v>0</v>
      </c>
      <c r="AH424" s="4" cm="1">
        <f t="array" ref="AH424">IF(FALSE,"True," &amp; IF(_xlfn.XLOOKUP("Dst_CIDR_17_22",'Scoring_Config'!$A:$A,'Scoring_Config'!$D:$D,"Yes")="Yes",_xlfn.XLOOKUP("Dst_CIDR_17_22",'Scoring_Config'!$A:$A,'Scoring_Config'!$C:$C,15),0),"False,0")</f>
        <v>0</v>
      </c>
      <c r="AI424" s="4" cm="1">
        <f t="array" ref="AI424">IF(FALSE,"True," &amp; IF(_xlfn.XLOOKUP("SrcZone_IsAny",'Scoring_Config'!$A:$A,'Scoring_Config'!$D:$D,"Yes")="Yes",_xlfn.XLOOKUP("SrcZone_IsAny",'Scoring_Config'!$A:$A,'Scoring_Config'!$C:$C,5),0),"False,0")</f>
        <v>0</v>
      </c>
      <c r="AJ424" s="4" cm="1">
        <f t="array" ref="AJ424">IF(FALSE,"True," &amp; IF(_xlfn.XLOOKUP("DstZone_IsAny",'Scoring_Config'!$A:$A,'Scoring_Config'!$D:$D,"Yes")="Yes",_xlfn.XLOOKUP("DstZone_IsAny",'Scoring_Config'!$A:$A,'Scoring_Config'!$C:$C,5),0),"False,0")</f>
        <v>0</v>
      </c>
      <c r="AK424" s="4" cm="1">
        <f t="array" ref="AK42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4" s="5" cm="1">
        <f t="array" ref="AL424">IF(TRUE,"True," &amp; IF(_xlfn.XLOOKUP("App_Any_OR_RangeGt1000",'Scoring_Config'!$A:$A,'Scoring_Config'!$D:$D,"Yes")="Yes",_xlfn.XLOOKUP("App_Any_OR_RangeGt1000",'Scoring_Config'!$A:$A,'Scoring_Config'!$C:$C,25),0),"False,0")</f>
        <v>0</v>
      </c>
      <c r="AM424" s="5" cm="1">
        <f t="array" ref="AM424">IF(TRUE,"True," &amp; IF(_xlfn.XLOOKUP("Service_Insecure_Match",'Scoring_Config'!$A:$A,'Scoring_Config'!$D:$D,"Yes")="Yes",_xlfn.XLOOKUP("Service_Insecure_Match",'Scoring_Config'!$A:$A,'Scoring_Config'!$C:$C,20),0),"False,0")</f>
        <v>0</v>
      </c>
      <c r="AN424" s="4" cm="1">
        <f t="array" ref="AN424">IF(FALSE,"True," &amp; IF(_xlfn.XLOOKUP("Risky_Inbound",'Scoring_Config'!$A:$A,'Scoring_Config'!$D:$D,"Yes")="Yes",_xlfn.XLOOKUP("Risky_Inbound",'Scoring_Config'!$A:$A,'Scoring_Config'!$C:$C,20),0),"False,0")</f>
        <v>0</v>
      </c>
      <c r="AO424" s="4" cm="1">
        <f t="array" ref="AO424">IF(FALSE,"True," &amp; IF(_xlfn.XLOOKUP("Risky_Outbound",'Scoring_Config'!$A:$A,'Scoring_Config'!$D:$D,"Yes")="Yes",_xlfn.XLOOKUP("Risky_Outbound",'Scoring_Config'!$A:$A,'Scoring_Config'!$C:$C,10),0),"False,0")</f>
        <v>0</v>
      </c>
      <c r="AP424" s="5" t="s">
        <v>2595</v>
      </c>
      <c r="AQ424" s="5" cm="1">
        <f t="array" ref="AQ42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4" s="5" t="s">
        <v>2598</v>
      </c>
      <c r="AS424" s="5" t="s">
        <v>2595</v>
      </c>
      <c r="AT424" s="4" t="s">
        <v>2592</v>
      </c>
      <c r="AU424" s="4" cm="1">
        <f t="array" ref="AU424">IF(FALSE,"True," &amp; IF(_xlfn.XLOOKUP("Action_IsDenyOrDrop",'Scoring_Config'!$A:$A,'Scoring_Config'!$D:$D,"Yes")="Yes",_xlfn.XLOOKUP("Action_IsDenyOrDrop",'Scoring_Config'!$A:$A,'Scoring_Config'!$C:$C,0),0),"False,0")</f>
        <v>0</v>
      </c>
      <c r="AV424" s="4"/>
      <c r="AW424" s="4" cm="1">
        <f t="array" ref="AW424">IF(FALSE,"True," &amp; IF(_xlfn.XLOOKUP("Migrate_Insecure",'Scoring_Config'!$A:$A,'Scoring_Config'!$D:$D,"Yes")="Yes",_xlfn.XLOOKUP("Migrate_Insecure",'Scoring_Config'!$A:$A,'Scoring_Config'!$C:$C,15),0),"False,0")</f>
        <v>0</v>
      </c>
      <c r="AX424" s="4"/>
      <c r="AY424" s="4" cm="1">
        <f t="array" ref="AY424">IF(FALSE,"True," &amp; IF(_xlfn.XLOOKUP("Migrate_Other_Ports",'Scoring_Config'!$A:$A,'Scoring_Config'!$D:$D,"Yes")="Yes",_xlfn.XLOOKUP("Migrate_Other_Ports",'Scoring_Config'!$A:$A,'Scoring_Config'!$C:$C,5),0),"False,0")</f>
        <v>0</v>
      </c>
      <c r="AZ424" s="4" cm="1">
        <f t="array" ref="AZ424">IF(LEFT(AU424,4)="True",0,(IF(LEFT(AC424,4)="True",IF(_xlfn.XLOOKUP("Src_IsAny",'Scoring_Config'!$A:$A,'Scoring_Config'!$D:$D,"Yes")="Yes",_xlfn.XLOOKUP("Src_IsAny",'Scoring_Config'!$A:$A,'Scoring_Config'!$C:$C,25),0),0)+IF(LEFT(AD424,4)="True",IF(_xlfn.XLOOKUP("Src_CIDR_Le_16",'Scoring_Config'!$A:$A,'Scoring_Config'!$D:$D,"Yes")="Yes",_xlfn.XLOOKUP("Src_CIDR_Le_16",'Scoring_Config'!$A:$A,'Scoring_Config'!$C:$C,25),0),0)+IF(LEFT(AE424,4)="True",IF(_xlfn.XLOOKUP("Src_CIDR_17_22",'Scoring_Config'!$A:$A,'Scoring_Config'!$D:$D,"Yes")="Yes",_xlfn.XLOOKUP("Src_CIDR_17_22",'Scoring_Config'!$A:$A,'Scoring_Config'!$C:$C,15),0),0)+IF(LEFT(AF424,4)="True",IF(_xlfn.XLOOKUP("Dst_IsAny",'Scoring_Config'!$A:$A,'Scoring_Config'!$D:$D,"Yes")="Yes",_xlfn.XLOOKUP("Dst_IsAny",'Scoring_Config'!$A:$A,'Scoring_Config'!$C:$C,25),0),0)+IF(LEFT(AG424,4)="True",IF(_xlfn.XLOOKUP("Dst_CIDR_Le_16",'Scoring_Config'!$A:$A,'Scoring_Config'!$D:$D,"Yes")="Yes",_xlfn.XLOOKUP("Dst_CIDR_Le_16",'Scoring_Config'!$A:$A,'Scoring_Config'!$C:$C,25),0),0)+IF(LEFT(AH424,4)="True",IF(_xlfn.XLOOKUP("Dst_CIDR_17_22",'Scoring_Config'!$A:$A,'Scoring_Config'!$D:$D,"Yes")="Yes",_xlfn.XLOOKUP("Dst_CIDR_17_22",'Scoring_Config'!$A:$A,'Scoring_Config'!$C:$C,15),0),0)+IF(LEFT(AI424,4)="True",IF(_xlfn.XLOOKUP("SrcZone_IsAny",'Scoring_Config'!$A:$A,'Scoring_Config'!$D:$D,"Yes")="Yes",_xlfn.XLOOKUP("SrcZone_IsAny",'Scoring_Config'!$A:$A,'Scoring_Config'!$C:$C,5),0),0)+IF(LEFT(AJ424,4)="True",IF(_xlfn.XLOOKUP("DstZone_IsAny",'Scoring_Config'!$A:$A,'Scoring_Config'!$D:$D,"Yes")="Yes",_xlfn.XLOOKUP("DstZone_IsAny",'Scoring_Config'!$A:$A,'Scoring_Config'!$C:$C,5),0),0)+IF(LEFT(AK424,4)="True",IF(_xlfn.XLOOKUP("Service_Any_OR_RangeGt1000",'Scoring_Config'!$A:$A,'Scoring_Config'!$D:$D,"Yes")="Yes",_xlfn.XLOOKUP("Service_Any_OR_RangeGt1000",'Scoring_Config'!$A:$A,'Scoring_Config'!$C:$C,25),0),0)+IF(LEFT(AL424,4)="True",IF(_xlfn.XLOOKUP("App_Any_OR_RangeGt1000",'Scoring_Config'!$A:$A,'Scoring_Config'!$D:$D,"Yes")="Yes",_xlfn.XLOOKUP("App_Any_OR_RangeGt1000",'Scoring_Config'!$A:$A,'Scoring_Config'!$C:$C,25),0),0)+IF(LEFT(AM424,4)="True",IF(_xlfn.XLOOKUP("Service_Insecure_Match",'Scoring_Config'!$A:$A,'Scoring_Config'!$D:$D,"Yes")="Yes",_xlfn.XLOOKUP("Service_Insecure_Match",'Scoring_Config'!$A:$A,'Scoring_Config'!$C:$C,20),0),0)+IF(LEFT(AN424,4)="True",IF(_xlfn.XLOOKUP("Risky_Inbound",'Scoring_Config'!$A:$A,'Scoring_Config'!$D:$D,"Yes")="Yes",_xlfn.XLOOKUP("Risky_Inbound",'Scoring_Config'!$A:$A,'Scoring_Config'!$C:$C,20),0),0)+IF(LEFT(AO424,4)="True",IF(_xlfn.XLOOKUP("Risky_Outbound",'Scoring_Config'!$A:$A,'Scoring_Config'!$D:$D,"Yes")="Yes",_xlfn.XLOOKUP("Risky_Outbound",'Scoring_Config'!$A:$A,'Scoring_Config'!$C:$C,10),0),0)+IF(LEFT(AW424,4)="True",IF(_xlfn.XLOOKUP("Migrate_Insecure",'Scoring_Config'!$A:$A,'Scoring_Config'!$D:$D,"Yes")="Yes",_xlfn.XLOOKUP("Migrate_Insecure",'Scoring_Config'!$A:$A,'Scoring_Config'!$C:$C,15),0),0)+IF(LEFT(AY424,4)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424,FIND(",",AP424)+1,100)),0)+IF(LEFT(AQ424,4)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424,FIND(",",AR424)+1,100)),0)+IF(_xlfn.XLOOKUP("Profile_Scoring",'Scoring_Config'!$A:$A,'Scoring_Config'!$D:$D,"Yes")="Yes",VALUE(MID(AS424,FIND(",",AS424)+1,100)),0)+IF(_xlfn.XLOOKUP("Options_Scoring",'Scoring_Config'!$A:$A,'Scoring_Config'!$D:$D,"Yes")="Yes",VALUE(MID(AT424,FIND(",",AT424)+1,100)),0)))</f>
        <v>0</v>
      </c>
    </row>
    <row r="425" spans="1:52">
      <c r="A425" s="3" t="s">
        <v>55</v>
      </c>
      <c r="B425" s="3" t="s">
        <v>309</v>
      </c>
      <c r="C425" s="3" t="s">
        <v>332</v>
      </c>
      <c r="D425" s="3"/>
      <c r="E425" s="3" t="s">
        <v>359</v>
      </c>
      <c r="F425" s="3" t="s">
        <v>362</v>
      </c>
      <c r="G425" s="3" t="s">
        <v>497</v>
      </c>
      <c r="H425" s="3" t="s">
        <v>601</v>
      </c>
      <c r="I425" s="3" t="s">
        <v>624</v>
      </c>
      <c r="J425" s="3" t="s">
        <v>360</v>
      </c>
      <c r="K425" s="3" t="s">
        <v>512</v>
      </c>
      <c r="L425" s="3" t="s">
        <v>608</v>
      </c>
      <c r="M425" s="3" t="s">
        <v>772</v>
      </c>
      <c r="N425" s="3" t="s">
        <v>794</v>
      </c>
      <c r="O425" s="4" t="s">
        <v>815</v>
      </c>
      <c r="P425" s="3" t="s">
        <v>876</v>
      </c>
      <c r="Q425" s="3" t="s">
        <v>904</v>
      </c>
      <c r="R425" s="3" t="s">
        <v>909</v>
      </c>
      <c r="S425" s="3" t="s">
        <v>907</v>
      </c>
      <c r="T425" s="3" t="s">
        <v>1115</v>
      </c>
      <c r="U425" s="3" t="s">
        <v>1361</v>
      </c>
      <c r="V425" s="3" t="s">
        <v>1389</v>
      </c>
      <c r="W425" s="3" t="s">
        <v>1497</v>
      </c>
      <c r="X425" s="3" t="s">
        <v>2029</v>
      </c>
      <c r="Y425" s="3" t="s">
        <v>2498</v>
      </c>
      <c r="Z425" s="3"/>
      <c r="AA425" s="3"/>
      <c r="AB425" s="3"/>
      <c r="AC425" s="5" cm="1">
        <f t="array" ref="AC425">IF(TRUE,"True," &amp; IF(_xlfn.XLOOKUP("Src_IsAny",'Scoring_Config'!$A:$A,'Scoring_Config'!$D:$D,"Yes")="Yes",_xlfn.XLOOKUP("Src_IsAny",'Scoring_Config'!$A:$A,'Scoring_Config'!$C:$C,25),0),"False,0")</f>
        <v>0</v>
      </c>
      <c r="AD425" s="5" cm="1">
        <f t="array" ref="AD425">IF(TRUE,"True," &amp; IF(_xlfn.XLOOKUP("Src_CIDR_Le_16",'Scoring_Config'!$A:$A,'Scoring_Config'!$D:$D,"Yes")="Yes",_xlfn.XLOOKUP("Src_CIDR_Le_16",'Scoring_Config'!$A:$A,'Scoring_Config'!$C:$C,25),0),"False,0")</f>
        <v>0</v>
      </c>
      <c r="AE425" s="4" cm="1">
        <f t="array" ref="AE425">IF(FALSE,"True," &amp; IF(_xlfn.XLOOKUP("Src_CIDR_17_22",'Scoring_Config'!$A:$A,'Scoring_Config'!$D:$D,"Yes")="Yes",_xlfn.XLOOKUP("Src_CIDR_17_22",'Scoring_Config'!$A:$A,'Scoring_Config'!$C:$C,15),0),"False,0")</f>
        <v>0</v>
      </c>
      <c r="AF425" s="5" cm="1">
        <f t="array" ref="AF425">IF(TRUE,"True," &amp; IF(_xlfn.XLOOKUP("Dst_IsAny",'Scoring_Config'!$A:$A,'Scoring_Config'!$D:$D,"Yes")="Yes",_xlfn.XLOOKUP("Dst_IsAny",'Scoring_Config'!$A:$A,'Scoring_Config'!$C:$C,25),0),"False,0")</f>
        <v>0</v>
      </c>
      <c r="AG425" s="5" cm="1">
        <f t="array" ref="AG425">IF(TRUE,"True," &amp; IF(_xlfn.XLOOKUP("Dst_CIDR_Le_16",'Scoring_Config'!$A:$A,'Scoring_Config'!$D:$D,"Yes")="Yes",_xlfn.XLOOKUP("Dst_CIDR_Le_16",'Scoring_Config'!$A:$A,'Scoring_Config'!$C:$C,25),0),"False,0")</f>
        <v>0</v>
      </c>
      <c r="AH425" s="4" cm="1">
        <f t="array" ref="AH425">IF(FALSE,"True," &amp; IF(_xlfn.XLOOKUP("Dst_CIDR_17_22",'Scoring_Config'!$A:$A,'Scoring_Config'!$D:$D,"Yes")="Yes",_xlfn.XLOOKUP("Dst_CIDR_17_22",'Scoring_Config'!$A:$A,'Scoring_Config'!$C:$C,15),0),"False,0")</f>
        <v>0</v>
      </c>
      <c r="AI425" s="4" cm="1">
        <f t="array" ref="AI425">IF(FALSE,"True," &amp; IF(_xlfn.XLOOKUP("SrcZone_IsAny",'Scoring_Config'!$A:$A,'Scoring_Config'!$D:$D,"Yes")="Yes",_xlfn.XLOOKUP("SrcZone_IsAny",'Scoring_Config'!$A:$A,'Scoring_Config'!$C:$C,5),0),"False,0")</f>
        <v>0</v>
      </c>
      <c r="AJ425" s="4" cm="1">
        <f t="array" ref="AJ425">IF(FALSE,"True," &amp; IF(_xlfn.XLOOKUP("DstZone_IsAny",'Scoring_Config'!$A:$A,'Scoring_Config'!$D:$D,"Yes")="Yes",_xlfn.XLOOKUP("DstZone_IsAny",'Scoring_Config'!$A:$A,'Scoring_Config'!$C:$C,5),0),"False,0")</f>
        <v>0</v>
      </c>
      <c r="AK425" s="4" cm="1">
        <f t="array" ref="AK42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5" s="4" cm="1">
        <f t="array" ref="AL425">IF(FALSE,"True," &amp; IF(_xlfn.XLOOKUP("App_Any_OR_RangeGt1000",'Scoring_Config'!$A:$A,'Scoring_Config'!$D:$D,"Yes")="Yes",_xlfn.XLOOKUP("App_Any_OR_RangeGt1000",'Scoring_Config'!$A:$A,'Scoring_Config'!$C:$C,25),0),"False,0")</f>
        <v>0</v>
      </c>
      <c r="AM425" s="4" cm="1">
        <f t="array" ref="AM425">IF(FALSE,"True," &amp; IF(_xlfn.XLOOKUP("Service_Insecure_Match",'Scoring_Config'!$A:$A,'Scoring_Config'!$D:$D,"Yes")="Yes",_xlfn.XLOOKUP("Service_Insecure_Match",'Scoring_Config'!$A:$A,'Scoring_Config'!$C:$C,20),0),"False,0")</f>
        <v>0</v>
      </c>
      <c r="AN425" s="4" cm="1">
        <f t="array" ref="AN425">IF(FALSE,"True," &amp; IF(_xlfn.XLOOKUP("Risky_Inbound",'Scoring_Config'!$A:$A,'Scoring_Config'!$D:$D,"Yes")="Yes",_xlfn.XLOOKUP("Risky_Inbound",'Scoring_Config'!$A:$A,'Scoring_Config'!$C:$C,20),0),"False,0")</f>
        <v>0</v>
      </c>
      <c r="AO425" s="4" cm="1">
        <f t="array" ref="AO425">IF(FALSE,"True," &amp; IF(_xlfn.XLOOKUP("Risky_Outbound",'Scoring_Config'!$A:$A,'Scoring_Config'!$D:$D,"Yes")="Yes",_xlfn.XLOOKUP("Risky_Outbound",'Scoring_Config'!$A:$A,'Scoring_Config'!$C:$C,10),0),"False,0")</f>
        <v>0</v>
      </c>
      <c r="AP425" s="5" t="s">
        <v>2595</v>
      </c>
      <c r="AQ425" s="4" cm="1">
        <f t="array" ref="AQ42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5" s="5" t="s">
        <v>2598</v>
      </c>
      <c r="AS425" s="4" t="s">
        <v>2592</v>
      </c>
      <c r="AT425" s="5" t="s">
        <v>2595</v>
      </c>
      <c r="AU425" s="5" cm="1">
        <f t="array" ref="AU425">IF(TRUE,"True," &amp; IF(_xlfn.XLOOKUP("Action_IsDenyOrDrop",'Scoring_Config'!$A:$A,'Scoring_Config'!$D:$D,"Yes")="Yes",_xlfn.XLOOKUP("Action_IsDenyOrDrop",'Scoring_Config'!$A:$A,'Scoring_Config'!$C:$C,0),0),"False,0")</f>
        <v>0</v>
      </c>
      <c r="AV425" s="4"/>
      <c r="AW425" s="4" cm="1">
        <f t="array" ref="AW425">IF(FALSE,"True," &amp; IF(_xlfn.XLOOKUP("Migrate_Insecure",'Scoring_Config'!$A:$A,'Scoring_Config'!$D:$D,"Yes")="Yes",_xlfn.XLOOKUP("Migrate_Insecure",'Scoring_Config'!$A:$A,'Scoring_Config'!$C:$C,15),0),"False,0")</f>
        <v>0</v>
      </c>
      <c r="AX425" s="4"/>
      <c r="AY425" s="4" cm="1">
        <f t="array" ref="AY425">IF(FALSE,"True," &amp; IF(_xlfn.XLOOKUP("Migrate_Other_Ports",'Scoring_Config'!$A:$A,'Scoring_Config'!$D:$D,"Yes")="Yes",_xlfn.XLOOKUP("Migrate_Other_Ports",'Scoring_Config'!$A:$A,'Scoring_Config'!$C:$C,5),0),"False,0")</f>
        <v>0</v>
      </c>
      <c r="AZ425" s="4" cm="1">
        <f t="array" ref="AZ425">IF(LEFT(AU425,4)="True",0,(IF(LEFT(AC425,4)="True",IF(_xlfn.XLOOKUP("Src_IsAny",'Scoring_Config'!$A:$A,'Scoring_Config'!$D:$D,"Yes")="Yes",_xlfn.XLOOKUP("Src_IsAny",'Scoring_Config'!$A:$A,'Scoring_Config'!$C:$C,25),0),0)+IF(LEFT(AD425,4)="True",IF(_xlfn.XLOOKUP("Src_CIDR_Le_16",'Scoring_Config'!$A:$A,'Scoring_Config'!$D:$D,"Yes")="Yes",_xlfn.XLOOKUP("Src_CIDR_Le_16",'Scoring_Config'!$A:$A,'Scoring_Config'!$C:$C,25),0),0)+IF(LEFT(AE425,4)="True",IF(_xlfn.XLOOKUP("Src_CIDR_17_22",'Scoring_Config'!$A:$A,'Scoring_Config'!$D:$D,"Yes")="Yes",_xlfn.XLOOKUP("Src_CIDR_17_22",'Scoring_Config'!$A:$A,'Scoring_Config'!$C:$C,15),0),0)+IF(LEFT(AF425,4)="True",IF(_xlfn.XLOOKUP("Dst_IsAny",'Scoring_Config'!$A:$A,'Scoring_Config'!$D:$D,"Yes")="Yes",_xlfn.XLOOKUP("Dst_IsAny",'Scoring_Config'!$A:$A,'Scoring_Config'!$C:$C,25),0),0)+IF(LEFT(AG425,4)="True",IF(_xlfn.XLOOKUP("Dst_CIDR_Le_16",'Scoring_Config'!$A:$A,'Scoring_Config'!$D:$D,"Yes")="Yes",_xlfn.XLOOKUP("Dst_CIDR_Le_16",'Scoring_Config'!$A:$A,'Scoring_Config'!$C:$C,25),0),0)+IF(LEFT(AH425,4)="True",IF(_xlfn.XLOOKUP("Dst_CIDR_17_22",'Scoring_Config'!$A:$A,'Scoring_Config'!$D:$D,"Yes")="Yes",_xlfn.XLOOKUP("Dst_CIDR_17_22",'Scoring_Config'!$A:$A,'Scoring_Config'!$C:$C,15),0),0)+IF(LEFT(AI425,4)="True",IF(_xlfn.XLOOKUP("SrcZone_IsAny",'Scoring_Config'!$A:$A,'Scoring_Config'!$D:$D,"Yes")="Yes",_xlfn.XLOOKUP("SrcZone_IsAny",'Scoring_Config'!$A:$A,'Scoring_Config'!$C:$C,5),0),0)+IF(LEFT(AJ425,4)="True",IF(_xlfn.XLOOKUP("DstZone_IsAny",'Scoring_Config'!$A:$A,'Scoring_Config'!$D:$D,"Yes")="Yes",_xlfn.XLOOKUP("DstZone_IsAny",'Scoring_Config'!$A:$A,'Scoring_Config'!$C:$C,5),0),0)+IF(LEFT(AK425,4)="True",IF(_xlfn.XLOOKUP("Service_Any_OR_RangeGt1000",'Scoring_Config'!$A:$A,'Scoring_Config'!$D:$D,"Yes")="Yes",_xlfn.XLOOKUP("Service_Any_OR_RangeGt1000",'Scoring_Config'!$A:$A,'Scoring_Config'!$C:$C,25),0),0)+IF(LEFT(AL425,4)="True",IF(_xlfn.XLOOKUP("App_Any_OR_RangeGt1000",'Scoring_Config'!$A:$A,'Scoring_Config'!$D:$D,"Yes")="Yes",_xlfn.XLOOKUP("App_Any_OR_RangeGt1000",'Scoring_Config'!$A:$A,'Scoring_Config'!$C:$C,25),0),0)+IF(LEFT(AM425,4)="True",IF(_xlfn.XLOOKUP("Service_Insecure_Match",'Scoring_Config'!$A:$A,'Scoring_Config'!$D:$D,"Yes")="Yes",_xlfn.XLOOKUP("Service_Insecure_Match",'Scoring_Config'!$A:$A,'Scoring_Config'!$C:$C,20),0),0)+IF(LEFT(AN425,4)="True",IF(_xlfn.XLOOKUP("Risky_Inbound",'Scoring_Config'!$A:$A,'Scoring_Config'!$D:$D,"Yes")="Yes",_xlfn.XLOOKUP("Risky_Inbound",'Scoring_Config'!$A:$A,'Scoring_Config'!$C:$C,20),0),0)+IF(LEFT(AO425,4)="True",IF(_xlfn.XLOOKUP("Risky_Outbound",'Scoring_Config'!$A:$A,'Scoring_Config'!$D:$D,"Yes")="Yes",_xlfn.XLOOKUP("Risky_Outbound",'Scoring_Config'!$A:$A,'Scoring_Config'!$C:$C,10),0),0)+IF(LEFT(AW425,4)="True",IF(_xlfn.XLOOKUP("Migrate_Insecure",'Scoring_Config'!$A:$A,'Scoring_Config'!$D:$D,"Yes")="Yes",_xlfn.XLOOKUP("Migrate_Insecure",'Scoring_Config'!$A:$A,'Scoring_Config'!$C:$C,15),0),0)+IF(LEFT(AY425,4)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425,FIND(",",AP425)+1,100)),0)+IF(LEFT(AQ425,4)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425,FIND(",",AR425)+1,100)),0)+IF(_xlfn.XLOOKUP("Profile_Scoring",'Scoring_Config'!$A:$A,'Scoring_Config'!$D:$D,"Yes")="Yes",VALUE(MID(AS425,FIND(",",AS425)+1,100)),0)+IF(_xlfn.XLOOKUP("Options_Scoring",'Scoring_Config'!$A:$A,'Scoring_Config'!$D:$D,"Yes")="Yes",VALUE(MID(AT425,FIND(",",AT425)+1,100)),0)))</f>
        <v>0</v>
      </c>
    </row>
    <row r="426" spans="1:52">
      <c r="A426" s="3" t="s">
        <v>55</v>
      </c>
      <c r="B426" s="3" t="s">
        <v>310</v>
      </c>
      <c r="C426" s="3" t="s">
        <v>332</v>
      </c>
      <c r="D426" s="3"/>
      <c r="E426" s="3" t="s">
        <v>359</v>
      </c>
      <c r="F426" s="3" t="s">
        <v>361</v>
      </c>
      <c r="G426" s="3" t="s">
        <v>365</v>
      </c>
      <c r="H426" s="3" t="s">
        <v>365</v>
      </c>
      <c r="I426" s="3" t="s">
        <v>622</v>
      </c>
      <c r="J426" s="3" t="s">
        <v>360</v>
      </c>
      <c r="K426" s="3" t="s">
        <v>365</v>
      </c>
      <c r="L426" s="3" t="s">
        <v>365</v>
      </c>
      <c r="M426" s="3" t="s">
        <v>365</v>
      </c>
      <c r="N426" s="3" t="s">
        <v>365</v>
      </c>
      <c r="O426" s="4" t="s">
        <v>816</v>
      </c>
      <c r="P426" s="3" t="s">
        <v>877</v>
      </c>
      <c r="Q426" s="3" t="s">
        <v>905</v>
      </c>
      <c r="R426" s="3" t="s">
        <v>907</v>
      </c>
      <c r="S426" s="3" t="s">
        <v>915</v>
      </c>
      <c r="T426" s="3" t="s">
        <v>919</v>
      </c>
      <c r="U426" s="3" t="s">
        <v>1147</v>
      </c>
      <c r="V426" s="3" t="s">
        <v>789</v>
      </c>
      <c r="W426" s="3" t="s">
        <v>1402</v>
      </c>
      <c r="X426" s="3" t="s">
        <v>2030</v>
      </c>
      <c r="Y426" s="3" t="s">
        <v>2499</v>
      </c>
      <c r="Z426" s="3"/>
      <c r="AA426" s="3"/>
      <c r="AB426" s="3"/>
      <c r="AC426" s="5" cm="1">
        <f t="array" ref="AC426">IF(TRUE,"True," &amp; IF(_xlfn.XLOOKUP("Src_IsAny",'Scoring_Config'!$A:$A,'Scoring_Config'!$D:$D,"Yes")="Yes",_xlfn.XLOOKUP("Src_IsAny",'Scoring_Config'!$A:$A,'Scoring_Config'!$C:$C,25),0),"False,0")</f>
        <v>0</v>
      </c>
      <c r="AD426" s="4" cm="1">
        <f t="array" ref="AD426">IF(FALSE,"True," &amp; IF(_xlfn.XLOOKUP("Src_CIDR_Le_16",'Scoring_Config'!$A:$A,'Scoring_Config'!$D:$D,"Yes")="Yes",_xlfn.XLOOKUP("Src_CIDR_Le_16",'Scoring_Config'!$A:$A,'Scoring_Config'!$C:$C,25),0),"False,0")</f>
        <v>0</v>
      </c>
      <c r="AE426" s="4" cm="1">
        <f t="array" ref="AE426">IF(FALSE,"True," &amp; IF(_xlfn.XLOOKUP("Src_CIDR_17_22",'Scoring_Config'!$A:$A,'Scoring_Config'!$D:$D,"Yes")="Yes",_xlfn.XLOOKUP("Src_CIDR_17_22",'Scoring_Config'!$A:$A,'Scoring_Config'!$C:$C,15),0),"False,0")</f>
        <v>0</v>
      </c>
      <c r="AF426" s="5" cm="1">
        <f t="array" ref="AF426">IF(TRUE,"True," &amp; IF(_xlfn.XLOOKUP("Dst_IsAny",'Scoring_Config'!$A:$A,'Scoring_Config'!$D:$D,"Yes")="Yes",_xlfn.XLOOKUP("Dst_IsAny",'Scoring_Config'!$A:$A,'Scoring_Config'!$C:$C,25),0),"False,0")</f>
        <v>0</v>
      </c>
      <c r="AG426" s="4" cm="1">
        <f t="array" ref="AG426">IF(FALSE,"True," &amp; IF(_xlfn.XLOOKUP("Dst_CIDR_Le_16",'Scoring_Config'!$A:$A,'Scoring_Config'!$D:$D,"Yes")="Yes",_xlfn.XLOOKUP("Dst_CIDR_Le_16",'Scoring_Config'!$A:$A,'Scoring_Config'!$C:$C,25),0),"False,0")</f>
        <v>0</v>
      </c>
      <c r="AH426" s="4" cm="1">
        <f t="array" ref="AH426">IF(FALSE,"True," &amp; IF(_xlfn.XLOOKUP("Dst_CIDR_17_22",'Scoring_Config'!$A:$A,'Scoring_Config'!$D:$D,"Yes")="Yes",_xlfn.XLOOKUP("Dst_CIDR_17_22",'Scoring_Config'!$A:$A,'Scoring_Config'!$C:$C,15),0),"False,0")</f>
        <v>0</v>
      </c>
      <c r="AI426" s="4" cm="1">
        <f t="array" ref="AI426">IF(FALSE,"True," &amp; IF(_xlfn.XLOOKUP("SrcZone_IsAny",'Scoring_Config'!$A:$A,'Scoring_Config'!$D:$D,"Yes")="Yes",_xlfn.XLOOKUP("SrcZone_IsAny",'Scoring_Config'!$A:$A,'Scoring_Config'!$C:$C,5),0),"False,0")</f>
        <v>0</v>
      </c>
      <c r="AJ426" s="4" cm="1">
        <f t="array" ref="AJ426">IF(FALSE,"True," &amp; IF(_xlfn.XLOOKUP("DstZone_IsAny",'Scoring_Config'!$A:$A,'Scoring_Config'!$D:$D,"Yes")="Yes",_xlfn.XLOOKUP("DstZone_IsAny",'Scoring_Config'!$A:$A,'Scoring_Config'!$C:$C,5),0),"False,0")</f>
        <v>0</v>
      </c>
      <c r="AK426" s="4" cm="1">
        <f t="array" ref="AK42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6" s="5" cm="1">
        <f t="array" ref="AL426">IF(TRUE,"True," &amp; IF(_xlfn.XLOOKUP("App_Any_OR_RangeGt1000",'Scoring_Config'!$A:$A,'Scoring_Config'!$D:$D,"Yes")="Yes",_xlfn.XLOOKUP("App_Any_OR_RangeGt1000",'Scoring_Config'!$A:$A,'Scoring_Config'!$C:$C,25),0),"False,0")</f>
        <v>0</v>
      </c>
      <c r="AM426" s="5" cm="1">
        <f t="array" ref="AM426">IF(TRUE,"True," &amp; IF(_xlfn.XLOOKUP("Service_Insecure_Match",'Scoring_Config'!$A:$A,'Scoring_Config'!$D:$D,"Yes")="Yes",_xlfn.XLOOKUP("Service_Insecure_Match",'Scoring_Config'!$A:$A,'Scoring_Config'!$C:$C,20),0),"False,0")</f>
        <v>0</v>
      </c>
      <c r="AN426" s="4" cm="1">
        <f t="array" ref="AN426">IF(FALSE,"True," &amp; IF(_xlfn.XLOOKUP("Risky_Inbound",'Scoring_Config'!$A:$A,'Scoring_Config'!$D:$D,"Yes")="Yes",_xlfn.XLOOKUP("Risky_Inbound",'Scoring_Config'!$A:$A,'Scoring_Config'!$C:$C,20),0),"False,0")</f>
        <v>0</v>
      </c>
      <c r="AO426" s="4" cm="1">
        <f t="array" ref="AO426">IF(FALSE,"True," &amp; IF(_xlfn.XLOOKUP("Risky_Outbound",'Scoring_Config'!$A:$A,'Scoring_Config'!$D:$D,"Yes")="Yes",_xlfn.XLOOKUP("Risky_Outbound",'Scoring_Config'!$A:$A,'Scoring_Config'!$C:$C,10),0),"False,0")</f>
        <v>0</v>
      </c>
      <c r="AP426" s="5" t="s">
        <v>2595</v>
      </c>
      <c r="AQ426" s="5" cm="1">
        <f t="array" ref="AQ42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6" s="5" t="s">
        <v>2598</v>
      </c>
      <c r="AS426" s="5" t="s">
        <v>2595</v>
      </c>
      <c r="AT426" s="4" t="s">
        <v>2592</v>
      </c>
      <c r="AU426" s="4" cm="1">
        <f t="array" ref="AU426">IF(FALSE,"True," &amp; IF(_xlfn.XLOOKUP("Action_IsDenyOrDrop",'Scoring_Config'!$A:$A,'Scoring_Config'!$D:$D,"Yes")="Yes",_xlfn.XLOOKUP("Action_IsDenyOrDrop",'Scoring_Config'!$A:$A,'Scoring_Config'!$C:$C,0),0),"False,0")</f>
        <v>0</v>
      </c>
      <c r="AV426" s="4"/>
      <c r="AW426" s="4" cm="1">
        <f t="array" ref="AW426">IF(FALSE,"True," &amp; IF(_xlfn.XLOOKUP("Migrate_Insecure",'Scoring_Config'!$A:$A,'Scoring_Config'!$D:$D,"Yes")="Yes",_xlfn.XLOOKUP("Migrate_Insecure",'Scoring_Config'!$A:$A,'Scoring_Config'!$C:$C,15),0),"False,0")</f>
        <v>0</v>
      </c>
      <c r="AX426" s="4"/>
      <c r="AY426" s="4" cm="1">
        <f t="array" ref="AY426">IF(FALSE,"True," &amp; IF(_xlfn.XLOOKUP("Migrate_Other_Ports",'Scoring_Config'!$A:$A,'Scoring_Config'!$D:$D,"Yes")="Yes",_xlfn.XLOOKUP("Migrate_Other_Ports",'Scoring_Config'!$A:$A,'Scoring_Config'!$C:$C,5),0),"False,0")</f>
        <v>0</v>
      </c>
      <c r="AZ426" s="4" cm="1">
        <f t="array" ref="AZ426">IF(LEFT(AU426,4)="True",0,(IF(LEFT(AC426,4)="True",IF(_xlfn.XLOOKUP("Src_IsAny",'Scoring_Config'!$A:$A,'Scoring_Config'!$D:$D,"Yes")="Yes",_xlfn.XLOOKUP("Src_IsAny",'Scoring_Config'!$A:$A,'Scoring_Config'!$C:$C,25),0),0)+IF(LEFT(AD426,4)="True",IF(_xlfn.XLOOKUP("Src_CIDR_Le_16",'Scoring_Config'!$A:$A,'Scoring_Config'!$D:$D,"Yes")="Yes",_xlfn.XLOOKUP("Src_CIDR_Le_16",'Scoring_Config'!$A:$A,'Scoring_Config'!$C:$C,25),0),0)+IF(LEFT(AE426,4)="True",IF(_xlfn.XLOOKUP("Src_CIDR_17_22",'Scoring_Config'!$A:$A,'Scoring_Config'!$D:$D,"Yes")="Yes",_xlfn.XLOOKUP("Src_CIDR_17_22",'Scoring_Config'!$A:$A,'Scoring_Config'!$C:$C,15),0),0)+IF(LEFT(AF426,4)="True",IF(_xlfn.XLOOKUP("Dst_IsAny",'Scoring_Config'!$A:$A,'Scoring_Config'!$D:$D,"Yes")="Yes",_xlfn.XLOOKUP("Dst_IsAny",'Scoring_Config'!$A:$A,'Scoring_Config'!$C:$C,25),0),0)+IF(LEFT(AG426,4)="True",IF(_xlfn.XLOOKUP("Dst_CIDR_Le_16",'Scoring_Config'!$A:$A,'Scoring_Config'!$D:$D,"Yes")="Yes",_xlfn.XLOOKUP("Dst_CIDR_Le_16",'Scoring_Config'!$A:$A,'Scoring_Config'!$C:$C,25),0),0)+IF(LEFT(AH426,4)="True",IF(_xlfn.XLOOKUP("Dst_CIDR_17_22",'Scoring_Config'!$A:$A,'Scoring_Config'!$D:$D,"Yes")="Yes",_xlfn.XLOOKUP("Dst_CIDR_17_22",'Scoring_Config'!$A:$A,'Scoring_Config'!$C:$C,15),0),0)+IF(LEFT(AI426,4)="True",IF(_xlfn.XLOOKUP("SrcZone_IsAny",'Scoring_Config'!$A:$A,'Scoring_Config'!$D:$D,"Yes")="Yes",_xlfn.XLOOKUP("SrcZone_IsAny",'Scoring_Config'!$A:$A,'Scoring_Config'!$C:$C,5),0),0)+IF(LEFT(AJ426,4)="True",IF(_xlfn.XLOOKUP("DstZone_IsAny",'Scoring_Config'!$A:$A,'Scoring_Config'!$D:$D,"Yes")="Yes",_xlfn.XLOOKUP("DstZone_IsAny",'Scoring_Config'!$A:$A,'Scoring_Config'!$C:$C,5),0),0)+IF(LEFT(AK426,4)="True",IF(_xlfn.XLOOKUP("Service_Any_OR_RangeGt1000",'Scoring_Config'!$A:$A,'Scoring_Config'!$D:$D,"Yes")="Yes",_xlfn.XLOOKUP("Service_Any_OR_RangeGt1000",'Scoring_Config'!$A:$A,'Scoring_Config'!$C:$C,25),0),0)+IF(LEFT(AL426,4)="True",IF(_xlfn.XLOOKUP("App_Any_OR_RangeGt1000",'Scoring_Config'!$A:$A,'Scoring_Config'!$D:$D,"Yes")="Yes",_xlfn.XLOOKUP("App_Any_OR_RangeGt1000",'Scoring_Config'!$A:$A,'Scoring_Config'!$C:$C,25),0),0)+IF(LEFT(AM426,4)="True",IF(_xlfn.XLOOKUP("Service_Insecure_Match",'Scoring_Config'!$A:$A,'Scoring_Config'!$D:$D,"Yes")="Yes",_xlfn.XLOOKUP("Service_Insecure_Match",'Scoring_Config'!$A:$A,'Scoring_Config'!$C:$C,20),0),0)+IF(LEFT(AN426,4)="True",IF(_xlfn.XLOOKUP("Risky_Inbound",'Scoring_Config'!$A:$A,'Scoring_Config'!$D:$D,"Yes")="Yes",_xlfn.XLOOKUP("Risky_Inbound",'Scoring_Config'!$A:$A,'Scoring_Config'!$C:$C,20),0),0)+IF(LEFT(AO426,4)="True",IF(_xlfn.XLOOKUP("Risky_Outbound",'Scoring_Config'!$A:$A,'Scoring_Config'!$D:$D,"Yes")="Yes",_xlfn.XLOOKUP("Risky_Outbound",'Scoring_Config'!$A:$A,'Scoring_Config'!$C:$C,10),0),0)+IF(LEFT(AW426,4)="True",IF(_xlfn.XLOOKUP("Migrate_Insecure",'Scoring_Config'!$A:$A,'Scoring_Config'!$D:$D,"Yes")="Yes",_xlfn.XLOOKUP("Migrate_Insecure",'Scoring_Config'!$A:$A,'Scoring_Config'!$C:$C,15),0),0)+IF(LEFT(AY426,4)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426,FIND(",",AP426)+1,100)),0)+IF(LEFT(AQ426,4)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426,FIND(",",AR426)+1,100)),0)+IF(_xlfn.XLOOKUP("Profile_Scoring",'Scoring_Config'!$A:$A,'Scoring_Config'!$D:$D,"Yes")="Yes",VALUE(MID(AS426,FIND(",",AS426)+1,100)),0)+IF(_xlfn.XLOOKUP("Options_Scoring",'Scoring_Config'!$A:$A,'Scoring_Config'!$D:$D,"Yes")="Yes",VALUE(MID(AT426,FIND(",",AT426)+1,100)),0)))</f>
        <v>0</v>
      </c>
    </row>
    <row r="427" spans="1:52">
      <c r="A427" s="3" t="s">
        <v>55</v>
      </c>
      <c r="B427" s="3" t="s">
        <v>116</v>
      </c>
      <c r="C427" s="3" t="s">
        <v>332</v>
      </c>
      <c r="D427" s="3"/>
      <c r="E427" s="3" t="s">
        <v>359</v>
      </c>
      <c r="F427" s="3" t="s">
        <v>360</v>
      </c>
      <c r="G427" s="3" t="s">
        <v>365</v>
      </c>
      <c r="H427" s="3" t="s">
        <v>365</v>
      </c>
      <c r="I427" s="3" t="s">
        <v>625</v>
      </c>
      <c r="J427" s="3" t="s">
        <v>363</v>
      </c>
      <c r="K427" s="3" t="s">
        <v>508</v>
      </c>
      <c r="L427" s="3" t="s">
        <v>605</v>
      </c>
      <c r="M427" s="3" t="s">
        <v>365</v>
      </c>
      <c r="N427" s="3" t="s">
        <v>365</v>
      </c>
      <c r="O427" s="4" t="s">
        <v>834</v>
      </c>
      <c r="P427" s="3" t="s">
        <v>895</v>
      </c>
      <c r="Q427" s="3" t="s">
        <v>905</v>
      </c>
      <c r="R427" s="3" t="s">
        <v>906</v>
      </c>
      <c r="S427" s="3" t="s">
        <v>913</v>
      </c>
      <c r="T427" s="3" t="s">
        <v>1116</v>
      </c>
      <c r="U427" s="3" t="s">
        <v>1362</v>
      </c>
      <c r="V427" s="3" t="s">
        <v>1389</v>
      </c>
      <c r="W427" s="3" t="s">
        <v>949</v>
      </c>
      <c r="X427" s="3" t="s">
        <v>2031</v>
      </c>
      <c r="Y427" s="3" t="s">
        <v>2500</v>
      </c>
      <c r="Z427" s="3"/>
      <c r="AA427" s="3"/>
      <c r="AB427" s="3"/>
      <c r="AC427" s="5" cm="1">
        <f t="array" ref="AC427">IF(TRUE,"True," &amp; IF(_xlfn.XLOOKUP("Src_IsAny",'Scoring_Config'!$A:$A,'Scoring_Config'!$D:$D,"Yes")="Yes",_xlfn.XLOOKUP("Src_IsAny",'Scoring_Config'!$A:$A,'Scoring_Config'!$C:$C,25),0),"False,0")</f>
        <v>0</v>
      </c>
      <c r="AD427" s="4" cm="1">
        <f t="array" ref="AD427">IF(FALSE,"True," &amp; IF(_xlfn.XLOOKUP("Src_CIDR_Le_16",'Scoring_Config'!$A:$A,'Scoring_Config'!$D:$D,"Yes")="Yes",_xlfn.XLOOKUP("Src_CIDR_Le_16",'Scoring_Config'!$A:$A,'Scoring_Config'!$C:$C,25),0),"False,0")</f>
        <v>0</v>
      </c>
      <c r="AE427" s="4" cm="1">
        <f t="array" ref="AE427">IF(FALSE,"True," &amp; IF(_xlfn.XLOOKUP("Src_CIDR_17_22",'Scoring_Config'!$A:$A,'Scoring_Config'!$D:$D,"Yes")="Yes",_xlfn.XLOOKUP("Src_CIDR_17_22",'Scoring_Config'!$A:$A,'Scoring_Config'!$C:$C,15),0),"False,0")</f>
        <v>0</v>
      </c>
      <c r="AF427" s="4" cm="1">
        <f t="array" ref="AF427">IF(FALSE,"True," &amp; IF(_xlfn.XLOOKUP("Dst_IsAny",'Scoring_Config'!$A:$A,'Scoring_Config'!$D:$D,"Yes")="Yes",_xlfn.XLOOKUP("Dst_IsAny",'Scoring_Config'!$A:$A,'Scoring_Config'!$C:$C,25),0),"False,0")</f>
        <v>0</v>
      </c>
      <c r="AG427" s="4" cm="1">
        <f t="array" ref="AG427">IF(FALSE,"True," &amp; IF(_xlfn.XLOOKUP("Dst_CIDR_Le_16",'Scoring_Config'!$A:$A,'Scoring_Config'!$D:$D,"Yes")="Yes",_xlfn.XLOOKUP("Dst_CIDR_Le_16",'Scoring_Config'!$A:$A,'Scoring_Config'!$C:$C,25),0),"False,0")</f>
        <v>0</v>
      </c>
      <c r="AH427" s="4" cm="1">
        <f t="array" ref="AH427">IF(FALSE,"True," &amp; IF(_xlfn.XLOOKUP("Dst_CIDR_17_22",'Scoring_Config'!$A:$A,'Scoring_Config'!$D:$D,"Yes")="Yes",_xlfn.XLOOKUP("Dst_CIDR_17_22",'Scoring_Config'!$A:$A,'Scoring_Config'!$C:$C,15),0),"False,0")</f>
        <v>0</v>
      </c>
      <c r="AI427" s="4" cm="1">
        <f t="array" ref="AI427">IF(FALSE,"True," &amp; IF(_xlfn.XLOOKUP("SrcZone_IsAny",'Scoring_Config'!$A:$A,'Scoring_Config'!$D:$D,"Yes")="Yes",_xlfn.XLOOKUP("SrcZone_IsAny",'Scoring_Config'!$A:$A,'Scoring_Config'!$C:$C,5),0),"False,0")</f>
        <v>0</v>
      </c>
      <c r="AJ427" s="4" cm="1">
        <f t="array" ref="AJ427">IF(FALSE,"True," &amp; IF(_xlfn.XLOOKUP("DstZone_IsAny",'Scoring_Config'!$A:$A,'Scoring_Config'!$D:$D,"Yes")="Yes",_xlfn.XLOOKUP("DstZone_IsAny",'Scoring_Config'!$A:$A,'Scoring_Config'!$C:$C,5),0),"False,0")</f>
        <v>0</v>
      </c>
      <c r="AK427" s="4" cm="1">
        <f t="array" ref="AK42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7" s="5" cm="1">
        <f t="array" ref="AL427">IF(TRUE,"True," &amp; IF(_xlfn.XLOOKUP("App_Any_OR_RangeGt1000",'Scoring_Config'!$A:$A,'Scoring_Config'!$D:$D,"Yes")="Yes",_xlfn.XLOOKUP("App_Any_OR_RangeGt1000",'Scoring_Config'!$A:$A,'Scoring_Config'!$C:$C,25),0),"False,0")</f>
        <v>0</v>
      </c>
      <c r="AM427" s="5" cm="1">
        <f t="array" ref="AM427">IF(TRUE,"True," &amp; IF(_xlfn.XLOOKUP("Service_Insecure_Match",'Scoring_Config'!$A:$A,'Scoring_Config'!$D:$D,"Yes")="Yes",_xlfn.XLOOKUP("Service_Insecure_Match",'Scoring_Config'!$A:$A,'Scoring_Config'!$C:$C,20),0),"False,0")</f>
        <v>0</v>
      </c>
      <c r="AN427" s="4" cm="1">
        <f t="array" ref="AN427">IF(FALSE,"True," &amp; IF(_xlfn.XLOOKUP("Risky_Inbound",'Scoring_Config'!$A:$A,'Scoring_Config'!$D:$D,"Yes")="Yes",_xlfn.XLOOKUP("Risky_Inbound",'Scoring_Config'!$A:$A,'Scoring_Config'!$C:$C,20),0),"False,0")</f>
        <v>0</v>
      </c>
      <c r="AO427" s="4" cm="1">
        <f t="array" ref="AO427">IF(FALSE,"True," &amp; IF(_xlfn.XLOOKUP("Risky_Outbound",'Scoring_Config'!$A:$A,'Scoring_Config'!$D:$D,"Yes")="Yes",_xlfn.XLOOKUP("Risky_Outbound",'Scoring_Config'!$A:$A,'Scoring_Config'!$C:$C,10),0),"False,0")</f>
        <v>0</v>
      </c>
      <c r="AP427" s="5" t="s">
        <v>2595</v>
      </c>
      <c r="AQ427" s="4" cm="1">
        <f t="array" ref="AQ42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7" s="5" t="s">
        <v>2598</v>
      </c>
      <c r="AS427" s="4" t="s">
        <v>2592</v>
      </c>
      <c r="AT427" s="4" t="s">
        <v>2592</v>
      </c>
      <c r="AU427" s="4" cm="1">
        <f t="array" ref="AU427">IF(FALSE,"True," &amp; IF(_xlfn.XLOOKUP("Action_IsDenyOrDrop",'Scoring_Config'!$A:$A,'Scoring_Config'!$D:$D,"Yes")="Yes",_xlfn.XLOOKUP("Action_IsDenyOrDrop",'Scoring_Config'!$A:$A,'Scoring_Config'!$C:$C,0),0),"False,0")</f>
        <v>0</v>
      </c>
      <c r="AV427" s="4"/>
      <c r="AW427" s="4" cm="1">
        <f t="array" ref="AW427">IF(FALSE,"True," &amp; IF(_xlfn.XLOOKUP("Migrate_Insecure",'Scoring_Config'!$A:$A,'Scoring_Config'!$D:$D,"Yes")="Yes",_xlfn.XLOOKUP("Migrate_Insecure",'Scoring_Config'!$A:$A,'Scoring_Config'!$C:$C,15),0),"False,0")</f>
        <v>0</v>
      </c>
      <c r="AX427" s="4"/>
      <c r="AY427" s="4" cm="1">
        <f t="array" ref="AY427">IF(FALSE,"True," &amp; IF(_xlfn.XLOOKUP("Migrate_Other_Ports",'Scoring_Config'!$A:$A,'Scoring_Config'!$D:$D,"Yes")="Yes",_xlfn.XLOOKUP("Migrate_Other_Ports",'Scoring_Config'!$A:$A,'Scoring_Config'!$C:$C,5),0),"False,0")</f>
        <v>0</v>
      </c>
      <c r="AZ427" s="4" cm="1">
        <f t="array" ref="AZ427">IF(LEFT(AU427,4)="True",0,(IF(LEFT(AC427,4)="True",IF(_xlfn.XLOOKUP("Src_IsAny",'Scoring_Config'!$A:$A,'Scoring_Config'!$D:$D,"Yes")="Yes",_xlfn.XLOOKUP("Src_IsAny",'Scoring_Config'!$A:$A,'Scoring_Config'!$C:$C,25),0),0)+IF(LEFT(AD427,4)="True",IF(_xlfn.XLOOKUP("Src_CIDR_Le_16",'Scoring_Config'!$A:$A,'Scoring_Config'!$D:$D,"Yes")="Yes",_xlfn.XLOOKUP("Src_CIDR_Le_16",'Scoring_Config'!$A:$A,'Scoring_Config'!$C:$C,25),0),0)+IF(LEFT(AE427,4)="True",IF(_xlfn.XLOOKUP("Src_CIDR_17_22",'Scoring_Config'!$A:$A,'Scoring_Config'!$D:$D,"Yes")="Yes",_xlfn.XLOOKUP("Src_CIDR_17_22",'Scoring_Config'!$A:$A,'Scoring_Config'!$C:$C,15),0),0)+IF(LEFT(AF427,4)="True",IF(_xlfn.XLOOKUP("Dst_IsAny",'Scoring_Config'!$A:$A,'Scoring_Config'!$D:$D,"Yes")="Yes",_xlfn.XLOOKUP("Dst_IsAny",'Scoring_Config'!$A:$A,'Scoring_Config'!$C:$C,25),0),0)+IF(LEFT(AG427,4)="True",IF(_xlfn.XLOOKUP("Dst_CIDR_Le_16",'Scoring_Config'!$A:$A,'Scoring_Config'!$D:$D,"Yes")="Yes",_xlfn.XLOOKUP("Dst_CIDR_Le_16",'Scoring_Config'!$A:$A,'Scoring_Config'!$C:$C,25),0),0)+IF(LEFT(AH427,4)="True",IF(_xlfn.XLOOKUP("Dst_CIDR_17_22",'Scoring_Config'!$A:$A,'Scoring_Config'!$D:$D,"Yes")="Yes",_xlfn.XLOOKUP("Dst_CIDR_17_22",'Scoring_Config'!$A:$A,'Scoring_Config'!$C:$C,15),0),0)+IF(LEFT(AI427,4)="True",IF(_xlfn.XLOOKUP("SrcZone_IsAny",'Scoring_Config'!$A:$A,'Scoring_Config'!$D:$D,"Yes")="Yes",_xlfn.XLOOKUP("SrcZone_IsAny",'Scoring_Config'!$A:$A,'Scoring_Config'!$C:$C,5),0),0)+IF(LEFT(AJ427,4)="True",IF(_xlfn.XLOOKUP("DstZone_IsAny",'Scoring_Config'!$A:$A,'Scoring_Config'!$D:$D,"Yes")="Yes",_xlfn.XLOOKUP("DstZone_IsAny",'Scoring_Config'!$A:$A,'Scoring_Config'!$C:$C,5),0),0)+IF(LEFT(AK427,4)="True",IF(_xlfn.XLOOKUP("Service_Any_OR_RangeGt1000",'Scoring_Config'!$A:$A,'Scoring_Config'!$D:$D,"Yes")="Yes",_xlfn.XLOOKUP("Service_Any_OR_RangeGt1000",'Scoring_Config'!$A:$A,'Scoring_Config'!$C:$C,25),0),0)+IF(LEFT(AL427,4)="True",IF(_xlfn.XLOOKUP("App_Any_OR_RangeGt1000",'Scoring_Config'!$A:$A,'Scoring_Config'!$D:$D,"Yes")="Yes",_xlfn.XLOOKUP("App_Any_OR_RangeGt1000",'Scoring_Config'!$A:$A,'Scoring_Config'!$C:$C,25),0),0)+IF(LEFT(AM427,4)="True",IF(_xlfn.XLOOKUP("Service_Insecure_Match",'Scoring_Config'!$A:$A,'Scoring_Config'!$D:$D,"Yes")="Yes",_xlfn.XLOOKUP("Service_Insecure_Match",'Scoring_Config'!$A:$A,'Scoring_Config'!$C:$C,20),0),0)+IF(LEFT(AN427,4)="True",IF(_xlfn.XLOOKUP("Risky_Inbound",'Scoring_Config'!$A:$A,'Scoring_Config'!$D:$D,"Yes")="Yes",_xlfn.XLOOKUP("Risky_Inbound",'Scoring_Config'!$A:$A,'Scoring_Config'!$C:$C,20),0),0)+IF(LEFT(AO427,4)="True",IF(_xlfn.XLOOKUP("Risky_Outbound",'Scoring_Config'!$A:$A,'Scoring_Config'!$D:$D,"Yes")="Yes",_xlfn.XLOOKUP("Risky_Outbound",'Scoring_Config'!$A:$A,'Scoring_Config'!$C:$C,10),0),0)+IF(LEFT(AW427,4)="True",IF(_xlfn.XLOOKUP("Migrate_Insecure",'Scoring_Config'!$A:$A,'Scoring_Config'!$D:$D,"Yes")="Yes",_xlfn.XLOOKUP("Migrate_Insecure",'Scoring_Config'!$A:$A,'Scoring_Config'!$C:$C,15),0),0)+IF(LEFT(AY427,4)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427,FIND(",",AP427)+1,100)),0)+IF(LEFT(AQ427,4)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427,FIND(",",AR427)+1,100)),0)+IF(_xlfn.XLOOKUP("Profile_Scoring",'Scoring_Config'!$A:$A,'Scoring_Config'!$D:$D,"Yes")="Yes",VALUE(MID(AS427,FIND(",",AS427)+1,100)),0)+IF(_xlfn.XLOOKUP("Options_Scoring",'Scoring_Config'!$A:$A,'Scoring_Config'!$D:$D,"Yes")="Yes",VALUE(MID(AT427,FIND(",",AT427)+1,100)),0)))</f>
        <v>0</v>
      </c>
    </row>
    <row r="428" spans="1:52">
      <c r="A428" s="3" t="s">
        <v>55</v>
      </c>
      <c r="B428" s="3" t="s">
        <v>311</v>
      </c>
      <c r="C428" s="3" t="s">
        <v>332</v>
      </c>
      <c r="D428" s="3"/>
      <c r="E428" s="3" t="s">
        <v>359</v>
      </c>
      <c r="F428" s="3" t="s">
        <v>363</v>
      </c>
      <c r="G428" s="3" t="s">
        <v>527</v>
      </c>
      <c r="H428" s="3" t="s">
        <v>513</v>
      </c>
      <c r="I428" s="3" t="s">
        <v>365</v>
      </c>
      <c r="J428" s="3" t="s">
        <v>362</v>
      </c>
      <c r="K428" s="3" t="s">
        <v>495</v>
      </c>
      <c r="L428" s="3" t="s">
        <v>600</v>
      </c>
      <c r="M428" s="3" t="s">
        <v>790</v>
      </c>
      <c r="N428" s="3" t="s">
        <v>791</v>
      </c>
      <c r="O428" s="4" t="s">
        <v>809</v>
      </c>
      <c r="P428" s="3" t="s">
        <v>870</v>
      </c>
      <c r="Q428" s="3" t="s">
        <v>905</v>
      </c>
      <c r="R428" s="3" t="s">
        <v>908</v>
      </c>
      <c r="S428" s="3" t="s">
        <v>907</v>
      </c>
      <c r="T428" s="3" t="s">
        <v>1117</v>
      </c>
      <c r="U428" s="3" t="s">
        <v>1147</v>
      </c>
      <c r="V428" s="3" t="s">
        <v>789</v>
      </c>
      <c r="W428" s="3" t="s">
        <v>1536</v>
      </c>
      <c r="X428" s="3" t="s">
        <v>2032</v>
      </c>
      <c r="Y428" s="3" t="s">
        <v>2501</v>
      </c>
      <c r="Z428" s="3"/>
      <c r="AA428" s="3"/>
      <c r="AB428" s="3"/>
      <c r="AC428" s="4" cm="1">
        <f t="array" ref="AC428">IF(FALSE,"True," &amp; IF(_xlfn.XLOOKUP("Src_IsAny",'Scoring_Config'!$A:$A,'Scoring_Config'!$D:$D,"Yes")="Yes",_xlfn.XLOOKUP("Src_IsAny",'Scoring_Config'!$A:$A,'Scoring_Config'!$C:$C,25),0),"False,0")</f>
        <v>0</v>
      </c>
      <c r="AD428" s="5" cm="1">
        <f t="array" ref="AD428">IF(TRUE,"True," &amp; IF(_xlfn.XLOOKUP("Src_CIDR_Le_16",'Scoring_Config'!$A:$A,'Scoring_Config'!$D:$D,"Yes")="Yes",_xlfn.XLOOKUP("Src_CIDR_Le_16",'Scoring_Config'!$A:$A,'Scoring_Config'!$C:$C,25),0),"False,0")</f>
        <v>0</v>
      </c>
      <c r="AE428" s="4" cm="1">
        <f t="array" ref="AE428">IF(FALSE,"True," &amp; IF(_xlfn.XLOOKUP("Src_CIDR_17_22",'Scoring_Config'!$A:$A,'Scoring_Config'!$D:$D,"Yes")="Yes",_xlfn.XLOOKUP("Src_CIDR_17_22",'Scoring_Config'!$A:$A,'Scoring_Config'!$C:$C,15),0),"False,0")</f>
        <v>0</v>
      </c>
      <c r="AF428" s="5" cm="1">
        <f t="array" ref="AF428">IF(TRUE,"True," &amp; IF(_xlfn.XLOOKUP("Dst_IsAny",'Scoring_Config'!$A:$A,'Scoring_Config'!$D:$D,"Yes")="Yes",_xlfn.XLOOKUP("Dst_IsAny",'Scoring_Config'!$A:$A,'Scoring_Config'!$C:$C,25),0),"False,0")</f>
        <v>0</v>
      </c>
      <c r="AG428" s="5" cm="1">
        <f t="array" ref="AG428">IF(TRUE,"True," &amp; IF(_xlfn.XLOOKUP("Dst_CIDR_Le_16",'Scoring_Config'!$A:$A,'Scoring_Config'!$D:$D,"Yes")="Yes",_xlfn.XLOOKUP("Dst_CIDR_Le_16",'Scoring_Config'!$A:$A,'Scoring_Config'!$C:$C,25),0),"False,0")</f>
        <v>0</v>
      </c>
      <c r="AH428" s="4" cm="1">
        <f t="array" ref="AH428">IF(FALSE,"True," &amp; IF(_xlfn.XLOOKUP("Dst_CIDR_17_22",'Scoring_Config'!$A:$A,'Scoring_Config'!$D:$D,"Yes")="Yes",_xlfn.XLOOKUP("Dst_CIDR_17_22",'Scoring_Config'!$A:$A,'Scoring_Config'!$C:$C,15),0),"False,0")</f>
        <v>0</v>
      </c>
      <c r="AI428" s="4" cm="1">
        <f t="array" ref="AI428">IF(FALSE,"True," &amp; IF(_xlfn.XLOOKUP("SrcZone_IsAny",'Scoring_Config'!$A:$A,'Scoring_Config'!$D:$D,"Yes")="Yes",_xlfn.XLOOKUP("SrcZone_IsAny",'Scoring_Config'!$A:$A,'Scoring_Config'!$C:$C,5),0),"False,0")</f>
        <v>0</v>
      </c>
      <c r="AJ428" s="4" cm="1">
        <f t="array" ref="AJ428">IF(FALSE,"True," &amp; IF(_xlfn.XLOOKUP("DstZone_IsAny",'Scoring_Config'!$A:$A,'Scoring_Config'!$D:$D,"Yes")="Yes",_xlfn.XLOOKUP("DstZone_IsAny",'Scoring_Config'!$A:$A,'Scoring_Config'!$C:$C,5),0),"False,0")</f>
        <v>0</v>
      </c>
      <c r="AK428" s="4" cm="1">
        <f t="array" ref="AK42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8" s="5" cm="1">
        <f t="array" ref="AL428">IF(TRUE,"True," &amp; IF(_xlfn.XLOOKUP("App_Any_OR_RangeGt1000",'Scoring_Config'!$A:$A,'Scoring_Config'!$D:$D,"Yes")="Yes",_xlfn.XLOOKUP("App_Any_OR_RangeGt1000",'Scoring_Config'!$A:$A,'Scoring_Config'!$C:$C,25),0),"False,0")</f>
        <v>0</v>
      </c>
      <c r="AM428" s="4" cm="1">
        <f t="array" ref="AM428">IF(FALSE,"True," &amp; IF(_xlfn.XLOOKUP("Service_Insecure_Match",'Scoring_Config'!$A:$A,'Scoring_Config'!$D:$D,"Yes")="Yes",_xlfn.XLOOKUP("Service_Insecure_Match",'Scoring_Config'!$A:$A,'Scoring_Config'!$C:$C,20),0),"False,0")</f>
        <v>0</v>
      </c>
      <c r="AN428" s="4" cm="1">
        <f t="array" ref="AN428">IF(FALSE,"True," &amp; IF(_xlfn.XLOOKUP("Risky_Inbound",'Scoring_Config'!$A:$A,'Scoring_Config'!$D:$D,"Yes")="Yes",_xlfn.XLOOKUP("Risky_Inbound",'Scoring_Config'!$A:$A,'Scoring_Config'!$C:$C,20),0),"False,0")</f>
        <v>0</v>
      </c>
      <c r="AO428" s="4" cm="1">
        <f t="array" ref="AO428">IF(FALSE,"True," &amp; IF(_xlfn.XLOOKUP("Risky_Outbound",'Scoring_Config'!$A:$A,'Scoring_Config'!$D:$D,"Yes")="Yes",_xlfn.XLOOKUP("Risky_Outbound",'Scoring_Config'!$A:$A,'Scoring_Config'!$C:$C,10),0),"False,0")</f>
        <v>0</v>
      </c>
      <c r="AP428" s="5" t="s">
        <v>2595</v>
      </c>
      <c r="AQ428" s="5" cm="1">
        <f t="array" ref="AQ42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8" s="4" t="s">
        <v>2592</v>
      </c>
      <c r="AS428" s="4" t="s">
        <v>2592</v>
      </c>
      <c r="AT428" s="5" t="s">
        <v>2595</v>
      </c>
      <c r="AU428" s="4" cm="1">
        <f t="array" ref="AU428">IF(FALSE,"True," &amp; IF(_xlfn.XLOOKUP("Action_IsDenyOrDrop",'Scoring_Config'!$A:$A,'Scoring_Config'!$D:$D,"Yes")="Yes",_xlfn.XLOOKUP("Action_IsDenyOrDrop",'Scoring_Config'!$A:$A,'Scoring_Config'!$C:$C,0),0),"False,0")</f>
        <v>0</v>
      </c>
      <c r="AV428" s="4"/>
      <c r="AW428" s="4" cm="1">
        <f t="array" ref="AW428">IF(FALSE,"True," &amp; IF(_xlfn.XLOOKUP("Migrate_Insecure",'Scoring_Config'!$A:$A,'Scoring_Config'!$D:$D,"Yes")="Yes",_xlfn.XLOOKUP("Migrate_Insecure",'Scoring_Config'!$A:$A,'Scoring_Config'!$C:$C,15),0),"False,0")</f>
        <v>0</v>
      </c>
      <c r="AX428" s="4"/>
      <c r="AY428" s="4" cm="1">
        <f t="array" ref="AY428">IF(FALSE,"True," &amp; IF(_xlfn.XLOOKUP("Migrate_Other_Ports",'Scoring_Config'!$A:$A,'Scoring_Config'!$D:$D,"Yes")="Yes",_xlfn.XLOOKUP("Migrate_Other_Ports",'Scoring_Config'!$A:$A,'Scoring_Config'!$C:$C,5),0),"False,0")</f>
        <v>0</v>
      </c>
      <c r="AZ428" s="4" cm="1">
        <f t="array" ref="AZ428">IF(LEFT(AU428,4)="True",0,(IF(LEFT(AC428,4)="True",IF(_xlfn.XLOOKUP("Src_IsAny",'Scoring_Config'!$A:$A,'Scoring_Config'!$D:$D,"Yes")="Yes",_xlfn.XLOOKUP("Src_IsAny",'Scoring_Config'!$A:$A,'Scoring_Config'!$C:$C,25),0),0)+IF(LEFT(AD428,4)="True",IF(_xlfn.XLOOKUP("Src_CIDR_Le_16",'Scoring_Config'!$A:$A,'Scoring_Config'!$D:$D,"Yes")="Yes",_xlfn.XLOOKUP("Src_CIDR_Le_16",'Scoring_Config'!$A:$A,'Scoring_Config'!$C:$C,25),0),0)+IF(LEFT(AE428,4)="True",IF(_xlfn.XLOOKUP("Src_CIDR_17_22",'Scoring_Config'!$A:$A,'Scoring_Config'!$D:$D,"Yes")="Yes",_xlfn.XLOOKUP("Src_CIDR_17_22",'Scoring_Config'!$A:$A,'Scoring_Config'!$C:$C,15),0),0)+IF(LEFT(AF428,4)="True",IF(_xlfn.XLOOKUP("Dst_IsAny",'Scoring_Config'!$A:$A,'Scoring_Config'!$D:$D,"Yes")="Yes",_xlfn.XLOOKUP("Dst_IsAny",'Scoring_Config'!$A:$A,'Scoring_Config'!$C:$C,25),0),0)+IF(LEFT(AG428,4)="True",IF(_xlfn.XLOOKUP("Dst_CIDR_Le_16",'Scoring_Config'!$A:$A,'Scoring_Config'!$D:$D,"Yes")="Yes",_xlfn.XLOOKUP("Dst_CIDR_Le_16",'Scoring_Config'!$A:$A,'Scoring_Config'!$C:$C,25),0),0)+IF(LEFT(AH428,4)="True",IF(_xlfn.XLOOKUP("Dst_CIDR_17_22",'Scoring_Config'!$A:$A,'Scoring_Config'!$D:$D,"Yes")="Yes",_xlfn.XLOOKUP("Dst_CIDR_17_22",'Scoring_Config'!$A:$A,'Scoring_Config'!$C:$C,15),0),0)+IF(LEFT(AI428,4)="True",IF(_xlfn.XLOOKUP("SrcZone_IsAny",'Scoring_Config'!$A:$A,'Scoring_Config'!$D:$D,"Yes")="Yes",_xlfn.XLOOKUP("SrcZone_IsAny",'Scoring_Config'!$A:$A,'Scoring_Config'!$C:$C,5),0),0)+IF(LEFT(AJ428,4)="True",IF(_xlfn.XLOOKUP("DstZone_IsAny",'Scoring_Config'!$A:$A,'Scoring_Config'!$D:$D,"Yes")="Yes",_xlfn.XLOOKUP("DstZone_IsAny",'Scoring_Config'!$A:$A,'Scoring_Config'!$C:$C,5),0),0)+IF(LEFT(AK428,4)="True",IF(_xlfn.XLOOKUP("Service_Any_OR_RangeGt1000",'Scoring_Config'!$A:$A,'Scoring_Config'!$D:$D,"Yes")="Yes",_xlfn.XLOOKUP("Service_Any_OR_RangeGt1000",'Scoring_Config'!$A:$A,'Scoring_Config'!$C:$C,25),0),0)+IF(LEFT(AL428,4)="True",IF(_xlfn.XLOOKUP("App_Any_OR_RangeGt1000",'Scoring_Config'!$A:$A,'Scoring_Config'!$D:$D,"Yes")="Yes",_xlfn.XLOOKUP("App_Any_OR_RangeGt1000",'Scoring_Config'!$A:$A,'Scoring_Config'!$C:$C,25),0),0)+IF(LEFT(AM428,4)="True",IF(_xlfn.XLOOKUP("Service_Insecure_Match",'Scoring_Config'!$A:$A,'Scoring_Config'!$D:$D,"Yes")="Yes",_xlfn.XLOOKUP("Service_Insecure_Match",'Scoring_Config'!$A:$A,'Scoring_Config'!$C:$C,20),0),0)+IF(LEFT(AN428,4)="True",IF(_xlfn.XLOOKUP("Risky_Inbound",'Scoring_Config'!$A:$A,'Scoring_Config'!$D:$D,"Yes")="Yes",_xlfn.XLOOKUP("Risky_Inbound",'Scoring_Config'!$A:$A,'Scoring_Config'!$C:$C,20),0),0)+IF(LEFT(AO428,4)="True",IF(_xlfn.XLOOKUP("Risky_Outbound",'Scoring_Config'!$A:$A,'Scoring_Config'!$D:$D,"Yes")="Yes",_xlfn.XLOOKUP("Risky_Outbound",'Scoring_Config'!$A:$A,'Scoring_Config'!$C:$C,10),0),0)+IF(LEFT(AW428,4)="True",IF(_xlfn.XLOOKUP("Migrate_Insecure",'Scoring_Config'!$A:$A,'Scoring_Config'!$D:$D,"Yes")="Yes",_xlfn.XLOOKUP("Migrate_Insecure",'Scoring_Config'!$A:$A,'Scoring_Config'!$C:$C,15),0),0)+IF(LEFT(AY428,4)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428,FIND(",",AP428)+1,100)),0)+IF(LEFT(AQ428,4)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428,FIND(",",AR428)+1,100)),0)+IF(_xlfn.XLOOKUP("Profile_Scoring",'Scoring_Config'!$A:$A,'Scoring_Config'!$D:$D,"Yes")="Yes",VALUE(MID(AS428,FIND(",",AS428)+1,100)),0)+IF(_xlfn.XLOOKUP("Options_Scoring",'Scoring_Config'!$A:$A,'Scoring_Config'!$D:$D,"Yes")="Yes",VALUE(MID(AT428,FIND(",",AT428)+1,100)),0)))</f>
        <v>0</v>
      </c>
    </row>
    <row r="429" spans="1:52">
      <c r="A429" s="3" t="s">
        <v>55</v>
      </c>
      <c r="B429" s="3" t="s">
        <v>115</v>
      </c>
      <c r="C429" s="3" t="s">
        <v>332</v>
      </c>
      <c r="D429" s="3"/>
      <c r="E429" s="3" t="s">
        <v>359</v>
      </c>
      <c r="F429" s="3" t="s">
        <v>362</v>
      </c>
      <c r="G429" s="3" t="s">
        <v>528</v>
      </c>
      <c r="H429" s="3" t="s">
        <v>528</v>
      </c>
      <c r="I429" s="3" t="s">
        <v>623</v>
      </c>
      <c r="J429" s="3" t="s">
        <v>362</v>
      </c>
      <c r="K429" s="3" t="s">
        <v>513</v>
      </c>
      <c r="L429" s="3" t="s">
        <v>513</v>
      </c>
      <c r="M429" s="3" t="s">
        <v>773</v>
      </c>
      <c r="N429" s="3" t="s">
        <v>773</v>
      </c>
      <c r="O429" s="4" t="s">
        <v>860</v>
      </c>
      <c r="P429" s="3" t="s">
        <v>887</v>
      </c>
      <c r="Q429" s="3" t="s">
        <v>905</v>
      </c>
      <c r="R429" s="3" t="s">
        <v>911</v>
      </c>
      <c r="S429" s="3" t="s">
        <v>914</v>
      </c>
      <c r="T429" s="3" t="s">
        <v>1118</v>
      </c>
      <c r="U429" s="3" t="s">
        <v>1147</v>
      </c>
      <c r="V429" s="3" t="s">
        <v>772</v>
      </c>
      <c r="W429" s="3" t="s">
        <v>1497</v>
      </c>
      <c r="X429" s="3" t="s">
        <v>2033</v>
      </c>
      <c r="Y429" s="3" t="s">
        <v>2502</v>
      </c>
      <c r="Z429" s="3"/>
      <c r="AA429" s="3"/>
      <c r="AB429" s="3"/>
      <c r="AC429" s="4" cm="1">
        <f t="array" ref="AC429">IF(FALSE,"True," &amp; IF(_xlfn.XLOOKUP("Src_IsAny",'Scoring_Config'!$A:$A,'Scoring_Config'!$D:$D,"Yes")="Yes",_xlfn.XLOOKUP("Src_IsAny",'Scoring_Config'!$A:$A,'Scoring_Config'!$C:$C,25),0),"False,0")</f>
        <v>0</v>
      </c>
      <c r="AD429" s="4" cm="1">
        <f t="array" ref="AD429">IF(FALSE,"True," &amp; IF(_xlfn.XLOOKUP("Src_CIDR_Le_16",'Scoring_Config'!$A:$A,'Scoring_Config'!$D:$D,"Yes")="Yes",_xlfn.XLOOKUP("Src_CIDR_Le_16",'Scoring_Config'!$A:$A,'Scoring_Config'!$C:$C,25),0),"False,0")</f>
        <v>0</v>
      </c>
      <c r="AE429" s="4" cm="1">
        <f t="array" ref="AE429">IF(FALSE,"True," &amp; IF(_xlfn.XLOOKUP("Src_CIDR_17_22",'Scoring_Config'!$A:$A,'Scoring_Config'!$D:$D,"Yes")="Yes",_xlfn.XLOOKUP("Src_CIDR_17_22",'Scoring_Config'!$A:$A,'Scoring_Config'!$C:$C,15),0),"False,0")</f>
        <v>0</v>
      </c>
      <c r="AF429" s="4" cm="1">
        <f t="array" ref="AF429">IF(FALSE,"True," &amp; IF(_xlfn.XLOOKUP("Dst_IsAny",'Scoring_Config'!$A:$A,'Scoring_Config'!$D:$D,"Yes")="Yes",_xlfn.XLOOKUP("Dst_IsAny",'Scoring_Config'!$A:$A,'Scoring_Config'!$C:$C,25),0),"False,0")</f>
        <v>0</v>
      </c>
      <c r="AG429" s="5" cm="1">
        <f t="array" ref="AG429">IF(TRUE,"True," &amp; IF(_xlfn.XLOOKUP("Dst_CIDR_Le_16",'Scoring_Config'!$A:$A,'Scoring_Config'!$D:$D,"Yes")="Yes",_xlfn.XLOOKUP("Dst_CIDR_Le_16",'Scoring_Config'!$A:$A,'Scoring_Config'!$C:$C,25),0),"False,0")</f>
        <v>0</v>
      </c>
      <c r="AH429" s="4" cm="1">
        <f t="array" ref="AH429">IF(FALSE,"True," &amp; IF(_xlfn.XLOOKUP("Dst_CIDR_17_22",'Scoring_Config'!$A:$A,'Scoring_Config'!$D:$D,"Yes")="Yes",_xlfn.XLOOKUP("Dst_CIDR_17_22",'Scoring_Config'!$A:$A,'Scoring_Config'!$C:$C,15),0),"False,0")</f>
        <v>0</v>
      </c>
      <c r="AI429" s="4" cm="1">
        <f t="array" ref="AI429">IF(FALSE,"True," &amp; IF(_xlfn.XLOOKUP("SrcZone_IsAny",'Scoring_Config'!$A:$A,'Scoring_Config'!$D:$D,"Yes")="Yes",_xlfn.XLOOKUP("SrcZone_IsAny",'Scoring_Config'!$A:$A,'Scoring_Config'!$C:$C,5),0),"False,0")</f>
        <v>0</v>
      </c>
      <c r="AJ429" s="4" cm="1">
        <f t="array" ref="AJ429">IF(FALSE,"True," &amp; IF(_xlfn.XLOOKUP("DstZone_IsAny",'Scoring_Config'!$A:$A,'Scoring_Config'!$D:$D,"Yes")="Yes",_xlfn.XLOOKUP("DstZone_IsAny",'Scoring_Config'!$A:$A,'Scoring_Config'!$C:$C,5),0),"False,0")</f>
        <v>0</v>
      </c>
      <c r="AK429" s="4" cm="1">
        <f t="array" ref="AK42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29" s="4" cm="1">
        <f t="array" ref="AL429">IF(FALSE,"True," &amp; IF(_xlfn.XLOOKUP("App_Any_OR_RangeGt1000",'Scoring_Config'!$A:$A,'Scoring_Config'!$D:$D,"Yes")="Yes",_xlfn.XLOOKUP("App_Any_OR_RangeGt1000",'Scoring_Config'!$A:$A,'Scoring_Config'!$C:$C,25),0),"False,0")</f>
        <v>0</v>
      </c>
      <c r="AM429" s="5" cm="1">
        <f t="array" ref="AM429">IF(TRUE,"True," &amp; IF(_xlfn.XLOOKUP("Service_Insecure_Match",'Scoring_Config'!$A:$A,'Scoring_Config'!$D:$D,"Yes")="Yes",_xlfn.XLOOKUP("Service_Insecure_Match",'Scoring_Config'!$A:$A,'Scoring_Config'!$C:$C,20),0),"False,0")</f>
        <v>0</v>
      </c>
      <c r="AN429" s="4" cm="1">
        <f t="array" ref="AN429">IF(FALSE,"True," &amp; IF(_xlfn.XLOOKUP("Risky_Inbound",'Scoring_Config'!$A:$A,'Scoring_Config'!$D:$D,"Yes")="Yes",_xlfn.XLOOKUP("Risky_Inbound",'Scoring_Config'!$A:$A,'Scoring_Config'!$C:$C,20),0),"False,0")</f>
        <v>0</v>
      </c>
      <c r="AO429" s="4" cm="1">
        <f t="array" ref="AO429">IF(FALSE,"True," &amp; IF(_xlfn.XLOOKUP("Risky_Outbound",'Scoring_Config'!$A:$A,'Scoring_Config'!$D:$D,"Yes")="Yes",_xlfn.XLOOKUP("Risky_Outbound",'Scoring_Config'!$A:$A,'Scoring_Config'!$C:$C,10),0),"False,0")</f>
        <v>0</v>
      </c>
      <c r="AP429" s="5" t="s">
        <v>2595</v>
      </c>
      <c r="AQ429" s="5" cm="1">
        <f t="array" ref="AQ42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29" s="5" t="s">
        <v>2598</v>
      </c>
      <c r="AS429" s="4" t="s">
        <v>2592</v>
      </c>
      <c r="AT429" s="4" t="s">
        <v>2592</v>
      </c>
      <c r="AU429" s="4" cm="1">
        <f t="array" ref="AU429">IF(FALSE,"True," &amp; IF(_xlfn.XLOOKUP("Action_IsDenyOrDrop",'Scoring_Config'!$A:$A,'Scoring_Config'!$D:$D,"Yes")="Yes",_xlfn.XLOOKUP("Action_IsDenyOrDrop",'Scoring_Config'!$A:$A,'Scoring_Config'!$C:$C,0),0),"False,0")</f>
        <v>0</v>
      </c>
      <c r="AV429" s="4"/>
      <c r="AW429" s="4" cm="1">
        <f t="array" ref="AW429">IF(FALSE,"True," &amp; IF(_xlfn.XLOOKUP("Migrate_Insecure",'Scoring_Config'!$A:$A,'Scoring_Config'!$D:$D,"Yes")="Yes",_xlfn.XLOOKUP("Migrate_Insecure",'Scoring_Config'!$A:$A,'Scoring_Config'!$C:$C,15),0),"False,0")</f>
        <v>0</v>
      </c>
      <c r="AX429" s="4"/>
      <c r="AY429" s="4" cm="1">
        <f t="array" ref="AY429">IF(FALSE,"True," &amp; IF(_xlfn.XLOOKUP("Migrate_Other_Ports",'Scoring_Config'!$A:$A,'Scoring_Config'!$D:$D,"Yes")="Yes",_xlfn.XLOOKUP("Migrate_Other_Ports",'Scoring_Config'!$A:$A,'Scoring_Config'!$C:$C,5),0),"False,0")</f>
        <v>0</v>
      </c>
      <c r="AZ429" s="4" cm="1">
        <f t="array" ref="AZ429">IF(LEFT(AU429,4)="True",0,(IF(LEFT(AC429,4)="True",IF(_xlfn.XLOOKUP("Src_IsAny",'Scoring_Config'!$A:$A,'Scoring_Config'!$D:$D,"Yes")="Yes",_xlfn.XLOOKUP("Src_IsAny",'Scoring_Config'!$A:$A,'Scoring_Config'!$C:$C,25),0),0)+IF(LEFT(AD429,4)="True",IF(_xlfn.XLOOKUP("Src_CIDR_Le_16",'Scoring_Config'!$A:$A,'Scoring_Config'!$D:$D,"Yes")="Yes",_xlfn.XLOOKUP("Src_CIDR_Le_16",'Scoring_Config'!$A:$A,'Scoring_Config'!$C:$C,25),0),0)+IF(LEFT(AE429,4)="True",IF(_xlfn.XLOOKUP("Src_CIDR_17_22",'Scoring_Config'!$A:$A,'Scoring_Config'!$D:$D,"Yes")="Yes",_xlfn.XLOOKUP("Src_CIDR_17_22",'Scoring_Config'!$A:$A,'Scoring_Config'!$C:$C,15),0),0)+IF(LEFT(AF429,4)="True",IF(_xlfn.XLOOKUP("Dst_IsAny",'Scoring_Config'!$A:$A,'Scoring_Config'!$D:$D,"Yes")="Yes",_xlfn.XLOOKUP("Dst_IsAny",'Scoring_Config'!$A:$A,'Scoring_Config'!$C:$C,25),0),0)+IF(LEFT(AG429,4)="True",IF(_xlfn.XLOOKUP("Dst_CIDR_Le_16",'Scoring_Config'!$A:$A,'Scoring_Config'!$D:$D,"Yes")="Yes",_xlfn.XLOOKUP("Dst_CIDR_Le_16",'Scoring_Config'!$A:$A,'Scoring_Config'!$C:$C,25),0),0)+IF(LEFT(AH429,4)="True",IF(_xlfn.XLOOKUP("Dst_CIDR_17_22",'Scoring_Config'!$A:$A,'Scoring_Config'!$D:$D,"Yes")="Yes",_xlfn.XLOOKUP("Dst_CIDR_17_22",'Scoring_Config'!$A:$A,'Scoring_Config'!$C:$C,15),0),0)+IF(LEFT(AI429,4)="True",IF(_xlfn.XLOOKUP("SrcZone_IsAny",'Scoring_Config'!$A:$A,'Scoring_Config'!$D:$D,"Yes")="Yes",_xlfn.XLOOKUP("SrcZone_IsAny",'Scoring_Config'!$A:$A,'Scoring_Config'!$C:$C,5),0),0)+IF(LEFT(AJ429,4)="True",IF(_xlfn.XLOOKUP("DstZone_IsAny",'Scoring_Config'!$A:$A,'Scoring_Config'!$D:$D,"Yes")="Yes",_xlfn.XLOOKUP("DstZone_IsAny",'Scoring_Config'!$A:$A,'Scoring_Config'!$C:$C,5),0),0)+IF(LEFT(AK429,4)="True",IF(_xlfn.XLOOKUP("Service_Any_OR_RangeGt1000",'Scoring_Config'!$A:$A,'Scoring_Config'!$D:$D,"Yes")="Yes",_xlfn.XLOOKUP("Service_Any_OR_RangeGt1000",'Scoring_Config'!$A:$A,'Scoring_Config'!$C:$C,25),0),0)+IF(LEFT(AL429,4)="True",IF(_xlfn.XLOOKUP("App_Any_OR_RangeGt1000",'Scoring_Config'!$A:$A,'Scoring_Config'!$D:$D,"Yes")="Yes",_xlfn.XLOOKUP("App_Any_OR_RangeGt1000",'Scoring_Config'!$A:$A,'Scoring_Config'!$C:$C,25),0),0)+IF(LEFT(AM429,4)="True",IF(_xlfn.XLOOKUP("Service_Insecure_Match",'Scoring_Config'!$A:$A,'Scoring_Config'!$D:$D,"Yes")="Yes",_xlfn.XLOOKUP("Service_Insecure_Match",'Scoring_Config'!$A:$A,'Scoring_Config'!$C:$C,20),0),0)+IF(LEFT(AN429,4)="True",IF(_xlfn.XLOOKUP("Risky_Inbound",'Scoring_Config'!$A:$A,'Scoring_Config'!$D:$D,"Yes")="Yes",_xlfn.XLOOKUP("Risky_Inbound",'Scoring_Config'!$A:$A,'Scoring_Config'!$C:$C,20),0),0)+IF(LEFT(AO429,4)="True",IF(_xlfn.XLOOKUP("Risky_Outbound",'Scoring_Config'!$A:$A,'Scoring_Config'!$D:$D,"Yes")="Yes",_xlfn.XLOOKUP("Risky_Outbound",'Scoring_Config'!$A:$A,'Scoring_Config'!$C:$C,10),0),0)+IF(LEFT(AW429,4)="True",IF(_xlfn.XLOOKUP("Migrate_Insecure",'Scoring_Config'!$A:$A,'Scoring_Config'!$D:$D,"Yes")="Yes",_xlfn.XLOOKUP("Migrate_Insecure",'Scoring_Config'!$A:$A,'Scoring_Config'!$C:$C,15),0),0)+IF(LEFT(AY429,4)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429,FIND(",",AP429)+1,100)),0)+IF(LEFT(AQ429,4)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429,FIND(",",AR429)+1,100)),0)+IF(_xlfn.XLOOKUP("Profile_Scoring",'Scoring_Config'!$A:$A,'Scoring_Config'!$D:$D,"Yes")="Yes",VALUE(MID(AS429,FIND(",",AS429)+1,100)),0)+IF(_xlfn.XLOOKUP("Options_Scoring",'Scoring_Config'!$A:$A,'Scoring_Config'!$D:$D,"Yes")="Yes",VALUE(MID(AT429,FIND(",",AT429)+1,100)),0)))</f>
        <v>0</v>
      </c>
    </row>
    <row r="430" spans="1:52">
      <c r="A430" s="3" t="s">
        <v>55</v>
      </c>
      <c r="B430" s="3" t="s">
        <v>312</v>
      </c>
      <c r="C430" s="3" t="s">
        <v>332</v>
      </c>
      <c r="D430" s="3"/>
      <c r="E430" s="3" t="s">
        <v>359</v>
      </c>
      <c r="F430" s="3" t="s">
        <v>364</v>
      </c>
      <c r="G430" s="3" t="s">
        <v>518</v>
      </c>
      <c r="H430" s="3" t="s">
        <v>610</v>
      </c>
      <c r="I430" s="3" t="s">
        <v>624</v>
      </c>
      <c r="J430" s="3" t="s">
        <v>364</v>
      </c>
      <c r="K430" s="3" t="s">
        <v>525</v>
      </c>
      <c r="L430" s="3" t="s">
        <v>617</v>
      </c>
      <c r="M430" s="3" t="s">
        <v>772</v>
      </c>
      <c r="N430" s="3" t="s">
        <v>794</v>
      </c>
      <c r="O430" s="4" t="s">
        <v>815</v>
      </c>
      <c r="P430" s="3" t="s">
        <v>876</v>
      </c>
      <c r="Q430" s="3" t="s">
        <v>905</v>
      </c>
      <c r="R430" s="3" t="s">
        <v>906</v>
      </c>
      <c r="S430" s="3" t="s">
        <v>914</v>
      </c>
      <c r="T430" s="3" t="s">
        <v>1053</v>
      </c>
      <c r="U430" s="3" t="s">
        <v>1157</v>
      </c>
      <c r="V430" s="3" t="s">
        <v>1386</v>
      </c>
      <c r="W430" s="3" t="s">
        <v>1593</v>
      </c>
      <c r="X430" s="3" t="s">
        <v>2034</v>
      </c>
      <c r="Y430" s="3" t="s">
        <v>2503</v>
      </c>
      <c r="Z430" s="3"/>
      <c r="AA430" s="3"/>
      <c r="AB430" s="3"/>
      <c r="AC430" s="4" cm="1">
        <f t="array" ref="AC430">IF(FALSE,"True," &amp; IF(_xlfn.XLOOKUP("Src_IsAny",'Scoring_Config'!$A:$A,'Scoring_Config'!$D:$D,"Yes")="Yes",_xlfn.XLOOKUP("Src_IsAny",'Scoring_Config'!$A:$A,'Scoring_Config'!$C:$C,25),0),"False,0")</f>
        <v>0</v>
      </c>
      <c r="AD430" s="4" cm="1">
        <f t="array" ref="AD430">IF(FALSE,"True," &amp; IF(_xlfn.XLOOKUP("Src_CIDR_Le_16",'Scoring_Config'!$A:$A,'Scoring_Config'!$D:$D,"Yes")="Yes",_xlfn.XLOOKUP("Src_CIDR_Le_16",'Scoring_Config'!$A:$A,'Scoring_Config'!$C:$C,25),0),"False,0")</f>
        <v>0</v>
      </c>
      <c r="AE430" s="4" cm="1">
        <f t="array" ref="AE430">IF(FALSE,"True," &amp; IF(_xlfn.XLOOKUP("Src_CIDR_17_22",'Scoring_Config'!$A:$A,'Scoring_Config'!$D:$D,"Yes")="Yes",_xlfn.XLOOKUP("Src_CIDR_17_22",'Scoring_Config'!$A:$A,'Scoring_Config'!$C:$C,15),0),"False,0")</f>
        <v>0</v>
      </c>
      <c r="AF430" s="4" cm="1">
        <f t="array" ref="AF430">IF(FALSE,"True," &amp; IF(_xlfn.XLOOKUP("Dst_IsAny",'Scoring_Config'!$A:$A,'Scoring_Config'!$D:$D,"Yes")="Yes",_xlfn.XLOOKUP("Dst_IsAny",'Scoring_Config'!$A:$A,'Scoring_Config'!$C:$C,25),0),"False,0")</f>
        <v>0</v>
      </c>
      <c r="AG430" s="5" cm="1">
        <f t="array" ref="AG430">IF(TRUE,"True," &amp; IF(_xlfn.XLOOKUP("Dst_CIDR_Le_16",'Scoring_Config'!$A:$A,'Scoring_Config'!$D:$D,"Yes")="Yes",_xlfn.XLOOKUP("Dst_CIDR_Le_16",'Scoring_Config'!$A:$A,'Scoring_Config'!$C:$C,25),0),"False,0")</f>
        <v>0</v>
      </c>
      <c r="AH430" s="4" cm="1">
        <f t="array" ref="AH430">IF(FALSE,"True," &amp; IF(_xlfn.XLOOKUP("Dst_CIDR_17_22",'Scoring_Config'!$A:$A,'Scoring_Config'!$D:$D,"Yes")="Yes",_xlfn.XLOOKUP("Dst_CIDR_17_22",'Scoring_Config'!$A:$A,'Scoring_Config'!$C:$C,15),0),"False,0")</f>
        <v>0</v>
      </c>
      <c r="AI430" s="4" cm="1">
        <f t="array" ref="AI430">IF(FALSE,"True," &amp; IF(_xlfn.XLOOKUP("SrcZone_IsAny",'Scoring_Config'!$A:$A,'Scoring_Config'!$D:$D,"Yes")="Yes",_xlfn.XLOOKUP("SrcZone_IsAny",'Scoring_Config'!$A:$A,'Scoring_Config'!$C:$C,5),0),"False,0")</f>
        <v>0</v>
      </c>
      <c r="AJ430" s="4" cm="1">
        <f t="array" ref="AJ430">IF(FALSE,"True," &amp; IF(_xlfn.XLOOKUP("DstZone_IsAny",'Scoring_Config'!$A:$A,'Scoring_Config'!$D:$D,"Yes")="Yes",_xlfn.XLOOKUP("DstZone_IsAny",'Scoring_Config'!$A:$A,'Scoring_Config'!$C:$C,5),0),"False,0")</f>
        <v>0</v>
      </c>
      <c r="AK430" s="4" cm="1">
        <f t="array" ref="AK43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0" s="4" cm="1">
        <f t="array" ref="AL430">IF(FALSE,"True," &amp; IF(_xlfn.XLOOKUP("App_Any_OR_RangeGt1000",'Scoring_Config'!$A:$A,'Scoring_Config'!$D:$D,"Yes")="Yes",_xlfn.XLOOKUP("App_Any_OR_RangeGt1000",'Scoring_Config'!$A:$A,'Scoring_Config'!$C:$C,25),0),"False,0")</f>
        <v>0</v>
      </c>
      <c r="AM430" s="4" cm="1">
        <f t="array" ref="AM430">IF(FALSE,"True," &amp; IF(_xlfn.XLOOKUP("Service_Insecure_Match",'Scoring_Config'!$A:$A,'Scoring_Config'!$D:$D,"Yes")="Yes",_xlfn.XLOOKUP("Service_Insecure_Match",'Scoring_Config'!$A:$A,'Scoring_Config'!$C:$C,20),0),"False,0")</f>
        <v>0</v>
      </c>
      <c r="AN430" s="4" cm="1">
        <f t="array" ref="AN430">IF(FALSE,"True," &amp; IF(_xlfn.XLOOKUP("Risky_Inbound",'Scoring_Config'!$A:$A,'Scoring_Config'!$D:$D,"Yes")="Yes",_xlfn.XLOOKUP("Risky_Inbound",'Scoring_Config'!$A:$A,'Scoring_Config'!$C:$C,20),0),"False,0")</f>
        <v>0</v>
      </c>
      <c r="AO430" s="4" cm="1">
        <f t="array" ref="AO430">IF(FALSE,"True," &amp; IF(_xlfn.XLOOKUP("Risky_Outbound",'Scoring_Config'!$A:$A,'Scoring_Config'!$D:$D,"Yes")="Yes",_xlfn.XLOOKUP("Risky_Outbound",'Scoring_Config'!$A:$A,'Scoring_Config'!$C:$C,10),0),"False,0")</f>
        <v>0</v>
      </c>
      <c r="AP430" s="5" t="s">
        <v>2595</v>
      </c>
      <c r="AQ430" s="5" cm="1">
        <f t="array" ref="AQ43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0" s="5" t="s">
        <v>2598</v>
      </c>
      <c r="AS430" s="4" t="s">
        <v>2592</v>
      </c>
      <c r="AT430" s="4" t="s">
        <v>2592</v>
      </c>
      <c r="AU430" s="4" cm="1">
        <f t="array" ref="AU430">IF(FALSE,"True," &amp; IF(_xlfn.XLOOKUP("Action_IsDenyOrDrop",'Scoring_Config'!$A:$A,'Scoring_Config'!$D:$D,"Yes")="Yes",_xlfn.XLOOKUP("Action_IsDenyOrDrop",'Scoring_Config'!$A:$A,'Scoring_Config'!$C:$C,0),0),"False,0")</f>
        <v>0</v>
      </c>
      <c r="AV430" s="4"/>
      <c r="AW430" s="4" cm="1">
        <f t="array" ref="AW430">IF(FALSE,"True," &amp; IF(_xlfn.XLOOKUP("Migrate_Insecure",'Scoring_Config'!$A:$A,'Scoring_Config'!$D:$D,"Yes")="Yes",_xlfn.XLOOKUP("Migrate_Insecure",'Scoring_Config'!$A:$A,'Scoring_Config'!$C:$C,15),0),"False,0")</f>
        <v>0</v>
      </c>
      <c r="AX430" s="4"/>
      <c r="AY430" s="4" cm="1">
        <f t="array" ref="AY430">IF(FALSE,"True," &amp; IF(_xlfn.XLOOKUP("Migrate_Other_Ports",'Scoring_Config'!$A:$A,'Scoring_Config'!$D:$D,"Yes")="Yes",_xlfn.XLOOKUP("Migrate_Other_Ports",'Scoring_Config'!$A:$A,'Scoring_Config'!$C:$C,5),0),"False,0")</f>
        <v>0</v>
      </c>
      <c r="AZ430" s="4" cm="1">
        <f t="array" ref="AZ430">IF(LEFT(AU430,4)="True",0,(IF(LEFT(AC430,4)="True",IF(_xlfn.XLOOKUP("Src_IsAny",'Scoring_Config'!$A:$A,'Scoring_Config'!$D:$D,"Yes")="Yes",_xlfn.XLOOKUP("Src_IsAny",'Scoring_Config'!$A:$A,'Scoring_Config'!$C:$C,25),0),0)+IF(LEFT(AD430,4)="True",IF(_xlfn.XLOOKUP("Src_CIDR_Le_16",'Scoring_Config'!$A:$A,'Scoring_Config'!$D:$D,"Yes")="Yes",_xlfn.XLOOKUP("Src_CIDR_Le_16",'Scoring_Config'!$A:$A,'Scoring_Config'!$C:$C,25),0),0)+IF(LEFT(AE430,4)="True",IF(_xlfn.XLOOKUP("Src_CIDR_17_22",'Scoring_Config'!$A:$A,'Scoring_Config'!$D:$D,"Yes")="Yes",_xlfn.XLOOKUP("Src_CIDR_17_22",'Scoring_Config'!$A:$A,'Scoring_Config'!$C:$C,15),0),0)+IF(LEFT(AF430,4)="True",IF(_xlfn.XLOOKUP("Dst_IsAny",'Scoring_Config'!$A:$A,'Scoring_Config'!$D:$D,"Yes")="Yes",_xlfn.XLOOKUP("Dst_IsAny",'Scoring_Config'!$A:$A,'Scoring_Config'!$C:$C,25),0),0)+IF(LEFT(AG430,4)="True",IF(_xlfn.XLOOKUP("Dst_CIDR_Le_16",'Scoring_Config'!$A:$A,'Scoring_Config'!$D:$D,"Yes")="Yes",_xlfn.XLOOKUP("Dst_CIDR_Le_16",'Scoring_Config'!$A:$A,'Scoring_Config'!$C:$C,25),0),0)+IF(LEFT(AH430,4)="True",IF(_xlfn.XLOOKUP("Dst_CIDR_17_22",'Scoring_Config'!$A:$A,'Scoring_Config'!$D:$D,"Yes")="Yes",_xlfn.XLOOKUP("Dst_CIDR_17_22",'Scoring_Config'!$A:$A,'Scoring_Config'!$C:$C,15),0),0)+IF(LEFT(AI430,4)="True",IF(_xlfn.XLOOKUP("SrcZone_IsAny",'Scoring_Config'!$A:$A,'Scoring_Config'!$D:$D,"Yes")="Yes",_xlfn.XLOOKUP("SrcZone_IsAny",'Scoring_Config'!$A:$A,'Scoring_Config'!$C:$C,5),0),0)+IF(LEFT(AJ430,4)="True",IF(_xlfn.XLOOKUP("DstZone_IsAny",'Scoring_Config'!$A:$A,'Scoring_Config'!$D:$D,"Yes")="Yes",_xlfn.XLOOKUP("DstZone_IsAny",'Scoring_Config'!$A:$A,'Scoring_Config'!$C:$C,5),0),0)+IF(LEFT(AK430,4)="True",IF(_xlfn.XLOOKUP("Service_Any_OR_RangeGt1000",'Scoring_Config'!$A:$A,'Scoring_Config'!$D:$D,"Yes")="Yes",_xlfn.XLOOKUP("Service_Any_OR_RangeGt1000",'Scoring_Config'!$A:$A,'Scoring_Config'!$C:$C,25),0),0)+IF(LEFT(AL430,4)="True",IF(_xlfn.XLOOKUP("App_Any_OR_RangeGt1000",'Scoring_Config'!$A:$A,'Scoring_Config'!$D:$D,"Yes")="Yes",_xlfn.XLOOKUP("App_Any_OR_RangeGt1000",'Scoring_Config'!$A:$A,'Scoring_Config'!$C:$C,25),0),0)+IF(LEFT(AM430,4)="True",IF(_xlfn.XLOOKUP("Service_Insecure_Match",'Scoring_Config'!$A:$A,'Scoring_Config'!$D:$D,"Yes")="Yes",_xlfn.XLOOKUP("Service_Insecure_Match",'Scoring_Config'!$A:$A,'Scoring_Config'!$C:$C,20),0),0)+IF(LEFT(AN430,4)="True",IF(_xlfn.XLOOKUP("Risky_Inbound",'Scoring_Config'!$A:$A,'Scoring_Config'!$D:$D,"Yes")="Yes",_xlfn.XLOOKUP("Risky_Inbound",'Scoring_Config'!$A:$A,'Scoring_Config'!$C:$C,20),0),0)+IF(LEFT(AO430,4)="True",IF(_xlfn.XLOOKUP("Risky_Outbound",'Scoring_Config'!$A:$A,'Scoring_Config'!$D:$D,"Yes")="Yes",_xlfn.XLOOKUP("Risky_Outbound",'Scoring_Config'!$A:$A,'Scoring_Config'!$C:$C,10),0),0)+IF(LEFT(AW430,4)="True",IF(_xlfn.XLOOKUP("Migrate_Insecure",'Scoring_Config'!$A:$A,'Scoring_Config'!$D:$D,"Yes")="Yes",_xlfn.XLOOKUP("Migrate_Insecure",'Scoring_Config'!$A:$A,'Scoring_Config'!$C:$C,15),0),0)+IF(LEFT(AY430,4)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430,FIND(",",AP430)+1,100)),0)+IF(LEFT(AQ430,4)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430,FIND(",",AR430)+1,100)),0)+IF(_xlfn.XLOOKUP("Profile_Scoring",'Scoring_Config'!$A:$A,'Scoring_Config'!$D:$D,"Yes")="Yes",VALUE(MID(AS430,FIND(",",AS430)+1,100)),0)+IF(_xlfn.XLOOKUP("Options_Scoring",'Scoring_Config'!$A:$A,'Scoring_Config'!$D:$D,"Yes")="Yes",VALUE(MID(AT430,FIND(",",AT430)+1,100)),0)))</f>
        <v>0</v>
      </c>
    </row>
    <row r="431" spans="1:52">
      <c r="A431" s="3" t="s">
        <v>55</v>
      </c>
      <c r="B431" s="3" t="s">
        <v>167</v>
      </c>
      <c r="C431" s="3" t="s">
        <v>332</v>
      </c>
      <c r="D431" s="3"/>
      <c r="E431" s="3" t="s">
        <v>359</v>
      </c>
      <c r="F431" s="3" t="s">
        <v>361</v>
      </c>
      <c r="G431" s="3" t="s">
        <v>365</v>
      </c>
      <c r="H431" s="3" t="s">
        <v>365</v>
      </c>
      <c r="I431" s="3" t="s">
        <v>624</v>
      </c>
      <c r="J431" s="3" t="s">
        <v>360</v>
      </c>
      <c r="K431" s="3" t="s">
        <v>365</v>
      </c>
      <c r="L431" s="3" t="s">
        <v>365</v>
      </c>
      <c r="M431" s="3" t="s">
        <v>365</v>
      </c>
      <c r="N431" s="3" t="s">
        <v>365</v>
      </c>
      <c r="O431" s="4" t="s">
        <v>810</v>
      </c>
      <c r="P431" s="3" t="s">
        <v>871</v>
      </c>
      <c r="Q431" s="3" t="s">
        <v>905</v>
      </c>
      <c r="R431" s="3" t="s">
        <v>907</v>
      </c>
      <c r="S431" s="3" t="s">
        <v>913</v>
      </c>
      <c r="T431" s="3" t="s">
        <v>919</v>
      </c>
      <c r="U431" s="3" t="s">
        <v>1363</v>
      </c>
      <c r="V431" s="3" t="s">
        <v>789</v>
      </c>
      <c r="W431" s="3" t="s">
        <v>1580</v>
      </c>
      <c r="X431" s="3" t="s">
        <v>2035</v>
      </c>
      <c r="Y431" s="3" t="s">
        <v>2504</v>
      </c>
      <c r="Z431" s="3"/>
      <c r="AA431" s="3"/>
      <c r="AB431" s="3"/>
      <c r="AC431" s="5" cm="1">
        <f t="array" ref="AC431">IF(TRUE,"True," &amp; IF(_xlfn.XLOOKUP("Src_IsAny",'Scoring_Config'!$A:$A,'Scoring_Config'!$D:$D,"Yes")="Yes",_xlfn.XLOOKUP("Src_IsAny",'Scoring_Config'!$A:$A,'Scoring_Config'!$C:$C,25),0),"False,0")</f>
        <v>0</v>
      </c>
      <c r="AD431" s="4" cm="1">
        <f t="array" ref="AD431">IF(FALSE,"True," &amp; IF(_xlfn.XLOOKUP("Src_CIDR_Le_16",'Scoring_Config'!$A:$A,'Scoring_Config'!$D:$D,"Yes")="Yes",_xlfn.XLOOKUP("Src_CIDR_Le_16",'Scoring_Config'!$A:$A,'Scoring_Config'!$C:$C,25),0),"False,0")</f>
        <v>0</v>
      </c>
      <c r="AE431" s="4" cm="1">
        <f t="array" ref="AE431">IF(FALSE,"True," &amp; IF(_xlfn.XLOOKUP("Src_CIDR_17_22",'Scoring_Config'!$A:$A,'Scoring_Config'!$D:$D,"Yes")="Yes",_xlfn.XLOOKUP("Src_CIDR_17_22",'Scoring_Config'!$A:$A,'Scoring_Config'!$C:$C,15),0),"False,0")</f>
        <v>0</v>
      </c>
      <c r="AF431" s="5" cm="1">
        <f t="array" ref="AF431">IF(TRUE,"True," &amp; IF(_xlfn.XLOOKUP("Dst_IsAny",'Scoring_Config'!$A:$A,'Scoring_Config'!$D:$D,"Yes")="Yes",_xlfn.XLOOKUP("Dst_IsAny",'Scoring_Config'!$A:$A,'Scoring_Config'!$C:$C,25),0),"False,0")</f>
        <v>0</v>
      </c>
      <c r="AG431" s="4" cm="1">
        <f t="array" ref="AG431">IF(FALSE,"True," &amp; IF(_xlfn.XLOOKUP("Dst_CIDR_Le_16",'Scoring_Config'!$A:$A,'Scoring_Config'!$D:$D,"Yes")="Yes",_xlfn.XLOOKUP("Dst_CIDR_Le_16",'Scoring_Config'!$A:$A,'Scoring_Config'!$C:$C,25),0),"False,0")</f>
        <v>0</v>
      </c>
      <c r="AH431" s="4" cm="1">
        <f t="array" ref="AH431">IF(FALSE,"True," &amp; IF(_xlfn.XLOOKUP("Dst_CIDR_17_22",'Scoring_Config'!$A:$A,'Scoring_Config'!$D:$D,"Yes")="Yes",_xlfn.XLOOKUP("Dst_CIDR_17_22",'Scoring_Config'!$A:$A,'Scoring_Config'!$C:$C,15),0),"False,0")</f>
        <v>0</v>
      </c>
      <c r="AI431" s="4" cm="1">
        <f t="array" ref="AI431">IF(FALSE,"True," &amp; IF(_xlfn.XLOOKUP("SrcZone_IsAny",'Scoring_Config'!$A:$A,'Scoring_Config'!$D:$D,"Yes")="Yes",_xlfn.XLOOKUP("SrcZone_IsAny",'Scoring_Config'!$A:$A,'Scoring_Config'!$C:$C,5),0),"False,0")</f>
        <v>0</v>
      </c>
      <c r="AJ431" s="4" cm="1">
        <f t="array" ref="AJ431">IF(FALSE,"True," &amp; IF(_xlfn.XLOOKUP("DstZone_IsAny",'Scoring_Config'!$A:$A,'Scoring_Config'!$D:$D,"Yes")="Yes",_xlfn.XLOOKUP("DstZone_IsAny",'Scoring_Config'!$A:$A,'Scoring_Config'!$C:$C,5),0),"False,0")</f>
        <v>0</v>
      </c>
      <c r="AK431" s="4" cm="1">
        <f t="array" ref="AK43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1" s="5" cm="1">
        <f t="array" ref="AL431">IF(TRUE,"True," &amp; IF(_xlfn.XLOOKUP("App_Any_OR_RangeGt1000",'Scoring_Config'!$A:$A,'Scoring_Config'!$D:$D,"Yes")="Yes",_xlfn.XLOOKUP("App_Any_OR_RangeGt1000",'Scoring_Config'!$A:$A,'Scoring_Config'!$C:$C,25),0),"False,0")</f>
        <v>0</v>
      </c>
      <c r="AM431" s="5" cm="1">
        <f t="array" ref="AM431">IF(TRUE,"True," &amp; IF(_xlfn.XLOOKUP("Service_Insecure_Match",'Scoring_Config'!$A:$A,'Scoring_Config'!$D:$D,"Yes")="Yes",_xlfn.XLOOKUP("Service_Insecure_Match",'Scoring_Config'!$A:$A,'Scoring_Config'!$C:$C,20),0),"False,0")</f>
        <v>0</v>
      </c>
      <c r="AN431" s="4" cm="1">
        <f t="array" ref="AN431">IF(FALSE,"True," &amp; IF(_xlfn.XLOOKUP("Risky_Inbound",'Scoring_Config'!$A:$A,'Scoring_Config'!$D:$D,"Yes")="Yes",_xlfn.XLOOKUP("Risky_Inbound",'Scoring_Config'!$A:$A,'Scoring_Config'!$C:$C,20),0),"False,0")</f>
        <v>0</v>
      </c>
      <c r="AO431" s="4" cm="1">
        <f t="array" ref="AO431">IF(FALSE,"True," &amp; IF(_xlfn.XLOOKUP("Risky_Outbound",'Scoring_Config'!$A:$A,'Scoring_Config'!$D:$D,"Yes")="Yes",_xlfn.XLOOKUP("Risky_Outbound",'Scoring_Config'!$A:$A,'Scoring_Config'!$C:$C,10),0),"False,0")</f>
        <v>0</v>
      </c>
      <c r="AP431" s="5" t="s">
        <v>2595</v>
      </c>
      <c r="AQ431" s="4" cm="1">
        <f t="array" ref="AQ43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1" s="5" t="s">
        <v>2598</v>
      </c>
      <c r="AS431" s="5" t="s">
        <v>2595</v>
      </c>
      <c r="AT431" s="4" t="s">
        <v>2592</v>
      </c>
      <c r="AU431" s="4" cm="1">
        <f t="array" ref="AU431">IF(FALSE,"True," &amp; IF(_xlfn.XLOOKUP("Action_IsDenyOrDrop",'Scoring_Config'!$A:$A,'Scoring_Config'!$D:$D,"Yes")="Yes",_xlfn.XLOOKUP("Action_IsDenyOrDrop",'Scoring_Config'!$A:$A,'Scoring_Config'!$C:$C,0),0),"False,0")</f>
        <v>0</v>
      </c>
      <c r="AV431" s="4"/>
      <c r="AW431" s="4" cm="1">
        <f t="array" ref="AW431">IF(FALSE,"True," &amp; IF(_xlfn.XLOOKUP("Migrate_Insecure",'Scoring_Config'!$A:$A,'Scoring_Config'!$D:$D,"Yes")="Yes",_xlfn.XLOOKUP("Migrate_Insecure",'Scoring_Config'!$A:$A,'Scoring_Config'!$C:$C,15),0),"False,0")</f>
        <v>0</v>
      </c>
      <c r="AX431" s="4"/>
      <c r="AY431" s="4" cm="1">
        <f t="array" ref="AY431">IF(FALSE,"True," &amp; IF(_xlfn.XLOOKUP("Migrate_Other_Ports",'Scoring_Config'!$A:$A,'Scoring_Config'!$D:$D,"Yes")="Yes",_xlfn.XLOOKUP("Migrate_Other_Ports",'Scoring_Config'!$A:$A,'Scoring_Config'!$C:$C,5),0),"False,0")</f>
        <v>0</v>
      </c>
      <c r="AZ431" s="4" cm="1">
        <f t="array" ref="AZ431">IF(LEFT(AU431,4)="True",0,(IF(LEFT(AC431,4)="True",IF(_xlfn.XLOOKUP("Src_IsAny",'Scoring_Config'!$A:$A,'Scoring_Config'!$D:$D,"Yes")="Yes",_xlfn.XLOOKUP("Src_IsAny",'Scoring_Config'!$A:$A,'Scoring_Config'!$C:$C,25),0),0)+IF(LEFT(AD431,4)="True",IF(_xlfn.XLOOKUP("Src_CIDR_Le_16",'Scoring_Config'!$A:$A,'Scoring_Config'!$D:$D,"Yes")="Yes",_xlfn.XLOOKUP("Src_CIDR_Le_16",'Scoring_Config'!$A:$A,'Scoring_Config'!$C:$C,25),0),0)+IF(LEFT(AE431,4)="True",IF(_xlfn.XLOOKUP("Src_CIDR_17_22",'Scoring_Config'!$A:$A,'Scoring_Config'!$D:$D,"Yes")="Yes",_xlfn.XLOOKUP("Src_CIDR_17_22",'Scoring_Config'!$A:$A,'Scoring_Config'!$C:$C,15),0),0)+IF(LEFT(AF431,4)="True",IF(_xlfn.XLOOKUP("Dst_IsAny",'Scoring_Config'!$A:$A,'Scoring_Config'!$D:$D,"Yes")="Yes",_xlfn.XLOOKUP("Dst_IsAny",'Scoring_Config'!$A:$A,'Scoring_Config'!$C:$C,25),0),0)+IF(LEFT(AG431,4)="True",IF(_xlfn.XLOOKUP("Dst_CIDR_Le_16",'Scoring_Config'!$A:$A,'Scoring_Config'!$D:$D,"Yes")="Yes",_xlfn.XLOOKUP("Dst_CIDR_Le_16",'Scoring_Config'!$A:$A,'Scoring_Config'!$C:$C,25),0),0)+IF(LEFT(AH431,4)="True",IF(_xlfn.XLOOKUP("Dst_CIDR_17_22",'Scoring_Config'!$A:$A,'Scoring_Config'!$D:$D,"Yes")="Yes",_xlfn.XLOOKUP("Dst_CIDR_17_22",'Scoring_Config'!$A:$A,'Scoring_Config'!$C:$C,15),0),0)+IF(LEFT(AI431,4)="True",IF(_xlfn.XLOOKUP("SrcZone_IsAny",'Scoring_Config'!$A:$A,'Scoring_Config'!$D:$D,"Yes")="Yes",_xlfn.XLOOKUP("SrcZone_IsAny",'Scoring_Config'!$A:$A,'Scoring_Config'!$C:$C,5),0),0)+IF(LEFT(AJ431,4)="True",IF(_xlfn.XLOOKUP("DstZone_IsAny",'Scoring_Config'!$A:$A,'Scoring_Config'!$D:$D,"Yes")="Yes",_xlfn.XLOOKUP("DstZone_IsAny",'Scoring_Config'!$A:$A,'Scoring_Config'!$C:$C,5),0),0)+IF(LEFT(AK431,4)="True",IF(_xlfn.XLOOKUP("Service_Any_OR_RangeGt1000",'Scoring_Config'!$A:$A,'Scoring_Config'!$D:$D,"Yes")="Yes",_xlfn.XLOOKUP("Service_Any_OR_RangeGt1000",'Scoring_Config'!$A:$A,'Scoring_Config'!$C:$C,25),0),0)+IF(LEFT(AL431,4)="True",IF(_xlfn.XLOOKUP("App_Any_OR_RangeGt1000",'Scoring_Config'!$A:$A,'Scoring_Config'!$D:$D,"Yes")="Yes",_xlfn.XLOOKUP("App_Any_OR_RangeGt1000",'Scoring_Config'!$A:$A,'Scoring_Config'!$C:$C,25),0),0)+IF(LEFT(AM431,4)="True",IF(_xlfn.XLOOKUP("Service_Insecure_Match",'Scoring_Config'!$A:$A,'Scoring_Config'!$D:$D,"Yes")="Yes",_xlfn.XLOOKUP("Service_Insecure_Match",'Scoring_Config'!$A:$A,'Scoring_Config'!$C:$C,20),0),0)+IF(LEFT(AN431,4)="True",IF(_xlfn.XLOOKUP("Risky_Inbound",'Scoring_Config'!$A:$A,'Scoring_Config'!$D:$D,"Yes")="Yes",_xlfn.XLOOKUP("Risky_Inbound",'Scoring_Config'!$A:$A,'Scoring_Config'!$C:$C,20),0),0)+IF(LEFT(AO431,4)="True",IF(_xlfn.XLOOKUP("Risky_Outbound",'Scoring_Config'!$A:$A,'Scoring_Config'!$D:$D,"Yes")="Yes",_xlfn.XLOOKUP("Risky_Outbound",'Scoring_Config'!$A:$A,'Scoring_Config'!$C:$C,10),0),0)+IF(LEFT(AW431,4)="True",IF(_xlfn.XLOOKUP("Migrate_Insecure",'Scoring_Config'!$A:$A,'Scoring_Config'!$D:$D,"Yes")="Yes",_xlfn.XLOOKUP("Migrate_Insecure",'Scoring_Config'!$A:$A,'Scoring_Config'!$C:$C,15),0),0)+IF(LEFT(AY431,4)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431,FIND(",",AP431)+1,100)),0)+IF(LEFT(AQ431,4)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431,FIND(",",AR431)+1,100)),0)+IF(_xlfn.XLOOKUP("Profile_Scoring",'Scoring_Config'!$A:$A,'Scoring_Config'!$D:$D,"Yes")="Yes",VALUE(MID(AS431,FIND(",",AS431)+1,100)),0)+IF(_xlfn.XLOOKUP("Options_Scoring",'Scoring_Config'!$A:$A,'Scoring_Config'!$D:$D,"Yes")="Yes",VALUE(MID(AT431,FIND(",",AT431)+1,100)),0)))</f>
        <v>0</v>
      </c>
    </row>
    <row r="432" spans="1:52">
      <c r="A432" s="3" t="s">
        <v>55</v>
      </c>
      <c r="B432" s="3" t="s">
        <v>187</v>
      </c>
      <c r="C432" s="3" t="s">
        <v>332</v>
      </c>
      <c r="D432" s="3"/>
      <c r="E432" s="3" t="s">
        <v>359</v>
      </c>
      <c r="F432" s="3" t="s">
        <v>361</v>
      </c>
      <c r="G432" s="3" t="s">
        <v>365</v>
      </c>
      <c r="H432" s="3" t="s">
        <v>365</v>
      </c>
      <c r="I432" s="3" t="s">
        <v>622</v>
      </c>
      <c r="J432" s="3" t="s">
        <v>363</v>
      </c>
      <c r="K432" s="3" t="s">
        <v>529</v>
      </c>
      <c r="L432" s="3" t="s">
        <v>529</v>
      </c>
      <c r="M432" s="3" t="s">
        <v>773</v>
      </c>
      <c r="N432" s="3" t="s">
        <v>773</v>
      </c>
      <c r="O432" s="4" t="s">
        <v>859</v>
      </c>
      <c r="P432" s="3" t="s">
        <v>881</v>
      </c>
      <c r="Q432" s="3" t="s">
        <v>905</v>
      </c>
      <c r="R432" s="3" t="s">
        <v>907</v>
      </c>
      <c r="S432" s="3" t="s">
        <v>914</v>
      </c>
      <c r="T432" s="3" t="s">
        <v>1119</v>
      </c>
      <c r="U432" s="3" t="s">
        <v>1364</v>
      </c>
      <c r="V432" s="3" t="s">
        <v>1386</v>
      </c>
      <c r="W432" s="3" t="s">
        <v>1594</v>
      </c>
      <c r="X432" s="3" t="s">
        <v>2036</v>
      </c>
      <c r="Y432" s="3" t="s">
        <v>2505</v>
      </c>
      <c r="Z432" s="3"/>
      <c r="AA432" s="3"/>
      <c r="AB432" s="3"/>
      <c r="AC432" s="5" cm="1">
        <f t="array" ref="AC432">IF(TRUE,"True," &amp; IF(_xlfn.XLOOKUP("Src_IsAny",'Scoring_Config'!$A:$A,'Scoring_Config'!$D:$D,"Yes")="Yes",_xlfn.XLOOKUP("Src_IsAny",'Scoring_Config'!$A:$A,'Scoring_Config'!$C:$C,25),0),"False,0")</f>
        <v>0</v>
      </c>
      <c r="AD432" s="4" cm="1">
        <f t="array" ref="AD432">IF(FALSE,"True," &amp; IF(_xlfn.XLOOKUP("Src_CIDR_Le_16",'Scoring_Config'!$A:$A,'Scoring_Config'!$D:$D,"Yes")="Yes",_xlfn.XLOOKUP("Src_CIDR_Le_16",'Scoring_Config'!$A:$A,'Scoring_Config'!$C:$C,25),0),"False,0")</f>
        <v>0</v>
      </c>
      <c r="AE432" s="4" cm="1">
        <f t="array" ref="AE432">IF(FALSE,"True," &amp; IF(_xlfn.XLOOKUP("Src_CIDR_17_22",'Scoring_Config'!$A:$A,'Scoring_Config'!$D:$D,"Yes")="Yes",_xlfn.XLOOKUP("Src_CIDR_17_22",'Scoring_Config'!$A:$A,'Scoring_Config'!$C:$C,15),0),"False,0")</f>
        <v>0</v>
      </c>
      <c r="AF432" s="4" cm="1">
        <f t="array" ref="AF432">IF(FALSE,"True," &amp; IF(_xlfn.XLOOKUP("Dst_IsAny",'Scoring_Config'!$A:$A,'Scoring_Config'!$D:$D,"Yes")="Yes",_xlfn.XLOOKUP("Dst_IsAny",'Scoring_Config'!$A:$A,'Scoring_Config'!$C:$C,25),0),"False,0")</f>
        <v>0</v>
      </c>
      <c r="AG432" s="5" cm="1">
        <f t="array" ref="AG432">IF(TRUE,"True," &amp; IF(_xlfn.XLOOKUP("Dst_CIDR_Le_16",'Scoring_Config'!$A:$A,'Scoring_Config'!$D:$D,"Yes")="Yes",_xlfn.XLOOKUP("Dst_CIDR_Le_16",'Scoring_Config'!$A:$A,'Scoring_Config'!$C:$C,25),0),"False,0")</f>
        <v>0</v>
      </c>
      <c r="AH432" s="4" cm="1">
        <f t="array" ref="AH432">IF(FALSE,"True," &amp; IF(_xlfn.XLOOKUP("Dst_CIDR_17_22",'Scoring_Config'!$A:$A,'Scoring_Config'!$D:$D,"Yes")="Yes",_xlfn.XLOOKUP("Dst_CIDR_17_22",'Scoring_Config'!$A:$A,'Scoring_Config'!$C:$C,15),0),"False,0")</f>
        <v>0</v>
      </c>
      <c r="AI432" s="4" cm="1">
        <f t="array" ref="AI432">IF(FALSE,"True," &amp; IF(_xlfn.XLOOKUP("SrcZone_IsAny",'Scoring_Config'!$A:$A,'Scoring_Config'!$D:$D,"Yes")="Yes",_xlfn.XLOOKUP("SrcZone_IsAny",'Scoring_Config'!$A:$A,'Scoring_Config'!$C:$C,5),0),"False,0")</f>
        <v>0</v>
      </c>
      <c r="AJ432" s="4" cm="1">
        <f t="array" ref="AJ432">IF(FALSE,"True," &amp; IF(_xlfn.XLOOKUP("DstZone_IsAny",'Scoring_Config'!$A:$A,'Scoring_Config'!$D:$D,"Yes")="Yes",_xlfn.XLOOKUP("DstZone_IsAny",'Scoring_Config'!$A:$A,'Scoring_Config'!$C:$C,5),0),"False,0")</f>
        <v>0</v>
      </c>
      <c r="AK432" s="4" cm="1">
        <f t="array" ref="AK43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2" s="4" cm="1">
        <f t="array" ref="AL432">IF(FALSE,"True," &amp; IF(_xlfn.XLOOKUP("App_Any_OR_RangeGt1000",'Scoring_Config'!$A:$A,'Scoring_Config'!$D:$D,"Yes")="Yes",_xlfn.XLOOKUP("App_Any_OR_RangeGt1000",'Scoring_Config'!$A:$A,'Scoring_Config'!$C:$C,25),0),"False,0")</f>
        <v>0</v>
      </c>
      <c r="AM432" s="5" cm="1">
        <f t="array" ref="AM432">IF(TRUE,"True," &amp; IF(_xlfn.XLOOKUP("Service_Insecure_Match",'Scoring_Config'!$A:$A,'Scoring_Config'!$D:$D,"Yes")="Yes",_xlfn.XLOOKUP("Service_Insecure_Match",'Scoring_Config'!$A:$A,'Scoring_Config'!$C:$C,20),0),"False,0")</f>
        <v>0</v>
      </c>
      <c r="AN432" s="4" cm="1">
        <f t="array" ref="AN432">IF(FALSE,"True," &amp; IF(_xlfn.XLOOKUP("Risky_Inbound",'Scoring_Config'!$A:$A,'Scoring_Config'!$D:$D,"Yes")="Yes",_xlfn.XLOOKUP("Risky_Inbound",'Scoring_Config'!$A:$A,'Scoring_Config'!$C:$C,20),0),"False,0")</f>
        <v>0</v>
      </c>
      <c r="AO432" s="4" cm="1">
        <f t="array" ref="AO432">IF(FALSE,"True," &amp; IF(_xlfn.XLOOKUP("Risky_Outbound",'Scoring_Config'!$A:$A,'Scoring_Config'!$D:$D,"Yes")="Yes",_xlfn.XLOOKUP("Risky_Outbound",'Scoring_Config'!$A:$A,'Scoring_Config'!$C:$C,10),0),"False,0")</f>
        <v>0</v>
      </c>
      <c r="AP432" s="5" t="s">
        <v>2595</v>
      </c>
      <c r="AQ432" s="4" cm="1">
        <f t="array" ref="AQ43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2" s="5" t="s">
        <v>2598</v>
      </c>
      <c r="AS432" s="5" t="s">
        <v>2595</v>
      </c>
      <c r="AT432" s="4" t="s">
        <v>2592</v>
      </c>
      <c r="AU432" s="4" cm="1">
        <f t="array" ref="AU432">IF(FALSE,"True," &amp; IF(_xlfn.XLOOKUP("Action_IsDenyOrDrop",'Scoring_Config'!$A:$A,'Scoring_Config'!$D:$D,"Yes")="Yes",_xlfn.XLOOKUP("Action_IsDenyOrDrop",'Scoring_Config'!$A:$A,'Scoring_Config'!$C:$C,0),0),"False,0")</f>
        <v>0</v>
      </c>
      <c r="AV432" s="4"/>
      <c r="AW432" s="4" cm="1">
        <f t="array" ref="AW432">IF(FALSE,"True," &amp; IF(_xlfn.XLOOKUP("Migrate_Insecure",'Scoring_Config'!$A:$A,'Scoring_Config'!$D:$D,"Yes")="Yes",_xlfn.XLOOKUP("Migrate_Insecure",'Scoring_Config'!$A:$A,'Scoring_Config'!$C:$C,15),0),"False,0")</f>
        <v>0</v>
      </c>
      <c r="AX432" s="4"/>
      <c r="AY432" s="4" cm="1">
        <f t="array" ref="AY432">IF(FALSE,"True," &amp; IF(_xlfn.XLOOKUP("Migrate_Other_Ports",'Scoring_Config'!$A:$A,'Scoring_Config'!$D:$D,"Yes")="Yes",_xlfn.XLOOKUP("Migrate_Other_Ports",'Scoring_Config'!$A:$A,'Scoring_Config'!$C:$C,5),0),"False,0")</f>
        <v>0</v>
      </c>
      <c r="AZ432" s="4" cm="1">
        <f t="array" ref="AZ432">IF(LEFT(AU432,4)="True",0,(IF(LEFT(AC432,4)="True",IF(_xlfn.XLOOKUP("Src_IsAny",'Scoring_Config'!$A:$A,'Scoring_Config'!$D:$D,"Yes")="Yes",_xlfn.XLOOKUP("Src_IsAny",'Scoring_Config'!$A:$A,'Scoring_Config'!$C:$C,25),0),0)+IF(LEFT(AD432,4)="True",IF(_xlfn.XLOOKUP("Src_CIDR_Le_16",'Scoring_Config'!$A:$A,'Scoring_Config'!$D:$D,"Yes")="Yes",_xlfn.XLOOKUP("Src_CIDR_Le_16",'Scoring_Config'!$A:$A,'Scoring_Config'!$C:$C,25),0),0)+IF(LEFT(AE432,4)="True",IF(_xlfn.XLOOKUP("Src_CIDR_17_22",'Scoring_Config'!$A:$A,'Scoring_Config'!$D:$D,"Yes")="Yes",_xlfn.XLOOKUP("Src_CIDR_17_22",'Scoring_Config'!$A:$A,'Scoring_Config'!$C:$C,15),0),0)+IF(LEFT(AF432,4)="True",IF(_xlfn.XLOOKUP("Dst_IsAny",'Scoring_Config'!$A:$A,'Scoring_Config'!$D:$D,"Yes")="Yes",_xlfn.XLOOKUP("Dst_IsAny",'Scoring_Config'!$A:$A,'Scoring_Config'!$C:$C,25),0),0)+IF(LEFT(AG432,4)="True",IF(_xlfn.XLOOKUP("Dst_CIDR_Le_16",'Scoring_Config'!$A:$A,'Scoring_Config'!$D:$D,"Yes")="Yes",_xlfn.XLOOKUP("Dst_CIDR_Le_16",'Scoring_Config'!$A:$A,'Scoring_Config'!$C:$C,25),0),0)+IF(LEFT(AH432,4)="True",IF(_xlfn.XLOOKUP("Dst_CIDR_17_22",'Scoring_Config'!$A:$A,'Scoring_Config'!$D:$D,"Yes")="Yes",_xlfn.XLOOKUP("Dst_CIDR_17_22",'Scoring_Config'!$A:$A,'Scoring_Config'!$C:$C,15),0),0)+IF(LEFT(AI432,4)="True",IF(_xlfn.XLOOKUP("SrcZone_IsAny",'Scoring_Config'!$A:$A,'Scoring_Config'!$D:$D,"Yes")="Yes",_xlfn.XLOOKUP("SrcZone_IsAny",'Scoring_Config'!$A:$A,'Scoring_Config'!$C:$C,5),0),0)+IF(LEFT(AJ432,4)="True",IF(_xlfn.XLOOKUP("DstZone_IsAny",'Scoring_Config'!$A:$A,'Scoring_Config'!$D:$D,"Yes")="Yes",_xlfn.XLOOKUP("DstZone_IsAny",'Scoring_Config'!$A:$A,'Scoring_Config'!$C:$C,5),0),0)+IF(LEFT(AK432,4)="True",IF(_xlfn.XLOOKUP("Service_Any_OR_RangeGt1000",'Scoring_Config'!$A:$A,'Scoring_Config'!$D:$D,"Yes")="Yes",_xlfn.XLOOKUP("Service_Any_OR_RangeGt1000",'Scoring_Config'!$A:$A,'Scoring_Config'!$C:$C,25),0),0)+IF(LEFT(AL432,4)="True",IF(_xlfn.XLOOKUP("App_Any_OR_RangeGt1000",'Scoring_Config'!$A:$A,'Scoring_Config'!$D:$D,"Yes")="Yes",_xlfn.XLOOKUP("App_Any_OR_RangeGt1000",'Scoring_Config'!$A:$A,'Scoring_Config'!$C:$C,25),0),0)+IF(LEFT(AM432,4)="True",IF(_xlfn.XLOOKUP("Service_Insecure_Match",'Scoring_Config'!$A:$A,'Scoring_Config'!$D:$D,"Yes")="Yes",_xlfn.XLOOKUP("Service_Insecure_Match",'Scoring_Config'!$A:$A,'Scoring_Config'!$C:$C,20),0),0)+IF(LEFT(AN432,4)="True",IF(_xlfn.XLOOKUP("Risky_Inbound",'Scoring_Config'!$A:$A,'Scoring_Config'!$D:$D,"Yes")="Yes",_xlfn.XLOOKUP("Risky_Inbound",'Scoring_Config'!$A:$A,'Scoring_Config'!$C:$C,20),0),0)+IF(LEFT(AO432,4)="True",IF(_xlfn.XLOOKUP("Risky_Outbound",'Scoring_Config'!$A:$A,'Scoring_Config'!$D:$D,"Yes")="Yes",_xlfn.XLOOKUP("Risky_Outbound",'Scoring_Config'!$A:$A,'Scoring_Config'!$C:$C,10),0),0)+IF(LEFT(AW432,4)="True",IF(_xlfn.XLOOKUP("Migrate_Insecure",'Scoring_Config'!$A:$A,'Scoring_Config'!$D:$D,"Yes")="Yes",_xlfn.XLOOKUP("Migrate_Insecure",'Scoring_Config'!$A:$A,'Scoring_Config'!$C:$C,15),0),0)+IF(LEFT(AY432,4)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432,FIND(",",AP432)+1,100)),0)+IF(LEFT(AQ432,4)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432,FIND(",",AR432)+1,100)),0)+IF(_xlfn.XLOOKUP("Profile_Scoring",'Scoring_Config'!$A:$A,'Scoring_Config'!$D:$D,"Yes")="Yes",VALUE(MID(AS432,FIND(",",AS432)+1,100)),0)+IF(_xlfn.XLOOKUP("Options_Scoring",'Scoring_Config'!$A:$A,'Scoring_Config'!$D:$D,"Yes")="Yes",VALUE(MID(AT432,FIND(",",AT432)+1,100)),0)))</f>
        <v>0</v>
      </c>
    </row>
    <row r="433" spans="1:52">
      <c r="A433" s="3" t="s">
        <v>55</v>
      </c>
      <c r="B433" s="3" t="s">
        <v>313</v>
      </c>
      <c r="C433" s="3" t="s">
        <v>332</v>
      </c>
      <c r="D433" s="3"/>
      <c r="E433" s="3" t="s">
        <v>359</v>
      </c>
      <c r="F433" s="3" t="s">
        <v>361</v>
      </c>
      <c r="G433" s="3" t="s">
        <v>365</v>
      </c>
      <c r="H433" s="3" t="s">
        <v>365</v>
      </c>
      <c r="I433" s="3" t="s">
        <v>622</v>
      </c>
      <c r="J433" s="3" t="s">
        <v>360</v>
      </c>
      <c r="K433" s="3" t="s">
        <v>365</v>
      </c>
      <c r="L433" s="3" t="s">
        <v>365</v>
      </c>
      <c r="M433" s="3" t="s">
        <v>365</v>
      </c>
      <c r="N433" s="3" t="s">
        <v>365</v>
      </c>
      <c r="O433" s="4" t="s">
        <v>801</v>
      </c>
      <c r="P433" s="3" t="s">
        <v>862</v>
      </c>
      <c r="Q433" s="3" t="s">
        <v>905</v>
      </c>
      <c r="R433" s="3" t="s">
        <v>907</v>
      </c>
      <c r="S433" s="3" t="s">
        <v>913</v>
      </c>
      <c r="T433" s="3" t="s">
        <v>1120</v>
      </c>
      <c r="U433" s="3" t="s">
        <v>1365</v>
      </c>
      <c r="V433" s="3" t="s">
        <v>1386</v>
      </c>
      <c r="W433" s="3" t="s">
        <v>1567</v>
      </c>
      <c r="X433" s="3" t="s">
        <v>2037</v>
      </c>
      <c r="Y433" s="3" t="s">
        <v>2506</v>
      </c>
      <c r="Z433" s="3"/>
      <c r="AA433" s="3"/>
      <c r="AB433" s="3"/>
      <c r="AC433" s="5" cm="1">
        <f t="array" ref="AC433">IF(TRUE,"True," &amp; IF(_xlfn.XLOOKUP("Src_IsAny",'Scoring_Config'!$A:$A,'Scoring_Config'!$D:$D,"Yes")="Yes",_xlfn.XLOOKUP("Src_IsAny",'Scoring_Config'!$A:$A,'Scoring_Config'!$C:$C,25),0),"False,0")</f>
        <v>0</v>
      </c>
      <c r="AD433" s="4" cm="1">
        <f t="array" ref="AD433">IF(FALSE,"True," &amp; IF(_xlfn.XLOOKUP("Src_CIDR_Le_16",'Scoring_Config'!$A:$A,'Scoring_Config'!$D:$D,"Yes")="Yes",_xlfn.XLOOKUP("Src_CIDR_Le_16",'Scoring_Config'!$A:$A,'Scoring_Config'!$C:$C,25),0),"False,0")</f>
        <v>0</v>
      </c>
      <c r="AE433" s="4" cm="1">
        <f t="array" ref="AE433">IF(FALSE,"True," &amp; IF(_xlfn.XLOOKUP("Src_CIDR_17_22",'Scoring_Config'!$A:$A,'Scoring_Config'!$D:$D,"Yes")="Yes",_xlfn.XLOOKUP("Src_CIDR_17_22",'Scoring_Config'!$A:$A,'Scoring_Config'!$C:$C,15),0),"False,0")</f>
        <v>0</v>
      </c>
      <c r="AF433" s="5" cm="1">
        <f t="array" ref="AF433">IF(TRUE,"True," &amp; IF(_xlfn.XLOOKUP("Dst_IsAny",'Scoring_Config'!$A:$A,'Scoring_Config'!$D:$D,"Yes")="Yes",_xlfn.XLOOKUP("Dst_IsAny",'Scoring_Config'!$A:$A,'Scoring_Config'!$C:$C,25),0),"False,0")</f>
        <v>0</v>
      </c>
      <c r="AG433" s="4" cm="1">
        <f t="array" ref="AG433">IF(FALSE,"True," &amp; IF(_xlfn.XLOOKUP("Dst_CIDR_Le_16",'Scoring_Config'!$A:$A,'Scoring_Config'!$D:$D,"Yes")="Yes",_xlfn.XLOOKUP("Dst_CIDR_Le_16",'Scoring_Config'!$A:$A,'Scoring_Config'!$C:$C,25),0),"False,0")</f>
        <v>0</v>
      </c>
      <c r="AH433" s="4" cm="1">
        <f t="array" ref="AH433">IF(FALSE,"True," &amp; IF(_xlfn.XLOOKUP("Dst_CIDR_17_22",'Scoring_Config'!$A:$A,'Scoring_Config'!$D:$D,"Yes")="Yes",_xlfn.XLOOKUP("Dst_CIDR_17_22",'Scoring_Config'!$A:$A,'Scoring_Config'!$C:$C,15),0),"False,0")</f>
        <v>0</v>
      </c>
      <c r="AI433" s="4" cm="1">
        <f t="array" ref="AI433">IF(FALSE,"True," &amp; IF(_xlfn.XLOOKUP("SrcZone_IsAny",'Scoring_Config'!$A:$A,'Scoring_Config'!$D:$D,"Yes")="Yes",_xlfn.XLOOKUP("SrcZone_IsAny",'Scoring_Config'!$A:$A,'Scoring_Config'!$C:$C,5),0),"False,0")</f>
        <v>0</v>
      </c>
      <c r="AJ433" s="4" cm="1">
        <f t="array" ref="AJ433">IF(FALSE,"True," &amp; IF(_xlfn.XLOOKUP("DstZone_IsAny",'Scoring_Config'!$A:$A,'Scoring_Config'!$D:$D,"Yes")="Yes",_xlfn.XLOOKUP("DstZone_IsAny",'Scoring_Config'!$A:$A,'Scoring_Config'!$C:$C,5),0),"False,0")</f>
        <v>0</v>
      </c>
      <c r="AK433" s="4" cm="1">
        <f t="array" ref="AK43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3" s="5" cm="1">
        <f t="array" ref="AL433">IF(TRUE,"True," &amp; IF(_xlfn.XLOOKUP("App_Any_OR_RangeGt1000",'Scoring_Config'!$A:$A,'Scoring_Config'!$D:$D,"Yes")="Yes",_xlfn.XLOOKUP("App_Any_OR_RangeGt1000",'Scoring_Config'!$A:$A,'Scoring_Config'!$C:$C,25),0),"False,0")</f>
        <v>0</v>
      </c>
      <c r="AM433" s="5" cm="1">
        <f t="array" ref="AM433">IF(TRUE,"True," &amp; IF(_xlfn.XLOOKUP("Service_Insecure_Match",'Scoring_Config'!$A:$A,'Scoring_Config'!$D:$D,"Yes")="Yes",_xlfn.XLOOKUP("Service_Insecure_Match",'Scoring_Config'!$A:$A,'Scoring_Config'!$C:$C,20),0),"False,0")</f>
        <v>0</v>
      </c>
      <c r="AN433" s="4" cm="1">
        <f t="array" ref="AN433">IF(FALSE,"True," &amp; IF(_xlfn.XLOOKUP("Risky_Inbound",'Scoring_Config'!$A:$A,'Scoring_Config'!$D:$D,"Yes")="Yes",_xlfn.XLOOKUP("Risky_Inbound",'Scoring_Config'!$A:$A,'Scoring_Config'!$C:$C,20),0),"False,0")</f>
        <v>0</v>
      </c>
      <c r="AO433" s="4" cm="1">
        <f t="array" ref="AO433">IF(FALSE,"True," &amp; IF(_xlfn.XLOOKUP("Risky_Outbound",'Scoring_Config'!$A:$A,'Scoring_Config'!$D:$D,"Yes")="Yes",_xlfn.XLOOKUP("Risky_Outbound",'Scoring_Config'!$A:$A,'Scoring_Config'!$C:$C,10),0),"False,0")</f>
        <v>0</v>
      </c>
      <c r="AP433" s="5" t="s">
        <v>2595</v>
      </c>
      <c r="AQ433" s="4" cm="1">
        <f t="array" ref="AQ43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3" s="5" t="s">
        <v>2598</v>
      </c>
      <c r="AS433" s="5" t="s">
        <v>2595</v>
      </c>
      <c r="AT433" s="4" t="s">
        <v>2592</v>
      </c>
      <c r="AU433" s="4" cm="1">
        <f t="array" ref="AU433">IF(FALSE,"True," &amp; IF(_xlfn.XLOOKUP("Action_IsDenyOrDrop",'Scoring_Config'!$A:$A,'Scoring_Config'!$D:$D,"Yes")="Yes",_xlfn.XLOOKUP("Action_IsDenyOrDrop",'Scoring_Config'!$A:$A,'Scoring_Config'!$C:$C,0),0),"False,0")</f>
        <v>0</v>
      </c>
      <c r="AV433" s="4"/>
      <c r="AW433" s="4" cm="1">
        <f t="array" ref="AW433">IF(FALSE,"True," &amp; IF(_xlfn.XLOOKUP("Migrate_Insecure",'Scoring_Config'!$A:$A,'Scoring_Config'!$D:$D,"Yes")="Yes",_xlfn.XLOOKUP("Migrate_Insecure",'Scoring_Config'!$A:$A,'Scoring_Config'!$C:$C,15),0),"False,0")</f>
        <v>0</v>
      </c>
      <c r="AX433" s="4"/>
      <c r="AY433" s="4" cm="1">
        <f t="array" ref="AY433">IF(FALSE,"True," &amp; IF(_xlfn.XLOOKUP("Migrate_Other_Ports",'Scoring_Config'!$A:$A,'Scoring_Config'!$D:$D,"Yes")="Yes",_xlfn.XLOOKUP("Migrate_Other_Ports",'Scoring_Config'!$A:$A,'Scoring_Config'!$C:$C,5),0),"False,0")</f>
        <v>0</v>
      </c>
      <c r="AZ433" s="4" cm="1">
        <f t="array" ref="AZ433">IF(LEFT(AU433,4)="True",0,(IF(LEFT(AC433,4)="True",IF(_xlfn.XLOOKUP("Src_IsAny",'Scoring_Config'!$A:$A,'Scoring_Config'!$D:$D,"Yes")="Yes",_xlfn.XLOOKUP("Src_IsAny",'Scoring_Config'!$A:$A,'Scoring_Config'!$C:$C,25),0),0)+IF(LEFT(AD433,4)="True",IF(_xlfn.XLOOKUP("Src_CIDR_Le_16",'Scoring_Config'!$A:$A,'Scoring_Config'!$D:$D,"Yes")="Yes",_xlfn.XLOOKUP("Src_CIDR_Le_16",'Scoring_Config'!$A:$A,'Scoring_Config'!$C:$C,25),0),0)+IF(LEFT(AE433,4)="True",IF(_xlfn.XLOOKUP("Src_CIDR_17_22",'Scoring_Config'!$A:$A,'Scoring_Config'!$D:$D,"Yes")="Yes",_xlfn.XLOOKUP("Src_CIDR_17_22",'Scoring_Config'!$A:$A,'Scoring_Config'!$C:$C,15),0),0)+IF(LEFT(AF433,4)="True",IF(_xlfn.XLOOKUP("Dst_IsAny",'Scoring_Config'!$A:$A,'Scoring_Config'!$D:$D,"Yes")="Yes",_xlfn.XLOOKUP("Dst_IsAny",'Scoring_Config'!$A:$A,'Scoring_Config'!$C:$C,25),0),0)+IF(LEFT(AG433,4)="True",IF(_xlfn.XLOOKUP("Dst_CIDR_Le_16",'Scoring_Config'!$A:$A,'Scoring_Config'!$D:$D,"Yes")="Yes",_xlfn.XLOOKUP("Dst_CIDR_Le_16",'Scoring_Config'!$A:$A,'Scoring_Config'!$C:$C,25),0),0)+IF(LEFT(AH433,4)="True",IF(_xlfn.XLOOKUP("Dst_CIDR_17_22",'Scoring_Config'!$A:$A,'Scoring_Config'!$D:$D,"Yes")="Yes",_xlfn.XLOOKUP("Dst_CIDR_17_22",'Scoring_Config'!$A:$A,'Scoring_Config'!$C:$C,15),0),0)+IF(LEFT(AI433,4)="True",IF(_xlfn.XLOOKUP("SrcZone_IsAny",'Scoring_Config'!$A:$A,'Scoring_Config'!$D:$D,"Yes")="Yes",_xlfn.XLOOKUP("SrcZone_IsAny",'Scoring_Config'!$A:$A,'Scoring_Config'!$C:$C,5),0),0)+IF(LEFT(AJ433,4)="True",IF(_xlfn.XLOOKUP("DstZone_IsAny",'Scoring_Config'!$A:$A,'Scoring_Config'!$D:$D,"Yes")="Yes",_xlfn.XLOOKUP("DstZone_IsAny",'Scoring_Config'!$A:$A,'Scoring_Config'!$C:$C,5),0),0)+IF(LEFT(AK433,4)="True",IF(_xlfn.XLOOKUP("Service_Any_OR_RangeGt1000",'Scoring_Config'!$A:$A,'Scoring_Config'!$D:$D,"Yes")="Yes",_xlfn.XLOOKUP("Service_Any_OR_RangeGt1000",'Scoring_Config'!$A:$A,'Scoring_Config'!$C:$C,25),0),0)+IF(LEFT(AL433,4)="True",IF(_xlfn.XLOOKUP("App_Any_OR_RangeGt1000",'Scoring_Config'!$A:$A,'Scoring_Config'!$D:$D,"Yes")="Yes",_xlfn.XLOOKUP("App_Any_OR_RangeGt1000",'Scoring_Config'!$A:$A,'Scoring_Config'!$C:$C,25),0),0)+IF(LEFT(AM433,4)="True",IF(_xlfn.XLOOKUP("Service_Insecure_Match",'Scoring_Config'!$A:$A,'Scoring_Config'!$D:$D,"Yes")="Yes",_xlfn.XLOOKUP("Service_Insecure_Match",'Scoring_Config'!$A:$A,'Scoring_Config'!$C:$C,20),0),0)+IF(LEFT(AN433,4)="True",IF(_xlfn.XLOOKUP("Risky_Inbound",'Scoring_Config'!$A:$A,'Scoring_Config'!$D:$D,"Yes")="Yes",_xlfn.XLOOKUP("Risky_Inbound",'Scoring_Config'!$A:$A,'Scoring_Config'!$C:$C,20),0),0)+IF(LEFT(AO433,4)="True",IF(_xlfn.XLOOKUP("Risky_Outbound",'Scoring_Config'!$A:$A,'Scoring_Config'!$D:$D,"Yes")="Yes",_xlfn.XLOOKUP("Risky_Outbound",'Scoring_Config'!$A:$A,'Scoring_Config'!$C:$C,10),0),0)+IF(LEFT(AW433,4)="True",IF(_xlfn.XLOOKUP("Migrate_Insecure",'Scoring_Config'!$A:$A,'Scoring_Config'!$D:$D,"Yes")="Yes",_xlfn.XLOOKUP("Migrate_Insecure",'Scoring_Config'!$A:$A,'Scoring_Config'!$C:$C,15),0),0)+IF(LEFT(AY433,4)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433,FIND(",",AP433)+1,100)),0)+IF(LEFT(AQ433,4)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433,FIND(",",AR433)+1,100)),0)+IF(_xlfn.XLOOKUP("Profile_Scoring",'Scoring_Config'!$A:$A,'Scoring_Config'!$D:$D,"Yes")="Yes",VALUE(MID(AS433,FIND(",",AS433)+1,100)),0)+IF(_xlfn.XLOOKUP("Options_Scoring",'Scoring_Config'!$A:$A,'Scoring_Config'!$D:$D,"Yes")="Yes",VALUE(MID(AT433,FIND(",",AT433)+1,100)),0)))</f>
        <v>0</v>
      </c>
    </row>
    <row r="434" spans="1:52">
      <c r="A434" s="3" t="s">
        <v>55</v>
      </c>
      <c r="B434" s="3" t="s">
        <v>306</v>
      </c>
      <c r="C434" s="3" t="s">
        <v>332</v>
      </c>
      <c r="D434" s="3"/>
      <c r="E434" s="3" t="s">
        <v>359</v>
      </c>
      <c r="F434" s="3" t="s">
        <v>364</v>
      </c>
      <c r="G434" s="3" t="s">
        <v>529</v>
      </c>
      <c r="H434" s="3" t="s">
        <v>529</v>
      </c>
      <c r="I434" s="3" t="s">
        <v>623</v>
      </c>
      <c r="J434" s="3" t="s">
        <v>360</v>
      </c>
      <c r="K434" s="3" t="s">
        <v>365</v>
      </c>
      <c r="L434" s="3" t="s">
        <v>365</v>
      </c>
      <c r="M434" s="3" t="s">
        <v>771</v>
      </c>
      <c r="N434" s="3" t="s">
        <v>793</v>
      </c>
      <c r="O434" s="4" t="s">
        <v>827</v>
      </c>
      <c r="P434" s="3" t="s">
        <v>888</v>
      </c>
      <c r="Q434" s="3" t="s">
        <v>905</v>
      </c>
      <c r="R434" s="3" t="s">
        <v>910</v>
      </c>
      <c r="S434" s="3" t="s">
        <v>912</v>
      </c>
      <c r="T434" s="3" t="s">
        <v>1121</v>
      </c>
      <c r="U434" s="3" t="s">
        <v>1147</v>
      </c>
      <c r="V434" s="3" t="s">
        <v>1389</v>
      </c>
      <c r="W434" s="3" t="s">
        <v>1595</v>
      </c>
      <c r="X434" s="3" t="s">
        <v>2038</v>
      </c>
      <c r="Y434" s="3" t="s">
        <v>2507</v>
      </c>
      <c r="Z434" s="3"/>
      <c r="AA434" s="3"/>
      <c r="AB434" s="3"/>
      <c r="AC434" s="4" cm="1">
        <f t="array" ref="AC434">IF(FALSE,"True," &amp; IF(_xlfn.XLOOKUP("Src_IsAny",'Scoring_Config'!$A:$A,'Scoring_Config'!$D:$D,"Yes")="Yes",_xlfn.XLOOKUP("Src_IsAny",'Scoring_Config'!$A:$A,'Scoring_Config'!$C:$C,25),0),"False,0")</f>
        <v>0</v>
      </c>
      <c r="AD434" s="5" cm="1">
        <f t="array" ref="AD434">IF(TRUE,"True," &amp; IF(_xlfn.XLOOKUP("Src_CIDR_Le_16",'Scoring_Config'!$A:$A,'Scoring_Config'!$D:$D,"Yes")="Yes",_xlfn.XLOOKUP("Src_CIDR_Le_16",'Scoring_Config'!$A:$A,'Scoring_Config'!$C:$C,25),0),"False,0")</f>
        <v>0</v>
      </c>
      <c r="AE434" s="4" cm="1">
        <f t="array" ref="AE434">IF(FALSE,"True," &amp; IF(_xlfn.XLOOKUP("Src_CIDR_17_22",'Scoring_Config'!$A:$A,'Scoring_Config'!$D:$D,"Yes")="Yes",_xlfn.XLOOKUP("Src_CIDR_17_22",'Scoring_Config'!$A:$A,'Scoring_Config'!$C:$C,15),0),"False,0")</f>
        <v>0</v>
      </c>
      <c r="AF434" s="5" cm="1">
        <f t="array" ref="AF434">IF(TRUE,"True," &amp; IF(_xlfn.XLOOKUP("Dst_IsAny",'Scoring_Config'!$A:$A,'Scoring_Config'!$D:$D,"Yes")="Yes",_xlfn.XLOOKUP("Dst_IsAny",'Scoring_Config'!$A:$A,'Scoring_Config'!$C:$C,25),0),"False,0")</f>
        <v>0</v>
      </c>
      <c r="AG434" s="4" cm="1">
        <f t="array" ref="AG434">IF(FALSE,"True," &amp; IF(_xlfn.XLOOKUP("Dst_CIDR_Le_16",'Scoring_Config'!$A:$A,'Scoring_Config'!$D:$D,"Yes")="Yes",_xlfn.XLOOKUP("Dst_CIDR_Le_16",'Scoring_Config'!$A:$A,'Scoring_Config'!$C:$C,25),0),"False,0")</f>
        <v>0</v>
      </c>
      <c r="AH434" s="4" cm="1">
        <f t="array" ref="AH434">IF(FALSE,"True," &amp; IF(_xlfn.XLOOKUP("Dst_CIDR_17_22",'Scoring_Config'!$A:$A,'Scoring_Config'!$D:$D,"Yes")="Yes",_xlfn.XLOOKUP("Dst_CIDR_17_22",'Scoring_Config'!$A:$A,'Scoring_Config'!$C:$C,15),0),"False,0")</f>
        <v>0</v>
      </c>
      <c r="AI434" s="4" cm="1">
        <f t="array" ref="AI434">IF(FALSE,"True," &amp; IF(_xlfn.XLOOKUP("SrcZone_IsAny",'Scoring_Config'!$A:$A,'Scoring_Config'!$D:$D,"Yes")="Yes",_xlfn.XLOOKUP("SrcZone_IsAny",'Scoring_Config'!$A:$A,'Scoring_Config'!$C:$C,5),0),"False,0")</f>
        <v>0</v>
      </c>
      <c r="AJ434" s="4" cm="1">
        <f t="array" ref="AJ434">IF(FALSE,"True," &amp; IF(_xlfn.XLOOKUP("DstZone_IsAny",'Scoring_Config'!$A:$A,'Scoring_Config'!$D:$D,"Yes")="Yes",_xlfn.XLOOKUP("DstZone_IsAny",'Scoring_Config'!$A:$A,'Scoring_Config'!$C:$C,5),0),"False,0")</f>
        <v>0</v>
      </c>
      <c r="AK434" s="4" cm="1">
        <f t="array" ref="AK43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4" s="4" cm="1">
        <f t="array" ref="AL434">IF(FALSE,"True," &amp; IF(_xlfn.XLOOKUP("App_Any_OR_RangeGt1000",'Scoring_Config'!$A:$A,'Scoring_Config'!$D:$D,"Yes")="Yes",_xlfn.XLOOKUP("App_Any_OR_RangeGt1000",'Scoring_Config'!$A:$A,'Scoring_Config'!$C:$C,25),0),"False,0")</f>
        <v>0</v>
      </c>
      <c r="AM434" s="5" cm="1">
        <f t="array" ref="AM434">IF(TRUE,"True," &amp; IF(_xlfn.XLOOKUP("Service_Insecure_Match",'Scoring_Config'!$A:$A,'Scoring_Config'!$D:$D,"Yes")="Yes",_xlfn.XLOOKUP("Service_Insecure_Match",'Scoring_Config'!$A:$A,'Scoring_Config'!$C:$C,20),0),"False,0")</f>
        <v>0</v>
      </c>
      <c r="AN434" s="4" cm="1">
        <f t="array" ref="AN434">IF(FALSE,"True," &amp; IF(_xlfn.XLOOKUP("Risky_Inbound",'Scoring_Config'!$A:$A,'Scoring_Config'!$D:$D,"Yes")="Yes",_xlfn.XLOOKUP("Risky_Inbound",'Scoring_Config'!$A:$A,'Scoring_Config'!$C:$C,20),0),"False,0")</f>
        <v>0</v>
      </c>
      <c r="AO434" s="4" cm="1">
        <f t="array" ref="AO434">IF(FALSE,"True," &amp; IF(_xlfn.XLOOKUP("Risky_Outbound",'Scoring_Config'!$A:$A,'Scoring_Config'!$D:$D,"Yes")="Yes",_xlfn.XLOOKUP("Risky_Outbound",'Scoring_Config'!$A:$A,'Scoring_Config'!$C:$C,10),0),"False,0")</f>
        <v>0</v>
      </c>
      <c r="AP434" s="5" t="s">
        <v>2595</v>
      </c>
      <c r="AQ434" s="5" cm="1">
        <f t="array" ref="AQ43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4" s="5" t="s">
        <v>2598</v>
      </c>
      <c r="AS434" s="4" t="s">
        <v>2592</v>
      </c>
      <c r="AT434" s="4" t="s">
        <v>2592</v>
      </c>
      <c r="AU434" s="4" cm="1">
        <f t="array" ref="AU434">IF(FALSE,"True," &amp; IF(_xlfn.XLOOKUP("Action_IsDenyOrDrop",'Scoring_Config'!$A:$A,'Scoring_Config'!$D:$D,"Yes")="Yes",_xlfn.XLOOKUP("Action_IsDenyOrDrop",'Scoring_Config'!$A:$A,'Scoring_Config'!$C:$C,0),0),"False,0")</f>
        <v>0</v>
      </c>
      <c r="AV434" s="4" t="s">
        <v>771</v>
      </c>
      <c r="AW434" s="5" cm="1">
        <f t="array" ref="AW434">IF(TRUE,"True," &amp; IF(_xlfn.XLOOKUP("Migrate_Insecure",'Scoring_Config'!$A:$A,'Scoring_Config'!$D:$D,"Yes")="Yes",_xlfn.XLOOKUP("Migrate_Insecure",'Scoring_Config'!$A:$A,'Scoring_Config'!$C:$C,15),0),"False,0")</f>
        <v>0</v>
      </c>
      <c r="AX434" s="4"/>
      <c r="AY434" s="4" cm="1">
        <f t="array" ref="AY434">IF(FALSE,"True," &amp; IF(_xlfn.XLOOKUP("Migrate_Other_Ports",'Scoring_Config'!$A:$A,'Scoring_Config'!$D:$D,"Yes")="Yes",_xlfn.XLOOKUP("Migrate_Other_Ports",'Scoring_Config'!$A:$A,'Scoring_Config'!$C:$C,5),0),"False,0")</f>
        <v>0</v>
      </c>
      <c r="AZ434" s="4" cm="1">
        <f t="array" ref="AZ434">IF(LEFT(AU434,4)="True",0,(IF(LEFT(AC434,4)="True",IF(_xlfn.XLOOKUP("Src_IsAny",'Scoring_Config'!$A:$A,'Scoring_Config'!$D:$D,"Yes")="Yes",_xlfn.XLOOKUP("Src_IsAny",'Scoring_Config'!$A:$A,'Scoring_Config'!$C:$C,25),0),0)+IF(LEFT(AD434,4)="True",IF(_xlfn.XLOOKUP("Src_CIDR_Le_16",'Scoring_Config'!$A:$A,'Scoring_Config'!$D:$D,"Yes")="Yes",_xlfn.XLOOKUP("Src_CIDR_Le_16",'Scoring_Config'!$A:$A,'Scoring_Config'!$C:$C,25),0),0)+IF(LEFT(AE434,4)="True",IF(_xlfn.XLOOKUP("Src_CIDR_17_22",'Scoring_Config'!$A:$A,'Scoring_Config'!$D:$D,"Yes")="Yes",_xlfn.XLOOKUP("Src_CIDR_17_22",'Scoring_Config'!$A:$A,'Scoring_Config'!$C:$C,15),0),0)+IF(LEFT(AF434,4)="True",IF(_xlfn.XLOOKUP("Dst_IsAny",'Scoring_Config'!$A:$A,'Scoring_Config'!$D:$D,"Yes")="Yes",_xlfn.XLOOKUP("Dst_IsAny",'Scoring_Config'!$A:$A,'Scoring_Config'!$C:$C,25),0),0)+IF(LEFT(AG434,4)="True",IF(_xlfn.XLOOKUP("Dst_CIDR_Le_16",'Scoring_Config'!$A:$A,'Scoring_Config'!$D:$D,"Yes")="Yes",_xlfn.XLOOKUP("Dst_CIDR_Le_16",'Scoring_Config'!$A:$A,'Scoring_Config'!$C:$C,25),0),0)+IF(LEFT(AH434,4)="True",IF(_xlfn.XLOOKUP("Dst_CIDR_17_22",'Scoring_Config'!$A:$A,'Scoring_Config'!$D:$D,"Yes")="Yes",_xlfn.XLOOKUP("Dst_CIDR_17_22",'Scoring_Config'!$A:$A,'Scoring_Config'!$C:$C,15),0),0)+IF(LEFT(AI434,4)="True",IF(_xlfn.XLOOKUP("SrcZone_IsAny",'Scoring_Config'!$A:$A,'Scoring_Config'!$D:$D,"Yes")="Yes",_xlfn.XLOOKUP("SrcZone_IsAny",'Scoring_Config'!$A:$A,'Scoring_Config'!$C:$C,5),0),0)+IF(LEFT(AJ434,4)="True",IF(_xlfn.XLOOKUP("DstZone_IsAny",'Scoring_Config'!$A:$A,'Scoring_Config'!$D:$D,"Yes")="Yes",_xlfn.XLOOKUP("DstZone_IsAny",'Scoring_Config'!$A:$A,'Scoring_Config'!$C:$C,5),0),0)+IF(LEFT(AK434,4)="True",IF(_xlfn.XLOOKUP("Service_Any_OR_RangeGt1000",'Scoring_Config'!$A:$A,'Scoring_Config'!$D:$D,"Yes")="Yes",_xlfn.XLOOKUP("Service_Any_OR_RangeGt1000",'Scoring_Config'!$A:$A,'Scoring_Config'!$C:$C,25),0),0)+IF(LEFT(AL434,4)="True",IF(_xlfn.XLOOKUP("App_Any_OR_RangeGt1000",'Scoring_Config'!$A:$A,'Scoring_Config'!$D:$D,"Yes")="Yes",_xlfn.XLOOKUP("App_Any_OR_RangeGt1000",'Scoring_Config'!$A:$A,'Scoring_Config'!$C:$C,25),0),0)+IF(LEFT(AM434,4)="True",IF(_xlfn.XLOOKUP("Service_Insecure_Match",'Scoring_Config'!$A:$A,'Scoring_Config'!$D:$D,"Yes")="Yes",_xlfn.XLOOKUP("Service_Insecure_Match",'Scoring_Config'!$A:$A,'Scoring_Config'!$C:$C,20),0),0)+IF(LEFT(AN434,4)="True",IF(_xlfn.XLOOKUP("Risky_Inbound",'Scoring_Config'!$A:$A,'Scoring_Config'!$D:$D,"Yes")="Yes",_xlfn.XLOOKUP("Risky_Inbound",'Scoring_Config'!$A:$A,'Scoring_Config'!$C:$C,20),0),0)+IF(LEFT(AO434,4)="True",IF(_xlfn.XLOOKUP("Risky_Outbound",'Scoring_Config'!$A:$A,'Scoring_Config'!$D:$D,"Yes")="Yes",_xlfn.XLOOKUP("Risky_Outbound",'Scoring_Config'!$A:$A,'Scoring_Config'!$C:$C,10),0),0)+IF(LEFT(AW434,4)="True",IF(_xlfn.XLOOKUP("Migrate_Insecure",'Scoring_Config'!$A:$A,'Scoring_Config'!$D:$D,"Yes")="Yes",_xlfn.XLOOKUP("Migrate_Insecure",'Scoring_Config'!$A:$A,'Scoring_Config'!$C:$C,15),0),0)+IF(LEFT(AY434,4)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434,FIND(",",AP434)+1,100)),0)+IF(LEFT(AQ434,4)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434,FIND(",",AR434)+1,100)),0)+IF(_xlfn.XLOOKUP("Profile_Scoring",'Scoring_Config'!$A:$A,'Scoring_Config'!$D:$D,"Yes")="Yes",VALUE(MID(AS434,FIND(",",AS434)+1,100)),0)+IF(_xlfn.XLOOKUP("Options_Scoring",'Scoring_Config'!$A:$A,'Scoring_Config'!$D:$D,"Yes")="Yes",VALUE(MID(AT434,FIND(",",AT434)+1,100)),0)))</f>
        <v>0</v>
      </c>
    </row>
    <row r="435" spans="1:52">
      <c r="A435" s="3" t="s">
        <v>55</v>
      </c>
      <c r="B435" s="3" t="s">
        <v>119</v>
      </c>
      <c r="C435" s="3" t="s">
        <v>332</v>
      </c>
      <c r="D435" s="3"/>
      <c r="E435" s="3" t="s">
        <v>359</v>
      </c>
      <c r="F435" s="3" t="s">
        <v>360</v>
      </c>
      <c r="G435" s="3" t="s">
        <v>498</v>
      </c>
      <c r="H435" s="3" t="s">
        <v>498</v>
      </c>
      <c r="I435" s="3" t="s">
        <v>622</v>
      </c>
      <c r="J435" s="3" t="s">
        <v>363</v>
      </c>
      <c r="K435" s="3" t="s">
        <v>724</v>
      </c>
      <c r="L435" s="3" t="s">
        <v>766</v>
      </c>
      <c r="M435" s="3" t="s">
        <v>771</v>
      </c>
      <c r="N435" s="3" t="s">
        <v>793</v>
      </c>
      <c r="O435" s="4" t="s">
        <v>859</v>
      </c>
      <c r="P435" s="3" t="s">
        <v>881</v>
      </c>
      <c r="Q435" s="3" t="s">
        <v>905</v>
      </c>
      <c r="R435" s="3" t="s">
        <v>909</v>
      </c>
      <c r="S435" s="3" t="s">
        <v>913</v>
      </c>
      <c r="T435" s="3" t="s">
        <v>1122</v>
      </c>
      <c r="U435" s="3" t="s">
        <v>1147</v>
      </c>
      <c r="V435" s="3" t="s">
        <v>1386</v>
      </c>
      <c r="W435" s="3" t="s">
        <v>1441</v>
      </c>
      <c r="X435" s="3" t="s">
        <v>2039</v>
      </c>
      <c r="Y435" s="3" t="s">
        <v>2508</v>
      </c>
      <c r="Z435" s="3"/>
      <c r="AA435" s="3"/>
      <c r="AB435" s="3"/>
      <c r="AC435" s="4" cm="1">
        <f t="array" ref="AC435">IF(FALSE,"True," &amp; IF(_xlfn.XLOOKUP("Src_IsAny",'Scoring_Config'!$A:$A,'Scoring_Config'!$D:$D,"Yes")="Yes",_xlfn.XLOOKUP("Src_IsAny",'Scoring_Config'!$A:$A,'Scoring_Config'!$C:$C,25),0),"False,0")</f>
        <v>0</v>
      </c>
      <c r="AD435" s="4" cm="1">
        <f t="array" ref="AD435">IF(FALSE,"True," &amp; IF(_xlfn.XLOOKUP("Src_CIDR_Le_16",'Scoring_Config'!$A:$A,'Scoring_Config'!$D:$D,"Yes")="Yes",_xlfn.XLOOKUP("Src_CIDR_Le_16",'Scoring_Config'!$A:$A,'Scoring_Config'!$C:$C,25),0),"False,0")</f>
        <v>0</v>
      </c>
      <c r="AE435" s="4" cm="1">
        <f t="array" ref="AE435">IF(FALSE,"True," &amp; IF(_xlfn.XLOOKUP("Src_CIDR_17_22",'Scoring_Config'!$A:$A,'Scoring_Config'!$D:$D,"Yes")="Yes",_xlfn.XLOOKUP("Src_CIDR_17_22",'Scoring_Config'!$A:$A,'Scoring_Config'!$C:$C,15),0),"False,0")</f>
        <v>0</v>
      </c>
      <c r="AF435" s="4" cm="1">
        <f t="array" ref="AF435">IF(FALSE,"True," &amp; IF(_xlfn.XLOOKUP("Dst_IsAny",'Scoring_Config'!$A:$A,'Scoring_Config'!$D:$D,"Yes")="Yes",_xlfn.XLOOKUP("Dst_IsAny",'Scoring_Config'!$A:$A,'Scoring_Config'!$C:$C,25),0),"False,0")</f>
        <v>0</v>
      </c>
      <c r="AG435" s="4" cm="1">
        <f t="array" ref="AG435">IF(FALSE,"True," &amp; IF(_xlfn.XLOOKUP("Dst_CIDR_Le_16",'Scoring_Config'!$A:$A,'Scoring_Config'!$D:$D,"Yes")="Yes",_xlfn.XLOOKUP("Dst_CIDR_Le_16",'Scoring_Config'!$A:$A,'Scoring_Config'!$C:$C,25),0),"False,0")</f>
        <v>0</v>
      </c>
      <c r="AH435" s="4" cm="1">
        <f t="array" ref="AH435">IF(FALSE,"True," &amp; IF(_xlfn.XLOOKUP("Dst_CIDR_17_22",'Scoring_Config'!$A:$A,'Scoring_Config'!$D:$D,"Yes")="Yes",_xlfn.XLOOKUP("Dst_CIDR_17_22",'Scoring_Config'!$A:$A,'Scoring_Config'!$C:$C,15),0),"False,0")</f>
        <v>0</v>
      </c>
      <c r="AI435" s="4" cm="1">
        <f t="array" ref="AI435">IF(FALSE,"True," &amp; IF(_xlfn.XLOOKUP("SrcZone_IsAny",'Scoring_Config'!$A:$A,'Scoring_Config'!$D:$D,"Yes")="Yes",_xlfn.XLOOKUP("SrcZone_IsAny",'Scoring_Config'!$A:$A,'Scoring_Config'!$C:$C,5),0),"False,0")</f>
        <v>0</v>
      </c>
      <c r="AJ435" s="4" cm="1">
        <f t="array" ref="AJ435">IF(FALSE,"True," &amp; IF(_xlfn.XLOOKUP("DstZone_IsAny",'Scoring_Config'!$A:$A,'Scoring_Config'!$D:$D,"Yes")="Yes",_xlfn.XLOOKUP("DstZone_IsAny",'Scoring_Config'!$A:$A,'Scoring_Config'!$C:$C,5),0),"False,0")</f>
        <v>0</v>
      </c>
      <c r="AK435" s="4" cm="1">
        <f t="array" ref="AK43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5" s="4" cm="1">
        <f t="array" ref="AL435">IF(FALSE,"True," &amp; IF(_xlfn.XLOOKUP("App_Any_OR_RangeGt1000",'Scoring_Config'!$A:$A,'Scoring_Config'!$D:$D,"Yes")="Yes",_xlfn.XLOOKUP("App_Any_OR_RangeGt1000",'Scoring_Config'!$A:$A,'Scoring_Config'!$C:$C,25),0),"False,0")</f>
        <v>0</v>
      </c>
      <c r="AM435" s="5" cm="1">
        <f t="array" ref="AM435">IF(TRUE,"True," &amp; IF(_xlfn.XLOOKUP("Service_Insecure_Match",'Scoring_Config'!$A:$A,'Scoring_Config'!$D:$D,"Yes")="Yes",_xlfn.XLOOKUP("Service_Insecure_Match",'Scoring_Config'!$A:$A,'Scoring_Config'!$C:$C,20),0),"False,0")</f>
        <v>0</v>
      </c>
      <c r="AN435" s="4" cm="1">
        <f t="array" ref="AN435">IF(FALSE,"True," &amp; IF(_xlfn.XLOOKUP("Risky_Inbound",'Scoring_Config'!$A:$A,'Scoring_Config'!$D:$D,"Yes")="Yes",_xlfn.XLOOKUP("Risky_Inbound",'Scoring_Config'!$A:$A,'Scoring_Config'!$C:$C,20),0),"False,0")</f>
        <v>0</v>
      </c>
      <c r="AO435" s="4" cm="1">
        <f t="array" ref="AO435">IF(FALSE,"True," &amp; IF(_xlfn.XLOOKUP("Risky_Outbound",'Scoring_Config'!$A:$A,'Scoring_Config'!$D:$D,"Yes")="Yes",_xlfn.XLOOKUP("Risky_Outbound",'Scoring_Config'!$A:$A,'Scoring_Config'!$C:$C,10),0),"False,0")</f>
        <v>0</v>
      </c>
      <c r="AP435" s="5" t="s">
        <v>2595</v>
      </c>
      <c r="AQ435" s="5" cm="1">
        <f t="array" ref="AQ43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5" s="5" t="s">
        <v>2598</v>
      </c>
      <c r="AS435" s="4" t="s">
        <v>2592</v>
      </c>
      <c r="AT435" s="4" t="s">
        <v>2592</v>
      </c>
      <c r="AU435" s="4" cm="1">
        <f t="array" ref="AU435">IF(FALSE,"True," &amp; IF(_xlfn.XLOOKUP("Action_IsDenyOrDrop",'Scoring_Config'!$A:$A,'Scoring_Config'!$D:$D,"Yes")="Yes",_xlfn.XLOOKUP("Action_IsDenyOrDrop",'Scoring_Config'!$A:$A,'Scoring_Config'!$C:$C,0),0),"False,0")</f>
        <v>0</v>
      </c>
      <c r="AV435" s="4"/>
      <c r="AW435" s="4" cm="1">
        <f t="array" ref="AW435">IF(FALSE,"True," &amp; IF(_xlfn.XLOOKUP("Migrate_Insecure",'Scoring_Config'!$A:$A,'Scoring_Config'!$D:$D,"Yes")="Yes",_xlfn.XLOOKUP("Migrate_Insecure",'Scoring_Config'!$A:$A,'Scoring_Config'!$C:$C,15),0),"False,0")</f>
        <v>0</v>
      </c>
      <c r="AX435" s="4"/>
      <c r="AY435" s="4" cm="1">
        <f t="array" ref="AY435">IF(FALSE,"True," &amp; IF(_xlfn.XLOOKUP("Migrate_Other_Ports",'Scoring_Config'!$A:$A,'Scoring_Config'!$D:$D,"Yes")="Yes",_xlfn.XLOOKUP("Migrate_Other_Ports",'Scoring_Config'!$A:$A,'Scoring_Config'!$C:$C,5),0),"False,0")</f>
        <v>0</v>
      </c>
      <c r="AZ435" s="4" cm="1">
        <f t="array" ref="AZ435">IF(LEFT(AU435,4)="True",0,(IF(LEFT(AC435,4)="True",IF(_xlfn.XLOOKUP("Src_IsAny",'Scoring_Config'!$A:$A,'Scoring_Config'!$D:$D,"Yes")="Yes",_xlfn.XLOOKUP("Src_IsAny",'Scoring_Config'!$A:$A,'Scoring_Config'!$C:$C,25),0),0)+IF(LEFT(AD435,4)="True",IF(_xlfn.XLOOKUP("Src_CIDR_Le_16",'Scoring_Config'!$A:$A,'Scoring_Config'!$D:$D,"Yes")="Yes",_xlfn.XLOOKUP("Src_CIDR_Le_16",'Scoring_Config'!$A:$A,'Scoring_Config'!$C:$C,25),0),0)+IF(LEFT(AE435,4)="True",IF(_xlfn.XLOOKUP("Src_CIDR_17_22",'Scoring_Config'!$A:$A,'Scoring_Config'!$D:$D,"Yes")="Yes",_xlfn.XLOOKUP("Src_CIDR_17_22",'Scoring_Config'!$A:$A,'Scoring_Config'!$C:$C,15),0),0)+IF(LEFT(AF435,4)="True",IF(_xlfn.XLOOKUP("Dst_IsAny",'Scoring_Config'!$A:$A,'Scoring_Config'!$D:$D,"Yes")="Yes",_xlfn.XLOOKUP("Dst_IsAny",'Scoring_Config'!$A:$A,'Scoring_Config'!$C:$C,25),0),0)+IF(LEFT(AG435,4)="True",IF(_xlfn.XLOOKUP("Dst_CIDR_Le_16",'Scoring_Config'!$A:$A,'Scoring_Config'!$D:$D,"Yes")="Yes",_xlfn.XLOOKUP("Dst_CIDR_Le_16",'Scoring_Config'!$A:$A,'Scoring_Config'!$C:$C,25),0),0)+IF(LEFT(AH435,4)="True",IF(_xlfn.XLOOKUP("Dst_CIDR_17_22",'Scoring_Config'!$A:$A,'Scoring_Config'!$D:$D,"Yes")="Yes",_xlfn.XLOOKUP("Dst_CIDR_17_22",'Scoring_Config'!$A:$A,'Scoring_Config'!$C:$C,15),0),0)+IF(LEFT(AI435,4)="True",IF(_xlfn.XLOOKUP("SrcZone_IsAny",'Scoring_Config'!$A:$A,'Scoring_Config'!$D:$D,"Yes")="Yes",_xlfn.XLOOKUP("SrcZone_IsAny",'Scoring_Config'!$A:$A,'Scoring_Config'!$C:$C,5),0),0)+IF(LEFT(AJ435,4)="True",IF(_xlfn.XLOOKUP("DstZone_IsAny",'Scoring_Config'!$A:$A,'Scoring_Config'!$D:$D,"Yes")="Yes",_xlfn.XLOOKUP("DstZone_IsAny",'Scoring_Config'!$A:$A,'Scoring_Config'!$C:$C,5),0),0)+IF(LEFT(AK435,4)="True",IF(_xlfn.XLOOKUP("Service_Any_OR_RangeGt1000",'Scoring_Config'!$A:$A,'Scoring_Config'!$D:$D,"Yes")="Yes",_xlfn.XLOOKUP("Service_Any_OR_RangeGt1000",'Scoring_Config'!$A:$A,'Scoring_Config'!$C:$C,25),0),0)+IF(LEFT(AL435,4)="True",IF(_xlfn.XLOOKUP("App_Any_OR_RangeGt1000",'Scoring_Config'!$A:$A,'Scoring_Config'!$D:$D,"Yes")="Yes",_xlfn.XLOOKUP("App_Any_OR_RangeGt1000",'Scoring_Config'!$A:$A,'Scoring_Config'!$C:$C,25),0),0)+IF(LEFT(AM435,4)="True",IF(_xlfn.XLOOKUP("Service_Insecure_Match",'Scoring_Config'!$A:$A,'Scoring_Config'!$D:$D,"Yes")="Yes",_xlfn.XLOOKUP("Service_Insecure_Match",'Scoring_Config'!$A:$A,'Scoring_Config'!$C:$C,20),0),0)+IF(LEFT(AN435,4)="True",IF(_xlfn.XLOOKUP("Risky_Inbound",'Scoring_Config'!$A:$A,'Scoring_Config'!$D:$D,"Yes")="Yes",_xlfn.XLOOKUP("Risky_Inbound",'Scoring_Config'!$A:$A,'Scoring_Config'!$C:$C,20),0),0)+IF(LEFT(AO435,4)="True",IF(_xlfn.XLOOKUP("Risky_Outbound",'Scoring_Config'!$A:$A,'Scoring_Config'!$D:$D,"Yes")="Yes",_xlfn.XLOOKUP("Risky_Outbound",'Scoring_Config'!$A:$A,'Scoring_Config'!$C:$C,10),0),0)+IF(LEFT(AW435,4)="True",IF(_xlfn.XLOOKUP("Migrate_Insecure",'Scoring_Config'!$A:$A,'Scoring_Config'!$D:$D,"Yes")="Yes",_xlfn.XLOOKUP("Migrate_Insecure",'Scoring_Config'!$A:$A,'Scoring_Config'!$C:$C,15),0),0)+IF(LEFT(AY435,4)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435,FIND(",",AP435)+1,100)),0)+IF(LEFT(AQ435,4)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435,FIND(",",AR435)+1,100)),0)+IF(_xlfn.XLOOKUP("Profile_Scoring",'Scoring_Config'!$A:$A,'Scoring_Config'!$D:$D,"Yes")="Yes",VALUE(MID(AS435,FIND(",",AS435)+1,100)),0)+IF(_xlfn.XLOOKUP("Options_Scoring",'Scoring_Config'!$A:$A,'Scoring_Config'!$D:$D,"Yes")="Yes",VALUE(MID(AT435,FIND(",",AT435)+1,100)),0)))</f>
        <v>0</v>
      </c>
    </row>
    <row r="436" spans="1:52">
      <c r="A436" s="3" t="s">
        <v>55</v>
      </c>
      <c r="B436" s="3" t="s">
        <v>151</v>
      </c>
      <c r="C436" s="3" t="s">
        <v>332</v>
      </c>
      <c r="D436" s="3"/>
      <c r="E436" s="3" t="s">
        <v>359</v>
      </c>
      <c r="F436" s="3" t="s">
        <v>361</v>
      </c>
      <c r="G436" s="3" t="s">
        <v>365</v>
      </c>
      <c r="H436" s="3" t="s">
        <v>365</v>
      </c>
      <c r="I436" s="3" t="s">
        <v>624</v>
      </c>
      <c r="J436" s="3" t="s">
        <v>364</v>
      </c>
      <c r="K436" s="3" t="s">
        <v>365</v>
      </c>
      <c r="L436" s="3" t="s">
        <v>365</v>
      </c>
      <c r="M436" s="3" t="s">
        <v>365</v>
      </c>
      <c r="N436" s="3" t="s">
        <v>365</v>
      </c>
      <c r="O436" s="4" t="s">
        <v>828</v>
      </c>
      <c r="P436" s="3" t="s">
        <v>889</v>
      </c>
      <c r="Q436" s="3" t="s">
        <v>905</v>
      </c>
      <c r="R436" s="3" t="s">
        <v>907</v>
      </c>
      <c r="S436" s="3" t="s">
        <v>913</v>
      </c>
      <c r="T436" s="3" t="s">
        <v>1123</v>
      </c>
      <c r="U436" s="3"/>
      <c r="V436" s="3" t="s">
        <v>770</v>
      </c>
      <c r="W436" s="3" t="s">
        <v>1567</v>
      </c>
      <c r="X436" s="3" t="s">
        <v>2040</v>
      </c>
      <c r="Y436" s="3" t="s">
        <v>2509</v>
      </c>
      <c r="Z436" s="3"/>
      <c r="AA436" s="3"/>
      <c r="AB436" s="3"/>
      <c r="AC436" s="5" cm="1">
        <f t="array" ref="AC436">IF(TRUE,"True," &amp; IF(_xlfn.XLOOKUP("Src_IsAny",'Scoring_Config'!$A:$A,'Scoring_Config'!$D:$D,"Yes")="Yes",_xlfn.XLOOKUP("Src_IsAny",'Scoring_Config'!$A:$A,'Scoring_Config'!$C:$C,25),0),"False,0")</f>
        <v>0</v>
      </c>
      <c r="AD436" s="4" cm="1">
        <f t="array" ref="AD436">IF(FALSE,"True," &amp; IF(_xlfn.XLOOKUP("Src_CIDR_Le_16",'Scoring_Config'!$A:$A,'Scoring_Config'!$D:$D,"Yes")="Yes",_xlfn.XLOOKUP("Src_CIDR_Le_16",'Scoring_Config'!$A:$A,'Scoring_Config'!$C:$C,25),0),"False,0")</f>
        <v>0</v>
      </c>
      <c r="AE436" s="4" cm="1">
        <f t="array" ref="AE436">IF(FALSE,"True," &amp; IF(_xlfn.XLOOKUP("Src_CIDR_17_22",'Scoring_Config'!$A:$A,'Scoring_Config'!$D:$D,"Yes")="Yes",_xlfn.XLOOKUP("Src_CIDR_17_22",'Scoring_Config'!$A:$A,'Scoring_Config'!$C:$C,15),0),"False,0")</f>
        <v>0</v>
      </c>
      <c r="AF436" s="5" cm="1">
        <f t="array" ref="AF436">IF(TRUE,"True," &amp; IF(_xlfn.XLOOKUP("Dst_IsAny",'Scoring_Config'!$A:$A,'Scoring_Config'!$D:$D,"Yes")="Yes",_xlfn.XLOOKUP("Dst_IsAny",'Scoring_Config'!$A:$A,'Scoring_Config'!$C:$C,25),0),"False,0")</f>
        <v>0</v>
      </c>
      <c r="AG436" s="4" cm="1">
        <f t="array" ref="AG436">IF(FALSE,"True," &amp; IF(_xlfn.XLOOKUP("Dst_CIDR_Le_16",'Scoring_Config'!$A:$A,'Scoring_Config'!$D:$D,"Yes")="Yes",_xlfn.XLOOKUP("Dst_CIDR_Le_16",'Scoring_Config'!$A:$A,'Scoring_Config'!$C:$C,25),0),"False,0")</f>
        <v>0</v>
      </c>
      <c r="AH436" s="4" cm="1">
        <f t="array" ref="AH436">IF(FALSE,"True," &amp; IF(_xlfn.XLOOKUP("Dst_CIDR_17_22",'Scoring_Config'!$A:$A,'Scoring_Config'!$D:$D,"Yes")="Yes",_xlfn.XLOOKUP("Dst_CIDR_17_22",'Scoring_Config'!$A:$A,'Scoring_Config'!$C:$C,15),0),"False,0")</f>
        <v>0</v>
      </c>
      <c r="AI436" s="4" cm="1">
        <f t="array" ref="AI436">IF(FALSE,"True," &amp; IF(_xlfn.XLOOKUP("SrcZone_IsAny",'Scoring_Config'!$A:$A,'Scoring_Config'!$D:$D,"Yes")="Yes",_xlfn.XLOOKUP("SrcZone_IsAny",'Scoring_Config'!$A:$A,'Scoring_Config'!$C:$C,5),0),"False,0")</f>
        <v>0</v>
      </c>
      <c r="AJ436" s="4" cm="1">
        <f t="array" ref="AJ436">IF(FALSE,"True," &amp; IF(_xlfn.XLOOKUP("DstZone_IsAny",'Scoring_Config'!$A:$A,'Scoring_Config'!$D:$D,"Yes")="Yes",_xlfn.XLOOKUP("DstZone_IsAny",'Scoring_Config'!$A:$A,'Scoring_Config'!$C:$C,5),0),"False,0")</f>
        <v>0</v>
      </c>
      <c r="AK436" s="4" cm="1">
        <f t="array" ref="AK43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6" s="5" cm="1">
        <f t="array" ref="AL436">IF(TRUE,"True," &amp; IF(_xlfn.XLOOKUP("App_Any_OR_RangeGt1000",'Scoring_Config'!$A:$A,'Scoring_Config'!$D:$D,"Yes")="Yes",_xlfn.XLOOKUP("App_Any_OR_RangeGt1000",'Scoring_Config'!$A:$A,'Scoring_Config'!$C:$C,25),0),"False,0")</f>
        <v>0</v>
      </c>
      <c r="AM436" s="5" cm="1">
        <f t="array" ref="AM436">IF(TRUE,"True," &amp; IF(_xlfn.XLOOKUP("Service_Insecure_Match",'Scoring_Config'!$A:$A,'Scoring_Config'!$D:$D,"Yes")="Yes",_xlfn.XLOOKUP("Service_Insecure_Match",'Scoring_Config'!$A:$A,'Scoring_Config'!$C:$C,20),0),"False,0")</f>
        <v>0</v>
      </c>
      <c r="AN436" s="4" cm="1">
        <f t="array" ref="AN436">IF(FALSE,"True," &amp; IF(_xlfn.XLOOKUP("Risky_Inbound",'Scoring_Config'!$A:$A,'Scoring_Config'!$D:$D,"Yes")="Yes",_xlfn.XLOOKUP("Risky_Inbound",'Scoring_Config'!$A:$A,'Scoring_Config'!$C:$C,20),0),"False,0")</f>
        <v>0</v>
      </c>
      <c r="AO436" s="4" cm="1">
        <f t="array" ref="AO436">IF(FALSE,"True," &amp; IF(_xlfn.XLOOKUP("Risky_Outbound",'Scoring_Config'!$A:$A,'Scoring_Config'!$D:$D,"Yes")="Yes",_xlfn.XLOOKUP("Risky_Outbound",'Scoring_Config'!$A:$A,'Scoring_Config'!$C:$C,10),0),"False,0")</f>
        <v>0</v>
      </c>
      <c r="AP436" s="5" t="s">
        <v>2595</v>
      </c>
      <c r="AQ436" s="5" cm="1">
        <f t="array" ref="AQ43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6" s="5" t="s">
        <v>2598</v>
      </c>
      <c r="AS436" s="5" t="s">
        <v>2595</v>
      </c>
      <c r="AT436" s="4" t="s">
        <v>2592</v>
      </c>
      <c r="AU436" s="4" cm="1">
        <f t="array" ref="AU436">IF(FALSE,"True," &amp; IF(_xlfn.XLOOKUP("Action_IsDenyOrDrop",'Scoring_Config'!$A:$A,'Scoring_Config'!$D:$D,"Yes")="Yes",_xlfn.XLOOKUP("Action_IsDenyOrDrop",'Scoring_Config'!$A:$A,'Scoring_Config'!$C:$C,0),0),"False,0")</f>
        <v>0</v>
      </c>
      <c r="AV436" s="4"/>
      <c r="AW436" s="4" cm="1">
        <f t="array" ref="AW436">IF(FALSE,"True," &amp; IF(_xlfn.XLOOKUP("Migrate_Insecure",'Scoring_Config'!$A:$A,'Scoring_Config'!$D:$D,"Yes")="Yes",_xlfn.XLOOKUP("Migrate_Insecure",'Scoring_Config'!$A:$A,'Scoring_Config'!$C:$C,15),0),"False,0")</f>
        <v>0</v>
      </c>
      <c r="AX436" s="4"/>
      <c r="AY436" s="4" cm="1">
        <f t="array" ref="AY436">IF(FALSE,"True," &amp; IF(_xlfn.XLOOKUP("Migrate_Other_Ports",'Scoring_Config'!$A:$A,'Scoring_Config'!$D:$D,"Yes")="Yes",_xlfn.XLOOKUP("Migrate_Other_Ports",'Scoring_Config'!$A:$A,'Scoring_Config'!$C:$C,5),0),"False,0")</f>
        <v>0</v>
      </c>
      <c r="AZ436" s="4" cm="1">
        <f t="array" ref="AZ436">IF(LEFT(AU436,4)="True",0,(IF(LEFT(AC436,4)="True",IF(_xlfn.XLOOKUP("Src_IsAny",'Scoring_Config'!$A:$A,'Scoring_Config'!$D:$D,"Yes")="Yes",_xlfn.XLOOKUP("Src_IsAny",'Scoring_Config'!$A:$A,'Scoring_Config'!$C:$C,25),0),0)+IF(LEFT(AD436,4)="True",IF(_xlfn.XLOOKUP("Src_CIDR_Le_16",'Scoring_Config'!$A:$A,'Scoring_Config'!$D:$D,"Yes")="Yes",_xlfn.XLOOKUP("Src_CIDR_Le_16",'Scoring_Config'!$A:$A,'Scoring_Config'!$C:$C,25),0),0)+IF(LEFT(AE436,4)="True",IF(_xlfn.XLOOKUP("Src_CIDR_17_22",'Scoring_Config'!$A:$A,'Scoring_Config'!$D:$D,"Yes")="Yes",_xlfn.XLOOKUP("Src_CIDR_17_22",'Scoring_Config'!$A:$A,'Scoring_Config'!$C:$C,15),0),0)+IF(LEFT(AF436,4)="True",IF(_xlfn.XLOOKUP("Dst_IsAny",'Scoring_Config'!$A:$A,'Scoring_Config'!$D:$D,"Yes")="Yes",_xlfn.XLOOKUP("Dst_IsAny",'Scoring_Config'!$A:$A,'Scoring_Config'!$C:$C,25),0),0)+IF(LEFT(AG436,4)="True",IF(_xlfn.XLOOKUP("Dst_CIDR_Le_16",'Scoring_Config'!$A:$A,'Scoring_Config'!$D:$D,"Yes")="Yes",_xlfn.XLOOKUP("Dst_CIDR_Le_16",'Scoring_Config'!$A:$A,'Scoring_Config'!$C:$C,25),0),0)+IF(LEFT(AH436,4)="True",IF(_xlfn.XLOOKUP("Dst_CIDR_17_22",'Scoring_Config'!$A:$A,'Scoring_Config'!$D:$D,"Yes")="Yes",_xlfn.XLOOKUP("Dst_CIDR_17_22",'Scoring_Config'!$A:$A,'Scoring_Config'!$C:$C,15),0),0)+IF(LEFT(AI436,4)="True",IF(_xlfn.XLOOKUP("SrcZone_IsAny",'Scoring_Config'!$A:$A,'Scoring_Config'!$D:$D,"Yes")="Yes",_xlfn.XLOOKUP("SrcZone_IsAny",'Scoring_Config'!$A:$A,'Scoring_Config'!$C:$C,5),0),0)+IF(LEFT(AJ436,4)="True",IF(_xlfn.XLOOKUP("DstZone_IsAny",'Scoring_Config'!$A:$A,'Scoring_Config'!$D:$D,"Yes")="Yes",_xlfn.XLOOKUP("DstZone_IsAny",'Scoring_Config'!$A:$A,'Scoring_Config'!$C:$C,5),0),0)+IF(LEFT(AK436,4)="True",IF(_xlfn.XLOOKUP("Service_Any_OR_RangeGt1000",'Scoring_Config'!$A:$A,'Scoring_Config'!$D:$D,"Yes")="Yes",_xlfn.XLOOKUP("Service_Any_OR_RangeGt1000",'Scoring_Config'!$A:$A,'Scoring_Config'!$C:$C,25),0),0)+IF(LEFT(AL436,4)="True",IF(_xlfn.XLOOKUP("App_Any_OR_RangeGt1000",'Scoring_Config'!$A:$A,'Scoring_Config'!$D:$D,"Yes")="Yes",_xlfn.XLOOKUP("App_Any_OR_RangeGt1000",'Scoring_Config'!$A:$A,'Scoring_Config'!$C:$C,25),0),0)+IF(LEFT(AM436,4)="True",IF(_xlfn.XLOOKUP("Service_Insecure_Match",'Scoring_Config'!$A:$A,'Scoring_Config'!$D:$D,"Yes")="Yes",_xlfn.XLOOKUP("Service_Insecure_Match",'Scoring_Config'!$A:$A,'Scoring_Config'!$C:$C,20),0),0)+IF(LEFT(AN436,4)="True",IF(_xlfn.XLOOKUP("Risky_Inbound",'Scoring_Config'!$A:$A,'Scoring_Config'!$D:$D,"Yes")="Yes",_xlfn.XLOOKUP("Risky_Inbound",'Scoring_Config'!$A:$A,'Scoring_Config'!$C:$C,20),0),0)+IF(LEFT(AO436,4)="True",IF(_xlfn.XLOOKUP("Risky_Outbound",'Scoring_Config'!$A:$A,'Scoring_Config'!$D:$D,"Yes")="Yes",_xlfn.XLOOKUP("Risky_Outbound",'Scoring_Config'!$A:$A,'Scoring_Config'!$C:$C,10),0),0)+IF(LEFT(AW436,4)="True",IF(_xlfn.XLOOKUP("Migrate_Insecure",'Scoring_Config'!$A:$A,'Scoring_Config'!$D:$D,"Yes")="Yes",_xlfn.XLOOKUP("Migrate_Insecure",'Scoring_Config'!$A:$A,'Scoring_Config'!$C:$C,15),0),0)+IF(LEFT(AY436,4)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436,FIND(",",AP436)+1,100)),0)+IF(LEFT(AQ436,4)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436,FIND(",",AR436)+1,100)),0)+IF(_xlfn.XLOOKUP("Profile_Scoring",'Scoring_Config'!$A:$A,'Scoring_Config'!$D:$D,"Yes")="Yes",VALUE(MID(AS436,FIND(",",AS436)+1,100)),0)+IF(_xlfn.XLOOKUP("Options_Scoring",'Scoring_Config'!$A:$A,'Scoring_Config'!$D:$D,"Yes")="Yes",VALUE(MID(AT436,FIND(",",AT436)+1,100)),0)))</f>
        <v>0</v>
      </c>
    </row>
    <row r="437" spans="1:52">
      <c r="A437" s="3" t="s">
        <v>55</v>
      </c>
      <c r="B437" s="3" t="s">
        <v>314</v>
      </c>
      <c r="C437" s="3" t="s">
        <v>332</v>
      </c>
      <c r="D437" s="3"/>
      <c r="E437" s="3" t="s">
        <v>359</v>
      </c>
      <c r="F437" s="3" t="s">
        <v>362</v>
      </c>
      <c r="G437" s="3" t="s">
        <v>502</v>
      </c>
      <c r="H437" s="3" t="s">
        <v>502</v>
      </c>
      <c r="I437" s="3" t="s">
        <v>625</v>
      </c>
      <c r="J437" s="3" t="s">
        <v>360</v>
      </c>
      <c r="K437" s="3" t="s">
        <v>510</v>
      </c>
      <c r="L437" s="3" t="s">
        <v>510</v>
      </c>
      <c r="M437" s="3" t="s">
        <v>773</v>
      </c>
      <c r="N437" s="3" t="s">
        <v>773</v>
      </c>
      <c r="O437" s="4" t="s">
        <v>815</v>
      </c>
      <c r="P437" s="3" t="s">
        <v>876</v>
      </c>
      <c r="Q437" s="3" t="s">
        <v>904</v>
      </c>
      <c r="R437" s="3" t="s">
        <v>907</v>
      </c>
      <c r="S437" s="3" t="s">
        <v>912</v>
      </c>
      <c r="T437" s="3" t="s">
        <v>1124</v>
      </c>
      <c r="U437" s="3" t="s">
        <v>1366</v>
      </c>
      <c r="V437" s="3" t="s">
        <v>789</v>
      </c>
      <c r="W437" s="3" t="s">
        <v>1458</v>
      </c>
      <c r="X437" s="3" t="s">
        <v>2041</v>
      </c>
      <c r="Y437" s="3" t="s">
        <v>2510</v>
      </c>
      <c r="Z437" s="3"/>
      <c r="AA437" s="3"/>
      <c r="AB437" s="3"/>
      <c r="AC437" s="4" cm="1">
        <f t="array" ref="AC437">IF(FALSE,"True," &amp; IF(_xlfn.XLOOKUP("Src_IsAny",'Scoring_Config'!$A:$A,'Scoring_Config'!$D:$D,"Yes")="Yes",_xlfn.XLOOKUP("Src_IsAny",'Scoring_Config'!$A:$A,'Scoring_Config'!$C:$C,25),0),"False,0")</f>
        <v>0</v>
      </c>
      <c r="AD437" s="4" cm="1">
        <f t="array" ref="AD437">IF(FALSE,"True," &amp; IF(_xlfn.XLOOKUP("Src_CIDR_Le_16",'Scoring_Config'!$A:$A,'Scoring_Config'!$D:$D,"Yes")="Yes",_xlfn.XLOOKUP("Src_CIDR_Le_16",'Scoring_Config'!$A:$A,'Scoring_Config'!$C:$C,25),0),"False,0")</f>
        <v>0</v>
      </c>
      <c r="AE437" s="4" cm="1">
        <f t="array" ref="AE437">IF(FALSE,"True," &amp; IF(_xlfn.XLOOKUP("Src_CIDR_17_22",'Scoring_Config'!$A:$A,'Scoring_Config'!$D:$D,"Yes")="Yes",_xlfn.XLOOKUP("Src_CIDR_17_22",'Scoring_Config'!$A:$A,'Scoring_Config'!$C:$C,15),0),"False,0")</f>
        <v>0</v>
      </c>
      <c r="AF437" s="4" cm="1">
        <f t="array" ref="AF437">IF(FALSE,"True," &amp; IF(_xlfn.XLOOKUP("Dst_IsAny",'Scoring_Config'!$A:$A,'Scoring_Config'!$D:$D,"Yes")="Yes",_xlfn.XLOOKUP("Dst_IsAny",'Scoring_Config'!$A:$A,'Scoring_Config'!$C:$C,25),0),"False,0")</f>
        <v>0</v>
      </c>
      <c r="AG437" s="4" cm="1">
        <f t="array" ref="AG437">IF(FALSE,"True," &amp; IF(_xlfn.XLOOKUP("Dst_CIDR_Le_16",'Scoring_Config'!$A:$A,'Scoring_Config'!$D:$D,"Yes")="Yes",_xlfn.XLOOKUP("Dst_CIDR_Le_16",'Scoring_Config'!$A:$A,'Scoring_Config'!$C:$C,25),0),"False,0")</f>
        <v>0</v>
      </c>
      <c r="AH437" s="4" cm="1">
        <f t="array" ref="AH437">IF(FALSE,"True," &amp; IF(_xlfn.XLOOKUP("Dst_CIDR_17_22",'Scoring_Config'!$A:$A,'Scoring_Config'!$D:$D,"Yes")="Yes",_xlfn.XLOOKUP("Dst_CIDR_17_22",'Scoring_Config'!$A:$A,'Scoring_Config'!$C:$C,15),0),"False,0")</f>
        <v>0</v>
      </c>
      <c r="AI437" s="4" cm="1">
        <f t="array" ref="AI437">IF(FALSE,"True," &amp; IF(_xlfn.XLOOKUP("SrcZone_IsAny",'Scoring_Config'!$A:$A,'Scoring_Config'!$D:$D,"Yes")="Yes",_xlfn.XLOOKUP("SrcZone_IsAny",'Scoring_Config'!$A:$A,'Scoring_Config'!$C:$C,5),0),"False,0")</f>
        <v>0</v>
      </c>
      <c r="AJ437" s="4" cm="1">
        <f t="array" ref="AJ437">IF(FALSE,"True," &amp; IF(_xlfn.XLOOKUP("DstZone_IsAny",'Scoring_Config'!$A:$A,'Scoring_Config'!$D:$D,"Yes")="Yes",_xlfn.XLOOKUP("DstZone_IsAny",'Scoring_Config'!$A:$A,'Scoring_Config'!$C:$C,5),0),"False,0")</f>
        <v>0</v>
      </c>
      <c r="AK437" s="4" cm="1">
        <f t="array" ref="AK43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7" s="4" cm="1">
        <f t="array" ref="AL437">IF(FALSE,"True," &amp; IF(_xlfn.XLOOKUP("App_Any_OR_RangeGt1000",'Scoring_Config'!$A:$A,'Scoring_Config'!$D:$D,"Yes")="Yes",_xlfn.XLOOKUP("App_Any_OR_RangeGt1000",'Scoring_Config'!$A:$A,'Scoring_Config'!$C:$C,25),0),"False,0")</f>
        <v>0</v>
      </c>
      <c r="AM437" s="4" cm="1">
        <f t="array" ref="AM437">IF(FALSE,"True," &amp; IF(_xlfn.XLOOKUP("Service_Insecure_Match",'Scoring_Config'!$A:$A,'Scoring_Config'!$D:$D,"Yes")="Yes",_xlfn.XLOOKUP("Service_Insecure_Match",'Scoring_Config'!$A:$A,'Scoring_Config'!$C:$C,20),0),"False,0")</f>
        <v>0</v>
      </c>
      <c r="AN437" s="4" cm="1">
        <f t="array" ref="AN437">IF(FALSE,"True," &amp; IF(_xlfn.XLOOKUP("Risky_Inbound",'Scoring_Config'!$A:$A,'Scoring_Config'!$D:$D,"Yes")="Yes",_xlfn.XLOOKUP("Risky_Inbound",'Scoring_Config'!$A:$A,'Scoring_Config'!$C:$C,20),0),"False,0")</f>
        <v>0</v>
      </c>
      <c r="AO437" s="4" cm="1">
        <f t="array" ref="AO437">IF(FALSE,"True," &amp; IF(_xlfn.XLOOKUP("Risky_Outbound",'Scoring_Config'!$A:$A,'Scoring_Config'!$D:$D,"Yes")="Yes",_xlfn.XLOOKUP("Risky_Outbound",'Scoring_Config'!$A:$A,'Scoring_Config'!$C:$C,10),0),"False,0")</f>
        <v>0</v>
      </c>
      <c r="AP437" s="5" t="s">
        <v>2595</v>
      </c>
      <c r="AQ437" s="4" cm="1">
        <f t="array" ref="AQ43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7" s="5" t="s">
        <v>2598</v>
      </c>
      <c r="AS437" s="5" t="s">
        <v>2595</v>
      </c>
      <c r="AT437" s="4" t="s">
        <v>2592</v>
      </c>
      <c r="AU437" s="5" cm="1">
        <f t="array" ref="AU437">IF(TRUE,"True," &amp; IF(_xlfn.XLOOKUP("Action_IsDenyOrDrop",'Scoring_Config'!$A:$A,'Scoring_Config'!$D:$D,"Yes")="Yes",_xlfn.XLOOKUP("Action_IsDenyOrDrop",'Scoring_Config'!$A:$A,'Scoring_Config'!$C:$C,0),0),"False,0")</f>
        <v>0</v>
      </c>
      <c r="AV437" s="4"/>
      <c r="AW437" s="4" cm="1">
        <f t="array" ref="AW437">IF(FALSE,"True," &amp; IF(_xlfn.XLOOKUP("Migrate_Insecure",'Scoring_Config'!$A:$A,'Scoring_Config'!$D:$D,"Yes")="Yes",_xlfn.XLOOKUP("Migrate_Insecure",'Scoring_Config'!$A:$A,'Scoring_Config'!$C:$C,15),0),"False,0")</f>
        <v>0</v>
      </c>
      <c r="AX437" s="4"/>
      <c r="AY437" s="4" cm="1">
        <f t="array" ref="AY437">IF(FALSE,"True," &amp; IF(_xlfn.XLOOKUP("Migrate_Other_Ports",'Scoring_Config'!$A:$A,'Scoring_Config'!$D:$D,"Yes")="Yes",_xlfn.XLOOKUP("Migrate_Other_Ports",'Scoring_Config'!$A:$A,'Scoring_Config'!$C:$C,5),0),"False,0")</f>
        <v>0</v>
      </c>
      <c r="AZ437" s="4" cm="1">
        <f t="array" ref="AZ437">IF(LEFT(AU437,4)="True",0,(IF(LEFT(AC437,4)="True",IF(_xlfn.XLOOKUP("Src_IsAny",'Scoring_Config'!$A:$A,'Scoring_Config'!$D:$D,"Yes")="Yes",_xlfn.XLOOKUP("Src_IsAny",'Scoring_Config'!$A:$A,'Scoring_Config'!$C:$C,25),0),0)+IF(LEFT(AD437,4)="True",IF(_xlfn.XLOOKUP("Src_CIDR_Le_16",'Scoring_Config'!$A:$A,'Scoring_Config'!$D:$D,"Yes")="Yes",_xlfn.XLOOKUP("Src_CIDR_Le_16",'Scoring_Config'!$A:$A,'Scoring_Config'!$C:$C,25),0),0)+IF(LEFT(AE437,4)="True",IF(_xlfn.XLOOKUP("Src_CIDR_17_22",'Scoring_Config'!$A:$A,'Scoring_Config'!$D:$D,"Yes")="Yes",_xlfn.XLOOKUP("Src_CIDR_17_22",'Scoring_Config'!$A:$A,'Scoring_Config'!$C:$C,15),0),0)+IF(LEFT(AF437,4)="True",IF(_xlfn.XLOOKUP("Dst_IsAny",'Scoring_Config'!$A:$A,'Scoring_Config'!$D:$D,"Yes")="Yes",_xlfn.XLOOKUP("Dst_IsAny",'Scoring_Config'!$A:$A,'Scoring_Config'!$C:$C,25),0),0)+IF(LEFT(AG437,4)="True",IF(_xlfn.XLOOKUP("Dst_CIDR_Le_16",'Scoring_Config'!$A:$A,'Scoring_Config'!$D:$D,"Yes")="Yes",_xlfn.XLOOKUP("Dst_CIDR_Le_16",'Scoring_Config'!$A:$A,'Scoring_Config'!$C:$C,25),0),0)+IF(LEFT(AH437,4)="True",IF(_xlfn.XLOOKUP("Dst_CIDR_17_22",'Scoring_Config'!$A:$A,'Scoring_Config'!$D:$D,"Yes")="Yes",_xlfn.XLOOKUP("Dst_CIDR_17_22",'Scoring_Config'!$A:$A,'Scoring_Config'!$C:$C,15),0),0)+IF(LEFT(AI437,4)="True",IF(_xlfn.XLOOKUP("SrcZone_IsAny",'Scoring_Config'!$A:$A,'Scoring_Config'!$D:$D,"Yes")="Yes",_xlfn.XLOOKUP("SrcZone_IsAny",'Scoring_Config'!$A:$A,'Scoring_Config'!$C:$C,5),0),0)+IF(LEFT(AJ437,4)="True",IF(_xlfn.XLOOKUP("DstZone_IsAny",'Scoring_Config'!$A:$A,'Scoring_Config'!$D:$D,"Yes")="Yes",_xlfn.XLOOKUP("DstZone_IsAny",'Scoring_Config'!$A:$A,'Scoring_Config'!$C:$C,5),0),0)+IF(LEFT(AK437,4)="True",IF(_xlfn.XLOOKUP("Service_Any_OR_RangeGt1000",'Scoring_Config'!$A:$A,'Scoring_Config'!$D:$D,"Yes")="Yes",_xlfn.XLOOKUP("Service_Any_OR_RangeGt1000",'Scoring_Config'!$A:$A,'Scoring_Config'!$C:$C,25),0),0)+IF(LEFT(AL437,4)="True",IF(_xlfn.XLOOKUP("App_Any_OR_RangeGt1000",'Scoring_Config'!$A:$A,'Scoring_Config'!$D:$D,"Yes")="Yes",_xlfn.XLOOKUP("App_Any_OR_RangeGt1000",'Scoring_Config'!$A:$A,'Scoring_Config'!$C:$C,25),0),0)+IF(LEFT(AM437,4)="True",IF(_xlfn.XLOOKUP("Service_Insecure_Match",'Scoring_Config'!$A:$A,'Scoring_Config'!$D:$D,"Yes")="Yes",_xlfn.XLOOKUP("Service_Insecure_Match",'Scoring_Config'!$A:$A,'Scoring_Config'!$C:$C,20),0),0)+IF(LEFT(AN437,4)="True",IF(_xlfn.XLOOKUP("Risky_Inbound",'Scoring_Config'!$A:$A,'Scoring_Config'!$D:$D,"Yes")="Yes",_xlfn.XLOOKUP("Risky_Inbound",'Scoring_Config'!$A:$A,'Scoring_Config'!$C:$C,20),0),0)+IF(LEFT(AO437,4)="True",IF(_xlfn.XLOOKUP("Risky_Outbound",'Scoring_Config'!$A:$A,'Scoring_Config'!$D:$D,"Yes")="Yes",_xlfn.XLOOKUP("Risky_Outbound",'Scoring_Config'!$A:$A,'Scoring_Config'!$C:$C,10),0),0)+IF(LEFT(AW437,4)="True",IF(_xlfn.XLOOKUP("Migrate_Insecure",'Scoring_Config'!$A:$A,'Scoring_Config'!$D:$D,"Yes")="Yes",_xlfn.XLOOKUP("Migrate_Insecure",'Scoring_Config'!$A:$A,'Scoring_Config'!$C:$C,15),0),0)+IF(LEFT(AY437,4)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437,FIND(",",AP437)+1,100)),0)+IF(LEFT(AQ437,4)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437,FIND(",",AR437)+1,100)),0)+IF(_xlfn.XLOOKUP("Profile_Scoring",'Scoring_Config'!$A:$A,'Scoring_Config'!$D:$D,"Yes")="Yes",VALUE(MID(AS437,FIND(",",AS437)+1,100)),0)+IF(_xlfn.XLOOKUP("Options_Scoring",'Scoring_Config'!$A:$A,'Scoring_Config'!$D:$D,"Yes")="Yes",VALUE(MID(AT437,FIND(",",AT437)+1,100)),0)))</f>
        <v>0</v>
      </c>
    </row>
    <row r="438" spans="1:52">
      <c r="A438" s="3" t="s">
        <v>55</v>
      </c>
      <c r="B438" s="3" t="s">
        <v>93</v>
      </c>
      <c r="C438" s="3" t="s">
        <v>332</v>
      </c>
      <c r="D438" s="3"/>
      <c r="E438" s="3" t="s">
        <v>359</v>
      </c>
      <c r="F438" s="3" t="s">
        <v>363</v>
      </c>
      <c r="G438" s="3" t="s">
        <v>518</v>
      </c>
      <c r="H438" s="3" t="s">
        <v>610</v>
      </c>
      <c r="I438" s="3" t="s">
        <v>625</v>
      </c>
      <c r="J438" s="3" t="s">
        <v>365</v>
      </c>
      <c r="K438" s="3" t="s">
        <v>618</v>
      </c>
      <c r="L438" s="3" t="s">
        <v>618</v>
      </c>
      <c r="M438" s="3" t="s">
        <v>774</v>
      </c>
      <c r="N438" s="3" t="s">
        <v>795</v>
      </c>
      <c r="O438" s="4" t="s">
        <v>860</v>
      </c>
      <c r="P438" s="3" t="s">
        <v>887</v>
      </c>
      <c r="Q438" s="3" t="s">
        <v>905</v>
      </c>
      <c r="R438" s="3" t="s">
        <v>909</v>
      </c>
      <c r="S438" s="3" t="s">
        <v>916</v>
      </c>
      <c r="T438" s="3" t="s">
        <v>919</v>
      </c>
      <c r="U438" s="3" t="s">
        <v>1367</v>
      </c>
      <c r="V438" s="3" t="s">
        <v>789</v>
      </c>
      <c r="W438" s="3" t="s">
        <v>1485</v>
      </c>
      <c r="X438" s="3" t="s">
        <v>2042</v>
      </c>
      <c r="Y438" s="3" t="s">
        <v>2511</v>
      </c>
      <c r="Z438" s="3"/>
      <c r="AA438" s="3"/>
      <c r="AB438" s="3"/>
      <c r="AC438" s="4" cm="1">
        <f t="array" ref="AC438">IF(FALSE,"True," &amp; IF(_xlfn.XLOOKUP("Src_IsAny",'Scoring_Config'!$A:$A,'Scoring_Config'!$D:$D,"Yes")="Yes",_xlfn.XLOOKUP("Src_IsAny",'Scoring_Config'!$A:$A,'Scoring_Config'!$C:$C,25),0),"False,0")</f>
        <v>0</v>
      </c>
      <c r="AD438" s="4" cm="1">
        <f t="array" ref="AD438">IF(FALSE,"True," &amp; IF(_xlfn.XLOOKUP("Src_CIDR_Le_16",'Scoring_Config'!$A:$A,'Scoring_Config'!$D:$D,"Yes")="Yes",_xlfn.XLOOKUP("Src_CIDR_Le_16",'Scoring_Config'!$A:$A,'Scoring_Config'!$C:$C,25),0),"False,0")</f>
        <v>0</v>
      </c>
      <c r="AE438" s="4" cm="1">
        <f t="array" ref="AE438">IF(FALSE,"True," &amp; IF(_xlfn.XLOOKUP("Src_CIDR_17_22",'Scoring_Config'!$A:$A,'Scoring_Config'!$D:$D,"Yes")="Yes",_xlfn.XLOOKUP("Src_CIDR_17_22",'Scoring_Config'!$A:$A,'Scoring_Config'!$C:$C,15),0),"False,0")</f>
        <v>0</v>
      </c>
      <c r="AF438" s="4" cm="1">
        <f t="array" ref="AF438">IF(FALSE,"True," &amp; IF(_xlfn.XLOOKUP("Dst_IsAny",'Scoring_Config'!$A:$A,'Scoring_Config'!$D:$D,"Yes")="Yes",_xlfn.XLOOKUP("Dst_IsAny",'Scoring_Config'!$A:$A,'Scoring_Config'!$C:$C,25),0),"False,0")</f>
        <v>0</v>
      </c>
      <c r="AG438" s="5" cm="1">
        <f t="array" ref="AG438">IF(TRUE,"True," &amp; IF(_xlfn.XLOOKUP("Dst_CIDR_Le_16",'Scoring_Config'!$A:$A,'Scoring_Config'!$D:$D,"Yes")="Yes",_xlfn.XLOOKUP("Dst_CIDR_Le_16",'Scoring_Config'!$A:$A,'Scoring_Config'!$C:$C,25),0),"False,0")</f>
        <v>0</v>
      </c>
      <c r="AH438" s="4" cm="1">
        <f t="array" ref="AH438">IF(FALSE,"True," &amp; IF(_xlfn.XLOOKUP("Dst_CIDR_17_22",'Scoring_Config'!$A:$A,'Scoring_Config'!$D:$D,"Yes")="Yes",_xlfn.XLOOKUP("Dst_CIDR_17_22",'Scoring_Config'!$A:$A,'Scoring_Config'!$C:$C,15),0),"False,0")</f>
        <v>0</v>
      </c>
      <c r="AI438" s="4" cm="1">
        <f t="array" ref="AI438">IF(FALSE,"True," &amp; IF(_xlfn.XLOOKUP("SrcZone_IsAny",'Scoring_Config'!$A:$A,'Scoring_Config'!$D:$D,"Yes")="Yes",_xlfn.XLOOKUP("SrcZone_IsAny",'Scoring_Config'!$A:$A,'Scoring_Config'!$C:$C,5),0),"False,0")</f>
        <v>0</v>
      </c>
      <c r="AJ438" s="5" cm="1">
        <f t="array" ref="AJ438">IF(TRUE,"True," &amp; IF(_xlfn.XLOOKUP("DstZone_IsAny",'Scoring_Config'!$A:$A,'Scoring_Config'!$D:$D,"Yes")="Yes",_xlfn.XLOOKUP("DstZone_IsAny",'Scoring_Config'!$A:$A,'Scoring_Config'!$C:$C,5),0),"False,0")</f>
        <v>0</v>
      </c>
      <c r="AK438" s="4" cm="1">
        <f t="array" ref="AK43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8" s="4" cm="1">
        <f t="array" ref="AL438">IF(FALSE,"True," &amp; IF(_xlfn.XLOOKUP("App_Any_OR_RangeGt1000",'Scoring_Config'!$A:$A,'Scoring_Config'!$D:$D,"Yes")="Yes",_xlfn.XLOOKUP("App_Any_OR_RangeGt1000",'Scoring_Config'!$A:$A,'Scoring_Config'!$C:$C,25),0),"False,0")</f>
        <v>0</v>
      </c>
      <c r="AM438" s="5" cm="1">
        <f t="array" ref="AM438">IF(TRUE,"True," &amp; IF(_xlfn.XLOOKUP("Service_Insecure_Match",'Scoring_Config'!$A:$A,'Scoring_Config'!$D:$D,"Yes")="Yes",_xlfn.XLOOKUP("Service_Insecure_Match",'Scoring_Config'!$A:$A,'Scoring_Config'!$C:$C,20),0),"False,0")</f>
        <v>0</v>
      </c>
      <c r="AN438" s="4" cm="1">
        <f t="array" ref="AN438">IF(FALSE,"True," &amp; IF(_xlfn.XLOOKUP("Risky_Inbound",'Scoring_Config'!$A:$A,'Scoring_Config'!$D:$D,"Yes")="Yes",_xlfn.XLOOKUP("Risky_Inbound",'Scoring_Config'!$A:$A,'Scoring_Config'!$C:$C,20),0),"False,0")</f>
        <v>0</v>
      </c>
      <c r="AO438" s="5" cm="1">
        <f t="array" ref="AO438">IF(TRUE,"True," &amp; IF(_xlfn.XLOOKUP("Risky_Outbound",'Scoring_Config'!$A:$A,'Scoring_Config'!$D:$D,"Yes")="Yes",_xlfn.XLOOKUP("Risky_Outbound",'Scoring_Config'!$A:$A,'Scoring_Config'!$C:$C,10),0),"False,0")</f>
        <v>0</v>
      </c>
      <c r="AP438" s="5" t="s">
        <v>2595</v>
      </c>
      <c r="AQ438" s="4" cm="1">
        <f t="array" ref="AQ43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8" s="5" t="s">
        <v>2598</v>
      </c>
      <c r="AS438" s="4" t="s">
        <v>2592</v>
      </c>
      <c r="AT438" s="4" t="s">
        <v>2592</v>
      </c>
      <c r="AU438" s="4" cm="1">
        <f t="array" ref="AU438">IF(FALSE,"True," &amp; IF(_xlfn.XLOOKUP("Action_IsDenyOrDrop",'Scoring_Config'!$A:$A,'Scoring_Config'!$D:$D,"Yes")="Yes",_xlfn.XLOOKUP("Action_IsDenyOrDrop",'Scoring_Config'!$A:$A,'Scoring_Config'!$C:$C,0),0),"False,0")</f>
        <v>0</v>
      </c>
      <c r="AV438" s="4"/>
      <c r="AW438" s="4" cm="1">
        <f t="array" ref="AW438">IF(FALSE,"True," &amp; IF(_xlfn.XLOOKUP("Migrate_Insecure",'Scoring_Config'!$A:$A,'Scoring_Config'!$D:$D,"Yes")="Yes",_xlfn.XLOOKUP("Migrate_Insecure",'Scoring_Config'!$A:$A,'Scoring_Config'!$C:$C,15),0),"False,0")</f>
        <v>0</v>
      </c>
      <c r="AX438" s="4"/>
      <c r="AY438" s="4" cm="1">
        <f t="array" ref="AY438">IF(FALSE,"True," &amp; IF(_xlfn.XLOOKUP("Migrate_Other_Ports",'Scoring_Config'!$A:$A,'Scoring_Config'!$D:$D,"Yes")="Yes",_xlfn.XLOOKUP("Migrate_Other_Ports",'Scoring_Config'!$A:$A,'Scoring_Config'!$C:$C,5),0),"False,0")</f>
        <v>0</v>
      </c>
      <c r="AZ438" s="4" cm="1">
        <f t="array" ref="AZ438">IF(LEFT(AU438,4)="True",0,(IF(LEFT(AC438,4)="True",IF(_xlfn.XLOOKUP("Src_IsAny",'Scoring_Config'!$A:$A,'Scoring_Config'!$D:$D,"Yes")="Yes",_xlfn.XLOOKUP("Src_IsAny",'Scoring_Config'!$A:$A,'Scoring_Config'!$C:$C,25),0),0)+IF(LEFT(AD438,4)="True",IF(_xlfn.XLOOKUP("Src_CIDR_Le_16",'Scoring_Config'!$A:$A,'Scoring_Config'!$D:$D,"Yes")="Yes",_xlfn.XLOOKUP("Src_CIDR_Le_16",'Scoring_Config'!$A:$A,'Scoring_Config'!$C:$C,25),0),0)+IF(LEFT(AE438,4)="True",IF(_xlfn.XLOOKUP("Src_CIDR_17_22",'Scoring_Config'!$A:$A,'Scoring_Config'!$D:$D,"Yes")="Yes",_xlfn.XLOOKUP("Src_CIDR_17_22",'Scoring_Config'!$A:$A,'Scoring_Config'!$C:$C,15),0),0)+IF(LEFT(AF438,4)="True",IF(_xlfn.XLOOKUP("Dst_IsAny",'Scoring_Config'!$A:$A,'Scoring_Config'!$D:$D,"Yes")="Yes",_xlfn.XLOOKUP("Dst_IsAny",'Scoring_Config'!$A:$A,'Scoring_Config'!$C:$C,25),0),0)+IF(LEFT(AG438,4)="True",IF(_xlfn.XLOOKUP("Dst_CIDR_Le_16",'Scoring_Config'!$A:$A,'Scoring_Config'!$D:$D,"Yes")="Yes",_xlfn.XLOOKUP("Dst_CIDR_Le_16",'Scoring_Config'!$A:$A,'Scoring_Config'!$C:$C,25),0),0)+IF(LEFT(AH438,4)="True",IF(_xlfn.XLOOKUP("Dst_CIDR_17_22",'Scoring_Config'!$A:$A,'Scoring_Config'!$D:$D,"Yes")="Yes",_xlfn.XLOOKUP("Dst_CIDR_17_22",'Scoring_Config'!$A:$A,'Scoring_Config'!$C:$C,15),0),0)+IF(LEFT(AI438,4)="True",IF(_xlfn.XLOOKUP("SrcZone_IsAny",'Scoring_Config'!$A:$A,'Scoring_Config'!$D:$D,"Yes")="Yes",_xlfn.XLOOKUP("SrcZone_IsAny",'Scoring_Config'!$A:$A,'Scoring_Config'!$C:$C,5),0),0)+IF(LEFT(AJ438,4)="True",IF(_xlfn.XLOOKUP("DstZone_IsAny",'Scoring_Config'!$A:$A,'Scoring_Config'!$D:$D,"Yes")="Yes",_xlfn.XLOOKUP("DstZone_IsAny",'Scoring_Config'!$A:$A,'Scoring_Config'!$C:$C,5),0),0)+IF(LEFT(AK438,4)="True",IF(_xlfn.XLOOKUP("Service_Any_OR_RangeGt1000",'Scoring_Config'!$A:$A,'Scoring_Config'!$D:$D,"Yes")="Yes",_xlfn.XLOOKUP("Service_Any_OR_RangeGt1000",'Scoring_Config'!$A:$A,'Scoring_Config'!$C:$C,25),0),0)+IF(LEFT(AL438,4)="True",IF(_xlfn.XLOOKUP("App_Any_OR_RangeGt1000",'Scoring_Config'!$A:$A,'Scoring_Config'!$D:$D,"Yes")="Yes",_xlfn.XLOOKUP("App_Any_OR_RangeGt1000",'Scoring_Config'!$A:$A,'Scoring_Config'!$C:$C,25),0),0)+IF(LEFT(AM438,4)="True",IF(_xlfn.XLOOKUP("Service_Insecure_Match",'Scoring_Config'!$A:$A,'Scoring_Config'!$D:$D,"Yes")="Yes",_xlfn.XLOOKUP("Service_Insecure_Match",'Scoring_Config'!$A:$A,'Scoring_Config'!$C:$C,20),0),0)+IF(LEFT(AN438,4)="True",IF(_xlfn.XLOOKUP("Risky_Inbound",'Scoring_Config'!$A:$A,'Scoring_Config'!$D:$D,"Yes")="Yes",_xlfn.XLOOKUP("Risky_Inbound",'Scoring_Config'!$A:$A,'Scoring_Config'!$C:$C,20),0),0)+IF(LEFT(AO438,4)="True",IF(_xlfn.XLOOKUP("Risky_Outbound",'Scoring_Config'!$A:$A,'Scoring_Config'!$D:$D,"Yes")="Yes",_xlfn.XLOOKUP("Risky_Outbound",'Scoring_Config'!$A:$A,'Scoring_Config'!$C:$C,10),0),0)+IF(LEFT(AW438,4)="True",IF(_xlfn.XLOOKUP("Migrate_Insecure",'Scoring_Config'!$A:$A,'Scoring_Config'!$D:$D,"Yes")="Yes",_xlfn.XLOOKUP("Migrate_Insecure",'Scoring_Config'!$A:$A,'Scoring_Config'!$C:$C,15),0),0)+IF(LEFT(AY438,4)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438,FIND(",",AP438)+1,100)),0)+IF(LEFT(AQ438,4)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438,FIND(",",AR438)+1,100)),0)+IF(_xlfn.XLOOKUP("Profile_Scoring",'Scoring_Config'!$A:$A,'Scoring_Config'!$D:$D,"Yes")="Yes",VALUE(MID(AS438,FIND(",",AS438)+1,100)),0)+IF(_xlfn.XLOOKUP("Options_Scoring",'Scoring_Config'!$A:$A,'Scoring_Config'!$D:$D,"Yes")="Yes",VALUE(MID(AT438,FIND(",",AT438)+1,100)),0)))</f>
        <v>0</v>
      </c>
    </row>
    <row r="439" spans="1:52">
      <c r="A439" s="3" t="s">
        <v>55</v>
      </c>
      <c r="B439" s="3" t="s">
        <v>315</v>
      </c>
      <c r="C439" s="3" t="s">
        <v>332</v>
      </c>
      <c r="D439" s="3"/>
      <c r="E439" s="3" t="s">
        <v>359</v>
      </c>
      <c r="F439" s="3" t="s">
        <v>362</v>
      </c>
      <c r="G439" s="3" t="s">
        <v>365</v>
      </c>
      <c r="H439" s="3" t="s">
        <v>365</v>
      </c>
      <c r="I439" s="3" t="s">
        <v>365</v>
      </c>
      <c r="J439" s="3" t="s">
        <v>365</v>
      </c>
      <c r="K439" s="3" t="s">
        <v>532</v>
      </c>
      <c r="L439" s="3" t="s">
        <v>619</v>
      </c>
      <c r="M439" s="3" t="s">
        <v>770</v>
      </c>
      <c r="N439" s="3" t="s">
        <v>770</v>
      </c>
      <c r="O439" s="4" t="s">
        <v>814</v>
      </c>
      <c r="P439" s="3" t="s">
        <v>875</v>
      </c>
      <c r="Q439" s="3" t="s">
        <v>905</v>
      </c>
      <c r="R439" s="3" t="s">
        <v>908</v>
      </c>
      <c r="S439" s="3" t="s">
        <v>916</v>
      </c>
      <c r="T439" s="3" t="s">
        <v>1125</v>
      </c>
      <c r="U439" s="3" t="s">
        <v>1147</v>
      </c>
      <c r="V439" s="3" t="s">
        <v>1388</v>
      </c>
      <c r="W439" s="3" t="s">
        <v>1431</v>
      </c>
      <c r="X439" s="3" t="s">
        <v>2043</v>
      </c>
      <c r="Y439" s="3" t="s">
        <v>2512</v>
      </c>
      <c r="Z439" s="3"/>
      <c r="AA439" s="3"/>
      <c r="AB439" s="3"/>
      <c r="AC439" s="5" cm="1">
        <f t="array" ref="AC439">IF(TRUE,"True," &amp; IF(_xlfn.XLOOKUP("Src_IsAny",'Scoring_Config'!$A:$A,'Scoring_Config'!$D:$D,"Yes")="Yes",_xlfn.XLOOKUP("Src_IsAny",'Scoring_Config'!$A:$A,'Scoring_Config'!$C:$C,25),0),"False,0")</f>
        <v>0</v>
      </c>
      <c r="AD439" s="4" cm="1">
        <f t="array" ref="AD439">IF(FALSE,"True," &amp; IF(_xlfn.XLOOKUP("Src_CIDR_Le_16",'Scoring_Config'!$A:$A,'Scoring_Config'!$D:$D,"Yes")="Yes",_xlfn.XLOOKUP("Src_CIDR_Le_16",'Scoring_Config'!$A:$A,'Scoring_Config'!$C:$C,25),0),"False,0")</f>
        <v>0</v>
      </c>
      <c r="AE439" s="4" cm="1">
        <f t="array" ref="AE439">IF(FALSE,"True," &amp; IF(_xlfn.XLOOKUP("Src_CIDR_17_22",'Scoring_Config'!$A:$A,'Scoring_Config'!$D:$D,"Yes")="Yes",_xlfn.XLOOKUP("Src_CIDR_17_22",'Scoring_Config'!$A:$A,'Scoring_Config'!$C:$C,15),0),"False,0")</f>
        <v>0</v>
      </c>
      <c r="AF439" s="4" cm="1">
        <f t="array" ref="AF439">IF(FALSE,"True," &amp; IF(_xlfn.XLOOKUP("Dst_IsAny",'Scoring_Config'!$A:$A,'Scoring_Config'!$D:$D,"Yes")="Yes",_xlfn.XLOOKUP("Dst_IsAny",'Scoring_Config'!$A:$A,'Scoring_Config'!$C:$C,25),0),"False,0")</f>
        <v>0</v>
      </c>
      <c r="AG439" s="4" cm="1">
        <f t="array" ref="AG439">IF(FALSE,"True," &amp; IF(_xlfn.XLOOKUP("Dst_CIDR_Le_16",'Scoring_Config'!$A:$A,'Scoring_Config'!$D:$D,"Yes")="Yes",_xlfn.XLOOKUP("Dst_CIDR_Le_16",'Scoring_Config'!$A:$A,'Scoring_Config'!$C:$C,25),0),"False,0")</f>
        <v>0</v>
      </c>
      <c r="AH439" s="4" cm="1">
        <f t="array" ref="AH439">IF(FALSE,"True," &amp; IF(_xlfn.XLOOKUP("Dst_CIDR_17_22",'Scoring_Config'!$A:$A,'Scoring_Config'!$D:$D,"Yes")="Yes",_xlfn.XLOOKUP("Dst_CIDR_17_22",'Scoring_Config'!$A:$A,'Scoring_Config'!$C:$C,15),0),"False,0")</f>
        <v>0</v>
      </c>
      <c r="AI439" s="4" cm="1">
        <f t="array" ref="AI439">IF(FALSE,"True," &amp; IF(_xlfn.XLOOKUP("SrcZone_IsAny",'Scoring_Config'!$A:$A,'Scoring_Config'!$D:$D,"Yes")="Yes",_xlfn.XLOOKUP("SrcZone_IsAny",'Scoring_Config'!$A:$A,'Scoring_Config'!$C:$C,5),0),"False,0")</f>
        <v>0</v>
      </c>
      <c r="AJ439" s="5" cm="1">
        <f t="array" ref="AJ439">IF(TRUE,"True," &amp; IF(_xlfn.XLOOKUP("DstZone_IsAny",'Scoring_Config'!$A:$A,'Scoring_Config'!$D:$D,"Yes")="Yes",_xlfn.XLOOKUP("DstZone_IsAny",'Scoring_Config'!$A:$A,'Scoring_Config'!$C:$C,5),0),"False,0")</f>
        <v>0</v>
      </c>
      <c r="AK439" s="4" cm="1">
        <f t="array" ref="AK43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39" s="4" cm="1">
        <f t="array" ref="AL439">IF(FALSE,"True," &amp; IF(_xlfn.XLOOKUP("App_Any_OR_RangeGt1000",'Scoring_Config'!$A:$A,'Scoring_Config'!$D:$D,"Yes")="Yes",_xlfn.XLOOKUP("App_Any_OR_RangeGt1000",'Scoring_Config'!$A:$A,'Scoring_Config'!$C:$C,25),0),"False,0")</f>
        <v>0</v>
      </c>
      <c r="AM439" s="5" cm="1">
        <f t="array" ref="AM439">IF(TRUE,"True," &amp; IF(_xlfn.XLOOKUP("Service_Insecure_Match",'Scoring_Config'!$A:$A,'Scoring_Config'!$D:$D,"Yes")="Yes",_xlfn.XLOOKUP("Service_Insecure_Match",'Scoring_Config'!$A:$A,'Scoring_Config'!$C:$C,20),0),"False,0")</f>
        <v>0</v>
      </c>
      <c r="AN439" s="4" cm="1">
        <f t="array" ref="AN439">IF(FALSE,"True," &amp; IF(_xlfn.XLOOKUP("Risky_Inbound",'Scoring_Config'!$A:$A,'Scoring_Config'!$D:$D,"Yes")="Yes",_xlfn.XLOOKUP("Risky_Inbound",'Scoring_Config'!$A:$A,'Scoring_Config'!$C:$C,20),0),"False,0")</f>
        <v>0</v>
      </c>
      <c r="AO439" s="4" cm="1">
        <f t="array" ref="AO439">IF(FALSE,"True," &amp; IF(_xlfn.XLOOKUP("Risky_Outbound",'Scoring_Config'!$A:$A,'Scoring_Config'!$D:$D,"Yes")="Yes",_xlfn.XLOOKUP("Risky_Outbound",'Scoring_Config'!$A:$A,'Scoring_Config'!$C:$C,10),0),"False,0")</f>
        <v>0</v>
      </c>
      <c r="AP439" s="5" t="s">
        <v>2595</v>
      </c>
      <c r="AQ439" s="5" cm="1">
        <f t="array" ref="AQ43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39" s="4" t="s">
        <v>2592</v>
      </c>
      <c r="AS439" s="4" t="s">
        <v>2592</v>
      </c>
      <c r="AT439" s="4" t="s">
        <v>2592</v>
      </c>
      <c r="AU439" s="4" cm="1">
        <f t="array" ref="AU439">IF(FALSE,"True," &amp; IF(_xlfn.XLOOKUP("Action_IsDenyOrDrop",'Scoring_Config'!$A:$A,'Scoring_Config'!$D:$D,"Yes")="Yes",_xlfn.XLOOKUP("Action_IsDenyOrDrop",'Scoring_Config'!$A:$A,'Scoring_Config'!$C:$C,0),0),"False,0")</f>
        <v>0</v>
      </c>
      <c r="AV439" s="4"/>
      <c r="AW439" s="4" cm="1">
        <f t="array" ref="AW439">IF(FALSE,"True," &amp; IF(_xlfn.XLOOKUP("Migrate_Insecure",'Scoring_Config'!$A:$A,'Scoring_Config'!$D:$D,"Yes")="Yes",_xlfn.XLOOKUP("Migrate_Insecure",'Scoring_Config'!$A:$A,'Scoring_Config'!$C:$C,15),0),"False,0")</f>
        <v>0</v>
      </c>
      <c r="AX439" s="4"/>
      <c r="AY439" s="4" cm="1">
        <f t="array" ref="AY439">IF(FALSE,"True," &amp; IF(_xlfn.XLOOKUP("Migrate_Other_Ports",'Scoring_Config'!$A:$A,'Scoring_Config'!$D:$D,"Yes")="Yes",_xlfn.XLOOKUP("Migrate_Other_Ports",'Scoring_Config'!$A:$A,'Scoring_Config'!$C:$C,5),0),"False,0")</f>
        <v>0</v>
      </c>
      <c r="AZ439" s="4" cm="1">
        <f t="array" ref="AZ439">IF(LEFT(AU439,4)="True",0,(IF(LEFT(AC439,4)="True",IF(_xlfn.XLOOKUP("Src_IsAny",'Scoring_Config'!$A:$A,'Scoring_Config'!$D:$D,"Yes")="Yes",_xlfn.XLOOKUP("Src_IsAny",'Scoring_Config'!$A:$A,'Scoring_Config'!$C:$C,25),0),0)+IF(LEFT(AD439,4)="True",IF(_xlfn.XLOOKUP("Src_CIDR_Le_16",'Scoring_Config'!$A:$A,'Scoring_Config'!$D:$D,"Yes")="Yes",_xlfn.XLOOKUP("Src_CIDR_Le_16",'Scoring_Config'!$A:$A,'Scoring_Config'!$C:$C,25),0),0)+IF(LEFT(AE439,4)="True",IF(_xlfn.XLOOKUP("Src_CIDR_17_22",'Scoring_Config'!$A:$A,'Scoring_Config'!$D:$D,"Yes")="Yes",_xlfn.XLOOKUP("Src_CIDR_17_22",'Scoring_Config'!$A:$A,'Scoring_Config'!$C:$C,15),0),0)+IF(LEFT(AF439,4)="True",IF(_xlfn.XLOOKUP("Dst_IsAny",'Scoring_Config'!$A:$A,'Scoring_Config'!$D:$D,"Yes")="Yes",_xlfn.XLOOKUP("Dst_IsAny",'Scoring_Config'!$A:$A,'Scoring_Config'!$C:$C,25),0),0)+IF(LEFT(AG439,4)="True",IF(_xlfn.XLOOKUP("Dst_CIDR_Le_16",'Scoring_Config'!$A:$A,'Scoring_Config'!$D:$D,"Yes")="Yes",_xlfn.XLOOKUP("Dst_CIDR_Le_16",'Scoring_Config'!$A:$A,'Scoring_Config'!$C:$C,25),0),0)+IF(LEFT(AH439,4)="True",IF(_xlfn.XLOOKUP("Dst_CIDR_17_22",'Scoring_Config'!$A:$A,'Scoring_Config'!$D:$D,"Yes")="Yes",_xlfn.XLOOKUP("Dst_CIDR_17_22",'Scoring_Config'!$A:$A,'Scoring_Config'!$C:$C,15),0),0)+IF(LEFT(AI439,4)="True",IF(_xlfn.XLOOKUP("SrcZone_IsAny",'Scoring_Config'!$A:$A,'Scoring_Config'!$D:$D,"Yes")="Yes",_xlfn.XLOOKUP("SrcZone_IsAny",'Scoring_Config'!$A:$A,'Scoring_Config'!$C:$C,5),0),0)+IF(LEFT(AJ439,4)="True",IF(_xlfn.XLOOKUP("DstZone_IsAny",'Scoring_Config'!$A:$A,'Scoring_Config'!$D:$D,"Yes")="Yes",_xlfn.XLOOKUP("DstZone_IsAny",'Scoring_Config'!$A:$A,'Scoring_Config'!$C:$C,5),0),0)+IF(LEFT(AK439,4)="True",IF(_xlfn.XLOOKUP("Service_Any_OR_RangeGt1000",'Scoring_Config'!$A:$A,'Scoring_Config'!$D:$D,"Yes")="Yes",_xlfn.XLOOKUP("Service_Any_OR_RangeGt1000",'Scoring_Config'!$A:$A,'Scoring_Config'!$C:$C,25),0),0)+IF(LEFT(AL439,4)="True",IF(_xlfn.XLOOKUP("App_Any_OR_RangeGt1000",'Scoring_Config'!$A:$A,'Scoring_Config'!$D:$D,"Yes")="Yes",_xlfn.XLOOKUP("App_Any_OR_RangeGt1000",'Scoring_Config'!$A:$A,'Scoring_Config'!$C:$C,25),0),0)+IF(LEFT(AM439,4)="True",IF(_xlfn.XLOOKUP("Service_Insecure_Match",'Scoring_Config'!$A:$A,'Scoring_Config'!$D:$D,"Yes")="Yes",_xlfn.XLOOKUP("Service_Insecure_Match",'Scoring_Config'!$A:$A,'Scoring_Config'!$C:$C,20),0),0)+IF(LEFT(AN439,4)="True",IF(_xlfn.XLOOKUP("Risky_Inbound",'Scoring_Config'!$A:$A,'Scoring_Config'!$D:$D,"Yes")="Yes",_xlfn.XLOOKUP("Risky_Inbound",'Scoring_Config'!$A:$A,'Scoring_Config'!$C:$C,20),0),0)+IF(LEFT(AO439,4)="True",IF(_xlfn.XLOOKUP("Risky_Outbound",'Scoring_Config'!$A:$A,'Scoring_Config'!$D:$D,"Yes")="Yes",_xlfn.XLOOKUP("Risky_Outbound",'Scoring_Config'!$A:$A,'Scoring_Config'!$C:$C,10),0),0)+IF(LEFT(AW439,4)="True",IF(_xlfn.XLOOKUP("Migrate_Insecure",'Scoring_Config'!$A:$A,'Scoring_Config'!$D:$D,"Yes")="Yes",_xlfn.XLOOKUP("Migrate_Insecure",'Scoring_Config'!$A:$A,'Scoring_Config'!$C:$C,15),0),0)+IF(LEFT(AY439,4)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439,FIND(",",AP439)+1,100)),0)+IF(LEFT(AQ439,4)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439,FIND(",",AR439)+1,100)),0)+IF(_xlfn.XLOOKUP("Profile_Scoring",'Scoring_Config'!$A:$A,'Scoring_Config'!$D:$D,"Yes")="Yes",VALUE(MID(AS439,FIND(",",AS439)+1,100)),0)+IF(_xlfn.XLOOKUP("Options_Scoring",'Scoring_Config'!$A:$A,'Scoring_Config'!$D:$D,"Yes")="Yes",VALUE(MID(AT439,FIND(",",AT439)+1,100)),0)))</f>
        <v>0</v>
      </c>
    </row>
    <row r="440" spans="1:52">
      <c r="A440" s="3" t="s">
        <v>55</v>
      </c>
      <c r="B440" s="3" t="s">
        <v>316</v>
      </c>
      <c r="C440" s="3" t="s">
        <v>332</v>
      </c>
      <c r="D440" s="3"/>
      <c r="E440" s="3" t="s">
        <v>359</v>
      </c>
      <c r="F440" s="3" t="s">
        <v>364</v>
      </c>
      <c r="G440" s="3" t="s">
        <v>500</v>
      </c>
      <c r="H440" s="3" t="s">
        <v>603</v>
      </c>
      <c r="I440" s="3" t="s">
        <v>365</v>
      </c>
      <c r="J440" s="3" t="s">
        <v>362</v>
      </c>
      <c r="K440" s="3" t="s">
        <v>723</v>
      </c>
      <c r="L440" s="3" t="s">
        <v>723</v>
      </c>
      <c r="M440" s="3" t="s">
        <v>771</v>
      </c>
      <c r="N440" s="3" t="s">
        <v>793</v>
      </c>
      <c r="O440" s="4" t="s">
        <v>824</v>
      </c>
      <c r="P440" s="3" t="s">
        <v>885</v>
      </c>
      <c r="Q440" s="3" t="s">
        <v>904</v>
      </c>
      <c r="R440" s="3" t="s">
        <v>909</v>
      </c>
      <c r="S440" s="3" t="s">
        <v>914</v>
      </c>
      <c r="T440" s="3" t="s">
        <v>946</v>
      </c>
      <c r="U440" s="3" t="s">
        <v>1368</v>
      </c>
      <c r="V440" s="3" t="s">
        <v>772</v>
      </c>
      <c r="W440" s="3" t="s">
        <v>1596</v>
      </c>
      <c r="X440" s="3" t="s">
        <v>2044</v>
      </c>
      <c r="Y440" s="3" t="s">
        <v>2513</v>
      </c>
      <c r="Z440" s="3"/>
      <c r="AA440" s="3"/>
      <c r="AB440" s="3"/>
      <c r="AC440" s="4" cm="1">
        <f t="array" ref="AC440">IF(FALSE,"True," &amp; IF(_xlfn.XLOOKUP("Src_IsAny",'Scoring_Config'!$A:$A,'Scoring_Config'!$D:$D,"Yes")="Yes",_xlfn.XLOOKUP("Src_IsAny",'Scoring_Config'!$A:$A,'Scoring_Config'!$C:$C,25),0),"False,0")</f>
        <v>0</v>
      </c>
      <c r="AD440" s="5" cm="1">
        <f t="array" ref="AD440">IF(TRUE,"True," &amp; IF(_xlfn.XLOOKUP("Src_CIDR_Le_16",'Scoring_Config'!$A:$A,'Scoring_Config'!$D:$D,"Yes")="Yes",_xlfn.XLOOKUP("Src_CIDR_Le_16",'Scoring_Config'!$A:$A,'Scoring_Config'!$C:$C,25),0),"False,0")</f>
        <v>0</v>
      </c>
      <c r="AE440" s="4" cm="1">
        <f t="array" ref="AE440">IF(FALSE,"True," &amp; IF(_xlfn.XLOOKUP("Src_CIDR_17_22",'Scoring_Config'!$A:$A,'Scoring_Config'!$D:$D,"Yes")="Yes",_xlfn.XLOOKUP("Src_CIDR_17_22",'Scoring_Config'!$A:$A,'Scoring_Config'!$C:$C,15),0),"False,0")</f>
        <v>0</v>
      </c>
      <c r="AF440" s="4" cm="1">
        <f t="array" ref="AF440">IF(FALSE,"True," &amp; IF(_xlfn.XLOOKUP("Dst_IsAny",'Scoring_Config'!$A:$A,'Scoring_Config'!$D:$D,"Yes")="Yes",_xlfn.XLOOKUP("Dst_IsAny",'Scoring_Config'!$A:$A,'Scoring_Config'!$C:$C,25),0),"False,0")</f>
        <v>0</v>
      </c>
      <c r="AG440" s="4" cm="1">
        <f t="array" ref="AG440">IF(FALSE,"True," &amp; IF(_xlfn.XLOOKUP("Dst_CIDR_Le_16",'Scoring_Config'!$A:$A,'Scoring_Config'!$D:$D,"Yes")="Yes",_xlfn.XLOOKUP("Dst_CIDR_Le_16",'Scoring_Config'!$A:$A,'Scoring_Config'!$C:$C,25),0),"False,0")</f>
        <v>0</v>
      </c>
      <c r="AH440" s="4" cm="1">
        <f t="array" ref="AH440">IF(FALSE,"True," &amp; IF(_xlfn.XLOOKUP("Dst_CIDR_17_22",'Scoring_Config'!$A:$A,'Scoring_Config'!$D:$D,"Yes")="Yes",_xlfn.XLOOKUP("Dst_CIDR_17_22",'Scoring_Config'!$A:$A,'Scoring_Config'!$C:$C,15),0),"False,0")</f>
        <v>0</v>
      </c>
      <c r="AI440" s="4" cm="1">
        <f t="array" ref="AI440">IF(FALSE,"True," &amp; IF(_xlfn.XLOOKUP("SrcZone_IsAny",'Scoring_Config'!$A:$A,'Scoring_Config'!$D:$D,"Yes")="Yes",_xlfn.XLOOKUP("SrcZone_IsAny",'Scoring_Config'!$A:$A,'Scoring_Config'!$C:$C,5),0),"False,0")</f>
        <v>0</v>
      </c>
      <c r="AJ440" s="4" cm="1">
        <f t="array" ref="AJ440">IF(FALSE,"True," &amp; IF(_xlfn.XLOOKUP("DstZone_IsAny",'Scoring_Config'!$A:$A,'Scoring_Config'!$D:$D,"Yes")="Yes",_xlfn.XLOOKUP("DstZone_IsAny",'Scoring_Config'!$A:$A,'Scoring_Config'!$C:$C,5),0),"False,0")</f>
        <v>0</v>
      </c>
      <c r="AK440" s="4" cm="1">
        <f t="array" ref="AK44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0" s="4" cm="1">
        <f t="array" ref="AL440">IF(FALSE,"True," &amp; IF(_xlfn.XLOOKUP("App_Any_OR_RangeGt1000",'Scoring_Config'!$A:$A,'Scoring_Config'!$D:$D,"Yes")="Yes",_xlfn.XLOOKUP("App_Any_OR_RangeGt1000",'Scoring_Config'!$A:$A,'Scoring_Config'!$C:$C,25),0),"False,0")</f>
        <v>0</v>
      </c>
      <c r="AM440" s="5" cm="1">
        <f t="array" ref="AM440">IF(TRUE,"True," &amp; IF(_xlfn.XLOOKUP("Service_Insecure_Match",'Scoring_Config'!$A:$A,'Scoring_Config'!$D:$D,"Yes")="Yes",_xlfn.XLOOKUP("Service_Insecure_Match",'Scoring_Config'!$A:$A,'Scoring_Config'!$C:$C,20),0),"False,0")</f>
        <v>0</v>
      </c>
      <c r="AN440" s="4" cm="1">
        <f t="array" ref="AN440">IF(FALSE,"True," &amp; IF(_xlfn.XLOOKUP("Risky_Inbound",'Scoring_Config'!$A:$A,'Scoring_Config'!$D:$D,"Yes")="Yes",_xlfn.XLOOKUP("Risky_Inbound",'Scoring_Config'!$A:$A,'Scoring_Config'!$C:$C,20),0),"False,0")</f>
        <v>0</v>
      </c>
      <c r="AO440" s="4" cm="1">
        <f t="array" ref="AO440">IF(FALSE,"True," &amp; IF(_xlfn.XLOOKUP("Risky_Outbound",'Scoring_Config'!$A:$A,'Scoring_Config'!$D:$D,"Yes")="Yes",_xlfn.XLOOKUP("Risky_Outbound",'Scoring_Config'!$A:$A,'Scoring_Config'!$C:$C,10),0),"False,0")</f>
        <v>0</v>
      </c>
      <c r="AP440" s="5" t="s">
        <v>2595</v>
      </c>
      <c r="AQ440" s="4" cm="1">
        <f t="array" ref="AQ44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0" s="4" t="s">
        <v>2592</v>
      </c>
      <c r="AS440" s="4" t="s">
        <v>2592</v>
      </c>
      <c r="AT440" s="4" t="s">
        <v>2592</v>
      </c>
      <c r="AU440" s="5" cm="1">
        <f t="array" ref="AU440">IF(TRUE,"True," &amp; IF(_xlfn.XLOOKUP("Action_IsDenyOrDrop",'Scoring_Config'!$A:$A,'Scoring_Config'!$D:$D,"Yes")="Yes",_xlfn.XLOOKUP("Action_IsDenyOrDrop",'Scoring_Config'!$A:$A,'Scoring_Config'!$C:$C,0),0),"False,0")</f>
        <v>0</v>
      </c>
      <c r="AV440" s="4"/>
      <c r="AW440" s="4" cm="1">
        <f t="array" ref="AW440">IF(FALSE,"True," &amp; IF(_xlfn.XLOOKUP("Migrate_Insecure",'Scoring_Config'!$A:$A,'Scoring_Config'!$D:$D,"Yes")="Yes",_xlfn.XLOOKUP("Migrate_Insecure",'Scoring_Config'!$A:$A,'Scoring_Config'!$C:$C,15),0),"False,0")</f>
        <v>0</v>
      </c>
      <c r="AX440" s="4"/>
      <c r="AY440" s="4" cm="1">
        <f t="array" ref="AY440">IF(FALSE,"True," &amp; IF(_xlfn.XLOOKUP("Migrate_Other_Ports",'Scoring_Config'!$A:$A,'Scoring_Config'!$D:$D,"Yes")="Yes",_xlfn.XLOOKUP("Migrate_Other_Ports",'Scoring_Config'!$A:$A,'Scoring_Config'!$C:$C,5),0),"False,0")</f>
        <v>0</v>
      </c>
      <c r="AZ440" s="4" cm="1">
        <f t="array" ref="AZ440">IF(LEFT(AU440,4)="True",0,(IF(LEFT(AC440,4)="True",IF(_xlfn.XLOOKUP("Src_IsAny",'Scoring_Config'!$A:$A,'Scoring_Config'!$D:$D,"Yes")="Yes",_xlfn.XLOOKUP("Src_IsAny",'Scoring_Config'!$A:$A,'Scoring_Config'!$C:$C,25),0),0)+IF(LEFT(AD440,4)="True",IF(_xlfn.XLOOKUP("Src_CIDR_Le_16",'Scoring_Config'!$A:$A,'Scoring_Config'!$D:$D,"Yes")="Yes",_xlfn.XLOOKUP("Src_CIDR_Le_16",'Scoring_Config'!$A:$A,'Scoring_Config'!$C:$C,25),0),0)+IF(LEFT(AE440,4)="True",IF(_xlfn.XLOOKUP("Src_CIDR_17_22",'Scoring_Config'!$A:$A,'Scoring_Config'!$D:$D,"Yes")="Yes",_xlfn.XLOOKUP("Src_CIDR_17_22",'Scoring_Config'!$A:$A,'Scoring_Config'!$C:$C,15),0),0)+IF(LEFT(AF440,4)="True",IF(_xlfn.XLOOKUP("Dst_IsAny",'Scoring_Config'!$A:$A,'Scoring_Config'!$D:$D,"Yes")="Yes",_xlfn.XLOOKUP("Dst_IsAny",'Scoring_Config'!$A:$A,'Scoring_Config'!$C:$C,25),0),0)+IF(LEFT(AG440,4)="True",IF(_xlfn.XLOOKUP("Dst_CIDR_Le_16",'Scoring_Config'!$A:$A,'Scoring_Config'!$D:$D,"Yes")="Yes",_xlfn.XLOOKUP("Dst_CIDR_Le_16",'Scoring_Config'!$A:$A,'Scoring_Config'!$C:$C,25),0),0)+IF(LEFT(AH440,4)="True",IF(_xlfn.XLOOKUP("Dst_CIDR_17_22",'Scoring_Config'!$A:$A,'Scoring_Config'!$D:$D,"Yes")="Yes",_xlfn.XLOOKUP("Dst_CIDR_17_22",'Scoring_Config'!$A:$A,'Scoring_Config'!$C:$C,15),0),0)+IF(LEFT(AI440,4)="True",IF(_xlfn.XLOOKUP("SrcZone_IsAny",'Scoring_Config'!$A:$A,'Scoring_Config'!$D:$D,"Yes")="Yes",_xlfn.XLOOKUP("SrcZone_IsAny",'Scoring_Config'!$A:$A,'Scoring_Config'!$C:$C,5),0),0)+IF(LEFT(AJ440,4)="True",IF(_xlfn.XLOOKUP("DstZone_IsAny",'Scoring_Config'!$A:$A,'Scoring_Config'!$D:$D,"Yes")="Yes",_xlfn.XLOOKUP("DstZone_IsAny",'Scoring_Config'!$A:$A,'Scoring_Config'!$C:$C,5),0),0)+IF(LEFT(AK440,4)="True",IF(_xlfn.XLOOKUP("Service_Any_OR_RangeGt1000",'Scoring_Config'!$A:$A,'Scoring_Config'!$D:$D,"Yes")="Yes",_xlfn.XLOOKUP("Service_Any_OR_RangeGt1000",'Scoring_Config'!$A:$A,'Scoring_Config'!$C:$C,25),0),0)+IF(LEFT(AL440,4)="True",IF(_xlfn.XLOOKUP("App_Any_OR_RangeGt1000",'Scoring_Config'!$A:$A,'Scoring_Config'!$D:$D,"Yes")="Yes",_xlfn.XLOOKUP("App_Any_OR_RangeGt1000",'Scoring_Config'!$A:$A,'Scoring_Config'!$C:$C,25),0),0)+IF(LEFT(AM440,4)="True",IF(_xlfn.XLOOKUP("Service_Insecure_Match",'Scoring_Config'!$A:$A,'Scoring_Config'!$D:$D,"Yes")="Yes",_xlfn.XLOOKUP("Service_Insecure_Match",'Scoring_Config'!$A:$A,'Scoring_Config'!$C:$C,20),0),0)+IF(LEFT(AN440,4)="True",IF(_xlfn.XLOOKUP("Risky_Inbound",'Scoring_Config'!$A:$A,'Scoring_Config'!$D:$D,"Yes")="Yes",_xlfn.XLOOKUP("Risky_Inbound",'Scoring_Config'!$A:$A,'Scoring_Config'!$C:$C,20),0),0)+IF(LEFT(AO440,4)="True",IF(_xlfn.XLOOKUP("Risky_Outbound",'Scoring_Config'!$A:$A,'Scoring_Config'!$D:$D,"Yes")="Yes",_xlfn.XLOOKUP("Risky_Outbound",'Scoring_Config'!$A:$A,'Scoring_Config'!$C:$C,10),0),0)+IF(LEFT(AW440,4)="True",IF(_xlfn.XLOOKUP("Migrate_Insecure",'Scoring_Config'!$A:$A,'Scoring_Config'!$D:$D,"Yes")="Yes",_xlfn.XLOOKUP("Migrate_Insecure",'Scoring_Config'!$A:$A,'Scoring_Config'!$C:$C,15),0),0)+IF(LEFT(AY440,4)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440,FIND(",",AP440)+1,100)),0)+IF(LEFT(AQ440,4)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440,FIND(",",AR440)+1,100)),0)+IF(_xlfn.XLOOKUP("Profile_Scoring",'Scoring_Config'!$A:$A,'Scoring_Config'!$D:$D,"Yes")="Yes",VALUE(MID(AS440,FIND(",",AS440)+1,100)),0)+IF(_xlfn.XLOOKUP("Options_Scoring",'Scoring_Config'!$A:$A,'Scoring_Config'!$D:$D,"Yes")="Yes",VALUE(MID(AT440,FIND(",",AT440)+1,100)),0)))</f>
        <v>0</v>
      </c>
    </row>
    <row r="441" spans="1:52">
      <c r="A441" s="3" t="s">
        <v>55</v>
      </c>
      <c r="B441" s="3" t="s">
        <v>162</v>
      </c>
      <c r="C441" s="3" t="s">
        <v>332</v>
      </c>
      <c r="D441" s="3"/>
      <c r="E441" s="3" t="s">
        <v>359</v>
      </c>
      <c r="F441" s="3" t="s">
        <v>362</v>
      </c>
      <c r="G441" s="3" t="s">
        <v>365</v>
      </c>
      <c r="H441" s="3" t="s">
        <v>365</v>
      </c>
      <c r="I441" s="3" t="s">
        <v>624</v>
      </c>
      <c r="J441" s="3" t="s">
        <v>363</v>
      </c>
      <c r="K441" s="3" t="s">
        <v>499</v>
      </c>
      <c r="L441" s="3" t="s">
        <v>602</v>
      </c>
      <c r="M441" s="3" t="s">
        <v>773</v>
      </c>
      <c r="N441" s="3" t="s">
        <v>773</v>
      </c>
      <c r="O441" s="4" t="s">
        <v>828</v>
      </c>
      <c r="P441" s="3" t="s">
        <v>889</v>
      </c>
      <c r="Q441" s="3" t="s">
        <v>905</v>
      </c>
      <c r="R441" s="3" t="s">
        <v>908</v>
      </c>
      <c r="S441" s="3" t="s">
        <v>912</v>
      </c>
      <c r="T441" s="3" t="s">
        <v>919</v>
      </c>
      <c r="U441" s="3" t="s">
        <v>1150</v>
      </c>
      <c r="V441" s="3" t="s">
        <v>789</v>
      </c>
      <c r="W441" s="3" t="s">
        <v>1012</v>
      </c>
      <c r="X441" s="3" t="s">
        <v>2045</v>
      </c>
      <c r="Y441" s="3" t="s">
        <v>2514</v>
      </c>
      <c r="Z441" s="3"/>
      <c r="AA441" s="3"/>
      <c r="AB441" s="3"/>
      <c r="AC441" s="5" cm="1">
        <f t="array" ref="AC441">IF(TRUE,"True," &amp; IF(_xlfn.XLOOKUP("Src_IsAny",'Scoring_Config'!$A:$A,'Scoring_Config'!$D:$D,"Yes")="Yes",_xlfn.XLOOKUP("Src_IsAny",'Scoring_Config'!$A:$A,'Scoring_Config'!$C:$C,25),0),"False,0")</f>
        <v>0</v>
      </c>
      <c r="AD441" s="4" cm="1">
        <f t="array" ref="AD441">IF(FALSE,"True," &amp; IF(_xlfn.XLOOKUP("Src_CIDR_Le_16",'Scoring_Config'!$A:$A,'Scoring_Config'!$D:$D,"Yes")="Yes",_xlfn.XLOOKUP("Src_CIDR_Le_16",'Scoring_Config'!$A:$A,'Scoring_Config'!$C:$C,25),0),"False,0")</f>
        <v>0</v>
      </c>
      <c r="AE441" s="4" cm="1">
        <f t="array" ref="AE441">IF(FALSE,"True," &amp; IF(_xlfn.XLOOKUP("Src_CIDR_17_22",'Scoring_Config'!$A:$A,'Scoring_Config'!$D:$D,"Yes")="Yes",_xlfn.XLOOKUP("Src_CIDR_17_22",'Scoring_Config'!$A:$A,'Scoring_Config'!$C:$C,15),0),"False,0")</f>
        <v>0</v>
      </c>
      <c r="AF441" s="5" cm="1">
        <f t="array" ref="AF441">IF(TRUE,"True," &amp; IF(_xlfn.XLOOKUP("Dst_IsAny",'Scoring_Config'!$A:$A,'Scoring_Config'!$D:$D,"Yes")="Yes",_xlfn.XLOOKUP("Dst_IsAny",'Scoring_Config'!$A:$A,'Scoring_Config'!$C:$C,25),0),"False,0")</f>
        <v>0</v>
      </c>
      <c r="AG441" s="5" cm="1">
        <f t="array" ref="AG441">IF(TRUE,"True," &amp; IF(_xlfn.XLOOKUP("Dst_CIDR_Le_16",'Scoring_Config'!$A:$A,'Scoring_Config'!$D:$D,"Yes")="Yes",_xlfn.XLOOKUP("Dst_CIDR_Le_16",'Scoring_Config'!$A:$A,'Scoring_Config'!$C:$C,25),0),"False,0")</f>
        <v>0</v>
      </c>
      <c r="AH441" s="4" cm="1">
        <f t="array" ref="AH441">IF(FALSE,"True," &amp; IF(_xlfn.XLOOKUP("Dst_CIDR_17_22",'Scoring_Config'!$A:$A,'Scoring_Config'!$D:$D,"Yes")="Yes",_xlfn.XLOOKUP("Dst_CIDR_17_22",'Scoring_Config'!$A:$A,'Scoring_Config'!$C:$C,15),0),"False,0")</f>
        <v>0</v>
      </c>
      <c r="AI441" s="4" cm="1">
        <f t="array" ref="AI441">IF(FALSE,"True," &amp; IF(_xlfn.XLOOKUP("SrcZone_IsAny",'Scoring_Config'!$A:$A,'Scoring_Config'!$D:$D,"Yes")="Yes",_xlfn.XLOOKUP("SrcZone_IsAny",'Scoring_Config'!$A:$A,'Scoring_Config'!$C:$C,5),0),"False,0")</f>
        <v>0</v>
      </c>
      <c r="AJ441" s="4" cm="1">
        <f t="array" ref="AJ441">IF(FALSE,"True," &amp; IF(_xlfn.XLOOKUP("DstZone_IsAny",'Scoring_Config'!$A:$A,'Scoring_Config'!$D:$D,"Yes")="Yes",_xlfn.XLOOKUP("DstZone_IsAny",'Scoring_Config'!$A:$A,'Scoring_Config'!$C:$C,5),0),"False,0")</f>
        <v>0</v>
      </c>
      <c r="AK441" s="4" cm="1">
        <f t="array" ref="AK44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1" s="4" cm="1">
        <f t="array" ref="AL441">IF(FALSE,"True," &amp; IF(_xlfn.XLOOKUP("App_Any_OR_RangeGt1000",'Scoring_Config'!$A:$A,'Scoring_Config'!$D:$D,"Yes")="Yes",_xlfn.XLOOKUP("App_Any_OR_RangeGt1000",'Scoring_Config'!$A:$A,'Scoring_Config'!$C:$C,25),0),"False,0")</f>
        <v>0</v>
      </c>
      <c r="AM441" s="5" cm="1">
        <f t="array" ref="AM441">IF(TRUE,"True," &amp; IF(_xlfn.XLOOKUP("Service_Insecure_Match",'Scoring_Config'!$A:$A,'Scoring_Config'!$D:$D,"Yes")="Yes",_xlfn.XLOOKUP("Service_Insecure_Match",'Scoring_Config'!$A:$A,'Scoring_Config'!$C:$C,20),0),"False,0")</f>
        <v>0</v>
      </c>
      <c r="AN441" s="4" cm="1">
        <f t="array" ref="AN441">IF(FALSE,"True," &amp; IF(_xlfn.XLOOKUP("Risky_Inbound",'Scoring_Config'!$A:$A,'Scoring_Config'!$D:$D,"Yes")="Yes",_xlfn.XLOOKUP("Risky_Inbound",'Scoring_Config'!$A:$A,'Scoring_Config'!$C:$C,20),0),"False,0")</f>
        <v>0</v>
      </c>
      <c r="AO441" s="4" cm="1">
        <f t="array" ref="AO441">IF(FALSE,"True," &amp; IF(_xlfn.XLOOKUP("Risky_Outbound",'Scoring_Config'!$A:$A,'Scoring_Config'!$D:$D,"Yes")="Yes",_xlfn.XLOOKUP("Risky_Outbound",'Scoring_Config'!$A:$A,'Scoring_Config'!$C:$C,10),0),"False,0")</f>
        <v>0</v>
      </c>
      <c r="AP441" s="5" t="s">
        <v>2595</v>
      </c>
      <c r="AQ441" s="5" cm="1">
        <f t="array" ref="AQ44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1" s="5" t="s">
        <v>2598</v>
      </c>
      <c r="AS441" s="4" t="s">
        <v>2592</v>
      </c>
      <c r="AT441" s="4" t="s">
        <v>2592</v>
      </c>
      <c r="AU441" s="4" cm="1">
        <f t="array" ref="AU441">IF(FALSE,"True," &amp; IF(_xlfn.XLOOKUP("Action_IsDenyOrDrop",'Scoring_Config'!$A:$A,'Scoring_Config'!$D:$D,"Yes")="Yes",_xlfn.XLOOKUP("Action_IsDenyOrDrop",'Scoring_Config'!$A:$A,'Scoring_Config'!$C:$C,0),0),"False,0")</f>
        <v>0</v>
      </c>
      <c r="AV441" s="4"/>
      <c r="AW441" s="4" cm="1">
        <f t="array" ref="AW441">IF(FALSE,"True," &amp; IF(_xlfn.XLOOKUP("Migrate_Insecure",'Scoring_Config'!$A:$A,'Scoring_Config'!$D:$D,"Yes")="Yes",_xlfn.XLOOKUP("Migrate_Insecure",'Scoring_Config'!$A:$A,'Scoring_Config'!$C:$C,15),0),"False,0")</f>
        <v>0</v>
      </c>
      <c r="AX441" s="4"/>
      <c r="AY441" s="4" cm="1">
        <f t="array" ref="AY441">IF(FALSE,"True," &amp; IF(_xlfn.XLOOKUP("Migrate_Other_Ports",'Scoring_Config'!$A:$A,'Scoring_Config'!$D:$D,"Yes")="Yes",_xlfn.XLOOKUP("Migrate_Other_Ports",'Scoring_Config'!$A:$A,'Scoring_Config'!$C:$C,5),0),"False,0")</f>
        <v>0</v>
      </c>
      <c r="AZ441" s="4" cm="1">
        <f t="array" ref="AZ441">IF(LEFT(AU441,4)="True",0,(IF(LEFT(AC441,4)="True",IF(_xlfn.XLOOKUP("Src_IsAny",'Scoring_Config'!$A:$A,'Scoring_Config'!$D:$D,"Yes")="Yes",_xlfn.XLOOKUP("Src_IsAny",'Scoring_Config'!$A:$A,'Scoring_Config'!$C:$C,25),0),0)+IF(LEFT(AD441,4)="True",IF(_xlfn.XLOOKUP("Src_CIDR_Le_16",'Scoring_Config'!$A:$A,'Scoring_Config'!$D:$D,"Yes")="Yes",_xlfn.XLOOKUP("Src_CIDR_Le_16",'Scoring_Config'!$A:$A,'Scoring_Config'!$C:$C,25),0),0)+IF(LEFT(AE441,4)="True",IF(_xlfn.XLOOKUP("Src_CIDR_17_22",'Scoring_Config'!$A:$A,'Scoring_Config'!$D:$D,"Yes")="Yes",_xlfn.XLOOKUP("Src_CIDR_17_22",'Scoring_Config'!$A:$A,'Scoring_Config'!$C:$C,15),0),0)+IF(LEFT(AF441,4)="True",IF(_xlfn.XLOOKUP("Dst_IsAny",'Scoring_Config'!$A:$A,'Scoring_Config'!$D:$D,"Yes")="Yes",_xlfn.XLOOKUP("Dst_IsAny",'Scoring_Config'!$A:$A,'Scoring_Config'!$C:$C,25),0),0)+IF(LEFT(AG441,4)="True",IF(_xlfn.XLOOKUP("Dst_CIDR_Le_16",'Scoring_Config'!$A:$A,'Scoring_Config'!$D:$D,"Yes")="Yes",_xlfn.XLOOKUP("Dst_CIDR_Le_16",'Scoring_Config'!$A:$A,'Scoring_Config'!$C:$C,25),0),0)+IF(LEFT(AH441,4)="True",IF(_xlfn.XLOOKUP("Dst_CIDR_17_22",'Scoring_Config'!$A:$A,'Scoring_Config'!$D:$D,"Yes")="Yes",_xlfn.XLOOKUP("Dst_CIDR_17_22",'Scoring_Config'!$A:$A,'Scoring_Config'!$C:$C,15),0),0)+IF(LEFT(AI441,4)="True",IF(_xlfn.XLOOKUP("SrcZone_IsAny",'Scoring_Config'!$A:$A,'Scoring_Config'!$D:$D,"Yes")="Yes",_xlfn.XLOOKUP("SrcZone_IsAny",'Scoring_Config'!$A:$A,'Scoring_Config'!$C:$C,5),0),0)+IF(LEFT(AJ441,4)="True",IF(_xlfn.XLOOKUP("DstZone_IsAny",'Scoring_Config'!$A:$A,'Scoring_Config'!$D:$D,"Yes")="Yes",_xlfn.XLOOKUP("DstZone_IsAny",'Scoring_Config'!$A:$A,'Scoring_Config'!$C:$C,5),0),0)+IF(LEFT(AK441,4)="True",IF(_xlfn.XLOOKUP("Service_Any_OR_RangeGt1000",'Scoring_Config'!$A:$A,'Scoring_Config'!$D:$D,"Yes")="Yes",_xlfn.XLOOKUP("Service_Any_OR_RangeGt1000",'Scoring_Config'!$A:$A,'Scoring_Config'!$C:$C,25),0),0)+IF(LEFT(AL441,4)="True",IF(_xlfn.XLOOKUP("App_Any_OR_RangeGt1000",'Scoring_Config'!$A:$A,'Scoring_Config'!$D:$D,"Yes")="Yes",_xlfn.XLOOKUP("App_Any_OR_RangeGt1000",'Scoring_Config'!$A:$A,'Scoring_Config'!$C:$C,25),0),0)+IF(LEFT(AM441,4)="True",IF(_xlfn.XLOOKUP("Service_Insecure_Match",'Scoring_Config'!$A:$A,'Scoring_Config'!$D:$D,"Yes")="Yes",_xlfn.XLOOKUP("Service_Insecure_Match",'Scoring_Config'!$A:$A,'Scoring_Config'!$C:$C,20),0),0)+IF(LEFT(AN441,4)="True",IF(_xlfn.XLOOKUP("Risky_Inbound",'Scoring_Config'!$A:$A,'Scoring_Config'!$D:$D,"Yes")="Yes",_xlfn.XLOOKUP("Risky_Inbound",'Scoring_Config'!$A:$A,'Scoring_Config'!$C:$C,20),0),0)+IF(LEFT(AO441,4)="True",IF(_xlfn.XLOOKUP("Risky_Outbound",'Scoring_Config'!$A:$A,'Scoring_Config'!$D:$D,"Yes")="Yes",_xlfn.XLOOKUP("Risky_Outbound",'Scoring_Config'!$A:$A,'Scoring_Config'!$C:$C,10),0),0)+IF(LEFT(AW441,4)="True",IF(_xlfn.XLOOKUP("Migrate_Insecure",'Scoring_Config'!$A:$A,'Scoring_Config'!$D:$D,"Yes")="Yes",_xlfn.XLOOKUP("Migrate_Insecure",'Scoring_Config'!$A:$A,'Scoring_Config'!$C:$C,15),0),0)+IF(LEFT(AY441,4)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441,FIND(",",AP441)+1,100)),0)+IF(LEFT(AQ441,4)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441,FIND(",",AR441)+1,100)),0)+IF(_xlfn.XLOOKUP("Profile_Scoring",'Scoring_Config'!$A:$A,'Scoring_Config'!$D:$D,"Yes")="Yes",VALUE(MID(AS441,FIND(",",AS441)+1,100)),0)+IF(_xlfn.XLOOKUP("Options_Scoring",'Scoring_Config'!$A:$A,'Scoring_Config'!$D:$D,"Yes")="Yes",VALUE(MID(AT441,FIND(",",AT441)+1,100)),0)))</f>
        <v>0</v>
      </c>
    </row>
    <row r="442" spans="1:52">
      <c r="A442" s="3" t="s">
        <v>55</v>
      </c>
      <c r="B442" s="3" t="s">
        <v>123</v>
      </c>
      <c r="C442" s="3" t="s">
        <v>332</v>
      </c>
      <c r="D442" s="3"/>
      <c r="E442" s="3" t="s">
        <v>359</v>
      </c>
      <c r="F442" s="3" t="s">
        <v>364</v>
      </c>
      <c r="G442" s="3" t="s">
        <v>528</v>
      </c>
      <c r="H442" s="3" t="s">
        <v>528</v>
      </c>
      <c r="I442" s="3" t="s">
        <v>365</v>
      </c>
      <c r="J442" s="3" t="s">
        <v>363</v>
      </c>
      <c r="K442" s="3" t="s">
        <v>533</v>
      </c>
      <c r="L442" s="3" t="s">
        <v>594</v>
      </c>
      <c r="M442" s="3" t="s">
        <v>775</v>
      </c>
      <c r="N442" s="3" t="s">
        <v>796</v>
      </c>
      <c r="O442" s="4" t="s">
        <v>815</v>
      </c>
      <c r="P442" s="3" t="s">
        <v>876</v>
      </c>
      <c r="Q442" s="3" t="s">
        <v>905</v>
      </c>
      <c r="R442" s="3" t="s">
        <v>911</v>
      </c>
      <c r="S442" s="3" t="s">
        <v>913</v>
      </c>
      <c r="T442" s="3" t="s">
        <v>919</v>
      </c>
      <c r="U442" s="3" t="s">
        <v>1147</v>
      </c>
      <c r="V442" s="3" t="s">
        <v>1388</v>
      </c>
      <c r="W442" s="3" t="s">
        <v>1597</v>
      </c>
      <c r="X442" s="3" t="s">
        <v>2046</v>
      </c>
      <c r="Y442" s="3" t="s">
        <v>2515</v>
      </c>
      <c r="Z442" s="3"/>
      <c r="AA442" s="3"/>
      <c r="AB442" s="3"/>
      <c r="AC442" s="4" cm="1">
        <f t="array" ref="AC442">IF(FALSE,"True," &amp; IF(_xlfn.XLOOKUP("Src_IsAny",'Scoring_Config'!$A:$A,'Scoring_Config'!$D:$D,"Yes")="Yes",_xlfn.XLOOKUP("Src_IsAny",'Scoring_Config'!$A:$A,'Scoring_Config'!$C:$C,25),0),"False,0")</f>
        <v>0</v>
      </c>
      <c r="AD442" s="4" cm="1">
        <f t="array" ref="AD442">IF(FALSE,"True," &amp; IF(_xlfn.XLOOKUP("Src_CIDR_Le_16",'Scoring_Config'!$A:$A,'Scoring_Config'!$D:$D,"Yes")="Yes",_xlfn.XLOOKUP("Src_CIDR_Le_16",'Scoring_Config'!$A:$A,'Scoring_Config'!$C:$C,25),0),"False,0")</f>
        <v>0</v>
      </c>
      <c r="AE442" s="4" cm="1">
        <f t="array" ref="AE442">IF(FALSE,"True," &amp; IF(_xlfn.XLOOKUP("Src_CIDR_17_22",'Scoring_Config'!$A:$A,'Scoring_Config'!$D:$D,"Yes")="Yes",_xlfn.XLOOKUP("Src_CIDR_17_22",'Scoring_Config'!$A:$A,'Scoring_Config'!$C:$C,15),0),"False,0")</f>
        <v>0</v>
      </c>
      <c r="AF442" s="4" cm="1">
        <f t="array" ref="AF442">IF(FALSE,"True," &amp; IF(_xlfn.XLOOKUP("Dst_IsAny",'Scoring_Config'!$A:$A,'Scoring_Config'!$D:$D,"Yes")="Yes",_xlfn.XLOOKUP("Dst_IsAny",'Scoring_Config'!$A:$A,'Scoring_Config'!$C:$C,25),0),"False,0")</f>
        <v>0</v>
      </c>
      <c r="AG442" s="5" cm="1">
        <f t="array" ref="AG442">IF(TRUE,"True," &amp; IF(_xlfn.XLOOKUP("Dst_CIDR_Le_16",'Scoring_Config'!$A:$A,'Scoring_Config'!$D:$D,"Yes")="Yes",_xlfn.XLOOKUP("Dst_CIDR_Le_16",'Scoring_Config'!$A:$A,'Scoring_Config'!$C:$C,25),0),"False,0")</f>
        <v>0</v>
      </c>
      <c r="AH442" s="4" cm="1">
        <f t="array" ref="AH442">IF(FALSE,"True," &amp; IF(_xlfn.XLOOKUP("Dst_CIDR_17_22",'Scoring_Config'!$A:$A,'Scoring_Config'!$D:$D,"Yes")="Yes",_xlfn.XLOOKUP("Dst_CIDR_17_22",'Scoring_Config'!$A:$A,'Scoring_Config'!$C:$C,15),0),"False,0")</f>
        <v>0</v>
      </c>
      <c r="AI442" s="4" cm="1">
        <f t="array" ref="AI442">IF(FALSE,"True," &amp; IF(_xlfn.XLOOKUP("SrcZone_IsAny",'Scoring_Config'!$A:$A,'Scoring_Config'!$D:$D,"Yes")="Yes",_xlfn.XLOOKUP("SrcZone_IsAny",'Scoring_Config'!$A:$A,'Scoring_Config'!$C:$C,5),0),"False,0")</f>
        <v>0</v>
      </c>
      <c r="AJ442" s="4" cm="1">
        <f t="array" ref="AJ442">IF(FALSE,"True," &amp; IF(_xlfn.XLOOKUP("DstZone_IsAny",'Scoring_Config'!$A:$A,'Scoring_Config'!$D:$D,"Yes")="Yes",_xlfn.XLOOKUP("DstZone_IsAny",'Scoring_Config'!$A:$A,'Scoring_Config'!$C:$C,5),0),"False,0")</f>
        <v>0</v>
      </c>
      <c r="AK442" s="4" cm="1">
        <f t="array" ref="AK44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2" s="4" cm="1">
        <f t="array" ref="AL442">IF(FALSE,"True," &amp; IF(_xlfn.XLOOKUP("App_Any_OR_RangeGt1000",'Scoring_Config'!$A:$A,'Scoring_Config'!$D:$D,"Yes")="Yes",_xlfn.XLOOKUP("App_Any_OR_RangeGt1000",'Scoring_Config'!$A:$A,'Scoring_Config'!$C:$C,25),0),"False,0")</f>
        <v>0</v>
      </c>
      <c r="AM442" s="4" cm="1">
        <f t="array" ref="AM442">IF(FALSE,"True," &amp; IF(_xlfn.XLOOKUP("Service_Insecure_Match",'Scoring_Config'!$A:$A,'Scoring_Config'!$D:$D,"Yes")="Yes",_xlfn.XLOOKUP("Service_Insecure_Match",'Scoring_Config'!$A:$A,'Scoring_Config'!$C:$C,20),0),"False,0")</f>
        <v>0</v>
      </c>
      <c r="AN442" s="4" cm="1">
        <f t="array" ref="AN442">IF(FALSE,"True," &amp; IF(_xlfn.XLOOKUP("Risky_Inbound",'Scoring_Config'!$A:$A,'Scoring_Config'!$D:$D,"Yes")="Yes",_xlfn.XLOOKUP("Risky_Inbound",'Scoring_Config'!$A:$A,'Scoring_Config'!$C:$C,20),0),"False,0")</f>
        <v>0</v>
      </c>
      <c r="AO442" s="4" cm="1">
        <f t="array" ref="AO442">IF(FALSE,"True," &amp; IF(_xlfn.XLOOKUP("Risky_Outbound",'Scoring_Config'!$A:$A,'Scoring_Config'!$D:$D,"Yes")="Yes",_xlfn.XLOOKUP("Risky_Outbound",'Scoring_Config'!$A:$A,'Scoring_Config'!$C:$C,10),0),"False,0")</f>
        <v>0</v>
      </c>
      <c r="AP442" s="5" t="s">
        <v>2595</v>
      </c>
      <c r="AQ442" s="5" cm="1">
        <f t="array" ref="AQ44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2" s="4" t="s">
        <v>2592</v>
      </c>
      <c r="AS442" s="4" t="s">
        <v>2592</v>
      </c>
      <c r="AT442" s="4" t="s">
        <v>2592</v>
      </c>
      <c r="AU442" s="4" cm="1">
        <f t="array" ref="AU442">IF(FALSE,"True," &amp; IF(_xlfn.XLOOKUP("Action_IsDenyOrDrop",'Scoring_Config'!$A:$A,'Scoring_Config'!$D:$D,"Yes")="Yes",_xlfn.XLOOKUP("Action_IsDenyOrDrop",'Scoring_Config'!$A:$A,'Scoring_Config'!$C:$C,0),0),"False,0")</f>
        <v>0</v>
      </c>
      <c r="AV442" s="4"/>
      <c r="AW442" s="4" cm="1">
        <f t="array" ref="AW442">IF(FALSE,"True," &amp; IF(_xlfn.XLOOKUP("Migrate_Insecure",'Scoring_Config'!$A:$A,'Scoring_Config'!$D:$D,"Yes")="Yes",_xlfn.XLOOKUP("Migrate_Insecure",'Scoring_Config'!$A:$A,'Scoring_Config'!$C:$C,15),0),"False,0")</f>
        <v>0</v>
      </c>
      <c r="AX442" s="4"/>
      <c r="AY442" s="4" cm="1">
        <f t="array" ref="AY442">IF(FALSE,"True," &amp; IF(_xlfn.XLOOKUP("Migrate_Other_Ports",'Scoring_Config'!$A:$A,'Scoring_Config'!$D:$D,"Yes")="Yes",_xlfn.XLOOKUP("Migrate_Other_Ports",'Scoring_Config'!$A:$A,'Scoring_Config'!$C:$C,5),0),"False,0")</f>
        <v>0</v>
      </c>
      <c r="AZ442" s="4" cm="1">
        <f t="array" ref="AZ442">IF(LEFT(AU442,4)="True",0,(IF(LEFT(AC442,4)="True",IF(_xlfn.XLOOKUP("Src_IsAny",'Scoring_Config'!$A:$A,'Scoring_Config'!$D:$D,"Yes")="Yes",_xlfn.XLOOKUP("Src_IsAny",'Scoring_Config'!$A:$A,'Scoring_Config'!$C:$C,25),0),0)+IF(LEFT(AD442,4)="True",IF(_xlfn.XLOOKUP("Src_CIDR_Le_16",'Scoring_Config'!$A:$A,'Scoring_Config'!$D:$D,"Yes")="Yes",_xlfn.XLOOKUP("Src_CIDR_Le_16",'Scoring_Config'!$A:$A,'Scoring_Config'!$C:$C,25),0),0)+IF(LEFT(AE442,4)="True",IF(_xlfn.XLOOKUP("Src_CIDR_17_22",'Scoring_Config'!$A:$A,'Scoring_Config'!$D:$D,"Yes")="Yes",_xlfn.XLOOKUP("Src_CIDR_17_22",'Scoring_Config'!$A:$A,'Scoring_Config'!$C:$C,15),0),0)+IF(LEFT(AF442,4)="True",IF(_xlfn.XLOOKUP("Dst_IsAny",'Scoring_Config'!$A:$A,'Scoring_Config'!$D:$D,"Yes")="Yes",_xlfn.XLOOKUP("Dst_IsAny",'Scoring_Config'!$A:$A,'Scoring_Config'!$C:$C,25),0),0)+IF(LEFT(AG442,4)="True",IF(_xlfn.XLOOKUP("Dst_CIDR_Le_16",'Scoring_Config'!$A:$A,'Scoring_Config'!$D:$D,"Yes")="Yes",_xlfn.XLOOKUP("Dst_CIDR_Le_16",'Scoring_Config'!$A:$A,'Scoring_Config'!$C:$C,25),0),0)+IF(LEFT(AH442,4)="True",IF(_xlfn.XLOOKUP("Dst_CIDR_17_22",'Scoring_Config'!$A:$A,'Scoring_Config'!$D:$D,"Yes")="Yes",_xlfn.XLOOKUP("Dst_CIDR_17_22",'Scoring_Config'!$A:$A,'Scoring_Config'!$C:$C,15),0),0)+IF(LEFT(AI442,4)="True",IF(_xlfn.XLOOKUP("SrcZone_IsAny",'Scoring_Config'!$A:$A,'Scoring_Config'!$D:$D,"Yes")="Yes",_xlfn.XLOOKUP("SrcZone_IsAny",'Scoring_Config'!$A:$A,'Scoring_Config'!$C:$C,5),0),0)+IF(LEFT(AJ442,4)="True",IF(_xlfn.XLOOKUP("DstZone_IsAny",'Scoring_Config'!$A:$A,'Scoring_Config'!$D:$D,"Yes")="Yes",_xlfn.XLOOKUP("DstZone_IsAny",'Scoring_Config'!$A:$A,'Scoring_Config'!$C:$C,5),0),0)+IF(LEFT(AK442,4)="True",IF(_xlfn.XLOOKUP("Service_Any_OR_RangeGt1000",'Scoring_Config'!$A:$A,'Scoring_Config'!$D:$D,"Yes")="Yes",_xlfn.XLOOKUP("Service_Any_OR_RangeGt1000",'Scoring_Config'!$A:$A,'Scoring_Config'!$C:$C,25),0),0)+IF(LEFT(AL442,4)="True",IF(_xlfn.XLOOKUP("App_Any_OR_RangeGt1000",'Scoring_Config'!$A:$A,'Scoring_Config'!$D:$D,"Yes")="Yes",_xlfn.XLOOKUP("App_Any_OR_RangeGt1000",'Scoring_Config'!$A:$A,'Scoring_Config'!$C:$C,25),0),0)+IF(LEFT(AM442,4)="True",IF(_xlfn.XLOOKUP("Service_Insecure_Match",'Scoring_Config'!$A:$A,'Scoring_Config'!$D:$D,"Yes")="Yes",_xlfn.XLOOKUP("Service_Insecure_Match",'Scoring_Config'!$A:$A,'Scoring_Config'!$C:$C,20),0),0)+IF(LEFT(AN442,4)="True",IF(_xlfn.XLOOKUP("Risky_Inbound",'Scoring_Config'!$A:$A,'Scoring_Config'!$D:$D,"Yes")="Yes",_xlfn.XLOOKUP("Risky_Inbound",'Scoring_Config'!$A:$A,'Scoring_Config'!$C:$C,20),0),0)+IF(LEFT(AO442,4)="True",IF(_xlfn.XLOOKUP("Risky_Outbound",'Scoring_Config'!$A:$A,'Scoring_Config'!$D:$D,"Yes")="Yes",_xlfn.XLOOKUP("Risky_Outbound",'Scoring_Config'!$A:$A,'Scoring_Config'!$C:$C,10),0),0)+IF(LEFT(AW442,4)="True",IF(_xlfn.XLOOKUP("Migrate_Insecure",'Scoring_Config'!$A:$A,'Scoring_Config'!$D:$D,"Yes")="Yes",_xlfn.XLOOKUP("Migrate_Insecure",'Scoring_Config'!$A:$A,'Scoring_Config'!$C:$C,15),0),0)+IF(LEFT(AY442,4)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442,FIND(",",AP442)+1,100)),0)+IF(LEFT(AQ442,4)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442,FIND(",",AR442)+1,100)),0)+IF(_xlfn.XLOOKUP("Profile_Scoring",'Scoring_Config'!$A:$A,'Scoring_Config'!$D:$D,"Yes")="Yes",VALUE(MID(AS442,FIND(",",AS442)+1,100)),0)+IF(_xlfn.XLOOKUP("Options_Scoring",'Scoring_Config'!$A:$A,'Scoring_Config'!$D:$D,"Yes")="Yes",VALUE(MID(AT442,FIND(",",AT442)+1,100)),0)))</f>
        <v>0</v>
      </c>
    </row>
    <row r="443" spans="1:52">
      <c r="A443" s="3" t="s">
        <v>55</v>
      </c>
      <c r="B443" s="3" t="s">
        <v>160</v>
      </c>
      <c r="C443" s="3" t="s">
        <v>332</v>
      </c>
      <c r="D443" s="3"/>
      <c r="E443" s="3" t="s">
        <v>359</v>
      </c>
      <c r="F443" s="3" t="s">
        <v>364</v>
      </c>
      <c r="G443" s="3" t="s">
        <v>530</v>
      </c>
      <c r="H443" s="3" t="s">
        <v>530</v>
      </c>
      <c r="I443" s="3" t="s">
        <v>624</v>
      </c>
      <c r="J443" s="3" t="s">
        <v>360</v>
      </c>
      <c r="K443" s="3" t="s">
        <v>522</v>
      </c>
      <c r="L443" s="3" t="s">
        <v>614</v>
      </c>
      <c r="M443" s="3" t="s">
        <v>773</v>
      </c>
      <c r="N443" s="3" t="s">
        <v>773</v>
      </c>
      <c r="O443" s="4" t="s">
        <v>857</v>
      </c>
      <c r="P443" s="3" t="s">
        <v>865</v>
      </c>
      <c r="Q443" s="3" t="s">
        <v>905</v>
      </c>
      <c r="R443" s="3" t="s">
        <v>906</v>
      </c>
      <c r="S443" s="3" t="s">
        <v>907</v>
      </c>
      <c r="T443" s="3" t="s">
        <v>919</v>
      </c>
      <c r="U443" s="3" t="s">
        <v>1369</v>
      </c>
      <c r="V443" s="3" t="s">
        <v>1389</v>
      </c>
      <c r="W443" s="3" t="s">
        <v>1062</v>
      </c>
      <c r="X443" s="3" t="s">
        <v>2047</v>
      </c>
      <c r="Y443" s="3" t="s">
        <v>2516</v>
      </c>
      <c r="Z443" s="3"/>
      <c r="AA443" s="3"/>
      <c r="AB443" s="3"/>
      <c r="AC443" s="4" cm="1">
        <f t="array" ref="AC443">IF(FALSE,"True," &amp; IF(_xlfn.XLOOKUP("Src_IsAny",'Scoring_Config'!$A:$A,'Scoring_Config'!$D:$D,"Yes")="Yes",_xlfn.XLOOKUP("Src_IsAny",'Scoring_Config'!$A:$A,'Scoring_Config'!$C:$C,25),0),"False,0")</f>
        <v>0</v>
      </c>
      <c r="AD443" s="5" cm="1">
        <f t="array" ref="AD443">IF(TRUE,"True," &amp; IF(_xlfn.XLOOKUP("Src_CIDR_Le_16",'Scoring_Config'!$A:$A,'Scoring_Config'!$D:$D,"Yes")="Yes",_xlfn.XLOOKUP("Src_CIDR_Le_16",'Scoring_Config'!$A:$A,'Scoring_Config'!$C:$C,25),0),"False,0")</f>
        <v>0</v>
      </c>
      <c r="AE443" s="4" cm="1">
        <f t="array" ref="AE443">IF(FALSE,"True," &amp; IF(_xlfn.XLOOKUP("Src_CIDR_17_22",'Scoring_Config'!$A:$A,'Scoring_Config'!$D:$D,"Yes")="Yes",_xlfn.XLOOKUP("Src_CIDR_17_22",'Scoring_Config'!$A:$A,'Scoring_Config'!$C:$C,15),0),"False,0")</f>
        <v>0</v>
      </c>
      <c r="AF443" s="5" cm="1">
        <f t="array" ref="AF443">IF(TRUE,"True," &amp; IF(_xlfn.XLOOKUP("Dst_IsAny",'Scoring_Config'!$A:$A,'Scoring_Config'!$D:$D,"Yes")="Yes",_xlfn.XLOOKUP("Dst_IsAny",'Scoring_Config'!$A:$A,'Scoring_Config'!$C:$C,25),0),"False,0")</f>
        <v>0</v>
      </c>
      <c r="AG443" s="4" cm="1">
        <f t="array" ref="AG443">IF(FALSE,"True," &amp; IF(_xlfn.XLOOKUP("Dst_CIDR_Le_16",'Scoring_Config'!$A:$A,'Scoring_Config'!$D:$D,"Yes")="Yes",_xlfn.XLOOKUP("Dst_CIDR_Le_16",'Scoring_Config'!$A:$A,'Scoring_Config'!$C:$C,25),0),"False,0")</f>
        <v>0</v>
      </c>
      <c r="AH443" s="4" cm="1">
        <f t="array" ref="AH443">IF(FALSE,"True," &amp; IF(_xlfn.XLOOKUP("Dst_CIDR_17_22",'Scoring_Config'!$A:$A,'Scoring_Config'!$D:$D,"Yes")="Yes",_xlfn.XLOOKUP("Dst_CIDR_17_22",'Scoring_Config'!$A:$A,'Scoring_Config'!$C:$C,15),0),"False,0")</f>
        <v>0</v>
      </c>
      <c r="AI443" s="4" cm="1">
        <f t="array" ref="AI443">IF(FALSE,"True," &amp; IF(_xlfn.XLOOKUP("SrcZone_IsAny",'Scoring_Config'!$A:$A,'Scoring_Config'!$D:$D,"Yes")="Yes",_xlfn.XLOOKUP("SrcZone_IsAny",'Scoring_Config'!$A:$A,'Scoring_Config'!$C:$C,5),0),"False,0")</f>
        <v>0</v>
      </c>
      <c r="AJ443" s="4" cm="1">
        <f t="array" ref="AJ443">IF(FALSE,"True," &amp; IF(_xlfn.XLOOKUP("DstZone_IsAny",'Scoring_Config'!$A:$A,'Scoring_Config'!$D:$D,"Yes")="Yes",_xlfn.XLOOKUP("DstZone_IsAny",'Scoring_Config'!$A:$A,'Scoring_Config'!$C:$C,5),0),"False,0")</f>
        <v>0</v>
      </c>
      <c r="AK443" s="4" cm="1">
        <f t="array" ref="AK44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3" s="4" cm="1">
        <f t="array" ref="AL443">IF(FALSE,"True," &amp; IF(_xlfn.XLOOKUP("App_Any_OR_RangeGt1000",'Scoring_Config'!$A:$A,'Scoring_Config'!$D:$D,"Yes")="Yes",_xlfn.XLOOKUP("App_Any_OR_RangeGt1000",'Scoring_Config'!$A:$A,'Scoring_Config'!$C:$C,25),0),"False,0")</f>
        <v>0</v>
      </c>
      <c r="AM443" s="5" cm="1">
        <f t="array" ref="AM443">IF(TRUE,"True," &amp; IF(_xlfn.XLOOKUP("Service_Insecure_Match",'Scoring_Config'!$A:$A,'Scoring_Config'!$D:$D,"Yes")="Yes",_xlfn.XLOOKUP("Service_Insecure_Match",'Scoring_Config'!$A:$A,'Scoring_Config'!$C:$C,20),0),"False,0")</f>
        <v>0</v>
      </c>
      <c r="AN443" s="4" cm="1">
        <f t="array" ref="AN443">IF(FALSE,"True," &amp; IF(_xlfn.XLOOKUP("Risky_Inbound",'Scoring_Config'!$A:$A,'Scoring_Config'!$D:$D,"Yes")="Yes",_xlfn.XLOOKUP("Risky_Inbound",'Scoring_Config'!$A:$A,'Scoring_Config'!$C:$C,20),0),"False,0")</f>
        <v>0</v>
      </c>
      <c r="AO443" s="4" cm="1">
        <f t="array" ref="AO443">IF(FALSE,"True," &amp; IF(_xlfn.XLOOKUP("Risky_Outbound",'Scoring_Config'!$A:$A,'Scoring_Config'!$D:$D,"Yes")="Yes",_xlfn.XLOOKUP("Risky_Outbound",'Scoring_Config'!$A:$A,'Scoring_Config'!$C:$C,10),0),"False,0")</f>
        <v>0</v>
      </c>
      <c r="AP443" s="5" t="s">
        <v>2595</v>
      </c>
      <c r="AQ443" s="4" cm="1">
        <f t="array" ref="AQ44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3" s="5" t="s">
        <v>2598</v>
      </c>
      <c r="AS443" s="4" t="s">
        <v>2592</v>
      </c>
      <c r="AT443" s="5" t="s">
        <v>2595</v>
      </c>
      <c r="AU443" s="4" cm="1">
        <f t="array" ref="AU443">IF(FALSE,"True," &amp; IF(_xlfn.XLOOKUP("Action_IsDenyOrDrop",'Scoring_Config'!$A:$A,'Scoring_Config'!$D:$D,"Yes")="Yes",_xlfn.XLOOKUP("Action_IsDenyOrDrop",'Scoring_Config'!$A:$A,'Scoring_Config'!$C:$C,0),0),"False,0")</f>
        <v>0</v>
      </c>
      <c r="AV443" s="4"/>
      <c r="AW443" s="4" cm="1">
        <f t="array" ref="AW443">IF(FALSE,"True," &amp; IF(_xlfn.XLOOKUP("Migrate_Insecure",'Scoring_Config'!$A:$A,'Scoring_Config'!$D:$D,"Yes")="Yes",_xlfn.XLOOKUP("Migrate_Insecure",'Scoring_Config'!$A:$A,'Scoring_Config'!$C:$C,15),0),"False,0")</f>
        <v>0</v>
      </c>
      <c r="AX443" s="4"/>
      <c r="AY443" s="4" cm="1">
        <f t="array" ref="AY443">IF(FALSE,"True," &amp; IF(_xlfn.XLOOKUP("Migrate_Other_Ports",'Scoring_Config'!$A:$A,'Scoring_Config'!$D:$D,"Yes")="Yes",_xlfn.XLOOKUP("Migrate_Other_Ports",'Scoring_Config'!$A:$A,'Scoring_Config'!$C:$C,5),0),"False,0")</f>
        <v>0</v>
      </c>
      <c r="AZ443" s="4" cm="1">
        <f t="array" ref="AZ443">IF(LEFT(AU443,4)="True",0,(IF(LEFT(AC443,4)="True",IF(_xlfn.XLOOKUP("Src_IsAny",'Scoring_Config'!$A:$A,'Scoring_Config'!$D:$D,"Yes")="Yes",_xlfn.XLOOKUP("Src_IsAny",'Scoring_Config'!$A:$A,'Scoring_Config'!$C:$C,25),0),0)+IF(LEFT(AD443,4)="True",IF(_xlfn.XLOOKUP("Src_CIDR_Le_16",'Scoring_Config'!$A:$A,'Scoring_Config'!$D:$D,"Yes")="Yes",_xlfn.XLOOKUP("Src_CIDR_Le_16",'Scoring_Config'!$A:$A,'Scoring_Config'!$C:$C,25),0),0)+IF(LEFT(AE443,4)="True",IF(_xlfn.XLOOKUP("Src_CIDR_17_22",'Scoring_Config'!$A:$A,'Scoring_Config'!$D:$D,"Yes")="Yes",_xlfn.XLOOKUP("Src_CIDR_17_22",'Scoring_Config'!$A:$A,'Scoring_Config'!$C:$C,15),0),0)+IF(LEFT(AF443,4)="True",IF(_xlfn.XLOOKUP("Dst_IsAny",'Scoring_Config'!$A:$A,'Scoring_Config'!$D:$D,"Yes")="Yes",_xlfn.XLOOKUP("Dst_IsAny",'Scoring_Config'!$A:$A,'Scoring_Config'!$C:$C,25),0),0)+IF(LEFT(AG443,4)="True",IF(_xlfn.XLOOKUP("Dst_CIDR_Le_16",'Scoring_Config'!$A:$A,'Scoring_Config'!$D:$D,"Yes")="Yes",_xlfn.XLOOKUP("Dst_CIDR_Le_16",'Scoring_Config'!$A:$A,'Scoring_Config'!$C:$C,25),0),0)+IF(LEFT(AH443,4)="True",IF(_xlfn.XLOOKUP("Dst_CIDR_17_22",'Scoring_Config'!$A:$A,'Scoring_Config'!$D:$D,"Yes")="Yes",_xlfn.XLOOKUP("Dst_CIDR_17_22",'Scoring_Config'!$A:$A,'Scoring_Config'!$C:$C,15),0),0)+IF(LEFT(AI443,4)="True",IF(_xlfn.XLOOKUP("SrcZone_IsAny",'Scoring_Config'!$A:$A,'Scoring_Config'!$D:$D,"Yes")="Yes",_xlfn.XLOOKUP("SrcZone_IsAny",'Scoring_Config'!$A:$A,'Scoring_Config'!$C:$C,5),0),0)+IF(LEFT(AJ443,4)="True",IF(_xlfn.XLOOKUP("DstZone_IsAny",'Scoring_Config'!$A:$A,'Scoring_Config'!$D:$D,"Yes")="Yes",_xlfn.XLOOKUP("DstZone_IsAny",'Scoring_Config'!$A:$A,'Scoring_Config'!$C:$C,5),0),0)+IF(LEFT(AK443,4)="True",IF(_xlfn.XLOOKUP("Service_Any_OR_RangeGt1000",'Scoring_Config'!$A:$A,'Scoring_Config'!$D:$D,"Yes")="Yes",_xlfn.XLOOKUP("Service_Any_OR_RangeGt1000",'Scoring_Config'!$A:$A,'Scoring_Config'!$C:$C,25),0),0)+IF(LEFT(AL443,4)="True",IF(_xlfn.XLOOKUP("App_Any_OR_RangeGt1000",'Scoring_Config'!$A:$A,'Scoring_Config'!$D:$D,"Yes")="Yes",_xlfn.XLOOKUP("App_Any_OR_RangeGt1000",'Scoring_Config'!$A:$A,'Scoring_Config'!$C:$C,25),0),0)+IF(LEFT(AM443,4)="True",IF(_xlfn.XLOOKUP("Service_Insecure_Match",'Scoring_Config'!$A:$A,'Scoring_Config'!$D:$D,"Yes")="Yes",_xlfn.XLOOKUP("Service_Insecure_Match",'Scoring_Config'!$A:$A,'Scoring_Config'!$C:$C,20),0),0)+IF(LEFT(AN443,4)="True",IF(_xlfn.XLOOKUP("Risky_Inbound",'Scoring_Config'!$A:$A,'Scoring_Config'!$D:$D,"Yes")="Yes",_xlfn.XLOOKUP("Risky_Inbound",'Scoring_Config'!$A:$A,'Scoring_Config'!$C:$C,20),0),0)+IF(LEFT(AO443,4)="True",IF(_xlfn.XLOOKUP("Risky_Outbound",'Scoring_Config'!$A:$A,'Scoring_Config'!$D:$D,"Yes")="Yes",_xlfn.XLOOKUP("Risky_Outbound",'Scoring_Config'!$A:$A,'Scoring_Config'!$C:$C,10),0),0)+IF(LEFT(AW443,4)="True",IF(_xlfn.XLOOKUP("Migrate_Insecure",'Scoring_Config'!$A:$A,'Scoring_Config'!$D:$D,"Yes")="Yes",_xlfn.XLOOKUP("Migrate_Insecure",'Scoring_Config'!$A:$A,'Scoring_Config'!$C:$C,15),0),0)+IF(LEFT(AY443,4)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443,FIND(",",AP443)+1,100)),0)+IF(LEFT(AQ443,4)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443,FIND(",",AR443)+1,100)),0)+IF(_xlfn.XLOOKUP("Profile_Scoring",'Scoring_Config'!$A:$A,'Scoring_Config'!$D:$D,"Yes")="Yes",VALUE(MID(AS443,FIND(",",AS443)+1,100)),0)+IF(_xlfn.XLOOKUP("Options_Scoring",'Scoring_Config'!$A:$A,'Scoring_Config'!$D:$D,"Yes")="Yes",VALUE(MID(AT443,FIND(",",AT443)+1,100)),0)))</f>
        <v>0</v>
      </c>
    </row>
    <row r="444" spans="1:52">
      <c r="A444" s="3" t="s">
        <v>55</v>
      </c>
      <c r="B444" s="3" t="s">
        <v>227</v>
      </c>
      <c r="C444" s="3" t="s">
        <v>332</v>
      </c>
      <c r="D444" s="3"/>
      <c r="E444" s="3" t="s">
        <v>359</v>
      </c>
      <c r="F444" s="3" t="s">
        <v>364</v>
      </c>
      <c r="G444" s="3" t="s">
        <v>510</v>
      </c>
      <c r="H444" s="3" t="s">
        <v>510</v>
      </c>
      <c r="I444" s="3" t="s">
        <v>625</v>
      </c>
      <c r="J444" s="3" t="s">
        <v>362</v>
      </c>
      <c r="K444" s="3" t="s">
        <v>365</v>
      </c>
      <c r="L444" s="3" t="s">
        <v>365</v>
      </c>
      <c r="M444" s="3" t="s">
        <v>770</v>
      </c>
      <c r="N444" s="3" t="s">
        <v>770</v>
      </c>
      <c r="O444" s="4" t="s">
        <v>830</v>
      </c>
      <c r="P444" s="3" t="s">
        <v>891</v>
      </c>
      <c r="Q444" s="3" t="s">
        <v>905</v>
      </c>
      <c r="R444" s="3" t="s">
        <v>908</v>
      </c>
      <c r="S444" s="3" t="s">
        <v>916</v>
      </c>
      <c r="T444" s="3" t="s">
        <v>919</v>
      </c>
      <c r="U444" s="3" t="s">
        <v>1370</v>
      </c>
      <c r="V444" s="3" t="s">
        <v>1388</v>
      </c>
      <c r="W444" s="3" t="s">
        <v>1561</v>
      </c>
      <c r="X444" s="3" t="s">
        <v>2048</v>
      </c>
      <c r="Y444" s="3" t="s">
        <v>2517</v>
      </c>
      <c r="Z444" s="3"/>
      <c r="AA444" s="3"/>
      <c r="AB444" s="3"/>
      <c r="AC444" s="4" cm="1">
        <f t="array" ref="AC444">IF(FALSE,"True," &amp; IF(_xlfn.XLOOKUP("Src_IsAny",'Scoring_Config'!$A:$A,'Scoring_Config'!$D:$D,"Yes")="Yes",_xlfn.XLOOKUP("Src_IsAny",'Scoring_Config'!$A:$A,'Scoring_Config'!$C:$C,25),0),"False,0")</f>
        <v>0</v>
      </c>
      <c r="AD444" s="4" cm="1">
        <f t="array" ref="AD444">IF(FALSE,"True," &amp; IF(_xlfn.XLOOKUP("Src_CIDR_Le_16",'Scoring_Config'!$A:$A,'Scoring_Config'!$D:$D,"Yes")="Yes",_xlfn.XLOOKUP("Src_CIDR_Le_16",'Scoring_Config'!$A:$A,'Scoring_Config'!$C:$C,25),0),"False,0")</f>
        <v>0</v>
      </c>
      <c r="AE444" s="4" cm="1">
        <f t="array" ref="AE444">IF(FALSE,"True," &amp; IF(_xlfn.XLOOKUP("Src_CIDR_17_22",'Scoring_Config'!$A:$A,'Scoring_Config'!$D:$D,"Yes")="Yes",_xlfn.XLOOKUP("Src_CIDR_17_22",'Scoring_Config'!$A:$A,'Scoring_Config'!$C:$C,15),0),"False,0")</f>
        <v>0</v>
      </c>
      <c r="AF444" s="5" cm="1">
        <f t="array" ref="AF444">IF(TRUE,"True," &amp; IF(_xlfn.XLOOKUP("Dst_IsAny",'Scoring_Config'!$A:$A,'Scoring_Config'!$D:$D,"Yes")="Yes",_xlfn.XLOOKUP("Dst_IsAny",'Scoring_Config'!$A:$A,'Scoring_Config'!$C:$C,25),0),"False,0")</f>
        <v>0</v>
      </c>
      <c r="AG444" s="4" cm="1">
        <f t="array" ref="AG444">IF(FALSE,"True," &amp; IF(_xlfn.XLOOKUP("Dst_CIDR_Le_16",'Scoring_Config'!$A:$A,'Scoring_Config'!$D:$D,"Yes")="Yes",_xlfn.XLOOKUP("Dst_CIDR_Le_16",'Scoring_Config'!$A:$A,'Scoring_Config'!$C:$C,25),0),"False,0")</f>
        <v>0</v>
      </c>
      <c r="AH444" s="4" cm="1">
        <f t="array" ref="AH444">IF(FALSE,"True," &amp; IF(_xlfn.XLOOKUP("Dst_CIDR_17_22",'Scoring_Config'!$A:$A,'Scoring_Config'!$D:$D,"Yes")="Yes",_xlfn.XLOOKUP("Dst_CIDR_17_22",'Scoring_Config'!$A:$A,'Scoring_Config'!$C:$C,15),0),"False,0")</f>
        <v>0</v>
      </c>
      <c r="AI444" s="4" cm="1">
        <f t="array" ref="AI444">IF(FALSE,"True," &amp; IF(_xlfn.XLOOKUP("SrcZone_IsAny",'Scoring_Config'!$A:$A,'Scoring_Config'!$D:$D,"Yes")="Yes",_xlfn.XLOOKUP("SrcZone_IsAny",'Scoring_Config'!$A:$A,'Scoring_Config'!$C:$C,5),0),"False,0")</f>
        <v>0</v>
      </c>
      <c r="AJ444" s="4" cm="1">
        <f t="array" ref="AJ444">IF(FALSE,"True," &amp; IF(_xlfn.XLOOKUP("DstZone_IsAny",'Scoring_Config'!$A:$A,'Scoring_Config'!$D:$D,"Yes")="Yes",_xlfn.XLOOKUP("DstZone_IsAny",'Scoring_Config'!$A:$A,'Scoring_Config'!$C:$C,5),0),"False,0")</f>
        <v>0</v>
      </c>
      <c r="AK444" s="4" cm="1">
        <f t="array" ref="AK44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4" s="4" cm="1">
        <f t="array" ref="AL444">IF(FALSE,"True," &amp; IF(_xlfn.XLOOKUP("App_Any_OR_RangeGt1000",'Scoring_Config'!$A:$A,'Scoring_Config'!$D:$D,"Yes")="Yes",_xlfn.XLOOKUP("App_Any_OR_RangeGt1000",'Scoring_Config'!$A:$A,'Scoring_Config'!$C:$C,25),0),"False,0")</f>
        <v>0</v>
      </c>
      <c r="AM444" s="5" cm="1">
        <f t="array" ref="AM444">IF(TRUE,"True," &amp; IF(_xlfn.XLOOKUP("Service_Insecure_Match",'Scoring_Config'!$A:$A,'Scoring_Config'!$D:$D,"Yes")="Yes",_xlfn.XLOOKUP("Service_Insecure_Match",'Scoring_Config'!$A:$A,'Scoring_Config'!$C:$C,20),0),"False,0")</f>
        <v>0</v>
      </c>
      <c r="AN444" s="4" cm="1">
        <f t="array" ref="AN444">IF(FALSE,"True," &amp; IF(_xlfn.XLOOKUP("Risky_Inbound",'Scoring_Config'!$A:$A,'Scoring_Config'!$D:$D,"Yes")="Yes",_xlfn.XLOOKUP("Risky_Inbound",'Scoring_Config'!$A:$A,'Scoring_Config'!$C:$C,20),0),"False,0")</f>
        <v>0</v>
      </c>
      <c r="AO444" s="4" cm="1">
        <f t="array" ref="AO444">IF(FALSE,"True," &amp; IF(_xlfn.XLOOKUP("Risky_Outbound",'Scoring_Config'!$A:$A,'Scoring_Config'!$D:$D,"Yes")="Yes",_xlfn.XLOOKUP("Risky_Outbound",'Scoring_Config'!$A:$A,'Scoring_Config'!$C:$C,10),0),"False,0")</f>
        <v>0</v>
      </c>
      <c r="AP444" s="5" t="s">
        <v>2595</v>
      </c>
      <c r="AQ444" s="4" cm="1">
        <f t="array" ref="AQ44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4" s="5" t="s">
        <v>2598</v>
      </c>
      <c r="AS444" s="4" t="s">
        <v>2592</v>
      </c>
      <c r="AT444" s="4" t="s">
        <v>2592</v>
      </c>
      <c r="AU444" s="4" cm="1">
        <f t="array" ref="AU444">IF(FALSE,"True," &amp; IF(_xlfn.XLOOKUP("Action_IsDenyOrDrop",'Scoring_Config'!$A:$A,'Scoring_Config'!$D:$D,"Yes")="Yes",_xlfn.XLOOKUP("Action_IsDenyOrDrop",'Scoring_Config'!$A:$A,'Scoring_Config'!$C:$C,0),0),"False,0")</f>
        <v>0</v>
      </c>
      <c r="AV444" s="4"/>
      <c r="AW444" s="4" cm="1">
        <f t="array" ref="AW444">IF(FALSE,"True," &amp; IF(_xlfn.XLOOKUP("Migrate_Insecure",'Scoring_Config'!$A:$A,'Scoring_Config'!$D:$D,"Yes")="Yes",_xlfn.XLOOKUP("Migrate_Insecure",'Scoring_Config'!$A:$A,'Scoring_Config'!$C:$C,15),0),"False,0")</f>
        <v>0</v>
      </c>
      <c r="AX444" s="4"/>
      <c r="AY444" s="4" cm="1">
        <f t="array" ref="AY444">IF(FALSE,"True," &amp; IF(_xlfn.XLOOKUP("Migrate_Other_Ports",'Scoring_Config'!$A:$A,'Scoring_Config'!$D:$D,"Yes")="Yes",_xlfn.XLOOKUP("Migrate_Other_Ports",'Scoring_Config'!$A:$A,'Scoring_Config'!$C:$C,5),0),"False,0")</f>
        <v>0</v>
      </c>
      <c r="AZ444" s="4" cm="1">
        <f t="array" ref="AZ444">IF(LEFT(AU444,4)="True",0,(IF(LEFT(AC444,4)="True",IF(_xlfn.XLOOKUP("Src_IsAny",'Scoring_Config'!$A:$A,'Scoring_Config'!$D:$D,"Yes")="Yes",_xlfn.XLOOKUP("Src_IsAny",'Scoring_Config'!$A:$A,'Scoring_Config'!$C:$C,25),0),0)+IF(LEFT(AD444,4)="True",IF(_xlfn.XLOOKUP("Src_CIDR_Le_16",'Scoring_Config'!$A:$A,'Scoring_Config'!$D:$D,"Yes")="Yes",_xlfn.XLOOKUP("Src_CIDR_Le_16",'Scoring_Config'!$A:$A,'Scoring_Config'!$C:$C,25),0),0)+IF(LEFT(AE444,4)="True",IF(_xlfn.XLOOKUP("Src_CIDR_17_22",'Scoring_Config'!$A:$A,'Scoring_Config'!$D:$D,"Yes")="Yes",_xlfn.XLOOKUP("Src_CIDR_17_22",'Scoring_Config'!$A:$A,'Scoring_Config'!$C:$C,15),0),0)+IF(LEFT(AF444,4)="True",IF(_xlfn.XLOOKUP("Dst_IsAny",'Scoring_Config'!$A:$A,'Scoring_Config'!$D:$D,"Yes")="Yes",_xlfn.XLOOKUP("Dst_IsAny",'Scoring_Config'!$A:$A,'Scoring_Config'!$C:$C,25),0),0)+IF(LEFT(AG444,4)="True",IF(_xlfn.XLOOKUP("Dst_CIDR_Le_16",'Scoring_Config'!$A:$A,'Scoring_Config'!$D:$D,"Yes")="Yes",_xlfn.XLOOKUP("Dst_CIDR_Le_16",'Scoring_Config'!$A:$A,'Scoring_Config'!$C:$C,25),0),0)+IF(LEFT(AH444,4)="True",IF(_xlfn.XLOOKUP("Dst_CIDR_17_22",'Scoring_Config'!$A:$A,'Scoring_Config'!$D:$D,"Yes")="Yes",_xlfn.XLOOKUP("Dst_CIDR_17_22",'Scoring_Config'!$A:$A,'Scoring_Config'!$C:$C,15),0),0)+IF(LEFT(AI444,4)="True",IF(_xlfn.XLOOKUP("SrcZone_IsAny",'Scoring_Config'!$A:$A,'Scoring_Config'!$D:$D,"Yes")="Yes",_xlfn.XLOOKUP("SrcZone_IsAny",'Scoring_Config'!$A:$A,'Scoring_Config'!$C:$C,5),0),0)+IF(LEFT(AJ444,4)="True",IF(_xlfn.XLOOKUP("DstZone_IsAny",'Scoring_Config'!$A:$A,'Scoring_Config'!$D:$D,"Yes")="Yes",_xlfn.XLOOKUP("DstZone_IsAny",'Scoring_Config'!$A:$A,'Scoring_Config'!$C:$C,5),0),0)+IF(LEFT(AK444,4)="True",IF(_xlfn.XLOOKUP("Service_Any_OR_RangeGt1000",'Scoring_Config'!$A:$A,'Scoring_Config'!$D:$D,"Yes")="Yes",_xlfn.XLOOKUP("Service_Any_OR_RangeGt1000",'Scoring_Config'!$A:$A,'Scoring_Config'!$C:$C,25),0),0)+IF(LEFT(AL444,4)="True",IF(_xlfn.XLOOKUP("App_Any_OR_RangeGt1000",'Scoring_Config'!$A:$A,'Scoring_Config'!$D:$D,"Yes")="Yes",_xlfn.XLOOKUP("App_Any_OR_RangeGt1000",'Scoring_Config'!$A:$A,'Scoring_Config'!$C:$C,25),0),0)+IF(LEFT(AM444,4)="True",IF(_xlfn.XLOOKUP("Service_Insecure_Match",'Scoring_Config'!$A:$A,'Scoring_Config'!$D:$D,"Yes")="Yes",_xlfn.XLOOKUP("Service_Insecure_Match",'Scoring_Config'!$A:$A,'Scoring_Config'!$C:$C,20),0),0)+IF(LEFT(AN444,4)="True",IF(_xlfn.XLOOKUP("Risky_Inbound",'Scoring_Config'!$A:$A,'Scoring_Config'!$D:$D,"Yes")="Yes",_xlfn.XLOOKUP("Risky_Inbound",'Scoring_Config'!$A:$A,'Scoring_Config'!$C:$C,20),0),0)+IF(LEFT(AO444,4)="True",IF(_xlfn.XLOOKUP("Risky_Outbound",'Scoring_Config'!$A:$A,'Scoring_Config'!$D:$D,"Yes")="Yes",_xlfn.XLOOKUP("Risky_Outbound",'Scoring_Config'!$A:$A,'Scoring_Config'!$C:$C,10),0),0)+IF(LEFT(AW444,4)="True",IF(_xlfn.XLOOKUP("Migrate_Insecure",'Scoring_Config'!$A:$A,'Scoring_Config'!$D:$D,"Yes")="Yes",_xlfn.XLOOKUP("Migrate_Insecure",'Scoring_Config'!$A:$A,'Scoring_Config'!$C:$C,15),0),0)+IF(LEFT(AY444,4)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444,FIND(",",AP444)+1,100)),0)+IF(LEFT(AQ444,4)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444,FIND(",",AR444)+1,100)),0)+IF(_xlfn.XLOOKUP("Profile_Scoring",'Scoring_Config'!$A:$A,'Scoring_Config'!$D:$D,"Yes")="Yes",VALUE(MID(AS444,FIND(",",AS444)+1,100)),0)+IF(_xlfn.XLOOKUP("Options_Scoring",'Scoring_Config'!$A:$A,'Scoring_Config'!$D:$D,"Yes")="Yes",VALUE(MID(AT444,FIND(",",AT444)+1,100)),0)))</f>
        <v>0</v>
      </c>
    </row>
    <row r="445" spans="1:52">
      <c r="A445" s="3" t="s">
        <v>55</v>
      </c>
      <c r="B445" s="3" t="s">
        <v>317</v>
      </c>
      <c r="C445" s="3" t="s">
        <v>332</v>
      </c>
      <c r="D445" s="3"/>
      <c r="E445" s="3" t="s">
        <v>359</v>
      </c>
      <c r="F445" s="3" t="s">
        <v>360</v>
      </c>
      <c r="G445" s="3" t="s">
        <v>531</v>
      </c>
      <c r="H445" s="3" t="s">
        <v>618</v>
      </c>
      <c r="I445" s="3" t="s">
        <v>365</v>
      </c>
      <c r="J445" s="3" t="s">
        <v>360</v>
      </c>
      <c r="K445" s="3" t="s">
        <v>365</v>
      </c>
      <c r="L445" s="3" t="s">
        <v>365</v>
      </c>
      <c r="M445" s="3" t="s">
        <v>769</v>
      </c>
      <c r="N445" s="3" t="s">
        <v>792</v>
      </c>
      <c r="O445" s="4" t="s">
        <v>806</v>
      </c>
      <c r="P445" s="3" t="s">
        <v>867</v>
      </c>
      <c r="Q445" s="3" t="s">
        <v>905</v>
      </c>
      <c r="R445" s="3" t="s">
        <v>910</v>
      </c>
      <c r="S445" s="3" t="s">
        <v>916</v>
      </c>
      <c r="T445" s="3" t="s">
        <v>919</v>
      </c>
      <c r="U445" s="3" t="s">
        <v>1371</v>
      </c>
      <c r="V445" s="3" t="s">
        <v>770</v>
      </c>
      <c r="W445" s="3" t="s">
        <v>1433</v>
      </c>
      <c r="X445" s="3" t="s">
        <v>2049</v>
      </c>
      <c r="Y445" s="3" t="s">
        <v>2518</v>
      </c>
      <c r="Z445" s="3"/>
      <c r="AA445" s="3"/>
      <c r="AB445" s="3"/>
      <c r="AC445" s="4" cm="1">
        <f t="array" ref="AC445">IF(FALSE,"True," &amp; IF(_xlfn.XLOOKUP("Src_IsAny",'Scoring_Config'!$A:$A,'Scoring_Config'!$D:$D,"Yes")="Yes",_xlfn.XLOOKUP("Src_IsAny",'Scoring_Config'!$A:$A,'Scoring_Config'!$C:$C,25),0),"False,0")</f>
        <v>0</v>
      </c>
      <c r="AD445" s="5" cm="1">
        <f t="array" ref="AD445">IF(TRUE,"True," &amp; IF(_xlfn.XLOOKUP("Src_CIDR_Le_16",'Scoring_Config'!$A:$A,'Scoring_Config'!$D:$D,"Yes")="Yes",_xlfn.XLOOKUP("Src_CIDR_Le_16",'Scoring_Config'!$A:$A,'Scoring_Config'!$C:$C,25),0),"False,0")</f>
        <v>0</v>
      </c>
      <c r="AE445" s="4" cm="1">
        <f t="array" ref="AE445">IF(FALSE,"True," &amp; IF(_xlfn.XLOOKUP("Src_CIDR_17_22",'Scoring_Config'!$A:$A,'Scoring_Config'!$D:$D,"Yes")="Yes",_xlfn.XLOOKUP("Src_CIDR_17_22",'Scoring_Config'!$A:$A,'Scoring_Config'!$C:$C,15),0),"False,0")</f>
        <v>0</v>
      </c>
      <c r="AF445" s="5" cm="1">
        <f t="array" ref="AF445">IF(TRUE,"True," &amp; IF(_xlfn.XLOOKUP("Dst_IsAny",'Scoring_Config'!$A:$A,'Scoring_Config'!$D:$D,"Yes")="Yes",_xlfn.XLOOKUP("Dst_IsAny",'Scoring_Config'!$A:$A,'Scoring_Config'!$C:$C,25),0),"False,0")</f>
        <v>0</v>
      </c>
      <c r="AG445" s="4" cm="1">
        <f t="array" ref="AG445">IF(FALSE,"True," &amp; IF(_xlfn.XLOOKUP("Dst_CIDR_Le_16",'Scoring_Config'!$A:$A,'Scoring_Config'!$D:$D,"Yes")="Yes",_xlfn.XLOOKUP("Dst_CIDR_Le_16",'Scoring_Config'!$A:$A,'Scoring_Config'!$C:$C,25),0),"False,0")</f>
        <v>0</v>
      </c>
      <c r="AH445" s="4" cm="1">
        <f t="array" ref="AH445">IF(FALSE,"True," &amp; IF(_xlfn.XLOOKUP("Dst_CIDR_17_22",'Scoring_Config'!$A:$A,'Scoring_Config'!$D:$D,"Yes")="Yes",_xlfn.XLOOKUP("Dst_CIDR_17_22",'Scoring_Config'!$A:$A,'Scoring_Config'!$C:$C,15),0),"False,0")</f>
        <v>0</v>
      </c>
      <c r="AI445" s="4" cm="1">
        <f t="array" ref="AI445">IF(FALSE,"True," &amp; IF(_xlfn.XLOOKUP("SrcZone_IsAny",'Scoring_Config'!$A:$A,'Scoring_Config'!$D:$D,"Yes")="Yes",_xlfn.XLOOKUP("SrcZone_IsAny",'Scoring_Config'!$A:$A,'Scoring_Config'!$C:$C,5),0),"False,0")</f>
        <v>0</v>
      </c>
      <c r="AJ445" s="4" cm="1">
        <f t="array" ref="AJ445">IF(FALSE,"True," &amp; IF(_xlfn.XLOOKUP("DstZone_IsAny",'Scoring_Config'!$A:$A,'Scoring_Config'!$D:$D,"Yes")="Yes",_xlfn.XLOOKUP("DstZone_IsAny",'Scoring_Config'!$A:$A,'Scoring_Config'!$C:$C,5),0),"False,0")</f>
        <v>0</v>
      </c>
      <c r="AK445" s="4" cm="1">
        <f t="array" ref="AK44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5" s="4" cm="1">
        <f t="array" ref="AL445">IF(FALSE,"True," &amp; IF(_xlfn.XLOOKUP("App_Any_OR_RangeGt1000",'Scoring_Config'!$A:$A,'Scoring_Config'!$D:$D,"Yes")="Yes",_xlfn.XLOOKUP("App_Any_OR_RangeGt1000",'Scoring_Config'!$A:$A,'Scoring_Config'!$C:$C,25),0),"False,0")</f>
        <v>0</v>
      </c>
      <c r="AM445" s="5" cm="1">
        <f t="array" ref="AM445">IF(TRUE,"True," &amp; IF(_xlfn.XLOOKUP("Service_Insecure_Match",'Scoring_Config'!$A:$A,'Scoring_Config'!$D:$D,"Yes")="Yes",_xlfn.XLOOKUP("Service_Insecure_Match",'Scoring_Config'!$A:$A,'Scoring_Config'!$C:$C,20),0),"False,0")</f>
        <v>0</v>
      </c>
      <c r="AN445" s="4" cm="1">
        <f t="array" ref="AN445">IF(FALSE,"True," &amp; IF(_xlfn.XLOOKUP("Risky_Inbound",'Scoring_Config'!$A:$A,'Scoring_Config'!$D:$D,"Yes")="Yes",_xlfn.XLOOKUP("Risky_Inbound",'Scoring_Config'!$A:$A,'Scoring_Config'!$C:$C,20),0),"False,0")</f>
        <v>0</v>
      </c>
      <c r="AO445" s="4" cm="1">
        <f t="array" ref="AO445">IF(FALSE,"True," &amp; IF(_xlfn.XLOOKUP("Risky_Outbound",'Scoring_Config'!$A:$A,'Scoring_Config'!$D:$D,"Yes")="Yes",_xlfn.XLOOKUP("Risky_Outbound",'Scoring_Config'!$A:$A,'Scoring_Config'!$C:$C,10),0),"False,0")</f>
        <v>0</v>
      </c>
      <c r="AP445" s="5" t="s">
        <v>2595</v>
      </c>
      <c r="AQ445" s="4" cm="1">
        <f t="array" ref="AQ44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5" s="4" t="s">
        <v>2592</v>
      </c>
      <c r="AS445" s="4" t="s">
        <v>2592</v>
      </c>
      <c r="AT445" s="4" t="s">
        <v>2592</v>
      </c>
      <c r="AU445" s="4" cm="1">
        <f t="array" ref="AU445">IF(FALSE,"True," &amp; IF(_xlfn.XLOOKUP("Action_IsDenyOrDrop",'Scoring_Config'!$A:$A,'Scoring_Config'!$D:$D,"Yes")="Yes",_xlfn.XLOOKUP("Action_IsDenyOrDrop",'Scoring_Config'!$A:$A,'Scoring_Config'!$C:$C,0),0),"False,0")</f>
        <v>0</v>
      </c>
      <c r="AV445" s="4"/>
      <c r="AW445" s="4" cm="1">
        <f t="array" ref="AW445">IF(FALSE,"True," &amp; IF(_xlfn.XLOOKUP("Migrate_Insecure",'Scoring_Config'!$A:$A,'Scoring_Config'!$D:$D,"Yes")="Yes",_xlfn.XLOOKUP("Migrate_Insecure",'Scoring_Config'!$A:$A,'Scoring_Config'!$C:$C,15),0),"False,0")</f>
        <v>0</v>
      </c>
      <c r="AX445" s="4"/>
      <c r="AY445" s="4" cm="1">
        <f t="array" ref="AY445">IF(FALSE,"True," &amp; IF(_xlfn.XLOOKUP("Migrate_Other_Ports",'Scoring_Config'!$A:$A,'Scoring_Config'!$D:$D,"Yes")="Yes",_xlfn.XLOOKUP("Migrate_Other_Ports",'Scoring_Config'!$A:$A,'Scoring_Config'!$C:$C,5),0),"False,0")</f>
        <v>0</v>
      </c>
      <c r="AZ445" s="4" cm="1">
        <f t="array" ref="AZ445">IF(LEFT(AU445,4)="True",0,(IF(LEFT(AC445,4)="True",IF(_xlfn.XLOOKUP("Src_IsAny",'Scoring_Config'!$A:$A,'Scoring_Config'!$D:$D,"Yes")="Yes",_xlfn.XLOOKUP("Src_IsAny",'Scoring_Config'!$A:$A,'Scoring_Config'!$C:$C,25),0),0)+IF(LEFT(AD445,4)="True",IF(_xlfn.XLOOKUP("Src_CIDR_Le_16",'Scoring_Config'!$A:$A,'Scoring_Config'!$D:$D,"Yes")="Yes",_xlfn.XLOOKUP("Src_CIDR_Le_16",'Scoring_Config'!$A:$A,'Scoring_Config'!$C:$C,25),0),0)+IF(LEFT(AE445,4)="True",IF(_xlfn.XLOOKUP("Src_CIDR_17_22",'Scoring_Config'!$A:$A,'Scoring_Config'!$D:$D,"Yes")="Yes",_xlfn.XLOOKUP("Src_CIDR_17_22",'Scoring_Config'!$A:$A,'Scoring_Config'!$C:$C,15),0),0)+IF(LEFT(AF445,4)="True",IF(_xlfn.XLOOKUP("Dst_IsAny",'Scoring_Config'!$A:$A,'Scoring_Config'!$D:$D,"Yes")="Yes",_xlfn.XLOOKUP("Dst_IsAny",'Scoring_Config'!$A:$A,'Scoring_Config'!$C:$C,25),0),0)+IF(LEFT(AG445,4)="True",IF(_xlfn.XLOOKUP("Dst_CIDR_Le_16",'Scoring_Config'!$A:$A,'Scoring_Config'!$D:$D,"Yes")="Yes",_xlfn.XLOOKUP("Dst_CIDR_Le_16",'Scoring_Config'!$A:$A,'Scoring_Config'!$C:$C,25),0),0)+IF(LEFT(AH445,4)="True",IF(_xlfn.XLOOKUP("Dst_CIDR_17_22",'Scoring_Config'!$A:$A,'Scoring_Config'!$D:$D,"Yes")="Yes",_xlfn.XLOOKUP("Dst_CIDR_17_22",'Scoring_Config'!$A:$A,'Scoring_Config'!$C:$C,15),0),0)+IF(LEFT(AI445,4)="True",IF(_xlfn.XLOOKUP("SrcZone_IsAny",'Scoring_Config'!$A:$A,'Scoring_Config'!$D:$D,"Yes")="Yes",_xlfn.XLOOKUP("SrcZone_IsAny",'Scoring_Config'!$A:$A,'Scoring_Config'!$C:$C,5),0),0)+IF(LEFT(AJ445,4)="True",IF(_xlfn.XLOOKUP("DstZone_IsAny",'Scoring_Config'!$A:$A,'Scoring_Config'!$D:$D,"Yes")="Yes",_xlfn.XLOOKUP("DstZone_IsAny",'Scoring_Config'!$A:$A,'Scoring_Config'!$C:$C,5),0),0)+IF(LEFT(AK445,4)="True",IF(_xlfn.XLOOKUP("Service_Any_OR_RangeGt1000",'Scoring_Config'!$A:$A,'Scoring_Config'!$D:$D,"Yes")="Yes",_xlfn.XLOOKUP("Service_Any_OR_RangeGt1000",'Scoring_Config'!$A:$A,'Scoring_Config'!$C:$C,25),0),0)+IF(LEFT(AL445,4)="True",IF(_xlfn.XLOOKUP("App_Any_OR_RangeGt1000",'Scoring_Config'!$A:$A,'Scoring_Config'!$D:$D,"Yes")="Yes",_xlfn.XLOOKUP("App_Any_OR_RangeGt1000",'Scoring_Config'!$A:$A,'Scoring_Config'!$C:$C,25),0),0)+IF(LEFT(AM445,4)="True",IF(_xlfn.XLOOKUP("Service_Insecure_Match",'Scoring_Config'!$A:$A,'Scoring_Config'!$D:$D,"Yes")="Yes",_xlfn.XLOOKUP("Service_Insecure_Match",'Scoring_Config'!$A:$A,'Scoring_Config'!$C:$C,20),0),0)+IF(LEFT(AN445,4)="True",IF(_xlfn.XLOOKUP("Risky_Inbound",'Scoring_Config'!$A:$A,'Scoring_Config'!$D:$D,"Yes")="Yes",_xlfn.XLOOKUP("Risky_Inbound",'Scoring_Config'!$A:$A,'Scoring_Config'!$C:$C,20),0),0)+IF(LEFT(AO445,4)="True",IF(_xlfn.XLOOKUP("Risky_Outbound",'Scoring_Config'!$A:$A,'Scoring_Config'!$D:$D,"Yes")="Yes",_xlfn.XLOOKUP("Risky_Outbound",'Scoring_Config'!$A:$A,'Scoring_Config'!$C:$C,10),0),0)+IF(LEFT(AW445,4)="True",IF(_xlfn.XLOOKUP("Migrate_Insecure",'Scoring_Config'!$A:$A,'Scoring_Config'!$D:$D,"Yes")="Yes",_xlfn.XLOOKUP("Migrate_Insecure",'Scoring_Config'!$A:$A,'Scoring_Config'!$C:$C,15),0),0)+IF(LEFT(AY445,4)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445,FIND(",",AP445)+1,100)),0)+IF(LEFT(AQ445,4)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445,FIND(",",AR445)+1,100)),0)+IF(_xlfn.XLOOKUP("Profile_Scoring",'Scoring_Config'!$A:$A,'Scoring_Config'!$D:$D,"Yes")="Yes",VALUE(MID(AS445,FIND(",",AS445)+1,100)),0)+IF(_xlfn.XLOOKUP("Options_Scoring",'Scoring_Config'!$A:$A,'Scoring_Config'!$D:$D,"Yes")="Yes",VALUE(MID(AT445,FIND(",",AT445)+1,100)),0)))</f>
        <v>0</v>
      </c>
    </row>
    <row r="446" spans="1:52">
      <c r="A446" s="3" t="s">
        <v>55</v>
      </c>
      <c r="B446" s="3" t="s">
        <v>275</v>
      </c>
      <c r="C446" s="3" t="s">
        <v>332</v>
      </c>
      <c r="D446" s="3"/>
      <c r="E446" s="3" t="s">
        <v>359</v>
      </c>
      <c r="F446" s="3" t="s">
        <v>363</v>
      </c>
      <c r="G446" s="3" t="s">
        <v>495</v>
      </c>
      <c r="H446" s="3" t="s">
        <v>600</v>
      </c>
      <c r="I446" s="3" t="s">
        <v>365</v>
      </c>
      <c r="J446" s="3" t="s">
        <v>362</v>
      </c>
      <c r="K446" s="3" t="s">
        <v>499</v>
      </c>
      <c r="L446" s="3" t="s">
        <v>602</v>
      </c>
      <c r="M446" s="3" t="s">
        <v>365</v>
      </c>
      <c r="N446" s="3" t="s">
        <v>365</v>
      </c>
      <c r="O446" s="4" t="s">
        <v>828</v>
      </c>
      <c r="P446" s="3" t="s">
        <v>889</v>
      </c>
      <c r="Q446" s="3" t="s">
        <v>905</v>
      </c>
      <c r="R446" s="3" t="s">
        <v>909</v>
      </c>
      <c r="S446" s="3" t="s">
        <v>916</v>
      </c>
      <c r="T446" s="3" t="s">
        <v>1126</v>
      </c>
      <c r="U446" s="3" t="s">
        <v>1150</v>
      </c>
      <c r="V446" s="3" t="s">
        <v>772</v>
      </c>
      <c r="W446" s="3" t="s">
        <v>1598</v>
      </c>
      <c r="X446" s="3" t="s">
        <v>2050</v>
      </c>
      <c r="Y446" s="3" t="s">
        <v>2519</v>
      </c>
      <c r="Z446" s="3"/>
      <c r="AA446" s="3"/>
      <c r="AB446" s="3"/>
      <c r="AC446" s="5" cm="1">
        <f t="array" ref="AC446">IF(TRUE,"True," &amp; IF(_xlfn.XLOOKUP("Src_IsAny",'Scoring_Config'!$A:$A,'Scoring_Config'!$D:$D,"Yes")="Yes",_xlfn.XLOOKUP("Src_IsAny",'Scoring_Config'!$A:$A,'Scoring_Config'!$C:$C,25),0),"False,0")</f>
        <v>0</v>
      </c>
      <c r="AD446" s="5" cm="1">
        <f t="array" ref="AD446">IF(TRUE,"True," &amp; IF(_xlfn.XLOOKUP("Src_CIDR_Le_16",'Scoring_Config'!$A:$A,'Scoring_Config'!$D:$D,"Yes")="Yes",_xlfn.XLOOKUP("Src_CIDR_Le_16",'Scoring_Config'!$A:$A,'Scoring_Config'!$C:$C,25),0),"False,0")</f>
        <v>0</v>
      </c>
      <c r="AE446" s="4" cm="1">
        <f t="array" ref="AE446">IF(FALSE,"True," &amp; IF(_xlfn.XLOOKUP("Src_CIDR_17_22",'Scoring_Config'!$A:$A,'Scoring_Config'!$D:$D,"Yes")="Yes",_xlfn.XLOOKUP("Src_CIDR_17_22",'Scoring_Config'!$A:$A,'Scoring_Config'!$C:$C,15),0),"False,0")</f>
        <v>0</v>
      </c>
      <c r="AF446" s="5" cm="1">
        <f t="array" ref="AF446">IF(TRUE,"True," &amp; IF(_xlfn.XLOOKUP("Dst_IsAny",'Scoring_Config'!$A:$A,'Scoring_Config'!$D:$D,"Yes")="Yes",_xlfn.XLOOKUP("Dst_IsAny",'Scoring_Config'!$A:$A,'Scoring_Config'!$C:$C,25),0),"False,0")</f>
        <v>0</v>
      </c>
      <c r="AG446" s="5" cm="1">
        <f t="array" ref="AG446">IF(TRUE,"True," &amp; IF(_xlfn.XLOOKUP("Dst_CIDR_Le_16",'Scoring_Config'!$A:$A,'Scoring_Config'!$D:$D,"Yes")="Yes",_xlfn.XLOOKUP("Dst_CIDR_Le_16",'Scoring_Config'!$A:$A,'Scoring_Config'!$C:$C,25),0),"False,0")</f>
        <v>0</v>
      </c>
      <c r="AH446" s="4" cm="1">
        <f t="array" ref="AH446">IF(FALSE,"True," &amp; IF(_xlfn.XLOOKUP("Dst_CIDR_17_22",'Scoring_Config'!$A:$A,'Scoring_Config'!$D:$D,"Yes")="Yes",_xlfn.XLOOKUP("Dst_CIDR_17_22",'Scoring_Config'!$A:$A,'Scoring_Config'!$C:$C,15),0),"False,0")</f>
        <v>0</v>
      </c>
      <c r="AI446" s="4" cm="1">
        <f t="array" ref="AI446">IF(FALSE,"True," &amp; IF(_xlfn.XLOOKUP("SrcZone_IsAny",'Scoring_Config'!$A:$A,'Scoring_Config'!$D:$D,"Yes")="Yes",_xlfn.XLOOKUP("SrcZone_IsAny",'Scoring_Config'!$A:$A,'Scoring_Config'!$C:$C,5),0),"False,0")</f>
        <v>0</v>
      </c>
      <c r="AJ446" s="4" cm="1">
        <f t="array" ref="AJ446">IF(FALSE,"True," &amp; IF(_xlfn.XLOOKUP("DstZone_IsAny",'Scoring_Config'!$A:$A,'Scoring_Config'!$D:$D,"Yes")="Yes",_xlfn.XLOOKUP("DstZone_IsAny",'Scoring_Config'!$A:$A,'Scoring_Config'!$C:$C,5),0),"False,0")</f>
        <v>0</v>
      </c>
      <c r="AK446" s="4" cm="1">
        <f t="array" ref="AK44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6" s="5" cm="1">
        <f t="array" ref="AL446">IF(TRUE,"True," &amp; IF(_xlfn.XLOOKUP("App_Any_OR_RangeGt1000",'Scoring_Config'!$A:$A,'Scoring_Config'!$D:$D,"Yes")="Yes",_xlfn.XLOOKUP("App_Any_OR_RangeGt1000",'Scoring_Config'!$A:$A,'Scoring_Config'!$C:$C,25),0),"False,0")</f>
        <v>0</v>
      </c>
      <c r="AM446" s="5" cm="1">
        <f t="array" ref="AM446">IF(TRUE,"True," &amp; IF(_xlfn.XLOOKUP("Service_Insecure_Match",'Scoring_Config'!$A:$A,'Scoring_Config'!$D:$D,"Yes")="Yes",_xlfn.XLOOKUP("Service_Insecure_Match",'Scoring_Config'!$A:$A,'Scoring_Config'!$C:$C,20),0),"False,0")</f>
        <v>0</v>
      </c>
      <c r="AN446" s="4" cm="1">
        <f t="array" ref="AN446">IF(FALSE,"True," &amp; IF(_xlfn.XLOOKUP("Risky_Inbound",'Scoring_Config'!$A:$A,'Scoring_Config'!$D:$D,"Yes")="Yes",_xlfn.XLOOKUP("Risky_Inbound",'Scoring_Config'!$A:$A,'Scoring_Config'!$C:$C,20),0),"False,0")</f>
        <v>0</v>
      </c>
      <c r="AO446" s="4" cm="1">
        <f t="array" ref="AO446">IF(FALSE,"True," &amp; IF(_xlfn.XLOOKUP("Risky_Outbound",'Scoring_Config'!$A:$A,'Scoring_Config'!$D:$D,"Yes")="Yes",_xlfn.XLOOKUP("Risky_Outbound",'Scoring_Config'!$A:$A,'Scoring_Config'!$C:$C,10),0),"False,0")</f>
        <v>0</v>
      </c>
      <c r="AP446" s="5" t="s">
        <v>2595</v>
      </c>
      <c r="AQ446" s="5" cm="1">
        <f t="array" ref="AQ44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6" s="4" t="s">
        <v>2592</v>
      </c>
      <c r="AS446" s="4" t="s">
        <v>2592</v>
      </c>
      <c r="AT446" s="4" t="s">
        <v>2592</v>
      </c>
      <c r="AU446" s="4" cm="1">
        <f t="array" ref="AU446">IF(FALSE,"True," &amp; IF(_xlfn.XLOOKUP("Action_IsDenyOrDrop",'Scoring_Config'!$A:$A,'Scoring_Config'!$D:$D,"Yes")="Yes",_xlfn.XLOOKUP("Action_IsDenyOrDrop",'Scoring_Config'!$A:$A,'Scoring_Config'!$C:$C,0),0),"False,0")</f>
        <v>0</v>
      </c>
      <c r="AV446" s="4"/>
      <c r="AW446" s="4" cm="1">
        <f t="array" ref="AW446">IF(FALSE,"True," &amp; IF(_xlfn.XLOOKUP("Migrate_Insecure",'Scoring_Config'!$A:$A,'Scoring_Config'!$D:$D,"Yes")="Yes",_xlfn.XLOOKUP("Migrate_Insecure",'Scoring_Config'!$A:$A,'Scoring_Config'!$C:$C,15),0),"False,0")</f>
        <v>0</v>
      </c>
      <c r="AX446" s="4"/>
      <c r="AY446" s="4" cm="1">
        <f t="array" ref="AY446">IF(FALSE,"True," &amp; IF(_xlfn.XLOOKUP("Migrate_Other_Ports",'Scoring_Config'!$A:$A,'Scoring_Config'!$D:$D,"Yes")="Yes",_xlfn.XLOOKUP("Migrate_Other_Ports",'Scoring_Config'!$A:$A,'Scoring_Config'!$C:$C,5),0),"False,0")</f>
        <v>0</v>
      </c>
      <c r="AZ446" s="4" cm="1">
        <f t="array" ref="AZ446">IF(LEFT(AU446,4)="True",0,(IF(LEFT(AC446,4)="True",IF(_xlfn.XLOOKUP("Src_IsAny",'Scoring_Config'!$A:$A,'Scoring_Config'!$D:$D,"Yes")="Yes",_xlfn.XLOOKUP("Src_IsAny",'Scoring_Config'!$A:$A,'Scoring_Config'!$C:$C,25),0),0)+IF(LEFT(AD446,4)="True",IF(_xlfn.XLOOKUP("Src_CIDR_Le_16",'Scoring_Config'!$A:$A,'Scoring_Config'!$D:$D,"Yes")="Yes",_xlfn.XLOOKUP("Src_CIDR_Le_16",'Scoring_Config'!$A:$A,'Scoring_Config'!$C:$C,25),0),0)+IF(LEFT(AE446,4)="True",IF(_xlfn.XLOOKUP("Src_CIDR_17_22",'Scoring_Config'!$A:$A,'Scoring_Config'!$D:$D,"Yes")="Yes",_xlfn.XLOOKUP("Src_CIDR_17_22",'Scoring_Config'!$A:$A,'Scoring_Config'!$C:$C,15),0),0)+IF(LEFT(AF446,4)="True",IF(_xlfn.XLOOKUP("Dst_IsAny",'Scoring_Config'!$A:$A,'Scoring_Config'!$D:$D,"Yes")="Yes",_xlfn.XLOOKUP("Dst_IsAny",'Scoring_Config'!$A:$A,'Scoring_Config'!$C:$C,25),0),0)+IF(LEFT(AG446,4)="True",IF(_xlfn.XLOOKUP("Dst_CIDR_Le_16",'Scoring_Config'!$A:$A,'Scoring_Config'!$D:$D,"Yes")="Yes",_xlfn.XLOOKUP("Dst_CIDR_Le_16",'Scoring_Config'!$A:$A,'Scoring_Config'!$C:$C,25),0),0)+IF(LEFT(AH446,4)="True",IF(_xlfn.XLOOKUP("Dst_CIDR_17_22",'Scoring_Config'!$A:$A,'Scoring_Config'!$D:$D,"Yes")="Yes",_xlfn.XLOOKUP("Dst_CIDR_17_22",'Scoring_Config'!$A:$A,'Scoring_Config'!$C:$C,15),0),0)+IF(LEFT(AI446,4)="True",IF(_xlfn.XLOOKUP("SrcZone_IsAny",'Scoring_Config'!$A:$A,'Scoring_Config'!$D:$D,"Yes")="Yes",_xlfn.XLOOKUP("SrcZone_IsAny",'Scoring_Config'!$A:$A,'Scoring_Config'!$C:$C,5),0),0)+IF(LEFT(AJ446,4)="True",IF(_xlfn.XLOOKUP("DstZone_IsAny",'Scoring_Config'!$A:$A,'Scoring_Config'!$D:$D,"Yes")="Yes",_xlfn.XLOOKUP("DstZone_IsAny",'Scoring_Config'!$A:$A,'Scoring_Config'!$C:$C,5),0),0)+IF(LEFT(AK446,4)="True",IF(_xlfn.XLOOKUP("Service_Any_OR_RangeGt1000",'Scoring_Config'!$A:$A,'Scoring_Config'!$D:$D,"Yes")="Yes",_xlfn.XLOOKUP("Service_Any_OR_RangeGt1000",'Scoring_Config'!$A:$A,'Scoring_Config'!$C:$C,25),0),0)+IF(LEFT(AL446,4)="True",IF(_xlfn.XLOOKUP("App_Any_OR_RangeGt1000",'Scoring_Config'!$A:$A,'Scoring_Config'!$D:$D,"Yes")="Yes",_xlfn.XLOOKUP("App_Any_OR_RangeGt1000",'Scoring_Config'!$A:$A,'Scoring_Config'!$C:$C,25),0),0)+IF(LEFT(AM446,4)="True",IF(_xlfn.XLOOKUP("Service_Insecure_Match",'Scoring_Config'!$A:$A,'Scoring_Config'!$D:$D,"Yes")="Yes",_xlfn.XLOOKUP("Service_Insecure_Match",'Scoring_Config'!$A:$A,'Scoring_Config'!$C:$C,20),0),0)+IF(LEFT(AN446,4)="True",IF(_xlfn.XLOOKUP("Risky_Inbound",'Scoring_Config'!$A:$A,'Scoring_Config'!$D:$D,"Yes")="Yes",_xlfn.XLOOKUP("Risky_Inbound",'Scoring_Config'!$A:$A,'Scoring_Config'!$C:$C,20),0),0)+IF(LEFT(AO446,4)="True",IF(_xlfn.XLOOKUP("Risky_Outbound",'Scoring_Config'!$A:$A,'Scoring_Config'!$D:$D,"Yes")="Yes",_xlfn.XLOOKUP("Risky_Outbound",'Scoring_Config'!$A:$A,'Scoring_Config'!$C:$C,10),0),0)+IF(LEFT(AW446,4)="True",IF(_xlfn.XLOOKUP("Migrate_Insecure",'Scoring_Config'!$A:$A,'Scoring_Config'!$D:$D,"Yes")="Yes",_xlfn.XLOOKUP("Migrate_Insecure",'Scoring_Config'!$A:$A,'Scoring_Config'!$C:$C,15),0),0)+IF(LEFT(AY446,4)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446,FIND(",",AP446)+1,100)),0)+IF(LEFT(AQ446,4)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446,FIND(",",AR446)+1,100)),0)+IF(_xlfn.XLOOKUP("Profile_Scoring",'Scoring_Config'!$A:$A,'Scoring_Config'!$D:$D,"Yes")="Yes",VALUE(MID(AS446,FIND(",",AS446)+1,100)),0)+IF(_xlfn.XLOOKUP("Options_Scoring",'Scoring_Config'!$A:$A,'Scoring_Config'!$D:$D,"Yes")="Yes",VALUE(MID(AT446,FIND(",",AT446)+1,100)),0)))</f>
        <v>0</v>
      </c>
    </row>
    <row r="447" spans="1:52">
      <c r="A447" s="3" t="s">
        <v>55</v>
      </c>
      <c r="B447" s="3" t="s">
        <v>213</v>
      </c>
      <c r="C447" s="3" t="s">
        <v>332</v>
      </c>
      <c r="D447" s="3"/>
      <c r="E447" s="3" t="s">
        <v>359</v>
      </c>
      <c r="F447" s="3" t="s">
        <v>361</v>
      </c>
      <c r="G447" s="3" t="s">
        <v>365</v>
      </c>
      <c r="H447" s="3" t="s">
        <v>365</v>
      </c>
      <c r="I447" s="3" t="s">
        <v>623</v>
      </c>
      <c r="J447" s="3" t="s">
        <v>363</v>
      </c>
      <c r="K447" s="3" t="s">
        <v>726</v>
      </c>
      <c r="L447" s="3" t="s">
        <v>726</v>
      </c>
      <c r="M447" s="3" t="s">
        <v>771</v>
      </c>
      <c r="N447" s="3" t="s">
        <v>793</v>
      </c>
      <c r="O447" s="4" t="s">
        <v>860</v>
      </c>
      <c r="P447" s="3" t="s">
        <v>887</v>
      </c>
      <c r="Q447" s="3" t="s">
        <v>905</v>
      </c>
      <c r="R447" s="3" t="s">
        <v>910</v>
      </c>
      <c r="S447" s="3" t="s">
        <v>914</v>
      </c>
      <c r="T447" s="3" t="s">
        <v>919</v>
      </c>
      <c r="U447" s="3" t="s">
        <v>1372</v>
      </c>
      <c r="V447" s="3" t="s">
        <v>1386</v>
      </c>
      <c r="W447" s="3" t="s">
        <v>1408</v>
      </c>
      <c r="X447" s="3" t="s">
        <v>2051</v>
      </c>
      <c r="Y447" s="3" t="s">
        <v>2520</v>
      </c>
      <c r="Z447" s="3"/>
      <c r="AA447" s="3"/>
      <c r="AB447" s="3"/>
      <c r="AC447" s="5" cm="1">
        <f t="array" ref="AC447">IF(TRUE,"True," &amp; IF(_xlfn.XLOOKUP("Src_IsAny",'Scoring_Config'!$A:$A,'Scoring_Config'!$D:$D,"Yes")="Yes",_xlfn.XLOOKUP("Src_IsAny",'Scoring_Config'!$A:$A,'Scoring_Config'!$C:$C,25),0),"False,0")</f>
        <v>0</v>
      </c>
      <c r="AD447" s="4" cm="1">
        <f t="array" ref="AD447">IF(FALSE,"True," &amp; IF(_xlfn.XLOOKUP("Src_CIDR_Le_16",'Scoring_Config'!$A:$A,'Scoring_Config'!$D:$D,"Yes")="Yes",_xlfn.XLOOKUP("Src_CIDR_Le_16",'Scoring_Config'!$A:$A,'Scoring_Config'!$C:$C,25),0),"False,0")</f>
        <v>0</v>
      </c>
      <c r="AE447" s="4" cm="1">
        <f t="array" ref="AE447">IF(FALSE,"True," &amp; IF(_xlfn.XLOOKUP("Src_CIDR_17_22",'Scoring_Config'!$A:$A,'Scoring_Config'!$D:$D,"Yes")="Yes",_xlfn.XLOOKUP("Src_CIDR_17_22",'Scoring_Config'!$A:$A,'Scoring_Config'!$C:$C,15),0),"False,0")</f>
        <v>0</v>
      </c>
      <c r="AF447" s="4" cm="1">
        <f t="array" ref="AF447">IF(FALSE,"True," &amp; IF(_xlfn.XLOOKUP("Dst_IsAny",'Scoring_Config'!$A:$A,'Scoring_Config'!$D:$D,"Yes")="Yes",_xlfn.XLOOKUP("Dst_IsAny",'Scoring_Config'!$A:$A,'Scoring_Config'!$C:$C,25),0),"False,0")</f>
        <v>0</v>
      </c>
      <c r="AG447" s="4" cm="1">
        <f t="array" ref="AG447">IF(FALSE,"True," &amp; IF(_xlfn.XLOOKUP("Dst_CIDR_Le_16",'Scoring_Config'!$A:$A,'Scoring_Config'!$D:$D,"Yes")="Yes",_xlfn.XLOOKUP("Dst_CIDR_Le_16",'Scoring_Config'!$A:$A,'Scoring_Config'!$C:$C,25),0),"False,0")</f>
        <v>0</v>
      </c>
      <c r="AH447" s="4" cm="1">
        <f t="array" ref="AH447">IF(FALSE,"True," &amp; IF(_xlfn.XLOOKUP("Dst_CIDR_17_22",'Scoring_Config'!$A:$A,'Scoring_Config'!$D:$D,"Yes")="Yes",_xlfn.XLOOKUP("Dst_CIDR_17_22",'Scoring_Config'!$A:$A,'Scoring_Config'!$C:$C,15),0),"False,0")</f>
        <v>0</v>
      </c>
      <c r="AI447" s="4" cm="1">
        <f t="array" ref="AI447">IF(FALSE,"True," &amp; IF(_xlfn.XLOOKUP("SrcZone_IsAny",'Scoring_Config'!$A:$A,'Scoring_Config'!$D:$D,"Yes")="Yes",_xlfn.XLOOKUP("SrcZone_IsAny",'Scoring_Config'!$A:$A,'Scoring_Config'!$C:$C,5),0),"False,0")</f>
        <v>0</v>
      </c>
      <c r="AJ447" s="4" cm="1">
        <f t="array" ref="AJ447">IF(FALSE,"True," &amp; IF(_xlfn.XLOOKUP("DstZone_IsAny",'Scoring_Config'!$A:$A,'Scoring_Config'!$D:$D,"Yes")="Yes",_xlfn.XLOOKUP("DstZone_IsAny",'Scoring_Config'!$A:$A,'Scoring_Config'!$C:$C,5),0),"False,0")</f>
        <v>0</v>
      </c>
      <c r="AK447" s="4" cm="1">
        <f t="array" ref="AK44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7" s="4" cm="1">
        <f t="array" ref="AL447">IF(FALSE,"True," &amp; IF(_xlfn.XLOOKUP("App_Any_OR_RangeGt1000",'Scoring_Config'!$A:$A,'Scoring_Config'!$D:$D,"Yes")="Yes",_xlfn.XLOOKUP("App_Any_OR_RangeGt1000",'Scoring_Config'!$A:$A,'Scoring_Config'!$C:$C,25),0),"False,0")</f>
        <v>0</v>
      </c>
      <c r="AM447" s="5" cm="1">
        <f t="array" ref="AM447">IF(TRUE,"True," &amp; IF(_xlfn.XLOOKUP("Service_Insecure_Match",'Scoring_Config'!$A:$A,'Scoring_Config'!$D:$D,"Yes")="Yes",_xlfn.XLOOKUP("Service_Insecure_Match",'Scoring_Config'!$A:$A,'Scoring_Config'!$C:$C,20),0),"False,0")</f>
        <v>0</v>
      </c>
      <c r="AN447" s="4" cm="1">
        <f t="array" ref="AN447">IF(FALSE,"True," &amp; IF(_xlfn.XLOOKUP("Risky_Inbound",'Scoring_Config'!$A:$A,'Scoring_Config'!$D:$D,"Yes")="Yes",_xlfn.XLOOKUP("Risky_Inbound",'Scoring_Config'!$A:$A,'Scoring_Config'!$C:$C,20),0),"False,0")</f>
        <v>0</v>
      </c>
      <c r="AO447" s="4" cm="1">
        <f t="array" ref="AO447">IF(FALSE,"True," &amp; IF(_xlfn.XLOOKUP("Risky_Outbound",'Scoring_Config'!$A:$A,'Scoring_Config'!$D:$D,"Yes")="Yes",_xlfn.XLOOKUP("Risky_Outbound",'Scoring_Config'!$A:$A,'Scoring_Config'!$C:$C,10),0),"False,0")</f>
        <v>0</v>
      </c>
      <c r="AP447" s="5" t="s">
        <v>2595</v>
      </c>
      <c r="AQ447" s="4" cm="1">
        <f t="array" ref="AQ44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7" s="5" t="s">
        <v>2598</v>
      </c>
      <c r="AS447" s="4" t="s">
        <v>2592</v>
      </c>
      <c r="AT447" s="4" t="s">
        <v>2592</v>
      </c>
      <c r="AU447" s="4" cm="1">
        <f t="array" ref="AU447">IF(FALSE,"True," &amp; IF(_xlfn.XLOOKUP("Action_IsDenyOrDrop",'Scoring_Config'!$A:$A,'Scoring_Config'!$D:$D,"Yes")="Yes",_xlfn.XLOOKUP("Action_IsDenyOrDrop",'Scoring_Config'!$A:$A,'Scoring_Config'!$C:$C,0),0),"False,0")</f>
        <v>0</v>
      </c>
      <c r="AV447" s="4"/>
      <c r="AW447" s="4" cm="1">
        <f t="array" ref="AW447">IF(FALSE,"True," &amp; IF(_xlfn.XLOOKUP("Migrate_Insecure",'Scoring_Config'!$A:$A,'Scoring_Config'!$D:$D,"Yes")="Yes",_xlfn.XLOOKUP("Migrate_Insecure",'Scoring_Config'!$A:$A,'Scoring_Config'!$C:$C,15),0),"False,0")</f>
        <v>0</v>
      </c>
      <c r="AX447" s="4"/>
      <c r="AY447" s="4" cm="1">
        <f t="array" ref="AY447">IF(FALSE,"True," &amp; IF(_xlfn.XLOOKUP("Migrate_Other_Ports",'Scoring_Config'!$A:$A,'Scoring_Config'!$D:$D,"Yes")="Yes",_xlfn.XLOOKUP("Migrate_Other_Ports",'Scoring_Config'!$A:$A,'Scoring_Config'!$C:$C,5),0),"False,0")</f>
        <v>0</v>
      </c>
      <c r="AZ447" s="4" cm="1">
        <f t="array" ref="AZ447">IF(LEFT(AU447,4)="True",0,(IF(LEFT(AC447,4)="True",IF(_xlfn.XLOOKUP("Src_IsAny",'Scoring_Config'!$A:$A,'Scoring_Config'!$D:$D,"Yes")="Yes",_xlfn.XLOOKUP("Src_IsAny",'Scoring_Config'!$A:$A,'Scoring_Config'!$C:$C,25),0),0)+IF(LEFT(AD447,4)="True",IF(_xlfn.XLOOKUP("Src_CIDR_Le_16",'Scoring_Config'!$A:$A,'Scoring_Config'!$D:$D,"Yes")="Yes",_xlfn.XLOOKUP("Src_CIDR_Le_16",'Scoring_Config'!$A:$A,'Scoring_Config'!$C:$C,25),0),0)+IF(LEFT(AE447,4)="True",IF(_xlfn.XLOOKUP("Src_CIDR_17_22",'Scoring_Config'!$A:$A,'Scoring_Config'!$D:$D,"Yes")="Yes",_xlfn.XLOOKUP("Src_CIDR_17_22",'Scoring_Config'!$A:$A,'Scoring_Config'!$C:$C,15),0),0)+IF(LEFT(AF447,4)="True",IF(_xlfn.XLOOKUP("Dst_IsAny",'Scoring_Config'!$A:$A,'Scoring_Config'!$D:$D,"Yes")="Yes",_xlfn.XLOOKUP("Dst_IsAny",'Scoring_Config'!$A:$A,'Scoring_Config'!$C:$C,25),0),0)+IF(LEFT(AG447,4)="True",IF(_xlfn.XLOOKUP("Dst_CIDR_Le_16",'Scoring_Config'!$A:$A,'Scoring_Config'!$D:$D,"Yes")="Yes",_xlfn.XLOOKUP("Dst_CIDR_Le_16",'Scoring_Config'!$A:$A,'Scoring_Config'!$C:$C,25),0),0)+IF(LEFT(AH447,4)="True",IF(_xlfn.XLOOKUP("Dst_CIDR_17_22",'Scoring_Config'!$A:$A,'Scoring_Config'!$D:$D,"Yes")="Yes",_xlfn.XLOOKUP("Dst_CIDR_17_22",'Scoring_Config'!$A:$A,'Scoring_Config'!$C:$C,15),0),0)+IF(LEFT(AI447,4)="True",IF(_xlfn.XLOOKUP("SrcZone_IsAny",'Scoring_Config'!$A:$A,'Scoring_Config'!$D:$D,"Yes")="Yes",_xlfn.XLOOKUP("SrcZone_IsAny",'Scoring_Config'!$A:$A,'Scoring_Config'!$C:$C,5),0),0)+IF(LEFT(AJ447,4)="True",IF(_xlfn.XLOOKUP("DstZone_IsAny",'Scoring_Config'!$A:$A,'Scoring_Config'!$D:$D,"Yes")="Yes",_xlfn.XLOOKUP("DstZone_IsAny",'Scoring_Config'!$A:$A,'Scoring_Config'!$C:$C,5),0),0)+IF(LEFT(AK447,4)="True",IF(_xlfn.XLOOKUP("Service_Any_OR_RangeGt1000",'Scoring_Config'!$A:$A,'Scoring_Config'!$D:$D,"Yes")="Yes",_xlfn.XLOOKUP("Service_Any_OR_RangeGt1000",'Scoring_Config'!$A:$A,'Scoring_Config'!$C:$C,25),0),0)+IF(LEFT(AL447,4)="True",IF(_xlfn.XLOOKUP("App_Any_OR_RangeGt1000",'Scoring_Config'!$A:$A,'Scoring_Config'!$D:$D,"Yes")="Yes",_xlfn.XLOOKUP("App_Any_OR_RangeGt1000",'Scoring_Config'!$A:$A,'Scoring_Config'!$C:$C,25),0),0)+IF(LEFT(AM447,4)="True",IF(_xlfn.XLOOKUP("Service_Insecure_Match",'Scoring_Config'!$A:$A,'Scoring_Config'!$D:$D,"Yes")="Yes",_xlfn.XLOOKUP("Service_Insecure_Match",'Scoring_Config'!$A:$A,'Scoring_Config'!$C:$C,20),0),0)+IF(LEFT(AN447,4)="True",IF(_xlfn.XLOOKUP("Risky_Inbound",'Scoring_Config'!$A:$A,'Scoring_Config'!$D:$D,"Yes")="Yes",_xlfn.XLOOKUP("Risky_Inbound",'Scoring_Config'!$A:$A,'Scoring_Config'!$C:$C,20),0),0)+IF(LEFT(AO447,4)="True",IF(_xlfn.XLOOKUP("Risky_Outbound",'Scoring_Config'!$A:$A,'Scoring_Config'!$D:$D,"Yes")="Yes",_xlfn.XLOOKUP("Risky_Outbound",'Scoring_Config'!$A:$A,'Scoring_Config'!$C:$C,10),0),0)+IF(LEFT(AW447,4)="True",IF(_xlfn.XLOOKUP("Migrate_Insecure",'Scoring_Config'!$A:$A,'Scoring_Config'!$D:$D,"Yes")="Yes",_xlfn.XLOOKUP("Migrate_Insecure",'Scoring_Config'!$A:$A,'Scoring_Config'!$C:$C,15),0),0)+IF(LEFT(AY447,4)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447,FIND(",",AP447)+1,100)),0)+IF(LEFT(AQ447,4)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447,FIND(",",AR447)+1,100)),0)+IF(_xlfn.XLOOKUP("Profile_Scoring",'Scoring_Config'!$A:$A,'Scoring_Config'!$D:$D,"Yes")="Yes",VALUE(MID(AS447,FIND(",",AS447)+1,100)),0)+IF(_xlfn.XLOOKUP("Options_Scoring",'Scoring_Config'!$A:$A,'Scoring_Config'!$D:$D,"Yes")="Yes",VALUE(MID(AT447,FIND(",",AT447)+1,100)),0)))</f>
        <v>0</v>
      </c>
    </row>
    <row r="448" spans="1:52">
      <c r="A448" s="3" t="s">
        <v>55</v>
      </c>
      <c r="B448" s="3" t="s">
        <v>127</v>
      </c>
      <c r="C448" s="3" t="s">
        <v>332</v>
      </c>
      <c r="D448" s="3"/>
      <c r="E448" s="3" t="s">
        <v>359</v>
      </c>
      <c r="F448" s="3" t="s">
        <v>363</v>
      </c>
      <c r="G448" s="3" t="s">
        <v>365</v>
      </c>
      <c r="H448" s="3" t="s">
        <v>365</v>
      </c>
      <c r="I448" s="3" t="s">
        <v>623</v>
      </c>
      <c r="J448" s="3" t="s">
        <v>360</v>
      </c>
      <c r="K448" s="3" t="s">
        <v>365</v>
      </c>
      <c r="L448" s="3" t="s">
        <v>365</v>
      </c>
      <c r="M448" s="3" t="s">
        <v>769</v>
      </c>
      <c r="N448" s="3" t="s">
        <v>792</v>
      </c>
      <c r="O448" s="4" t="s">
        <v>810</v>
      </c>
      <c r="P448" s="3" t="s">
        <v>871</v>
      </c>
      <c r="Q448" s="3" t="s">
        <v>905</v>
      </c>
      <c r="R448" s="3" t="s">
        <v>911</v>
      </c>
      <c r="S448" s="3" t="s">
        <v>912</v>
      </c>
      <c r="T448" s="3" t="s">
        <v>1127</v>
      </c>
      <c r="U448" s="3" t="s">
        <v>1373</v>
      </c>
      <c r="V448" s="3" t="s">
        <v>1386</v>
      </c>
      <c r="W448" s="3" t="s">
        <v>1407</v>
      </c>
      <c r="X448" s="3" t="s">
        <v>2052</v>
      </c>
      <c r="Y448" s="3" t="s">
        <v>2521</v>
      </c>
      <c r="Z448" s="3"/>
      <c r="AA448" s="3"/>
      <c r="AB448" s="3"/>
      <c r="AC448" s="5" cm="1">
        <f t="array" ref="AC448">IF(TRUE,"True," &amp; IF(_xlfn.XLOOKUP("Src_IsAny",'Scoring_Config'!$A:$A,'Scoring_Config'!$D:$D,"Yes")="Yes",_xlfn.XLOOKUP("Src_IsAny",'Scoring_Config'!$A:$A,'Scoring_Config'!$C:$C,25),0),"False,0")</f>
        <v>0</v>
      </c>
      <c r="AD448" s="4" cm="1">
        <f t="array" ref="AD448">IF(FALSE,"True," &amp; IF(_xlfn.XLOOKUP("Src_CIDR_Le_16",'Scoring_Config'!$A:$A,'Scoring_Config'!$D:$D,"Yes")="Yes",_xlfn.XLOOKUP("Src_CIDR_Le_16",'Scoring_Config'!$A:$A,'Scoring_Config'!$C:$C,25),0),"False,0")</f>
        <v>0</v>
      </c>
      <c r="AE448" s="4" cm="1">
        <f t="array" ref="AE448">IF(FALSE,"True," &amp; IF(_xlfn.XLOOKUP("Src_CIDR_17_22",'Scoring_Config'!$A:$A,'Scoring_Config'!$D:$D,"Yes")="Yes",_xlfn.XLOOKUP("Src_CIDR_17_22",'Scoring_Config'!$A:$A,'Scoring_Config'!$C:$C,15),0),"False,0")</f>
        <v>0</v>
      </c>
      <c r="AF448" s="5" cm="1">
        <f t="array" ref="AF448">IF(TRUE,"True," &amp; IF(_xlfn.XLOOKUP("Dst_IsAny",'Scoring_Config'!$A:$A,'Scoring_Config'!$D:$D,"Yes")="Yes",_xlfn.XLOOKUP("Dst_IsAny",'Scoring_Config'!$A:$A,'Scoring_Config'!$C:$C,25),0),"False,0")</f>
        <v>0</v>
      </c>
      <c r="AG448" s="4" cm="1">
        <f t="array" ref="AG448">IF(FALSE,"True," &amp; IF(_xlfn.XLOOKUP("Dst_CIDR_Le_16",'Scoring_Config'!$A:$A,'Scoring_Config'!$D:$D,"Yes")="Yes",_xlfn.XLOOKUP("Dst_CIDR_Le_16",'Scoring_Config'!$A:$A,'Scoring_Config'!$C:$C,25),0),"False,0")</f>
        <v>0</v>
      </c>
      <c r="AH448" s="4" cm="1">
        <f t="array" ref="AH448">IF(FALSE,"True," &amp; IF(_xlfn.XLOOKUP("Dst_CIDR_17_22",'Scoring_Config'!$A:$A,'Scoring_Config'!$D:$D,"Yes")="Yes",_xlfn.XLOOKUP("Dst_CIDR_17_22",'Scoring_Config'!$A:$A,'Scoring_Config'!$C:$C,15),0),"False,0")</f>
        <v>0</v>
      </c>
      <c r="AI448" s="4" cm="1">
        <f t="array" ref="AI448">IF(FALSE,"True," &amp; IF(_xlfn.XLOOKUP("SrcZone_IsAny",'Scoring_Config'!$A:$A,'Scoring_Config'!$D:$D,"Yes")="Yes",_xlfn.XLOOKUP("SrcZone_IsAny",'Scoring_Config'!$A:$A,'Scoring_Config'!$C:$C,5),0),"False,0")</f>
        <v>0</v>
      </c>
      <c r="AJ448" s="4" cm="1">
        <f t="array" ref="AJ448">IF(FALSE,"True," &amp; IF(_xlfn.XLOOKUP("DstZone_IsAny",'Scoring_Config'!$A:$A,'Scoring_Config'!$D:$D,"Yes")="Yes",_xlfn.XLOOKUP("DstZone_IsAny",'Scoring_Config'!$A:$A,'Scoring_Config'!$C:$C,5),0),"False,0")</f>
        <v>0</v>
      </c>
      <c r="AK448" s="4" cm="1">
        <f t="array" ref="AK44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8" s="4" cm="1">
        <f t="array" ref="AL448">IF(FALSE,"True," &amp; IF(_xlfn.XLOOKUP("App_Any_OR_RangeGt1000",'Scoring_Config'!$A:$A,'Scoring_Config'!$D:$D,"Yes")="Yes",_xlfn.XLOOKUP("App_Any_OR_RangeGt1000",'Scoring_Config'!$A:$A,'Scoring_Config'!$C:$C,25),0),"False,0")</f>
        <v>0</v>
      </c>
      <c r="AM448" s="5" cm="1">
        <f t="array" ref="AM448">IF(TRUE,"True," &amp; IF(_xlfn.XLOOKUP("Service_Insecure_Match",'Scoring_Config'!$A:$A,'Scoring_Config'!$D:$D,"Yes")="Yes",_xlfn.XLOOKUP("Service_Insecure_Match",'Scoring_Config'!$A:$A,'Scoring_Config'!$C:$C,20),0),"False,0")</f>
        <v>0</v>
      </c>
      <c r="AN448" s="4" cm="1">
        <f t="array" ref="AN448">IF(FALSE,"True," &amp; IF(_xlfn.XLOOKUP("Risky_Inbound",'Scoring_Config'!$A:$A,'Scoring_Config'!$D:$D,"Yes")="Yes",_xlfn.XLOOKUP("Risky_Inbound",'Scoring_Config'!$A:$A,'Scoring_Config'!$C:$C,20),0),"False,0")</f>
        <v>0</v>
      </c>
      <c r="AO448" s="4" cm="1">
        <f t="array" ref="AO448">IF(FALSE,"True," &amp; IF(_xlfn.XLOOKUP("Risky_Outbound",'Scoring_Config'!$A:$A,'Scoring_Config'!$D:$D,"Yes")="Yes",_xlfn.XLOOKUP("Risky_Outbound",'Scoring_Config'!$A:$A,'Scoring_Config'!$C:$C,10),0),"False,0")</f>
        <v>0</v>
      </c>
      <c r="AP448" s="5" t="s">
        <v>2595</v>
      </c>
      <c r="AQ448" s="4" cm="1">
        <f t="array" ref="AQ44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8" s="5" t="s">
        <v>2598</v>
      </c>
      <c r="AS448" s="4" t="s">
        <v>2592</v>
      </c>
      <c r="AT448" s="4" t="s">
        <v>2592</v>
      </c>
      <c r="AU448" s="4" cm="1">
        <f t="array" ref="AU448">IF(FALSE,"True," &amp; IF(_xlfn.XLOOKUP("Action_IsDenyOrDrop",'Scoring_Config'!$A:$A,'Scoring_Config'!$D:$D,"Yes")="Yes",_xlfn.XLOOKUP("Action_IsDenyOrDrop",'Scoring_Config'!$A:$A,'Scoring_Config'!$C:$C,0),0),"False,0")</f>
        <v>0</v>
      </c>
      <c r="AV448" s="4"/>
      <c r="AW448" s="4" cm="1">
        <f t="array" ref="AW448">IF(FALSE,"True," &amp; IF(_xlfn.XLOOKUP("Migrate_Insecure",'Scoring_Config'!$A:$A,'Scoring_Config'!$D:$D,"Yes")="Yes",_xlfn.XLOOKUP("Migrate_Insecure",'Scoring_Config'!$A:$A,'Scoring_Config'!$C:$C,15),0),"False,0")</f>
        <v>0</v>
      </c>
      <c r="AX448" s="4"/>
      <c r="AY448" s="4" cm="1">
        <f t="array" ref="AY448">IF(FALSE,"True," &amp; IF(_xlfn.XLOOKUP("Migrate_Other_Ports",'Scoring_Config'!$A:$A,'Scoring_Config'!$D:$D,"Yes")="Yes",_xlfn.XLOOKUP("Migrate_Other_Ports",'Scoring_Config'!$A:$A,'Scoring_Config'!$C:$C,5),0),"False,0")</f>
        <v>0</v>
      </c>
      <c r="AZ448" s="4" cm="1">
        <f t="array" ref="AZ448">IF(LEFT(AU448,4)="True",0,(IF(LEFT(AC448,4)="True",IF(_xlfn.XLOOKUP("Src_IsAny",'Scoring_Config'!$A:$A,'Scoring_Config'!$D:$D,"Yes")="Yes",_xlfn.XLOOKUP("Src_IsAny",'Scoring_Config'!$A:$A,'Scoring_Config'!$C:$C,25),0),0)+IF(LEFT(AD448,4)="True",IF(_xlfn.XLOOKUP("Src_CIDR_Le_16",'Scoring_Config'!$A:$A,'Scoring_Config'!$D:$D,"Yes")="Yes",_xlfn.XLOOKUP("Src_CIDR_Le_16",'Scoring_Config'!$A:$A,'Scoring_Config'!$C:$C,25),0),0)+IF(LEFT(AE448,4)="True",IF(_xlfn.XLOOKUP("Src_CIDR_17_22",'Scoring_Config'!$A:$A,'Scoring_Config'!$D:$D,"Yes")="Yes",_xlfn.XLOOKUP("Src_CIDR_17_22",'Scoring_Config'!$A:$A,'Scoring_Config'!$C:$C,15),0),0)+IF(LEFT(AF448,4)="True",IF(_xlfn.XLOOKUP("Dst_IsAny",'Scoring_Config'!$A:$A,'Scoring_Config'!$D:$D,"Yes")="Yes",_xlfn.XLOOKUP("Dst_IsAny",'Scoring_Config'!$A:$A,'Scoring_Config'!$C:$C,25),0),0)+IF(LEFT(AG448,4)="True",IF(_xlfn.XLOOKUP("Dst_CIDR_Le_16",'Scoring_Config'!$A:$A,'Scoring_Config'!$D:$D,"Yes")="Yes",_xlfn.XLOOKUP("Dst_CIDR_Le_16",'Scoring_Config'!$A:$A,'Scoring_Config'!$C:$C,25),0),0)+IF(LEFT(AH448,4)="True",IF(_xlfn.XLOOKUP("Dst_CIDR_17_22",'Scoring_Config'!$A:$A,'Scoring_Config'!$D:$D,"Yes")="Yes",_xlfn.XLOOKUP("Dst_CIDR_17_22",'Scoring_Config'!$A:$A,'Scoring_Config'!$C:$C,15),0),0)+IF(LEFT(AI448,4)="True",IF(_xlfn.XLOOKUP("SrcZone_IsAny",'Scoring_Config'!$A:$A,'Scoring_Config'!$D:$D,"Yes")="Yes",_xlfn.XLOOKUP("SrcZone_IsAny",'Scoring_Config'!$A:$A,'Scoring_Config'!$C:$C,5),0),0)+IF(LEFT(AJ448,4)="True",IF(_xlfn.XLOOKUP("DstZone_IsAny",'Scoring_Config'!$A:$A,'Scoring_Config'!$D:$D,"Yes")="Yes",_xlfn.XLOOKUP("DstZone_IsAny",'Scoring_Config'!$A:$A,'Scoring_Config'!$C:$C,5),0),0)+IF(LEFT(AK448,4)="True",IF(_xlfn.XLOOKUP("Service_Any_OR_RangeGt1000",'Scoring_Config'!$A:$A,'Scoring_Config'!$D:$D,"Yes")="Yes",_xlfn.XLOOKUP("Service_Any_OR_RangeGt1000",'Scoring_Config'!$A:$A,'Scoring_Config'!$C:$C,25),0),0)+IF(LEFT(AL448,4)="True",IF(_xlfn.XLOOKUP("App_Any_OR_RangeGt1000",'Scoring_Config'!$A:$A,'Scoring_Config'!$D:$D,"Yes")="Yes",_xlfn.XLOOKUP("App_Any_OR_RangeGt1000",'Scoring_Config'!$A:$A,'Scoring_Config'!$C:$C,25),0),0)+IF(LEFT(AM448,4)="True",IF(_xlfn.XLOOKUP("Service_Insecure_Match",'Scoring_Config'!$A:$A,'Scoring_Config'!$D:$D,"Yes")="Yes",_xlfn.XLOOKUP("Service_Insecure_Match",'Scoring_Config'!$A:$A,'Scoring_Config'!$C:$C,20),0),0)+IF(LEFT(AN448,4)="True",IF(_xlfn.XLOOKUP("Risky_Inbound",'Scoring_Config'!$A:$A,'Scoring_Config'!$D:$D,"Yes")="Yes",_xlfn.XLOOKUP("Risky_Inbound",'Scoring_Config'!$A:$A,'Scoring_Config'!$C:$C,20),0),0)+IF(LEFT(AO448,4)="True",IF(_xlfn.XLOOKUP("Risky_Outbound",'Scoring_Config'!$A:$A,'Scoring_Config'!$D:$D,"Yes")="Yes",_xlfn.XLOOKUP("Risky_Outbound",'Scoring_Config'!$A:$A,'Scoring_Config'!$C:$C,10),0),0)+IF(LEFT(AW448,4)="True",IF(_xlfn.XLOOKUP("Migrate_Insecure",'Scoring_Config'!$A:$A,'Scoring_Config'!$D:$D,"Yes")="Yes",_xlfn.XLOOKUP("Migrate_Insecure",'Scoring_Config'!$A:$A,'Scoring_Config'!$C:$C,15),0),0)+IF(LEFT(AY448,4)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448,FIND(",",AP448)+1,100)),0)+IF(LEFT(AQ448,4)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448,FIND(",",AR448)+1,100)),0)+IF(_xlfn.XLOOKUP("Profile_Scoring",'Scoring_Config'!$A:$A,'Scoring_Config'!$D:$D,"Yes")="Yes",VALUE(MID(AS448,FIND(",",AS448)+1,100)),0)+IF(_xlfn.XLOOKUP("Options_Scoring",'Scoring_Config'!$A:$A,'Scoring_Config'!$D:$D,"Yes")="Yes",VALUE(MID(AT448,FIND(",",AT448)+1,100)),0)))</f>
        <v>0</v>
      </c>
    </row>
    <row r="449" spans="1:52">
      <c r="A449" s="3" t="s">
        <v>55</v>
      </c>
      <c r="B449" s="3" t="s">
        <v>318</v>
      </c>
      <c r="C449" s="3" t="s">
        <v>332</v>
      </c>
      <c r="D449" s="3"/>
      <c r="E449" s="3" t="s">
        <v>359</v>
      </c>
      <c r="F449" s="3" t="s">
        <v>364</v>
      </c>
      <c r="G449" s="3" t="s">
        <v>532</v>
      </c>
      <c r="H449" s="3" t="s">
        <v>619</v>
      </c>
      <c r="I449" s="3" t="s">
        <v>365</v>
      </c>
      <c r="J449" s="3" t="s">
        <v>361</v>
      </c>
      <c r="K449" s="3" t="s">
        <v>727</v>
      </c>
      <c r="L449" s="3" t="s">
        <v>727</v>
      </c>
      <c r="M449" s="3" t="s">
        <v>770</v>
      </c>
      <c r="N449" s="3" t="s">
        <v>770</v>
      </c>
      <c r="O449" s="4" t="s">
        <v>829</v>
      </c>
      <c r="P449" s="3" t="s">
        <v>890</v>
      </c>
      <c r="Q449" s="3" t="s">
        <v>905</v>
      </c>
      <c r="R449" s="3" t="s">
        <v>910</v>
      </c>
      <c r="S449" s="3" t="s">
        <v>912</v>
      </c>
      <c r="T449" s="3" t="s">
        <v>1128</v>
      </c>
      <c r="U449" s="3" t="s">
        <v>1374</v>
      </c>
      <c r="V449" s="3" t="s">
        <v>1388</v>
      </c>
      <c r="W449" s="3" t="s">
        <v>1429</v>
      </c>
      <c r="X449" s="3" t="s">
        <v>2053</v>
      </c>
      <c r="Y449" s="3" t="s">
        <v>2522</v>
      </c>
      <c r="Z449" s="3"/>
      <c r="AA449" s="3"/>
      <c r="AB449" s="3"/>
      <c r="AC449" s="4" cm="1">
        <f t="array" ref="AC449">IF(FALSE,"True," &amp; IF(_xlfn.XLOOKUP("Src_IsAny",'Scoring_Config'!$A:$A,'Scoring_Config'!$D:$D,"Yes")="Yes",_xlfn.XLOOKUP("Src_IsAny",'Scoring_Config'!$A:$A,'Scoring_Config'!$C:$C,25),0),"False,0")</f>
        <v>0</v>
      </c>
      <c r="AD449" s="4" cm="1">
        <f t="array" ref="AD449">IF(FALSE,"True," &amp; IF(_xlfn.XLOOKUP("Src_CIDR_Le_16",'Scoring_Config'!$A:$A,'Scoring_Config'!$D:$D,"Yes")="Yes",_xlfn.XLOOKUP("Src_CIDR_Le_16",'Scoring_Config'!$A:$A,'Scoring_Config'!$C:$C,25),0),"False,0")</f>
        <v>0</v>
      </c>
      <c r="AE449" s="4" cm="1">
        <f t="array" ref="AE449">IF(FALSE,"True," &amp; IF(_xlfn.XLOOKUP("Src_CIDR_17_22",'Scoring_Config'!$A:$A,'Scoring_Config'!$D:$D,"Yes")="Yes",_xlfn.XLOOKUP("Src_CIDR_17_22",'Scoring_Config'!$A:$A,'Scoring_Config'!$C:$C,15),0),"False,0")</f>
        <v>0</v>
      </c>
      <c r="AF449" s="4" cm="1">
        <f t="array" ref="AF449">IF(FALSE,"True," &amp; IF(_xlfn.XLOOKUP("Dst_IsAny",'Scoring_Config'!$A:$A,'Scoring_Config'!$D:$D,"Yes")="Yes",_xlfn.XLOOKUP("Dst_IsAny",'Scoring_Config'!$A:$A,'Scoring_Config'!$C:$C,25),0),"False,0")</f>
        <v>0</v>
      </c>
      <c r="AG449" s="4" cm="1">
        <f t="array" ref="AG449">IF(FALSE,"True," &amp; IF(_xlfn.XLOOKUP("Dst_CIDR_Le_16",'Scoring_Config'!$A:$A,'Scoring_Config'!$D:$D,"Yes")="Yes",_xlfn.XLOOKUP("Dst_CIDR_Le_16",'Scoring_Config'!$A:$A,'Scoring_Config'!$C:$C,25),0),"False,0")</f>
        <v>0</v>
      </c>
      <c r="AH449" s="4" cm="1">
        <f t="array" ref="AH449">IF(FALSE,"True," &amp; IF(_xlfn.XLOOKUP("Dst_CIDR_17_22",'Scoring_Config'!$A:$A,'Scoring_Config'!$D:$D,"Yes")="Yes",_xlfn.XLOOKUP("Dst_CIDR_17_22",'Scoring_Config'!$A:$A,'Scoring_Config'!$C:$C,15),0),"False,0")</f>
        <v>0</v>
      </c>
      <c r="AI449" s="4" cm="1">
        <f t="array" ref="AI449">IF(FALSE,"True," &amp; IF(_xlfn.XLOOKUP("SrcZone_IsAny",'Scoring_Config'!$A:$A,'Scoring_Config'!$D:$D,"Yes")="Yes",_xlfn.XLOOKUP("SrcZone_IsAny",'Scoring_Config'!$A:$A,'Scoring_Config'!$C:$C,5),0),"False,0")</f>
        <v>0</v>
      </c>
      <c r="AJ449" s="4" cm="1">
        <f t="array" ref="AJ449">IF(FALSE,"True," &amp; IF(_xlfn.XLOOKUP("DstZone_IsAny",'Scoring_Config'!$A:$A,'Scoring_Config'!$D:$D,"Yes")="Yes",_xlfn.XLOOKUP("DstZone_IsAny",'Scoring_Config'!$A:$A,'Scoring_Config'!$C:$C,5),0),"False,0")</f>
        <v>0</v>
      </c>
      <c r="AK449" s="4" cm="1">
        <f t="array" ref="AK44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49" s="4" cm="1">
        <f t="array" ref="AL449">IF(FALSE,"True," &amp; IF(_xlfn.XLOOKUP("App_Any_OR_RangeGt1000",'Scoring_Config'!$A:$A,'Scoring_Config'!$D:$D,"Yes")="Yes",_xlfn.XLOOKUP("App_Any_OR_RangeGt1000",'Scoring_Config'!$A:$A,'Scoring_Config'!$C:$C,25),0),"False,0")</f>
        <v>0</v>
      </c>
      <c r="AM449" s="5" cm="1">
        <f t="array" ref="AM449">IF(TRUE,"True," &amp; IF(_xlfn.XLOOKUP("Service_Insecure_Match",'Scoring_Config'!$A:$A,'Scoring_Config'!$D:$D,"Yes")="Yes",_xlfn.XLOOKUP("Service_Insecure_Match",'Scoring_Config'!$A:$A,'Scoring_Config'!$C:$C,20),0),"False,0")</f>
        <v>0</v>
      </c>
      <c r="AN449" s="4" cm="1">
        <f t="array" ref="AN449">IF(FALSE,"True," &amp; IF(_xlfn.XLOOKUP("Risky_Inbound",'Scoring_Config'!$A:$A,'Scoring_Config'!$D:$D,"Yes")="Yes",_xlfn.XLOOKUP("Risky_Inbound",'Scoring_Config'!$A:$A,'Scoring_Config'!$C:$C,20),0),"False,0")</f>
        <v>0</v>
      </c>
      <c r="AO449" s="5" cm="1">
        <f t="array" ref="AO449">IF(TRUE,"True," &amp; IF(_xlfn.XLOOKUP("Risky_Outbound",'Scoring_Config'!$A:$A,'Scoring_Config'!$D:$D,"Yes")="Yes",_xlfn.XLOOKUP("Risky_Outbound",'Scoring_Config'!$A:$A,'Scoring_Config'!$C:$C,10),0),"False,0")</f>
        <v>0</v>
      </c>
      <c r="AP449" s="5" t="s">
        <v>2595</v>
      </c>
      <c r="AQ449" s="4" cm="1">
        <f t="array" ref="AQ44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49" s="4" t="s">
        <v>2592</v>
      </c>
      <c r="AS449" s="4" t="s">
        <v>2592</v>
      </c>
      <c r="AT449" s="4" t="s">
        <v>2592</v>
      </c>
      <c r="AU449" s="4" cm="1">
        <f t="array" ref="AU449">IF(FALSE,"True," &amp; IF(_xlfn.XLOOKUP("Action_IsDenyOrDrop",'Scoring_Config'!$A:$A,'Scoring_Config'!$D:$D,"Yes")="Yes",_xlfn.XLOOKUP("Action_IsDenyOrDrop",'Scoring_Config'!$A:$A,'Scoring_Config'!$C:$C,0),0),"False,0")</f>
        <v>0</v>
      </c>
      <c r="AV449" s="4"/>
      <c r="AW449" s="4" cm="1">
        <f t="array" ref="AW449">IF(FALSE,"True," &amp; IF(_xlfn.XLOOKUP("Migrate_Insecure",'Scoring_Config'!$A:$A,'Scoring_Config'!$D:$D,"Yes")="Yes",_xlfn.XLOOKUP("Migrate_Insecure",'Scoring_Config'!$A:$A,'Scoring_Config'!$C:$C,15),0),"False,0")</f>
        <v>0</v>
      </c>
      <c r="AX449" s="4"/>
      <c r="AY449" s="4" cm="1">
        <f t="array" ref="AY449">IF(FALSE,"True," &amp; IF(_xlfn.XLOOKUP("Migrate_Other_Ports",'Scoring_Config'!$A:$A,'Scoring_Config'!$D:$D,"Yes")="Yes",_xlfn.XLOOKUP("Migrate_Other_Ports",'Scoring_Config'!$A:$A,'Scoring_Config'!$C:$C,5),0),"False,0")</f>
        <v>0</v>
      </c>
      <c r="AZ449" s="4" cm="1">
        <f t="array" ref="AZ449">IF(LEFT(AU449,4)="True",0,(IF(LEFT(AC449,4)="True",IF(_xlfn.XLOOKUP("Src_IsAny",'Scoring_Config'!$A:$A,'Scoring_Config'!$D:$D,"Yes")="Yes",_xlfn.XLOOKUP("Src_IsAny",'Scoring_Config'!$A:$A,'Scoring_Config'!$C:$C,25),0),0)+IF(LEFT(AD449,4)="True",IF(_xlfn.XLOOKUP("Src_CIDR_Le_16",'Scoring_Config'!$A:$A,'Scoring_Config'!$D:$D,"Yes")="Yes",_xlfn.XLOOKUP("Src_CIDR_Le_16",'Scoring_Config'!$A:$A,'Scoring_Config'!$C:$C,25),0),0)+IF(LEFT(AE449,4)="True",IF(_xlfn.XLOOKUP("Src_CIDR_17_22",'Scoring_Config'!$A:$A,'Scoring_Config'!$D:$D,"Yes")="Yes",_xlfn.XLOOKUP("Src_CIDR_17_22",'Scoring_Config'!$A:$A,'Scoring_Config'!$C:$C,15),0),0)+IF(LEFT(AF449,4)="True",IF(_xlfn.XLOOKUP("Dst_IsAny",'Scoring_Config'!$A:$A,'Scoring_Config'!$D:$D,"Yes")="Yes",_xlfn.XLOOKUP("Dst_IsAny",'Scoring_Config'!$A:$A,'Scoring_Config'!$C:$C,25),0),0)+IF(LEFT(AG449,4)="True",IF(_xlfn.XLOOKUP("Dst_CIDR_Le_16",'Scoring_Config'!$A:$A,'Scoring_Config'!$D:$D,"Yes")="Yes",_xlfn.XLOOKUP("Dst_CIDR_Le_16",'Scoring_Config'!$A:$A,'Scoring_Config'!$C:$C,25),0),0)+IF(LEFT(AH449,4)="True",IF(_xlfn.XLOOKUP("Dst_CIDR_17_22",'Scoring_Config'!$A:$A,'Scoring_Config'!$D:$D,"Yes")="Yes",_xlfn.XLOOKUP("Dst_CIDR_17_22",'Scoring_Config'!$A:$A,'Scoring_Config'!$C:$C,15),0),0)+IF(LEFT(AI449,4)="True",IF(_xlfn.XLOOKUP("SrcZone_IsAny",'Scoring_Config'!$A:$A,'Scoring_Config'!$D:$D,"Yes")="Yes",_xlfn.XLOOKUP("SrcZone_IsAny",'Scoring_Config'!$A:$A,'Scoring_Config'!$C:$C,5),0),0)+IF(LEFT(AJ449,4)="True",IF(_xlfn.XLOOKUP("DstZone_IsAny",'Scoring_Config'!$A:$A,'Scoring_Config'!$D:$D,"Yes")="Yes",_xlfn.XLOOKUP("DstZone_IsAny",'Scoring_Config'!$A:$A,'Scoring_Config'!$C:$C,5),0),0)+IF(LEFT(AK449,4)="True",IF(_xlfn.XLOOKUP("Service_Any_OR_RangeGt1000",'Scoring_Config'!$A:$A,'Scoring_Config'!$D:$D,"Yes")="Yes",_xlfn.XLOOKUP("Service_Any_OR_RangeGt1000",'Scoring_Config'!$A:$A,'Scoring_Config'!$C:$C,25),0),0)+IF(LEFT(AL449,4)="True",IF(_xlfn.XLOOKUP("App_Any_OR_RangeGt1000",'Scoring_Config'!$A:$A,'Scoring_Config'!$D:$D,"Yes")="Yes",_xlfn.XLOOKUP("App_Any_OR_RangeGt1000",'Scoring_Config'!$A:$A,'Scoring_Config'!$C:$C,25),0),0)+IF(LEFT(AM449,4)="True",IF(_xlfn.XLOOKUP("Service_Insecure_Match",'Scoring_Config'!$A:$A,'Scoring_Config'!$D:$D,"Yes")="Yes",_xlfn.XLOOKUP("Service_Insecure_Match",'Scoring_Config'!$A:$A,'Scoring_Config'!$C:$C,20),0),0)+IF(LEFT(AN449,4)="True",IF(_xlfn.XLOOKUP("Risky_Inbound",'Scoring_Config'!$A:$A,'Scoring_Config'!$D:$D,"Yes")="Yes",_xlfn.XLOOKUP("Risky_Inbound",'Scoring_Config'!$A:$A,'Scoring_Config'!$C:$C,20),0),0)+IF(LEFT(AO449,4)="True",IF(_xlfn.XLOOKUP("Risky_Outbound",'Scoring_Config'!$A:$A,'Scoring_Config'!$D:$D,"Yes")="Yes",_xlfn.XLOOKUP("Risky_Outbound",'Scoring_Config'!$A:$A,'Scoring_Config'!$C:$C,10),0),0)+IF(LEFT(AW449,4)="True",IF(_xlfn.XLOOKUP("Migrate_Insecure",'Scoring_Config'!$A:$A,'Scoring_Config'!$D:$D,"Yes")="Yes",_xlfn.XLOOKUP("Migrate_Insecure",'Scoring_Config'!$A:$A,'Scoring_Config'!$C:$C,15),0),0)+IF(LEFT(AY449,4)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449,FIND(",",AP449)+1,100)),0)+IF(LEFT(AQ449,4)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449,FIND(",",AR449)+1,100)),0)+IF(_xlfn.XLOOKUP("Profile_Scoring",'Scoring_Config'!$A:$A,'Scoring_Config'!$D:$D,"Yes")="Yes",VALUE(MID(AS449,FIND(",",AS449)+1,100)),0)+IF(_xlfn.XLOOKUP("Options_Scoring",'Scoring_Config'!$A:$A,'Scoring_Config'!$D:$D,"Yes")="Yes",VALUE(MID(AT449,FIND(",",AT449)+1,100)),0)))</f>
        <v>0</v>
      </c>
    </row>
    <row r="450" spans="1:52">
      <c r="A450" s="3" t="s">
        <v>55</v>
      </c>
      <c r="B450" s="3" t="s">
        <v>165</v>
      </c>
      <c r="C450" s="3" t="s">
        <v>332</v>
      </c>
      <c r="D450" s="3"/>
      <c r="E450" s="3" t="s">
        <v>359</v>
      </c>
      <c r="F450" s="3" t="s">
        <v>360</v>
      </c>
      <c r="G450" s="3" t="s">
        <v>533</v>
      </c>
      <c r="H450" s="3" t="s">
        <v>594</v>
      </c>
      <c r="I450" s="3" t="s">
        <v>623</v>
      </c>
      <c r="J450" s="3" t="s">
        <v>360</v>
      </c>
      <c r="K450" s="3" t="s">
        <v>365</v>
      </c>
      <c r="L450" s="3" t="s">
        <v>365</v>
      </c>
      <c r="M450" s="3" t="s">
        <v>773</v>
      </c>
      <c r="N450" s="3" t="s">
        <v>773</v>
      </c>
      <c r="O450" s="4" t="s">
        <v>860</v>
      </c>
      <c r="P450" s="3" t="s">
        <v>887</v>
      </c>
      <c r="Q450" s="3" t="s">
        <v>905</v>
      </c>
      <c r="R450" s="3" t="s">
        <v>907</v>
      </c>
      <c r="S450" s="3" t="s">
        <v>916</v>
      </c>
      <c r="T450" s="3" t="s">
        <v>1129</v>
      </c>
      <c r="U450" s="3" t="s">
        <v>1375</v>
      </c>
      <c r="V450" s="3" t="s">
        <v>772</v>
      </c>
      <c r="W450" s="3" t="s">
        <v>1599</v>
      </c>
      <c r="X450" s="3" t="s">
        <v>2054</v>
      </c>
      <c r="Y450" s="3" t="s">
        <v>2523</v>
      </c>
      <c r="Z450" s="3"/>
      <c r="AA450" s="3"/>
      <c r="AB450" s="3"/>
      <c r="AC450" s="4" cm="1">
        <f t="array" ref="AC450">IF(FALSE,"True," &amp; IF(_xlfn.XLOOKUP("Src_IsAny",'Scoring_Config'!$A:$A,'Scoring_Config'!$D:$D,"Yes")="Yes",_xlfn.XLOOKUP("Src_IsAny",'Scoring_Config'!$A:$A,'Scoring_Config'!$C:$C,25),0),"False,0")</f>
        <v>0</v>
      </c>
      <c r="AD450" s="5" cm="1">
        <f t="array" ref="AD450">IF(TRUE,"True," &amp; IF(_xlfn.XLOOKUP("Src_CIDR_Le_16",'Scoring_Config'!$A:$A,'Scoring_Config'!$D:$D,"Yes")="Yes",_xlfn.XLOOKUP("Src_CIDR_Le_16",'Scoring_Config'!$A:$A,'Scoring_Config'!$C:$C,25),0),"False,0")</f>
        <v>0</v>
      </c>
      <c r="AE450" s="4" cm="1">
        <f t="array" ref="AE450">IF(FALSE,"True," &amp; IF(_xlfn.XLOOKUP("Src_CIDR_17_22",'Scoring_Config'!$A:$A,'Scoring_Config'!$D:$D,"Yes")="Yes",_xlfn.XLOOKUP("Src_CIDR_17_22",'Scoring_Config'!$A:$A,'Scoring_Config'!$C:$C,15),0),"False,0")</f>
        <v>0</v>
      </c>
      <c r="AF450" s="5" cm="1">
        <f t="array" ref="AF450">IF(TRUE,"True," &amp; IF(_xlfn.XLOOKUP("Dst_IsAny",'Scoring_Config'!$A:$A,'Scoring_Config'!$D:$D,"Yes")="Yes",_xlfn.XLOOKUP("Dst_IsAny",'Scoring_Config'!$A:$A,'Scoring_Config'!$C:$C,25),0),"False,0")</f>
        <v>0</v>
      </c>
      <c r="AG450" s="4" cm="1">
        <f t="array" ref="AG450">IF(FALSE,"True," &amp; IF(_xlfn.XLOOKUP("Dst_CIDR_Le_16",'Scoring_Config'!$A:$A,'Scoring_Config'!$D:$D,"Yes")="Yes",_xlfn.XLOOKUP("Dst_CIDR_Le_16",'Scoring_Config'!$A:$A,'Scoring_Config'!$C:$C,25),0),"False,0")</f>
        <v>0</v>
      </c>
      <c r="AH450" s="4" cm="1">
        <f t="array" ref="AH450">IF(FALSE,"True," &amp; IF(_xlfn.XLOOKUP("Dst_CIDR_17_22",'Scoring_Config'!$A:$A,'Scoring_Config'!$D:$D,"Yes")="Yes",_xlfn.XLOOKUP("Dst_CIDR_17_22",'Scoring_Config'!$A:$A,'Scoring_Config'!$C:$C,15),0),"False,0")</f>
        <v>0</v>
      </c>
      <c r="AI450" s="4" cm="1">
        <f t="array" ref="AI450">IF(FALSE,"True," &amp; IF(_xlfn.XLOOKUP("SrcZone_IsAny",'Scoring_Config'!$A:$A,'Scoring_Config'!$D:$D,"Yes")="Yes",_xlfn.XLOOKUP("SrcZone_IsAny",'Scoring_Config'!$A:$A,'Scoring_Config'!$C:$C,5),0),"False,0")</f>
        <v>0</v>
      </c>
      <c r="AJ450" s="4" cm="1">
        <f t="array" ref="AJ450">IF(FALSE,"True," &amp; IF(_xlfn.XLOOKUP("DstZone_IsAny",'Scoring_Config'!$A:$A,'Scoring_Config'!$D:$D,"Yes")="Yes",_xlfn.XLOOKUP("DstZone_IsAny",'Scoring_Config'!$A:$A,'Scoring_Config'!$C:$C,5),0),"False,0")</f>
        <v>0</v>
      </c>
      <c r="AK450" s="4" cm="1">
        <f t="array" ref="AK45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0" s="4" cm="1">
        <f t="array" ref="AL450">IF(FALSE,"True," &amp; IF(_xlfn.XLOOKUP("App_Any_OR_RangeGt1000",'Scoring_Config'!$A:$A,'Scoring_Config'!$D:$D,"Yes")="Yes",_xlfn.XLOOKUP("App_Any_OR_RangeGt1000",'Scoring_Config'!$A:$A,'Scoring_Config'!$C:$C,25),0),"False,0")</f>
        <v>0</v>
      </c>
      <c r="AM450" s="5" cm="1">
        <f t="array" ref="AM450">IF(TRUE,"True," &amp; IF(_xlfn.XLOOKUP("Service_Insecure_Match",'Scoring_Config'!$A:$A,'Scoring_Config'!$D:$D,"Yes")="Yes",_xlfn.XLOOKUP("Service_Insecure_Match",'Scoring_Config'!$A:$A,'Scoring_Config'!$C:$C,20),0),"False,0")</f>
        <v>0</v>
      </c>
      <c r="AN450" s="4" cm="1">
        <f t="array" ref="AN450">IF(FALSE,"True," &amp; IF(_xlfn.XLOOKUP("Risky_Inbound",'Scoring_Config'!$A:$A,'Scoring_Config'!$D:$D,"Yes")="Yes",_xlfn.XLOOKUP("Risky_Inbound",'Scoring_Config'!$A:$A,'Scoring_Config'!$C:$C,20),0),"False,0")</f>
        <v>0</v>
      </c>
      <c r="AO450" s="4" cm="1">
        <f t="array" ref="AO450">IF(FALSE,"True," &amp; IF(_xlfn.XLOOKUP("Risky_Outbound",'Scoring_Config'!$A:$A,'Scoring_Config'!$D:$D,"Yes")="Yes",_xlfn.XLOOKUP("Risky_Outbound",'Scoring_Config'!$A:$A,'Scoring_Config'!$C:$C,10),0),"False,0")</f>
        <v>0</v>
      </c>
      <c r="AP450" s="5" t="s">
        <v>2595</v>
      </c>
      <c r="AQ450" s="4" cm="1">
        <f t="array" ref="AQ450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0" s="5" t="s">
        <v>2598</v>
      </c>
      <c r="AS450" s="5" t="s">
        <v>2595</v>
      </c>
      <c r="AT450" s="4" t="s">
        <v>2592</v>
      </c>
      <c r="AU450" s="4" cm="1">
        <f t="array" ref="AU450">IF(FALSE,"True," &amp; IF(_xlfn.XLOOKUP("Action_IsDenyOrDrop",'Scoring_Config'!$A:$A,'Scoring_Config'!$D:$D,"Yes")="Yes",_xlfn.XLOOKUP("Action_IsDenyOrDrop",'Scoring_Config'!$A:$A,'Scoring_Config'!$C:$C,0),0),"False,0")</f>
        <v>0</v>
      </c>
      <c r="AV450" s="4"/>
      <c r="AW450" s="4" cm="1">
        <f t="array" ref="AW450">IF(FALSE,"True," &amp; IF(_xlfn.XLOOKUP("Migrate_Insecure",'Scoring_Config'!$A:$A,'Scoring_Config'!$D:$D,"Yes")="Yes",_xlfn.XLOOKUP("Migrate_Insecure",'Scoring_Config'!$A:$A,'Scoring_Config'!$C:$C,15),0),"False,0")</f>
        <v>0</v>
      </c>
      <c r="AX450" s="4"/>
      <c r="AY450" s="4" cm="1">
        <f t="array" ref="AY450">IF(FALSE,"True," &amp; IF(_xlfn.XLOOKUP("Migrate_Other_Ports",'Scoring_Config'!$A:$A,'Scoring_Config'!$D:$D,"Yes")="Yes",_xlfn.XLOOKUP("Migrate_Other_Ports",'Scoring_Config'!$A:$A,'Scoring_Config'!$C:$C,5),0),"False,0")</f>
        <v>0</v>
      </c>
      <c r="AZ450" s="4" cm="1">
        <f t="array" ref="AZ450">IF(LEFT(AU450,4)="True",0,(IF(LEFT(AC450,4)="True",IF(_xlfn.XLOOKUP("Src_IsAny",'Scoring_Config'!$A:$A,'Scoring_Config'!$D:$D,"Yes")="Yes",_xlfn.XLOOKUP("Src_IsAny",'Scoring_Config'!$A:$A,'Scoring_Config'!$C:$C,25),0),0)+IF(LEFT(AD450,4)="True",IF(_xlfn.XLOOKUP("Src_CIDR_Le_16",'Scoring_Config'!$A:$A,'Scoring_Config'!$D:$D,"Yes")="Yes",_xlfn.XLOOKUP("Src_CIDR_Le_16",'Scoring_Config'!$A:$A,'Scoring_Config'!$C:$C,25),0),0)+IF(LEFT(AE450,4)="True",IF(_xlfn.XLOOKUP("Src_CIDR_17_22",'Scoring_Config'!$A:$A,'Scoring_Config'!$D:$D,"Yes")="Yes",_xlfn.XLOOKUP("Src_CIDR_17_22",'Scoring_Config'!$A:$A,'Scoring_Config'!$C:$C,15),0),0)+IF(LEFT(AF450,4)="True",IF(_xlfn.XLOOKUP("Dst_IsAny",'Scoring_Config'!$A:$A,'Scoring_Config'!$D:$D,"Yes")="Yes",_xlfn.XLOOKUP("Dst_IsAny",'Scoring_Config'!$A:$A,'Scoring_Config'!$C:$C,25),0),0)+IF(LEFT(AG450,4)="True",IF(_xlfn.XLOOKUP("Dst_CIDR_Le_16",'Scoring_Config'!$A:$A,'Scoring_Config'!$D:$D,"Yes")="Yes",_xlfn.XLOOKUP("Dst_CIDR_Le_16",'Scoring_Config'!$A:$A,'Scoring_Config'!$C:$C,25),0),0)+IF(LEFT(AH450,4)="True",IF(_xlfn.XLOOKUP("Dst_CIDR_17_22",'Scoring_Config'!$A:$A,'Scoring_Config'!$D:$D,"Yes")="Yes",_xlfn.XLOOKUP("Dst_CIDR_17_22",'Scoring_Config'!$A:$A,'Scoring_Config'!$C:$C,15),0),0)+IF(LEFT(AI450,4)="True",IF(_xlfn.XLOOKUP("SrcZone_IsAny",'Scoring_Config'!$A:$A,'Scoring_Config'!$D:$D,"Yes")="Yes",_xlfn.XLOOKUP("SrcZone_IsAny",'Scoring_Config'!$A:$A,'Scoring_Config'!$C:$C,5),0),0)+IF(LEFT(AJ450,4)="True",IF(_xlfn.XLOOKUP("DstZone_IsAny",'Scoring_Config'!$A:$A,'Scoring_Config'!$D:$D,"Yes")="Yes",_xlfn.XLOOKUP("DstZone_IsAny",'Scoring_Config'!$A:$A,'Scoring_Config'!$C:$C,5),0),0)+IF(LEFT(AK450,4)="True",IF(_xlfn.XLOOKUP("Service_Any_OR_RangeGt1000",'Scoring_Config'!$A:$A,'Scoring_Config'!$D:$D,"Yes")="Yes",_xlfn.XLOOKUP("Service_Any_OR_RangeGt1000",'Scoring_Config'!$A:$A,'Scoring_Config'!$C:$C,25),0),0)+IF(LEFT(AL450,4)="True",IF(_xlfn.XLOOKUP("App_Any_OR_RangeGt1000",'Scoring_Config'!$A:$A,'Scoring_Config'!$D:$D,"Yes")="Yes",_xlfn.XLOOKUP("App_Any_OR_RangeGt1000",'Scoring_Config'!$A:$A,'Scoring_Config'!$C:$C,25),0),0)+IF(LEFT(AM450,4)="True",IF(_xlfn.XLOOKUP("Service_Insecure_Match",'Scoring_Config'!$A:$A,'Scoring_Config'!$D:$D,"Yes")="Yes",_xlfn.XLOOKUP("Service_Insecure_Match",'Scoring_Config'!$A:$A,'Scoring_Config'!$C:$C,20),0),0)+IF(LEFT(AN450,4)="True",IF(_xlfn.XLOOKUP("Risky_Inbound",'Scoring_Config'!$A:$A,'Scoring_Config'!$D:$D,"Yes")="Yes",_xlfn.XLOOKUP("Risky_Inbound",'Scoring_Config'!$A:$A,'Scoring_Config'!$C:$C,20),0),0)+IF(LEFT(AO450,4)="True",IF(_xlfn.XLOOKUP("Risky_Outbound",'Scoring_Config'!$A:$A,'Scoring_Config'!$D:$D,"Yes")="Yes",_xlfn.XLOOKUP("Risky_Outbound",'Scoring_Config'!$A:$A,'Scoring_Config'!$C:$C,10),0),0)+IF(LEFT(AW450,4)="True",IF(_xlfn.XLOOKUP("Migrate_Insecure",'Scoring_Config'!$A:$A,'Scoring_Config'!$D:$D,"Yes")="Yes",_xlfn.XLOOKUP("Migrate_Insecure",'Scoring_Config'!$A:$A,'Scoring_Config'!$C:$C,15),0),0)+IF(LEFT(AY450,4)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450,FIND(",",AP450)+1,100)),0)+IF(LEFT(AQ450,4)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450,FIND(",",AR450)+1,100)),0)+IF(_xlfn.XLOOKUP("Profile_Scoring",'Scoring_Config'!$A:$A,'Scoring_Config'!$D:$D,"Yes")="Yes",VALUE(MID(AS450,FIND(",",AS450)+1,100)),0)+IF(_xlfn.XLOOKUP("Options_Scoring",'Scoring_Config'!$A:$A,'Scoring_Config'!$D:$D,"Yes")="Yes",VALUE(MID(AT450,FIND(",",AT450)+1,100)),0)))</f>
        <v>0</v>
      </c>
    </row>
    <row r="451" spans="1:52">
      <c r="A451" s="3" t="s">
        <v>55</v>
      </c>
      <c r="B451" s="3" t="s">
        <v>92</v>
      </c>
      <c r="C451" s="3" t="s">
        <v>332</v>
      </c>
      <c r="D451" s="3"/>
      <c r="E451" s="3" t="s">
        <v>359</v>
      </c>
      <c r="F451" s="3" t="s">
        <v>361</v>
      </c>
      <c r="G451" s="3" t="s">
        <v>534</v>
      </c>
      <c r="H451" s="3" t="s">
        <v>529</v>
      </c>
      <c r="I451" s="3" t="s">
        <v>365</v>
      </c>
      <c r="J451" s="3" t="s">
        <v>360</v>
      </c>
      <c r="K451" s="3" t="s">
        <v>728</v>
      </c>
      <c r="L451" s="3" t="s">
        <v>728</v>
      </c>
      <c r="M451" s="3" t="s">
        <v>774</v>
      </c>
      <c r="N451" s="3" t="s">
        <v>795</v>
      </c>
      <c r="O451" s="4" t="s">
        <v>859</v>
      </c>
      <c r="P451" s="3" t="s">
        <v>881</v>
      </c>
      <c r="Q451" s="3" t="s">
        <v>905</v>
      </c>
      <c r="R451" s="3" t="s">
        <v>911</v>
      </c>
      <c r="S451" s="3" t="s">
        <v>912</v>
      </c>
      <c r="T451" s="3" t="s">
        <v>1130</v>
      </c>
      <c r="U451" s="3" t="s">
        <v>1150</v>
      </c>
      <c r="V451" s="3" t="s">
        <v>789</v>
      </c>
      <c r="W451" s="3" t="s">
        <v>1600</v>
      </c>
      <c r="X451" s="3" t="s">
        <v>2055</v>
      </c>
      <c r="Y451" s="3" t="s">
        <v>2524</v>
      </c>
      <c r="Z451" s="3"/>
      <c r="AA451" s="3"/>
      <c r="AB451" s="3"/>
      <c r="AC451" s="4" cm="1">
        <f t="array" ref="AC451">IF(FALSE,"True," &amp; IF(_xlfn.XLOOKUP("Src_IsAny",'Scoring_Config'!$A:$A,'Scoring_Config'!$D:$D,"Yes")="Yes",_xlfn.XLOOKUP("Src_IsAny",'Scoring_Config'!$A:$A,'Scoring_Config'!$C:$C,25),0),"False,0")</f>
        <v>0</v>
      </c>
      <c r="AD451" s="5" cm="1">
        <f t="array" ref="AD451">IF(TRUE,"True," &amp; IF(_xlfn.XLOOKUP("Src_CIDR_Le_16",'Scoring_Config'!$A:$A,'Scoring_Config'!$D:$D,"Yes")="Yes",_xlfn.XLOOKUP("Src_CIDR_Le_16",'Scoring_Config'!$A:$A,'Scoring_Config'!$C:$C,25),0),"False,0")</f>
        <v>0</v>
      </c>
      <c r="AE451" s="4" cm="1">
        <f t="array" ref="AE451">IF(FALSE,"True," &amp; IF(_xlfn.XLOOKUP("Src_CIDR_17_22",'Scoring_Config'!$A:$A,'Scoring_Config'!$D:$D,"Yes")="Yes",_xlfn.XLOOKUP("Src_CIDR_17_22",'Scoring_Config'!$A:$A,'Scoring_Config'!$C:$C,15),0),"False,0")</f>
        <v>0</v>
      </c>
      <c r="AF451" s="4" cm="1">
        <f t="array" ref="AF451">IF(FALSE,"True," &amp; IF(_xlfn.XLOOKUP("Dst_IsAny",'Scoring_Config'!$A:$A,'Scoring_Config'!$D:$D,"Yes")="Yes",_xlfn.XLOOKUP("Dst_IsAny",'Scoring_Config'!$A:$A,'Scoring_Config'!$C:$C,25),0),"False,0")</f>
        <v>0</v>
      </c>
      <c r="AG451" s="4" cm="1">
        <f t="array" ref="AG451">IF(FALSE,"True," &amp; IF(_xlfn.XLOOKUP("Dst_CIDR_Le_16",'Scoring_Config'!$A:$A,'Scoring_Config'!$D:$D,"Yes")="Yes",_xlfn.XLOOKUP("Dst_CIDR_Le_16",'Scoring_Config'!$A:$A,'Scoring_Config'!$C:$C,25),0),"False,0")</f>
        <v>0</v>
      </c>
      <c r="AH451" s="5" cm="1">
        <f t="array" ref="AH451">IF(TRUE,"True," &amp; IF(_xlfn.XLOOKUP("Dst_CIDR_17_22",'Scoring_Config'!$A:$A,'Scoring_Config'!$D:$D,"Yes")="Yes",_xlfn.XLOOKUP("Dst_CIDR_17_22",'Scoring_Config'!$A:$A,'Scoring_Config'!$C:$C,15),0),"False,0")</f>
        <v>0</v>
      </c>
      <c r="AI451" s="4" cm="1">
        <f t="array" ref="AI451">IF(FALSE,"True," &amp; IF(_xlfn.XLOOKUP("SrcZone_IsAny",'Scoring_Config'!$A:$A,'Scoring_Config'!$D:$D,"Yes")="Yes",_xlfn.XLOOKUP("SrcZone_IsAny",'Scoring_Config'!$A:$A,'Scoring_Config'!$C:$C,5),0),"False,0")</f>
        <v>0</v>
      </c>
      <c r="AJ451" s="4" cm="1">
        <f t="array" ref="AJ451">IF(FALSE,"True," &amp; IF(_xlfn.XLOOKUP("DstZone_IsAny",'Scoring_Config'!$A:$A,'Scoring_Config'!$D:$D,"Yes")="Yes",_xlfn.XLOOKUP("DstZone_IsAny",'Scoring_Config'!$A:$A,'Scoring_Config'!$C:$C,5),0),"False,0")</f>
        <v>0</v>
      </c>
      <c r="AK451" s="4" cm="1">
        <f t="array" ref="AK451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1" s="4" cm="1">
        <f t="array" ref="AL451">IF(FALSE,"True," &amp; IF(_xlfn.XLOOKUP("App_Any_OR_RangeGt1000",'Scoring_Config'!$A:$A,'Scoring_Config'!$D:$D,"Yes")="Yes",_xlfn.XLOOKUP("App_Any_OR_RangeGt1000",'Scoring_Config'!$A:$A,'Scoring_Config'!$C:$C,25),0),"False,0")</f>
        <v>0</v>
      </c>
      <c r="AM451" s="5" cm="1">
        <f t="array" ref="AM451">IF(TRUE,"True," &amp; IF(_xlfn.XLOOKUP("Service_Insecure_Match",'Scoring_Config'!$A:$A,'Scoring_Config'!$D:$D,"Yes")="Yes",_xlfn.XLOOKUP("Service_Insecure_Match",'Scoring_Config'!$A:$A,'Scoring_Config'!$C:$C,20),0),"False,0")</f>
        <v>0</v>
      </c>
      <c r="AN451" s="5" cm="1">
        <f t="array" ref="AN451">IF(TRUE,"True," &amp; IF(_xlfn.XLOOKUP("Risky_Inbound",'Scoring_Config'!$A:$A,'Scoring_Config'!$D:$D,"Yes")="Yes",_xlfn.XLOOKUP("Risky_Inbound",'Scoring_Config'!$A:$A,'Scoring_Config'!$C:$C,20),0),"False,0")</f>
        <v>0</v>
      </c>
      <c r="AO451" s="4" cm="1">
        <f t="array" ref="AO451">IF(FALSE,"True," &amp; IF(_xlfn.XLOOKUP("Risky_Outbound",'Scoring_Config'!$A:$A,'Scoring_Config'!$D:$D,"Yes")="Yes",_xlfn.XLOOKUP("Risky_Outbound",'Scoring_Config'!$A:$A,'Scoring_Config'!$C:$C,10),0),"False,0")</f>
        <v>0</v>
      </c>
      <c r="AP451" s="5" t="s">
        <v>2595</v>
      </c>
      <c r="AQ451" s="5" cm="1">
        <f t="array" ref="AQ451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1" s="4" t="s">
        <v>2592</v>
      </c>
      <c r="AS451" s="4" t="s">
        <v>2592</v>
      </c>
      <c r="AT451" s="4" t="s">
        <v>2592</v>
      </c>
      <c r="AU451" s="4" cm="1">
        <f t="array" ref="AU451">IF(FALSE,"True," &amp; IF(_xlfn.XLOOKUP("Action_IsDenyOrDrop",'Scoring_Config'!$A:$A,'Scoring_Config'!$D:$D,"Yes")="Yes",_xlfn.XLOOKUP("Action_IsDenyOrDrop",'Scoring_Config'!$A:$A,'Scoring_Config'!$C:$C,0),0),"False,0")</f>
        <v>0</v>
      </c>
      <c r="AV451" s="4"/>
      <c r="AW451" s="4" cm="1">
        <f t="array" ref="AW451">IF(FALSE,"True," &amp; IF(_xlfn.XLOOKUP("Migrate_Insecure",'Scoring_Config'!$A:$A,'Scoring_Config'!$D:$D,"Yes")="Yes",_xlfn.XLOOKUP("Migrate_Insecure",'Scoring_Config'!$A:$A,'Scoring_Config'!$C:$C,15),0),"False,0")</f>
        <v>0</v>
      </c>
      <c r="AX451" s="4"/>
      <c r="AY451" s="4" cm="1">
        <f t="array" ref="AY451">IF(FALSE,"True," &amp; IF(_xlfn.XLOOKUP("Migrate_Other_Ports",'Scoring_Config'!$A:$A,'Scoring_Config'!$D:$D,"Yes")="Yes",_xlfn.XLOOKUP("Migrate_Other_Ports",'Scoring_Config'!$A:$A,'Scoring_Config'!$C:$C,5),0),"False,0")</f>
        <v>0</v>
      </c>
      <c r="AZ451" s="4" cm="1">
        <f t="array" ref="AZ451">IF(LEFT(AU451,4)="True",0,(IF(LEFT(AC451,4)="True",IF(_xlfn.XLOOKUP("Src_IsAny",'Scoring_Config'!$A:$A,'Scoring_Config'!$D:$D,"Yes")="Yes",_xlfn.XLOOKUP("Src_IsAny",'Scoring_Config'!$A:$A,'Scoring_Config'!$C:$C,25),0),0)+IF(LEFT(AD451,4)="True",IF(_xlfn.XLOOKUP("Src_CIDR_Le_16",'Scoring_Config'!$A:$A,'Scoring_Config'!$D:$D,"Yes")="Yes",_xlfn.XLOOKUP("Src_CIDR_Le_16",'Scoring_Config'!$A:$A,'Scoring_Config'!$C:$C,25),0),0)+IF(LEFT(AE451,4)="True",IF(_xlfn.XLOOKUP("Src_CIDR_17_22",'Scoring_Config'!$A:$A,'Scoring_Config'!$D:$D,"Yes")="Yes",_xlfn.XLOOKUP("Src_CIDR_17_22",'Scoring_Config'!$A:$A,'Scoring_Config'!$C:$C,15),0),0)+IF(LEFT(AF451,4)="True",IF(_xlfn.XLOOKUP("Dst_IsAny",'Scoring_Config'!$A:$A,'Scoring_Config'!$D:$D,"Yes")="Yes",_xlfn.XLOOKUP("Dst_IsAny",'Scoring_Config'!$A:$A,'Scoring_Config'!$C:$C,25),0),0)+IF(LEFT(AG451,4)="True",IF(_xlfn.XLOOKUP("Dst_CIDR_Le_16",'Scoring_Config'!$A:$A,'Scoring_Config'!$D:$D,"Yes")="Yes",_xlfn.XLOOKUP("Dst_CIDR_Le_16",'Scoring_Config'!$A:$A,'Scoring_Config'!$C:$C,25),0),0)+IF(LEFT(AH451,4)="True",IF(_xlfn.XLOOKUP("Dst_CIDR_17_22",'Scoring_Config'!$A:$A,'Scoring_Config'!$D:$D,"Yes")="Yes",_xlfn.XLOOKUP("Dst_CIDR_17_22",'Scoring_Config'!$A:$A,'Scoring_Config'!$C:$C,15),0),0)+IF(LEFT(AI451,4)="True",IF(_xlfn.XLOOKUP("SrcZone_IsAny",'Scoring_Config'!$A:$A,'Scoring_Config'!$D:$D,"Yes")="Yes",_xlfn.XLOOKUP("SrcZone_IsAny",'Scoring_Config'!$A:$A,'Scoring_Config'!$C:$C,5),0),0)+IF(LEFT(AJ451,4)="True",IF(_xlfn.XLOOKUP("DstZone_IsAny",'Scoring_Config'!$A:$A,'Scoring_Config'!$D:$D,"Yes")="Yes",_xlfn.XLOOKUP("DstZone_IsAny",'Scoring_Config'!$A:$A,'Scoring_Config'!$C:$C,5),0),0)+IF(LEFT(AK451,4)="True",IF(_xlfn.XLOOKUP("Service_Any_OR_RangeGt1000",'Scoring_Config'!$A:$A,'Scoring_Config'!$D:$D,"Yes")="Yes",_xlfn.XLOOKUP("Service_Any_OR_RangeGt1000",'Scoring_Config'!$A:$A,'Scoring_Config'!$C:$C,25),0),0)+IF(LEFT(AL451,4)="True",IF(_xlfn.XLOOKUP("App_Any_OR_RangeGt1000",'Scoring_Config'!$A:$A,'Scoring_Config'!$D:$D,"Yes")="Yes",_xlfn.XLOOKUP("App_Any_OR_RangeGt1000",'Scoring_Config'!$A:$A,'Scoring_Config'!$C:$C,25),0),0)+IF(LEFT(AM451,4)="True",IF(_xlfn.XLOOKUP("Service_Insecure_Match",'Scoring_Config'!$A:$A,'Scoring_Config'!$D:$D,"Yes")="Yes",_xlfn.XLOOKUP("Service_Insecure_Match",'Scoring_Config'!$A:$A,'Scoring_Config'!$C:$C,20),0),0)+IF(LEFT(AN451,4)="True",IF(_xlfn.XLOOKUP("Risky_Inbound",'Scoring_Config'!$A:$A,'Scoring_Config'!$D:$D,"Yes")="Yes",_xlfn.XLOOKUP("Risky_Inbound",'Scoring_Config'!$A:$A,'Scoring_Config'!$C:$C,20),0),0)+IF(LEFT(AO451,4)="True",IF(_xlfn.XLOOKUP("Risky_Outbound",'Scoring_Config'!$A:$A,'Scoring_Config'!$D:$D,"Yes")="Yes",_xlfn.XLOOKUP("Risky_Outbound",'Scoring_Config'!$A:$A,'Scoring_Config'!$C:$C,10),0),0)+IF(LEFT(AW451,4)="True",IF(_xlfn.XLOOKUP("Migrate_Insecure",'Scoring_Config'!$A:$A,'Scoring_Config'!$D:$D,"Yes")="Yes",_xlfn.XLOOKUP("Migrate_Insecure",'Scoring_Config'!$A:$A,'Scoring_Config'!$C:$C,15),0),0)+IF(LEFT(AY451,4)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451,FIND(",",AP451)+1,100)),0)+IF(LEFT(AQ451,4)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451,FIND(",",AR451)+1,100)),0)+IF(_xlfn.XLOOKUP("Profile_Scoring",'Scoring_Config'!$A:$A,'Scoring_Config'!$D:$D,"Yes")="Yes",VALUE(MID(AS451,FIND(",",AS451)+1,100)),0)+IF(_xlfn.XLOOKUP("Options_Scoring",'Scoring_Config'!$A:$A,'Scoring_Config'!$D:$D,"Yes")="Yes",VALUE(MID(AT451,FIND(",",AT451)+1,100)),0)))</f>
        <v>0</v>
      </c>
    </row>
    <row r="452" spans="1:52">
      <c r="A452" s="3" t="s">
        <v>55</v>
      </c>
      <c r="B452" s="3" t="s">
        <v>319</v>
      </c>
      <c r="C452" s="3" t="s">
        <v>332</v>
      </c>
      <c r="D452" s="3"/>
      <c r="E452" s="3" t="s">
        <v>359</v>
      </c>
      <c r="F452" s="3" t="s">
        <v>364</v>
      </c>
      <c r="G452" s="3" t="s">
        <v>365</v>
      </c>
      <c r="H452" s="3" t="s">
        <v>365</v>
      </c>
      <c r="I452" s="3" t="s">
        <v>365</v>
      </c>
      <c r="J452" s="3" t="s">
        <v>360</v>
      </c>
      <c r="K452" s="3" t="s">
        <v>729</v>
      </c>
      <c r="L452" s="3" t="s">
        <v>729</v>
      </c>
      <c r="M452" s="3" t="s">
        <v>772</v>
      </c>
      <c r="N452" s="3" t="s">
        <v>794</v>
      </c>
      <c r="O452" s="4" t="s">
        <v>825</v>
      </c>
      <c r="P452" s="3" t="s">
        <v>886</v>
      </c>
      <c r="Q452" s="3" t="s">
        <v>905</v>
      </c>
      <c r="R452" s="3" t="s">
        <v>908</v>
      </c>
      <c r="S452" s="3" t="s">
        <v>914</v>
      </c>
      <c r="T452" s="3" t="s">
        <v>919</v>
      </c>
      <c r="U452" s="3" t="s">
        <v>1376</v>
      </c>
      <c r="V452" s="3" t="s">
        <v>1386</v>
      </c>
      <c r="W452" s="3" t="s">
        <v>1549</v>
      </c>
      <c r="X452" s="3" t="s">
        <v>2056</v>
      </c>
      <c r="Y452" s="3" t="s">
        <v>2525</v>
      </c>
      <c r="Z452" s="3"/>
      <c r="AA452" s="3"/>
      <c r="AB452" s="3"/>
      <c r="AC452" s="5" cm="1">
        <f t="array" ref="AC452">IF(TRUE,"True," &amp; IF(_xlfn.XLOOKUP("Src_IsAny",'Scoring_Config'!$A:$A,'Scoring_Config'!$D:$D,"Yes")="Yes",_xlfn.XLOOKUP("Src_IsAny",'Scoring_Config'!$A:$A,'Scoring_Config'!$C:$C,25),0),"False,0")</f>
        <v>0</v>
      </c>
      <c r="AD452" s="4" cm="1">
        <f t="array" ref="AD452">IF(FALSE,"True," &amp; IF(_xlfn.XLOOKUP("Src_CIDR_Le_16",'Scoring_Config'!$A:$A,'Scoring_Config'!$D:$D,"Yes")="Yes",_xlfn.XLOOKUP("Src_CIDR_Le_16",'Scoring_Config'!$A:$A,'Scoring_Config'!$C:$C,25),0),"False,0")</f>
        <v>0</v>
      </c>
      <c r="AE452" s="4" cm="1">
        <f t="array" ref="AE452">IF(FALSE,"True," &amp; IF(_xlfn.XLOOKUP("Src_CIDR_17_22",'Scoring_Config'!$A:$A,'Scoring_Config'!$D:$D,"Yes")="Yes",_xlfn.XLOOKUP("Src_CIDR_17_22",'Scoring_Config'!$A:$A,'Scoring_Config'!$C:$C,15),0),"False,0")</f>
        <v>0</v>
      </c>
      <c r="AF452" s="4" cm="1">
        <f t="array" ref="AF452">IF(FALSE,"True," &amp; IF(_xlfn.XLOOKUP("Dst_IsAny",'Scoring_Config'!$A:$A,'Scoring_Config'!$D:$D,"Yes")="Yes",_xlfn.XLOOKUP("Dst_IsAny",'Scoring_Config'!$A:$A,'Scoring_Config'!$C:$C,25),0),"False,0")</f>
        <v>0</v>
      </c>
      <c r="AG452" s="4" cm="1">
        <f t="array" ref="AG452">IF(FALSE,"True," &amp; IF(_xlfn.XLOOKUP("Dst_CIDR_Le_16",'Scoring_Config'!$A:$A,'Scoring_Config'!$D:$D,"Yes")="Yes",_xlfn.XLOOKUP("Dst_CIDR_Le_16",'Scoring_Config'!$A:$A,'Scoring_Config'!$C:$C,25),0),"False,0")</f>
        <v>0</v>
      </c>
      <c r="AH452" s="5" cm="1">
        <f t="array" ref="AH452">IF(TRUE,"True," &amp; IF(_xlfn.XLOOKUP("Dst_CIDR_17_22",'Scoring_Config'!$A:$A,'Scoring_Config'!$D:$D,"Yes")="Yes",_xlfn.XLOOKUP("Dst_CIDR_17_22",'Scoring_Config'!$A:$A,'Scoring_Config'!$C:$C,15),0),"False,0")</f>
        <v>0</v>
      </c>
      <c r="AI452" s="4" cm="1">
        <f t="array" ref="AI452">IF(FALSE,"True," &amp; IF(_xlfn.XLOOKUP("SrcZone_IsAny",'Scoring_Config'!$A:$A,'Scoring_Config'!$D:$D,"Yes")="Yes",_xlfn.XLOOKUP("SrcZone_IsAny",'Scoring_Config'!$A:$A,'Scoring_Config'!$C:$C,5),0),"False,0")</f>
        <v>0</v>
      </c>
      <c r="AJ452" s="4" cm="1">
        <f t="array" ref="AJ452">IF(FALSE,"True," &amp; IF(_xlfn.XLOOKUP("DstZone_IsAny",'Scoring_Config'!$A:$A,'Scoring_Config'!$D:$D,"Yes")="Yes",_xlfn.XLOOKUP("DstZone_IsAny",'Scoring_Config'!$A:$A,'Scoring_Config'!$C:$C,5),0),"False,0")</f>
        <v>0</v>
      </c>
      <c r="AK452" s="4" cm="1">
        <f t="array" ref="AK45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2" s="4" cm="1">
        <f t="array" ref="AL452">IF(FALSE,"True," &amp; IF(_xlfn.XLOOKUP("App_Any_OR_RangeGt1000",'Scoring_Config'!$A:$A,'Scoring_Config'!$D:$D,"Yes")="Yes",_xlfn.XLOOKUP("App_Any_OR_RangeGt1000",'Scoring_Config'!$A:$A,'Scoring_Config'!$C:$C,25),0),"False,0")</f>
        <v>0</v>
      </c>
      <c r="AM452" s="5" cm="1">
        <f t="array" ref="AM452">IF(TRUE,"True," &amp; IF(_xlfn.XLOOKUP("Service_Insecure_Match",'Scoring_Config'!$A:$A,'Scoring_Config'!$D:$D,"Yes")="Yes",_xlfn.XLOOKUP("Service_Insecure_Match",'Scoring_Config'!$A:$A,'Scoring_Config'!$C:$C,20),0),"False,0")</f>
        <v>0</v>
      </c>
      <c r="AN452" s="4" cm="1">
        <f t="array" ref="AN452">IF(FALSE,"True," &amp; IF(_xlfn.XLOOKUP("Risky_Inbound",'Scoring_Config'!$A:$A,'Scoring_Config'!$D:$D,"Yes")="Yes",_xlfn.XLOOKUP("Risky_Inbound",'Scoring_Config'!$A:$A,'Scoring_Config'!$C:$C,20),0),"False,0")</f>
        <v>0</v>
      </c>
      <c r="AO452" s="4" cm="1">
        <f t="array" ref="AO452">IF(FALSE,"True," &amp; IF(_xlfn.XLOOKUP("Risky_Outbound",'Scoring_Config'!$A:$A,'Scoring_Config'!$D:$D,"Yes")="Yes",_xlfn.XLOOKUP("Risky_Outbound",'Scoring_Config'!$A:$A,'Scoring_Config'!$C:$C,10),0),"False,0")</f>
        <v>0</v>
      </c>
      <c r="AP452" s="5" t="s">
        <v>2595</v>
      </c>
      <c r="AQ452" s="4" cm="1">
        <f t="array" ref="AQ452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2" s="4" t="s">
        <v>2592</v>
      </c>
      <c r="AS452" s="4" t="s">
        <v>2592</v>
      </c>
      <c r="AT452" s="4" t="s">
        <v>2592</v>
      </c>
      <c r="AU452" s="4" cm="1">
        <f t="array" ref="AU452">IF(FALSE,"True," &amp; IF(_xlfn.XLOOKUP("Action_IsDenyOrDrop",'Scoring_Config'!$A:$A,'Scoring_Config'!$D:$D,"Yes")="Yes",_xlfn.XLOOKUP("Action_IsDenyOrDrop",'Scoring_Config'!$A:$A,'Scoring_Config'!$C:$C,0),0),"False,0")</f>
        <v>0</v>
      </c>
      <c r="AV452" s="4"/>
      <c r="AW452" s="4" cm="1">
        <f t="array" ref="AW452">IF(FALSE,"True," &amp; IF(_xlfn.XLOOKUP("Migrate_Insecure",'Scoring_Config'!$A:$A,'Scoring_Config'!$D:$D,"Yes")="Yes",_xlfn.XLOOKUP("Migrate_Insecure",'Scoring_Config'!$A:$A,'Scoring_Config'!$C:$C,15),0),"False,0")</f>
        <v>0</v>
      </c>
      <c r="AX452" s="4"/>
      <c r="AY452" s="4" cm="1">
        <f t="array" ref="AY452">IF(FALSE,"True," &amp; IF(_xlfn.XLOOKUP("Migrate_Other_Ports",'Scoring_Config'!$A:$A,'Scoring_Config'!$D:$D,"Yes")="Yes",_xlfn.XLOOKUP("Migrate_Other_Ports",'Scoring_Config'!$A:$A,'Scoring_Config'!$C:$C,5),0),"False,0")</f>
        <v>0</v>
      </c>
      <c r="AZ452" s="4" cm="1">
        <f t="array" ref="AZ452">IF(LEFT(AU452,4)="True",0,(IF(LEFT(AC452,4)="True",IF(_xlfn.XLOOKUP("Src_IsAny",'Scoring_Config'!$A:$A,'Scoring_Config'!$D:$D,"Yes")="Yes",_xlfn.XLOOKUP("Src_IsAny",'Scoring_Config'!$A:$A,'Scoring_Config'!$C:$C,25),0),0)+IF(LEFT(AD452,4)="True",IF(_xlfn.XLOOKUP("Src_CIDR_Le_16",'Scoring_Config'!$A:$A,'Scoring_Config'!$D:$D,"Yes")="Yes",_xlfn.XLOOKUP("Src_CIDR_Le_16",'Scoring_Config'!$A:$A,'Scoring_Config'!$C:$C,25),0),0)+IF(LEFT(AE452,4)="True",IF(_xlfn.XLOOKUP("Src_CIDR_17_22",'Scoring_Config'!$A:$A,'Scoring_Config'!$D:$D,"Yes")="Yes",_xlfn.XLOOKUP("Src_CIDR_17_22",'Scoring_Config'!$A:$A,'Scoring_Config'!$C:$C,15),0),0)+IF(LEFT(AF452,4)="True",IF(_xlfn.XLOOKUP("Dst_IsAny",'Scoring_Config'!$A:$A,'Scoring_Config'!$D:$D,"Yes")="Yes",_xlfn.XLOOKUP("Dst_IsAny",'Scoring_Config'!$A:$A,'Scoring_Config'!$C:$C,25),0),0)+IF(LEFT(AG452,4)="True",IF(_xlfn.XLOOKUP("Dst_CIDR_Le_16",'Scoring_Config'!$A:$A,'Scoring_Config'!$D:$D,"Yes")="Yes",_xlfn.XLOOKUP("Dst_CIDR_Le_16",'Scoring_Config'!$A:$A,'Scoring_Config'!$C:$C,25),0),0)+IF(LEFT(AH452,4)="True",IF(_xlfn.XLOOKUP("Dst_CIDR_17_22",'Scoring_Config'!$A:$A,'Scoring_Config'!$D:$D,"Yes")="Yes",_xlfn.XLOOKUP("Dst_CIDR_17_22",'Scoring_Config'!$A:$A,'Scoring_Config'!$C:$C,15),0),0)+IF(LEFT(AI452,4)="True",IF(_xlfn.XLOOKUP("SrcZone_IsAny",'Scoring_Config'!$A:$A,'Scoring_Config'!$D:$D,"Yes")="Yes",_xlfn.XLOOKUP("SrcZone_IsAny",'Scoring_Config'!$A:$A,'Scoring_Config'!$C:$C,5),0),0)+IF(LEFT(AJ452,4)="True",IF(_xlfn.XLOOKUP("DstZone_IsAny",'Scoring_Config'!$A:$A,'Scoring_Config'!$D:$D,"Yes")="Yes",_xlfn.XLOOKUP("DstZone_IsAny",'Scoring_Config'!$A:$A,'Scoring_Config'!$C:$C,5),0),0)+IF(LEFT(AK452,4)="True",IF(_xlfn.XLOOKUP("Service_Any_OR_RangeGt1000",'Scoring_Config'!$A:$A,'Scoring_Config'!$D:$D,"Yes")="Yes",_xlfn.XLOOKUP("Service_Any_OR_RangeGt1000",'Scoring_Config'!$A:$A,'Scoring_Config'!$C:$C,25),0),0)+IF(LEFT(AL452,4)="True",IF(_xlfn.XLOOKUP("App_Any_OR_RangeGt1000",'Scoring_Config'!$A:$A,'Scoring_Config'!$D:$D,"Yes")="Yes",_xlfn.XLOOKUP("App_Any_OR_RangeGt1000",'Scoring_Config'!$A:$A,'Scoring_Config'!$C:$C,25),0),0)+IF(LEFT(AM452,4)="True",IF(_xlfn.XLOOKUP("Service_Insecure_Match",'Scoring_Config'!$A:$A,'Scoring_Config'!$D:$D,"Yes")="Yes",_xlfn.XLOOKUP("Service_Insecure_Match",'Scoring_Config'!$A:$A,'Scoring_Config'!$C:$C,20),0),0)+IF(LEFT(AN452,4)="True",IF(_xlfn.XLOOKUP("Risky_Inbound",'Scoring_Config'!$A:$A,'Scoring_Config'!$D:$D,"Yes")="Yes",_xlfn.XLOOKUP("Risky_Inbound",'Scoring_Config'!$A:$A,'Scoring_Config'!$C:$C,20),0),0)+IF(LEFT(AO452,4)="True",IF(_xlfn.XLOOKUP("Risky_Outbound",'Scoring_Config'!$A:$A,'Scoring_Config'!$D:$D,"Yes")="Yes",_xlfn.XLOOKUP("Risky_Outbound",'Scoring_Config'!$A:$A,'Scoring_Config'!$C:$C,10),0),0)+IF(LEFT(AW452,4)="True",IF(_xlfn.XLOOKUP("Migrate_Insecure",'Scoring_Config'!$A:$A,'Scoring_Config'!$D:$D,"Yes")="Yes",_xlfn.XLOOKUP("Migrate_Insecure",'Scoring_Config'!$A:$A,'Scoring_Config'!$C:$C,15),0),0)+IF(LEFT(AY452,4)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452,FIND(",",AP452)+1,100)),0)+IF(LEFT(AQ452,4)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452,FIND(",",AR452)+1,100)),0)+IF(_xlfn.XLOOKUP("Profile_Scoring",'Scoring_Config'!$A:$A,'Scoring_Config'!$D:$D,"Yes")="Yes",VALUE(MID(AS452,FIND(",",AS452)+1,100)),0)+IF(_xlfn.XLOOKUP("Options_Scoring",'Scoring_Config'!$A:$A,'Scoring_Config'!$D:$D,"Yes")="Yes",VALUE(MID(AT452,FIND(",",AT452)+1,100)),0)))</f>
        <v>0</v>
      </c>
    </row>
    <row r="453" spans="1:52">
      <c r="A453" s="3" t="s">
        <v>55</v>
      </c>
      <c r="B453" s="3" t="s">
        <v>319</v>
      </c>
      <c r="C453" s="3" t="s">
        <v>332</v>
      </c>
      <c r="D453" s="3"/>
      <c r="E453" s="3" t="s">
        <v>359</v>
      </c>
      <c r="F453" s="3" t="s">
        <v>364</v>
      </c>
      <c r="G453" s="3" t="s">
        <v>365</v>
      </c>
      <c r="H453" s="3" t="s">
        <v>365</v>
      </c>
      <c r="I453" s="3" t="s">
        <v>365</v>
      </c>
      <c r="J453" s="3" t="s">
        <v>360</v>
      </c>
      <c r="K453" s="3" t="s">
        <v>730</v>
      </c>
      <c r="L453" s="3" t="s">
        <v>730</v>
      </c>
      <c r="M453" s="3" t="s">
        <v>772</v>
      </c>
      <c r="N453" s="3" t="s">
        <v>794</v>
      </c>
      <c r="O453" s="4" t="s">
        <v>817</v>
      </c>
      <c r="P453" s="3" t="s">
        <v>878</v>
      </c>
      <c r="Q453" s="3" t="s">
        <v>905</v>
      </c>
      <c r="R453" s="3" t="s">
        <v>911</v>
      </c>
      <c r="S453" s="3" t="s">
        <v>916</v>
      </c>
      <c r="T453" s="3" t="s">
        <v>919</v>
      </c>
      <c r="U453" s="3" t="s">
        <v>1377</v>
      </c>
      <c r="V453" s="3" t="s">
        <v>1387</v>
      </c>
      <c r="W453" s="3" t="s">
        <v>1601</v>
      </c>
      <c r="X453" s="3" t="s">
        <v>2057</v>
      </c>
      <c r="Y453" s="3" t="s">
        <v>2526</v>
      </c>
      <c r="Z453" s="3"/>
      <c r="AA453" s="3"/>
      <c r="AB453" s="3"/>
      <c r="AC453" s="5" cm="1">
        <f t="array" ref="AC453">IF(TRUE,"True," &amp; IF(_xlfn.XLOOKUP("Src_IsAny",'Scoring_Config'!$A:$A,'Scoring_Config'!$D:$D,"Yes")="Yes",_xlfn.XLOOKUP("Src_IsAny",'Scoring_Config'!$A:$A,'Scoring_Config'!$C:$C,25),0),"False,0")</f>
        <v>0</v>
      </c>
      <c r="AD453" s="4" cm="1">
        <f t="array" ref="AD453">IF(FALSE,"True," &amp; IF(_xlfn.XLOOKUP("Src_CIDR_Le_16",'Scoring_Config'!$A:$A,'Scoring_Config'!$D:$D,"Yes")="Yes",_xlfn.XLOOKUP("Src_CIDR_Le_16",'Scoring_Config'!$A:$A,'Scoring_Config'!$C:$C,25),0),"False,0")</f>
        <v>0</v>
      </c>
      <c r="AE453" s="4" cm="1">
        <f t="array" ref="AE453">IF(FALSE,"True," &amp; IF(_xlfn.XLOOKUP("Src_CIDR_17_22",'Scoring_Config'!$A:$A,'Scoring_Config'!$D:$D,"Yes")="Yes",_xlfn.XLOOKUP("Src_CIDR_17_22",'Scoring_Config'!$A:$A,'Scoring_Config'!$C:$C,15),0),"False,0")</f>
        <v>0</v>
      </c>
      <c r="AF453" s="4" cm="1">
        <f t="array" ref="AF453">IF(FALSE,"True," &amp; IF(_xlfn.XLOOKUP("Dst_IsAny",'Scoring_Config'!$A:$A,'Scoring_Config'!$D:$D,"Yes")="Yes",_xlfn.XLOOKUP("Dst_IsAny",'Scoring_Config'!$A:$A,'Scoring_Config'!$C:$C,25),0),"False,0")</f>
        <v>0</v>
      </c>
      <c r="AG453" s="4" cm="1">
        <f t="array" ref="AG453">IF(FALSE,"True," &amp; IF(_xlfn.XLOOKUP("Dst_CIDR_Le_16",'Scoring_Config'!$A:$A,'Scoring_Config'!$D:$D,"Yes")="Yes",_xlfn.XLOOKUP("Dst_CIDR_Le_16",'Scoring_Config'!$A:$A,'Scoring_Config'!$C:$C,25),0),"False,0")</f>
        <v>0</v>
      </c>
      <c r="AH453" s="5" cm="1">
        <f t="array" ref="AH453">IF(TRUE,"True," &amp; IF(_xlfn.XLOOKUP("Dst_CIDR_17_22",'Scoring_Config'!$A:$A,'Scoring_Config'!$D:$D,"Yes")="Yes",_xlfn.XLOOKUP("Dst_CIDR_17_22",'Scoring_Config'!$A:$A,'Scoring_Config'!$C:$C,15),0),"False,0")</f>
        <v>0</v>
      </c>
      <c r="AI453" s="4" cm="1">
        <f t="array" ref="AI453">IF(FALSE,"True," &amp; IF(_xlfn.XLOOKUP("SrcZone_IsAny",'Scoring_Config'!$A:$A,'Scoring_Config'!$D:$D,"Yes")="Yes",_xlfn.XLOOKUP("SrcZone_IsAny",'Scoring_Config'!$A:$A,'Scoring_Config'!$C:$C,5),0),"False,0")</f>
        <v>0</v>
      </c>
      <c r="AJ453" s="4" cm="1">
        <f t="array" ref="AJ453">IF(FALSE,"True," &amp; IF(_xlfn.XLOOKUP("DstZone_IsAny",'Scoring_Config'!$A:$A,'Scoring_Config'!$D:$D,"Yes")="Yes",_xlfn.XLOOKUP("DstZone_IsAny",'Scoring_Config'!$A:$A,'Scoring_Config'!$C:$C,5),0),"False,0")</f>
        <v>0</v>
      </c>
      <c r="AK453" s="4" cm="1">
        <f t="array" ref="AK45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3" s="4" cm="1">
        <f t="array" ref="AL453">IF(FALSE,"True," &amp; IF(_xlfn.XLOOKUP("App_Any_OR_RangeGt1000",'Scoring_Config'!$A:$A,'Scoring_Config'!$D:$D,"Yes")="Yes",_xlfn.XLOOKUP("App_Any_OR_RangeGt1000",'Scoring_Config'!$A:$A,'Scoring_Config'!$C:$C,25),0),"False,0")</f>
        <v>0</v>
      </c>
      <c r="AM453" s="5" cm="1">
        <f t="array" ref="AM453">IF(TRUE,"True," &amp; IF(_xlfn.XLOOKUP("Service_Insecure_Match",'Scoring_Config'!$A:$A,'Scoring_Config'!$D:$D,"Yes")="Yes",_xlfn.XLOOKUP("Service_Insecure_Match",'Scoring_Config'!$A:$A,'Scoring_Config'!$C:$C,20),0),"False,0")</f>
        <v>0</v>
      </c>
      <c r="AN453" s="4" cm="1">
        <f t="array" ref="AN453">IF(FALSE,"True," &amp; IF(_xlfn.XLOOKUP("Risky_Inbound",'Scoring_Config'!$A:$A,'Scoring_Config'!$D:$D,"Yes")="Yes",_xlfn.XLOOKUP("Risky_Inbound",'Scoring_Config'!$A:$A,'Scoring_Config'!$C:$C,20),0),"False,0")</f>
        <v>0</v>
      </c>
      <c r="AO453" s="4" cm="1">
        <f t="array" ref="AO453">IF(FALSE,"True," &amp; IF(_xlfn.XLOOKUP("Risky_Outbound",'Scoring_Config'!$A:$A,'Scoring_Config'!$D:$D,"Yes")="Yes",_xlfn.XLOOKUP("Risky_Outbound",'Scoring_Config'!$A:$A,'Scoring_Config'!$C:$C,10),0),"False,0")</f>
        <v>0</v>
      </c>
      <c r="AP453" s="5" t="s">
        <v>2595</v>
      </c>
      <c r="AQ453" s="4" cm="1">
        <f t="array" ref="AQ45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3" s="4" t="s">
        <v>2592</v>
      </c>
      <c r="AS453" s="4" t="s">
        <v>2592</v>
      </c>
      <c r="AT453" s="4" t="s">
        <v>2592</v>
      </c>
      <c r="AU453" s="4" cm="1">
        <f t="array" ref="AU453">IF(FALSE,"True," &amp; IF(_xlfn.XLOOKUP("Action_IsDenyOrDrop",'Scoring_Config'!$A:$A,'Scoring_Config'!$D:$D,"Yes")="Yes",_xlfn.XLOOKUP("Action_IsDenyOrDrop",'Scoring_Config'!$A:$A,'Scoring_Config'!$C:$C,0),0),"False,0")</f>
        <v>0</v>
      </c>
      <c r="AV453" s="4"/>
      <c r="AW453" s="4" cm="1">
        <f t="array" ref="AW453">IF(FALSE,"True," &amp; IF(_xlfn.XLOOKUP("Migrate_Insecure",'Scoring_Config'!$A:$A,'Scoring_Config'!$D:$D,"Yes")="Yes",_xlfn.XLOOKUP("Migrate_Insecure",'Scoring_Config'!$A:$A,'Scoring_Config'!$C:$C,15),0),"False,0")</f>
        <v>0</v>
      </c>
      <c r="AX453" s="4"/>
      <c r="AY453" s="4" cm="1">
        <f t="array" ref="AY453">IF(FALSE,"True," &amp; IF(_xlfn.XLOOKUP("Migrate_Other_Ports",'Scoring_Config'!$A:$A,'Scoring_Config'!$D:$D,"Yes")="Yes",_xlfn.XLOOKUP("Migrate_Other_Ports",'Scoring_Config'!$A:$A,'Scoring_Config'!$C:$C,5),0),"False,0")</f>
        <v>0</v>
      </c>
      <c r="AZ453" s="4" cm="1">
        <f t="array" ref="AZ453">IF(LEFT(AU453,4)="True",0,(IF(LEFT(AC453,4)="True",IF(_xlfn.XLOOKUP("Src_IsAny",'Scoring_Config'!$A:$A,'Scoring_Config'!$D:$D,"Yes")="Yes",_xlfn.XLOOKUP("Src_IsAny",'Scoring_Config'!$A:$A,'Scoring_Config'!$C:$C,25),0),0)+IF(LEFT(AD453,4)="True",IF(_xlfn.XLOOKUP("Src_CIDR_Le_16",'Scoring_Config'!$A:$A,'Scoring_Config'!$D:$D,"Yes")="Yes",_xlfn.XLOOKUP("Src_CIDR_Le_16",'Scoring_Config'!$A:$A,'Scoring_Config'!$C:$C,25),0),0)+IF(LEFT(AE453,4)="True",IF(_xlfn.XLOOKUP("Src_CIDR_17_22",'Scoring_Config'!$A:$A,'Scoring_Config'!$D:$D,"Yes")="Yes",_xlfn.XLOOKUP("Src_CIDR_17_22",'Scoring_Config'!$A:$A,'Scoring_Config'!$C:$C,15),0),0)+IF(LEFT(AF453,4)="True",IF(_xlfn.XLOOKUP("Dst_IsAny",'Scoring_Config'!$A:$A,'Scoring_Config'!$D:$D,"Yes")="Yes",_xlfn.XLOOKUP("Dst_IsAny",'Scoring_Config'!$A:$A,'Scoring_Config'!$C:$C,25),0),0)+IF(LEFT(AG453,4)="True",IF(_xlfn.XLOOKUP("Dst_CIDR_Le_16",'Scoring_Config'!$A:$A,'Scoring_Config'!$D:$D,"Yes")="Yes",_xlfn.XLOOKUP("Dst_CIDR_Le_16",'Scoring_Config'!$A:$A,'Scoring_Config'!$C:$C,25),0),0)+IF(LEFT(AH453,4)="True",IF(_xlfn.XLOOKUP("Dst_CIDR_17_22",'Scoring_Config'!$A:$A,'Scoring_Config'!$D:$D,"Yes")="Yes",_xlfn.XLOOKUP("Dst_CIDR_17_22",'Scoring_Config'!$A:$A,'Scoring_Config'!$C:$C,15),0),0)+IF(LEFT(AI453,4)="True",IF(_xlfn.XLOOKUP("SrcZone_IsAny",'Scoring_Config'!$A:$A,'Scoring_Config'!$D:$D,"Yes")="Yes",_xlfn.XLOOKUP("SrcZone_IsAny",'Scoring_Config'!$A:$A,'Scoring_Config'!$C:$C,5),0),0)+IF(LEFT(AJ453,4)="True",IF(_xlfn.XLOOKUP("DstZone_IsAny",'Scoring_Config'!$A:$A,'Scoring_Config'!$D:$D,"Yes")="Yes",_xlfn.XLOOKUP("DstZone_IsAny",'Scoring_Config'!$A:$A,'Scoring_Config'!$C:$C,5),0),0)+IF(LEFT(AK453,4)="True",IF(_xlfn.XLOOKUP("Service_Any_OR_RangeGt1000",'Scoring_Config'!$A:$A,'Scoring_Config'!$D:$D,"Yes")="Yes",_xlfn.XLOOKUP("Service_Any_OR_RangeGt1000",'Scoring_Config'!$A:$A,'Scoring_Config'!$C:$C,25),0),0)+IF(LEFT(AL453,4)="True",IF(_xlfn.XLOOKUP("App_Any_OR_RangeGt1000",'Scoring_Config'!$A:$A,'Scoring_Config'!$D:$D,"Yes")="Yes",_xlfn.XLOOKUP("App_Any_OR_RangeGt1000",'Scoring_Config'!$A:$A,'Scoring_Config'!$C:$C,25),0),0)+IF(LEFT(AM453,4)="True",IF(_xlfn.XLOOKUP("Service_Insecure_Match",'Scoring_Config'!$A:$A,'Scoring_Config'!$D:$D,"Yes")="Yes",_xlfn.XLOOKUP("Service_Insecure_Match",'Scoring_Config'!$A:$A,'Scoring_Config'!$C:$C,20),0),0)+IF(LEFT(AN453,4)="True",IF(_xlfn.XLOOKUP("Risky_Inbound",'Scoring_Config'!$A:$A,'Scoring_Config'!$D:$D,"Yes")="Yes",_xlfn.XLOOKUP("Risky_Inbound",'Scoring_Config'!$A:$A,'Scoring_Config'!$C:$C,20),0),0)+IF(LEFT(AO453,4)="True",IF(_xlfn.XLOOKUP("Risky_Outbound",'Scoring_Config'!$A:$A,'Scoring_Config'!$D:$D,"Yes")="Yes",_xlfn.XLOOKUP("Risky_Outbound",'Scoring_Config'!$A:$A,'Scoring_Config'!$C:$C,10),0),0)+IF(LEFT(AW453,4)="True",IF(_xlfn.XLOOKUP("Migrate_Insecure",'Scoring_Config'!$A:$A,'Scoring_Config'!$D:$D,"Yes")="Yes",_xlfn.XLOOKUP("Migrate_Insecure",'Scoring_Config'!$A:$A,'Scoring_Config'!$C:$C,15),0),0)+IF(LEFT(AY453,4)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453,FIND(",",AP453)+1,100)),0)+IF(LEFT(AQ453,4)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453,FIND(",",AR453)+1,100)),0)+IF(_xlfn.XLOOKUP("Profile_Scoring",'Scoring_Config'!$A:$A,'Scoring_Config'!$D:$D,"Yes")="Yes",VALUE(MID(AS453,FIND(",",AS453)+1,100)),0)+IF(_xlfn.XLOOKUP("Options_Scoring",'Scoring_Config'!$A:$A,'Scoring_Config'!$D:$D,"Yes")="Yes",VALUE(MID(AT453,FIND(",",AT453)+1,100)),0)))</f>
        <v>0</v>
      </c>
    </row>
    <row r="454" spans="1:52">
      <c r="A454" s="3" t="s">
        <v>55</v>
      </c>
      <c r="B454" s="3" t="s">
        <v>320</v>
      </c>
      <c r="C454" s="3" t="s">
        <v>332</v>
      </c>
      <c r="D454" s="3"/>
      <c r="E454" s="3" t="s">
        <v>359</v>
      </c>
      <c r="F454" s="3" t="s">
        <v>362</v>
      </c>
      <c r="G454" s="3" t="s">
        <v>497</v>
      </c>
      <c r="H454" s="3" t="s">
        <v>601</v>
      </c>
      <c r="I454" s="3" t="s">
        <v>365</v>
      </c>
      <c r="J454" s="3" t="s">
        <v>360</v>
      </c>
      <c r="K454" s="3" t="s">
        <v>731</v>
      </c>
      <c r="L454" s="3" t="s">
        <v>731</v>
      </c>
      <c r="M454" s="3" t="s">
        <v>775</v>
      </c>
      <c r="N454" s="3" t="s">
        <v>796</v>
      </c>
      <c r="O454" s="4" t="s">
        <v>827</v>
      </c>
      <c r="P454" s="3" t="s">
        <v>888</v>
      </c>
      <c r="Q454" s="3" t="s">
        <v>904</v>
      </c>
      <c r="R454" s="3" t="s">
        <v>909</v>
      </c>
      <c r="S454" s="3" t="s">
        <v>916</v>
      </c>
      <c r="T454" s="3" t="s">
        <v>1131</v>
      </c>
      <c r="U454" s="3" t="s">
        <v>1145</v>
      </c>
      <c r="V454" s="3" t="s">
        <v>1387</v>
      </c>
      <c r="W454" s="3" t="s">
        <v>1489</v>
      </c>
      <c r="X454" s="3" t="s">
        <v>2058</v>
      </c>
      <c r="Y454" s="3" t="s">
        <v>2527</v>
      </c>
      <c r="Z454" s="3"/>
      <c r="AA454" s="3"/>
      <c r="AB454" s="3"/>
      <c r="AC454" s="5" cm="1">
        <f t="array" ref="AC454">IF(TRUE,"True," &amp; IF(_xlfn.XLOOKUP("Src_IsAny",'Scoring_Config'!$A:$A,'Scoring_Config'!$D:$D,"Yes")="Yes",_xlfn.XLOOKUP("Src_IsAny",'Scoring_Config'!$A:$A,'Scoring_Config'!$C:$C,25),0),"False,0")</f>
        <v>0</v>
      </c>
      <c r="AD454" s="5" cm="1">
        <f t="array" ref="AD454">IF(TRUE,"True," &amp; IF(_xlfn.XLOOKUP("Src_CIDR_Le_16",'Scoring_Config'!$A:$A,'Scoring_Config'!$D:$D,"Yes")="Yes",_xlfn.XLOOKUP("Src_CIDR_Le_16",'Scoring_Config'!$A:$A,'Scoring_Config'!$C:$C,25),0),"False,0")</f>
        <v>0</v>
      </c>
      <c r="AE454" s="4" cm="1">
        <f t="array" ref="AE454">IF(FALSE,"True," &amp; IF(_xlfn.XLOOKUP("Src_CIDR_17_22",'Scoring_Config'!$A:$A,'Scoring_Config'!$D:$D,"Yes")="Yes",_xlfn.XLOOKUP("Src_CIDR_17_22",'Scoring_Config'!$A:$A,'Scoring_Config'!$C:$C,15),0),"False,0")</f>
        <v>0</v>
      </c>
      <c r="AF454" s="4" cm="1">
        <f t="array" ref="AF454">IF(FALSE,"True," &amp; IF(_xlfn.XLOOKUP("Dst_IsAny",'Scoring_Config'!$A:$A,'Scoring_Config'!$D:$D,"Yes")="Yes",_xlfn.XLOOKUP("Dst_IsAny",'Scoring_Config'!$A:$A,'Scoring_Config'!$C:$C,25),0),"False,0")</f>
        <v>0</v>
      </c>
      <c r="AG454" s="4" cm="1">
        <f t="array" ref="AG454">IF(FALSE,"True," &amp; IF(_xlfn.XLOOKUP("Dst_CIDR_Le_16",'Scoring_Config'!$A:$A,'Scoring_Config'!$D:$D,"Yes")="Yes",_xlfn.XLOOKUP("Dst_CIDR_Le_16",'Scoring_Config'!$A:$A,'Scoring_Config'!$C:$C,25),0),"False,0")</f>
        <v>0</v>
      </c>
      <c r="AH454" s="5" cm="1">
        <f t="array" ref="AH454">IF(TRUE,"True," &amp; IF(_xlfn.XLOOKUP("Dst_CIDR_17_22",'Scoring_Config'!$A:$A,'Scoring_Config'!$D:$D,"Yes")="Yes",_xlfn.XLOOKUP("Dst_CIDR_17_22",'Scoring_Config'!$A:$A,'Scoring_Config'!$C:$C,15),0),"False,0")</f>
        <v>0</v>
      </c>
      <c r="AI454" s="4" cm="1">
        <f t="array" ref="AI454">IF(FALSE,"True," &amp; IF(_xlfn.XLOOKUP("SrcZone_IsAny",'Scoring_Config'!$A:$A,'Scoring_Config'!$D:$D,"Yes")="Yes",_xlfn.XLOOKUP("SrcZone_IsAny",'Scoring_Config'!$A:$A,'Scoring_Config'!$C:$C,5),0),"False,0")</f>
        <v>0</v>
      </c>
      <c r="AJ454" s="4" cm="1">
        <f t="array" ref="AJ454">IF(FALSE,"True," &amp; IF(_xlfn.XLOOKUP("DstZone_IsAny",'Scoring_Config'!$A:$A,'Scoring_Config'!$D:$D,"Yes")="Yes",_xlfn.XLOOKUP("DstZone_IsAny",'Scoring_Config'!$A:$A,'Scoring_Config'!$C:$C,5),0),"False,0")</f>
        <v>0</v>
      </c>
      <c r="AK454" s="4" cm="1">
        <f t="array" ref="AK45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4" s="4" cm="1">
        <f t="array" ref="AL454">IF(FALSE,"True," &amp; IF(_xlfn.XLOOKUP("App_Any_OR_RangeGt1000",'Scoring_Config'!$A:$A,'Scoring_Config'!$D:$D,"Yes")="Yes",_xlfn.XLOOKUP("App_Any_OR_RangeGt1000",'Scoring_Config'!$A:$A,'Scoring_Config'!$C:$C,25),0),"False,0")</f>
        <v>0</v>
      </c>
      <c r="AM454" s="5" cm="1">
        <f t="array" ref="AM454">IF(TRUE,"True," &amp; IF(_xlfn.XLOOKUP("Service_Insecure_Match",'Scoring_Config'!$A:$A,'Scoring_Config'!$D:$D,"Yes")="Yes",_xlfn.XLOOKUP("Service_Insecure_Match",'Scoring_Config'!$A:$A,'Scoring_Config'!$C:$C,20),0),"False,0")</f>
        <v>0</v>
      </c>
      <c r="AN454" s="4" cm="1">
        <f t="array" ref="AN454">IF(FALSE,"True," &amp; IF(_xlfn.XLOOKUP("Risky_Inbound",'Scoring_Config'!$A:$A,'Scoring_Config'!$D:$D,"Yes")="Yes",_xlfn.XLOOKUP("Risky_Inbound",'Scoring_Config'!$A:$A,'Scoring_Config'!$C:$C,20),0),"False,0")</f>
        <v>0</v>
      </c>
      <c r="AO454" s="4" cm="1">
        <f t="array" ref="AO454">IF(FALSE,"True," &amp; IF(_xlfn.XLOOKUP("Risky_Outbound",'Scoring_Config'!$A:$A,'Scoring_Config'!$D:$D,"Yes")="Yes",_xlfn.XLOOKUP("Risky_Outbound",'Scoring_Config'!$A:$A,'Scoring_Config'!$C:$C,10),0),"False,0")</f>
        <v>0</v>
      </c>
      <c r="AP454" s="5" t="s">
        <v>2595</v>
      </c>
      <c r="AQ454" s="5" cm="1">
        <f t="array" ref="AQ454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4" s="4" t="s">
        <v>2592</v>
      </c>
      <c r="AS454" s="4" t="s">
        <v>2592</v>
      </c>
      <c r="AT454" s="4" t="s">
        <v>2592</v>
      </c>
      <c r="AU454" s="5" cm="1">
        <f t="array" ref="AU454">IF(TRUE,"True," &amp; IF(_xlfn.XLOOKUP("Action_IsDenyOrDrop",'Scoring_Config'!$A:$A,'Scoring_Config'!$D:$D,"Yes")="Yes",_xlfn.XLOOKUP("Action_IsDenyOrDrop",'Scoring_Config'!$A:$A,'Scoring_Config'!$C:$C,0),0),"False,0")</f>
        <v>0</v>
      </c>
      <c r="AV454" s="4"/>
      <c r="AW454" s="4" cm="1">
        <f t="array" ref="AW454">IF(FALSE,"True," &amp; IF(_xlfn.XLOOKUP("Migrate_Insecure",'Scoring_Config'!$A:$A,'Scoring_Config'!$D:$D,"Yes")="Yes",_xlfn.XLOOKUP("Migrate_Insecure",'Scoring_Config'!$A:$A,'Scoring_Config'!$C:$C,15),0),"False,0")</f>
        <v>0</v>
      </c>
      <c r="AX454" s="4"/>
      <c r="AY454" s="4" cm="1">
        <f t="array" ref="AY454">IF(FALSE,"True," &amp; IF(_xlfn.XLOOKUP("Migrate_Other_Ports",'Scoring_Config'!$A:$A,'Scoring_Config'!$D:$D,"Yes")="Yes",_xlfn.XLOOKUP("Migrate_Other_Ports",'Scoring_Config'!$A:$A,'Scoring_Config'!$C:$C,5),0),"False,0")</f>
        <v>0</v>
      </c>
      <c r="AZ454" s="4" cm="1">
        <f t="array" ref="AZ454">IF(LEFT(AU454,4)="True",0,(IF(LEFT(AC454,4)="True",IF(_xlfn.XLOOKUP("Src_IsAny",'Scoring_Config'!$A:$A,'Scoring_Config'!$D:$D,"Yes")="Yes",_xlfn.XLOOKUP("Src_IsAny",'Scoring_Config'!$A:$A,'Scoring_Config'!$C:$C,25),0),0)+IF(LEFT(AD454,4)="True",IF(_xlfn.XLOOKUP("Src_CIDR_Le_16",'Scoring_Config'!$A:$A,'Scoring_Config'!$D:$D,"Yes")="Yes",_xlfn.XLOOKUP("Src_CIDR_Le_16",'Scoring_Config'!$A:$A,'Scoring_Config'!$C:$C,25),0),0)+IF(LEFT(AE454,4)="True",IF(_xlfn.XLOOKUP("Src_CIDR_17_22",'Scoring_Config'!$A:$A,'Scoring_Config'!$D:$D,"Yes")="Yes",_xlfn.XLOOKUP("Src_CIDR_17_22",'Scoring_Config'!$A:$A,'Scoring_Config'!$C:$C,15),0),0)+IF(LEFT(AF454,4)="True",IF(_xlfn.XLOOKUP("Dst_IsAny",'Scoring_Config'!$A:$A,'Scoring_Config'!$D:$D,"Yes")="Yes",_xlfn.XLOOKUP("Dst_IsAny",'Scoring_Config'!$A:$A,'Scoring_Config'!$C:$C,25),0),0)+IF(LEFT(AG454,4)="True",IF(_xlfn.XLOOKUP("Dst_CIDR_Le_16",'Scoring_Config'!$A:$A,'Scoring_Config'!$D:$D,"Yes")="Yes",_xlfn.XLOOKUP("Dst_CIDR_Le_16",'Scoring_Config'!$A:$A,'Scoring_Config'!$C:$C,25),0),0)+IF(LEFT(AH454,4)="True",IF(_xlfn.XLOOKUP("Dst_CIDR_17_22",'Scoring_Config'!$A:$A,'Scoring_Config'!$D:$D,"Yes")="Yes",_xlfn.XLOOKUP("Dst_CIDR_17_22",'Scoring_Config'!$A:$A,'Scoring_Config'!$C:$C,15),0),0)+IF(LEFT(AI454,4)="True",IF(_xlfn.XLOOKUP("SrcZone_IsAny",'Scoring_Config'!$A:$A,'Scoring_Config'!$D:$D,"Yes")="Yes",_xlfn.XLOOKUP("SrcZone_IsAny",'Scoring_Config'!$A:$A,'Scoring_Config'!$C:$C,5),0),0)+IF(LEFT(AJ454,4)="True",IF(_xlfn.XLOOKUP("DstZone_IsAny",'Scoring_Config'!$A:$A,'Scoring_Config'!$D:$D,"Yes")="Yes",_xlfn.XLOOKUP("DstZone_IsAny",'Scoring_Config'!$A:$A,'Scoring_Config'!$C:$C,5),0),0)+IF(LEFT(AK454,4)="True",IF(_xlfn.XLOOKUP("Service_Any_OR_RangeGt1000",'Scoring_Config'!$A:$A,'Scoring_Config'!$D:$D,"Yes")="Yes",_xlfn.XLOOKUP("Service_Any_OR_RangeGt1000",'Scoring_Config'!$A:$A,'Scoring_Config'!$C:$C,25),0),0)+IF(LEFT(AL454,4)="True",IF(_xlfn.XLOOKUP("App_Any_OR_RangeGt1000",'Scoring_Config'!$A:$A,'Scoring_Config'!$D:$D,"Yes")="Yes",_xlfn.XLOOKUP("App_Any_OR_RangeGt1000",'Scoring_Config'!$A:$A,'Scoring_Config'!$C:$C,25),0),0)+IF(LEFT(AM454,4)="True",IF(_xlfn.XLOOKUP("Service_Insecure_Match",'Scoring_Config'!$A:$A,'Scoring_Config'!$D:$D,"Yes")="Yes",_xlfn.XLOOKUP("Service_Insecure_Match",'Scoring_Config'!$A:$A,'Scoring_Config'!$C:$C,20),0),0)+IF(LEFT(AN454,4)="True",IF(_xlfn.XLOOKUP("Risky_Inbound",'Scoring_Config'!$A:$A,'Scoring_Config'!$D:$D,"Yes")="Yes",_xlfn.XLOOKUP("Risky_Inbound",'Scoring_Config'!$A:$A,'Scoring_Config'!$C:$C,20),0),0)+IF(LEFT(AO454,4)="True",IF(_xlfn.XLOOKUP("Risky_Outbound",'Scoring_Config'!$A:$A,'Scoring_Config'!$D:$D,"Yes")="Yes",_xlfn.XLOOKUP("Risky_Outbound",'Scoring_Config'!$A:$A,'Scoring_Config'!$C:$C,10),0),0)+IF(LEFT(AW454,4)="True",IF(_xlfn.XLOOKUP("Migrate_Insecure",'Scoring_Config'!$A:$A,'Scoring_Config'!$D:$D,"Yes")="Yes",_xlfn.XLOOKUP("Migrate_Insecure",'Scoring_Config'!$A:$A,'Scoring_Config'!$C:$C,15),0),0)+IF(LEFT(AY454,4)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454,FIND(",",AP454)+1,100)),0)+IF(LEFT(AQ454,4)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454,FIND(",",AR454)+1,100)),0)+IF(_xlfn.XLOOKUP("Profile_Scoring",'Scoring_Config'!$A:$A,'Scoring_Config'!$D:$D,"Yes")="Yes",VALUE(MID(AS454,FIND(",",AS454)+1,100)),0)+IF(_xlfn.XLOOKUP("Options_Scoring",'Scoring_Config'!$A:$A,'Scoring_Config'!$D:$D,"Yes")="Yes",VALUE(MID(AT454,FIND(",",AT454)+1,100)),0)))</f>
        <v>0</v>
      </c>
    </row>
    <row r="455" spans="1:52">
      <c r="A455" s="3" t="s">
        <v>55</v>
      </c>
      <c r="B455" s="3" t="s">
        <v>135</v>
      </c>
      <c r="C455" s="3" t="s">
        <v>332</v>
      </c>
      <c r="D455" s="3"/>
      <c r="E455" s="3" t="s">
        <v>359</v>
      </c>
      <c r="F455" s="3" t="s">
        <v>363</v>
      </c>
      <c r="G455" s="3" t="s">
        <v>535</v>
      </c>
      <c r="H455" s="3" t="s">
        <v>535</v>
      </c>
      <c r="I455" s="3" t="s">
        <v>624</v>
      </c>
      <c r="J455" s="3" t="s">
        <v>364</v>
      </c>
      <c r="K455" s="3" t="s">
        <v>732</v>
      </c>
      <c r="L455" s="3" t="s">
        <v>732</v>
      </c>
      <c r="M455" s="3" t="s">
        <v>365</v>
      </c>
      <c r="N455" s="3" t="s">
        <v>365</v>
      </c>
      <c r="O455" s="4" t="s">
        <v>831</v>
      </c>
      <c r="P455" s="3" t="s">
        <v>892</v>
      </c>
      <c r="Q455" s="3" t="s">
        <v>905</v>
      </c>
      <c r="R455" s="3" t="s">
        <v>909</v>
      </c>
      <c r="S455" s="3" t="s">
        <v>913</v>
      </c>
      <c r="T455" s="3" t="s">
        <v>1132</v>
      </c>
      <c r="U455" s="3" t="s">
        <v>1157</v>
      </c>
      <c r="V455" s="3" t="s">
        <v>1387</v>
      </c>
      <c r="W455" s="3" t="s">
        <v>1507</v>
      </c>
      <c r="X455" s="3" t="s">
        <v>2059</v>
      </c>
      <c r="Y455" s="3" t="s">
        <v>2528</v>
      </c>
      <c r="Z455" s="3"/>
      <c r="AA455" s="3"/>
      <c r="AB455" s="3"/>
      <c r="AC455" s="4" cm="1">
        <f t="array" ref="AC455">IF(FALSE,"True," &amp; IF(_xlfn.XLOOKUP("Src_IsAny",'Scoring_Config'!$A:$A,'Scoring_Config'!$D:$D,"Yes")="Yes",_xlfn.XLOOKUP("Src_IsAny",'Scoring_Config'!$A:$A,'Scoring_Config'!$C:$C,25),0),"False,0")</f>
        <v>0</v>
      </c>
      <c r="AD455" s="5" cm="1">
        <f t="array" ref="AD455">IF(TRUE,"True," &amp; IF(_xlfn.XLOOKUP("Src_CIDR_Le_16",'Scoring_Config'!$A:$A,'Scoring_Config'!$D:$D,"Yes")="Yes",_xlfn.XLOOKUP("Src_CIDR_Le_16",'Scoring_Config'!$A:$A,'Scoring_Config'!$C:$C,25),0),"False,0")</f>
        <v>0</v>
      </c>
      <c r="AE455" s="4" cm="1">
        <f t="array" ref="AE455">IF(FALSE,"True," &amp; IF(_xlfn.XLOOKUP("Src_CIDR_17_22",'Scoring_Config'!$A:$A,'Scoring_Config'!$D:$D,"Yes")="Yes",_xlfn.XLOOKUP("Src_CIDR_17_22",'Scoring_Config'!$A:$A,'Scoring_Config'!$C:$C,15),0),"False,0")</f>
        <v>0</v>
      </c>
      <c r="AF455" s="4" cm="1">
        <f t="array" ref="AF455">IF(FALSE,"True," &amp; IF(_xlfn.XLOOKUP("Dst_IsAny",'Scoring_Config'!$A:$A,'Scoring_Config'!$D:$D,"Yes")="Yes",_xlfn.XLOOKUP("Dst_IsAny",'Scoring_Config'!$A:$A,'Scoring_Config'!$C:$C,25),0),"False,0")</f>
        <v>0</v>
      </c>
      <c r="AG455" s="4" cm="1">
        <f t="array" ref="AG455">IF(FALSE,"True," &amp; IF(_xlfn.XLOOKUP("Dst_CIDR_Le_16",'Scoring_Config'!$A:$A,'Scoring_Config'!$D:$D,"Yes")="Yes",_xlfn.XLOOKUP("Dst_CIDR_Le_16",'Scoring_Config'!$A:$A,'Scoring_Config'!$C:$C,25),0),"False,0")</f>
        <v>0</v>
      </c>
      <c r="AH455" s="5" cm="1">
        <f t="array" ref="AH455">IF(TRUE,"True," &amp; IF(_xlfn.XLOOKUP("Dst_CIDR_17_22",'Scoring_Config'!$A:$A,'Scoring_Config'!$D:$D,"Yes")="Yes",_xlfn.XLOOKUP("Dst_CIDR_17_22",'Scoring_Config'!$A:$A,'Scoring_Config'!$C:$C,15),0),"False,0")</f>
        <v>0</v>
      </c>
      <c r="AI455" s="4" cm="1">
        <f t="array" ref="AI455">IF(FALSE,"True," &amp; IF(_xlfn.XLOOKUP("SrcZone_IsAny",'Scoring_Config'!$A:$A,'Scoring_Config'!$D:$D,"Yes")="Yes",_xlfn.XLOOKUP("SrcZone_IsAny",'Scoring_Config'!$A:$A,'Scoring_Config'!$C:$C,5),0),"False,0")</f>
        <v>0</v>
      </c>
      <c r="AJ455" s="4" cm="1">
        <f t="array" ref="AJ455">IF(FALSE,"True," &amp; IF(_xlfn.XLOOKUP("DstZone_IsAny",'Scoring_Config'!$A:$A,'Scoring_Config'!$D:$D,"Yes")="Yes",_xlfn.XLOOKUP("DstZone_IsAny",'Scoring_Config'!$A:$A,'Scoring_Config'!$C:$C,5),0),"False,0")</f>
        <v>0</v>
      </c>
      <c r="AK455" s="4" cm="1">
        <f t="array" ref="AK45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5" s="5" cm="1">
        <f t="array" ref="AL455">IF(TRUE,"True," &amp; IF(_xlfn.XLOOKUP("App_Any_OR_RangeGt1000",'Scoring_Config'!$A:$A,'Scoring_Config'!$D:$D,"Yes")="Yes",_xlfn.XLOOKUP("App_Any_OR_RangeGt1000",'Scoring_Config'!$A:$A,'Scoring_Config'!$C:$C,25),0),"False,0")</f>
        <v>0</v>
      </c>
      <c r="AM455" s="5" cm="1">
        <f t="array" ref="AM455">IF(TRUE,"True," &amp; IF(_xlfn.XLOOKUP("Service_Insecure_Match",'Scoring_Config'!$A:$A,'Scoring_Config'!$D:$D,"Yes")="Yes",_xlfn.XLOOKUP("Service_Insecure_Match",'Scoring_Config'!$A:$A,'Scoring_Config'!$C:$C,20),0),"False,0")</f>
        <v>0</v>
      </c>
      <c r="AN455" s="4" cm="1">
        <f t="array" ref="AN455">IF(FALSE,"True," &amp; IF(_xlfn.XLOOKUP("Risky_Inbound",'Scoring_Config'!$A:$A,'Scoring_Config'!$D:$D,"Yes")="Yes",_xlfn.XLOOKUP("Risky_Inbound",'Scoring_Config'!$A:$A,'Scoring_Config'!$C:$C,20),0),"False,0")</f>
        <v>0</v>
      </c>
      <c r="AO455" s="4" cm="1">
        <f t="array" ref="AO455">IF(FALSE,"True," &amp; IF(_xlfn.XLOOKUP("Risky_Outbound",'Scoring_Config'!$A:$A,'Scoring_Config'!$D:$D,"Yes")="Yes",_xlfn.XLOOKUP("Risky_Outbound",'Scoring_Config'!$A:$A,'Scoring_Config'!$C:$C,10),0),"False,0")</f>
        <v>0</v>
      </c>
      <c r="AP455" s="5" t="s">
        <v>2595</v>
      </c>
      <c r="AQ455" s="5" cm="1">
        <f t="array" ref="AQ455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5" s="5" t="s">
        <v>2598</v>
      </c>
      <c r="AS455" s="4" t="s">
        <v>2592</v>
      </c>
      <c r="AT455" s="4" t="s">
        <v>2592</v>
      </c>
      <c r="AU455" s="4" cm="1">
        <f t="array" ref="AU455">IF(FALSE,"True," &amp; IF(_xlfn.XLOOKUP("Action_IsDenyOrDrop",'Scoring_Config'!$A:$A,'Scoring_Config'!$D:$D,"Yes")="Yes",_xlfn.XLOOKUP("Action_IsDenyOrDrop",'Scoring_Config'!$A:$A,'Scoring_Config'!$C:$C,0),0),"False,0")</f>
        <v>0</v>
      </c>
      <c r="AV455" s="4"/>
      <c r="AW455" s="4" cm="1">
        <f t="array" ref="AW455">IF(FALSE,"True," &amp; IF(_xlfn.XLOOKUP("Migrate_Insecure",'Scoring_Config'!$A:$A,'Scoring_Config'!$D:$D,"Yes")="Yes",_xlfn.XLOOKUP("Migrate_Insecure",'Scoring_Config'!$A:$A,'Scoring_Config'!$C:$C,15),0),"False,0")</f>
        <v>0</v>
      </c>
      <c r="AX455" s="4"/>
      <c r="AY455" s="4" cm="1">
        <f t="array" ref="AY455">IF(FALSE,"True," &amp; IF(_xlfn.XLOOKUP("Migrate_Other_Ports",'Scoring_Config'!$A:$A,'Scoring_Config'!$D:$D,"Yes")="Yes",_xlfn.XLOOKUP("Migrate_Other_Ports",'Scoring_Config'!$A:$A,'Scoring_Config'!$C:$C,5),0),"False,0")</f>
        <v>0</v>
      </c>
      <c r="AZ455" s="4" cm="1">
        <f t="array" ref="AZ455">IF(LEFT(AU455,4)="True",0,(IF(LEFT(AC455,4)="True",IF(_xlfn.XLOOKUP("Src_IsAny",'Scoring_Config'!$A:$A,'Scoring_Config'!$D:$D,"Yes")="Yes",_xlfn.XLOOKUP("Src_IsAny",'Scoring_Config'!$A:$A,'Scoring_Config'!$C:$C,25),0),0)+IF(LEFT(AD455,4)="True",IF(_xlfn.XLOOKUP("Src_CIDR_Le_16",'Scoring_Config'!$A:$A,'Scoring_Config'!$D:$D,"Yes")="Yes",_xlfn.XLOOKUP("Src_CIDR_Le_16",'Scoring_Config'!$A:$A,'Scoring_Config'!$C:$C,25),0),0)+IF(LEFT(AE455,4)="True",IF(_xlfn.XLOOKUP("Src_CIDR_17_22",'Scoring_Config'!$A:$A,'Scoring_Config'!$D:$D,"Yes")="Yes",_xlfn.XLOOKUP("Src_CIDR_17_22",'Scoring_Config'!$A:$A,'Scoring_Config'!$C:$C,15),0),0)+IF(LEFT(AF455,4)="True",IF(_xlfn.XLOOKUP("Dst_IsAny",'Scoring_Config'!$A:$A,'Scoring_Config'!$D:$D,"Yes")="Yes",_xlfn.XLOOKUP("Dst_IsAny",'Scoring_Config'!$A:$A,'Scoring_Config'!$C:$C,25),0),0)+IF(LEFT(AG455,4)="True",IF(_xlfn.XLOOKUP("Dst_CIDR_Le_16",'Scoring_Config'!$A:$A,'Scoring_Config'!$D:$D,"Yes")="Yes",_xlfn.XLOOKUP("Dst_CIDR_Le_16",'Scoring_Config'!$A:$A,'Scoring_Config'!$C:$C,25),0),0)+IF(LEFT(AH455,4)="True",IF(_xlfn.XLOOKUP("Dst_CIDR_17_22",'Scoring_Config'!$A:$A,'Scoring_Config'!$D:$D,"Yes")="Yes",_xlfn.XLOOKUP("Dst_CIDR_17_22",'Scoring_Config'!$A:$A,'Scoring_Config'!$C:$C,15),0),0)+IF(LEFT(AI455,4)="True",IF(_xlfn.XLOOKUP("SrcZone_IsAny",'Scoring_Config'!$A:$A,'Scoring_Config'!$D:$D,"Yes")="Yes",_xlfn.XLOOKUP("SrcZone_IsAny",'Scoring_Config'!$A:$A,'Scoring_Config'!$C:$C,5),0),0)+IF(LEFT(AJ455,4)="True",IF(_xlfn.XLOOKUP("DstZone_IsAny",'Scoring_Config'!$A:$A,'Scoring_Config'!$D:$D,"Yes")="Yes",_xlfn.XLOOKUP("DstZone_IsAny",'Scoring_Config'!$A:$A,'Scoring_Config'!$C:$C,5),0),0)+IF(LEFT(AK455,4)="True",IF(_xlfn.XLOOKUP("Service_Any_OR_RangeGt1000",'Scoring_Config'!$A:$A,'Scoring_Config'!$D:$D,"Yes")="Yes",_xlfn.XLOOKUP("Service_Any_OR_RangeGt1000",'Scoring_Config'!$A:$A,'Scoring_Config'!$C:$C,25),0),0)+IF(LEFT(AL455,4)="True",IF(_xlfn.XLOOKUP("App_Any_OR_RangeGt1000",'Scoring_Config'!$A:$A,'Scoring_Config'!$D:$D,"Yes")="Yes",_xlfn.XLOOKUP("App_Any_OR_RangeGt1000",'Scoring_Config'!$A:$A,'Scoring_Config'!$C:$C,25),0),0)+IF(LEFT(AM455,4)="True",IF(_xlfn.XLOOKUP("Service_Insecure_Match",'Scoring_Config'!$A:$A,'Scoring_Config'!$D:$D,"Yes")="Yes",_xlfn.XLOOKUP("Service_Insecure_Match",'Scoring_Config'!$A:$A,'Scoring_Config'!$C:$C,20),0),0)+IF(LEFT(AN455,4)="True",IF(_xlfn.XLOOKUP("Risky_Inbound",'Scoring_Config'!$A:$A,'Scoring_Config'!$D:$D,"Yes")="Yes",_xlfn.XLOOKUP("Risky_Inbound",'Scoring_Config'!$A:$A,'Scoring_Config'!$C:$C,20),0),0)+IF(LEFT(AO455,4)="True",IF(_xlfn.XLOOKUP("Risky_Outbound",'Scoring_Config'!$A:$A,'Scoring_Config'!$D:$D,"Yes")="Yes",_xlfn.XLOOKUP("Risky_Outbound",'Scoring_Config'!$A:$A,'Scoring_Config'!$C:$C,10),0),0)+IF(LEFT(AW455,4)="True",IF(_xlfn.XLOOKUP("Migrate_Insecure",'Scoring_Config'!$A:$A,'Scoring_Config'!$D:$D,"Yes")="Yes",_xlfn.XLOOKUP("Migrate_Insecure",'Scoring_Config'!$A:$A,'Scoring_Config'!$C:$C,15),0),0)+IF(LEFT(AY455,4)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455,FIND(",",AP455)+1,100)),0)+IF(LEFT(AQ455,4)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455,FIND(",",AR455)+1,100)),0)+IF(_xlfn.XLOOKUP("Profile_Scoring",'Scoring_Config'!$A:$A,'Scoring_Config'!$D:$D,"Yes")="Yes",VALUE(MID(AS455,FIND(",",AS455)+1,100)),0)+IF(_xlfn.XLOOKUP("Options_Scoring",'Scoring_Config'!$A:$A,'Scoring_Config'!$D:$D,"Yes")="Yes",VALUE(MID(AT455,FIND(",",AT455)+1,100)),0)))</f>
        <v>0</v>
      </c>
    </row>
    <row r="456" spans="1:52">
      <c r="A456" s="3" t="s">
        <v>55</v>
      </c>
      <c r="B456" s="3" t="s">
        <v>218</v>
      </c>
      <c r="C456" s="3" t="s">
        <v>332</v>
      </c>
      <c r="D456" s="3"/>
      <c r="E456" s="3" t="s">
        <v>359</v>
      </c>
      <c r="F456" s="3" t="s">
        <v>363</v>
      </c>
      <c r="G456" s="3" t="s">
        <v>519</v>
      </c>
      <c r="H456" s="3" t="s">
        <v>611</v>
      </c>
      <c r="I456" s="3" t="s">
        <v>624</v>
      </c>
      <c r="J456" s="3" t="s">
        <v>363</v>
      </c>
      <c r="K456" s="3" t="s">
        <v>733</v>
      </c>
      <c r="L456" s="3" t="s">
        <v>733</v>
      </c>
      <c r="M456" s="3" t="s">
        <v>365</v>
      </c>
      <c r="N456" s="3" t="s">
        <v>365</v>
      </c>
      <c r="O456" s="4" t="s">
        <v>861</v>
      </c>
      <c r="P456" s="3" t="s">
        <v>874</v>
      </c>
      <c r="Q456" s="3" t="s">
        <v>905</v>
      </c>
      <c r="R456" s="3" t="s">
        <v>910</v>
      </c>
      <c r="S456" s="3" t="s">
        <v>914</v>
      </c>
      <c r="T456" s="3" t="s">
        <v>1133</v>
      </c>
      <c r="U456" s="3" t="s">
        <v>1157</v>
      </c>
      <c r="V456" s="3" t="s">
        <v>772</v>
      </c>
      <c r="W456" s="3" t="s">
        <v>1394</v>
      </c>
      <c r="X456" s="3" t="s">
        <v>2060</v>
      </c>
      <c r="Y456" s="3" t="s">
        <v>2529</v>
      </c>
      <c r="Z456" s="3"/>
      <c r="AA456" s="3"/>
      <c r="AB456" s="3"/>
      <c r="AC456" s="4" cm="1">
        <f t="array" ref="AC456">IF(FALSE,"True," &amp; IF(_xlfn.XLOOKUP("Src_IsAny",'Scoring_Config'!$A:$A,'Scoring_Config'!$D:$D,"Yes")="Yes",_xlfn.XLOOKUP("Src_IsAny",'Scoring_Config'!$A:$A,'Scoring_Config'!$C:$C,25),0),"False,0")</f>
        <v>0</v>
      </c>
      <c r="AD456" s="4" cm="1">
        <f t="array" ref="AD456">IF(FALSE,"True," &amp; IF(_xlfn.XLOOKUP("Src_CIDR_Le_16",'Scoring_Config'!$A:$A,'Scoring_Config'!$D:$D,"Yes")="Yes",_xlfn.XLOOKUP("Src_CIDR_Le_16",'Scoring_Config'!$A:$A,'Scoring_Config'!$C:$C,25),0),"False,0")</f>
        <v>0</v>
      </c>
      <c r="AE456" s="4" cm="1">
        <f t="array" ref="AE456">IF(FALSE,"True," &amp; IF(_xlfn.XLOOKUP("Src_CIDR_17_22",'Scoring_Config'!$A:$A,'Scoring_Config'!$D:$D,"Yes")="Yes",_xlfn.XLOOKUP("Src_CIDR_17_22",'Scoring_Config'!$A:$A,'Scoring_Config'!$C:$C,15),0),"False,0")</f>
        <v>0</v>
      </c>
      <c r="AF456" s="4" cm="1">
        <f t="array" ref="AF456">IF(FALSE,"True," &amp; IF(_xlfn.XLOOKUP("Dst_IsAny",'Scoring_Config'!$A:$A,'Scoring_Config'!$D:$D,"Yes")="Yes",_xlfn.XLOOKUP("Dst_IsAny",'Scoring_Config'!$A:$A,'Scoring_Config'!$C:$C,25),0),"False,0")</f>
        <v>0</v>
      </c>
      <c r="AG456" s="4" cm="1">
        <f t="array" ref="AG456">IF(FALSE,"True," &amp; IF(_xlfn.XLOOKUP("Dst_CIDR_Le_16",'Scoring_Config'!$A:$A,'Scoring_Config'!$D:$D,"Yes")="Yes",_xlfn.XLOOKUP("Dst_CIDR_Le_16",'Scoring_Config'!$A:$A,'Scoring_Config'!$C:$C,25),0),"False,0")</f>
        <v>0</v>
      </c>
      <c r="AH456" s="5" cm="1">
        <f t="array" ref="AH456">IF(TRUE,"True," &amp; IF(_xlfn.XLOOKUP("Dst_CIDR_17_22",'Scoring_Config'!$A:$A,'Scoring_Config'!$D:$D,"Yes")="Yes",_xlfn.XLOOKUP("Dst_CIDR_17_22",'Scoring_Config'!$A:$A,'Scoring_Config'!$C:$C,15),0),"False,0")</f>
        <v>0</v>
      </c>
      <c r="AI456" s="4" cm="1">
        <f t="array" ref="AI456">IF(FALSE,"True," &amp; IF(_xlfn.XLOOKUP("SrcZone_IsAny",'Scoring_Config'!$A:$A,'Scoring_Config'!$D:$D,"Yes")="Yes",_xlfn.XLOOKUP("SrcZone_IsAny",'Scoring_Config'!$A:$A,'Scoring_Config'!$C:$C,5),0),"False,0")</f>
        <v>0</v>
      </c>
      <c r="AJ456" s="4" cm="1">
        <f t="array" ref="AJ456">IF(FALSE,"True," &amp; IF(_xlfn.XLOOKUP("DstZone_IsAny",'Scoring_Config'!$A:$A,'Scoring_Config'!$D:$D,"Yes")="Yes",_xlfn.XLOOKUP("DstZone_IsAny",'Scoring_Config'!$A:$A,'Scoring_Config'!$C:$C,5),0),"False,0")</f>
        <v>0</v>
      </c>
      <c r="AK456" s="4" cm="1">
        <f t="array" ref="AK45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6" s="5" cm="1">
        <f t="array" ref="AL456">IF(TRUE,"True," &amp; IF(_xlfn.XLOOKUP("App_Any_OR_RangeGt1000",'Scoring_Config'!$A:$A,'Scoring_Config'!$D:$D,"Yes")="Yes",_xlfn.XLOOKUP("App_Any_OR_RangeGt1000",'Scoring_Config'!$A:$A,'Scoring_Config'!$C:$C,25),0),"False,0")</f>
        <v>0</v>
      </c>
      <c r="AM456" s="5" cm="1">
        <f t="array" ref="AM456">IF(TRUE,"True," &amp; IF(_xlfn.XLOOKUP("Service_Insecure_Match",'Scoring_Config'!$A:$A,'Scoring_Config'!$D:$D,"Yes")="Yes",_xlfn.XLOOKUP("Service_Insecure_Match",'Scoring_Config'!$A:$A,'Scoring_Config'!$C:$C,20),0),"False,0")</f>
        <v>0</v>
      </c>
      <c r="AN456" s="4" cm="1">
        <f t="array" ref="AN456">IF(FALSE,"True," &amp; IF(_xlfn.XLOOKUP("Risky_Inbound",'Scoring_Config'!$A:$A,'Scoring_Config'!$D:$D,"Yes")="Yes",_xlfn.XLOOKUP("Risky_Inbound",'Scoring_Config'!$A:$A,'Scoring_Config'!$C:$C,20),0),"False,0")</f>
        <v>0</v>
      </c>
      <c r="AO456" s="4" cm="1">
        <f t="array" ref="AO456">IF(FALSE,"True," &amp; IF(_xlfn.XLOOKUP("Risky_Outbound",'Scoring_Config'!$A:$A,'Scoring_Config'!$D:$D,"Yes")="Yes",_xlfn.XLOOKUP("Risky_Outbound",'Scoring_Config'!$A:$A,'Scoring_Config'!$C:$C,10),0),"False,0")</f>
        <v>0</v>
      </c>
      <c r="AP456" s="5" t="s">
        <v>2595</v>
      </c>
      <c r="AQ456" s="5" cm="1">
        <f t="array" ref="AQ45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6" s="5" t="s">
        <v>2598</v>
      </c>
      <c r="AS456" s="4" t="s">
        <v>2592</v>
      </c>
      <c r="AT456" s="4" t="s">
        <v>2592</v>
      </c>
      <c r="AU456" s="4" cm="1">
        <f t="array" ref="AU456">IF(FALSE,"True," &amp; IF(_xlfn.XLOOKUP("Action_IsDenyOrDrop",'Scoring_Config'!$A:$A,'Scoring_Config'!$D:$D,"Yes")="Yes",_xlfn.XLOOKUP("Action_IsDenyOrDrop",'Scoring_Config'!$A:$A,'Scoring_Config'!$C:$C,0),0),"False,0")</f>
        <v>0</v>
      </c>
      <c r="AV456" s="4"/>
      <c r="AW456" s="4" cm="1">
        <f t="array" ref="AW456">IF(FALSE,"True," &amp; IF(_xlfn.XLOOKUP("Migrate_Insecure",'Scoring_Config'!$A:$A,'Scoring_Config'!$D:$D,"Yes")="Yes",_xlfn.XLOOKUP("Migrate_Insecure",'Scoring_Config'!$A:$A,'Scoring_Config'!$C:$C,15),0),"False,0")</f>
        <v>0</v>
      </c>
      <c r="AX456" s="4"/>
      <c r="AY456" s="4" cm="1">
        <f t="array" ref="AY456">IF(FALSE,"True," &amp; IF(_xlfn.XLOOKUP("Migrate_Other_Ports",'Scoring_Config'!$A:$A,'Scoring_Config'!$D:$D,"Yes")="Yes",_xlfn.XLOOKUP("Migrate_Other_Ports",'Scoring_Config'!$A:$A,'Scoring_Config'!$C:$C,5),0),"False,0")</f>
        <v>0</v>
      </c>
      <c r="AZ456" s="4" cm="1">
        <f t="array" ref="AZ456">IF(LEFT(AU456,4)="True",0,(IF(LEFT(AC456,4)="True",IF(_xlfn.XLOOKUP("Src_IsAny",'Scoring_Config'!$A:$A,'Scoring_Config'!$D:$D,"Yes")="Yes",_xlfn.XLOOKUP("Src_IsAny",'Scoring_Config'!$A:$A,'Scoring_Config'!$C:$C,25),0),0)+IF(LEFT(AD456,4)="True",IF(_xlfn.XLOOKUP("Src_CIDR_Le_16",'Scoring_Config'!$A:$A,'Scoring_Config'!$D:$D,"Yes")="Yes",_xlfn.XLOOKUP("Src_CIDR_Le_16",'Scoring_Config'!$A:$A,'Scoring_Config'!$C:$C,25),0),0)+IF(LEFT(AE456,4)="True",IF(_xlfn.XLOOKUP("Src_CIDR_17_22",'Scoring_Config'!$A:$A,'Scoring_Config'!$D:$D,"Yes")="Yes",_xlfn.XLOOKUP("Src_CIDR_17_22",'Scoring_Config'!$A:$A,'Scoring_Config'!$C:$C,15),0),0)+IF(LEFT(AF456,4)="True",IF(_xlfn.XLOOKUP("Dst_IsAny",'Scoring_Config'!$A:$A,'Scoring_Config'!$D:$D,"Yes")="Yes",_xlfn.XLOOKUP("Dst_IsAny",'Scoring_Config'!$A:$A,'Scoring_Config'!$C:$C,25),0),0)+IF(LEFT(AG456,4)="True",IF(_xlfn.XLOOKUP("Dst_CIDR_Le_16",'Scoring_Config'!$A:$A,'Scoring_Config'!$D:$D,"Yes")="Yes",_xlfn.XLOOKUP("Dst_CIDR_Le_16",'Scoring_Config'!$A:$A,'Scoring_Config'!$C:$C,25),0),0)+IF(LEFT(AH456,4)="True",IF(_xlfn.XLOOKUP("Dst_CIDR_17_22",'Scoring_Config'!$A:$A,'Scoring_Config'!$D:$D,"Yes")="Yes",_xlfn.XLOOKUP("Dst_CIDR_17_22",'Scoring_Config'!$A:$A,'Scoring_Config'!$C:$C,15),0),0)+IF(LEFT(AI456,4)="True",IF(_xlfn.XLOOKUP("SrcZone_IsAny",'Scoring_Config'!$A:$A,'Scoring_Config'!$D:$D,"Yes")="Yes",_xlfn.XLOOKUP("SrcZone_IsAny",'Scoring_Config'!$A:$A,'Scoring_Config'!$C:$C,5),0),0)+IF(LEFT(AJ456,4)="True",IF(_xlfn.XLOOKUP("DstZone_IsAny",'Scoring_Config'!$A:$A,'Scoring_Config'!$D:$D,"Yes")="Yes",_xlfn.XLOOKUP("DstZone_IsAny",'Scoring_Config'!$A:$A,'Scoring_Config'!$C:$C,5),0),0)+IF(LEFT(AK456,4)="True",IF(_xlfn.XLOOKUP("Service_Any_OR_RangeGt1000",'Scoring_Config'!$A:$A,'Scoring_Config'!$D:$D,"Yes")="Yes",_xlfn.XLOOKUP("Service_Any_OR_RangeGt1000",'Scoring_Config'!$A:$A,'Scoring_Config'!$C:$C,25),0),0)+IF(LEFT(AL456,4)="True",IF(_xlfn.XLOOKUP("App_Any_OR_RangeGt1000",'Scoring_Config'!$A:$A,'Scoring_Config'!$D:$D,"Yes")="Yes",_xlfn.XLOOKUP("App_Any_OR_RangeGt1000",'Scoring_Config'!$A:$A,'Scoring_Config'!$C:$C,25),0),0)+IF(LEFT(AM456,4)="True",IF(_xlfn.XLOOKUP("Service_Insecure_Match",'Scoring_Config'!$A:$A,'Scoring_Config'!$D:$D,"Yes")="Yes",_xlfn.XLOOKUP("Service_Insecure_Match",'Scoring_Config'!$A:$A,'Scoring_Config'!$C:$C,20),0),0)+IF(LEFT(AN456,4)="True",IF(_xlfn.XLOOKUP("Risky_Inbound",'Scoring_Config'!$A:$A,'Scoring_Config'!$D:$D,"Yes")="Yes",_xlfn.XLOOKUP("Risky_Inbound",'Scoring_Config'!$A:$A,'Scoring_Config'!$C:$C,20),0),0)+IF(LEFT(AO456,4)="True",IF(_xlfn.XLOOKUP("Risky_Outbound",'Scoring_Config'!$A:$A,'Scoring_Config'!$D:$D,"Yes")="Yes",_xlfn.XLOOKUP("Risky_Outbound",'Scoring_Config'!$A:$A,'Scoring_Config'!$C:$C,10),0),0)+IF(LEFT(AW456,4)="True",IF(_xlfn.XLOOKUP("Migrate_Insecure",'Scoring_Config'!$A:$A,'Scoring_Config'!$D:$D,"Yes")="Yes",_xlfn.XLOOKUP("Migrate_Insecure",'Scoring_Config'!$A:$A,'Scoring_Config'!$C:$C,15),0),0)+IF(LEFT(AY456,4)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456,FIND(",",AP456)+1,100)),0)+IF(LEFT(AQ456,4)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456,FIND(",",AR456)+1,100)),0)+IF(_xlfn.XLOOKUP("Profile_Scoring",'Scoring_Config'!$A:$A,'Scoring_Config'!$D:$D,"Yes")="Yes",VALUE(MID(AS456,FIND(",",AS456)+1,100)),0)+IF(_xlfn.XLOOKUP("Options_Scoring",'Scoring_Config'!$A:$A,'Scoring_Config'!$D:$D,"Yes")="Yes",VALUE(MID(AT456,FIND(",",AT456)+1,100)),0)))</f>
        <v>0</v>
      </c>
    </row>
    <row r="457" spans="1:52">
      <c r="A457" s="3" t="s">
        <v>55</v>
      </c>
      <c r="B457" s="3" t="s">
        <v>319</v>
      </c>
      <c r="C457" s="3" t="s">
        <v>332</v>
      </c>
      <c r="D457" s="3"/>
      <c r="E457" s="3" t="s">
        <v>359</v>
      </c>
      <c r="F457" s="3" t="s">
        <v>361</v>
      </c>
      <c r="G457" s="3" t="s">
        <v>365</v>
      </c>
      <c r="H457" s="3" t="s">
        <v>365</v>
      </c>
      <c r="I457" s="3" t="s">
        <v>625</v>
      </c>
      <c r="J457" s="3" t="s">
        <v>364</v>
      </c>
      <c r="K457" s="3" t="s">
        <v>365</v>
      </c>
      <c r="L457" s="3" t="s">
        <v>365</v>
      </c>
      <c r="M457" s="3" t="s">
        <v>365</v>
      </c>
      <c r="N457" s="3" t="s">
        <v>365</v>
      </c>
      <c r="O457" s="4" t="s">
        <v>811</v>
      </c>
      <c r="P457" s="3" t="s">
        <v>872</v>
      </c>
      <c r="Q457" s="3" t="s">
        <v>905</v>
      </c>
      <c r="R457" s="3" t="s">
        <v>907</v>
      </c>
      <c r="S457" s="3" t="s">
        <v>912</v>
      </c>
      <c r="T457" s="3" t="s">
        <v>1134</v>
      </c>
      <c r="U457" s="3" t="s">
        <v>1378</v>
      </c>
      <c r="V457" s="3" t="s">
        <v>1386</v>
      </c>
      <c r="W457" s="3" t="s">
        <v>1489</v>
      </c>
      <c r="X457" s="3" t="s">
        <v>2061</v>
      </c>
      <c r="Y457" s="3" t="s">
        <v>2530</v>
      </c>
      <c r="Z457" s="3"/>
      <c r="AA457" s="3"/>
      <c r="AB457" s="3"/>
      <c r="AC457" s="5" cm="1">
        <f t="array" ref="AC457">IF(TRUE,"True," &amp; IF(_xlfn.XLOOKUP("Src_IsAny",'Scoring_Config'!$A:$A,'Scoring_Config'!$D:$D,"Yes")="Yes",_xlfn.XLOOKUP("Src_IsAny",'Scoring_Config'!$A:$A,'Scoring_Config'!$C:$C,25),0),"False,0")</f>
        <v>0</v>
      </c>
      <c r="AD457" s="4" cm="1">
        <f t="array" ref="AD457">IF(FALSE,"True," &amp; IF(_xlfn.XLOOKUP("Src_CIDR_Le_16",'Scoring_Config'!$A:$A,'Scoring_Config'!$D:$D,"Yes")="Yes",_xlfn.XLOOKUP("Src_CIDR_Le_16",'Scoring_Config'!$A:$A,'Scoring_Config'!$C:$C,25),0),"False,0")</f>
        <v>0</v>
      </c>
      <c r="AE457" s="4" cm="1">
        <f t="array" ref="AE457">IF(FALSE,"True," &amp; IF(_xlfn.XLOOKUP("Src_CIDR_17_22",'Scoring_Config'!$A:$A,'Scoring_Config'!$D:$D,"Yes")="Yes",_xlfn.XLOOKUP("Src_CIDR_17_22",'Scoring_Config'!$A:$A,'Scoring_Config'!$C:$C,15),0),"False,0")</f>
        <v>0</v>
      </c>
      <c r="AF457" s="5" cm="1">
        <f t="array" ref="AF457">IF(TRUE,"True," &amp; IF(_xlfn.XLOOKUP("Dst_IsAny",'Scoring_Config'!$A:$A,'Scoring_Config'!$D:$D,"Yes")="Yes",_xlfn.XLOOKUP("Dst_IsAny",'Scoring_Config'!$A:$A,'Scoring_Config'!$C:$C,25),0),"False,0")</f>
        <v>0</v>
      </c>
      <c r="AG457" s="4" cm="1">
        <f t="array" ref="AG457">IF(FALSE,"True," &amp; IF(_xlfn.XLOOKUP("Dst_CIDR_Le_16",'Scoring_Config'!$A:$A,'Scoring_Config'!$D:$D,"Yes")="Yes",_xlfn.XLOOKUP("Dst_CIDR_Le_16",'Scoring_Config'!$A:$A,'Scoring_Config'!$C:$C,25),0),"False,0")</f>
        <v>0</v>
      </c>
      <c r="AH457" s="4" cm="1">
        <f t="array" ref="AH457">IF(FALSE,"True," &amp; IF(_xlfn.XLOOKUP("Dst_CIDR_17_22",'Scoring_Config'!$A:$A,'Scoring_Config'!$D:$D,"Yes")="Yes",_xlfn.XLOOKUP("Dst_CIDR_17_22",'Scoring_Config'!$A:$A,'Scoring_Config'!$C:$C,15),0),"False,0")</f>
        <v>0</v>
      </c>
      <c r="AI457" s="4" cm="1">
        <f t="array" ref="AI457">IF(FALSE,"True," &amp; IF(_xlfn.XLOOKUP("SrcZone_IsAny",'Scoring_Config'!$A:$A,'Scoring_Config'!$D:$D,"Yes")="Yes",_xlfn.XLOOKUP("SrcZone_IsAny",'Scoring_Config'!$A:$A,'Scoring_Config'!$C:$C,5),0),"False,0")</f>
        <v>0</v>
      </c>
      <c r="AJ457" s="4" cm="1">
        <f t="array" ref="AJ457">IF(FALSE,"True," &amp; IF(_xlfn.XLOOKUP("DstZone_IsAny",'Scoring_Config'!$A:$A,'Scoring_Config'!$D:$D,"Yes")="Yes",_xlfn.XLOOKUP("DstZone_IsAny",'Scoring_Config'!$A:$A,'Scoring_Config'!$C:$C,5),0),"False,0")</f>
        <v>0</v>
      </c>
      <c r="AK457" s="4" cm="1">
        <f t="array" ref="AK45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7" s="5" cm="1">
        <f t="array" ref="AL457">IF(TRUE,"True," &amp; IF(_xlfn.XLOOKUP("App_Any_OR_RangeGt1000",'Scoring_Config'!$A:$A,'Scoring_Config'!$D:$D,"Yes")="Yes",_xlfn.XLOOKUP("App_Any_OR_RangeGt1000",'Scoring_Config'!$A:$A,'Scoring_Config'!$C:$C,25),0),"False,0")</f>
        <v>0</v>
      </c>
      <c r="AM457" s="5" cm="1">
        <f t="array" ref="AM457">IF(TRUE,"True," &amp; IF(_xlfn.XLOOKUP("Service_Insecure_Match",'Scoring_Config'!$A:$A,'Scoring_Config'!$D:$D,"Yes")="Yes",_xlfn.XLOOKUP("Service_Insecure_Match",'Scoring_Config'!$A:$A,'Scoring_Config'!$C:$C,20),0),"False,0")</f>
        <v>0</v>
      </c>
      <c r="AN457" s="4" cm="1">
        <f t="array" ref="AN457">IF(FALSE,"True," &amp; IF(_xlfn.XLOOKUP("Risky_Inbound",'Scoring_Config'!$A:$A,'Scoring_Config'!$D:$D,"Yes")="Yes",_xlfn.XLOOKUP("Risky_Inbound",'Scoring_Config'!$A:$A,'Scoring_Config'!$C:$C,20),0),"False,0")</f>
        <v>0</v>
      </c>
      <c r="AO457" s="4" cm="1">
        <f t="array" ref="AO457">IF(FALSE,"True," &amp; IF(_xlfn.XLOOKUP("Risky_Outbound",'Scoring_Config'!$A:$A,'Scoring_Config'!$D:$D,"Yes")="Yes",_xlfn.XLOOKUP("Risky_Outbound",'Scoring_Config'!$A:$A,'Scoring_Config'!$C:$C,10),0),"False,0")</f>
        <v>0</v>
      </c>
      <c r="AP457" s="5" t="s">
        <v>2595</v>
      </c>
      <c r="AQ457" s="4" cm="1">
        <f t="array" ref="AQ45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7" s="5" t="s">
        <v>2598</v>
      </c>
      <c r="AS457" s="5" t="s">
        <v>2595</v>
      </c>
      <c r="AT457" s="4" t="s">
        <v>2592</v>
      </c>
      <c r="AU457" s="4" cm="1">
        <f t="array" ref="AU457">IF(FALSE,"True," &amp; IF(_xlfn.XLOOKUP("Action_IsDenyOrDrop",'Scoring_Config'!$A:$A,'Scoring_Config'!$D:$D,"Yes")="Yes",_xlfn.XLOOKUP("Action_IsDenyOrDrop",'Scoring_Config'!$A:$A,'Scoring_Config'!$C:$C,0),0),"False,0")</f>
        <v>0</v>
      </c>
      <c r="AV457" s="4"/>
      <c r="AW457" s="4" cm="1">
        <f t="array" ref="AW457">IF(FALSE,"True," &amp; IF(_xlfn.XLOOKUP("Migrate_Insecure",'Scoring_Config'!$A:$A,'Scoring_Config'!$D:$D,"Yes")="Yes",_xlfn.XLOOKUP("Migrate_Insecure",'Scoring_Config'!$A:$A,'Scoring_Config'!$C:$C,15),0),"False,0")</f>
        <v>0</v>
      </c>
      <c r="AX457" s="4"/>
      <c r="AY457" s="4" cm="1">
        <f t="array" ref="AY457">IF(FALSE,"True," &amp; IF(_xlfn.XLOOKUP("Migrate_Other_Ports",'Scoring_Config'!$A:$A,'Scoring_Config'!$D:$D,"Yes")="Yes",_xlfn.XLOOKUP("Migrate_Other_Ports",'Scoring_Config'!$A:$A,'Scoring_Config'!$C:$C,5),0),"False,0")</f>
        <v>0</v>
      </c>
      <c r="AZ457" s="4" cm="1">
        <f t="array" ref="AZ457">IF(LEFT(AU457,4)="True",0,(IF(LEFT(AC457,4)="True",IF(_xlfn.XLOOKUP("Src_IsAny",'Scoring_Config'!$A:$A,'Scoring_Config'!$D:$D,"Yes")="Yes",_xlfn.XLOOKUP("Src_IsAny",'Scoring_Config'!$A:$A,'Scoring_Config'!$C:$C,25),0),0)+IF(LEFT(AD457,4)="True",IF(_xlfn.XLOOKUP("Src_CIDR_Le_16",'Scoring_Config'!$A:$A,'Scoring_Config'!$D:$D,"Yes")="Yes",_xlfn.XLOOKUP("Src_CIDR_Le_16",'Scoring_Config'!$A:$A,'Scoring_Config'!$C:$C,25),0),0)+IF(LEFT(AE457,4)="True",IF(_xlfn.XLOOKUP("Src_CIDR_17_22",'Scoring_Config'!$A:$A,'Scoring_Config'!$D:$D,"Yes")="Yes",_xlfn.XLOOKUP("Src_CIDR_17_22",'Scoring_Config'!$A:$A,'Scoring_Config'!$C:$C,15),0),0)+IF(LEFT(AF457,4)="True",IF(_xlfn.XLOOKUP("Dst_IsAny",'Scoring_Config'!$A:$A,'Scoring_Config'!$D:$D,"Yes")="Yes",_xlfn.XLOOKUP("Dst_IsAny",'Scoring_Config'!$A:$A,'Scoring_Config'!$C:$C,25),0),0)+IF(LEFT(AG457,4)="True",IF(_xlfn.XLOOKUP("Dst_CIDR_Le_16",'Scoring_Config'!$A:$A,'Scoring_Config'!$D:$D,"Yes")="Yes",_xlfn.XLOOKUP("Dst_CIDR_Le_16",'Scoring_Config'!$A:$A,'Scoring_Config'!$C:$C,25),0),0)+IF(LEFT(AH457,4)="True",IF(_xlfn.XLOOKUP("Dst_CIDR_17_22",'Scoring_Config'!$A:$A,'Scoring_Config'!$D:$D,"Yes")="Yes",_xlfn.XLOOKUP("Dst_CIDR_17_22",'Scoring_Config'!$A:$A,'Scoring_Config'!$C:$C,15),0),0)+IF(LEFT(AI457,4)="True",IF(_xlfn.XLOOKUP("SrcZone_IsAny",'Scoring_Config'!$A:$A,'Scoring_Config'!$D:$D,"Yes")="Yes",_xlfn.XLOOKUP("SrcZone_IsAny",'Scoring_Config'!$A:$A,'Scoring_Config'!$C:$C,5),0),0)+IF(LEFT(AJ457,4)="True",IF(_xlfn.XLOOKUP("DstZone_IsAny",'Scoring_Config'!$A:$A,'Scoring_Config'!$D:$D,"Yes")="Yes",_xlfn.XLOOKUP("DstZone_IsAny",'Scoring_Config'!$A:$A,'Scoring_Config'!$C:$C,5),0),0)+IF(LEFT(AK457,4)="True",IF(_xlfn.XLOOKUP("Service_Any_OR_RangeGt1000",'Scoring_Config'!$A:$A,'Scoring_Config'!$D:$D,"Yes")="Yes",_xlfn.XLOOKUP("Service_Any_OR_RangeGt1000",'Scoring_Config'!$A:$A,'Scoring_Config'!$C:$C,25),0),0)+IF(LEFT(AL457,4)="True",IF(_xlfn.XLOOKUP("App_Any_OR_RangeGt1000",'Scoring_Config'!$A:$A,'Scoring_Config'!$D:$D,"Yes")="Yes",_xlfn.XLOOKUP("App_Any_OR_RangeGt1000",'Scoring_Config'!$A:$A,'Scoring_Config'!$C:$C,25),0),0)+IF(LEFT(AM457,4)="True",IF(_xlfn.XLOOKUP("Service_Insecure_Match",'Scoring_Config'!$A:$A,'Scoring_Config'!$D:$D,"Yes")="Yes",_xlfn.XLOOKUP("Service_Insecure_Match",'Scoring_Config'!$A:$A,'Scoring_Config'!$C:$C,20),0),0)+IF(LEFT(AN457,4)="True",IF(_xlfn.XLOOKUP("Risky_Inbound",'Scoring_Config'!$A:$A,'Scoring_Config'!$D:$D,"Yes")="Yes",_xlfn.XLOOKUP("Risky_Inbound",'Scoring_Config'!$A:$A,'Scoring_Config'!$C:$C,20),0),0)+IF(LEFT(AO457,4)="True",IF(_xlfn.XLOOKUP("Risky_Outbound",'Scoring_Config'!$A:$A,'Scoring_Config'!$D:$D,"Yes")="Yes",_xlfn.XLOOKUP("Risky_Outbound",'Scoring_Config'!$A:$A,'Scoring_Config'!$C:$C,10),0),0)+IF(LEFT(AW457,4)="True",IF(_xlfn.XLOOKUP("Migrate_Insecure",'Scoring_Config'!$A:$A,'Scoring_Config'!$D:$D,"Yes")="Yes",_xlfn.XLOOKUP("Migrate_Insecure",'Scoring_Config'!$A:$A,'Scoring_Config'!$C:$C,15),0),0)+IF(LEFT(AY457,4)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457,FIND(",",AP457)+1,100)),0)+IF(LEFT(AQ457,4)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457,FIND(",",AR457)+1,100)),0)+IF(_xlfn.XLOOKUP("Profile_Scoring",'Scoring_Config'!$A:$A,'Scoring_Config'!$D:$D,"Yes")="Yes",VALUE(MID(AS457,FIND(",",AS457)+1,100)),0)+IF(_xlfn.XLOOKUP("Options_Scoring",'Scoring_Config'!$A:$A,'Scoring_Config'!$D:$D,"Yes")="Yes",VALUE(MID(AT457,FIND(",",AT457)+1,100)),0)))</f>
        <v>0</v>
      </c>
    </row>
    <row r="458" spans="1:52">
      <c r="A458" s="3" t="s">
        <v>55</v>
      </c>
      <c r="B458" s="3" t="s">
        <v>86</v>
      </c>
      <c r="C458" s="3" t="s">
        <v>332</v>
      </c>
      <c r="D458" s="3"/>
      <c r="E458" s="3" t="s">
        <v>359</v>
      </c>
      <c r="F458" s="3" t="s">
        <v>364</v>
      </c>
      <c r="G458" s="3" t="s">
        <v>536</v>
      </c>
      <c r="H458" s="3" t="s">
        <v>536</v>
      </c>
      <c r="I458" s="3" t="s">
        <v>624</v>
      </c>
      <c r="J458" s="3" t="s">
        <v>361</v>
      </c>
      <c r="K458" s="3" t="s">
        <v>365</v>
      </c>
      <c r="L458" s="3" t="s">
        <v>365</v>
      </c>
      <c r="M458" s="3" t="s">
        <v>770</v>
      </c>
      <c r="N458" s="3" t="s">
        <v>770</v>
      </c>
      <c r="O458" s="4" t="s">
        <v>827</v>
      </c>
      <c r="P458" s="3" t="s">
        <v>888</v>
      </c>
      <c r="Q458" s="3" t="s">
        <v>905</v>
      </c>
      <c r="R458" s="3" t="s">
        <v>907</v>
      </c>
      <c r="S458" s="3" t="s">
        <v>912</v>
      </c>
      <c r="T458" s="3" t="s">
        <v>1135</v>
      </c>
      <c r="U458" s="3" t="s">
        <v>1379</v>
      </c>
      <c r="V458" s="3" t="s">
        <v>1388</v>
      </c>
      <c r="W458" s="3" t="s">
        <v>1602</v>
      </c>
      <c r="X458" s="3" t="s">
        <v>2062</v>
      </c>
      <c r="Y458" s="3" t="s">
        <v>2531</v>
      </c>
      <c r="Z458" s="3"/>
      <c r="AA458" s="3"/>
      <c r="AB458" s="3"/>
      <c r="AC458" s="4" cm="1">
        <f t="array" ref="AC458">IF(FALSE,"True," &amp; IF(_xlfn.XLOOKUP("Src_IsAny",'Scoring_Config'!$A:$A,'Scoring_Config'!$D:$D,"Yes")="Yes",_xlfn.XLOOKUP("Src_IsAny",'Scoring_Config'!$A:$A,'Scoring_Config'!$C:$C,25),0),"False,0")</f>
        <v>0</v>
      </c>
      <c r="AD458" s="5" cm="1">
        <f t="array" ref="AD458">IF(TRUE,"True," &amp; IF(_xlfn.XLOOKUP("Src_CIDR_Le_16",'Scoring_Config'!$A:$A,'Scoring_Config'!$D:$D,"Yes")="Yes",_xlfn.XLOOKUP("Src_CIDR_Le_16",'Scoring_Config'!$A:$A,'Scoring_Config'!$C:$C,25),0),"False,0")</f>
        <v>0</v>
      </c>
      <c r="AE458" s="4" cm="1">
        <f t="array" ref="AE458">IF(FALSE,"True," &amp; IF(_xlfn.XLOOKUP("Src_CIDR_17_22",'Scoring_Config'!$A:$A,'Scoring_Config'!$D:$D,"Yes")="Yes",_xlfn.XLOOKUP("Src_CIDR_17_22",'Scoring_Config'!$A:$A,'Scoring_Config'!$C:$C,15),0),"False,0")</f>
        <v>0</v>
      </c>
      <c r="AF458" s="5" cm="1">
        <f t="array" ref="AF458">IF(TRUE,"True," &amp; IF(_xlfn.XLOOKUP("Dst_IsAny",'Scoring_Config'!$A:$A,'Scoring_Config'!$D:$D,"Yes")="Yes",_xlfn.XLOOKUP("Dst_IsAny",'Scoring_Config'!$A:$A,'Scoring_Config'!$C:$C,25),0),"False,0")</f>
        <v>0</v>
      </c>
      <c r="AG458" s="4" cm="1">
        <f t="array" ref="AG458">IF(FALSE,"True," &amp; IF(_xlfn.XLOOKUP("Dst_CIDR_Le_16",'Scoring_Config'!$A:$A,'Scoring_Config'!$D:$D,"Yes")="Yes",_xlfn.XLOOKUP("Dst_CIDR_Le_16",'Scoring_Config'!$A:$A,'Scoring_Config'!$C:$C,25),0),"False,0")</f>
        <v>0</v>
      </c>
      <c r="AH458" s="4" cm="1">
        <f t="array" ref="AH458">IF(FALSE,"True," &amp; IF(_xlfn.XLOOKUP("Dst_CIDR_17_22",'Scoring_Config'!$A:$A,'Scoring_Config'!$D:$D,"Yes")="Yes",_xlfn.XLOOKUP("Dst_CIDR_17_22",'Scoring_Config'!$A:$A,'Scoring_Config'!$C:$C,15),0),"False,0")</f>
        <v>0</v>
      </c>
      <c r="AI458" s="4" cm="1">
        <f t="array" ref="AI458">IF(FALSE,"True," &amp; IF(_xlfn.XLOOKUP("SrcZone_IsAny",'Scoring_Config'!$A:$A,'Scoring_Config'!$D:$D,"Yes")="Yes",_xlfn.XLOOKUP("SrcZone_IsAny",'Scoring_Config'!$A:$A,'Scoring_Config'!$C:$C,5),0),"False,0")</f>
        <v>0</v>
      </c>
      <c r="AJ458" s="4" cm="1">
        <f t="array" ref="AJ458">IF(FALSE,"True," &amp; IF(_xlfn.XLOOKUP("DstZone_IsAny",'Scoring_Config'!$A:$A,'Scoring_Config'!$D:$D,"Yes")="Yes",_xlfn.XLOOKUP("DstZone_IsAny",'Scoring_Config'!$A:$A,'Scoring_Config'!$C:$C,5),0),"False,0")</f>
        <v>0</v>
      </c>
      <c r="AK458" s="4" cm="1">
        <f t="array" ref="AK45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8" s="4" cm="1">
        <f t="array" ref="AL458">IF(FALSE,"True," &amp; IF(_xlfn.XLOOKUP("App_Any_OR_RangeGt1000",'Scoring_Config'!$A:$A,'Scoring_Config'!$D:$D,"Yes")="Yes",_xlfn.XLOOKUP("App_Any_OR_RangeGt1000",'Scoring_Config'!$A:$A,'Scoring_Config'!$C:$C,25),0),"False,0")</f>
        <v>0</v>
      </c>
      <c r="AM458" s="5" cm="1">
        <f t="array" ref="AM458">IF(TRUE,"True," &amp; IF(_xlfn.XLOOKUP("Service_Insecure_Match",'Scoring_Config'!$A:$A,'Scoring_Config'!$D:$D,"Yes")="Yes",_xlfn.XLOOKUP("Service_Insecure_Match",'Scoring_Config'!$A:$A,'Scoring_Config'!$C:$C,20),0),"False,0")</f>
        <v>0</v>
      </c>
      <c r="AN458" s="4" cm="1">
        <f t="array" ref="AN458">IF(FALSE,"True," &amp; IF(_xlfn.XLOOKUP("Risky_Inbound",'Scoring_Config'!$A:$A,'Scoring_Config'!$D:$D,"Yes")="Yes",_xlfn.XLOOKUP("Risky_Inbound",'Scoring_Config'!$A:$A,'Scoring_Config'!$C:$C,20),0),"False,0")</f>
        <v>0</v>
      </c>
      <c r="AO458" s="4" cm="1">
        <f t="array" ref="AO458">IF(FALSE,"True," &amp; IF(_xlfn.XLOOKUP("Risky_Outbound",'Scoring_Config'!$A:$A,'Scoring_Config'!$D:$D,"Yes")="Yes",_xlfn.XLOOKUP("Risky_Outbound",'Scoring_Config'!$A:$A,'Scoring_Config'!$C:$C,10),0),"False,0")</f>
        <v>0</v>
      </c>
      <c r="AP458" s="5" t="s">
        <v>2595</v>
      </c>
      <c r="AQ458" s="4" cm="1">
        <f t="array" ref="AQ458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8" s="5" t="s">
        <v>2598</v>
      </c>
      <c r="AS458" s="5" t="s">
        <v>2595</v>
      </c>
      <c r="AT458" s="4" t="s">
        <v>2592</v>
      </c>
      <c r="AU458" s="4" cm="1">
        <f t="array" ref="AU458">IF(FALSE,"True," &amp; IF(_xlfn.XLOOKUP("Action_IsDenyOrDrop",'Scoring_Config'!$A:$A,'Scoring_Config'!$D:$D,"Yes")="Yes",_xlfn.XLOOKUP("Action_IsDenyOrDrop",'Scoring_Config'!$A:$A,'Scoring_Config'!$C:$C,0),0),"False,0")</f>
        <v>0</v>
      </c>
      <c r="AV458" s="4"/>
      <c r="AW458" s="4" cm="1">
        <f t="array" ref="AW458">IF(FALSE,"True," &amp; IF(_xlfn.XLOOKUP("Migrate_Insecure",'Scoring_Config'!$A:$A,'Scoring_Config'!$D:$D,"Yes")="Yes",_xlfn.XLOOKUP("Migrate_Insecure",'Scoring_Config'!$A:$A,'Scoring_Config'!$C:$C,15),0),"False,0")</f>
        <v>0</v>
      </c>
      <c r="AX458" s="4"/>
      <c r="AY458" s="4" cm="1">
        <f t="array" ref="AY458">IF(FALSE,"True," &amp; IF(_xlfn.XLOOKUP("Migrate_Other_Ports",'Scoring_Config'!$A:$A,'Scoring_Config'!$D:$D,"Yes")="Yes",_xlfn.XLOOKUP("Migrate_Other_Ports",'Scoring_Config'!$A:$A,'Scoring_Config'!$C:$C,5),0),"False,0")</f>
        <v>0</v>
      </c>
      <c r="AZ458" s="4" cm="1">
        <f t="array" ref="AZ458">IF(LEFT(AU458,4)="True",0,(IF(LEFT(AC458,4)="True",IF(_xlfn.XLOOKUP("Src_IsAny",'Scoring_Config'!$A:$A,'Scoring_Config'!$D:$D,"Yes")="Yes",_xlfn.XLOOKUP("Src_IsAny",'Scoring_Config'!$A:$A,'Scoring_Config'!$C:$C,25),0),0)+IF(LEFT(AD458,4)="True",IF(_xlfn.XLOOKUP("Src_CIDR_Le_16",'Scoring_Config'!$A:$A,'Scoring_Config'!$D:$D,"Yes")="Yes",_xlfn.XLOOKUP("Src_CIDR_Le_16",'Scoring_Config'!$A:$A,'Scoring_Config'!$C:$C,25),0),0)+IF(LEFT(AE458,4)="True",IF(_xlfn.XLOOKUP("Src_CIDR_17_22",'Scoring_Config'!$A:$A,'Scoring_Config'!$D:$D,"Yes")="Yes",_xlfn.XLOOKUP("Src_CIDR_17_22",'Scoring_Config'!$A:$A,'Scoring_Config'!$C:$C,15),0),0)+IF(LEFT(AF458,4)="True",IF(_xlfn.XLOOKUP("Dst_IsAny",'Scoring_Config'!$A:$A,'Scoring_Config'!$D:$D,"Yes")="Yes",_xlfn.XLOOKUP("Dst_IsAny",'Scoring_Config'!$A:$A,'Scoring_Config'!$C:$C,25),0),0)+IF(LEFT(AG458,4)="True",IF(_xlfn.XLOOKUP("Dst_CIDR_Le_16",'Scoring_Config'!$A:$A,'Scoring_Config'!$D:$D,"Yes")="Yes",_xlfn.XLOOKUP("Dst_CIDR_Le_16",'Scoring_Config'!$A:$A,'Scoring_Config'!$C:$C,25),0),0)+IF(LEFT(AH458,4)="True",IF(_xlfn.XLOOKUP("Dst_CIDR_17_22",'Scoring_Config'!$A:$A,'Scoring_Config'!$D:$D,"Yes")="Yes",_xlfn.XLOOKUP("Dst_CIDR_17_22",'Scoring_Config'!$A:$A,'Scoring_Config'!$C:$C,15),0),0)+IF(LEFT(AI458,4)="True",IF(_xlfn.XLOOKUP("SrcZone_IsAny",'Scoring_Config'!$A:$A,'Scoring_Config'!$D:$D,"Yes")="Yes",_xlfn.XLOOKUP("SrcZone_IsAny",'Scoring_Config'!$A:$A,'Scoring_Config'!$C:$C,5),0),0)+IF(LEFT(AJ458,4)="True",IF(_xlfn.XLOOKUP("DstZone_IsAny",'Scoring_Config'!$A:$A,'Scoring_Config'!$D:$D,"Yes")="Yes",_xlfn.XLOOKUP("DstZone_IsAny",'Scoring_Config'!$A:$A,'Scoring_Config'!$C:$C,5),0),0)+IF(LEFT(AK458,4)="True",IF(_xlfn.XLOOKUP("Service_Any_OR_RangeGt1000",'Scoring_Config'!$A:$A,'Scoring_Config'!$D:$D,"Yes")="Yes",_xlfn.XLOOKUP("Service_Any_OR_RangeGt1000",'Scoring_Config'!$A:$A,'Scoring_Config'!$C:$C,25),0),0)+IF(LEFT(AL458,4)="True",IF(_xlfn.XLOOKUP("App_Any_OR_RangeGt1000",'Scoring_Config'!$A:$A,'Scoring_Config'!$D:$D,"Yes")="Yes",_xlfn.XLOOKUP("App_Any_OR_RangeGt1000",'Scoring_Config'!$A:$A,'Scoring_Config'!$C:$C,25),0),0)+IF(LEFT(AM458,4)="True",IF(_xlfn.XLOOKUP("Service_Insecure_Match",'Scoring_Config'!$A:$A,'Scoring_Config'!$D:$D,"Yes")="Yes",_xlfn.XLOOKUP("Service_Insecure_Match",'Scoring_Config'!$A:$A,'Scoring_Config'!$C:$C,20),0),0)+IF(LEFT(AN458,4)="True",IF(_xlfn.XLOOKUP("Risky_Inbound",'Scoring_Config'!$A:$A,'Scoring_Config'!$D:$D,"Yes")="Yes",_xlfn.XLOOKUP("Risky_Inbound",'Scoring_Config'!$A:$A,'Scoring_Config'!$C:$C,20),0),0)+IF(LEFT(AO458,4)="True",IF(_xlfn.XLOOKUP("Risky_Outbound",'Scoring_Config'!$A:$A,'Scoring_Config'!$D:$D,"Yes")="Yes",_xlfn.XLOOKUP("Risky_Outbound",'Scoring_Config'!$A:$A,'Scoring_Config'!$C:$C,10),0),0)+IF(LEFT(AW458,4)="True",IF(_xlfn.XLOOKUP("Migrate_Insecure",'Scoring_Config'!$A:$A,'Scoring_Config'!$D:$D,"Yes")="Yes",_xlfn.XLOOKUP("Migrate_Insecure",'Scoring_Config'!$A:$A,'Scoring_Config'!$C:$C,15),0),0)+IF(LEFT(AY458,4)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458,FIND(",",AP458)+1,100)),0)+IF(LEFT(AQ458,4)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458,FIND(",",AR458)+1,100)),0)+IF(_xlfn.XLOOKUP("Profile_Scoring",'Scoring_Config'!$A:$A,'Scoring_Config'!$D:$D,"Yes")="Yes",VALUE(MID(AS458,FIND(",",AS458)+1,100)),0)+IF(_xlfn.XLOOKUP("Options_Scoring",'Scoring_Config'!$A:$A,'Scoring_Config'!$D:$D,"Yes")="Yes",VALUE(MID(AT458,FIND(",",AT458)+1,100)),0)))</f>
        <v>0</v>
      </c>
    </row>
    <row r="459" spans="1:52">
      <c r="A459" s="3" t="s">
        <v>55</v>
      </c>
      <c r="B459" s="3" t="s">
        <v>321</v>
      </c>
      <c r="C459" s="3" t="s">
        <v>332</v>
      </c>
      <c r="D459" s="3"/>
      <c r="E459" s="3" t="s">
        <v>359</v>
      </c>
      <c r="F459" s="3" t="s">
        <v>360</v>
      </c>
      <c r="G459" s="3" t="s">
        <v>495</v>
      </c>
      <c r="H459" s="3" t="s">
        <v>600</v>
      </c>
      <c r="I459" s="3" t="s">
        <v>623</v>
      </c>
      <c r="J459" s="3" t="s">
        <v>363</v>
      </c>
      <c r="K459" s="3" t="s">
        <v>734</v>
      </c>
      <c r="L459" s="3" t="s">
        <v>734</v>
      </c>
      <c r="M459" s="3" t="s">
        <v>775</v>
      </c>
      <c r="N459" s="3" t="s">
        <v>796</v>
      </c>
      <c r="O459" s="4" t="s">
        <v>827</v>
      </c>
      <c r="P459" s="3" t="s">
        <v>888</v>
      </c>
      <c r="Q459" s="3" t="s">
        <v>904</v>
      </c>
      <c r="R459" s="3" t="s">
        <v>909</v>
      </c>
      <c r="S459" s="3" t="s">
        <v>907</v>
      </c>
      <c r="T459" s="3" t="s">
        <v>919</v>
      </c>
      <c r="U459" s="3" t="s">
        <v>1380</v>
      </c>
      <c r="V459" s="3" t="s">
        <v>1388</v>
      </c>
      <c r="W459" s="3" t="s">
        <v>1603</v>
      </c>
      <c r="X459" s="3" t="s">
        <v>2063</v>
      </c>
      <c r="Y459" s="3" t="s">
        <v>2532</v>
      </c>
      <c r="Z459" s="3"/>
      <c r="AA459" s="3"/>
      <c r="AB459" s="3"/>
      <c r="AC459" s="5" cm="1">
        <f t="array" ref="AC459">IF(TRUE,"True," &amp; IF(_xlfn.XLOOKUP("Src_IsAny",'Scoring_Config'!$A:$A,'Scoring_Config'!$D:$D,"Yes")="Yes",_xlfn.XLOOKUP("Src_IsAny",'Scoring_Config'!$A:$A,'Scoring_Config'!$C:$C,25),0),"False,0")</f>
        <v>0</v>
      </c>
      <c r="AD459" s="5" cm="1">
        <f t="array" ref="AD459">IF(TRUE,"True," &amp; IF(_xlfn.XLOOKUP("Src_CIDR_Le_16",'Scoring_Config'!$A:$A,'Scoring_Config'!$D:$D,"Yes")="Yes",_xlfn.XLOOKUP("Src_CIDR_Le_16",'Scoring_Config'!$A:$A,'Scoring_Config'!$C:$C,25),0),"False,0")</f>
        <v>0</v>
      </c>
      <c r="AE459" s="4" cm="1">
        <f t="array" ref="AE459">IF(FALSE,"True," &amp; IF(_xlfn.XLOOKUP("Src_CIDR_17_22",'Scoring_Config'!$A:$A,'Scoring_Config'!$D:$D,"Yes")="Yes",_xlfn.XLOOKUP("Src_CIDR_17_22",'Scoring_Config'!$A:$A,'Scoring_Config'!$C:$C,15),0),"False,0")</f>
        <v>0</v>
      </c>
      <c r="AF459" s="4" cm="1">
        <f t="array" ref="AF459">IF(FALSE,"True," &amp; IF(_xlfn.XLOOKUP("Dst_IsAny",'Scoring_Config'!$A:$A,'Scoring_Config'!$D:$D,"Yes")="Yes",_xlfn.XLOOKUP("Dst_IsAny",'Scoring_Config'!$A:$A,'Scoring_Config'!$C:$C,25),0),"False,0")</f>
        <v>0</v>
      </c>
      <c r="AG459" s="4" cm="1">
        <f t="array" ref="AG459">IF(FALSE,"True," &amp; IF(_xlfn.XLOOKUP("Dst_CIDR_Le_16",'Scoring_Config'!$A:$A,'Scoring_Config'!$D:$D,"Yes")="Yes",_xlfn.XLOOKUP("Dst_CIDR_Le_16",'Scoring_Config'!$A:$A,'Scoring_Config'!$C:$C,25),0),"False,0")</f>
        <v>0</v>
      </c>
      <c r="AH459" s="5" cm="1">
        <f t="array" ref="AH459">IF(TRUE,"True," &amp; IF(_xlfn.XLOOKUP("Dst_CIDR_17_22",'Scoring_Config'!$A:$A,'Scoring_Config'!$D:$D,"Yes")="Yes",_xlfn.XLOOKUP("Dst_CIDR_17_22",'Scoring_Config'!$A:$A,'Scoring_Config'!$C:$C,15),0),"False,0")</f>
        <v>0</v>
      </c>
      <c r="AI459" s="4" cm="1">
        <f t="array" ref="AI459">IF(FALSE,"True," &amp; IF(_xlfn.XLOOKUP("SrcZone_IsAny",'Scoring_Config'!$A:$A,'Scoring_Config'!$D:$D,"Yes")="Yes",_xlfn.XLOOKUP("SrcZone_IsAny",'Scoring_Config'!$A:$A,'Scoring_Config'!$C:$C,5),0),"False,0")</f>
        <v>0</v>
      </c>
      <c r="AJ459" s="4" cm="1">
        <f t="array" ref="AJ459">IF(FALSE,"True," &amp; IF(_xlfn.XLOOKUP("DstZone_IsAny",'Scoring_Config'!$A:$A,'Scoring_Config'!$D:$D,"Yes")="Yes",_xlfn.XLOOKUP("DstZone_IsAny",'Scoring_Config'!$A:$A,'Scoring_Config'!$C:$C,5),0),"False,0")</f>
        <v>0</v>
      </c>
      <c r="AK459" s="4" cm="1">
        <f t="array" ref="AK45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59" s="4" cm="1">
        <f t="array" ref="AL459">IF(FALSE,"True," &amp; IF(_xlfn.XLOOKUP("App_Any_OR_RangeGt1000",'Scoring_Config'!$A:$A,'Scoring_Config'!$D:$D,"Yes")="Yes",_xlfn.XLOOKUP("App_Any_OR_RangeGt1000",'Scoring_Config'!$A:$A,'Scoring_Config'!$C:$C,25),0),"False,0")</f>
        <v>0</v>
      </c>
      <c r="AM459" s="5" cm="1">
        <f t="array" ref="AM459">IF(TRUE,"True," &amp; IF(_xlfn.XLOOKUP("Service_Insecure_Match",'Scoring_Config'!$A:$A,'Scoring_Config'!$D:$D,"Yes")="Yes",_xlfn.XLOOKUP("Service_Insecure_Match",'Scoring_Config'!$A:$A,'Scoring_Config'!$C:$C,20),0),"False,0")</f>
        <v>0</v>
      </c>
      <c r="AN459" s="4" cm="1">
        <f t="array" ref="AN459">IF(FALSE,"True," &amp; IF(_xlfn.XLOOKUP("Risky_Inbound",'Scoring_Config'!$A:$A,'Scoring_Config'!$D:$D,"Yes")="Yes",_xlfn.XLOOKUP("Risky_Inbound",'Scoring_Config'!$A:$A,'Scoring_Config'!$C:$C,20),0),"False,0")</f>
        <v>0</v>
      </c>
      <c r="AO459" s="4" cm="1">
        <f t="array" ref="AO459">IF(FALSE,"True," &amp; IF(_xlfn.XLOOKUP("Risky_Outbound",'Scoring_Config'!$A:$A,'Scoring_Config'!$D:$D,"Yes")="Yes",_xlfn.XLOOKUP("Risky_Outbound",'Scoring_Config'!$A:$A,'Scoring_Config'!$C:$C,10),0),"False,0")</f>
        <v>0</v>
      </c>
      <c r="AP459" s="5" t="s">
        <v>2595</v>
      </c>
      <c r="AQ459" s="4" cm="1">
        <f t="array" ref="AQ459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59" s="5" t="s">
        <v>2598</v>
      </c>
      <c r="AS459" s="4" t="s">
        <v>2592</v>
      </c>
      <c r="AT459" s="5" t="s">
        <v>2595</v>
      </c>
      <c r="AU459" s="5" cm="1">
        <f t="array" ref="AU459">IF(TRUE,"True," &amp; IF(_xlfn.XLOOKUP("Action_IsDenyOrDrop",'Scoring_Config'!$A:$A,'Scoring_Config'!$D:$D,"Yes")="Yes",_xlfn.XLOOKUP("Action_IsDenyOrDrop",'Scoring_Config'!$A:$A,'Scoring_Config'!$C:$C,0),0),"False,0")</f>
        <v>0</v>
      </c>
      <c r="AV459" s="4"/>
      <c r="AW459" s="4" cm="1">
        <f t="array" ref="AW459">IF(FALSE,"True," &amp; IF(_xlfn.XLOOKUP("Migrate_Insecure",'Scoring_Config'!$A:$A,'Scoring_Config'!$D:$D,"Yes")="Yes",_xlfn.XLOOKUP("Migrate_Insecure",'Scoring_Config'!$A:$A,'Scoring_Config'!$C:$C,15),0),"False,0")</f>
        <v>0</v>
      </c>
      <c r="AX459" s="4"/>
      <c r="AY459" s="4" cm="1">
        <f t="array" ref="AY459">IF(FALSE,"True," &amp; IF(_xlfn.XLOOKUP("Migrate_Other_Ports",'Scoring_Config'!$A:$A,'Scoring_Config'!$D:$D,"Yes")="Yes",_xlfn.XLOOKUP("Migrate_Other_Ports",'Scoring_Config'!$A:$A,'Scoring_Config'!$C:$C,5),0),"False,0")</f>
        <v>0</v>
      </c>
      <c r="AZ459" s="4" cm="1">
        <f t="array" ref="AZ459">IF(LEFT(AU459,4)="True",0,(IF(LEFT(AC459,4)="True",IF(_xlfn.XLOOKUP("Src_IsAny",'Scoring_Config'!$A:$A,'Scoring_Config'!$D:$D,"Yes")="Yes",_xlfn.XLOOKUP("Src_IsAny",'Scoring_Config'!$A:$A,'Scoring_Config'!$C:$C,25),0),0)+IF(LEFT(AD459,4)="True",IF(_xlfn.XLOOKUP("Src_CIDR_Le_16",'Scoring_Config'!$A:$A,'Scoring_Config'!$D:$D,"Yes")="Yes",_xlfn.XLOOKUP("Src_CIDR_Le_16",'Scoring_Config'!$A:$A,'Scoring_Config'!$C:$C,25),0),0)+IF(LEFT(AE459,4)="True",IF(_xlfn.XLOOKUP("Src_CIDR_17_22",'Scoring_Config'!$A:$A,'Scoring_Config'!$D:$D,"Yes")="Yes",_xlfn.XLOOKUP("Src_CIDR_17_22",'Scoring_Config'!$A:$A,'Scoring_Config'!$C:$C,15),0),0)+IF(LEFT(AF459,4)="True",IF(_xlfn.XLOOKUP("Dst_IsAny",'Scoring_Config'!$A:$A,'Scoring_Config'!$D:$D,"Yes")="Yes",_xlfn.XLOOKUP("Dst_IsAny",'Scoring_Config'!$A:$A,'Scoring_Config'!$C:$C,25),0),0)+IF(LEFT(AG459,4)="True",IF(_xlfn.XLOOKUP("Dst_CIDR_Le_16",'Scoring_Config'!$A:$A,'Scoring_Config'!$D:$D,"Yes")="Yes",_xlfn.XLOOKUP("Dst_CIDR_Le_16",'Scoring_Config'!$A:$A,'Scoring_Config'!$C:$C,25),0),0)+IF(LEFT(AH459,4)="True",IF(_xlfn.XLOOKUP("Dst_CIDR_17_22",'Scoring_Config'!$A:$A,'Scoring_Config'!$D:$D,"Yes")="Yes",_xlfn.XLOOKUP("Dst_CIDR_17_22",'Scoring_Config'!$A:$A,'Scoring_Config'!$C:$C,15),0),0)+IF(LEFT(AI459,4)="True",IF(_xlfn.XLOOKUP("SrcZone_IsAny",'Scoring_Config'!$A:$A,'Scoring_Config'!$D:$D,"Yes")="Yes",_xlfn.XLOOKUP("SrcZone_IsAny",'Scoring_Config'!$A:$A,'Scoring_Config'!$C:$C,5),0),0)+IF(LEFT(AJ459,4)="True",IF(_xlfn.XLOOKUP("DstZone_IsAny",'Scoring_Config'!$A:$A,'Scoring_Config'!$D:$D,"Yes")="Yes",_xlfn.XLOOKUP("DstZone_IsAny",'Scoring_Config'!$A:$A,'Scoring_Config'!$C:$C,5),0),0)+IF(LEFT(AK459,4)="True",IF(_xlfn.XLOOKUP("Service_Any_OR_RangeGt1000",'Scoring_Config'!$A:$A,'Scoring_Config'!$D:$D,"Yes")="Yes",_xlfn.XLOOKUP("Service_Any_OR_RangeGt1000",'Scoring_Config'!$A:$A,'Scoring_Config'!$C:$C,25),0),0)+IF(LEFT(AL459,4)="True",IF(_xlfn.XLOOKUP("App_Any_OR_RangeGt1000",'Scoring_Config'!$A:$A,'Scoring_Config'!$D:$D,"Yes")="Yes",_xlfn.XLOOKUP("App_Any_OR_RangeGt1000",'Scoring_Config'!$A:$A,'Scoring_Config'!$C:$C,25),0),0)+IF(LEFT(AM459,4)="True",IF(_xlfn.XLOOKUP("Service_Insecure_Match",'Scoring_Config'!$A:$A,'Scoring_Config'!$D:$D,"Yes")="Yes",_xlfn.XLOOKUP("Service_Insecure_Match",'Scoring_Config'!$A:$A,'Scoring_Config'!$C:$C,20),0),0)+IF(LEFT(AN459,4)="True",IF(_xlfn.XLOOKUP("Risky_Inbound",'Scoring_Config'!$A:$A,'Scoring_Config'!$D:$D,"Yes")="Yes",_xlfn.XLOOKUP("Risky_Inbound",'Scoring_Config'!$A:$A,'Scoring_Config'!$C:$C,20),0),0)+IF(LEFT(AO459,4)="True",IF(_xlfn.XLOOKUP("Risky_Outbound",'Scoring_Config'!$A:$A,'Scoring_Config'!$D:$D,"Yes")="Yes",_xlfn.XLOOKUP("Risky_Outbound",'Scoring_Config'!$A:$A,'Scoring_Config'!$C:$C,10),0),0)+IF(LEFT(AW459,4)="True",IF(_xlfn.XLOOKUP("Migrate_Insecure",'Scoring_Config'!$A:$A,'Scoring_Config'!$D:$D,"Yes")="Yes",_xlfn.XLOOKUP("Migrate_Insecure",'Scoring_Config'!$A:$A,'Scoring_Config'!$C:$C,15),0),0)+IF(LEFT(AY459,4)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459,FIND(",",AP459)+1,100)),0)+IF(LEFT(AQ459,4)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459,FIND(",",AR459)+1,100)),0)+IF(_xlfn.XLOOKUP("Profile_Scoring",'Scoring_Config'!$A:$A,'Scoring_Config'!$D:$D,"Yes")="Yes",VALUE(MID(AS459,FIND(",",AS459)+1,100)),0)+IF(_xlfn.XLOOKUP("Options_Scoring",'Scoring_Config'!$A:$A,'Scoring_Config'!$D:$D,"Yes")="Yes",VALUE(MID(AT459,FIND(",",AT459)+1,100)),0)))</f>
        <v>0</v>
      </c>
    </row>
    <row r="460" spans="1:52">
      <c r="A460" s="3" t="s">
        <v>55</v>
      </c>
      <c r="B460" s="3" t="s">
        <v>322</v>
      </c>
      <c r="C460" s="3" t="s">
        <v>332</v>
      </c>
      <c r="D460" s="3"/>
      <c r="E460" s="3" t="s">
        <v>359</v>
      </c>
      <c r="F460" s="3" t="s">
        <v>361</v>
      </c>
      <c r="G460" s="3" t="s">
        <v>365</v>
      </c>
      <c r="H460" s="3" t="s">
        <v>365</v>
      </c>
      <c r="I460" s="3" t="s">
        <v>622</v>
      </c>
      <c r="J460" s="3" t="s">
        <v>364</v>
      </c>
      <c r="K460" s="3" t="s">
        <v>365</v>
      </c>
      <c r="L460" s="3" t="s">
        <v>365</v>
      </c>
      <c r="M460" s="3" t="s">
        <v>365</v>
      </c>
      <c r="N460" s="3" t="s">
        <v>365</v>
      </c>
      <c r="O460" s="4" t="s">
        <v>817</v>
      </c>
      <c r="P460" s="3" t="s">
        <v>878</v>
      </c>
      <c r="Q460" s="3" t="s">
        <v>905</v>
      </c>
      <c r="R460" s="3" t="s">
        <v>907</v>
      </c>
      <c r="S460" s="3" t="s">
        <v>915</v>
      </c>
      <c r="T460" s="3" t="s">
        <v>1136</v>
      </c>
      <c r="U460" s="3"/>
      <c r="V460" s="3" t="s">
        <v>789</v>
      </c>
      <c r="W460" s="3" t="s">
        <v>926</v>
      </c>
      <c r="X460" s="3" t="s">
        <v>2064</v>
      </c>
      <c r="Y460" s="3" t="s">
        <v>2533</v>
      </c>
      <c r="Z460" s="3"/>
      <c r="AA460" s="3"/>
      <c r="AB460" s="3"/>
      <c r="AC460" s="5" cm="1">
        <f t="array" ref="AC460">IF(TRUE,"True," &amp; IF(_xlfn.XLOOKUP("Src_IsAny",'Scoring_Config'!$A:$A,'Scoring_Config'!$D:$D,"Yes")="Yes",_xlfn.XLOOKUP("Src_IsAny",'Scoring_Config'!$A:$A,'Scoring_Config'!$C:$C,25),0),"False,0")</f>
        <v>0</v>
      </c>
      <c r="AD460" s="4" cm="1">
        <f t="array" ref="AD460">IF(FALSE,"True," &amp; IF(_xlfn.XLOOKUP("Src_CIDR_Le_16",'Scoring_Config'!$A:$A,'Scoring_Config'!$D:$D,"Yes")="Yes",_xlfn.XLOOKUP("Src_CIDR_Le_16",'Scoring_Config'!$A:$A,'Scoring_Config'!$C:$C,25),0),"False,0")</f>
        <v>0</v>
      </c>
      <c r="AE460" s="4" cm="1">
        <f t="array" ref="AE460">IF(FALSE,"True," &amp; IF(_xlfn.XLOOKUP("Src_CIDR_17_22",'Scoring_Config'!$A:$A,'Scoring_Config'!$D:$D,"Yes")="Yes",_xlfn.XLOOKUP("Src_CIDR_17_22",'Scoring_Config'!$A:$A,'Scoring_Config'!$C:$C,15),0),"False,0")</f>
        <v>0</v>
      </c>
      <c r="AF460" s="5" cm="1">
        <f t="array" ref="AF460">IF(TRUE,"True," &amp; IF(_xlfn.XLOOKUP("Dst_IsAny",'Scoring_Config'!$A:$A,'Scoring_Config'!$D:$D,"Yes")="Yes",_xlfn.XLOOKUP("Dst_IsAny",'Scoring_Config'!$A:$A,'Scoring_Config'!$C:$C,25),0),"False,0")</f>
        <v>0</v>
      </c>
      <c r="AG460" s="4" cm="1">
        <f t="array" ref="AG460">IF(FALSE,"True," &amp; IF(_xlfn.XLOOKUP("Dst_CIDR_Le_16",'Scoring_Config'!$A:$A,'Scoring_Config'!$D:$D,"Yes")="Yes",_xlfn.XLOOKUP("Dst_CIDR_Le_16",'Scoring_Config'!$A:$A,'Scoring_Config'!$C:$C,25),0),"False,0")</f>
        <v>0</v>
      </c>
      <c r="AH460" s="4" cm="1">
        <f t="array" ref="AH460">IF(FALSE,"True," &amp; IF(_xlfn.XLOOKUP("Dst_CIDR_17_22",'Scoring_Config'!$A:$A,'Scoring_Config'!$D:$D,"Yes")="Yes",_xlfn.XLOOKUP("Dst_CIDR_17_22",'Scoring_Config'!$A:$A,'Scoring_Config'!$C:$C,15),0),"False,0")</f>
        <v>0</v>
      </c>
      <c r="AI460" s="4" cm="1">
        <f t="array" ref="AI460">IF(FALSE,"True," &amp; IF(_xlfn.XLOOKUP("SrcZone_IsAny",'Scoring_Config'!$A:$A,'Scoring_Config'!$D:$D,"Yes")="Yes",_xlfn.XLOOKUP("SrcZone_IsAny",'Scoring_Config'!$A:$A,'Scoring_Config'!$C:$C,5),0),"False,0")</f>
        <v>0</v>
      </c>
      <c r="AJ460" s="4" cm="1">
        <f t="array" ref="AJ460">IF(FALSE,"True," &amp; IF(_xlfn.XLOOKUP("DstZone_IsAny",'Scoring_Config'!$A:$A,'Scoring_Config'!$D:$D,"Yes")="Yes",_xlfn.XLOOKUP("DstZone_IsAny",'Scoring_Config'!$A:$A,'Scoring_Config'!$C:$C,5),0),"False,0")</f>
        <v>0</v>
      </c>
      <c r="AK460" s="4" cm="1">
        <f t="array" ref="AK46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0" s="5" cm="1">
        <f t="array" ref="AL460">IF(TRUE,"True," &amp; IF(_xlfn.XLOOKUP("App_Any_OR_RangeGt1000",'Scoring_Config'!$A:$A,'Scoring_Config'!$D:$D,"Yes")="Yes",_xlfn.XLOOKUP("App_Any_OR_RangeGt1000",'Scoring_Config'!$A:$A,'Scoring_Config'!$C:$C,25),0),"False,0")</f>
        <v>0</v>
      </c>
      <c r="AM460" s="5" cm="1">
        <f t="array" ref="AM460">IF(TRUE,"True," &amp; IF(_xlfn.XLOOKUP("Service_Insecure_Match",'Scoring_Config'!$A:$A,'Scoring_Config'!$D:$D,"Yes")="Yes",_xlfn.XLOOKUP("Service_Insecure_Match",'Scoring_Config'!$A:$A,'Scoring_Config'!$C:$C,20),0),"False,0")</f>
        <v>0</v>
      </c>
      <c r="AN460" s="4" cm="1">
        <f t="array" ref="AN460">IF(FALSE,"True," &amp; IF(_xlfn.XLOOKUP("Risky_Inbound",'Scoring_Config'!$A:$A,'Scoring_Config'!$D:$D,"Yes")="Yes",_xlfn.XLOOKUP("Risky_Inbound",'Scoring_Config'!$A:$A,'Scoring_Config'!$C:$C,20),0),"False,0")</f>
        <v>0</v>
      </c>
      <c r="AO460" s="4" cm="1">
        <f t="array" ref="AO460">IF(FALSE,"True," &amp; IF(_xlfn.XLOOKUP("Risky_Outbound",'Scoring_Config'!$A:$A,'Scoring_Config'!$D:$D,"Yes")="Yes",_xlfn.XLOOKUP("Risky_Outbound",'Scoring_Config'!$A:$A,'Scoring_Config'!$C:$C,10),0),"False,0")</f>
        <v>0</v>
      </c>
      <c r="AP460" s="5" t="s">
        <v>2595</v>
      </c>
      <c r="AQ460" s="5" cm="1">
        <f t="array" ref="AQ46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0" s="5" t="s">
        <v>2598</v>
      </c>
      <c r="AS460" s="5" t="s">
        <v>2595</v>
      </c>
      <c r="AT460" s="4" t="s">
        <v>2592</v>
      </c>
      <c r="AU460" s="4" cm="1">
        <f t="array" ref="AU460">IF(FALSE,"True," &amp; IF(_xlfn.XLOOKUP("Action_IsDenyOrDrop",'Scoring_Config'!$A:$A,'Scoring_Config'!$D:$D,"Yes")="Yes",_xlfn.XLOOKUP("Action_IsDenyOrDrop",'Scoring_Config'!$A:$A,'Scoring_Config'!$C:$C,0),0),"False,0")</f>
        <v>0</v>
      </c>
      <c r="AV460" s="4"/>
      <c r="AW460" s="4" cm="1">
        <f t="array" ref="AW460">IF(FALSE,"True," &amp; IF(_xlfn.XLOOKUP("Migrate_Insecure",'Scoring_Config'!$A:$A,'Scoring_Config'!$D:$D,"Yes")="Yes",_xlfn.XLOOKUP("Migrate_Insecure",'Scoring_Config'!$A:$A,'Scoring_Config'!$C:$C,15),0),"False,0")</f>
        <v>0</v>
      </c>
      <c r="AX460" s="4"/>
      <c r="AY460" s="4" cm="1">
        <f t="array" ref="AY460">IF(FALSE,"True," &amp; IF(_xlfn.XLOOKUP("Migrate_Other_Ports",'Scoring_Config'!$A:$A,'Scoring_Config'!$D:$D,"Yes")="Yes",_xlfn.XLOOKUP("Migrate_Other_Ports",'Scoring_Config'!$A:$A,'Scoring_Config'!$C:$C,5),0),"False,0")</f>
        <v>0</v>
      </c>
      <c r="AZ460" s="4" cm="1">
        <f t="array" ref="AZ460">IF(LEFT(AU460,4)="True",0,(IF(LEFT(AC460,4)="True",IF(_xlfn.XLOOKUP("Src_IsAny",'Scoring_Config'!$A:$A,'Scoring_Config'!$D:$D,"Yes")="Yes",_xlfn.XLOOKUP("Src_IsAny",'Scoring_Config'!$A:$A,'Scoring_Config'!$C:$C,25),0),0)+IF(LEFT(AD460,4)="True",IF(_xlfn.XLOOKUP("Src_CIDR_Le_16",'Scoring_Config'!$A:$A,'Scoring_Config'!$D:$D,"Yes")="Yes",_xlfn.XLOOKUP("Src_CIDR_Le_16",'Scoring_Config'!$A:$A,'Scoring_Config'!$C:$C,25),0),0)+IF(LEFT(AE460,4)="True",IF(_xlfn.XLOOKUP("Src_CIDR_17_22",'Scoring_Config'!$A:$A,'Scoring_Config'!$D:$D,"Yes")="Yes",_xlfn.XLOOKUP("Src_CIDR_17_22",'Scoring_Config'!$A:$A,'Scoring_Config'!$C:$C,15),0),0)+IF(LEFT(AF460,4)="True",IF(_xlfn.XLOOKUP("Dst_IsAny",'Scoring_Config'!$A:$A,'Scoring_Config'!$D:$D,"Yes")="Yes",_xlfn.XLOOKUP("Dst_IsAny",'Scoring_Config'!$A:$A,'Scoring_Config'!$C:$C,25),0),0)+IF(LEFT(AG460,4)="True",IF(_xlfn.XLOOKUP("Dst_CIDR_Le_16",'Scoring_Config'!$A:$A,'Scoring_Config'!$D:$D,"Yes")="Yes",_xlfn.XLOOKUP("Dst_CIDR_Le_16",'Scoring_Config'!$A:$A,'Scoring_Config'!$C:$C,25),0),0)+IF(LEFT(AH460,4)="True",IF(_xlfn.XLOOKUP("Dst_CIDR_17_22",'Scoring_Config'!$A:$A,'Scoring_Config'!$D:$D,"Yes")="Yes",_xlfn.XLOOKUP("Dst_CIDR_17_22",'Scoring_Config'!$A:$A,'Scoring_Config'!$C:$C,15),0),0)+IF(LEFT(AI460,4)="True",IF(_xlfn.XLOOKUP("SrcZone_IsAny",'Scoring_Config'!$A:$A,'Scoring_Config'!$D:$D,"Yes")="Yes",_xlfn.XLOOKUP("SrcZone_IsAny",'Scoring_Config'!$A:$A,'Scoring_Config'!$C:$C,5),0),0)+IF(LEFT(AJ460,4)="True",IF(_xlfn.XLOOKUP("DstZone_IsAny",'Scoring_Config'!$A:$A,'Scoring_Config'!$D:$D,"Yes")="Yes",_xlfn.XLOOKUP("DstZone_IsAny",'Scoring_Config'!$A:$A,'Scoring_Config'!$C:$C,5),0),0)+IF(LEFT(AK460,4)="True",IF(_xlfn.XLOOKUP("Service_Any_OR_RangeGt1000",'Scoring_Config'!$A:$A,'Scoring_Config'!$D:$D,"Yes")="Yes",_xlfn.XLOOKUP("Service_Any_OR_RangeGt1000",'Scoring_Config'!$A:$A,'Scoring_Config'!$C:$C,25),0),0)+IF(LEFT(AL460,4)="True",IF(_xlfn.XLOOKUP("App_Any_OR_RangeGt1000",'Scoring_Config'!$A:$A,'Scoring_Config'!$D:$D,"Yes")="Yes",_xlfn.XLOOKUP("App_Any_OR_RangeGt1000",'Scoring_Config'!$A:$A,'Scoring_Config'!$C:$C,25),0),0)+IF(LEFT(AM460,4)="True",IF(_xlfn.XLOOKUP("Service_Insecure_Match",'Scoring_Config'!$A:$A,'Scoring_Config'!$D:$D,"Yes")="Yes",_xlfn.XLOOKUP("Service_Insecure_Match",'Scoring_Config'!$A:$A,'Scoring_Config'!$C:$C,20),0),0)+IF(LEFT(AN460,4)="True",IF(_xlfn.XLOOKUP("Risky_Inbound",'Scoring_Config'!$A:$A,'Scoring_Config'!$D:$D,"Yes")="Yes",_xlfn.XLOOKUP("Risky_Inbound",'Scoring_Config'!$A:$A,'Scoring_Config'!$C:$C,20),0),0)+IF(LEFT(AO460,4)="True",IF(_xlfn.XLOOKUP("Risky_Outbound",'Scoring_Config'!$A:$A,'Scoring_Config'!$D:$D,"Yes")="Yes",_xlfn.XLOOKUP("Risky_Outbound",'Scoring_Config'!$A:$A,'Scoring_Config'!$C:$C,10),0),0)+IF(LEFT(AW460,4)="True",IF(_xlfn.XLOOKUP("Migrate_Insecure",'Scoring_Config'!$A:$A,'Scoring_Config'!$D:$D,"Yes")="Yes",_xlfn.XLOOKUP("Migrate_Insecure",'Scoring_Config'!$A:$A,'Scoring_Config'!$C:$C,15),0),0)+IF(LEFT(AY460,4)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460,FIND(",",AP460)+1,100)),0)+IF(LEFT(AQ460,4)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460,FIND(",",AR460)+1,100)),0)+IF(_xlfn.XLOOKUP("Profile_Scoring",'Scoring_Config'!$A:$A,'Scoring_Config'!$D:$D,"Yes")="Yes",VALUE(MID(AS460,FIND(",",AS460)+1,100)),0)+IF(_xlfn.XLOOKUP("Options_Scoring",'Scoring_Config'!$A:$A,'Scoring_Config'!$D:$D,"Yes")="Yes",VALUE(MID(AT460,FIND(",",AT460)+1,100)),0)))</f>
        <v>0</v>
      </c>
    </row>
    <row r="461" spans="1:52">
      <c r="A461" s="3" t="s">
        <v>55</v>
      </c>
      <c r="B461" s="3" t="s">
        <v>323</v>
      </c>
      <c r="C461" s="3" t="s">
        <v>332</v>
      </c>
      <c r="D461" s="3"/>
      <c r="E461" s="3" t="s">
        <v>359</v>
      </c>
      <c r="F461" s="3" t="s">
        <v>360</v>
      </c>
      <c r="G461" s="3" t="s">
        <v>537</v>
      </c>
      <c r="H461" s="3" t="s">
        <v>620</v>
      </c>
      <c r="I461" s="3" t="s">
        <v>365</v>
      </c>
      <c r="J461" s="3" t="s">
        <v>364</v>
      </c>
      <c r="K461" s="3" t="s">
        <v>735</v>
      </c>
      <c r="L461" s="3" t="s">
        <v>735</v>
      </c>
      <c r="M461" s="3" t="s">
        <v>790</v>
      </c>
      <c r="N461" s="3" t="s">
        <v>791</v>
      </c>
      <c r="O461" s="4" t="s">
        <v>822</v>
      </c>
      <c r="P461" s="3" t="s">
        <v>883</v>
      </c>
      <c r="Q461" s="3" t="s">
        <v>905</v>
      </c>
      <c r="R461" s="3" t="s">
        <v>909</v>
      </c>
      <c r="S461" s="3" t="s">
        <v>913</v>
      </c>
      <c r="T461" s="3" t="s">
        <v>1137</v>
      </c>
      <c r="U461" s="3" t="s">
        <v>1381</v>
      </c>
      <c r="V461" s="3" t="s">
        <v>789</v>
      </c>
      <c r="W461" s="3" t="s">
        <v>953</v>
      </c>
      <c r="X461" s="3" t="s">
        <v>2065</v>
      </c>
      <c r="Y461" s="3" t="s">
        <v>2534</v>
      </c>
      <c r="Z461" s="3"/>
      <c r="AA461" s="3"/>
      <c r="AB461" s="3"/>
      <c r="AC461" s="4" cm="1">
        <f t="array" ref="AC461">IF(FALSE,"True," &amp; IF(_xlfn.XLOOKUP("Src_IsAny",'Scoring_Config'!$A:$A,'Scoring_Config'!$D:$D,"Yes")="Yes",_xlfn.XLOOKUP("Src_IsAny",'Scoring_Config'!$A:$A,'Scoring_Config'!$C:$C,25),0),"False,0")</f>
        <v>0</v>
      </c>
      <c r="AD461" s="4" cm="1">
        <f t="array" ref="AD461">IF(FALSE,"True," &amp; IF(_xlfn.XLOOKUP("Src_CIDR_Le_16",'Scoring_Config'!$A:$A,'Scoring_Config'!$D:$D,"Yes")="Yes",_xlfn.XLOOKUP("Src_CIDR_Le_16",'Scoring_Config'!$A:$A,'Scoring_Config'!$C:$C,25),0),"False,0")</f>
        <v>0</v>
      </c>
      <c r="AE461" s="4" cm="1">
        <f t="array" ref="AE461">IF(FALSE,"True," &amp; IF(_xlfn.XLOOKUP("Src_CIDR_17_22",'Scoring_Config'!$A:$A,'Scoring_Config'!$D:$D,"Yes")="Yes",_xlfn.XLOOKUP("Src_CIDR_17_22",'Scoring_Config'!$A:$A,'Scoring_Config'!$C:$C,15),0),"False,0")</f>
        <v>0</v>
      </c>
      <c r="AF461" s="4" cm="1">
        <f t="array" ref="AF461">IF(FALSE,"True," &amp; IF(_xlfn.XLOOKUP("Dst_IsAny",'Scoring_Config'!$A:$A,'Scoring_Config'!$D:$D,"Yes")="Yes",_xlfn.XLOOKUP("Dst_IsAny",'Scoring_Config'!$A:$A,'Scoring_Config'!$C:$C,25),0),"False,0")</f>
        <v>0</v>
      </c>
      <c r="AG461" s="4" cm="1">
        <f t="array" ref="AG461">IF(FALSE,"True," &amp; IF(_xlfn.XLOOKUP("Dst_CIDR_Le_16",'Scoring_Config'!$A:$A,'Scoring_Config'!$D:$D,"Yes")="Yes",_xlfn.XLOOKUP("Dst_CIDR_Le_16",'Scoring_Config'!$A:$A,'Scoring_Config'!$C:$C,25),0),"False,0")</f>
        <v>0</v>
      </c>
      <c r="AH461" s="5" cm="1">
        <f t="array" ref="AH461">IF(TRUE,"True," &amp; IF(_xlfn.XLOOKUP("Dst_CIDR_17_22",'Scoring_Config'!$A:$A,'Scoring_Config'!$D:$D,"Yes")="Yes",_xlfn.XLOOKUP("Dst_CIDR_17_22",'Scoring_Config'!$A:$A,'Scoring_Config'!$C:$C,15),0),"False,0")</f>
        <v>0</v>
      </c>
      <c r="AI461" s="4" cm="1">
        <f t="array" ref="AI461">IF(FALSE,"True," &amp; IF(_xlfn.XLOOKUP("SrcZone_IsAny",'Scoring_Config'!$A:$A,'Scoring_Config'!$D:$D,"Yes")="Yes",_xlfn.XLOOKUP("SrcZone_IsAny",'Scoring_Config'!$A:$A,'Scoring_Config'!$C:$C,5),0),"False,0")</f>
        <v>0</v>
      </c>
      <c r="AJ461" s="4" cm="1">
        <f t="array" ref="AJ461">IF(FALSE,"True," &amp; IF(_xlfn.XLOOKUP("DstZone_IsAny",'Scoring_Config'!$A:$A,'Scoring_Config'!$D:$D,"Yes")="Yes",_xlfn.XLOOKUP("DstZone_IsAny",'Scoring_Config'!$A:$A,'Scoring_Config'!$C:$C,5),0),"False,0")</f>
        <v>0</v>
      </c>
      <c r="AK461" s="5" cm="1">
        <f t="array" ref="AK461">IF(TRUE,"True," &amp; IF(_xlfn.XLOOKUP("Service_Any_OR_RangeGt1000",'Scoring_Config'!$A:$A,'Scoring_Config'!$D:$D,"Yes")="Yes",_xlfn.XLOOKUP("Service_Any_OR_RangeGt1000",'Scoring_Config'!$A:$A,'Scoring_Config'!$C:$C,25),0),"False,0")</f>
        <v>0</v>
      </c>
      <c r="AL461" s="5" cm="1">
        <f t="array" ref="AL461">IF(TRUE,"True," &amp; IF(_xlfn.XLOOKUP("App_Any_OR_RangeGt1000",'Scoring_Config'!$A:$A,'Scoring_Config'!$D:$D,"Yes")="Yes",_xlfn.XLOOKUP("App_Any_OR_RangeGt1000",'Scoring_Config'!$A:$A,'Scoring_Config'!$C:$C,25),0),"False,0")</f>
        <v>0</v>
      </c>
      <c r="AM461" s="5" cm="1">
        <f t="array" ref="AM461">IF(TRUE,"True," &amp; IF(_xlfn.XLOOKUP("Service_Insecure_Match",'Scoring_Config'!$A:$A,'Scoring_Config'!$D:$D,"Yes")="Yes",_xlfn.XLOOKUP("Service_Insecure_Match",'Scoring_Config'!$A:$A,'Scoring_Config'!$C:$C,20),0),"False,0")</f>
        <v>0</v>
      </c>
      <c r="AN461" s="4" cm="1">
        <f t="array" ref="AN461">IF(FALSE,"True," &amp; IF(_xlfn.XLOOKUP("Risky_Inbound",'Scoring_Config'!$A:$A,'Scoring_Config'!$D:$D,"Yes")="Yes",_xlfn.XLOOKUP("Risky_Inbound",'Scoring_Config'!$A:$A,'Scoring_Config'!$C:$C,20),0),"False,0")</f>
        <v>0</v>
      </c>
      <c r="AO461" s="4" cm="1">
        <f t="array" ref="AO461">IF(FALSE,"True," &amp; IF(_xlfn.XLOOKUP("Risky_Outbound",'Scoring_Config'!$A:$A,'Scoring_Config'!$D:$D,"Yes")="Yes",_xlfn.XLOOKUP("Risky_Outbound",'Scoring_Config'!$A:$A,'Scoring_Config'!$C:$C,10),0),"False,0")</f>
        <v>0</v>
      </c>
      <c r="AP461" s="5" t="s">
        <v>2595</v>
      </c>
      <c r="AQ461" s="4" cm="1">
        <f t="array" ref="AQ461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1" s="4" t="s">
        <v>2592</v>
      </c>
      <c r="AS461" s="4" t="s">
        <v>2592</v>
      </c>
      <c r="AT461" s="4" t="s">
        <v>2592</v>
      </c>
      <c r="AU461" s="4" cm="1">
        <f t="array" ref="AU461">IF(FALSE,"True," &amp; IF(_xlfn.XLOOKUP("Action_IsDenyOrDrop",'Scoring_Config'!$A:$A,'Scoring_Config'!$D:$D,"Yes")="Yes",_xlfn.XLOOKUP("Action_IsDenyOrDrop",'Scoring_Config'!$A:$A,'Scoring_Config'!$C:$C,0),0),"False,0")</f>
        <v>0</v>
      </c>
      <c r="AV461" s="4"/>
      <c r="AW461" s="4" cm="1">
        <f t="array" ref="AW461">IF(FALSE,"True," &amp; IF(_xlfn.XLOOKUP("Migrate_Insecure",'Scoring_Config'!$A:$A,'Scoring_Config'!$D:$D,"Yes")="Yes",_xlfn.XLOOKUP("Migrate_Insecure",'Scoring_Config'!$A:$A,'Scoring_Config'!$C:$C,15),0),"False,0")</f>
        <v>0</v>
      </c>
      <c r="AX461" s="4"/>
      <c r="AY461" s="4" cm="1">
        <f t="array" ref="AY461">IF(FALSE,"True," &amp; IF(_xlfn.XLOOKUP("Migrate_Other_Ports",'Scoring_Config'!$A:$A,'Scoring_Config'!$D:$D,"Yes")="Yes",_xlfn.XLOOKUP("Migrate_Other_Ports",'Scoring_Config'!$A:$A,'Scoring_Config'!$C:$C,5),0),"False,0")</f>
        <v>0</v>
      </c>
      <c r="AZ461" s="4" cm="1">
        <f t="array" ref="AZ461">IF(LEFT(AU461,4)="True",0,(IF(LEFT(AC461,4)="True",IF(_xlfn.XLOOKUP("Src_IsAny",'Scoring_Config'!$A:$A,'Scoring_Config'!$D:$D,"Yes")="Yes",_xlfn.XLOOKUP("Src_IsAny",'Scoring_Config'!$A:$A,'Scoring_Config'!$C:$C,25),0),0)+IF(LEFT(AD461,4)="True",IF(_xlfn.XLOOKUP("Src_CIDR_Le_16",'Scoring_Config'!$A:$A,'Scoring_Config'!$D:$D,"Yes")="Yes",_xlfn.XLOOKUP("Src_CIDR_Le_16",'Scoring_Config'!$A:$A,'Scoring_Config'!$C:$C,25),0),0)+IF(LEFT(AE461,4)="True",IF(_xlfn.XLOOKUP("Src_CIDR_17_22",'Scoring_Config'!$A:$A,'Scoring_Config'!$D:$D,"Yes")="Yes",_xlfn.XLOOKUP("Src_CIDR_17_22",'Scoring_Config'!$A:$A,'Scoring_Config'!$C:$C,15),0),0)+IF(LEFT(AF461,4)="True",IF(_xlfn.XLOOKUP("Dst_IsAny",'Scoring_Config'!$A:$A,'Scoring_Config'!$D:$D,"Yes")="Yes",_xlfn.XLOOKUP("Dst_IsAny",'Scoring_Config'!$A:$A,'Scoring_Config'!$C:$C,25),0),0)+IF(LEFT(AG461,4)="True",IF(_xlfn.XLOOKUP("Dst_CIDR_Le_16",'Scoring_Config'!$A:$A,'Scoring_Config'!$D:$D,"Yes")="Yes",_xlfn.XLOOKUP("Dst_CIDR_Le_16",'Scoring_Config'!$A:$A,'Scoring_Config'!$C:$C,25),0),0)+IF(LEFT(AH461,4)="True",IF(_xlfn.XLOOKUP("Dst_CIDR_17_22",'Scoring_Config'!$A:$A,'Scoring_Config'!$D:$D,"Yes")="Yes",_xlfn.XLOOKUP("Dst_CIDR_17_22",'Scoring_Config'!$A:$A,'Scoring_Config'!$C:$C,15),0),0)+IF(LEFT(AI461,4)="True",IF(_xlfn.XLOOKUP("SrcZone_IsAny",'Scoring_Config'!$A:$A,'Scoring_Config'!$D:$D,"Yes")="Yes",_xlfn.XLOOKUP("SrcZone_IsAny",'Scoring_Config'!$A:$A,'Scoring_Config'!$C:$C,5),0),0)+IF(LEFT(AJ461,4)="True",IF(_xlfn.XLOOKUP("DstZone_IsAny",'Scoring_Config'!$A:$A,'Scoring_Config'!$D:$D,"Yes")="Yes",_xlfn.XLOOKUP("DstZone_IsAny",'Scoring_Config'!$A:$A,'Scoring_Config'!$C:$C,5),0),0)+IF(LEFT(AK461,4)="True",IF(_xlfn.XLOOKUP("Service_Any_OR_RangeGt1000",'Scoring_Config'!$A:$A,'Scoring_Config'!$D:$D,"Yes")="Yes",_xlfn.XLOOKUP("Service_Any_OR_RangeGt1000",'Scoring_Config'!$A:$A,'Scoring_Config'!$C:$C,25),0),0)+IF(LEFT(AL461,4)="True",IF(_xlfn.XLOOKUP("App_Any_OR_RangeGt1000",'Scoring_Config'!$A:$A,'Scoring_Config'!$D:$D,"Yes")="Yes",_xlfn.XLOOKUP("App_Any_OR_RangeGt1000",'Scoring_Config'!$A:$A,'Scoring_Config'!$C:$C,25),0),0)+IF(LEFT(AM461,4)="True",IF(_xlfn.XLOOKUP("Service_Insecure_Match",'Scoring_Config'!$A:$A,'Scoring_Config'!$D:$D,"Yes")="Yes",_xlfn.XLOOKUP("Service_Insecure_Match",'Scoring_Config'!$A:$A,'Scoring_Config'!$C:$C,20),0),0)+IF(LEFT(AN461,4)="True",IF(_xlfn.XLOOKUP("Risky_Inbound",'Scoring_Config'!$A:$A,'Scoring_Config'!$D:$D,"Yes")="Yes",_xlfn.XLOOKUP("Risky_Inbound",'Scoring_Config'!$A:$A,'Scoring_Config'!$C:$C,20),0),0)+IF(LEFT(AO461,4)="True",IF(_xlfn.XLOOKUP("Risky_Outbound",'Scoring_Config'!$A:$A,'Scoring_Config'!$D:$D,"Yes")="Yes",_xlfn.XLOOKUP("Risky_Outbound",'Scoring_Config'!$A:$A,'Scoring_Config'!$C:$C,10),0),0)+IF(LEFT(AW461,4)="True",IF(_xlfn.XLOOKUP("Migrate_Insecure",'Scoring_Config'!$A:$A,'Scoring_Config'!$D:$D,"Yes")="Yes",_xlfn.XLOOKUP("Migrate_Insecure",'Scoring_Config'!$A:$A,'Scoring_Config'!$C:$C,15),0),0)+IF(LEFT(AY461,4)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461,FIND(",",AP461)+1,100)),0)+IF(LEFT(AQ461,4)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461,FIND(",",AR461)+1,100)),0)+IF(_xlfn.XLOOKUP("Profile_Scoring",'Scoring_Config'!$A:$A,'Scoring_Config'!$D:$D,"Yes")="Yes",VALUE(MID(AS461,FIND(",",AS461)+1,100)),0)+IF(_xlfn.XLOOKUP("Options_Scoring",'Scoring_Config'!$A:$A,'Scoring_Config'!$D:$D,"Yes")="Yes",VALUE(MID(AT461,FIND(",",AT461)+1,100)),0)))</f>
        <v>0</v>
      </c>
    </row>
    <row r="462" spans="1:52">
      <c r="A462" s="3" t="s">
        <v>55</v>
      </c>
      <c r="B462" s="3" t="s">
        <v>142</v>
      </c>
      <c r="C462" s="3" t="s">
        <v>332</v>
      </c>
      <c r="D462" s="3"/>
      <c r="E462" s="3" t="s">
        <v>359</v>
      </c>
      <c r="F462" s="3" t="s">
        <v>361</v>
      </c>
      <c r="G462" s="3" t="s">
        <v>365</v>
      </c>
      <c r="H462" s="3" t="s">
        <v>365</v>
      </c>
      <c r="I462" s="3" t="s">
        <v>624</v>
      </c>
      <c r="J462" s="3" t="s">
        <v>364</v>
      </c>
      <c r="K462" s="3" t="s">
        <v>736</v>
      </c>
      <c r="L462" s="3" t="s">
        <v>736</v>
      </c>
      <c r="M462" s="3" t="s">
        <v>774</v>
      </c>
      <c r="N462" s="3" t="s">
        <v>795</v>
      </c>
      <c r="O462" s="4" t="s">
        <v>808</v>
      </c>
      <c r="P462" s="3" t="s">
        <v>869</v>
      </c>
      <c r="Q462" s="3" t="s">
        <v>905</v>
      </c>
      <c r="R462" s="3" t="s">
        <v>907</v>
      </c>
      <c r="S462" s="3" t="s">
        <v>916</v>
      </c>
      <c r="T462" s="3" t="s">
        <v>1138</v>
      </c>
      <c r="U462" s="3" t="s">
        <v>1145</v>
      </c>
      <c r="V462" s="3" t="s">
        <v>772</v>
      </c>
      <c r="W462" s="3" t="s">
        <v>941</v>
      </c>
      <c r="X462" s="3" t="s">
        <v>2066</v>
      </c>
      <c r="Y462" s="3" t="s">
        <v>2535</v>
      </c>
      <c r="Z462" s="3"/>
      <c r="AA462" s="3"/>
      <c r="AB462" s="3"/>
      <c r="AC462" s="5" cm="1">
        <f t="array" ref="AC462">IF(TRUE,"True," &amp; IF(_xlfn.XLOOKUP("Src_IsAny",'Scoring_Config'!$A:$A,'Scoring_Config'!$D:$D,"Yes")="Yes",_xlfn.XLOOKUP("Src_IsAny",'Scoring_Config'!$A:$A,'Scoring_Config'!$C:$C,25),0),"False,0")</f>
        <v>0</v>
      </c>
      <c r="AD462" s="4" cm="1">
        <f t="array" ref="AD462">IF(FALSE,"True," &amp; IF(_xlfn.XLOOKUP("Src_CIDR_Le_16",'Scoring_Config'!$A:$A,'Scoring_Config'!$D:$D,"Yes")="Yes",_xlfn.XLOOKUP("Src_CIDR_Le_16",'Scoring_Config'!$A:$A,'Scoring_Config'!$C:$C,25),0),"False,0")</f>
        <v>0</v>
      </c>
      <c r="AE462" s="4" cm="1">
        <f t="array" ref="AE462">IF(FALSE,"True," &amp; IF(_xlfn.XLOOKUP("Src_CIDR_17_22",'Scoring_Config'!$A:$A,'Scoring_Config'!$D:$D,"Yes")="Yes",_xlfn.XLOOKUP("Src_CIDR_17_22",'Scoring_Config'!$A:$A,'Scoring_Config'!$C:$C,15),0),"False,0")</f>
        <v>0</v>
      </c>
      <c r="AF462" s="4" cm="1">
        <f t="array" ref="AF462">IF(FALSE,"True," &amp; IF(_xlfn.XLOOKUP("Dst_IsAny",'Scoring_Config'!$A:$A,'Scoring_Config'!$D:$D,"Yes")="Yes",_xlfn.XLOOKUP("Dst_IsAny",'Scoring_Config'!$A:$A,'Scoring_Config'!$C:$C,25),0),"False,0")</f>
        <v>0</v>
      </c>
      <c r="AG462" s="4" cm="1">
        <f t="array" ref="AG462">IF(FALSE,"True," &amp; IF(_xlfn.XLOOKUP("Dst_CIDR_Le_16",'Scoring_Config'!$A:$A,'Scoring_Config'!$D:$D,"Yes")="Yes",_xlfn.XLOOKUP("Dst_CIDR_Le_16",'Scoring_Config'!$A:$A,'Scoring_Config'!$C:$C,25),0),"False,0")</f>
        <v>0</v>
      </c>
      <c r="AH462" s="5" cm="1">
        <f t="array" ref="AH462">IF(TRUE,"True," &amp; IF(_xlfn.XLOOKUP("Dst_CIDR_17_22",'Scoring_Config'!$A:$A,'Scoring_Config'!$D:$D,"Yes")="Yes",_xlfn.XLOOKUP("Dst_CIDR_17_22",'Scoring_Config'!$A:$A,'Scoring_Config'!$C:$C,15),0),"False,0")</f>
        <v>0</v>
      </c>
      <c r="AI462" s="4" cm="1">
        <f t="array" ref="AI462">IF(FALSE,"True," &amp; IF(_xlfn.XLOOKUP("SrcZone_IsAny",'Scoring_Config'!$A:$A,'Scoring_Config'!$D:$D,"Yes")="Yes",_xlfn.XLOOKUP("SrcZone_IsAny",'Scoring_Config'!$A:$A,'Scoring_Config'!$C:$C,5),0),"False,0")</f>
        <v>0</v>
      </c>
      <c r="AJ462" s="4" cm="1">
        <f t="array" ref="AJ462">IF(FALSE,"True," &amp; IF(_xlfn.XLOOKUP("DstZone_IsAny",'Scoring_Config'!$A:$A,'Scoring_Config'!$D:$D,"Yes")="Yes",_xlfn.XLOOKUP("DstZone_IsAny",'Scoring_Config'!$A:$A,'Scoring_Config'!$C:$C,5),0),"False,0")</f>
        <v>0</v>
      </c>
      <c r="AK462" s="4" cm="1">
        <f t="array" ref="AK462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2" s="4" cm="1">
        <f t="array" ref="AL462">IF(FALSE,"True," &amp; IF(_xlfn.XLOOKUP("App_Any_OR_RangeGt1000",'Scoring_Config'!$A:$A,'Scoring_Config'!$D:$D,"Yes")="Yes",_xlfn.XLOOKUP("App_Any_OR_RangeGt1000",'Scoring_Config'!$A:$A,'Scoring_Config'!$C:$C,25),0),"False,0")</f>
        <v>0</v>
      </c>
      <c r="AM462" s="5" cm="1">
        <f t="array" ref="AM462">IF(TRUE,"True," &amp; IF(_xlfn.XLOOKUP("Service_Insecure_Match",'Scoring_Config'!$A:$A,'Scoring_Config'!$D:$D,"Yes")="Yes",_xlfn.XLOOKUP("Service_Insecure_Match",'Scoring_Config'!$A:$A,'Scoring_Config'!$C:$C,20),0),"False,0")</f>
        <v>0</v>
      </c>
      <c r="AN462" s="4" cm="1">
        <f t="array" ref="AN462">IF(FALSE,"True," &amp; IF(_xlfn.XLOOKUP("Risky_Inbound",'Scoring_Config'!$A:$A,'Scoring_Config'!$D:$D,"Yes")="Yes",_xlfn.XLOOKUP("Risky_Inbound",'Scoring_Config'!$A:$A,'Scoring_Config'!$C:$C,20),0),"False,0")</f>
        <v>0</v>
      </c>
      <c r="AO462" s="4" cm="1">
        <f t="array" ref="AO462">IF(FALSE,"True," &amp; IF(_xlfn.XLOOKUP("Risky_Outbound",'Scoring_Config'!$A:$A,'Scoring_Config'!$D:$D,"Yes")="Yes",_xlfn.XLOOKUP("Risky_Outbound",'Scoring_Config'!$A:$A,'Scoring_Config'!$C:$C,10),0),"False,0")</f>
        <v>0</v>
      </c>
      <c r="AP462" s="5" t="s">
        <v>2595</v>
      </c>
      <c r="AQ462" s="5" cm="1">
        <f t="array" ref="AQ462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2" s="5" t="s">
        <v>2598</v>
      </c>
      <c r="AS462" s="5" t="s">
        <v>2595</v>
      </c>
      <c r="AT462" s="4" t="s">
        <v>2592</v>
      </c>
      <c r="AU462" s="4" cm="1">
        <f t="array" ref="AU462">IF(FALSE,"True," &amp; IF(_xlfn.XLOOKUP("Action_IsDenyOrDrop",'Scoring_Config'!$A:$A,'Scoring_Config'!$D:$D,"Yes")="Yes",_xlfn.XLOOKUP("Action_IsDenyOrDrop",'Scoring_Config'!$A:$A,'Scoring_Config'!$C:$C,0),0),"False,0")</f>
        <v>0</v>
      </c>
      <c r="AV462" s="4"/>
      <c r="AW462" s="4" cm="1">
        <f t="array" ref="AW462">IF(FALSE,"True," &amp; IF(_xlfn.XLOOKUP("Migrate_Insecure",'Scoring_Config'!$A:$A,'Scoring_Config'!$D:$D,"Yes")="Yes",_xlfn.XLOOKUP("Migrate_Insecure",'Scoring_Config'!$A:$A,'Scoring_Config'!$C:$C,15),0),"False,0")</f>
        <v>0</v>
      </c>
      <c r="AX462" s="4"/>
      <c r="AY462" s="4" cm="1">
        <f t="array" ref="AY462">IF(FALSE,"True," &amp; IF(_xlfn.XLOOKUP("Migrate_Other_Ports",'Scoring_Config'!$A:$A,'Scoring_Config'!$D:$D,"Yes")="Yes",_xlfn.XLOOKUP("Migrate_Other_Ports",'Scoring_Config'!$A:$A,'Scoring_Config'!$C:$C,5),0),"False,0")</f>
        <v>0</v>
      </c>
      <c r="AZ462" s="4" cm="1">
        <f t="array" ref="AZ462">IF(LEFT(AU462,4)="True",0,(IF(LEFT(AC462,4)="True",IF(_xlfn.XLOOKUP("Src_IsAny",'Scoring_Config'!$A:$A,'Scoring_Config'!$D:$D,"Yes")="Yes",_xlfn.XLOOKUP("Src_IsAny",'Scoring_Config'!$A:$A,'Scoring_Config'!$C:$C,25),0),0)+IF(LEFT(AD462,4)="True",IF(_xlfn.XLOOKUP("Src_CIDR_Le_16",'Scoring_Config'!$A:$A,'Scoring_Config'!$D:$D,"Yes")="Yes",_xlfn.XLOOKUP("Src_CIDR_Le_16",'Scoring_Config'!$A:$A,'Scoring_Config'!$C:$C,25),0),0)+IF(LEFT(AE462,4)="True",IF(_xlfn.XLOOKUP("Src_CIDR_17_22",'Scoring_Config'!$A:$A,'Scoring_Config'!$D:$D,"Yes")="Yes",_xlfn.XLOOKUP("Src_CIDR_17_22",'Scoring_Config'!$A:$A,'Scoring_Config'!$C:$C,15),0),0)+IF(LEFT(AF462,4)="True",IF(_xlfn.XLOOKUP("Dst_IsAny",'Scoring_Config'!$A:$A,'Scoring_Config'!$D:$D,"Yes")="Yes",_xlfn.XLOOKUP("Dst_IsAny",'Scoring_Config'!$A:$A,'Scoring_Config'!$C:$C,25),0),0)+IF(LEFT(AG462,4)="True",IF(_xlfn.XLOOKUP("Dst_CIDR_Le_16",'Scoring_Config'!$A:$A,'Scoring_Config'!$D:$D,"Yes")="Yes",_xlfn.XLOOKUP("Dst_CIDR_Le_16",'Scoring_Config'!$A:$A,'Scoring_Config'!$C:$C,25),0),0)+IF(LEFT(AH462,4)="True",IF(_xlfn.XLOOKUP("Dst_CIDR_17_22",'Scoring_Config'!$A:$A,'Scoring_Config'!$D:$D,"Yes")="Yes",_xlfn.XLOOKUP("Dst_CIDR_17_22",'Scoring_Config'!$A:$A,'Scoring_Config'!$C:$C,15),0),0)+IF(LEFT(AI462,4)="True",IF(_xlfn.XLOOKUP("SrcZone_IsAny",'Scoring_Config'!$A:$A,'Scoring_Config'!$D:$D,"Yes")="Yes",_xlfn.XLOOKUP("SrcZone_IsAny",'Scoring_Config'!$A:$A,'Scoring_Config'!$C:$C,5),0),0)+IF(LEFT(AJ462,4)="True",IF(_xlfn.XLOOKUP("DstZone_IsAny",'Scoring_Config'!$A:$A,'Scoring_Config'!$D:$D,"Yes")="Yes",_xlfn.XLOOKUP("DstZone_IsAny",'Scoring_Config'!$A:$A,'Scoring_Config'!$C:$C,5),0),0)+IF(LEFT(AK462,4)="True",IF(_xlfn.XLOOKUP("Service_Any_OR_RangeGt1000",'Scoring_Config'!$A:$A,'Scoring_Config'!$D:$D,"Yes")="Yes",_xlfn.XLOOKUP("Service_Any_OR_RangeGt1000",'Scoring_Config'!$A:$A,'Scoring_Config'!$C:$C,25),0),0)+IF(LEFT(AL462,4)="True",IF(_xlfn.XLOOKUP("App_Any_OR_RangeGt1000",'Scoring_Config'!$A:$A,'Scoring_Config'!$D:$D,"Yes")="Yes",_xlfn.XLOOKUP("App_Any_OR_RangeGt1000",'Scoring_Config'!$A:$A,'Scoring_Config'!$C:$C,25),0),0)+IF(LEFT(AM462,4)="True",IF(_xlfn.XLOOKUP("Service_Insecure_Match",'Scoring_Config'!$A:$A,'Scoring_Config'!$D:$D,"Yes")="Yes",_xlfn.XLOOKUP("Service_Insecure_Match",'Scoring_Config'!$A:$A,'Scoring_Config'!$C:$C,20),0),0)+IF(LEFT(AN462,4)="True",IF(_xlfn.XLOOKUP("Risky_Inbound",'Scoring_Config'!$A:$A,'Scoring_Config'!$D:$D,"Yes")="Yes",_xlfn.XLOOKUP("Risky_Inbound",'Scoring_Config'!$A:$A,'Scoring_Config'!$C:$C,20),0),0)+IF(LEFT(AO462,4)="True",IF(_xlfn.XLOOKUP("Risky_Outbound",'Scoring_Config'!$A:$A,'Scoring_Config'!$D:$D,"Yes")="Yes",_xlfn.XLOOKUP("Risky_Outbound",'Scoring_Config'!$A:$A,'Scoring_Config'!$C:$C,10),0),0)+IF(LEFT(AW462,4)="True",IF(_xlfn.XLOOKUP("Migrate_Insecure",'Scoring_Config'!$A:$A,'Scoring_Config'!$D:$D,"Yes")="Yes",_xlfn.XLOOKUP("Migrate_Insecure",'Scoring_Config'!$A:$A,'Scoring_Config'!$C:$C,15),0),0)+IF(LEFT(AY462,4)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462,FIND(",",AP462)+1,100)),0)+IF(LEFT(AQ462,4)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462,FIND(",",AR462)+1,100)),0)+IF(_xlfn.XLOOKUP("Profile_Scoring",'Scoring_Config'!$A:$A,'Scoring_Config'!$D:$D,"Yes")="Yes",VALUE(MID(AS462,FIND(",",AS462)+1,100)),0)+IF(_xlfn.XLOOKUP("Options_Scoring",'Scoring_Config'!$A:$A,'Scoring_Config'!$D:$D,"Yes")="Yes",VALUE(MID(AT462,FIND(",",AT462)+1,100)),0)))</f>
        <v>0</v>
      </c>
    </row>
    <row r="463" spans="1:52">
      <c r="A463" s="3" t="s">
        <v>55</v>
      </c>
      <c r="B463" s="3" t="s">
        <v>324</v>
      </c>
      <c r="C463" s="3" t="s">
        <v>332</v>
      </c>
      <c r="D463" s="3"/>
      <c r="E463" s="3" t="s">
        <v>359</v>
      </c>
      <c r="F463" s="3" t="s">
        <v>363</v>
      </c>
      <c r="G463" s="3" t="s">
        <v>522</v>
      </c>
      <c r="H463" s="3" t="s">
        <v>614</v>
      </c>
      <c r="I463" s="3" t="s">
        <v>625</v>
      </c>
      <c r="J463" s="3" t="s">
        <v>364</v>
      </c>
      <c r="K463" s="3" t="s">
        <v>737</v>
      </c>
      <c r="L463" s="3" t="s">
        <v>737</v>
      </c>
      <c r="M463" s="3" t="s">
        <v>365</v>
      </c>
      <c r="N463" s="3" t="s">
        <v>365</v>
      </c>
      <c r="O463" s="4" t="s">
        <v>827</v>
      </c>
      <c r="P463" s="3" t="s">
        <v>888</v>
      </c>
      <c r="Q463" s="3" t="s">
        <v>904</v>
      </c>
      <c r="R463" s="3" t="s">
        <v>910</v>
      </c>
      <c r="S463" s="3" t="s">
        <v>914</v>
      </c>
      <c r="T463" s="3" t="s">
        <v>919</v>
      </c>
      <c r="U463" s="3" t="s">
        <v>1382</v>
      </c>
      <c r="V463" s="3" t="s">
        <v>789</v>
      </c>
      <c r="W463" s="3" t="s">
        <v>1413</v>
      </c>
      <c r="X463" s="3" t="s">
        <v>2067</v>
      </c>
      <c r="Y463" s="3" t="s">
        <v>2536</v>
      </c>
      <c r="Z463" s="3"/>
      <c r="AA463" s="3"/>
      <c r="AB463" s="3"/>
      <c r="AC463" s="5" cm="1">
        <f t="array" ref="AC463">IF(TRUE,"True," &amp; IF(_xlfn.XLOOKUP("Src_IsAny",'Scoring_Config'!$A:$A,'Scoring_Config'!$D:$D,"Yes")="Yes",_xlfn.XLOOKUP("Src_IsAny",'Scoring_Config'!$A:$A,'Scoring_Config'!$C:$C,25),0),"False,0")</f>
        <v>0</v>
      </c>
      <c r="AD463" s="4" cm="1">
        <f t="array" ref="AD463">IF(FALSE,"True," &amp; IF(_xlfn.XLOOKUP("Src_CIDR_Le_16",'Scoring_Config'!$A:$A,'Scoring_Config'!$D:$D,"Yes")="Yes",_xlfn.XLOOKUP("Src_CIDR_Le_16",'Scoring_Config'!$A:$A,'Scoring_Config'!$C:$C,25),0),"False,0")</f>
        <v>0</v>
      </c>
      <c r="AE463" s="4" cm="1">
        <f t="array" ref="AE463">IF(FALSE,"True," &amp; IF(_xlfn.XLOOKUP("Src_CIDR_17_22",'Scoring_Config'!$A:$A,'Scoring_Config'!$D:$D,"Yes")="Yes",_xlfn.XLOOKUP("Src_CIDR_17_22",'Scoring_Config'!$A:$A,'Scoring_Config'!$C:$C,15),0),"False,0")</f>
        <v>0</v>
      </c>
      <c r="AF463" s="4" cm="1">
        <f t="array" ref="AF463">IF(FALSE,"True," &amp; IF(_xlfn.XLOOKUP("Dst_IsAny",'Scoring_Config'!$A:$A,'Scoring_Config'!$D:$D,"Yes")="Yes",_xlfn.XLOOKUP("Dst_IsAny",'Scoring_Config'!$A:$A,'Scoring_Config'!$C:$C,25),0),"False,0")</f>
        <v>0</v>
      </c>
      <c r="AG463" s="4" cm="1">
        <f t="array" ref="AG463">IF(FALSE,"True," &amp; IF(_xlfn.XLOOKUP("Dst_CIDR_Le_16",'Scoring_Config'!$A:$A,'Scoring_Config'!$D:$D,"Yes")="Yes",_xlfn.XLOOKUP("Dst_CIDR_Le_16",'Scoring_Config'!$A:$A,'Scoring_Config'!$C:$C,25),0),"False,0")</f>
        <v>0</v>
      </c>
      <c r="AH463" s="5" cm="1">
        <f t="array" ref="AH463">IF(TRUE,"True," &amp; IF(_xlfn.XLOOKUP("Dst_CIDR_17_22",'Scoring_Config'!$A:$A,'Scoring_Config'!$D:$D,"Yes")="Yes",_xlfn.XLOOKUP("Dst_CIDR_17_22",'Scoring_Config'!$A:$A,'Scoring_Config'!$C:$C,15),0),"False,0")</f>
        <v>0</v>
      </c>
      <c r="AI463" s="4" cm="1">
        <f t="array" ref="AI463">IF(FALSE,"True," &amp; IF(_xlfn.XLOOKUP("SrcZone_IsAny",'Scoring_Config'!$A:$A,'Scoring_Config'!$D:$D,"Yes")="Yes",_xlfn.XLOOKUP("SrcZone_IsAny",'Scoring_Config'!$A:$A,'Scoring_Config'!$C:$C,5),0),"False,0")</f>
        <v>0</v>
      </c>
      <c r="AJ463" s="4" cm="1">
        <f t="array" ref="AJ463">IF(FALSE,"True," &amp; IF(_xlfn.XLOOKUP("DstZone_IsAny",'Scoring_Config'!$A:$A,'Scoring_Config'!$D:$D,"Yes")="Yes",_xlfn.XLOOKUP("DstZone_IsAny",'Scoring_Config'!$A:$A,'Scoring_Config'!$C:$C,5),0),"False,0")</f>
        <v>0</v>
      </c>
      <c r="AK463" s="4" cm="1">
        <f t="array" ref="AK463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3" s="5" cm="1">
        <f t="array" ref="AL463">IF(TRUE,"True," &amp; IF(_xlfn.XLOOKUP("App_Any_OR_RangeGt1000",'Scoring_Config'!$A:$A,'Scoring_Config'!$D:$D,"Yes")="Yes",_xlfn.XLOOKUP("App_Any_OR_RangeGt1000",'Scoring_Config'!$A:$A,'Scoring_Config'!$C:$C,25),0),"False,0")</f>
        <v>0</v>
      </c>
      <c r="AM463" s="5" cm="1">
        <f t="array" ref="AM463">IF(TRUE,"True," &amp; IF(_xlfn.XLOOKUP("Service_Insecure_Match",'Scoring_Config'!$A:$A,'Scoring_Config'!$D:$D,"Yes")="Yes",_xlfn.XLOOKUP("Service_Insecure_Match",'Scoring_Config'!$A:$A,'Scoring_Config'!$C:$C,20),0),"False,0")</f>
        <v>0</v>
      </c>
      <c r="AN463" s="4" cm="1">
        <f t="array" ref="AN463">IF(FALSE,"True," &amp; IF(_xlfn.XLOOKUP("Risky_Inbound",'Scoring_Config'!$A:$A,'Scoring_Config'!$D:$D,"Yes")="Yes",_xlfn.XLOOKUP("Risky_Inbound",'Scoring_Config'!$A:$A,'Scoring_Config'!$C:$C,20),0),"False,0")</f>
        <v>0</v>
      </c>
      <c r="AO463" s="4" cm="1">
        <f t="array" ref="AO463">IF(FALSE,"True," &amp; IF(_xlfn.XLOOKUP("Risky_Outbound",'Scoring_Config'!$A:$A,'Scoring_Config'!$D:$D,"Yes")="Yes",_xlfn.XLOOKUP("Risky_Outbound",'Scoring_Config'!$A:$A,'Scoring_Config'!$C:$C,10),0),"False,0")</f>
        <v>0</v>
      </c>
      <c r="AP463" s="5" t="s">
        <v>2595</v>
      </c>
      <c r="AQ463" s="4" cm="1">
        <f t="array" ref="AQ463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3" s="5" t="s">
        <v>2598</v>
      </c>
      <c r="AS463" s="4" t="s">
        <v>2592</v>
      </c>
      <c r="AT463" s="4" t="s">
        <v>2592</v>
      </c>
      <c r="AU463" s="5" cm="1">
        <f t="array" ref="AU463">IF(TRUE,"True," &amp; IF(_xlfn.XLOOKUP("Action_IsDenyOrDrop",'Scoring_Config'!$A:$A,'Scoring_Config'!$D:$D,"Yes")="Yes",_xlfn.XLOOKUP("Action_IsDenyOrDrop",'Scoring_Config'!$A:$A,'Scoring_Config'!$C:$C,0),0),"False,0")</f>
        <v>0</v>
      </c>
      <c r="AV463" s="4"/>
      <c r="AW463" s="4" cm="1">
        <f t="array" ref="AW463">IF(FALSE,"True," &amp; IF(_xlfn.XLOOKUP("Migrate_Insecure",'Scoring_Config'!$A:$A,'Scoring_Config'!$D:$D,"Yes")="Yes",_xlfn.XLOOKUP("Migrate_Insecure",'Scoring_Config'!$A:$A,'Scoring_Config'!$C:$C,15),0),"False,0")</f>
        <v>0</v>
      </c>
      <c r="AX463" s="4"/>
      <c r="AY463" s="4" cm="1">
        <f t="array" ref="AY463">IF(FALSE,"True," &amp; IF(_xlfn.XLOOKUP("Migrate_Other_Ports",'Scoring_Config'!$A:$A,'Scoring_Config'!$D:$D,"Yes")="Yes",_xlfn.XLOOKUP("Migrate_Other_Ports",'Scoring_Config'!$A:$A,'Scoring_Config'!$C:$C,5),0),"False,0")</f>
        <v>0</v>
      </c>
      <c r="AZ463" s="4" cm="1">
        <f t="array" ref="AZ463">IF(LEFT(AU463,4)="True",0,(IF(LEFT(AC463,4)="True",IF(_xlfn.XLOOKUP("Src_IsAny",'Scoring_Config'!$A:$A,'Scoring_Config'!$D:$D,"Yes")="Yes",_xlfn.XLOOKUP("Src_IsAny",'Scoring_Config'!$A:$A,'Scoring_Config'!$C:$C,25),0),0)+IF(LEFT(AD463,4)="True",IF(_xlfn.XLOOKUP("Src_CIDR_Le_16",'Scoring_Config'!$A:$A,'Scoring_Config'!$D:$D,"Yes")="Yes",_xlfn.XLOOKUP("Src_CIDR_Le_16",'Scoring_Config'!$A:$A,'Scoring_Config'!$C:$C,25),0),0)+IF(LEFT(AE463,4)="True",IF(_xlfn.XLOOKUP("Src_CIDR_17_22",'Scoring_Config'!$A:$A,'Scoring_Config'!$D:$D,"Yes")="Yes",_xlfn.XLOOKUP("Src_CIDR_17_22",'Scoring_Config'!$A:$A,'Scoring_Config'!$C:$C,15),0),0)+IF(LEFT(AF463,4)="True",IF(_xlfn.XLOOKUP("Dst_IsAny",'Scoring_Config'!$A:$A,'Scoring_Config'!$D:$D,"Yes")="Yes",_xlfn.XLOOKUP("Dst_IsAny",'Scoring_Config'!$A:$A,'Scoring_Config'!$C:$C,25),0),0)+IF(LEFT(AG463,4)="True",IF(_xlfn.XLOOKUP("Dst_CIDR_Le_16",'Scoring_Config'!$A:$A,'Scoring_Config'!$D:$D,"Yes")="Yes",_xlfn.XLOOKUP("Dst_CIDR_Le_16",'Scoring_Config'!$A:$A,'Scoring_Config'!$C:$C,25),0),0)+IF(LEFT(AH463,4)="True",IF(_xlfn.XLOOKUP("Dst_CIDR_17_22",'Scoring_Config'!$A:$A,'Scoring_Config'!$D:$D,"Yes")="Yes",_xlfn.XLOOKUP("Dst_CIDR_17_22",'Scoring_Config'!$A:$A,'Scoring_Config'!$C:$C,15),0),0)+IF(LEFT(AI463,4)="True",IF(_xlfn.XLOOKUP("SrcZone_IsAny",'Scoring_Config'!$A:$A,'Scoring_Config'!$D:$D,"Yes")="Yes",_xlfn.XLOOKUP("SrcZone_IsAny",'Scoring_Config'!$A:$A,'Scoring_Config'!$C:$C,5),0),0)+IF(LEFT(AJ463,4)="True",IF(_xlfn.XLOOKUP("DstZone_IsAny",'Scoring_Config'!$A:$A,'Scoring_Config'!$D:$D,"Yes")="Yes",_xlfn.XLOOKUP("DstZone_IsAny",'Scoring_Config'!$A:$A,'Scoring_Config'!$C:$C,5),0),0)+IF(LEFT(AK463,4)="True",IF(_xlfn.XLOOKUP("Service_Any_OR_RangeGt1000",'Scoring_Config'!$A:$A,'Scoring_Config'!$D:$D,"Yes")="Yes",_xlfn.XLOOKUP("Service_Any_OR_RangeGt1000",'Scoring_Config'!$A:$A,'Scoring_Config'!$C:$C,25),0),0)+IF(LEFT(AL463,4)="True",IF(_xlfn.XLOOKUP("App_Any_OR_RangeGt1000",'Scoring_Config'!$A:$A,'Scoring_Config'!$D:$D,"Yes")="Yes",_xlfn.XLOOKUP("App_Any_OR_RangeGt1000",'Scoring_Config'!$A:$A,'Scoring_Config'!$C:$C,25),0),0)+IF(LEFT(AM463,4)="True",IF(_xlfn.XLOOKUP("Service_Insecure_Match",'Scoring_Config'!$A:$A,'Scoring_Config'!$D:$D,"Yes")="Yes",_xlfn.XLOOKUP("Service_Insecure_Match",'Scoring_Config'!$A:$A,'Scoring_Config'!$C:$C,20),0),0)+IF(LEFT(AN463,4)="True",IF(_xlfn.XLOOKUP("Risky_Inbound",'Scoring_Config'!$A:$A,'Scoring_Config'!$D:$D,"Yes")="Yes",_xlfn.XLOOKUP("Risky_Inbound",'Scoring_Config'!$A:$A,'Scoring_Config'!$C:$C,20),0),0)+IF(LEFT(AO463,4)="True",IF(_xlfn.XLOOKUP("Risky_Outbound",'Scoring_Config'!$A:$A,'Scoring_Config'!$D:$D,"Yes")="Yes",_xlfn.XLOOKUP("Risky_Outbound",'Scoring_Config'!$A:$A,'Scoring_Config'!$C:$C,10),0),0)+IF(LEFT(AW463,4)="True",IF(_xlfn.XLOOKUP("Migrate_Insecure",'Scoring_Config'!$A:$A,'Scoring_Config'!$D:$D,"Yes")="Yes",_xlfn.XLOOKUP("Migrate_Insecure",'Scoring_Config'!$A:$A,'Scoring_Config'!$C:$C,15),0),0)+IF(LEFT(AY463,4)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463,FIND(",",AP463)+1,100)),0)+IF(LEFT(AQ463,4)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463,FIND(",",AR463)+1,100)),0)+IF(_xlfn.XLOOKUP("Profile_Scoring",'Scoring_Config'!$A:$A,'Scoring_Config'!$D:$D,"Yes")="Yes",VALUE(MID(AS463,FIND(",",AS463)+1,100)),0)+IF(_xlfn.XLOOKUP("Options_Scoring",'Scoring_Config'!$A:$A,'Scoring_Config'!$D:$D,"Yes")="Yes",VALUE(MID(AT463,FIND(",",AT463)+1,100)),0)))</f>
        <v>0</v>
      </c>
    </row>
    <row r="464" spans="1:52">
      <c r="A464" s="3" t="s">
        <v>55</v>
      </c>
      <c r="B464" s="3" t="s">
        <v>325</v>
      </c>
      <c r="C464" s="3" t="s">
        <v>332</v>
      </c>
      <c r="D464" s="3"/>
      <c r="E464" s="3" t="s">
        <v>359</v>
      </c>
      <c r="F464" s="3" t="s">
        <v>361</v>
      </c>
      <c r="G464" s="3" t="s">
        <v>365</v>
      </c>
      <c r="H464" s="3" t="s">
        <v>365</v>
      </c>
      <c r="I464" s="3" t="s">
        <v>624</v>
      </c>
      <c r="J464" s="3" t="s">
        <v>364</v>
      </c>
      <c r="K464" s="3" t="s">
        <v>365</v>
      </c>
      <c r="L464" s="3" t="s">
        <v>365</v>
      </c>
      <c r="M464" s="3" t="s">
        <v>365</v>
      </c>
      <c r="N464" s="3" t="s">
        <v>365</v>
      </c>
      <c r="O464" s="4" t="s">
        <v>801</v>
      </c>
      <c r="P464" s="3" t="s">
        <v>862</v>
      </c>
      <c r="Q464" s="3" t="s">
        <v>905</v>
      </c>
      <c r="R464" s="3" t="s">
        <v>907</v>
      </c>
      <c r="S464" s="3" t="s">
        <v>912</v>
      </c>
      <c r="T464" s="3" t="s">
        <v>1139</v>
      </c>
      <c r="U464" s="3" t="s">
        <v>1383</v>
      </c>
      <c r="V464" s="3" t="s">
        <v>770</v>
      </c>
      <c r="W464" s="3" t="s">
        <v>965</v>
      </c>
      <c r="X464" s="3" t="s">
        <v>2068</v>
      </c>
      <c r="Y464" s="3" t="s">
        <v>2537</v>
      </c>
      <c r="Z464" s="3"/>
      <c r="AA464" s="3"/>
      <c r="AB464" s="3"/>
      <c r="AC464" s="5" cm="1">
        <f t="array" ref="AC464">IF(TRUE,"True," &amp; IF(_xlfn.XLOOKUP("Src_IsAny",'Scoring_Config'!$A:$A,'Scoring_Config'!$D:$D,"Yes")="Yes",_xlfn.XLOOKUP("Src_IsAny",'Scoring_Config'!$A:$A,'Scoring_Config'!$C:$C,25),0),"False,0")</f>
        <v>0</v>
      </c>
      <c r="AD464" s="4" cm="1">
        <f t="array" ref="AD464">IF(FALSE,"True," &amp; IF(_xlfn.XLOOKUP("Src_CIDR_Le_16",'Scoring_Config'!$A:$A,'Scoring_Config'!$D:$D,"Yes")="Yes",_xlfn.XLOOKUP("Src_CIDR_Le_16",'Scoring_Config'!$A:$A,'Scoring_Config'!$C:$C,25),0),"False,0")</f>
        <v>0</v>
      </c>
      <c r="AE464" s="4" cm="1">
        <f t="array" ref="AE464">IF(FALSE,"True," &amp; IF(_xlfn.XLOOKUP("Src_CIDR_17_22",'Scoring_Config'!$A:$A,'Scoring_Config'!$D:$D,"Yes")="Yes",_xlfn.XLOOKUP("Src_CIDR_17_22",'Scoring_Config'!$A:$A,'Scoring_Config'!$C:$C,15),0),"False,0")</f>
        <v>0</v>
      </c>
      <c r="AF464" s="5" cm="1">
        <f t="array" ref="AF464">IF(TRUE,"True," &amp; IF(_xlfn.XLOOKUP("Dst_IsAny",'Scoring_Config'!$A:$A,'Scoring_Config'!$D:$D,"Yes")="Yes",_xlfn.XLOOKUP("Dst_IsAny",'Scoring_Config'!$A:$A,'Scoring_Config'!$C:$C,25),0),"False,0")</f>
        <v>0</v>
      </c>
      <c r="AG464" s="4" cm="1">
        <f t="array" ref="AG464">IF(FALSE,"True," &amp; IF(_xlfn.XLOOKUP("Dst_CIDR_Le_16",'Scoring_Config'!$A:$A,'Scoring_Config'!$D:$D,"Yes")="Yes",_xlfn.XLOOKUP("Dst_CIDR_Le_16",'Scoring_Config'!$A:$A,'Scoring_Config'!$C:$C,25),0),"False,0")</f>
        <v>0</v>
      </c>
      <c r="AH464" s="4" cm="1">
        <f t="array" ref="AH464">IF(FALSE,"True," &amp; IF(_xlfn.XLOOKUP("Dst_CIDR_17_22",'Scoring_Config'!$A:$A,'Scoring_Config'!$D:$D,"Yes")="Yes",_xlfn.XLOOKUP("Dst_CIDR_17_22",'Scoring_Config'!$A:$A,'Scoring_Config'!$C:$C,15),0),"False,0")</f>
        <v>0</v>
      </c>
      <c r="AI464" s="4" cm="1">
        <f t="array" ref="AI464">IF(FALSE,"True," &amp; IF(_xlfn.XLOOKUP("SrcZone_IsAny",'Scoring_Config'!$A:$A,'Scoring_Config'!$D:$D,"Yes")="Yes",_xlfn.XLOOKUP("SrcZone_IsAny",'Scoring_Config'!$A:$A,'Scoring_Config'!$C:$C,5),0),"False,0")</f>
        <v>0</v>
      </c>
      <c r="AJ464" s="4" cm="1">
        <f t="array" ref="AJ464">IF(FALSE,"True," &amp; IF(_xlfn.XLOOKUP("DstZone_IsAny",'Scoring_Config'!$A:$A,'Scoring_Config'!$D:$D,"Yes")="Yes",_xlfn.XLOOKUP("DstZone_IsAny",'Scoring_Config'!$A:$A,'Scoring_Config'!$C:$C,5),0),"False,0")</f>
        <v>0</v>
      </c>
      <c r="AK464" s="4" cm="1">
        <f t="array" ref="AK464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4" s="5" cm="1">
        <f t="array" ref="AL464">IF(TRUE,"True," &amp; IF(_xlfn.XLOOKUP("App_Any_OR_RangeGt1000",'Scoring_Config'!$A:$A,'Scoring_Config'!$D:$D,"Yes")="Yes",_xlfn.XLOOKUP("App_Any_OR_RangeGt1000",'Scoring_Config'!$A:$A,'Scoring_Config'!$C:$C,25),0),"False,0")</f>
        <v>0</v>
      </c>
      <c r="AM464" s="5" cm="1">
        <f t="array" ref="AM464">IF(TRUE,"True," &amp; IF(_xlfn.XLOOKUP("Service_Insecure_Match",'Scoring_Config'!$A:$A,'Scoring_Config'!$D:$D,"Yes")="Yes",_xlfn.XLOOKUP("Service_Insecure_Match",'Scoring_Config'!$A:$A,'Scoring_Config'!$C:$C,20),0),"False,0")</f>
        <v>0</v>
      </c>
      <c r="AN464" s="4" cm="1">
        <f t="array" ref="AN464">IF(FALSE,"True," &amp; IF(_xlfn.XLOOKUP("Risky_Inbound",'Scoring_Config'!$A:$A,'Scoring_Config'!$D:$D,"Yes")="Yes",_xlfn.XLOOKUP("Risky_Inbound",'Scoring_Config'!$A:$A,'Scoring_Config'!$C:$C,20),0),"False,0")</f>
        <v>0</v>
      </c>
      <c r="AO464" s="4" cm="1">
        <f t="array" ref="AO464">IF(FALSE,"True," &amp; IF(_xlfn.XLOOKUP("Risky_Outbound",'Scoring_Config'!$A:$A,'Scoring_Config'!$D:$D,"Yes")="Yes",_xlfn.XLOOKUP("Risky_Outbound",'Scoring_Config'!$A:$A,'Scoring_Config'!$C:$C,10),0),"False,0")</f>
        <v>0</v>
      </c>
      <c r="AP464" s="5" t="s">
        <v>2595</v>
      </c>
      <c r="AQ464" s="4" cm="1">
        <f t="array" ref="AQ464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4" s="5" t="s">
        <v>2598</v>
      </c>
      <c r="AS464" s="5" t="s">
        <v>2595</v>
      </c>
      <c r="AT464" s="4" t="s">
        <v>2592</v>
      </c>
      <c r="AU464" s="4" cm="1">
        <f t="array" ref="AU464">IF(FALSE,"True," &amp; IF(_xlfn.XLOOKUP("Action_IsDenyOrDrop",'Scoring_Config'!$A:$A,'Scoring_Config'!$D:$D,"Yes")="Yes",_xlfn.XLOOKUP("Action_IsDenyOrDrop",'Scoring_Config'!$A:$A,'Scoring_Config'!$C:$C,0),0),"False,0")</f>
        <v>0</v>
      </c>
      <c r="AV464" s="4"/>
      <c r="AW464" s="4" cm="1">
        <f t="array" ref="AW464">IF(FALSE,"True," &amp; IF(_xlfn.XLOOKUP("Migrate_Insecure",'Scoring_Config'!$A:$A,'Scoring_Config'!$D:$D,"Yes")="Yes",_xlfn.XLOOKUP("Migrate_Insecure",'Scoring_Config'!$A:$A,'Scoring_Config'!$C:$C,15),0),"False,0")</f>
        <v>0</v>
      </c>
      <c r="AX464" s="4"/>
      <c r="AY464" s="4" cm="1">
        <f t="array" ref="AY464">IF(FALSE,"True," &amp; IF(_xlfn.XLOOKUP("Migrate_Other_Ports",'Scoring_Config'!$A:$A,'Scoring_Config'!$D:$D,"Yes")="Yes",_xlfn.XLOOKUP("Migrate_Other_Ports",'Scoring_Config'!$A:$A,'Scoring_Config'!$C:$C,5),0),"False,0")</f>
        <v>0</v>
      </c>
      <c r="AZ464" s="4" cm="1">
        <f t="array" ref="AZ464">IF(LEFT(AU464,4)="True",0,(IF(LEFT(AC464,4)="True",IF(_xlfn.XLOOKUP("Src_IsAny",'Scoring_Config'!$A:$A,'Scoring_Config'!$D:$D,"Yes")="Yes",_xlfn.XLOOKUP("Src_IsAny",'Scoring_Config'!$A:$A,'Scoring_Config'!$C:$C,25),0),0)+IF(LEFT(AD464,4)="True",IF(_xlfn.XLOOKUP("Src_CIDR_Le_16",'Scoring_Config'!$A:$A,'Scoring_Config'!$D:$D,"Yes")="Yes",_xlfn.XLOOKUP("Src_CIDR_Le_16",'Scoring_Config'!$A:$A,'Scoring_Config'!$C:$C,25),0),0)+IF(LEFT(AE464,4)="True",IF(_xlfn.XLOOKUP("Src_CIDR_17_22",'Scoring_Config'!$A:$A,'Scoring_Config'!$D:$D,"Yes")="Yes",_xlfn.XLOOKUP("Src_CIDR_17_22",'Scoring_Config'!$A:$A,'Scoring_Config'!$C:$C,15),0),0)+IF(LEFT(AF464,4)="True",IF(_xlfn.XLOOKUP("Dst_IsAny",'Scoring_Config'!$A:$A,'Scoring_Config'!$D:$D,"Yes")="Yes",_xlfn.XLOOKUP("Dst_IsAny",'Scoring_Config'!$A:$A,'Scoring_Config'!$C:$C,25),0),0)+IF(LEFT(AG464,4)="True",IF(_xlfn.XLOOKUP("Dst_CIDR_Le_16",'Scoring_Config'!$A:$A,'Scoring_Config'!$D:$D,"Yes")="Yes",_xlfn.XLOOKUP("Dst_CIDR_Le_16",'Scoring_Config'!$A:$A,'Scoring_Config'!$C:$C,25),0),0)+IF(LEFT(AH464,4)="True",IF(_xlfn.XLOOKUP("Dst_CIDR_17_22",'Scoring_Config'!$A:$A,'Scoring_Config'!$D:$D,"Yes")="Yes",_xlfn.XLOOKUP("Dst_CIDR_17_22",'Scoring_Config'!$A:$A,'Scoring_Config'!$C:$C,15),0),0)+IF(LEFT(AI464,4)="True",IF(_xlfn.XLOOKUP("SrcZone_IsAny",'Scoring_Config'!$A:$A,'Scoring_Config'!$D:$D,"Yes")="Yes",_xlfn.XLOOKUP("SrcZone_IsAny",'Scoring_Config'!$A:$A,'Scoring_Config'!$C:$C,5),0),0)+IF(LEFT(AJ464,4)="True",IF(_xlfn.XLOOKUP("DstZone_IsAny",'Scoring_Config'!$A:$A,'Scoring_Config'!$D:$D,"Yes")="Yes",_xlfn.XLOOKUP("DstZone_IsAny",'Scoring_Config'!$A:$A,'Scoring_Config'!$C:$C,5),0),0)+IF(LEFT(AK464,4)="True",IF(_xlfn.XLOOKUP("Service_Any_OR_RangeGt1000",'Scoring_Config'!$A:$A,'Scoring_Config'!$D:$D,"Yes")="Yes",_xlfn.XLOOKUP("Service_Any_OR_RangeGt1000",'Scoring_Config'!$A:$A,'Scoring_Config'!$C:$C,25),0),0)+IF(LEFT(AL464,4)="True",IF(_xlfn.XLOOKUP("App_Any_OR_RangeGt1000",'Scoring_Config'!$A:$A,'Scoring_Config'!$D:$D,"Yes")="Yes",_xlfn.XLOOKUP("App_Any_OR_RangeGt1000",'Scoring_Config'!$A:$A,'Scoring_Config'!$C:$C,25),0),0)+IF(LEFT(AM464,4)="True",IF(_xlfn.XLOOKUP("Service_Insecure_Match",'Scoring_Config'!$A:$A,'Scoring_Config'!$D:$D,"Yes")="Yes",_xlfn.XLOOKUP("Service_Insecure_Match",'Scoring_Config'!$A:$A,'Scoring_Config'!$C:$C,20),0),0)+IF(LEFT(AN464,4)="True",IF(_xlfn.XLOOKUP("Risky_Inbound",'Scoring_Config'!$A:$A,'Scoring_Config'!$D:$D,"Yes")="Yes",_xlfn.XLOOKUP("Risky_Inbound",'Scoring_Config'!$A:$A,'Scoring_Config'!$C:$C,20),0),0)+IF(LEFT(AO464,4)="True",IF(_xlfn.XLOOKUP("Risky_Outbound",'Scoring_Config'!$A:$A,'Scoring_Config'!$D:$D,"Yes")="Yes",_xlfn.XLOOKUP("Risky_Outbound",'Scoring_Config'!$A:$A,'Scoring_Config'!$C:$C,10),0),0)+IF(LEFT(AW464,4)="True",IF(_xlfn.XLOOKUP("Migrate_Insecure",'Scoring_Config'!$A:$A,'Scoring_Config'!$D:$D,"Yes")="Yes",_xlfn.XLOOKUP("Migrate_Insecure",'Scoring_Config'!$A:$A,'Scoring_Config'!$C:$C,15),0),0)+IF(LEFT(AY464,4)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464,FIND(",",AP464)+1,100)),0)+IF(LEFT(AQ464,4)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464,FIND(",",AR464)+1,100)),0)+IF(_xlfn.XLOOKUP("Profile_Scoring",'Scoring_Config'!$A:$A,'Scoring_Config'!$D:$D,"Yes")="Yes",VALUE(MID(AS464,FIND(",",AS464)+1,100)),0)+IF(_xlfn.XLOOKUP("Options_Scoring",'Scoring_Config'!$A:$A,'Scoring_Config'!$D:$D,"Yes")="Yes",VALUE(MID(AT464,FIND(",",AT464)+1,100)),0)))</f>
        <v>0</v>
      </c>
    </row>
    <row r="465" spans="1:52">
      <c r="A465" s="3" t="s">
        <v>55</v>
      </c>
      <c r="B465" s="3" t="s">
        <v>326</v>
      </c>
      <c r="C465" s="3" t="s">
        <v>332</v>
      </c>
      <c r="D465" s="3"/>
      <c r="E465" s="3" t="s">
        <v>359</v>
      </c>
      <c r="F465" s="3" t="s">
        <v>361</v>
      </c>
      <c r="G465" s="3" t="s">
        <v>365</v>
      </c>
      <c r="H465" s="3" t="s">
        <v>365</v>
      </c>
      <c r="I465" s="3" t="s">
        <v>623</v>
      </c>
      <c r="J465" s="3" t="s">
        <v>364</v>
      </c>
      <c r="K465" s="3" t="s">
        <v>365</v>
      </c>
      <c r="L465" s="3" t="s">
        <v>365</v>
      </c>
      <c r="M465" s="3" t="s">
        <v>365</v>
      </c>
      <c r="N465" s="3" t="s">
        <v>365</v>
      </c>
      <c r="O465" s="4" t="s">
        <v>834</v>
      </c>
      <c r="P465" s="3" t="s">
        <v>895</v>
      </c>
      <c r="Q465" s="3" t="s">
        <v>905</v>
      </c>
      <c r="R465" s="3" t="s">
        <v>907</v>
      </c>
      <c r="S465" s="3" t="s">
        <v>913</v>
      </c>
      <c r="T465" s="3" t="s">
        <v>919</v>
      </c>
      <c r="U465" s="3" t="s">
        <v>1384</v>
      </c>
      <c r="V465" s="3" t="s">
        <v>1389</v>
      </c>
      <c r="W465" s="3" t="s">
        <v>1480</v>
      </c>
      <c r="X465" s="3" t="s">
        <v>2069</v>
      </c>
      <c r="Y465" s="3" t="s">
        <v>2538</v>
      </c>
      <c r="Z465" s="3"/>
      <c r="AA465" s="3"/>
      <c r="AB465" s="3"/>
      <c r="AC465" s="5" cm="1">
        <f t="array" ref="AC465">IF(TRUE,"True," &amp; IF(_xlfn.XLOOKUP("Src_IsAny",'Scoring_Config'!$A:$A,'Scoring_Config'!$D:$D,"Yes")="Yes",_xlfn.XLOOKUP("Src_IsAny",'Scoring_Config'!$A:$A,'Scoring_Config'!$C:$C,25),0),"False,0")</f>
        <v>0</v>
      </c>
      <c r="AD465" s="4" cm="1">
        <f t="array" ref="AD465">IF(FALSE,"True," &amp; IF(_xlfn.XLOOKUP("Src_CIDR_Le_16",'Scoring_Config'!$A:$A,'Scoring_Config'!$D:$D,"Yes")="Yes",_xlfn.XLOOKUP("Src_CIDR_Le_16",'Scoring_Config'!$A:$A,'Scoring_Config'!$C:$C,25),0),"False,0")</f>
        <v>0</v>
      </c>
      <c r="AE465" s="4" cm="1">
        <f t="array" ref="AE465">IF(FALSE,"True," &amp; IF(_xlfn.XLOOKUP("Src_CIDR_17_22",'Scoring_Config'!$A:$A,'Scoring_Config'!$D:$D,"Yes")="Yes",_xlfn.XLOOKUP("Src_CIDR_17_22",'Scoring_Config'!$A:$A,'Scoring_Config'!$C:$C,15),0),"False,0")</f>
        <v>0</v>
      </c>
      <c r="AF465" s="5" cm="1">
        <f t="array" ref="AF465">IF(TRUE,"True," &amp; IF(_xlfn.XLOOKUP("Dst_IsAny",'Scoring_Config'!$A:$A,'Scoring_Config'!$D:$D,"Yes")="Yes",_xlfn.XLOOKUP("Dst_IsAny",'Scoring_Config'!$A:$A,'Scoring_Config'!$C:$C,25),0),"False,0")</f>
        <v>0</v>
      </c>
      <c r="AG465" s="4" cm="1">
        <f t="array" ref="AG465">IF(FALSE,"True," &amp; IF(_xlfn.XLOOKUP("Dst_CIDR_Le_16",'Scoring_Config'!$A:$A,'Scoring_Config'!$D:$D,"Yes")="Yes",_xlfn.XLOOKUP("Dst_CIDR_Le_16",'Scoring_Config'!$A:$A,'Scoring_Config'!$C:$C,25),0),"False,0")</f>
        <v>0</v>
      </c>
      <c r="AH465" s="4" cm="1">
        <f t="array" ref="AH465">IF(FALSE,"True," &amp; IF(_xlfn.XLOOKUP("Dst_CIDR_17_22",'Scoring_Config'!$A:$A,'Scoring_Config'!$D:$D,"Yes")="Yes",_xlfn.XLOOKUP("Dst_CIDR_17_22",'Scoring_Config'!$A:$A,'Scoring_Config'!$C:$C,15),0),"False,0")</f>
        <v>0</v>
      </c>
      <c r="AI465" s="4" cm="1">
        <f t="array" ref="AI465">IF(FALSE,"True," &amp; IF(_xlfn.XLOOKUP("SrcZone_IsAny",'Scoring_Config'!$A:$A,'Scoring_Config'!$D:$D,"Yes")="Yes",_xlfn.XLOOKUP("SrcZone_IsAny",'Scoring_Config'!$A:$A,'Scoring_Config'!$C:$C,5),0),"False,0")</f>
        <v>0</v>
      </c>
      <c r="AJ465" s="4" cm="1">
        <f t="array" ref="AJ465">IF(FALSE,"True," &amp; IF(_xlfn.XLOOKUP("DstZone_IsAny",'Scoring_Config'!$A:$A,'Scoring_Config'!$D:$D,"Yes")="Yes",_xlfn.XLOOKUP("DstZone_IsAny",'Scoring_Config'!$A:$A,'Scoring_Config'!$C:$C,5),0),"False,0")</f>
        <v>0</v>
      </c>
      <c r="AK465" s="4" cm="1">
        <f t="array" ref="AK465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5" s="5" cm="1">
        <f t="array" ref="AL465">IF(TRUE,"True," &amp; IF(_xlfn.XLOOKUP("App_Any_OR_RangeGt1000",'Scoring_Config'!$A:$A,'Scoring_Config'!$D:$D,"Yes")="Yes",_xlfn.XLOOKUP("App_Any_OR_RangeGt1000",'Scoring_Config'!$A:$A,'Scoring_Config'!$C:$C,25),0),"False,0")</f>
        <v>0</v>
      </c>
      <c r="AM465" s="5" cm="1">
        <f t="array" ref="AM465">IF(TRUE,"True," &amp; IF(_xlfn.XLOOKUP("Service_Insecure_Match",'Scoring_Config'!$A:$A,'Scoring_Config'!$D:$D,"Yes")="Yes",_xlfn.XLOOKUP("Service_Insecure_Match",'Scoring_Config'!$A:$A,'Scoring_Config'!$C:$C,20),0),"False,0")</f>
        <v>0</v>
      </c>
      <c r="AN465" s="4" cm="1">
        <f t="array" ref="AN465">IF(FALSE,"True," &amp; IF(_xlfn.XLOOKUP("Risky_Inbound",'Scoring_Config'!$A:$A,'Scoring_Config'!$D:$D,"Yes")="Yes",_xlfn.XLOOKUP("Risky_Inbound",'Scoring_Config'!$A:$A,'Scoring_Config'!$C:$C,20),0),"False,0")</f>
        <v>0</v>
      </c>
      <c r="AO465" s="4" cm="1">
        <f t="array" ref="AO465">IF(FALSE,"True," &amp; IF(_xlfn.XLOOKUP("Risky_Outbound",'Scoring_Config'!$A:$A,'Scoring_Config'!$D:$D,"Yes")="Yes",_xlfn.XLOOKUP("Risky_Outbound",'Scoring_Config'!$A:$A,'Scoring_Config'!$C:$C,10),0),"False,0")</f>
        <v>0</v>
      </c>
      <c r="AP465" s="5" t="s">
        <v>2595</v>
      </c>
      <c r="AQ465" s="4" cm="1">
        <f t="array" ref="AQ465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5" s="5" t="s">
        <v>2598</v>
      </c>
      <c r="AS465" s="5" t="s">
        <v>2595</v>
      </c>
      <c r="AT465" s="4" t="s">
        <v>2592</v>
      </c>
      <c r="AU465" s="4" cm="1">
        <f t="array" ref="AU465">IF(FALSE,"True," &amp; IF(_xlfn.XLOOKUP("Action_IsDenyOrDrop",'Scoring_Config'!$A:$A,'Scoring_Config'!$D:$D,"Yes")="Yes",_xlfn.XLOOKUP("Action_IsDenyOrDrop",'Scoring_Config'!$A:$A,'Scoring_Config'!$C:$C,0),0),"False,0")</f>
        <v>0</v>
      </c>
      <c r="AV465" s="4"/>
      <c r="AW465" s="4" cm="1">
        <f t="array" ref="AW465">IF(FALSE,"True," &amp; IF(_xlfn.XLOOKUP("Migrate_Insecure",'Scoring_Config'!$A:$A,'Scoring_Config'!$D:$D,"Yes")="Yes",_xlfn.XLOOKUP("Migrate_Insecure",'Scoring_Config'!$A:$A,'Scoring_Config'!$C:$C,15),0),"False,0")</f>
        <v>0</v>
      </c>
      <c r="AX465" s="4"/>
      <c r="AY465" s="4" cm="1">
        <f t="array" ref="AY465">IF(FALSE,"True," &amp; IF(_xlfn.XLOOKUP("Migrate_Other_Ports",'Scoring_Config'!$A:$A,'Scoring_Config'!$D:$D,"Yes")="Yes",_xlfn.XLOOKUP("Migrate_Other_Ports",'Scoring_Config'!$A:$A,'Scoring_Config'!$C:$C,5),0),"False,0")</f>
        <v>0</v>
      </c>
      <c r="AZ465" s="4" cm="1">
        <f t="array" ref="AZ465">IF(LEFT(AU465,4)="True",0,(IF(LEFT(AC465,4)="True",IF(_xlfn.XLOOKUP("Src_IsAny",'Scoring_Config'!$A:$A,'Scoring_Config'!$D:$D,"Yes")="Yes",_xlfn.XLOOKUP("Src_IsAny",'Scoring_Config'!$A:$A,'Scoring_Config'!$C:$C,25),0),0)+IF(LEFT(AD465,4)="True",IF(_xlfn.XLOOKUP("Src_CIDR_Le_16",'Scoring_Config'!$A:$A,'Scoring_Config'!$D:$D,"Yes")="Yes",_xlfn.XLOOKUP("Src_CIDR_Le_16",'Scoring_Config'!$A:$A,'Scoring_Config'!$C:$C,25),0),0)+IF(LEFT(AE465,4)="True",IF(_xlfn.XLOOKUP("Src_CIDR_17_22",'Scoring_Config'!$A:$A,'Scoring_Config'!$D:$D,"Yes")="Yes",_xlfn.XLOOKUP("Src_CIDR_17_22",'Scoring_Config'!$A:$A,'Scoring_Config'!$C:$C,15),0),0)+IF(LEFT(AF465,4)="True",IF(_xlfn.XLOOKUP("Dst_IsAny",'Scoring_Config'!$A:$A,'Scoring_Config'!$D:$D,"Yes")="Yes",_xlfn.XLOOKUP("Dst_IsAny",'Scoring_Config'!$A:$A,'Scoring_Config'!$C:$C,25),0),0)+IF(LEFT(AG465,4)="True",IF(_xlfn.XLOOKUP("Dst_CIDR_Le_16",'Scoring_Config'!$A:$A,'Scoring_Config'!$D:$D,"Yes")="Yes",_xlfn.XLOOKUP("Dst_CIDR_Le_16",'Scoring_Config'!$A:$A,'Scoring_Config'!$C:$C,25),0),0)+IF(LEFT(AH465,4)="True",IF(_xlfn.XLOOKUP("Dst_CIDR_17_22",'Scoring_Config'!$A:$A,'Scoring_Config'!$D:$D,"Yes")="Yes",_xlfn.XLOOKUP("Dst_CIDR_17_22",'Scoring_Config'!$A:$A,'Scoring_Config'!$C:$C,15),0),0)+IF(LEFT(AI465,4)="True",IF(_xlfn.XLOOKUP("SrcZone_IsAny",'Scoring_Config'!$A:$A,'Scoring_Config'!$D:$D,"Yes")="Yes",_xlfn.XLOOKUP("SrcZone_IsAny",'Scoring_Config'!$A:$A,'Scoring_Config'!$C:$C,5),0),0)+IF(LEFT(AJ465,4)="True",IF(_xlfn.XLOOKUP("DstZone_IsAny",'Scoring_Config'!$A:$A,'Scoring_Config'!$D:$D,"Yes")="Yes",_xlfn.XLOOKUP("DstZone_IsAny",'Scoring_Config'!$A:$A,'Scoring_Config'!$C:$C,5),0),0)+IF(LEFT(AK465,4)="True",IF(_xlfn.XLOOKUP("Service_Any_OR_RangeGt1000",'Scoring_Config'!$A:$A,'Scoring_Config'!$D:$D,"Yes")="Yes",_xlfn.XLOOKUP("Service_Any_OR_RangeGt1000",'Scoring_Config'!$A:$A,'Scoring_Config'!$C:$C,25),0),0)+IF(LEFT(AL465,4)="True",IF(_xlfn.XLOOKUP("App_Any_OR_RangeGt1000",'Scoring_Config'!$A:$A,'Scoring_Config'!$D:$D,"Yes")="Yes",_xlfn.XLOOKUP("App_Any_OR_RangeGt1000",'Scoring_Config'!$A:$A,'Scoring_Config'!$C:$C,25),0),0)+IF(LEFT(AM465,4)="True",IF(_xlfn.XLOOKUP("Service_Insecure_Match",'Scoring_Config'!$A:$A,'Scoring_Config'!$D:$D,"Yes")="Yes",_xlfn.XLOOKUP("Service_Insecure_Match",'Scoring_Config'!$A:$A,'Scoring_Config'!$C:$C,20),0),0)+IF(LEFT(AN465,4)="True",IF(_xlfn.XLOOKUP("Risky_Inbound",'Scoring_Config'!$A:$A,'Scoring_Config'!$D:$D,"Yes")="Yes",_xlfn.XLOOKUP("Risky_Inbound",'Scoring_Config'!$A:$A,'Scoring_Config'!$C:$C,20),0),0)+IF(LEFT(AO465,4)="True",IF(_xlfn.XLOOKUP("Risky_Outbound",'Scoring_Config'!$A:$A,'Scoring_Config'!$D:$D,"Yes")="Yes",_xlfn.XLOOKUP("Risky_Outbound",'Scoring_Config'!$A:$A,'Scoring_Config'!$C:$C,10),0),0)+IF(LEFT(AW465,4)="True",IF(_xlfn.XLOOKUP("Migrate_Insecure",'Scoring_Config'!$A:$A,'Scoring_Config'!$D:$D,"Yes")="Yes",_xlfn.XLOOKUP("Migrate_Insecure",'Scoring_Config'!$A:$A,'Scoring_Config'!$C:$C,15),0),0)+IF(LEFT(AY465,4)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465,FIND(",",AP465)+1,100)),0)+IF(LEFT(AQ465,4)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465,FIND(",",AR465)+1,100)),0)+IF(_xlfn.XLOOKUP("Profile_Scoring",'Scoring_Config'!$A:$A,'Scoring_Config'!$D:$D,"Yes")="Yes",VALUE(MID(AS465,FIND(",",AS465)+1,100)),0)+IF(_xlfn.XLOOKUP("Options_Scoring",'Scoring_Config'!$A:$A,'Scoring_Config'!$D:$D,"Yes")="Yes",VALUE(MID(AT465,FIND(",",AT465)+1,100)),0)))</f>
        <v>0</v>
      </c>
    </row>
    <row r="466" spans="1:52">
      <c r="A466" s="3" t="s">
        <v>55</v>
      </c>
      <c r="B466" s="3" t="s">
        <v>312</v>
      </c>
      <c r="C466" s="3" t="s">
        <v>332</v>
      </c>
      <c r="D466" s="3"/>
      <c r="E466" s="3" t="s">
        <v>359</v>
      </c>
      <c r="F466" s="3" t="s">
        <v>361</v>
      </c>
      <c r="G466" s="3" t="s">
        <v>365</v>
      </c>
      <c r="H466" s="3" t="s">
        <v>365</v>
      </c>
      <c r="I466" s="3" t="s">
        <v>623</v>
      </c>
      <c r="J466" s="3" t="s">
        <v>360</v>
      </c>
      <c r="K466" s="3" t="s">
        <v>365</v>
      </c>
      <c r="L466" s="3" t="s">
        <v>365</v>
      </c>
      <c r="M466" s="3" t="s">
        <v>365</v>
      </c>
      <c r="N466" s="3" t="s">
        <v>365</v>
      </c>
      <c r="O466" s="4" t="s">
        <v>811</v>
      </c>
      <c r="P466" s="3" t="s">
        <v>872</v>
      </c>
      <c r="Q466" s="3" t="s">
        <v>905</v>
      </c>
      <c r="R466" s="3" t="s">
        <v>907</v>
      </c>
      <c r="S466" s="3" t="s">
        <v>913</v>
      </c>
      <c r="T466" s="3" t="s">
        <v>1140</v>
      </c>
      <c r="U466" s="3" t="s">
        <v>1145</v>
      </c>
      <c r="V466" s="3" t="s">
        <v>1387</v>
      </c>
      <c r="W466" s="3" t="s">
        <v>1604</v>
      </c>
      <c r="X466" s="3" t="s">
        <v>2070</v>
      </c>
      <c r="Y466" s="3" t="s">
        <v>2539</v>
      </c>
      <c r="Z466" s="3"/>
      <c r="AA466" s="3"/>
      <c r="AB466" s="3"/>
      <c r="AC466" s="5" cm="1">
        <f t="array" ref="AC466">IF(TRUE,"True," &amp; IF(_xlfn.XLOOKUP("Src_IsAny",'Scoring_Config'!$A:$A,'Scoring_Config'!$D:$D,"Yes")="Yes",_xlfn.XLOOKUP("Src_IsAny",'Scoring_Config'!$A:$A,'Scoring_Config'!$C:$C,25),0),"False,0")</f>
        <v>0</v>
      </c>
      <c r="AD466" s="4" cm="1">
        <f t="array" ref="AD466">IF(FALSE,"True," &amp; IF(_xlfn.XLOOKUP("Src_CIDR_Le_16",'Scoring_Config'!$A:$A,'Scoring_Config'!$D:$D,"Yes")="Yes",_xlfn.XLOOKUP("Src_CIDR_Le_16",'Scoring_Config'!$A:$A,'Scoring_Config'!$C:$C,25),0),"False,0")</f>
        <v>0</v>
      </c>
      <c r="AE466" s="4" cm="1">
        <f t="array" ref="AE466">IF(FALSE,"True," &amp; IF(_xlfn.XLOOKUP("Src_CIDR_17_22",'Scoring_Config'!$A:$A,'Scoring_Config'!$D:$D,"Yes")="Yes",_xlfn.XLOOKUP("Src_CIDR_17_22",'Scoring_Config'!$A:$A,'Scoring_Config'!$C:$C,15),0),"False,0")</f>
        <v>0</v>
      </c>
      <c r="AF466" s="5" cm="1">
        <f t="array" ref="AF466">IF(TRUE,"True," &amp; IF(_xlfn.XLOOKUP("Dst_IsAny",'Scoring_Config'!$A:$A,'Scoring_Config'!$D:$D,"Yes")="Yes",_xlfn.XLOOKUP("Dst_IsAny",'Scoring_Config'!$A:$A,'Scoring_Config'!$C:$C,25),0),"False,0")</f>
        <v>0</v>
      </c>
      <c r="AG466" s="4" cm="1">
        <f t="array" ref="AG466">IF(FALSE,"True," &amp; IF(_xlfn.XLOOKUP("Dst_CIDR_Le_16",'Scoring_Config'!$A:$A,'Scoring_Config'!$D:$D,"Yes")="Yes",_xlfn.XLOOKUP("Dst_CIDR_Le_16",'Scoring_Config'!$A:$A,'Scoring_Config'!$C:$C,25),0),"False,0")</f>
        <v>0</v>
      </c>
      <c r="AH466" s="4" cm="1">
        <f t="array" ref="AH466">IF(FALSE,"True," &amp; IF(_xlfn.XLOOKUP("Dst_CIDR_17_22",'Scoring_Config'!$A:$A,'Scoring_Config'!$D:$D,"Yes")="Yes",_xlfn.XLOOKUP("Dst_CIDR_17_22",'Scoring_Config'!$A:$A,'Scoring_Config'!$C:$C,15),0),"False,0")</f>
        <v>0</v>
      </c>
      <c r="AI466" s="4" cm="1">
        <f t="array" ref="AI466">IF(FALSE,"True," &amp; IF(_xlfn.XLOOKUP("SrcZone_IsAny",'Scoring_Config'!$A:$A,'Scoring_Config'!$D:$D,"Yes")="Yes",_xlfn.XLOOKUP("SrcZone_IsAny",'Scoring_Config'!$A:$A,'Scoring_Config'!$C:$C,5),0),"False,0")</f>
        <v>0</v>
      </c>
      <c r="AJ466" s="4" cm="1">
        <f t="array" ref="AJ466">IF(FALSE,"True," &amp; IF(_xlfn.XLOOKUP("DstZone_IsAny",'Scoring_Config'!$A:$A,'Scoring_Config'!$D:$D,"Yes")="Yes",_xlfn.XLOOKUP("DstZone_IsAny",'Scoring_Config'!$A:$A,'Scoring_Config'!$C:$C,5),0),"False,0")</f>
        <v>0</v>
      </c>
      <c r="AK466" s="4" cm="1">
        <f t="array" ref="AK466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6" s="5" cm="1">
        <f t="array" ref="AL466">IF(TRUE,"True," &amp; IF(_xlfn.XLOOKUP("App_Any_OR_RangeGt1000",'Scoring_Config'!$A:$A,'Scoring_Config'!$D:$D,"Yes")="Yes",_xlfn.XLOOKUP("App_Any_OR_RangeGt1000",'Scoring_Config'!$A:$A,'Scoring_Config'!$C:$C,25),0),"False,0")</f>
        <v>0</v>
      </c>
      <c r="AM466" s="5" cm="1">
        <f t="array" ref="AM466">IF(TRUE,"True," &amp; IF(_xlfn.XLOOKUP("Service_Insecure_Match",'Scoring_Config'!$A:$A,'Scoring_Config'!$D:$D,"Yes")="Yes",_xlfn.XLOOKUP("Service_Insecure_Match",'Scoring_Config'!$A:$A,'Scoring_Config'!$C:$C,20),0),"False,0")</f>
        <v>0</v>
      </c>
      <c r="AN466" s="4" cm="1">
        <f t="array" ref="AN466">IF(FALSE,"True," &amp; IF(_xlfn.XLOOKUP("Risky_Inbound",'Scoring_Config'!$A:$A,'Scoring_Config'!$D:$D,"Yes")="Yes",_xlfn.XLOOKUP("Risky_Inbound",'Scoring_Config'!$A:$A,'Scoring_Config'!$C:$C,20),0),"False,0")</f>
        <v>0</v>
      </c>
      <c r="AO466" s="4" cm="1">
        <f t="array" ref="AO466">IF(FALSE,"True," &amp; IF(_xlfn.XLOOKUP("Risky_Outbound",'Scoring_Config'!$A:$A,'Scoring_Config'!$D:$D,"Yes")="Yes",_xlfn.XLOOKUP("Risky_Outbound",'Scoring_Config'!$A:$A,'Scoring_Config'!$C:$C,10),0),"False,0")</f>
        <v>0</v>
      </c>
      <c r="AP466" s="5" t="s">
        <v>2595</v>
      </c>
      <c r="AQ466" s="5" cm="1">
        <f t="array" ref="AQ466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6" s="5" t="s">
        <v>2598</v>
      </c>
      <c r="AS466" s="5" t="s">
        <v>2595</v>
      </c>
      <c r="AT466" s="4" t="s">
        <v>2592</v>
      </c>
      <c r="AU466" s="4" cm="1">
        <f t="array" ref="AU466">IF(FALSE,"True," &amp; IF(_xlfn.XLOOKUP("Action_IsDenyOrDrop",'Scoring_Config'!$A:$A,'Scoring_Config'!$D:$D,"Yes")="Yes",_xlfn.XLOOKUP("Action_IsDenyOrDrop",'Scoring_Config'!$A:$A,'Scoring_Config'!$C:$C,0),0),"False,0")</f>
        <v>0</v>
      </c>
      <c r="AV466" s="4"/>
      <c r="AW466" s="4" cm="1">
        <f t="array" ref="AW466">IF(FALSE,"True," &amp; IF(_xlfn.XLOOKUP("Migrate_Insecure",'Scoring_Config'!$A:$A,'Scoring_Config'!$D:$D,"Yes")="Yes",_xlfn.XLOOKUP("Migrate_Insecure",'Scoring_Config'!$A:$A,'Scoring_Config'!$C:$C,15),0),"False,0")</f>
        <v>0</v>
      </c>
      <c r="AX466" s="4"/>
      <c r="AY466" s="4" cm="1">
        <f t="array" ref="AY466">IF(FALSE,"True," &amp; IF(_xlfn.XLOOKUP("Migrate_Other_Ports",'Scoring_Config'!$A:$A,'Scoring_Config'!$D:$D,"Yes")="Yes",_xlfn.XLOOKUP("Migrate_Other_Ports",'Scoring_Config'!$A:$A,'Scoring_Config'!$C:$C,5),0),"False,0")</f>
        <v>0</v>
      </c>
      <c r="AZ466" s="4" cm="1">
        <f t="array" ref="AZ466">IF(LEFT(AU466,4)="True",0,(IF(LEFT(AC466,4)="True",IF(_xlfn.XLOOKUP("Src_IsAny",'Scoring_Config'!$A:$A,'Scoring_Config'!$D:$D,"Yes")="Yes",_xlfn.XLOOKUP("Src_IsAny",'Scoring_Config'!$A:$A,'Scoring_Config'!$C:$C,25),0),0)+IF(LEFT(AD466,4)="True",IF(_xlfn.XLOOKUP("Src_CIDR_Le_16",'Scoring_Config'!$A:$A,'Scoring_Config'!$D:$D,"Yes")="Yes",_xlfn.XLOOKUP("Src_CIDR_Le_16",'Scoring_Config'!$A:$A,'Scoring_Config'!$C:$C,25),0),0)+IF(LEFT(AE466,4)="True",IF(_xlfn.XLOOKUP("Src_CIDR_17_22",'Scoring_Config'!$A:$A,'Scoring_Config'!$D:$D,"Yes")="Yes",_xlfn.XLOOKUP("Src_CIDR_17_22",'Scoring_Config'!$A:$A,'Scoring_Config'!$C:$C,15),0),0)+IF(LEFT(AF466,4)="True",IF(_xlfn.XLOOKUP("Dst_IsAny",'Scoring_Config'!$A:$A,'Scoring_Config'!$D:$D,"Yes")="Yes",_xlfn.XLOOKUP("Dst_IsAny",'Scoring_Config'!$A:$A,'Scoring_Config'!$C:$C,25),0),0)+IF(LEFT(AG466,4)="True",IF(_xlfn.XLOOKUP("Dst_CIDR_Le_16",'Scoring_Config'!$A:$A,'Scoring_Config'!$D:$D,"Yes")="Yes",_xlfn.XLOOKUP("Dst_CIDR_Le_16",'Scoring_Config'!$A:$A,'Scoring_Config'!$C:$C,25),0),0)+IF(LEFT(AH466,4)="True",IF(_xlfn.XLOOKUP("Dst_CIDR_17_22",'Scoring_Config'!$A:$A,'Scoring_Config'!$D:$D,"Yes")="Yes",_xlfn.XLOOKUP("Dst_CIDR_17_22",'Scoring_Config'!$A:$A,'Scoring_Config'!$C:$C,15),0),0)+IF(LEFT(AI466,4)="True",IF(_xlfn.XLOOKUP("SrcZone_IsAny",'Scoring_Config'!$A:$A,'Scoring_Config'!$D:$D,"Yes")="Yes",_xlfn.XLOOKUP("SrcZone_IsAny",'Scoring_Config'!$A:$A,'Scoring_Config'!$C:$C,5),0),0)+IF(LEFT(AJ466,4)="True",IF(_xlfn.XLOOKUP("DstZone_IsAny",'Scoring_Config'!$A:$A,'Scoring_Config'!$D:$D,"Yes")="Yes",_xlfn.XLOOKUP("DstZone_IsAny",'Scoring_Config'!$A:$A,'Scoring_Config'!$C:$C,5),0),0)+IF(LEFT(AK466,4)="True",IF(_xlfn.XLOOKUP("Service_Any_OR_RangeGt1000",'Scoring_Config'!$A:$A,'Scoring_Config'!$D:$D,"Yes")="Yes",_xlfn.XLOOKUP("Service_Any_OR_RangeGt1000",'Scoring_Config'!$A:$A,'Scoring_Config'!$C:$C,25),0),0)+IF(LEFT(AL466,4)="True",IF(_xlfn.XLOOKUP("App_Any_OR_RangeGt1000",'Scoring_Config'!$A:$A,'Scoring_Config'!$D:$D,"Yes")="Yes",_xlfn.XLOOKUP("App_Any_OR_RangeGt1000",'Scoring_Config'!$A:$A,'Scoring_Config'!$C:$C,25),0),0)+IF(LEFT(AM466,4)="True",IF(_xlfn.XLOOKUP("Service_Insecure_Match",'Scoring_Config'!$A:$A,'Scoring_Config'!$D:$D,"Yes")="Yes",_xlfn.XLOOKUP("Service_Insecure_Match",'Scoring_Config'!$A:$A,'Scoring_Config'!$C:$C,20),0),0)+IF(LEFT(AN466,4)="True",IF(_xlfn.XLOOKUP("Risky_Inbound",'Scoring_Config'!$A:$A,'Scoring_Config'!$D:$D,"Yes")="Yes",_xlfn.XLOOKUP("Risky_Inbound",'Scoring_Config'!$A:$A,'Scoring_Config'!$C:$C,20),0),0)+IF(LEFT(AO466,4)="True",IF(_xlfn.XLOOKUP("Risky_Outbound",'Scoring_Config'!$A:$A,'Scoring_Config'!$D:$D,"Yes")="Yes",_xlfn.XLOOKUP("Risky_Outbound",'Scoring_Config'!$A:$A,'Scoring_Config'!$C:$C,10),0),0)+IF(LEFT(AW466,4)="True",IF(_xlfn.XLOOKUP("Migrate_Insecure",'Scoring_Config'!$A:$A,'Scoring_Config'!$D:$D,"Yes")="Yes",_xlfn.XLOOKUP("Migrate_Insecure",'Scoring_Config'!$A:$A,'Scoring_Config'!$C:$C,15),0),0)+IF(LEFT(AY466,4)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466,FIND(",",AP466)+1,100)),0)+IF(LEFT(AQ466,4)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466,FIND(",",AR466)+1,100)),0)+IF(_xlfn.XLOOKUP("Profile_Scoring",'Scoring_Config'!$A:$A,'Scoring_Config'!$D:$D,"Yes")="Yes",VALUE(MID(AS466,FIND(",",AS466)+1,100)),0)+IF(_xlfn.XLOOKUP("Options_Scoring",'Scoring_Config'!$A:$A,'Scoring_Config'!$D:$D,"Yes")="Yes",VALUE(MID(AT466,FIND(",",AT466)+1,100)),0)))</f>
        <v>0</v>
      </c>
    </row>
    <row r="467" spans="1:52">
      <c r="A467" s="3" t="s">
        <v>55</v>
      </c>
      <c r="B467" s="3" t="s">
        <v>327</v>
      </c>
      <c r="C467" s="3" t="s">
        <v>332</v>
      </c>
      <c r="D467" s="3"/>
      <c r="E467" s="3" t="s">
        <v>359</v>
      </c>
      <c r="F467" s="3" t="s">
        <v>364</v>
      </c>
      <c r="G467" s="3" t="s">
        <v>510</v>
      </c>
      <c r="H467" s="3" t="s">
        <v>510</v>
      </c>
      <c r="I467" s="3" t="s">
        <v>623</v>
      </c>
      <c r="J467" s="3" t="s">
        <v>364</v>
      </c>
      <c r="K467" s="3" t="s">
        <v>738</v>
      </c>
      <c r="L467" s="3" t="s">
        <v>738</v>
      </c>
      <c r="M467" s="3" t="s">
        <v>365</v>
      </c>
      <c r="N467" s="3" t="s">
        <v>365</v>
      </c>
      <c r="O467" s="4" t="s">
        <v>857</v>
      </c>
      <c r="P467" s="3" t="s">
        <v>865</v>
      </c>
      <c r="Q467" s="3" t="s">
        <v>905</v>
      </c>
      <c r="R467" s="3" t="s">
        <v>908</v>
      </c>
      <c r="S467" s="3" t="s">
        <v>907</v>
      </c>
      <c r="T467" s="3" t="s">
        <v>1141</v>
      </c>
      <c r="U467" s="3" t="s">
        <v>1385</v>
      </c>
      <c r="V467" s="3" t="s">
        <v>1387</v>
      </c>
      <c r="W467" s="3" t="s">
        <v>1605</v>
      </c>
      <c r="X467" s="3" t="s">
        <v>2071</v>
      </c>
      <c r="Y467" s="3" t="s">
        <v>2540</v>
      </c>
      <c r="Z467" s="3"/>
      <c r="AA467" s="3"/>
      <c r="AB467" s="3"/>
      <c r="AC467" s="4" cm="1">
        <f t="array" ref="AC467">IF(FALSE,"True," &amp; IF(_xlfn.XLOOKUP("Src_IsAny",'Scoring_Config'!$A:$A,'Scoring_Config'!$D:$D,"Yes")="Yes",_xlfn.XLOOKUP("Src_IsAny",'Scoring_Config'!$A:$A,'Scoring_Config'!$C:$C,25),0),"False,0")</f>
        <v>0</v>
      </c>
      <c r="AD467" s="4" cm="1">
        <f t="array" ref="AD467">IF(FALSE,"True," &amp; IF(_xlfn.XLOOKUP("Src_CIDR_Le_16",'Scoring_Config'!$A:$A,'Scoring_Config'!$D:$D,"Yes")="Yes",_xlfn.XLOOKUP("Src_CIDR_Le_16",'Scoring_Config'!$A:$A,'Scoring_Config'!$C:$C,25),0),"False,0")</f>
        <v>0</v>
      </c>
      <c r="AE467" s="4" cm="1">
        <f t="array" ref="AE467">IF(FALSE,"True," &amp; IF(_xlfn.XLOOKUP("Src_CIDR_17_22",'Scoring_Config'!$A:$A,'Scoring_Config'!$D:$D,"Yes")="Yes",_xlfn.XLOOKUP("Src_CIDR_17_22",'Scoring_Config'!$A:$A,'Scoring_Config'!$C:$C,15),0),"False,0")</f>
        <v>0</v>
      </c>
      <c r="AF467" s="4" cm="1">
        <f t="array" ref="AF467">IF(FALSE,"True," &amp; IF(_xlfn.XLOOKUP("Dst_IsAny",'Scoring_Config'!$A:$A,'Scoring_Config'!$D:$D,"Yes")="Yes",_xlfn.XLOOKUP("Dst_IsAny",'Scoring_Config'!$A:$A,'Scoring_Config'!$C:$C,25),0),"False,0")</f>
        <v>0</v>
      </c>
      <c r="AG467" s="4" cm="1">
        <f t="array" ref="AG467">IF(FALSE,"True," &amp; IF(_xlfn.XLOOKUP("Dst_CIDR_Le_16",'Scoring_Config'!$A:$A,'Scoring_Config'!$D:$D,"Yes")="Yes",_xlfn.XLOOKUP("Dst_CIDR_Le_16",'Scoring_Config'!$A:$A,'Scoring_Config'!$C:$C,25),0),"False,0")</f>
        <v>0</v>
      </c>
      <c r="AH467" s="5" cm="1">
        <f t="array" ref="AH467">IF(TRUE,"True," &amp; IF(_xlfn.XLOOKUP("Dst_CIDR_17_22",'Scoring_Config'!$A:$A,'Scoring_Config'!$D:$D,"Yes")="Yes",_xlfn.XLOOKUP("Dst_CIDR_17_22",'Scoring_Config'!$A:$A,'Scoring_Config'!$C:$C,15),0),"False,0")</f>
        <v>0</v>
      </c>
      <c r="AI467" s="4" cm="1">
        <f t="array" ref="AI467">IF(FALSE,"True," &amp; IF(_xlfn.XLOOKUP("SrcZone_IsAny",'Scoring_Config'!$A:$A,'Scoring_Config'!$D:$D,"Yes")="Yes",_xlfn.XLOOKUP("SrcZone_IsAny",'Scoring_Config'!$A:$A,'Scoring_Config'!$C:$C,5),0),"False,0")</f>
        <v>0</v>
      </c>
      <c r="AJ467" s="4" cm="1">
        <f t="array" ref="AJ467">IF(FALSE,"True," &amp; IF(_xlfn.XLOOKUP("DstZone_IsAny",'Scoring_Config'!$A:$A,'Scoring_Config'!$D:$D,"Yes")="Yes",_xlfn.XLOOKUP("DstZone_IsAny",'Scoring_Config'!$A:$A,'Scoring_Config'!$C:$C,5),0),"False,0")</f>
        <v>0</v>
      </c>
      <c r="AK467" s="4" cm="1">
        <f t="array" ref="AK467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7" s="5" cm="1">
        <f t="array" ref="AL467">IF(TRUE,"True," &amp; IF(_xlfn.XLOOKUP("App_Any_OR_RangeGt1000",'Scoring_Config'!$A:$A,'Scoring_Config'!$D:$D,"Yes")="Yes",_xlfn.XLOOKUP("App_Any_OR_RangeGt1000",'Scoring_Config'!$A:$A,'Scoring_Config'!$C:$C,25),0),"False,0")</f>
        <v>0</v>
      </c>
      <c r="AM467" s="5" cm="1">
        <f t="array" ref="AM467">IF(TRUE,"True," &amp; IF(_xlfn.XLOOKUP("Service_Insecure_Match",'Scoring_Config'!$A:$A,'Scoring_Config'!$D:$D,"Yes")="Yes",_xlfn.XLOOKUP("Service_Insecure_Match",'Scoring_Config'!$A:$A,'Scoring_Config'!$C:$C,20),0),"False,0")</f>
        <v>0</v>
      </c>
      <c r="AN467" s="4" cm="1">
        <f t="array" ref="AN467">IF(FALSE,"True," &amp; IF(_xlfn.XLOOKUP("Risky_Inbound",'Scoring_Config'!$A:$A,'Scoring_Config'!$D:$D,"Yes")="Yes",_xlfn.XLOOKUP("Risky_Inbound",'Scoring_Config'!$A:$A,'Scoring_Config'!$C:$C,20),0),"False,0")</f>
        <v>0</v>
      </c>
      <c r="AO467" s="4" cm="1">
        <f t="array" ref="AO467">IF(FALSE,"True," &amp; IF(_xlfn.XLOOKUP("Risky_Outbound",'Scoring_Config'!$A:$A,'Scoring_Config'!$D:$D,"Yes")="Yes",_xlfn.XLOOKUP("Risky_Outbound",'Scoring_Config'!$A:$A,'Scoring_Config'!$C:$C,10),0),"False,0")</f>
        <v>0</v>
      </c>
      <c r="AP467" s="5" t="s">
        <v>2595</v>
      </c>
      <c r="AQ467" s="4" cm="1">
        <f t="array" ref="AQ467">IF(FALSE,"True,"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7" s="5" t="s">
        <v>2598</v>
      </c>
      <c r="AS467" s="4" t="s">
        <v>2592</v>
      </c>
      <c r="AT467" s="5" t="s">
        <v>2595</v>
      </c>
      <c r="AU467" s="4" cm="1">
        <f t="array" ref="AU467">IF(FALSE,"True," &amp; IF(_xlfn.XLOOKUP("Action_IsDenyOrDrop",'Scoring_Config'!$A:$A,'Scoring_Config'!$D:$D,"Yes")="Yes",_xlfn.XLOOKUP("Action_IsDenyOrDrop",'Scoring_Config'!$A:$A,'Scoring_Config'!$C:$C,0),0),"False,0")</f>
        <v>0</v>
      </c>
      <c r="AV467" s="4"/>
      <c r="AW467" s="4" cm="1">
        <f t="array" ref="AW467">IF(FALSE,"True," &amp; IF(_xlfn.XLOOKUP("Migrate_Insecure",'Scoring_Config'!$A:$A,'Scoring_Config'!$D:$D,"Yes")="Yes",_xlfn.XLOOKUP("Migrate_Insecure",'Scoring_Config'!$A:$A,'Scoring_Config'!$C:$C,15),0),"False,0")</f>
        <v>0</v>
      </c>
      <c r="AX467" s="4"/>
      <c r="AY467" s="4" cm="1">
        <f t="array" ref="AY467">IF(FALSE,"True," &amp; IF(_xlfn.XLOOKUP("Migrate_Other_Ports",'Scoring_Config'!$A:$A,'Scoring_Config'!$D:$D,"Yes")="Yes",_xlfn.XLOOKUP("Migrate_Other_Ports",'Scoring_Config'!$A:$A,'Scoring_Config'!$C:$C,5),0),"False,0")</f>
        <v>0</v>
      </c>
      <c r="AZ467" s="4" cm="1">
        <f t="array" ref="AZ467">IF(LEFT(AU467,4)="True",0,(IF(LEFT(AC467,4)="True",IF(_xlfn.XLOOKUP("Src_IsAny",'Scoring_Config'!$A:$A,'Scoring_Config'!$D:$D,"Yes")="Yes",_xlfn.XLOOKUP("Src_IsAny",'Scoring_Config'!$A:$A,'Scoring_Config'!$C:$C,25),0),0)+IF(LEFT(AD467,4)="True",IF(_xlfn.XLOOKUP("Src_CIDR_Le_16",'Scoring_Config'!$A:$A,'Scoring_Config'!$D:$D,"Yes")="Yes",_xlfn.XLOOKUP("Src_CIDR_Le_16",'Scoring_Config'!$A:$A,'Scoring_Config'!$C:$C,25),0),0)+IF(LEFT(AE467,4)="True",IF(_xlfn.XLOOKUP("Src_CIDR_17_22",'Scoring_Config'!$A:$A,'Scoring_Config'!$D:$D,"Yes")="Yes",_xlfn.XLOOKUP("Src_CIDR_17_22",'Scoring_Config'!$A:$A,'Scoring_Config'!$C:$C,15),0),0)+IF(LEFT(AF467,4)="True",IF(_xlfn.XLOOKUP("Dst_IsAny",'Scoring_Config'!$A:$A,'Scoring_Config'!$D:$D,"Yes")="Yes",_xlfn.XLOOKUP("Dst_IsAny",'Scoring_Config'!$A:$A,'Scoring_Config'!$C:$C,25),0),0)+IF(LEFT(AG467,4)="True",IF(_xlfn.XLOOKUP("Dst_CIDR_Le_16",'Scoring_Config'!$A:$A,'Scoring_Config'!$D:$D,"Yes")="Yes",_xlfn.XLOOKUP("Dst_CIDR_Le_16",'Scoring_Config'!$A:$A,'Scoring_Config'!$C:$C,25),0),0)+IF(LEFT(AH467,4)="True",IF(_xlfn.XLOOKUP("Dst_CIDR_17_22",'Scoring_Config'!$A:$A,'Scoring_Config'!$D:$D,"Yes")="Yes",_xlfn.XLOOKUP("Dst_CIDR_17_22",'Scoring_Config'!$A:$A,'Scoring_Config'!$C:$C,15),0),0)+IF(LEFT(AI467,4)="True",IF(_xlfn.XLOOKUP("SrcZone_IsAny",'Scoring_Config'!$A:$A,'Scoring_Config'!$D:$D,"Yes")="Yes",_xlfn.XLOOKUP("SrcZone_IsAny",'Scoring_Config'!$A:$A,'Scoring_Config'!$C:$C,5),0),0)+IF(LEFT(AJ467,4)="True",IF(_xlfn.XLOOKUP("DstZone_IsAny",'Scoring_Config'!$A:$A,'Scoring_Config'!$D:$D,"Yes")="Yes",_xlfn.XLOOKUP("DstZone_IsAny",'Scoring_Config'!$A:$A,'Scoring_Config'!$C:$C,5),0),0)+IF(LEFT(AK467,4)="True",IF(_xlfn.XLOOKUP("Service_Any_OR_RangeGt1000",'Scoring_Config'!$A:$A,'Scoring_Config'!$D:$D,"Yes")="Yes",_xlfn.XLOOKUP("Service_Any_OR_RangeGt1000",'Scoring_Config'!$A:$A,'Scoring_Config'!$C:$C,25),0),0)+IF(LEFT(AL467,4)="True",IF(_xlfn.XLOOKUP("App_Any_OR_RangeGt1000",'Scoring_Config'!$A:$A,'Scoring_Config'!$D:$D,"Yes")="Yes",_xlfn.XLOOKUP("App_Any_OR_RangeGt1000",'Scoring_Config'!$A:$A,'Scoring_Config'!$C:$C,25),0),0)+IF(LEFT(AM467,4)="True",IF(_xlfn.XLOOKUP("Service_Insecure_Match",'Scoring_Config'!$A:$A,'Scoring_Config'!$D:$D,"Yes")="Yes",_xlfn.XLOOKUP("Service_Insecure_Match",'Scoring_Config'!$A:$A,'Scoring_Config'!$C:$C,20),0),0)+IF(LEFT(AN467,4)="True",IF(_xlfn.XLOOKUP("Risky_Inbound",'Scoring_Config'!$A:$A,'Scoring_Config'!$D:$D,"Yes")="Yes",_xlfn.XLOOKUP("Risky_Inbound",'Scoring_Config'!$A:$A,'Scoring_Config'!$C:$C,20),0),0)+IF(LEFT(AO467,4)="True",IF(_xlfn.XLOOKUP("Risky_Outbound",'Scoring_Config'!$A:$A,'Scoring_Config'!$D:$D,"Yes")="Yes",_xlfn.XLOOKUP("Risky_Outbound",'Scoring_Config'!$A:$A,'Scoring_Config'!$C:$C,10),0),0)+IF(LEFT(AW467,4)="True",IF(_xlfn.XLOOKUP("Migrate_Insecure",'Scoring_Config'!$A:$A,'Scoring_Config'!$D:$D,"Yes")="Yes",_xlfn.XLOOKUP("Migrate_Insecure",'Scoring_Config'!$A:$A,'Scoring_Config'!$C:$C,15),0),0)+IF(LEFT(AY467,4)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467,FIND(",",AP467)+1,100)),0)+IF(LEFT(AQ467,4)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467,FIND(",",AR467)+1,100)),0)+IF(_xlfn.XLOOKUP("Profile_Scoring",'Scoring_Config'!$A:$A,'Scoring_Config'!$D:$D,"Yes")="Yes",VALUE(MID(AS467,FIND(",",AS467)+1,100)),0)+IF(_xlfn.XLOOKUP("Options_Scoring",'Scoring_Config'!$A:$A,'Scoring_Config'!$D:$D,"Yes")="Yes",VALUE(MID(AT467,FIND(",",AT467)+1,100)),0)))</f>
        <v>0</v>
      </c>
    </row>
    <row r="468" spans="1:52">
      <c r="A468" s="3" t="s">
        <v>55</v>
      </c>
      <c r="B468" s="3" t="s">
        <v>84</v>
      </c>
      <c r="C468" s="3" t="s">
        <v>332</v>
      </c>
      <c r="D468" s="3"/>
      <c r="E468" s="3" t="s">
        <v>359</v>
      </c>
      <c r="F468" s="3" t="s">
        <v>362</v>
      </c>
      <c r="G468" s="3" t="s">
        <v>512</v>
      </c>
      <c r="H468" s="3" t="s">
        <v>608</v>
      </c>
      <c r="I468" s="3" t="s">
        <v>624</v>
      </c>
      <c r="J468" s="3" t="s">
        <v>360</v>
      </c>
      <c r="K468" s="3" t="s">
        <v>739</v>
      </c>
      <c r="L468" s="3" t="s">
        <v>739</v>
      </c>
      <c r="M468" s="3" t="s">
        <v>774</v>
      </c>
      <c r="N468" s="3" t="s">
        <v>795</v>
      </c>
      <c r="O468" s="4" t="s">
        <v>827</v>
      </c>
      <c r="P468" s="3" t="s">
        <v>888</v>
      </c>
      <c r="Q468" s="3" t="s">
        <v>905</v>
      </c>
      <c r="R468" s="3" t="s">
        <v>911</v>
      </c>
      <c r="S468" s="3" t="s">
        <v>907</v>
      </c>
      <c r="T468" s="3" t="s">
        <v>1142</v>
      </c>
      <c r="U468" s="3" t="s">
        <v>1147</v>
      </c>
      <c r="V468" s="3" t="s">
        <v>1386</v>
      </c>
      <c r="W468" s="3" t="s">
        <v>995</v>
      </c>
      <c r="X468" s="3" t="s">
        <v>2072</v>
      </c>
      <c r="Y468" s="3" t="s">
        <v>2541</v>
      </c>
      <c r="Z468" s="3"/>
      <c r="AA468" s="3"/>
      <c r="AB468" s="3"/>
      <c r="AC468" s="5" cm="1">
        <f t="array" ref="AC468">IF(TRUE,"True," &amp; IF(_xlfn.XLOOKUP("Src_IsAny",'Scoring_Config'!$A:$A,'Scoring_Config'!$D:$D,"Yes")="Yes",_xlfn.XLOOKUP("Src_IsAny",'Scoring_Config'!$A:$A,'Scoring_Config'!$C:$C,25),0),"False,0")</f>
        <v>0</v>
      </c>
      <c r="AD468" s="5" cm="1">
        <f t="array" ref="AD468">IF(TRUE,"True," &amp; IF(_xlfn.XLOOKUP("Src_CIDR_Le_16",'Scoring_Config'!$A:$A,'Scoring_Config'!$D:$D,"Yes")="Yes",_xlfn.XLOOKUP("Src_CIDR_Le_16",'Scoring_Config'!$A:$A,'Scoring_Config'!$C:$C,25),0),"False,0")</f>
        <v>0</v>
      </c>
      <c r="AE468" s="4" cm="1">
        <f t="array" ref="AE468">IF(FALSE,"True," &amp; IF(_xlfn.XLOOKUP("Src_CIDR_17_22",'Scoring_Config'!$A:$A,'Scoring_Config'!$D:$D,"Yes")="Yes",_xlfn.XLOOKUP("Src_CIDR_17_22",'Scoring_Config'!$A:$A,'Scoring_Config'!$C:$C,15),0),"False,0")</f>
        <v>0</v>
      </c>
      <c r="AF468" s="4" cm="1">
        <f t="array" ref="AF468">IF(FALSE,"True," &amp; IF(_xlfn.XLOOKUP("Dst_IsAny",'Scoring_Config'!$A:$A,'Scoring_Config'!$D:$D,"Yes")="Yes",_xlfn.XLOOKUP("Dst_IsAny",'Scoring_Config'!$A:$A,'Scoring_Config'!$C:$C,25),0),"False,0")</f>
        <v>0</v>
      </c>
      <c r="AG468" s="4" cm="1">
        <f t="array" ref="AG468">IF(FALSE,"True," &amp; IF(_xlfn.XLOOKUP("Dst_CIDR_Le_16",'Scoring_Config'!$A:$A,'Scoring_Config'!$D:$D,"Yes")="Yes",_xlfn.XLOOKUP("Dst_CIDR_Le_16",'Scoring_Config'!$A:$A,'Scoring_Config'!$C:$C,25),0),"False,0")</f>
        <v>0</v>
      </c>
      <c r="AH468" s="5" cm="1">
        <f t="array" ref="AH468">IF(TRUE,"True," &amp; IF(_xlfn.XLOOKUP("Dst_CIDR_17_22",'Scoring_Config'!$A:$A,'Scoring_Config'!$D:$D,"Yes")="Yes",_xlfn.XLOOKUP("Dst_CIDR_17_22",'Scoring_Config'!$A:$A,'Scoring_Config'!$C:$C,15),0),"False,0")</f>
        <v>0</v>
      </c>
      <c r="AI468" s="4" cm="1">
        <f t="array" ref="AI468">IF(FALSE,"True," &amp; IF(_xlfn.XLOOKUP("SrcZone_IsAny",'Scoring_Config'!$A:$A,'Scoring_Config'!$D:$D,"Yes")="Yes",_xlfn.XLOOKUP("SrcZone_IsAny",'Scoring_Config'!$A:$A,'Scoring_Config'!$C:$C,5),0),"False,0")</f>
        <v>0</v>
      </c>
      <c r="AJ468" s="4" cm="1">
        <f t="array" ref="AJ468">IF(FALSE,"True," &amp; IF(_xlfn.XLOOKUP("DstZone_IsAny",'Scoring_Config'!$A:$A,'Scoring_Config'!$D:$D,"Yes")="Yes",_xlfn.XLOOKUP("DstZone_IsAny",'Scoring_Config'!$A:$A,'Scoring_Config'!$C:$C,5),0),"False,0")</f>
        <v>0</v>
      </c>
      <c r="AK468" s="4" cm="1">
        <f t="array" ref="AK468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8" s="4" cm="1">
        <f t="array" ref="AL468">IF(FALSE,"True," &amp; IF(_xlfn.XLOOKUP("App_Any_OR_RangeGt1000",'Scoring_Config'!$A:$A,'Scoring_Config'!$D:$D,"Yes")="Yes",_xlfn.XLOOKUP("App_Any_OR_RangeGt1000",'Scoring_Config'!$A:$A,'Scoring_Config'!$C:$C,25),0),"False,0")</f>
        <v>0</v>
      </c>
      <c r="AM468" s="5" cm="1">
        <f t="array" ref="AM468">IF(TRUE,"True," &amp; IF(_xlfn.XLOOKUP("Service_Insecure_Match",'Scoring_Config'!$A:$A,'Scoring_Config'!$D:$D,"Yes")="Yes",_xlfn.XLOOKUP("Service_Insecure_Match",'Scoring_Config'!$A:$A,'Scoring_Config'!$C:$C,20),0),"False,0")</f>
        <v>0</v>
      </c>
      <c r="AN468" s="4" cm="1">
        <f t="array" ref="AN468">IF(FALSE,"True," &amp; IF(_xlfn.XLOOKUP("Risky_Inbound",'Scoring_Config'!$A:$A,'Scoring_Config'!$D:$D,"Yes")="Yes",_xlfn.XLOOKUP("Risky_Inbound",'Scoring_Config'!$A:$A,'Scoring_Config'!$C:$C,20),0),"False,0")</f>
        <v>0</v>
      </c>
      <c r="AO468" s="4" cm="1">
        <f t="array" ref="AO468">IF(FALSE,"True," &amp; IF(_xlfn.XLOOKUP("Risky_Outbound",'Scoring_Config'!$A:$A,'Scoring_Config'!$D:$D,"Yes")="Yes",_xlfn.XLOOKUP("Risky_Outbound",'Scoring_Config'!$A:$A,'Scoring_Config'!$C:$C,10),0),"False,0")</f>
        <v>0</v>
      </c>
      <c r="AP468" s="5" t="s">
        <v>2595</v>
      </c>
      <c r="AQ468" s="5" cm="1">
        <f t="array" ref="AQ468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8" s="5" t="s">
        <v>2598</v>
      </c>
      <c r="AS468" s="4" t="s">
        <v>2592</v>
      </c>
      <c r="AT468" s="5" t="s">
        <v>2595</v>
      </c>
      <c r="AU468" s="4" cm="1">
        <f t="array" ref="AU468">IF(FALSE,"True," &amp; IF(_xlfn.XLOOKUP("Action_IsDenyOrDrop",'Scoring_Config'!$A:$A,'Scoring_Config'!$D:$D,"Yes")="Yes",_xlfn.XLOOKUP("Action_IsDenyOrDrop",'Scoring_Config'!$A:$A,'Scoring_Config'!$C:$C,0),0),"False,0")</f>
        <v>0</v>
      </c>
      <c r="AV468" s="4"/>
      <c r="AW468" s="4" cm="1">
        <f t="array" ref="AW468">IF(FALSE,"True," &amp; IF(_xlfn.XLOOKUP("Migrate_Insecure",'Scoring_Config'!$A:$A,'Scoring_Config'!$D:$D,"Yes")="Yes",_xlfn.XLOOKUP("Migrate_Insecure",'Scoring_Config'!$A:$A,'Scoring_Config'!$C:$C,15),0),"False,0")</f>
        <v>0</v>
      </c>
      <c r="AX468" s="4"/>
      <c r="AY468" s="4" cm="1">
        <f t="array" ref="AY468">IF(FALSE,"True," &amp; IF(_xlfn.XLOOKUP("Migrate_Other_Ports",'Scoring_Config'!$A:$A,'Scoring_Config'!$D:$D,"Yes")="Yes",_xlfn.XLOOKUP("Migrate_Other_Ports",'Scoring_Config'!$A:$A,'Scoring_Config'!$C:$C,5),0),"False,0")</f>
        <v>0</v>
      </c>
      <c r="AZ468" s="4" cm="1">
        <f t="array" ref="AZ468">IF(LEFT(AU468,4)="True",0,(IF(LEFT(AC468,4)="True",IF(_xlfn.XLOOKUP("Src_IsAny",'Scoring_Config'!$A:$A,'Scoring_Config'!$D:$D,"Yes")="Yes",_xlfn.XLOOKUP("Src_IsAny",'Scoring_Config'!$A:$A,'Scoring_Config'!$C:$C,25),0),0)+IF(LEFT(AD468,4)="True",IF(_xlfn.XLOOKUP("Src_CIDR_Le_16",'Scoring_Config'!$A:$A,'Scoring_Config'!$D:$D,"Yes")="Yes",_xlfn.XLOOKUP("Src_CIDR_Le_16",'Scoring_Config'!$A:$A,'Scoring_Config'!$C:$C,25),0),0)+IF(LEFT(AE468,4)="True",IF(_xlfn.XLOOKUP("Src_CIDR_17_22",'Scoring_Config'!$A:$A,'Scoring_Config'!$D:$D,"Yes")="Yes",_xlfn.XLOOKUP("Src_CIDR_17_22",'Scoring_Config'!$A:$A,'Scoring_Config'!$C:$C,15),0),0)+IF(LEFT(AF468,4)="True",IF(_xlfn.XLOOKUP("Dst_IsAny",'Scoring_Config'!$A:$A,'Scoring_Config'!$D:$D,"Yes")="Yes",_xlfn.XLOOKUP("Dst_IsAny",'Scoring_Config'!$A:$A,'Scoring_Config'!$C:$C,25),0),0)+IF(LEFT(AG468,4)="True",IF(_xlfn.XLOOKUP("Dst_CIDR_Le_16",'Scoring_Config'!$A:$A,'Scoring_Config'!$D:$D,"Yes")="Yes",_xlfn.XLOOKUP("Dst_CIDR_Le_16",'Scoring_Config'!$A:$A,'Scoring_Config'!$C:$C,25),0),0)+IF(LEFT(AH468,4)="True",IF(_xlfn.XLOOKUP("Dst_CIDR_17_22",'Scoring_Config'!$A:$A,'Scoring_Config'!$D:$D,"Yes")="Yes",_xlfn.XLOOKUP("Dst_CIDR_17_22",'Scoring_Config'!$A:$A,'Scoring_Config'!$C:$C,15),0),0)+IF(LEFT(AI468,4)="True",IF(_xlfn.XLOOKUP("SrcZone_IsAny",'Scoring_Config'!$A:$A,'Scoring_Config'!$D:$D,"Yes")="Yes",_xlfn.XLOOKUP("SrcZone_IsAny",'Scoring_Config'!$A:$A,'Scoring_Config'!$C:$C,5),0),0)+IF(LEFT(AJ468,4)="True",IF(_xlfn.XLOOKUP("DstZone_IsAny",'Scoring_Config'!$A:$A,'Scoring_Config'!$D:$D,"Yes")="Yes",_xlfn.XLOOKUP("DstZone_IsAny",'Scoring_Config'!$A:$A,'Scoring_Config'!$C:$C,5),0),0)+IF(LEFT(AK468,4)="True",IF(_xlfn.XLOOKUP("Service_Any_OR_RangeGt1000",'Scoring_Config'!$A:$A,'Scoring_Config'!$D:$D,"Yes")="Yes",_xlfn.XLOOKUP("Service_Any_OR_RangeGt1000",'Scoring_Config'!$A:$A,'Scoring_Config'!$C:$C,25),0),0)+IF(LEFT(AL468,4)="True",IF(_xlfn.XLOOKUP("App_Any_OR_RangeGt1000",'Scoring_Config'!$A:$A,'Scoring_Config'!$D:$D,"Yes")="Yes",_xlfn.XLOOKUP("App_Any_OR_RangeGt1000",'Scoring_Config'!$A:$A,'Scoring_Config'!$C:$C,25),0),0)+IF(LEFT(AM468,4)="True",IF(_xlfn.XLOOKUP("Service_Insecure_Match",'Scoring_Config'!$A:$A,'Scoring_Config'!$D:$D,"Yes")="Yes",_xlfn.XLOOKUP("Service_Insecure_Match",'Scoring_Config'!$A:$A,'Scoring_Config'!$C:$C,20),0),0)+IF(LEFT(AN468,4)="True",IF(_xlfn.XLOOKUP("Risky_Inbound",'Scoring_Config'!$A:$A,'Scoring_Config'!$D:$D,"Yes")="Yes",_xlfn.XLOOKUP("Risky_Inbound",'Scoring_Config'!$A:$A,'Scoring_Config'!$C:$C,20),0),0)+IF(LEFT(AO468,4)="True",IF(_xlfn.XLOOKUP("Risky_Outbound",'Scoring_Config'!$A:$A,'Scoring_Config'!$D:$D,"Yes")="Yes",_xlfn.XLOOKUP("Risky_Outbound",'Scoring_Config'!$A:$A,'Scoring_Config'!$C:$C,10),0),0)+IF(LEFT(AW468,4)="True",IF(_xlfn.XLOOKUP("Migrate_Insecure",'Scoring_Config'!$A:$A,'Scoring_Config'!$D:$D,"Yes")="Yes",_xlfn.XLOOKUP("Migrate_Insecure",'Scoring_Config'!$A:$A,'Scoring_Config'!$C:$C,15),0),0)+IF(LEFT(AY468,4)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468,FIND(",",AP468)+1,100)),0)+IF(LEFT(AQ468,4)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468,FIND(",",AR468)+1,100)),0)+IF(_xlfn.XLOOKUP("Profile_Scoring",'Scoring_Config'!$A:$A,'Scoring_Config'!$D:$D,"Yes")="Yes",VALUE(MID(AS468,FIND(",",AS468)+1,100)),0)+IF(_xlfn.XLOOKUP("Options_Scoring",'Scoring_Config'!$A:$A,'Scoring_Config'!$D:$D,"Yes")="Yes",VALUE(MID(AT468,FIND(",",AT468)+1,100)),0)))</f>
        <v>0</v>
      </c>
    </row>
    <row r="469" spans="1:52">
      <c r="A469" s="3" t="s">
        <v>55</v>
      </c>
      <c r="B469" s="3" t="s">
        <v>291</v>
      </c>
      <c r="C469" s="3" t="s">
        <v>332</v>
      </c>
      <c r="D469" s="3"/>
      <c r="E469" s="3" t="s">
        <v>359</v>
      </c>
      <c r="F469" s="3" t="s">
        <v>362</v>
      </c>
      <c r="G469" s="3" t="s">
        <v>538</v>
      </c>
      <c r="H469" s="3" t="s">
        <v>621</v>
      </c>
      <c r="I469" s="3" t="s">
        <v>623</v>
      </c>
      <c r="J469" s="3" t="s">
        <v>362</v>
      </c>
      <c r="K469" s="3" t="s">
        <v>740</v>
      </c>
      <c r="L469" s="3" t="s">
        <v>740</v>
      </c>
      <c r="M469" s="3" t="s">
        <v>790</v>
      </c>
      <c r="N469" s="3" t="s">
        <v>791</v>
      </c>
      <c r="O469" s="4" t="s">
        <v>828</v>
      </c>
      <c r="P469" s="3" t="s">
        <v>889</v>
      </c>
      <c r="Q469" s="3" t="s">
        <v>905</v>
      </c>
      <c r="R469" s="3" t="s">
        <v>906</v>
      </c>
      <c r="S469" s="3" t="s">
        <v>907</v>
      </c>
      <c r="T469" s="3" t="s">
        <v>1143</v>
      </c>
      <c r="U469" s="3" t="s">
        <v>1150</v>
      </c>
      <c r="V469" s="3" t="s">
        <v>1387</v>
      </c>
      <c r="W469" s="3" t="s">
        <v>1590</v>
      </c>
      <c r="X469" s="3" t="s">
        <v>2073</v>
      </c>
      <c r="Y469" s="3" t="s">
        <v>2542</v>
      </c>
      <c r="Z469" s="3"/>
      <c r="AA469" s="3"/>
      <c r="AB469" s="3"/>
      <c r="AC469" s="4" cm="1">
        <f t="array" ref="AC469">IF(FALSE,"True," &amp; IF(_xlfn.XLOOKUP("Src_IsAny",'Scoring_Config'!$A:$A,'Scoring_Config'!$D:$D,"Yes")="Yes",_xlfn.XLOOKUP("Src_IsAny",'Scoring_Config'!$A:$A,'Scoring_Config'!$C:$C,25),0),"False,0")</f>
        <v>0</v>
      </c>
      <c r="AD469" s="4" cm="1">
        <f t="array" ref="AD469">IF(FALSE,"True," &amp; IF(_xlfn.XLOOKUP("Src_CIDR_Le_16",'Scoring_Config'!$A:$A,'Scoring_Config'!$D:$D,"Yes")="Yes",_xlfn.XLOOKUP("Src_CIDR_Le_16",'Scoring_Config'!$A:$A,'Scoring_Config'!$C:$C,25),0),"False,0")</f>
        <v>0</v>
      </c>
      <c r="AE469" s="4" cm="1">
        <f t="array" ref="AE469">IF(FALSE,"True," &amp; IF(_xlfn.XLOOKUP("Src_CIDR_17_22",'Scoring_Config'!$A:$A,'Scoring_Config'!$D:$D,"Yes")="Yes",_xlfn.XLOOKUP("Src_CIDR_17_22",'Scoring_Config'!$A:$A,'Scoring_Config'!$C:$C,15),0),"False,0")</f>
        <v>0</v>
      </c>
      <c r="AF469" s="4" cm="1">
        <f t="array" ref="AF469">IF(FALSE,"True," &amp; IF(_xlfn.XLOOKUP("Dst_IsAny",'Scoring_Config'!$A:$A,'Scoring_Config'!$D:$D,"Yes")="Yes",_xlfn.XLOOKUP("Dst_IsAny",'Scoring_Config'!$A:$A,'Scoring_Config'!$C:$C,25),0),"False,0")</f>
        <v>0</v>
      </c>
      <c r="AG469" s="4" cm="1">
        <f t="array" ref="AG469">IF(FALSE,"True," &amp; IF(_xlfn.XLOOKUP("Dst_CIDR_Le_16",'Scoring_Config'!$A:$A,'Scoring_Config'!$D:$D,"Yes")="Yes",_xlfn.XLOOKUP("Dst_CIDR_Le_16",'Scoring_Config'!$A:$A,'Scoring_Config'!$C:$C,25),0),"False,0")</f>
        <v>0</v>
      </c>
      <c r="AH469" s="5" cm="1">
        <f t="array" ref="AH469">IF(TRUE,"True," &amp; IF(_xlfn.XLOOKUP("Dst_CIDR_17_22",'Scoring_Config'!$A:$A,'Scoring_Config'!$D:$D,"Yes")="Yes",_xlfn.XLOOKUP("Dst_CIDR_17_22",'Scoring_Config'!$A:$A,'Scoring_Config'!$C:$C,15),0),"False,0")</f>
        <v>0</v>
      </c>
      <c r="AI469" s="4" cm="1">
        <f t="array" ref="AI469">IF(FALSE,"True," &amp; IF(_xlfn.XLOOKUP("SrcZone_IsAny",'Scoring_Config'!$A:$A,'Scoring_Config'!$D:$D,"Yes")="Yes",_xlfn.XLOOKUP("SrcZone_IsAny",'Scoring_Config'!$A:$A,'Scoring_Config'!$C:$C,5),0),"False,0")</f>
        <v>0</v>
      </c>
      <c r="AJ469" s="4" cm="1">
        <f t="array" ref="AJ469">IF(FALSE,"True," &amp; IF(_xlfn.XLOOKUP("DstZone_IsAny",'Scoring_Config'!$A:$A,'Scoring_Config'!$D:$D,"Yes")="Yes",_xlfn.XLOOKUP("DstZone_IsAny",'Scoring_Config'!$A:$A,'Scoring_Config'!$C:$C,5),0),"False,0")</f>
        <v>0</v>
      </c>
      <c r="AK469" s="4" cm="1">
        <f t="array" ref="AK469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69" s="5" cm="1">
        <f t="array" ref="AL469">IF(TRUE,"True," &amp; IF(_xlfn.XLOOKUP("App_Any_OR_RangeGt1000",'Scoring_Config'!$A:$A,'Scoring_Config'!$D:$D,"Yes")="Yes",_xlfn.XLOOKUP("App_Any_OR_RangeGt1000",'Scoring_Config'!$A:$A,'Scoring_Config'!$C:$C,25),0),"False,0")</f>
        <v>0</v>
      </c>
      <c r="AM469" s="5" cm="1">
        <f t="array" ref="AM469">IF(TRUE,"True," &amp; IF(_xlfn.XLOOKUP("Service_Insecure_Match",'Scoring_Config'!$A:$A,'Scoring_Config'!$D:$D,"Yes")="Yes",_xlfn.XLOOKUP("Service_Insecure_Match",'Scoring_Config'!$A:$A,'Scoring_Config'!$C:$C,20),0),"False,0")</f>
        <v>0</v>
      </c>
      <c r="AN469" s="4" cm="1">
        <f t="array" ref="AN469">IF(FALSE,"True," &amp; IF(_xlfn.XLOOKUP("Risky_Inbound",'Scoring_Config'!$A:$A,'Scoring_Config'!$D:$D,"Yes")="Yes",_xlfn.XLOOKUP("Risky_Inbound",'Scoring_Config'!$A:$A,'Scoring_Config'!$C:$C,20),0),"False,0")</f>
        <v>0</v>
      </c>
      <c r="AO469" s="4" cm="1">
        <f t="array" ref="AO469">IF(FALSE,"True," &amp; IF(_xlfn.XLOOKUP("Risky_Outbound",'Scoring_Config'!$A:$A,'Scoring_Config'!$D:$D,"Yes")="Yes",_xlfn.XLOOKUP("Risky_Outbound",'Scoring_Config'!$A:$A,'Scoring_Config'!$C:$C,10),0),"False,0")</f>
        <v>0</v>
      </c>
      <c r="AP469" s="5" t="s">
        <v>2595</v>
      </c>
      <c r="AQ469" s="5" cm="1">
        <f t="array" ref="AQ469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69" s="5" t="s">
        <v>2598</v>
      </c>
      <c r="AS469" s="4" t="s">
        <v>2592</v>
      </c>
      <c r="AT469" s="5" t="s">
        <v>2595</v>
      </c>
      <c r="AU469" s="4" cm="1">
        <f t="array" ref="AU469">IF(FALSE,"True," &amp; IF(_xlfn.XLOOKUP("Action_IsDenyOrDrop",'Scoring_Config'!$A:$A,'Scoring_Config'!$D:$D,"Yes")="Yes",_xlfn.XLOOKUP("Action_IsDenyOrDrop",'Scoring_Config'!$A:$A,'Scoring_Config'!$C:$C,0),0),"False,0")</f>
        <v>0</v>
      </c>
      <c r="AV469" s="4"/>
      <c r="AW469" s="4" cm="1">
        <f t="array" ref="AW469">IF(FALSE,"True," &amp; IF(_xlfn.XLOOKUP("Migrate_Insecure",'Scoring_Config'!$A:$A,'Scoring_Config'!$D:$D,"Yes")="Yes",_xlfn.XLOOKUP("Migrate_Insecure",'Scoring_Config'!$A:$A,'Scoring_Config'!$C:$C,15),0),"False,0")</f>
        <v>0</v>
      </c>
      <c r="AX469" s="4"/>
      <c r="AY469" s="4" cm="1">
        <f t="array" ref="AY469">IF(FALSE,"True," &amp; IF(_xlfn.XLOOKUP("Migrate_Other_Ports",'Scoring_Config'!$A:$A,'Scoring_Config'!$D:$D,"Yes")="Yes",_xlfn.XLOOKUP("Migrate_Other_Ports",'Scoring_Config'!$A:$A,'Scoring_Config'!$C:$C,5),0),"False,0")</f>
        <v>0</v>
      </c>
      <c r="AZ469" s="4" cm="1">
        <f t="array" ref="AZ469">IF(LEFT(AU469,4)="True",0,(IF(LEFT(AC469,4)="True",IF(_xlfn.XLOOKUP("Src_IsAny",'Scoring_Config'!$A:$A,'Scoring_Config'!$D:$D,"Yes")="Yes",_xlfn.XLOOKUP("Src_IsAny",'Scoring_Config'!$A:$A,'Scoring_Config'!$C:$C,25),0),0)+IF(LEFT(AD469,4)="True",IF(_xlfn.XLOOKUP("Src_CIDR_Le_16",'Scoring_Config'!$A:$A,'Scoring_Config'!$D:$D,"Yes")="Yes",_xlfn.XLOOKUP("Src_CIDR_Le_16",'Scoring_Config'!$A:$A,'Scoring_Config'!$C:$C,25),0),0)+IF(LEFT(AE469,4)="True",IF(_xlfn.XLOOKUP("Src_CIDR_17_22",'Scoring_Config'!$A:$A,'Scoring_Config'!$D:$D,"Yes")="Yes",_xlfn.XLOOKUP("Src_CIDR_17_22",'Scoring_Config'!$A:$A,'Scoring_Config'!$C:$C,15),0),0)+IF(LEFT(AF469,4)="True",IF(_xlfn.XLOOKUP("Dst_IsAny",'Scoring_Config'!$A:$A,'Scoring_Config'!$D:$D,"Yes")="Yes",_xlfn.XLOOKUP("Dst_IsAny",'Scoring_Config'!$A:$A,'Scoring_Config'!$C:$C,25),0),0)+IF(LEFT(AG469,4)="True",IF(_xlfn.XLOOKUP("Dst_CIDR_Le_16",'Scoring_Config'!$A:$A,'Scoring_Config'!$D:$D,"Yes")="Yes",_xlfn.XLOOKUP("Dst_CIDR_Le_16",'Scoring_Config'!$A:$A,'Scoring_Config'!$C:$C,25),0),0)+IF(LEFT(AH469,4)="True",IF(_xlfn.XLOOKUP("Dst_CIDR_17_22",'Scoring_Config'!$A:$A,'Scoring_Config'!$D:$D,"Yes")="Yes",_xlfn.XLOOKUP("Dst_CIDR_17_22",'Scoring_Config'!$A:$A,'Scoring_Config'!$C:$C,15),0),0)+IF(LEFT(AI469,4)="True",IF(_xlfn.XLOOKUP("SrcZone_IsAny",'Scoring_Config'!$A:$A,'Scoring_Config'!$D:$D,"Yes")="Yes",_xlfn.XLOOKUP("SrcZone_IsAny",'Scoring_Config'!$A:$A,'Scoring_Config'!$C:$C,5),0),0)+IF(LEFT(AJ469,4)="True",IF(_xlfn.XLOOKUP("DstZone_IsAny",'Scoring_Config'!$A:$A,'Scoring_Config'!$D:$D,"Yes")="Yes",_xlfn.XLOOKUP("DstZone_IsAny",'Scoring_Config'!$A:$A,'Scoring_Config'!$C:$C,5),0),0)+IF(LEFT(AK469,4)="True",IF(_xlfn.XLOOKUP("Service_Any_OR_RangeGt1000",'Scoring_Config'!$A:$A,'Scoring_Config'!$D:$D,"Yes")="Yes",_xlfn.XLOOKUP("Service_Any_OR_RangeGt1000",'Scoring_Config'!$A:$A,'Scoring_Config'!$C:$C,25),0),0)+IF(LEFT(AL469,4)="True",IF(_xlfn.XLOOKUP("App_Any_OR_RangeGt1000",'Scoring_Config'!$A:$A,'Scoring_Config'!$D:$D,"Yes")="Yes",_xlfn.XLOOKUP("App_Any_OR_RangeGt1000",'Scoring_Config'!$A:$A,'Scoring_Config'!$C:$C,25),0),0)+IF(LEFT(AM469,4)="True",IF(_xlfn.XLOOKUP("Service_Insecure_Match",'Scoring_Config'!$A:$A,'Scoring_Config'!$D:$D,"Yes")="Yes",_xlfn.XLOOKUP("Service_Insecure_Match",'Scoring_Config'!$A:$A,'Scoring_Config'!$C:$C,20),0),0)+IF(LEFT(AN469,4)="True",IF(_xlfn.XLOOKUP("Risky_Inbound",'Scoring_Config'!$A:$A,'Scoring_Config'!$D:$D,"Yes")="Yes",_xlfn.XLOOKUP("Risky_Inbound",'Scoring_Config'!$A:$A,'Scoring_Config'!$C:$C,20),0),0)+IF(LEFT(AO469,4)="True",IF(_xlfn.XLOOKUP("Risky_Outbound",'Scoring_Config'!$A:$A,'Scoring_Config'!$D:$D,"Yes")="Yes",_xlfn.XLOOKUP("Risky_Outbound",'Scoring_Config'!$A:$A,'Scoring_Config'!$C:$C,10),0),0)+IF(LEFT(AW469,4)="True",IF(_xlfn.XLOOKUP("Migrate_Insecure",'Scoring_Config'!$A:$A,'Scoring_Config'!$D:$D,"Yes")="Yes",_xlfn.XLOOKUP("Migrate_Insecure",'Scoring_Config'!$A:$A,'Scoring_Config'!$C:$C,15),0),0)+IF(LEFT(AY469,4)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469,FIND(",",AP469)+1,100)),0)+IF(LEFT(AQ469,4)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469,FIND(",",AR469)+1,100)),0)+IF(_xlfn.XLOOKUP("Profile_Scoring",'Scoring_Config'!$A:$A,'Scoring_Config'!$D:$D,"Yes")="Yes",VALUE(MID(AS469,FIND(",",AS469)+1,100)),0)+IF(_xlfn.XLOOKUP("Options_Scoring",'Scoring_Config'!$A:$A,'Scoring_Config'!$D:$D,"Yes")="Yes",VALUE(MID(AT469,FIND(",",AT469)+1,100)),0)))</f>
        <v>0</v>
      </c>
    </row>
    <row r="470" spans="1:52">
      <c r="A470" s="3" t="s">
        <v>55</v>
      </c>
      <c r="B470" s="3" t="s">
        <v>328</v>
      </c>
      <c r="C470" s="3" t="s">
        <v>332</v>
      </c>
      <c r="D470" s="3"/>
      <c r="E470" s="3" t="s">
        <v>359</v>
      </c>
      <c r="F470" s="3" t="s">
        <v>363</v>
      </c>
      <c r="G470" s="3" t="s">
        <v>525</v>
      </c>
      <c r="H470" s="3" t="s">
        <v>617</v>
      </c>
      <c r="I470" s="3" t="s">
        <v>623</v>
      </c>
      <c r="J470" s="3" t="s">
        <v>360</v>
      </c>
      <c r="K470" s="3" t="s">
        <v>741</v>
      </c>
      <c r="L470" s="3" t="s">
        <v>741</v>
      </c>
      <c r="M470" s="3" t="s">
        <v>771</v>
      </c>
      <c r="N470" s="3" t="s">
        <v>793</v>
      </c>
      <c r="O470" s="4" t="s">
        <v>860</v>
      </c>
      <c r="P470" s="3" t="s">
        <v>887</v>
      </c>
      <c r="Q470" s="3" t="s">
        <v>905</v>
      </c>
      <c r="R470" s="3" t="s">
        <v>906</v>
      </c>
      <c r="S470" s="3" t="s">
        <v>907</v>
      </c>
      <c r="T470" s="3" t="s">
        <v>1103</v>
      </c>
      <c r="U470" s="3" t="s">
        <v>1147</v>
      </c>
      <c r="V470" s="3" t="s">
        <v>772</v>
      </c>
      <c r="W470" s="3" t="s">
        <v>1559</v>
      </c>
      <c r="X470" s="3" t="s">
        <v>2074</v>
      </c>
      <c r="Y470" s="3" t="s">
        <v>2543</v>
      </c>
      <c r="Z470" s="3"/>
      <c r="AA470" s="3"/>
      <c r="AB470" s="3"/>
      <c r="AC470" s="4" cm="1">
        <f t="array" ref="AC470">IF(FALSE,"True," &amp; IF(_xlfn.XLOOKUP("Src_IsAny",'Scoring_Config'!$A:$A,'Scoring_Config'!$D:$D,"Yes")="Yes",_xlfn.XLOOKUP("Src_IsAny",'Scoring_Config'!$A:$A,'Scoring_Config'!$C:$C,25),0),"False,0")</f>
        <v>0</v>
      </c>
      <c r="AD470" s="5" cm="1">
        <f t="array" ref="AD470">IF(TRUE,"True," &amp; IF(_xlfn.XLOOKUP("Src_CIDR_Le_16",'Scoring_Config'!$A:$A,'Scoring_Config'!$D:$D,"Yes")="Yes",_xlfn.XLOOKUP("Src_CIDR_Le_16",'Scoring_Config'!$A:$A,'Scoring_Config'!$C:$C,25),0),"False,0")</f>
        <v>0</v>
      </c>
      <c r="AE470" s="4" cm="1">
        <f t="array" ref="AE470">IF(FALSE,"True," &amp; IF(_xlfn.XLOOKUP("Src_CIDR_17_22",'Scoring_Config'!$A:$A,'Scoring_Config'!$D:$D,"Yes")="Yes",_xlfn.XLOOKUP("Src_CIDR_17_22",'Scoring_Config'!$A:$A,'Scoring_Config'!$C:$C,15),0),"False,0")</f>
        <v>0</v>
      </c>
      <c r="AF470" s="4" cm="1">
        <f t="array" ref="AF470">IF(FALSE,"True," &amp; IF(_xlfn.XLOOKUP("Dst_IsAny",'Scoring_Config'!$A:$A,'Scoring_Config'!$D:$D,"Yes")="Yes",_xlfn.XLOOKUP("Dst_IsAny",'Scoring_Config'!$A:$A,'Scoring_Config'!$C:$C,25),0),"False,0")</f>
        <v>0</v>
      </c>
      <c r="AG470" s="4" cm="1">
        <f t="array" ref="AG470">IF(FALSE,"True," &amp; IF(_xlfn.XLOOKUP("Dst_CIDR_Le_16",'Scoring_Config'!$A:$A,'Scoring_Config'!$D:$D,"Yes")="Yes",_xlfn.XLOOKUP("Dst_CIDR_Le_16",'Scoring_Config'!$A:$A,'Scoring_Config'!$C:$C,25),0),"False,0")</f>
        <v>0</v>
      </c>
      <c r="AH470" s="5" cm="1">
        <f t="array" ref="AH470">IF(TRUE,"True," &amp; IF(_xlfn.XLOOKUP("Dst_CIDR_17_22",'Scoring_Config'!$A:$A,'Scoring_Config'!$D:$D,"Yes")="Yes",_xlfn.XLOOKUP("Dst_CIDR_17_22",'Scoring_Config'!$A:$A,'Scoring_Config'!$C:$C,15),0),"False,0")</f>
        <v>0</v>
      </c>
      <c r="AI470" s="4" cm="1">
        <f t="array" ref="AI470">IF(FALSE,"True," &amp; IF(_xlfn.XLOOKUP("SrcZone_IsAny",'Scoring_Config'!$A:$A,'Scoring_Config'!$D:$D,"Yes")="Yes",_xlfn.XLOOKUP("SrcZone_IsAny",'Scoring_Config'!$A:$A,'Scoring_Config'!$C:$C,5),0),"False,0")</f>
        <v>0</v>
      </c>
      <c r="AJ470" s="4" cm="1">
        <f t="array" ref="AJ470">IF(FALSE,"True," &amp; IF(_xlfn.XLOOKUP("DstZone_IsAny",'Scoring_Config'!$A:$A,'Scoring_Config'!$D:$D,"Yes")="Yes",_xlfn.XLOOKUP("DstZone_IsAny",'Scoring_Config'!$A:$A,'Scoring_Config'!$C:$C,5),0),"False,0")</f>
        <v>0</v>
      </c>
      <c r="AK470" s="4" cm="1">
        <f t="array" ref="AK470">IF(FALSE,"True," &amp; IF(_xlfn.XLOOKUP("Service_Any_OR_RangeGt1000",'Scoring_Config'!$A:$A,'Scoring_Config'!$D:$D,"Yes")="Yes",_xlfn.XLOOKUP("Service_Any_OR_RangeGt1000",'Scoring_Config'!$A:$A,'Scoring_Config'!$C:$C,25),0),"False,0")</f>
        <v>0</v>
      </c>
      <c r="AL470" s="4" cm="1">
        <f t="array" ref="AL470">IF(FALSE,"True," &amp; IF(_xlfn.XLOOKUP("App_Any_OR_RangeGt1000",'Scoring_Config'!$A:$A,'Scoring_Config'!$D:$D,"Yes")="Yes",_xlfn.XLOOKUP("App_Any_OR_RangeGt1000",'Scoring_Config'!$A:$A,'Scoring_Config'!$C:$C,25),0),"False,0")</f>
        <v>0</v>
      </c>
      <c r="AM470" s="5" cm="1">
        <f t="array" ref="AM470">IF(TRUE,"True," &amp; IF(_xlfn.XLOOKUP("Service_Insecure_Match",'Scoring_Config'!$A:$A,'Scoring_Config'!$D:$D,"Yes")="Yes",_xlfn.XLOOKUP("Service_Insecure_Match",'Scoring_Config'!$A:$A,'Scoring_Config'!$C:$C,20),0),"False,0")</f>
        <v>0</v>
      </c>
      <c r="AN470" s="4" cm="1">
        <f t="array" ref="AN470">IF(FALSE,"True," &amp; IF(_xlfn.XLOOKUP("Risky_Inbound",'Scoring_Config'!$A:$A,'Scoring_Config'!$D:$D,"Yes")="Yes",_xlfn.XLOOKUP("Risky_Inbound",'Scoring_Config'!$A:$A,'Scoring_Config'!$C:$C,20),0),"False,0")</f>
        <v>0</v>
      </c>
      <c r="AO470" s="4" cm="1">
        <f t="array" ref="AO470">IF(FALSE,"True," &amp; IF(_xlfn.XLOOKUP("Risky_Outbound",'Scoring_Config'!$A:$A,'Scoring_Config'!$D:$D,"Yes")="Yes",_xlfn.XLOOKUP("Risky_Outbound",'Scoring_Config'!$A:$A,'Scoring_Config'!$C:$C,10),0),"False,0")</f>
        <v>0</v>
      </c>
      <c r="AP470" s="5" t="s">
        <v>2595</v>
      </c>
      <c r="AQ470" s="5" cm="1">
        <f t="array" ref="AQ470">IF(TRUE,"True," &amp; IF(_xlfn.XLOOKUP("Rule_Usage_Description_Scoring",'Scoring_Config'!$A:$A,'Scoring_Config'!$D:$D,"Yes")="Yes",_xlfn.XLOOKUP("Rule_Usage_Description_Scoring",'Scoring_Config'!$A:$A,'Scoring_Config'!$C:$C,5),0),"False,0")</f>
        <v>0</v>
      </c>
      <c r="AR470" s="5" t="s">
        <v>2598</v>
      </c>
      <c r="AS470" s="4" t="s">
        <v>2592</v>
      </c>
      <c r="AT470" s="5" t="s">
        <v>2595</v>
      </c>
      <c r="AU470" s="4" cm="1">
        <f t="array" ref="AU470">IF(FALSE,"True," &amp; IF(_xlfn.XLOOKUP("Action_IsDenyOrDrop",'Scoring_Config'!$A:$A,'Scoring_Config'!$D:$D,"Yes")="Yes",_xlfn.XLOOKUP("Action_IsDenyOrDrop",'Scoring_Config'!$A:$A,'Scoring_Config'!$C:$C,0),0),"False,0")</f>
        <v>0</v>
      </c>
      <c r="AV470" s="4"/>
      <c r="AW470" s="4" cm="1">
        <f t="array" ref="AW470">IF(FALSE,"True," &amp; IF(_xlfn.XLOOKUP("Migrate_Insecure",'Scoring_Config'!$A:$A,'Scoring_Config'!$D:$D,"Yes")="Yes",_xlfn.XLOOKUP("Migrate_Insecure",'Scoring_Config'!$A:$A,'Scoring_Config'!$C:$C,15),0),"False,0")</f>
        <v>0</v>
      </c>
      <c r="AX470" s="4"/>
      <c r="AY470" s="4" cm="1">
        <f t="array" ref="AY470">IF(FALSE,"True," &amp; IF(_xlfn.XLOOKUP("Migrate_Other_Ports",'Scoring_Config'!$A:$A,'Scoring_Config'!$D:$D,"Yes")="Yes",_xlfn.XLOOKUP("Migrate_Other_Ports",'Scoring_Config'!$A:$A,'Scoring_Config'!$C:$C,5),0),"False,0")</f>
        <v>0</v>
      </c>
      <c r="AZ470" s="4" cm="1">
        <f t="array" ref="AZ470">IF(LEFT(AU470,4)="True",0,(IF(LEFT(AC470,4)="True",IF(_xlfn.XLOOKUP("Src_IsAny",'Scoring_Config'!$A:$A,'Scoring_Config'!$D:$D,"Yes")="Yes",_xlfn.XLOOKUP("Src_IsAny",'Scoring_Config'!$A:$A,'Scoring_Config'!$C:$C,25),0),0)+IF(LEFT(AD470,4)="True",IF(_xlfn.XLOOKUP("Src_CIDR_Le_16",'Scoring_Config'!$A:$A,'Scoring_Config'!$D:$D,"Yes")="Yes",_xlfn.XLOOKUP("Src_CIDR_Le_16",'Scoring_Config'!$A:$A,'Scoring_Config'!$C:$C,25),0),0)+IF(LEFT(AE470,4)="True",IF(_xlfn.XLOOKUP("Src_CIDR_17_22",'Scoring_Config'!$A:$A,'Scoring_Config'!$D:$D,"Yes")="Yes",_xlfn.XLOOKUP("Src_CIDR_17_22",'Scoring_Config'!$A:$A,'Scoring_Config'!$C:$C,15),0),0)+IF(LEFT(AF470,4)="True",IF(_xlfn.XLOOKUP("Dst_IsAny",'Scoring_Config'!$A:$A,'Scoring_Config'!$D:$D,"Yes")="Yes",_xlfn.XLOOKUP("Dst_IsAny",'Scoring_Config'!$A:$A,'Scoring_Config'!$C:$C,25),0),0)+IF(LEFT(AG470,4)="True",IF(_xlfn.XLOOKUP("Dst_CIDR_Le_16",'Scoring_Config'!$A:$A,'Scoring_Config'!$D:$D,"Yes")="Yes",_xlfn.XLOOKUP("Dst_CIDR_Le_16",'Scoring_Config'!$A:$A,'Scoring_Config'!$C:$C,25),0),0)+IF(LEFT(AH470,4)="True",IF(_xlfn.XLOOKUP("Dst_CIDR_17_22",'Scoring_Config'!$A:$A,'Scoring_Config'!$D:$D,"Yes")="Yes",_xlfn.XLOOKUP("Dst_CIDR_17_22",'Scoring_Config'!$A:$A,'Scoring_Config'!$C:$C,15),0),0)+IF(LEFT(AI470,4)="True",IF(_xlfn.XLOOKUP("SrcZone_IsAny",'Scoring_Config'!$A:$A,'Scoring_Config'!$D:$D,"Yes")="Yes",_xlfn.XLOOKUP("SrcZone_IsAny",'Scoring_Config'!$A:$A,'Scoring_Config'!$C:$C,5),0),0)+IF(LEFT(AJ470,4)="True",IF(_xlfn.XLOOKUP("DstZone_IsAny",'Scoring_Config'!$A:$A,'Scoring_Config'!$D:$D,"Yes")="Yes",_xlfn.XLOOKUP("DstZone_IsAny",'Scoring_Config'!$A:$A,'Scoring_Config'!$C:$C,5),0),0)+IF(LEFT(AK470,4)="True",IF(_xlfn.XLOOKUP("Service_Any_OR_RangeGt1000",'Scoring_Config'!$A:$A,'Scoring_Config'!$D:$D,"Yes")="Yes",_xlfn.XLOOKUP("Service_Any_OR_RangeGt1000",'Scoring_Config'!$A:$A,'Scoring_Config'!$C:$C,25),0),0)+IF(LEFT(AL470,4)="True",IF(_xlfn.XLOOKUP("App_Any_OR_RangeGt1000",'Scoring_Config'!$A:$A,'Scoring_Config'!$D:$D,"Yes")="Yes",_xlfn.XLOOKUP("App_Any_OR_RangeGt1000",'Scoring_Config'!$A:$A,'Scoring_Config'!$C:$C,25),0),0)+IF(LEFT(AM470,4)="True",IF(_xlfn.XLOOKUP("Service_Insecure_Match",'Scoring_Config'!$A:$A,'Scoring_Config'!$D:$D,"Yes")="Yes",_xlfn.XLOOKUP("Service_Insecure_Match",'Scoring_Config'!$A:$A,'Scoring_Config'!$C:$C,20),0),0)+IF(LEFT(AN470,4)="True",IF(_xlfn.XLOOKUP("Risky_Inbound",'Scoring_Config'!$A:$A,'Scoring_Config'!$D:$D,"Yes")="Yes",_xlfn.XLOOKUP("Risky_Inbound",'Scoring_Config'!$A:$A,'Scoring_Config'!$C:$C,20),0),0)+IF(LEFT(AO470,4)="True",IF(_xlfn.XLOOKUP("Risky_Outbound",'Scoring_Config'!$A:$A,'Scoring_Config'!$D:$D,"Yes")="Yes",_xlfn.XLOOKUP("Risky_Outbound",'Scoring_Config'!$A:$A,'Scoring_Config'!$C:$C,10),0),0)+IF(LEFT(AW470,4)="True",IF(_xlfn.XLOOKUP("Migrate_Insecure",'Scoring_Config'!$A:$A,'Scoring_Config'!$D:$D,"Yes")="Yes",_xlfn.XLOOKUP("Migrate_Insecure",'Scoring_Config'!$A:$A,'Scoring_Config'!$C:$C,15),0),0)+IF(LEFT(AY470,4)="True",IF(_xlfn.XLOOKUP("Migrate_Other_Ports",'Scoring_Config'!$A:$A,'Scoring_Config'!$D:$D,"Yes")="Yes",_xlfn.XLOOKUP("Migrate_Other_Ports",'Scoring_Config'!$A:$A,'Scoring_Config'!$C:$C,5),0),0)+IF(_xlfn.XLOOKUP("Rule_Usage_Scoring",'Scoring_Config'!$A:$A,'Scoring_Config'!$D:$D,"Yes")="Yes",VALUE(MID(AP470,FIND(",",AP470)+1,100)),0)+IF(LEFT(AQ470,4)="True",IF(_xlfn.XLOOKUP("Rule_Usage_Description_Scoring",'Scoring_Config'!$A:$A,'Scoring_Config'!$D:$D,"Yes")="Yes",_xlfn.XLOOKUP("Rule_Usage_Description_Scoring",'Scoring_Config'!$A:$A,'Scoring_Config'!$C:$C,5),0),0)+IF(_xlfn.XLOOKUP("Source_User_Scoring",'Scoring_Config'!$A:$A,'Scoring_Config'!$D:$D,"Yes")="Yes",VALUE(MID(AR470,FIND(",",AR470)+1,100)),0)+IF(_xlfn.XLOOKUP("Profile_Scoring",'Scoring_Config'!$A:$A,'Scoring_Config'!$D:$D,"Yes")="Yes",VALUE(MID(AS470,FIND(",",AS470)+1,100)),0)+IF(_xlfn.XLOOKUP("Options_Scoring",'Scoring_Config'!$A:$A,'Scoring_Config'!$D:$D,"Yes")="Yes",VALUE(MID(AT470,FIND(",",AT470)+1,100)),0))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6" t="s">
        <v>2612</v>
      </c>
      <c r="B1" s="6" t="s">
        <v>2613</v>
      </c>
      <c r="C1" s="6" t="s">
        <v>2614</v>
      </c>
    </row>
    <row r="2" spans="1:3">
      <c r="A2" t="s">
        <v>2615</v>
      </c>
      <c r="B2" t="s">
        <v>2616</v>
      </c>
      <c r="C2" t="s">
        <v>2617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cols>
    <col min="1" max="1" width="26.7109375" customWidth="1"/>
    <col min="2" max="2" width="54.7109375" customWidth="1"/>
    <col min="3" max="3" width="10.7109375" customWidth="1"/>
    <col min="4" max="4" width="12.7109375" customWidth="1"/>
  </cols>
  <sheetData>
    <row r="1" spans="1:6">
      <c r="A1" s="7" t="s">
        <v>2618</v>
      </c>
      <c r="B1" s="7" t="s">
        <v>2619</v>
      </c>
      <c r="C1" s="7" t="s">
        <v>2620</v>
      </c>
      <c r="D1" s="7" t="s">
        <v>2621</v>
      </c>
    </row>
    <row r="2" spans="1:6">
      <c r="A2" t="s">
        <v>28</v>
      </c>
      <c r="B2" t="s">
        <v>2623</v>
      </c>
      <c r="C2">
        <v>25</v>
      </c>
      <c r="D2" t="s">
        <v>2643</v>
      </c>
      <c r="F2" t="s">
        <v>2644</v>
      </c>
    </row>
    <row r="3" spans="1:6">
      <c r="A3" t="s">
        <v>29</v>
      </c>
      <c r="B3" t="s">
        <v>2624</v>
      </c>
      <c r="C3">
        <v>25</v>
      </c>
      <c r="D3" t="s">
        <v>2643</v>
      </c>
    </row>
    <row r="4" spans="1:6">
      <c r="A4" t="s">
        <v>30</v>
      </c>
      <c r="B4" t="s">
        <v>2625</v>
      </c>
      <c r="C4">
        <v>15</v>
      </c>
      <c r="D4" t="s">
        <v>2643</v>
      </c>
    </row>
    <row r="5" spans="1:6">
      <c r="A5" t="s">
        <v>31</v>
      </c>
      <c r="B5" t="s">
        <v>2626</v>
      </c>
      <c r="C5">
        <v>25</v>
      </c>
      <c r="D5" t="s">
        <v>2643</v>
      </c>
    </row>
    <row r="6" spans="1:6">
      <c r="A6" t="s">
        <v>32</v>
      </c>
      <c r="B6" t="s">
        <v>2627</v>
      </c>
      <c r="C6">
        <v>25</v>
      </c>
      <c r="D6" t="s">
        <v>2643</v>
      </c>
    </row>
    <row r="7" spans="1:6">
      <c r="A7" t="s">
        <v>33</v>
      </c>
      <c r="B7" t="s">
        <v>2628</v>
      </c>
      <c r="C7">
        <v>15</v>
      </c>
      <c r="D7" t="s">
        <v>2643</v>
      </c>
    </row>
    <row r="8" spans="1:6">
      <c r="A8" t="s">
        <v>34</v>
      </c>
      <c r="B8" t="s">
        <v>2629</v>
      </c>
      <c r="C8">
        <v>5</v>
      </c>
      <c r="D8" t="s">
        <v>2643</v>
      </c>
    </row>
    <row r="9" spans="1:6">
      <c r="A9" t="s">
        <v>35</v>
      </c>
      <c r="B9" t="s">
        <v>2630</v>
      </c>
      <c r="C9">
        <v>5</v>
      </c>
      <c r="D9" t="s">
        <v>2643</v>
      </c>
    </row>
    <row r="10" spans="1:6">
      <c r="A10" t="s">
        <v>36</v>
      </c>
      <c r="B10" t="s">
        <v>2631</v>
      </c>
      <c r="C10">
        <v>25</v>
      </c>
      <c r="D10" t="s">
        <v>2643</v>
      </c>
    </row>
    <row r="11" spans="1:6">
      <c r="A11" t="s">
        <v>37</v>
      </c>
      <c r="B11" t="s">
        <v>2632</v>
      </c>
      <c r="C11">
        <v>25</v>
      </c>
      <c r="D11" t="s">
        <v>2643</v>
      </c>
    </row>
    <row r="12" spans="1:6">
      <c r="A12" t="s">
        <v>38</v>
      </c>
      <c r="B12" t="s">
        <v>2633</v>
      </c>
      <c r="C12">
        <v>20</v>
      </c>
      <c r="D12" t="s">
        <v>2643</v>
      </c>
    </row>
    <row r="13" spans="1:6">
      <c r="A13" t="s">
        <v>39</v>
      </c>
      <c r="B13" t="s">
        <v>2634</v>
      </c>
      <c r="C13">
        <v>20</v>
      </c>
      <c r="D13" t="s">
        <v>2643</v>
      </c>
    </row>
    <row r="14" spans="1:6">
      <c r="A14" t="s">
        <v>40</v>
      </c>
      <c r="B14" t="s">
        <v>2635</v>
      </c>
      <c r="C14">
        <v>10</v>
      </c>
      <c r="D14" t="s">
        <v>2643</v>
      </c>
    </row>
    <row r="15" spans="1:6">
      <c r="A15" t="s">
        <v>41</v>
      </c>
      <c r="B15" t="s">
        <v>2636</v>
      </c>
      <c r="C15">
        <v>5</v>
      </c>
      <c r="D15" t="s">
        <v>2643</v>
      </c>
    </row>
    <row r="16" spans="1:6">
      <c r="A16" t="s">
        <v>42</v>
      </c>
      <c r="B16" t="s">
        <v>2637</v>
      </c>
      <c r="C16">
        <v>5</v>
      </c>
      <c r="D16" t="s">
        <v>2643</v>
      </c>
    </row>
    <row r="17" spans="1:4">
      <c r="A17" t="s">
        <v>43</v>
      </c>
      <c r="B17" t="s">
        <v>2638</v>
      </c>
      <c r="C17">
        <v>-10</v>
      </c>
      <c r="D17" t="s">
        <v>2643</v>
      </c>
    </row>
    <row r="18" spans="1:4">
      <c r="A18" t="s">
        <v>44</v>
      </c>
      <c r="B18" t="s">
        <v>2639</v>
      </c>
      <c r="C18">
        <v>5</v>
      </c>
      <c r="D18" t="s">
        <v>2643</v>
      </c>
    </row>
    <row r="19" spans="1:4">
      <c r="A19" t="s">
        <v>48</v>
      </c>
      <c r="B19" t="s">
        <v>2640</v>
      </c>
      <c r="C19">
        <v>15</v>
      </c>
      <c r="D19" t="s">
        <v>2643</v>
      </c>
    </row>
    <row r="20" spans="1:4">
      <c r="A20" t="s">
        <v>2622</v>
      </c>
      <c r="B20" t="s">
        <v>2641</v>
      </c>
      <c r="C20">
        <v>5</v>
      </c>
      <c r="D20" t="s">
        <v>2643</v>
      </c>
    </row>
    <row r="21" spans="1:4">
      <c r="A21" t="s">
        <v>45</v>
      </c>
      <c r="B21" t="s">
        <v>2642</v>
      </c>
      <c r="C21">
        <v>5</v>
      </c>
      <c r="D21" t="s">
        <v>2643</v>
      </c>
    </row>
  </sheetData>
  <dataValidations count="2">
    <dataValidation type="list" allowBlank="1" showInputMessage="1" showErrorMessage="1" sqref="D2:D500">
      <formula1>"Yes,No"</formula1>
    </dataValidation>
    <dataValidation type="whole" allowBlank="1" showInputMessage="1" showErrorMessage="1" sqref="C2:C500">
      <formula1>-100</formula1>
      <formula2>100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934"/>
  <sheetViews>
    <sheetView workbookViewId="0"/>
  </sheetViews>
  <sheetFormatPr defaultRowHeight="15"/>
  <cols>
    <col min="1" max="7" width="15.7109375" customWidth="1"/>
  </cols>
  <sheetData>
    <row r="1" spans="1:7">
      <c r="A1" s="8" t="s">
        <v>1</v>
      </c>
      <c r="B1" s="8" t="s">
        <v>3</v>
      </c>
      <c r="C1" s="8" t="s">
        <v>2645</v>
      </c>
      <c r="D1" s="8" t="s">
        <v>2646</v>
      </c>
      <c r="E1" s="8" t="s">
        <v>2647</v>
      </c>
      <c r="F1" s="8" t="s">
        <v>2648</v>
      </c>
      <c r="G1" s="8" t="s">
        <v>2649</v>
      </c>
    </row>
    <row r="2" spans="1:7">
      <c r="A2" t="s">
        <v>2650</v>
      </c>
      <c r="C2" t="s">
        <v>8392</v>
      </c>
      <c r="D2" t="s">
        <v>8400</v>
      </c>
      <c r="E2" t="s">
        <v>1587</v>
      </c>
      <c r="F2" t="s">
        <v>8447</v>
      </c>
      <c r="G2" t="s">
        <v>8451</v>
      </c>
    </row>
    <row r="3" spans="1:7">
      <c r="A3" t="s">
        <v>2651</v>
      </c>
      <c r="C3" t="s">
        <v>8393</v>
      </c>
      <c r="D3" t="s">
        <v>8393</v>
      </c>
      <c r="E3" t="s">
        <v>919</v>
      </c>
      <c r="F3" t="s">
        <v>8393</v>
      </c>
    </row>
    <row r="4" spans="1:7">
      <c r="A4" t="s">
        <v>2652</v>
      </c>
      <c r="C4" t="s">
        <v>8394</v>
      </c>
      <c r="D4" t="s">
        <v>8401</v>
      </c>
      <c r="E4" t="s">
        <v>8444</v>
      </c>
      <c r="F4" t="s">
        <v>8448</v>
      </c>
      <c r="G4" t="s">
        <v>8452</v>
      </c>
    </row>
    <row r="5" spans="1:7">
      <c r="A5" t="s">
        <v>2653</v>
      </c>
      <c r="C5" t="s">
        <v>8394</v>
      </c>
      <c r="D5" t="s">
        <v>8401</v>
      </c>
      <c r="E5" t="s">
        <v>8444</v>
      </c>
      <c r="F5" t="s">
        <v>8448</v>
      </c>
      <c r="G5" t="s">
        <v>8452</v>
      </c>
    </row>
    <row r="6" spans="1:7">
      <c r="A6" t="s">
        <v>2654</v>
      </c>
      <c r="C6" t="s">
        <v>8394</v>
      </c>
      <c r="D6" t="s">
        <v>8401</v>
      </c>
      <c r="E6" t="s">
        <v>8445</v>
      </c>
      <c r="F6" t="s">
        <v>8448</v>
      </c>
      <c r="G6" t="s">
        <v>8452</v>
      </c>
    </row>
    <row r="7" spans="1:7">
      <c r="A7" t="s">
        <v>2655</v>
      </c>
      <c r="C7" t="s">
        <v>8394</v>
      </c>
      <c r="D7" t="s">
        <v>8401</v>
      </c>
      <c r="E7" t="s">
        <v>8445</v>
      </c>
      <c r="F7" t="s">
        <v>8448</v>
      </c>
      <c r="G7" t="s">
        <v>8452</v>
      </c>
    </row>
    <row r="8" spans="1:7">
      <c r="A8" t="s">
        <v>2656</v>
      </c>
      <c r="C8" t="s">
        <v>8394</v>
      </c>
      <c r="D8" t="s">
        <v>8401</v>
      </c>
      <c r="E8" t="s">
        <v>8445</v>
      </c>
      <c r="F8" t="s">
        <v>8448</v>
      </c>
      <c r="G8" t="s">
        <v>8452</v>
      </c>
    </row>
    <row r="9" spans="1:7">
      <c r="A9" t="s">
        <v>2657</v>
      </c>
      <c r="C9" t="s">
        <v>8394</v>
      </c>
      <c r="D9" t="s">
        <v>8401</v>
      </c>
      <c r="E9" t="s">
        <v>8445</v>
      </c>
      <c r="F9" t="s">
        <v>8448</v>
      </c>
      <c r="G9" t="s">
        <v>8452</v>
      </c>
    </row>
    <row r="10" spans="1:7">
      <c r="A10" t="s">
        <v>2658</v>
      </c>
      <c r="C10" t="s">
        <v>8394</v>
      </c>
      <c r="D10" t="s">
        <v>8401</v>
      </c>
      <c r="E10" t="s">
        <v>8445</v>
      </c>
      <c r="F10" t="s">
        <v>8448</v>
      </c>
      <c r="G10" t="s">
        <v>8452</v>
      </c>
    </row>
    <row r="11" spans="1:7">
      <c r="A11" t="s">
        <v>2659</v>
      </c>
      <c r="C11" t="s">
        <v>8394</v>
      </c>
      <c r="D11" t="s">
        <v>8401</v>
      </c>
      <c r="E11" t="s">
        <v>8445</v>
      </c>
      <c r="F11" t="s">
        <v>8448</v>
      </c>
      <c r="G11" t="s">
        <v>8452</v>
      </c>
    </row>
    <row r="12" spans="1:7">
      <c r="A12" t="s">
        <v>2660</v>
      </c>
      <c r="C12" t="s">
        <v>8394</v>
      </c>
      <c r="D12" t="s">
        <v>8402</v>
      </c>
      <c r="E12" t="s">
        <v>8446</v>
      </c>
      <c r="F12" t="s">
        <v>8448</v>
      </c>
      <c r="G12" t="s">
        <v>8452</v>
      </c>
    </row>
    <row r="13" spans="1:7">
      <c r="A13" t="s">
        <v>2661</v>
      </c>
      <c r="C13" t="s">
        <v>8394</v>
      </c>
      <c r="D13" t="s">
        <v>8401</v>
      </c>
      <c r="E13" t="s">
        <v>8445</v>
      </c>
      <c r="F13" t="s">
        <v>8448</v>
      </c>
      <c r="G13" t="s">
        <v>8452</v>
      </c>
    </row>
    <row r="14" spans="1:7">
      <c r="A14" t="s">
        <v>2662</v>
      </c>
      <c r="C14" t="s">
        <v>8394</v>
      </c>
      <c r="D14" t="s">
        <v>8401</v>
      </c>
      <c r="E14" t="s">
        <v>8445</v>
      </c>
      <c r="F14" t="s">
        <v>8448</v>
      </c>
      <c r="G14" t="s">
        <v>8452</v>
      </c>
    </row>
    <row r="15" spans="1:7">
      <c r="A15" t="s">
        <v>2663</v>
      </c>
      <c r="C15" t="s">
        <v>8394</v>
      </c>
      <c r="D15" t="s">
        <v>8401</v>
      </c>
      <c r="E15" t="s">
        <v>8445</v>
      </c>
      <c r="F15" t="s">
        <v>8448</v>
      </c>
      <c r="G15" t="s">
        <v>8452</v>
      </c>
    </row>
    <row r="16" spans="1:7">
      <c r="A16" t="s">
        <v>2664</v>
      </c>
      <c r="C16" t="s">
        <v>8394</v>
      </c>
      <c r="D16" t="s">
        <v>8401</v>
      </c>
      <c r="E16" t="s">
        <v>8445</v>
      </c>
      <c r="F16" t="s">
        <v>8448</v>
      </c>
      <c r="G16" t="s">
        <v>8452</v>
      </c>
    </row>
    <row r="17" spans="1:7">
      <c r="A17" t="s">
        <v>2665</v>
      </c>
      <c r="C17" t="s">
        <v>8394</v>
      </c>
      <c r="D17" t="s">
        <v>8401</v>
      </c>
      <c r="E17" t="s">
        <v>8445</v>
      </c>
      <c r="F17" t="s">
        <v>8448</v>
      </c>
      <c r="G17" t="s">
        <v>8452</v>
      </c>
    </row>
    <row r="18" spans="1:7">
      <c r="A18" t="s">
        <v>2666</v>
      </c>
      <c r="C18" t="s">
        <v>8394</v>
      </c>
      <c r="D18" t="s">
        <v>8401</v>
      </c>
      <c r="E18" t="s">
        <v>8445</v>
      </c>
      <c r="F18" t="s">
        <v>8448</v>
      </c>
      <c r="G18" t="s">
        <v>8452</v>
      </c>
    </row>
    <row r="19" spans="1:7">
      <c r="A19" t="s">
        <v>2667</v>
      </c>
      <c r="C19" t="s">
        <v>8394</v>
      </c>
      <c r="D19" t="s">
        <v>8401</v>
      </c>
      <c r="E19" t="s">
        <v>8445</v>
      </c>
      <c r="F19" t="s">
        <v>8448</v>
      </c>
      <c r="G19" t="s">
        <v>8452</v>
      </c>
    </row>
    <row r="20" spans="1:7">
      <c r="A20" t="s">
        <v>2668</v>
      </c>
      <c r="C20" t="s">
        <v>8394</v>
      </c>
      <c r="D20" t="s">
        <v>8401</v>
      </c>
      <c r="E20" t="s">
        <v>8445</v>
      </c>
      <c r="F20" t="s">
        <v>8448</v>
      </c>
      <c r="G20" t="s">
        <v>8452</v>
      </c>
    </row>
    <row r="21" spans="1:7">
      <c r="A21" t="s">
        <v>2669</v>
      </c>
      <c r="C21" t="s">
        <v>8394</v>
      </c>
      <c r="D21" t="s">
        <v>8402</v>
      </c>
      <c r="E21" t="s">
        <v>8444</v>
      </c>
      <c r="F21" t="s">
        <v>8448</v>
      </c>
      <c r="G21" t="s">
        <v>8452</v>
      </c>
    </row>
    <row r="22" spans="1:7">
      <c r="A22" t="s">
        <v>2670</v>
      </c>
      <c r="C22" t="s">
        <v>8394</v>
      </c>
      <c r="D22" t="s">
        <v>8401</v>
      </c>
      <c r="E22" t="s">
        <v>8445</v>
      </c>
      <c r="F22" t="s">
        <v>8448</v>
      </c>
      <c r="G22" t="s">
        <v>8452</v>
      </c>
    </row>
    <row r="23" spans="1:7">
      <c r="A23" t="s">
        <v>2671</v>
      </c>
      <c r="C23" t="s">
        <v>8394</v>
      </c>
      <c r="D23" t="s">
        <v>8401</v>
      </c>
      <c r="E23" t="s">
        <v>8445</v>
      </c>
      <c r="F23" t="s">
        <v>8448</v>
      </c>
      <c r="G23" t="s">
        <v>8452</v>
      </c>
    </row>
    <row r="24" spans="1:7">
      <c r="A24" t="s">
        <v>2672</v>
      </c>
      <c r="C24" t="s">
        <v>8394</v>
      </c>
      <c r="D24" t="s">
        <v>8401</v>
      </c>
      <c r="E24" t="s">
        <v>8445</v>
      </c>
      <c r="F24" t="s">
        <v>8448</v>
      </c>
      <c r="G24" t="s">
        <v>8452</v>
      </c>
    </row>
    <row r="25" spans="1:7">
      <c r="A25" t="s">
        <v>2673</v>
      </c>
      <c r="C25" t="s">
        <v>8394</v>
      </c>
      <c r="D25" t="s">
        <v>8401</v>
      </c>
      <c r="E25" t="s">
        <v>8445</v>
      </c>
      <c r="F25" t="s">
        <v>8448</v>
      </c>
      <c r="G25" t="s">
        <v>8452</v>
      </c>
    </row>
    <row r="26" spans="1:7">
      <c r="A26" t="s">
        <v>2674</v>
      </c>
      <c r="C26" t="s">
        <v>8394</v>
      </c>
      <c r="D26" t="s">
        <v>8402</v>
      </c>
      <c r="E26" t="s">
        <v>8444</v>
      </c>
      <c r="F26" t="s">
        <v>8448</v>
      </c>
      <c r="G26" t="s">
        <v>8452</v>
      </c>
    </row>
    <row r="27" spans="1:7">
      <c r="A27" t="s">
        <v>2675</v>
      </c>
      <c r="C27" t="s">
        <v>8394</v>
      </c>
      <c r="D27" t="s">
        <v>8401</v>
      </c>
      <c r="E27" t="s">
        <v>8445</v>
      </c>
      <c r="F27" t="s">
        <v>8448</v>
      </c>
      <c r="G27" t="s">
        <v>8452</v>
      </c>
    </row>
    <row r="28" spans="1:7">
      <c r="A28" t="s">
        <v>2676</v>
      </c>
      <c r="C28" t="s">
        <v>8394</v>
      </c>
      <c r="D28" t="s">
        <v>8401</v>
      </c>
      <c r="E28" t="s">
        <v>8445</v>
      </c>
      <c r="F28" t="s">
        <v>8448</v>
      </c>
      <c r="G28" t="s">
        <v>8452</v>
      </c>
    </row>
    <row r="29" spans="1:7">
      <c r="A29" t="s">
        <v>2677</v>
      </c>
      <c r="C29" t="s">
        <v>8394</v>
      </c>
      <c r="D29" t="s">
        <v>8401</v>
      </c>
      <c r="E29" t="s">
        <v>8445</v>
      </c>
      <c r="F29" t="s">
        <v>8448</v>
      </c>
      <c r="G29" t="s">
        <v>8452</v>
      </c>
    </row>
    <row r="30" spans="1:7">
      <c r="A30" t="s">
        <v>2678</v>
      </c>
      <c r="C30" t="s">
        <v>8394</v>
      </c>
      <c r="D30" t="s">
        <v>8401</v>
      </c>
      <c r="E30" t="s">
        <v>8445</v>
      </c>
      <c r="F30" t="s">
        <v>8448</v>
      </c>
      <c r="G30" t="s">
        <v>8452</v>
      </c>
    </row>
    <row r="31" spans="1:7">
      <c r="A31" t="s">
        <v>2679</v>
      </c>
      <c r="C31" t="s">
        <v>8394</v>
      </c>
      <c r="D31" t="s">
        <v>8401</v>
      </c>
      <c r="E31" t="s">
        <v>8445</v>
      </c>
      <c r="F31" t="s">
        <v>8448</v>
      </c>
      <c r="G31" t="s">
        <v>8452</v>
      </c>
    </row>
    <row r="32" spans="1:7">
      <c r="A32" t="s">
        <v>2680</v>
      </c>
      <c r="C32" t="s">
        <v>8394</v>
      </c>
      <c r="D32" t="s">
        <v>8401</v>
      </c>
      <c r="E32" t="s">
        <v>8445</v>
      </c>
      <c r="F32" t="s">
        <v>8448</v>
      </c>
      <c r="G32" t="s">
        <v>8452</v>
      </c>
    </row>
    <row r="33" spans="1:7">
      <c r="A33" t="s">
        <v>2681</v>
      </c>
      <c r="C33" t="s">
        <v>8394</v>
      </c>
      <c r="D33" t="s">
        <v>8401</v>
      </c>
      <c r="E33" t="s">
        <v>8445</v>
      </c>
      <c r="F33" t="s">
        <v>8448</v>
      </c>
      <c r="G33" t="s">
        <v>8452</v>
      </c>
    </row>
    <row r="34" spans="1:7">
      <c r="A34" t="s">
        <v>2682</v>
      </c>
      <c r="C34" t="s">
        <v>8394</v>
      </c>
      <c r="D34" t="s">
        <v>8401</v>
      </c>
      <c r="E34" t="s">
        <v>8445</v>
      </c>
      <c r="F34" t="s">
        <v>8448</v>
      </c>
      <c r="G34" t="s">
        <v>8452</v>
      </c>
    </row>
    <row r="35" spans="1:7">
      <c r="A35" t="s">
        <v>2683</v>
      </c>
      <c r="C35" t="s">
        <v>8394</v>
      </c>
      <c r="D35" t="s">
        <v>8401</v>
      </c>
      <c r="E35" t="s">
        <v>8445</v>
      </c>
      <c r="F35" t="s">
        <v>8448</v>
      </c>
      <c r="G35" t="s">
        <v>8452</v>
      </c>
    </row>
    <row r="36" spans="1:7">
      <c r="A36" t="s">
        <v>2684</v>
      </c>
      <c r="C36" t="s">
        <v>8394</v>
      </c>
      <c r="D36" t="s">
        <v>8401</v>
      </c>
      <c r="E36" t="s">
        <v>8445</v>
      </c>
      <c r="F36" t="s">
        <v>8448</v>
      </c>
      <c r="G36" t="s">
        <v>8452</v>
      </c>
    </row>
    <row r="37" spans="1:7">
      <c r="A37" t="s">
        <v>2685</v>
      </c>
      <c r="C37" t="s">
        <v>8394</v>
      </c>
      <c r="D37" t="s">
        <v>8401</v>
      </c>
      <c r="E37" t="s">
        <v>8445</v>
      </c>
      <c r="F37" t="s">
        <v>8448</v>
      </c>
      <c r="G37" t="s">
        <v>8452</v>
      </c>
    </row>
    <row r="38" spans="1:7">
      <c r="A38" t="s">
        <v>2686</v>
      </c>
      <c r="C38" t="s">
        <v>8394</v>
      </c>
      <c r="D38" t="s">
        <v>8401</v>
      </c>
      <c r="E38" t="s">
        <v>8445</v>
      </c>
      <c r="F38" t="s">
        <v>8448</v>
      </c>
      <c r="G38" t="s">
        <v>8452</v>
      </c>
    </row>
    <row r="39" spans="1:7">
      <c r="A39" t="s">
        <v>2687</v>
      </c>
      <c r="C39" t="s">
        <v>8394</v>
      </c>
      <c r="D39" t="s">
        <v>8401</v>
      </c>
      <c r="E39" t="s">
        <v>8445</v>
      </c>
      <c r="F39" t="s">
        <v>8448</v>
      </c>
      <c r="G39" t="s">
        <v>8452</v>
      </c>
    </row>
    <row r="40" spans="1:7">
      <c r="A40" t="s">
        <v>2688</v>
      </c>
      <c r="C40" t="s">
        <v>8394</v>
      </c>
      <c r="D40" t="s">
        <v>8401</v>
      </c>
      <c r="E40" t="s">
        <v>8445</v>
      </c>
      <c r="F40" t="s">
        <v>8448</v>
      </c>
      <c r="G40" t="s">
        <v>8452</v>
      </c>
    </row>
    <row r="41" spans="1:7">
      <c r="A41" t="s">
        <v>2689</v>
      </c>
      <c r="C41" t="s">
        <v>8394</v>
      </c>
      <c r="D41" t="s">
        <v>8402</v>
      </c>
      <c r="E41" t="s">
        <v>8444</v>
      </c>
      <c r="F41" t="s">
        <v>8448</v>
      </c>
      <c r="G41" t="s">
        <v>8452</v>
      </c>
    </row>
    <row r="42" spans="1:7">
      <c r="A42" t="s">
        <v>2690</v>
      </c>
      <c r="C42" t="s">
        <v>8394</v>
      </c>
      <c r="D42" t="s">
        <v>8401</v>
      </c>
      <c r="E42" t="s">
        <v>8445</v>
      </c>
      <c r="F42" t="s">
        <v>8448</v>
      </c>
      <c r="G42" t="s">
        <v>8452</v>
      </c>
    </row>
    <row r="43" spans="1:7">
      <c r="A43" t="s">
        <v>2691</v>
      </c>
      <c r="C43" t="s">
        <v>8394</v>
      </c>
      <c r="D43" t="s">
        <v>8401</v>
      </c>
      <c r="E43" t="s">
        <v>8445</v>
      </c>
      <c r="F43" t="s">
        <v>8448</v>
      </c>
      <c r="G43" t="s">
        <v>8452</v>
      </c>
    </row>
    <row r="44" spans="1:7">
      <c r="A44" t="s">
        <v>2692</v>
      </c>
      <c r="C44" t="s">
        <v>8394</v>
      </c>
      <c r="D44" t="s">
        <v>8401</v>
      </c>
      <c r="E44" t="s">
        <v>8445</v>
      </c>
      <c r="F44" t="s">
        <v>8448</v>
      </c>
      <c r="G44" t="s">
        <v>8452</v>
      </c>
    </row>
    <row r="45" spans="1:7">
      <c r="A45" t="s">
        <v>2693</v>
      </c>
      <c r="C45" t="s">
        <v>8394</v>
      </c>
      <c r="D45" t="s">
        <v>8401</v>
      </c>
      <c r="E45" t="s">
        <v>8445</v>
      </c>
      <c r="F45" t="s">
        <v>8448</v>
      </c>
      <c r="G45" t="s">
        <v>8452</v>
      </c>
    </row>
    <row r="46" spans="1:7">
      <c r="A46" t="s">
        <v>2694</v>
      </c>
      <c r="C46" t="s">
        <v>8394</v>
      </c>
      <c r="D46" t="s">
        <v>8401</v>
      </c>
      <c r="E46" t="s">
        <v>8445</v>
      </c>
      <c r="F46" t="s">
        <v>8448</v>
      </c>
      <c r="G46" t="s">
        <v>8452</v>
      </c>
    </row>
    <row r="47" spans="1:7">
      <c r="A47" t="s">
        <v>2695</v>
      </c>
      <c r="C47" t="s">
        <v>8394</v>
      </c>
      <c r="D47" t="s">
        <v>8401</v>
      </c>
      <c r="E47" t="s">
        <v>8445</v>
      </c>
      <c r="F47" t="s">
        <v>8448</v>
      </c>
      <c r="G47" t="s">
        <v>8452</v>
      </c>
    </row>
    <row r="48" spans="1:7">
      <c r="A48" t="s">
        <v>2696</v>
      </c>
      <c r="C48" t="s">
        <v>8394</v>
      </c>
      <c r="D48" t="s">
        <v>8401</v>
      </c>
      <c r="E48" t="s">
        <v>8445</v>
      </c>
      <c r="F48" t="s">
        <v>8448</v>
      </c>
      <c r="G48" t="s">
        <v>8452</v>
      </c>
    </row>
    <row r="49" spans="1:7">
      <c r="A49" t="s">
        <v>2697</v>
      </c>
      <c r="C49" t="s">
        <v>8394</v>
      </c>
      <c r="D49" t="s">
        <v>8401</v>
      </c>
      <c r="E49" t="s">
        <v>8445</v>
      </c>
      <c r="F49" t="s">
        <v>8448</v>
      </c>
      <c r="G49" t="s">
        <v>8452</v>
      </c>
    </row>
    <row r="50" spans="1:7">
      <c r="A50" t="s">
        <v>2698</v>
      </c>
      <c r="C50" t="s">
        <v>8394</v>
      </c>
      <c r="D50" t="s">
        <v>8401</v>
      </c>
      <c r="E50" t="s">
        <v>8445</v>
      </c>
      <c r="F50" t="s">
        <v>8448</v>
      </c>
      <c r="G50" t="s">
        <v>8452</v>
      </c>
    </row>
    <row r="51" spans="1:7">
      <c r="A51" t="s">
        <v>2699</v>
      </c>
      <c r="C51" t="s">
        <v>8394</v>
      </c>
      <c r="D51" t="s">
        <v>8401</v>
      </c>
      <c r="E51" t="s">
        <v>8445</v>
      </c>
      <c r="F51" t="s">
        <v>8448</v>
      </c>
      <c r="G51" t="s">
        <v>8452</v>
      </c>
    </row>
    <row r="52" spans="1:7">
      <c r="A52" t="s">
        <v>2700</v>
      </c>
      <c r="C52" t="s">
        <v>8394</v>
      </c>
      <c r="D52" t="s">
        <v>8401</v>
      </c>
      <c r="E52" t="s">
        <v>8445</v>
      </c>
      <c r="F52" t="s">
        <v>8448</v>
      </c>
      <c r="G52" t="s">
        <v>8452</v>
      </c>
    </row>
    <row r="53" spans="1:7">
      <c r="A53" t="s">
        <v>2701</v>
      </c>
      <c r="C53" t="s">
        <v>8394</v>
      </c>
      <c r="D53" t="s">
        <v>8401</v>
      </c>
      <c r="E53" t="s">
        <v>8445</v>
      </c>
      <c r="F53" t="s">
        <v>8448</v>
      </c>
      <c r="G53" t="s">
        <v>8452</v>
      </c>
    </row>
    <row r="54" spans="1:7">
      <c r="A54" t="s">
        <v>2702</v>
      </c>
      <c r="C54" t="s">
        <v>8394</v>
      </c>
      <c r="D54" t="s">
        <v>8401</v>
      </c>
      <c r="E54" t="s">
        <v>8445</v>
      </c>
      <c r="F54" t="s">
        <v>8448</v>
      </c>
      <c r="G54" t="s">
        <v>8452</v>
      </c>
    </row>
    <row r="55" spans="1:7">
      <c r="A55" t="s">
        <v>2703</v>
      </c>
      <c r="C55" t="s">
        <v>8394</v>
      </c>
      <c r="D55" t="s">
        <v>8401</v>
      </c>
      <c r="E55" t="s">
        <v>8445</v>
      </c>
      <c r="F55" t="s">
        <v>8448</v>
      </c>
      <c r="G55" t="s">
        <v>8452</v>
      </c>
    </row>
    <row r="56" spans="1:7">
      <c r="A56" t="s">
        <v>2704</v>
      </c>
      <c r="C56" t="s">
        <v>8394</v>
      </c>
      <c r="D56" t="s">
        <v>8401</v>
      </c>
      <c r="E56" t="s">
        <v>8445</v>
      </c>
      <c r="F56" t="s">
        <v>8448</v>
      </c>
      <c r="G56" t="s">
        <v>8452</v>
      </c>
    </row>
    <row r="57" spans="1:7">
      <c r="A57" t="s">
        <v>2705</v>
      </c>
      <c r="C57" t="s">
        <v>8394</v>
      </c>
      <c r="D57" t="s">
        <v>8401</v>
      </c>
      <c r="E57" t="s">
        <v>8445</v>
      </c>
      <c r="F57" t="s">
        <v>8448</v>
      </c>
      <c r="G57" t="s">
        <v>8452</v>
      </c>
    </row>
    <row r="58" spans="1:7">
      <c r="A58" t="s">
        <v>2706</v>
      </c>
      <c r="C58" t="s">
        <v>8394</v>
      </c>
      <c r="D58" t="s">
        <v>8401</v>
      </c>
      <c r="E58" t="s">
        <v>8445</v>
      </c>
      <c r="F58" t="s">
        <v>8448</v>
      </c>
      <c r="G58" t="s">
        <v>8452</v>
      </c>
    </row>
    <row r="59" spans="1:7">
      <c r="A59" t="s">
        <v>2707</v>
      </c>
      <c r="C59" t="s">
        <v>8394</v>
      </c>
      <c r="D59" t="s">
        <v>8401</v>
      </c>
      <c r="E59" t="s">
        <v>8445</v>
      </c>
      <c r="F59" t="s">
        <v>8448</v>
      </c>
      <c r="G59" t="s">
        <v>8452</v>
      </c>
    </row>
    <row r="60" spans="1:7">
      <c r="A60" t="s">
        <v>2708</v>
      </c>
      <c r="C60" t="s">
        <v>8394</v>
      </c>
      <c r="D60" t="s">
        <v>8401</v>
      </c>
      <c r="E60" t="s">
        <v>8445</v>
      </c>
      <c r="F60" t="s">
        <v>8448</v>
      </c>
      <c r="G60" t="s">
        <v>8452</v>
      </c>
    </row>
    <row r="61" spans="1:7">
      <c r="A61" t="s">
        <v>2709</v>
      </c>
      <c r="C61" t="s">
        <v>8394</v>
      </c>
      <c r="D61" t="s">
        <v>8401</v>
      </c>
      <c r="E61" t="s">
        <v>8445</v>
      </c>
      <c r="F61" t="s">
        <v>8448</v>
      </c>
      <c r="G61" t="s">
        <v>8452</v>
      </c>
    </row>
    <row r="62" spans="1:7">
      <c r="A62" t="s">
        <v>2710</v>
      </c>
      <c r="C62" t="s">
        <v>8394</v>
      </c>
      <c r="D62" t="s">
        <v>8401</v>
      </c>
      <c r="E62" t="s">
        <v>8445</v>
      </c>
      <c r="F62" t="s">
        <v>8448</v>
      </c>
      <c r="G62" t="s">
        <v>8452</v>
      </c>
    </row>
    <row r="63" spans="1:7">
      <c r="A63" t="s">
        <v>2711</v>
      </c>
      <c r="C63" t="s">
        <v>8394</v>
      </c>
      <c r="D63" t="s">
        <v>8401</v>
      </c>
      <c r="E63" t="s">
        <v>8445</v>
      </c>
      <c r="F63" t="s">
        <v>8448</v>
      </c>
      <c r="G63" t="s">
        <v>8452</v>
      </c>
    </row>
    <row r="64" spans="1:7">
      <c r="A64" t="s">
        <v>2712</v>
      </c>
      <c r="C64" t="s">
        <v>8394</v>
      </c>
      <c r="D64" t="s">
        <v>8401</v>
      </c>
      <c r="E64" t="s">
        <v>8445</v>
      </c>
      <c r="F64" t="s">
        <v>8448</v>
      </c>
      <c r="G64" t="s">
        <v>8452</v>
      </c>
    </row>
    <row r="65" spans="1:7">
      <c r="A65" t="s">
        <v>2713</v>
      </c>
      <c r="C65" t="s">
        <v>8394</v>
      </c>
      <c r="D65" t="s">
        <v>8401</v>
      </c>
      <c r="E65" t="s">
        <v>8445</v>
      </c>
      <c r="F65" t="s">
        <v>8448</v>
      </c>
      <c r="G65" t="s">
        <v>8452</v>
      </c>
    </row>
    <row r="66" spans="1:7">
      <c r="A66" t="s">
        <v>2714</v>
      </c>
      <c r="C66" t="s">
        <v>8394</v>
      </c>
      <c r="D66" t="s">
        <v>8401</v>
      </c>
      <c r="E66" t="s">
        <v>8445</v>
      </c>
      <c r="F66" t="s">
        <v>8448</v>
      </c>
      <c r="G66" t="s">
        <v>8452</v>
      </c>
    </row>
    <row r="67" spans="1:7">
      <c r="A67" t="s">
        <v>2715</v>
      </c>
      <c r="C67" t="s">
        <v>8394</v>
      </c>
      <c r="D67" t="s">
        <v>8401</v>
      </c>
      <c r="E67" t="s">
        <v>8445</v>
      </c>
      <c r="F67" t="s">
        <v>8448</v>
      </c>
      <c r="G67" t="s">
        <v>8452</v>
      </c>
    </row>
    <row r="68" spans="1:7">
      <c r="A68" t="s">
        <v>2716</v>
      </c>
      <c r="C68" t="s">
        <v>8394</v>
      </c>
      <c r="D68" t="s">
        <v>8401</v>
      </c>
      <c r="E68" t="s">
        <v>8445</v>
      </c>
      <c r="F68" t="s">
        <v>8448</v>
      </c>
      <c r="G68" t="s">
        <v>8452</v>
      </c>
    </row>
    <row r="69" spans="1:7">
      <c r="A69" t="s">
        <v>2717</v>
      </c>
      <c r="C69" t="s">
        <v>8394</v>
      </c>
      <c r="D69" t="s">
        <v>8401</v>
      </c>
      <c r="E69" t="s">
        <v>8445</v>
      </c>
      <c r="F69" t="s">
        <v>8448</v>
      </c>
      <c r="G69" t="s">
        <v>8452</v>
      </c>
    </row>
    <row r="70" spans="1:7">
      <c r="A70" t="s">
        <v>2718</v>
      </c>
      <c r="C70" t="s">
        <v>8394</v>
      </c>
      <c r="D70" t="s">
        <v>8401</v>
      </c>
      <c r="E70" t="s">
        <v>8445</v>
      </c>
      <c r="F70" t="s">
        <v>8448</v>
      </c>
      <c r="G70" t="s">
        <v>8452</v>
      </c>
    </row>
    <row r="71" spans="1:7">
      <c r="A71" t="s">
        <v>2719</v>
      </c>
      <c r="C71" t="s">
        <v>8394</v>
      </c>
      <c r="D71" t="s">
        <v>8401</v>
      </c>
      <c r="E71" t="s">
        <v>8445</v>
      </c>
      <c r="F71" t="s">
        <v>8448</v>
      </c>
      <c r="G71" t="s">
        <v>8452</v>
      </c>
    </row>
    <row r="72" spans="1:7">
      <c r="A72" t="s">
        <v>2720</v>
      </c>
      <c r="C72" t="s">
        <v>8394</v>
      </c>
      <c r="D72" t="s">
        <v>8401</v>
      </c>
      <c r="E72" t="s">
        <v>8445</v>
      </c>
      <c r="F72" t="s">
        <v>8448</v>
      </c>
      <c r="G72" t="s">
        <v>8452</v>
      </c>
    </row>
    <row r="73" spans="1:7">
      <c r="A73" t="s">
        <v>2721</v>
      </c>
      <c r="C73" t="s">
        <v>8394</v>
      </c>
      <c r="D73" t="s">
        <v>8401</v>
      </c>
      <c r="E73" t="s">
        <v>8445</v>
      </c>
      <c r="F73" t="s">
        <v>8448</v>
      </c>
      <c r="G73" t="s">
        <v>8452</v>
      </c>
    </row>
    <row r="74" spans="1:7">
      <c r="A74" t="s">
        <v>2722</v>
      </c>
      <c r="C74" t="s">
        <v>8394</v>
      </c>
      <c r="D74" t="s">
        <v>8402</v>
      </c>
      <c r="E74" t="s">
        <v>8444</v>
      </c>
      <c r="F74" t="s">
        <v>8448</v>
      </c>
      <c r="G74" t="s">
        <v>8452</v>
      </c>
    </row>
    <row r="75" spans="1:7">
      <c r="A75" t="s">
        <v>2723</v>
      </c>
      <c r="C75" t="s">
        <v>8394</v>
      </c>
      <c r="D75" t="s">
        <v>8401</v>
      </c>
      <c r="E75" t="s">
        <v>8445</v>
      </c>
      <c r="F75" t="s">
        <v>8448</v>
      </c>
      <c r="G75" t="s">
        <v>8452</v>
      </c>
    </row>
    <row r="76" spans="1:7">
      <c r="A76" t="s">
        <v>2724</v>
      </c>
      <c r="C76" t="s">
        <v>8394</v>
      </c>
      <c r="D76" t="s">
        <v>8401</v>
      </c>
      <c r="E76" t="s">
        <v>8445</v>
      </c>
      <c r="F76" t="s">
        <v>8448</v>
      </c>
      <c r="G76" t="s">
        <v>8452</v>
      </c>
    </row>
    <row r="77" spans="1:7">
      <c r="A77" t="s">
        <v>2725</v>
      </c>
      <c r="C77" t="s">
        <v>8394</v>
      </c>
      <c r="D77" t="s">
        <v>8401</v>
      </c>
      <c r="E77" t="s">
        <v>8445</v>
      </c>
      <c r="F77" t="s">
        <v>8448</v>
      </c>
      <c r="G77" t="s">
        <v>8452</v>
      </c>
    </row>
    <row r="78" spans="1:7">
      <c r="A78" t="s">
        <v>2726</v>
      </c>
      <c r="C78" t="s">
        <v>8394</v>
      </c>
      <c r="D78" t="s">
        <v>8401</v>
      </c>
      <c r="E78" t="s">
        <v>8445</v>
      </c>
      <c r="F78" t="s">
        <v>8448</v>
      </c>
      <c r="G78" t="s">
        <v>8452</v>
      </c>
    </row>
    <row r="79" spans="1:7">
      <c r="A79" t="s">
        <v>2727</v>
      </c>
      <c r="C79" t="s">
        <v>8394</v>
      </c>
      <c r="D79" t="s">
        <v>8401</v>
      </c>
      <c r="E79" t="s">
        <v>8445</v>
      </c>
      <c r="F79" t="s">
        <v>8448</v>
      </c>
      <c r="G79" t="s">
        <v>8452</v>
      </c>
    </row>
    <row r="80" spans="1:7">
      <c r="A80" t="s">
        <v>2728</v>
      </c>
      <c r="C80" t="s">
        <v>8394</v>
      </c>
      <c r="D80" t="s">
        <v>8401</v>
      </c>
      <c r="E80" t="s">
        <v>8445</v>
      </c>
      <c r="F80" t="s">
        <v>8448</v>
      </c>
      <c r="G80" t="s">
        <v>8452</v>
      </c>
    </row>
    <row r="81" spans="1:7">
      <c r="A81" t="s">
        <v>2729</v>
      </c>
      <c r="C81" t="s">
        <v>8394</v>
      </c>
      <c r="D81" t="s">
        <v>8401</v>
      </c>
      <c r="E81" t="s">
        <v>8445</v>
      </c>
      <c r="F81" t="s">
        <v>8448</v>
      </c>
      <c r="G81" t="s">
        <v>8452</v>
      </c>
    </row>
    <row r="82" spans="1:7">
      <c r="A82" t="s">
        <v>2730</v>
      </c>
      <c r="C82" t="s">
        <v>8394</v>
      </c>
      <c r="D82" t="s">
        <v>8401</v>
      </c>
      <c r="E82" t="s">
        <v>8445</v>
      </c>
      <c r="F82" t="s">
        <v>8448</v>
      </c>
      <c r="G82" t="s">
        <v>8452</v>
      </c>
    </row>
    <row r="83" spans="1:7">
      <c r="A83" t="s">
        <v>2731</v>
      </c>
      <c r="C83" t="s">
        <v>8394</v>
      </c>
      <c r="D83" t="s">
        <v>8402</v>
      </c>
      <c r="E83" t="s">
        <v>8444</v>
      </c>
      <c r="F83" t="s">
        <v>8448</v>
      </c>
      <c r="G83" t="s">
        <v>8452</v>
      </c>
    </row>
    <row r="84" spans="1:7">
      <c r="A84" t="s">
        <v>2732</v>
      </c>
      <c r="C84" t="s">
        <v>8394</v>
      </c>
      <c r="D84" t="s">
        <v>8401</v>
      </c>
      <c r="E84" t="s">
        <v>8445</v>
      </c>
      <c r="F84" t="s">
        <v>8448</v>
      </c>
      <c r="G84" t="s">
        <v>8452</v>
      </c>
    </row>
    <row r="85" spans="1:7">
      <c r="A85" t="s">
        <v>2733</v>
      </c>
      <c r="C85" t="s">
        <v>8394</v>
      </c>
      <c r="D85" t="s">
        <v>8401</v>
      </c>
      <c r="E85" t="s">
        <v>8444</v>
      </c>
      <c r="F85" t="s">
        <v>8448</v>
      </c>
      <c r="G85" t="s">
        <v>8453</v>
      </c>
    </row>
    <row r="86" spans="1:7">
      <c r="A86" t="s">
        <v>2734</v>
      </c>
      <c r="C86" t="s">
        <v>8394</v>
      </c>
      <c r="D86" t="s">
        <v>8403</v>
      </c>
      <c r="E86" t="s">
        <v>8445</v>
      </c>
      <c r="F86" t="s">
        <v>8448</v>
      </c>
      <c r="G86" t="s">
        <v>8454</v>
      </c>
    </row>
    <row r="87" spans="1:7">
      <c r="A87" t="s">
        <v>2735</v>
      </c>
      <c r="B87" t="s">
        <v>8273</v>
      </c>
      <c r="C87" t="s">
        <v>8395</v>
      </c>
      <c r="D87" t="s">
        <v>8404</v>
      </c>
      <c r="E87" t="s">
        <v>1519</v>
      </c>
      <c r="F87" t="s">
        <v>8449</v>
      </c>
      <c r="G87" t="s">
        <v>8455</v>
      </c>
    </row>
    <row r="88" spans="1:7">
      <c r="A88" t="s">
        <v>2736</v>
      </c>
      <c r="B88" t="s">
        <v>8273</v>
      </c>
      <c r="C88" t="s">
        <v>8395</v>
      </c>
      <c r="D88" t="s">
        <v>8403</v>
      </c>
      <c r="E88" t="s">
        <v>8446</v>
      </c>
      <c r="F88" t="s">
        <v>8449</v>
      </c>
      <c r="G88" t="s">
        <v>8455</v>
      </c>
    </row>
    <row r="89" spans="1:7">
      <c r="A89" t="s">
        <v>2737</v>
      </c>
      <c r="C89" t="s">
        <v>8393</v>
      </c>
      <c r="D89" t="s">
        <v>8393</v>
      </c>
      <c r="E89" t="s">
        <v>919</v>
      </c>
      <c r="F89" t="s">
        <v>8393</v>
      </c>
    </row>
    <row r="90" spans="1:7">
      <c r="A90" t="s">
        <v>2738</v>
      </c>
      <c r="B90" t="s">
        <v>8273</v>
      </c>
      <c r="C90" t="s">
        <v>8396</v>
      </c>
      <c r="D90" t="s">
        <v>8405</v>
      </c>
      <c r="E90" t="s">
        <v>8444</v>
      </c>
      <c r="F90" t="s">
        <v>8449</v>
      </c>
      <c r="G90" t="s">
        <v>8455</v>
      </c>
    </row>
    <row r="91" spans="1:7">
      <c r="A91" t="s">
        <v>2739</v>
      </c>
      <c r="B91" t="s">
        <v>8274</v>
      </c>
      <c r="C91" t="s">
        <v>8396</v>
      </c>
      <c r="D91" t="s">
        <v>8406</v>
      </c>
      <c r="E91" t="s">
        <v>8444</v>
      </c>
      <c r="F91" t="s">
        <v>8449</v>
      </c>
      <c r="G91" t="s">
        <v>8455</v>
      </c>
    </row>
    <row r="92" spans="1:7">
      <c r="A92" t="s">
        <v>2740</v>
      </c>
      <c r="B92" t="s">
        <v>8273</v>
      </c>
      <c r="C92" t="s">
        <v>8394</v>
      </c>
      <c r="D92" t="s">
        <v>8407</v>
      </c>
      <c r="E92" t="s">
        <v>8444</v>
      </c>
      <c r="F92" t="s">
        <v>8448</v>
      </c>
      <c r="G92" t="s">
        <v>8456</v>
      </c>
    </row>
    <row r="93" spans="1:7">
      <c r="A93" t="s">
        <v>2741</v>
      </c>
      <c r="C93" t="s">
        <v>8397</v>
      </c>
      <c r="D93" t="s">
        <v>8408</v>
      </c>
      <c r="E93" t="s">
        <v>8445</v>
      </c>
      <c r="F93" t="s">
        <v>8450</v>
      </c>
    </row>
    <row r="94" spans="1:7">
      <c r="A94" t="s">
        <v>2742</v>
      </c>
      <c r="B94" t="s">
        <v>8273</v>
      </c>
      <c r="C94" t="s">
        <v>8395</v>
      </c>
      <c r="D94" t="s">
        <v>8400</v>
      </c>
      <c r="E94" t="s">
        <v>8446</v>
      </c>
      <c r="F94" t="s">
        <v>8449</v>
      </c>
      <c r="G94" t="s">
        <v>8455</v>
      </c>
    </row>
    <row r="95" spans="1:7">
      <c r="A95" t="s">
        <v>2743</v>
      </c>
      <c r="B95" t="s">
        <v>8273</v>
      </c>
      <c r="C95" t="s">
        <v>8395</v>
      </c>
      <c r="D95" t="s">
        <v>8400</v>
      </c>
      <c r="E95" t="s">
        <v>8446</v>
      </c>
      <c r="F95" t="s">
        <v>8448</v>
      </c>
      <c r="G95" t="s">
        <v>8455</v>
      </c>
    </row>
    <row r="96" spans="1:7">
      <c r="A96" t="s">
        <v>2744</v>
      </c>
      <c r="C96" t="s">
        <v>8393</v>
      </c>
      <c r="D96" t="s">
        <v>8393</v>
      </c>
      <c r="E96" t="s">
        <v>919</v>
      </c>
      <c r="F96" t="s">
        <v>8393</v>
      </c>
    </row>
    <row r="97" spans="1:7">
      <c r="A97" t="s">
        <v>2745</v>
      </c>
      <c r="B97" t="s">
        <v>8273</v>
      </c>
      <c r="C97" t="s">
        <v>8396</v>
      </c>
      <c r="D97" t="s">
        <v>8405</v>
      </c>
      <c r="E97" t="s">
        <v>8446</v>
      </c>
      <c r="F97" t="s">
        <v>8449</v>
      </c>
      <c r="G97" t="s">
        <v>8457</v>
      </c>
    </row>
    <row r="98" spans="1:7">
      <c r="A98" t="s">
        <v>2746</v>
      </c>
      <c r="B98" t="s">
        <v>8273</v>
      </c>
      <c r="C98" t="s">
        <v>8396</v>
      </c>
      <c r="D98" t="s">
        <v>8406</v>
      </c>
      <c r="E98" t="s">
        <v>8446</v>
      </c>
      <c r="F98" t="s">
        <v>8449</v>
      </c>
      <c r="G98" t="s">
        <v>8455</v>
      </c>
    </row>
    <row r="99" spans="1:7">
      <c r="A99" t="s">
        <v>2747</v>
      </c>
      <c r="B99" t="s">
        <v>8273</v>
      </c>
      <c r="C99" t="s">
        <v>8398</v>
      </c>
      <c r="D99" t="s">
        <v>8409</v>
      </c>
      <c r="E99" t="s">
        <v>8446</v>
      </c>
      <c r="F99" t="s">
        <v>8449</v>
      </c>
      <c r="G99" t="s">
        <v>795</v>
      </c>
    </row>
    <row r="100" spans="1:7">
      <c r="A100" t="s">
        <v>2748</v>
      </c>
      <c r="B100" t="s">
        <v>8273</v>
      </c>
      <c r="C100" t="s">
        <v>8395</v>
      </c>
      <c r="D100" t="s">
        <v>8404</v>
      </c>
      <c r="E100" t="s">
        <v>8446</v>
      </c>
      <c r="F100" t="s">
        <v>8449</v>
      </c>
      <c r="G100" t="s">
        <v>8455</v>
      </c>
    </row>
    <row r="101" spans="1:7">
      <c r="A101" t="s">
        <v>2749</v>
      </c>
      <c r="B101" t="s">
        <v>8273</v>
      </c>
      <c r="C101" t="s">
        <v>8398</v>
      </c>
      <c r="D101" t="s">
        <v>8410</v>
      </c>
      <c r="E101" t="s">
        <v>8446</v>
      </c>
      <c r="F101" t="s">
        <v>8449</v>
      </c>
      <c r="G101" t="s">
        <v>8455</v>
      </c>
    </row>
    <row r="102" spans="1:7">
      <c r="A102" t="s">
        <v>2750</v>
      </c>
      <c r="B102" t="s">
        <v>8274</v>
      </c>
      <c r="C102" t="s">
        <v>8396</v>
      </c>
      <c r="D102" t="s">
        <v>8406</v>
      </c>
      <c r="E102" t="s">
        <v>8446</v>
      </c>
      <c r="F102" t="s">
        <v>8449</v>
      </c>
      <c r="G102" t="s">
        <v>8455</v>
      </c>
    </row>
    <row r="103" spans="1:7">
      <c r="A103" t="s">
        <v>2751</v>
      </c>
      <c r="B103" t="s">
        <v>8273</v>
      </c>
      <c r="C103" t="s">
        <v>8392</v>
      </c>
      <c r="D103" t="s">
        <v>8400</v>
      </c>
      <c r="E103" t="s">
        <v>8446</v>
      </c>
      <c r="F103" t="s">
        <v>8449</v>
      </c>
      <c r="G103" t="s">
        <v>8455</v>
      </c>
    </row>
    <row r="104" spans="1:7">
      <c r="A104" t="s">
        <v>2752</v>
      </c>
      <c r="B104" t="s">
        <v>8273</v>
      </c>
      <c r="C104" t="s">
        <v>8395</v>
      </c>
      <c r="D104" t="s">
        <v>8402</v>
      </c>
      <c r="E104" t="s">
        <v>8446</v>
      </c>
      <c r="F104" t="s">
        <v>8449</v>
      </c>
      <c r="G104" t="s">
        <v>8455</v>
      </c>
    </row>
    <row r="105" spans="1:7">
      <c r="A105" t="s">
        <v>2753</v>
      </c>
      <c r="B105" t="s">
        <v>8275</v>
      </c>
      <c r="C105" t="s">
        <v>8396</v>
      </c>
      <c r="D105" t="s">
        <v>8411</v>
      </c>
      <c r="E105" t="s">
        <v>8446</v>
      </c>
      <c r="F105" t="s">
        <v>8448</v>
      </c>
      <c r="G105" t="s">
        <v>8458</v>
      </c>
    </row>
    <row r="106" spans="1:7">
      <c r="A106" t="s">
        <v>2754</v>
      </c>
      <c r="B106" t="s">
        <v>8273</v>
      </c>
      <c r="C106" t="s">
        <v>8394</v>
      </c>
      <c r="D106" t="s">
        <v>8401</v>
      </c>
      <c r="E106" t="s">
        <v>8445</v>
      </c>
      <c r="F106" t="s">
        <v>8448</v>
      </c>
      <c r="G106" t="s">
        <v>8455</v>
      </c>
    </row>
    <row r="107" spans="1:7">
      <c r="A107" t="s">
        <v>2755</v>
      </c>
      <c r="C107" t="s">
        <v>8394</v>
      </c>
      <c r="D107" t="s">
        <v>8401</v>
      </c>
      <c r="E107" t="s">
        <v>8445</v>
      </c>
      <c r="F107" t="s">
        <v>8448</v>
      </c>
      <c r="G107" t="s">
        <v>8459</v>
      </c>
    </row>
    <row r="108" spans="1:7">
      <c r="A108" t="s">
        <v>2756</v>
      </c>
      <c r="C108" t="s">
        <v>8394</v>
      </c>
      <c r="D108" t="s">
        <v>8401</v>
      </c>
      <c r="E108" t="s">
        <v>8445</v>
      </c>
      <c r="F108" t="s">
        <v>8448</v>
      </c>
      <c r="G108" t="s">
        <v>8460</v>
      </c>
    </row>
    <row r="109" spans="1:7">
      <c r="A109" t="s">
        <v>2757</v>
      </c>
      <c r="C109" t="s">
        <v>8394</v>
      </c>
      <c r="D109" t="s">
        <v>8401</v>
      </c>
      <c r="E109" t="s">
        <v>8445</v>
      </c>
      <c r="F109" t="s">
        <v>8448</v>
      </c>
      <c r="G109" t="s">
        <v>8461</v>
      </c>
    </row>
    <row r="110" spans="1:7">
      <c r="A110" t="s">
        <v>2758</v>
      </c>
      <c r="C110" t="s">
        <v>8397</v>
      </c>
      <c r="D110" t="s">
        <v>8412</v>
      </c>
      <c r="E110" t="s">
        <v>8445</v>
      </c>
      <c r="F110" t="s">
        <v>8450</v>
      </c>
      <c r="G110" t="s">
        <v>8462</v>
      </c>
    </row>
    <row r="111" spans="1:7">
      <c r="A111" t="s">
        <v>2759</v>
      </c>
      <c r="C111" t="s">
        <v>8394</v>
      </c>
      <c r="D111" t="s">
        <v>8401</v>
      </c>
      <c r="E111" t="s">
        <v>8445</v>
      </c>
      <c r="F111" t="s">
        <v>8450</v>
      </c>
      <c r="G111" t="s">
        <v>8463</v>
      </c>
    </row>
    <row r="112" spans="1:7">
      <c r="A112" t="s">
        <v>2760</v>
      </c>
      <c r="C112" t="s">
        <v>8394</v>
      </c>
      <c r="D112" t="s">
        <v>8401</v>
      </c>
      <c r="E112" t="s">
        <v>8445</v>
      </c>
      <c r="F112" t="s">
        <v>8448</v>
      </c>
      <c r="G112" t="s">
        <v>8464</v>
      </c>
    </row>
    <row r="113" spans="1:7">
      <c r="A113" t="s">
        <v>2761</v>
      </c>
      <c r="C113" t="s">
        <v>8394</v>
      </c>
      <c r="D113" t="s">
        <v>8413</v>
      </c>
      <c r="E113" t="s">
        <v>8445</v>
      </c>
      <c r="F113" t="s">
        <v>8448</v>
      </c>
      <c r="G113" t="s">
        <v>8465</v>
      </c>
    </row>
    <row r="114" spans="1:7">
      <c r="A114" t="s">
        <v>2762</v>
      </c>
      <c r="B114" t="s">
        <v>8273</v>
      </c>
      <c r="C114" t="s">
        <v>8394</v>
      </c>
      <c r="D114" t="s">
        <v>8413</v>
      </c>
      <c r="E114" t="s">
        <v>8445</v>
      </c>
      <c r="F114" t="s">
        <v>8448</v>
      </c>
      <c r="G114" t="s">
        <v>8455</v>
      </c>
    </row>
    <row r="115" spans="1:7">
      <c r="A115" t="s">
        <v>2763</v>
      </c>
      <c r="B115" t="s">
        <v>8273</v>
      </c>
      <c r="C115" t="s">
        <v>8394</v>
      </c>
      <c r="D115" t="s">
        <v>8413</v>
      </c>
      <c r="E115" t="s">
        <v>8445</v>
      </c>
      <c r="F115" t="s">
        <v>8448</v>
      </c>
      <c r="G115" t="s">
        <v>8455</v>
      </c>
    </row>
    <row r="116" spans="1:7">
      <c r="A116" t="s">
        <v>2764</v>
      </c>
      <c r="C116" t="s">
        <v>8394</v>
      </c>
      <c r="D116" t="s">
        <v>8413</v>
      </c>
      <c r="E116" t="s">
        <v>8445</v>
      </c>
      <c r="F116" t="s">
        <v>8448</v>
      </c>
      <c r="G116" t="s">
        <v>8466</v>
      </c>
    </row>
    <row r="117" spans="1:7">
      <c r="A117" t="s">
        <v>2765</v>
      </c>
      <c r="B117" t="s">
        <v>8273</v>
      </c>
      <c r="C117" t="s">
        <v>8394</v>
      </c>
      <c r="D117" t="s">
        <v>8413</v>
      </c>
      <c r="E117" t="s">
        <v>8445</v>
      </c>
      <c r="F117" t="s">
        <v>8448</v>
      </c>
      <c r="G117" t="s">
        <v>8455</v>
      </c>
    </row>
    <row r="118" spans="1:7">
      <c r="A118" t="s">
        <v>2766</v>
      </c>
      <c r="C118" t="s">
        <v>8394</v>
      </c>
      <c r="D118" t="s">
        <v>8402</v>
      </c>
      <c r="E118" t="s">
        <v>8445</v>
      </c>
      <c r="F118" t="s">
        <v>8448</v>
      </c>
      <c r="G118" t="s">
        <v>8453</v>
      </c>
    </row>
    <row r="119" spans="1:7">
      <c r="A119" t="s">
        <v>2767</v>
      </c>
      <c r="B119" t="s">
        <v>8273</v>
      </c>
      <c r="C119" t="s">
        <v>8395</v>
      </c>
      <c r="D119" t="s">
        <v>8400</v>
      </c>
      <c r="E119" t="s">
        <v>8446</v>
      </c>
      <c r="F119" t="s">
        <v>8448</v>
      </c>
      <c r="G119" t="s">
        <v>8455</v>
      </c>
    </row>
    <row r="120" spans="1:7">
      <c r="A120" t="s">
        <v>2768</v>
      </c>
      <c r="B120" t="s">
        <v>8273</v>
      </c>
      <c r="C120" t="s">
        <v>8395</v>
      </c>
      <c r="D120" t="s">
        <v>8403</v>
      </c>
      <c r="E120" t="s">
        <v>8446</v>
      </c>
      <c r="F120" t="s">
        <v>8449</v>
      </c>
      <c r="G120" t="s">
        <v>8455</v>
      </c>
    </row>
    <row r="121" spans="1:7">
      <c r="A121" t="s">
        <v>2769</v>
      </c>
      <c r="B121" t="s">
        <v>8273</v>
      </c>
      <c r="C121" t="s">
        <v>8396</v>
      </c>
      <c r="D121" t="s">
        <v>8411</v>
      </c>
      <c r="E121" t="s">
        <v>8446</v>
      </c>
      <c r="F121" t="s">
        <v>8448</v>
      </c>
      <c r="G121" t="s">
        <v>8467</v>
      </c>
    </row>
    <row r="122" spans="1:7">
      <c r="A122" t="s">
        <v>2770</v>
      </c>
      <c r="B122" t="s">
        <v>8276</v>
      </c>
      <c r="C122" t="s">
        <v>8395</v>
      </c>
      <c r="D122" t="s">
        <v>8414</v>
      </c>
      <c r="E122" t="s">
        <v>8446</v>
      </c>
      <c r="F122" t="s">
        <v>8449</v>
      </c>
      <c r="G122" t="s">
        <v>8455</v>
      </c>
    </row>
    <row r="123" spans="1:7">
      <c r="A123" t="s">
        <v>2771</v>
      </c>
      <c r="B123" t="s">
        <v>8273</v>
      </c>
      <c r="C123" t="s">
        <v>8392</v>
      </c>
      <c r="D123" t="s">
        <v>8415</v>
      </c>
      <c r="E123" t="s">
        <v>8445</v>
      </c>
      <c r="F123" t="s">
        <v>8449</v>
      </c>
      <c r="G123" t="s">
        <v>8455</v>
      </c>
    </row>
    <row r="124" spans="1:7">
      <c r="A124" t="s">
        <v>2772</v>
      </c>
      <c r="B124" t="s">
        <v>8273</v>
      </c>
      <c r="C124" t="s">
        <v>8395</v>
      </c>
      <c r="D124" t="s">
        <v>8416</v>
      </c>
      <c r="E124" t="s">
        <v>8444</v>
      </c>
      <c r="F124" t="s">
        <v>8448</v>
      </c>
      <c r="G124" t="s">
        <v>8468</v>
      </c>
    </row>
    <row r="125" spans="1:7">
      <c r="A125" t="s">
        <v>2773</v>
      </c>
      <c r="C125" t="s">
        <v>8394</v>
      </c>
      <c r="D125" t="s">
        <v>8402</v>
      </c>
      <c r="E125" t="s">
        <v>8444</v>
      </c>
      <c r="F125" t="s">
        <v>8448</v>
      </c>
      <c r="G125" t="s">
        <v>8469</v>
      </c>
    </row>
    <row r="126" spans="1:7">
      <c r="A126" t="s">
        <v>2774</v>
      </c>
      <c r="C126" t="s">
        <v>8393</v>
      </c>
      <c r="D126" t="s">
        <v>8393</v>
      </c>
      <c r="E126" t="s">
        <v>919</v>
      </c>
      <c r="F126" t="s">
        <v>8393</v>
      </c>
    </row>
    <row r="127" spans="1:7">
      <c r="A127" t="s">
        <v>2775</v>
      </c>
      <c r="C127" t="s">
        <v>8394</v>
      </c>
      <c r="D127" t="s">
        <v>8417</v>
      </c>
      <c r="E127" t="s">
        <v>8444</v>
      </c>
      <c r="F127" t="s">
        <v>8448</v>
      </c>
      <c r="G127" t="s">
        <v>8470</v>
      </c>
    </row>
    <row r="128" spans="1:7">
      <c r="A128" t="s">
        <v>2776</v>
      </c>
      <c r="C128" t="s">
        <v>8397</v>
      </c>
      <c r="D128" t="s">
        <v>8418</v>
      </c>
      <c r="E128" t="s">
        <v>8445</v>
      </c>
      <c r="F128" t="s">
        <v>8450</v>
      </c>
      <c r="G128" t="s">
        <v>8463</v>
      </c>
    </row>
    <row r="129" spans="1:7">
      <c r="A129" t="s">
        <v>2777</v>
      </c>
      <c r="C129" t="s">
        <v>8397</v>
      </c>
      <c r="D129" t="s">
        <v>8418</v>
      </c>
      <c r="E129" t="s">
        <v>8445</v>
      </c>
      <c r="F129" t="s">
        <v>8450</v>
      </c>
      <c r="G129" t="s">
        <v>8463</v>
      </c>
    </row>
    <row r="130" spans="1:7">
      <c r="A130" t="s">
        <v>2778</v>
      </c>
      <c r="C130" t="s">
        <v>8397</v>
      </c>
      <c r="D130" t="s">
        <v>8408</v>
      </c>
      <c r="E130" t="s">
        <v>8445</v>
      </c>
      <c r="F130" t="s">
        <v>8450</v>
      </c>
    </row>
    <row r="131" spans="1:7">
      <c r="A131" t="s">
        <v>2779</v>
      </c>
      <c r="B131" t="s">
        <v>8273</v>
      </c>
      <c r="C131" t="s">
        <v>8394</v>
      </c>
      <c r="D131" t="s">
        <v>8414</v>
      </c>
      <c r="E131" t="s">
        <v>1519</v>
      </c>
      <c r="F131" t="s">
        <v>8448</v>
      </c>
      <c r="G131" t="s">
        <v>8455</v>
      </c>
    </row>
    <row r="132" spans="1:7">
      <c r="A132" t="s">
        <v>2780</v>
      </c>
      <c r="B132" t="s">
        <v>8273</v>
      </c>
      <c r="C132" t="s">
        <v>8394</v>
      </c>
      <c r="D132" t="s">
        <v>8417</v>
      </c>
      <c r="E132" t="s">
        <v>8445</v>
      </c>
      <c r="F132" t="s">
        <v>8449</v>
      </c>
      <c r="G132" t="s">
        <v>8471</v>
      </c>
    </row>
    <row r="133" spans="1:7">
      <c r="A133" t="s">
        <v>2781</v>
      </c>
      <c r="C133" t="s">
        <v>8394</v>
      </c>
      <c r="D133" t="s">
        <v>8401</v>
      </c>
      <c r="E133" t="s">
        <v>8445</v>
      </c>
      <c r="F133" t="s">
        <v>8448</v>
      </c>
      <c r="G133" t="s">
        <v>8472</v>
      </c>
    </row>
    <row r="134" spans="1:7">
      <c r="A134" t="s">
        <v>2782</v>
      </c>
      <c r="C134" t="s">
        <v>8394</v>
      </c>
      <c r="D134" t="s">
        <v>8401</v>
      </c>
      <c r="E134" t="s">
        <v>8445</v>
      </c>
      <c r="F134" t="s">
        <v>8448</v>
      </c>
      <c r="G134" t="s">
        <v>8473</v>
      </c>
    </row>
    <row r="135" spans="1:7">
      <c r="A135" t="s">
        <v>2783</v>
      </c>
      <c r="C135" t="s">
        <v>8393</v>
      </c>
      <c r="D135" t="s">
        <v>8393</v>
      </c>
      <c r="E135" t="s">
        <v>919</v>
      </c>
      <c r="F135" t="s">
        <v>8393</v>
      </c>
    </row>
    <row r="136" spans="1:7">
      <c r="A136" t="s">
        <v>2784</v>
      </c>
      <c r="C136" t="s">
        <v>8394</v>
      </c>
      <c r="D136" t="s">
        <v>8401</v>
      </c>
      <c r="E136" t="s">
        <v>8445</v>
      </c>
      <c r="F136" t="s">
        <v>8450</v>
      </c>
      <c r="G136" t="s">
        <v>8474</v>
      </c>
    </row>
    <row r="137" spans="1:7">
      <c r="A137" t="s">
        <v>2785</v>
      </c>
      <c r="C137" t="s">
        <v>8394</v>
      </c>
      <c r="D137" t="s">
        <v>8401</v>
      </c>
      <c r="E137" t="s">
        <v>8445</v>
      </c>
      <c r="F137" t="s">
        <v>8450</v>
      </c>
      <c r="G137" t="s">
        <v>8474</v>
      </c>
    </row>
    <row r="138" spans="1:7">
      <c r="A138" t="s">
        <v>2786</v>
      </c>
      <c r="C138" t="s">
        <v>8394</v>
      </c>
      <c r="D138" t="s">
        <v>8401</v>
      </c>
      <c r="E138" t="s">
        <v>8445</v>
      </c>
      <c r="F138" t="s">
        <v>8450</v>
      </c>
      <c r="G138" t="s">
        <v>8474</v>
      </c>
    </row>
    <row r="139" spans="1:7">
      <c r="A139" t="s">
        <v>2787</v>
      </c>
      <c r="C139" t="s">
        <v>8394</v>
      </c>
      <c r="D139" t="s">
        <v>8401</v>
      </c>
      <c r="E139" t="s">
        <v>8445</v>
      </c>
      <c r="F139" t="s">
        <v>8450</v>
      </c>
      <c r="G139" t="s">
        <v>8474</v>
      </c>
    </row>
    <row r="140" spans="1:7">
      <c r="A140" t="s">
        <v>2788</v>
      </c>
      <c r="C140" t="s">
        <v>8394</v>
      </c>
      <c r="D140" t="s">
        <v>8401</v>
      </c>
      <c r="E140" t="s">
        <v>8445</v>
      </c>
      <c r="F140" t="s">
        <v>8450</v>
      </c>
      <c r="G140" t="s">
        <v>8474</v>
      </c>
    </row>
    <row r="141" spans="1:7">
      <c r="A141" t="s">
        <v>2789</v>
      </c>
      <c r="C141" t="s">
        <v>8394</v>
      </c>
      <c r="D141" t="s">
        <v>8401</v>
      </c>
      <c r="E141" t="s">
        <v>8445</v>
      </c>
      <c r="F141" t="s">
        <v>8450</v>
      </c>
      <c r="G141" t="s">
        <v>8474</v>
      </c>
    </row>
    <row r="142" spans="1:7">
      <c r="A142" t="s">
        <v>2790</v>
      </c>
      <c r="C142" t="s">
        <v>8394</v>
      </c>
      <c r="D142" t="s">
        <v>8401</v>
      </c>
      <c r="E142" t="s">
        <v>8445</v>
      </c>
      <c r="F142" t="s">
        <v>8450</v>
      </c>
      <c r="G142" t="s">
        <v>8474</v>
      </c>
    </row>
    <row r="143" spans="1:7">
      <c r="A143" t="s">
        <v>2791</v>
      </c>
      <c r="C143" t="s">
        <v>8394</v>
      </c>
      <c r="D143" t="s">
        <v>8401</v>
      </c>
      <c r="E143" t="s">
        <v>8445</v>
      </c>
      <c r="F143" t="s">
        <v>8450</v>
      </c>
      <c r="G143" t="s">
        <v>8474</v>
      </c>
    </row>
    <row r="144" spans="1:7">
      <c r="A144" t="s">
        <v>2792</v>
      </c>
      <c r="C144" t="s">
        <v>8394</v>
      </c>
      <c r="D144" t="s">
        <v>8401</v>
      </c>
      <c r="E144" t="s">
        <v>8445</v>
      </c>
      <c r="F144" t="s">
        <v>8450</v>
      </c>
      <c r="G144" t="s">
        <v>8474</v>
      </c>
    </row>
    <row r="145" spans="1:7">
      <c r="A145" t="s">
        <v>2793</v>
      </c>
      <c r="B145" t="s">
        <v>8273</v>
      </c>
      <c r="C145" t="s">
        <v>8398</v>
      </c>
      <c r="D145" t="s">
        <v>8419</v>
      </c>
      <c r="E145" t="s">
        <v>8446</v>
      </c>
      <c r="F145" t="s">
        <v>8449</v>
      </c>
      <c r="G145" t="s">
        <v>8455</v>
      </c>
    </row>
    <row r="146" spans="1:7">
      <c r="A146" t="s">
        <v>2794</v>
      </c>
      <c r="B146" t="s">
        <v>8273</v>
      </c>
      <c r="C146" t="s">
        <v>8395</v>
      </c>
      <c r="D146" t="s">
        <v>8400</v>
      </c>
      <c r="E146" t="s">
        <v>8444</v>
      </c>
      <c r="F146" t="s">
        <v>8449</v>
      </c>
      <c r="G146" t="s">
        <v>8455</v>
      </c>
    </row>
    <row r="147" spans="1:7">
      <c r="A147" t="s">
        <v>2795</v>
      </c>
      <c r="C147" t="s">
        <v>8393</v>
      </c>
      <c r="D147" t="s">
        <v>8393</v>
      </c>
      <c r="E147" t="s">
        <v>919</v>
      </c>
      <c r="F147" t="s">
        <v>8393</v>
      </c>
    </row>
    <row r="148" spans="1:7">
      <c r="A148" t="s">
        <v>2796</v>
      </c>
      <c r="B148" t="s">
        <v>8275</v>
      </c>
      <c r="C148" t="s">
        <v>8395</v>
      </c>
      <c r="D148" t="s">
        <v>8420</v>
      </c>
      <c r="E148" t="s">
        <v>8444</v>
      </c>
      <c r="F148" t="s">
        <v>8449</v>
      </c>
      <c r="G148" t="s">
        <v>8475</v>
      </c>
    </row>
    <row r="149" spans="1:7">
      <c r="A149" t="s">
        <v>2797</v>
      </c>
      <c r="B149" t="s">
        <v>8275</v>
      </c>
      <c r="C149" t="s">
        <v>8395</v>
      </c>
      <c r="D149" t="s">
        <v>8400</v>
      </c>
      <c r="E149" t="s">
        <v>8444</v>
      </c>
      <c r="F149" t="s">
        <v>8449</v>
      </c>
      <c r="G149" t="s">
        <v>796</v>
      </c>
    </row>
    <row r="150" spans="1:7">
      <c r="A150" t="s">
        <v>2798</v>
      </c>
      <c r="B150" t="s">
        <v>8275</v>
      </c>
      <c r="C150" t="s">
        <v>8395</v>
      </c>
      <c r="D150" t="s">
        <v>8421</v>
      </c>
      <c r="E150" t="s">
        <v>8444</v>
      </c>
      <c r="F150" t="s">
        <v>8449</v>
      </c>
      <c r="G150" t="s">
        <v>8476</v>
      </c>
    </row>
    <row r="151" spans="1:7">
      <c r="A151" t="s">
        <v>2799</v>
      </c>
      <c r="B151" t="s">
        <v>8273</v>
      </c>
      <c r="C151" t="s">
        <v>8394</v>
      </c>
      <c r="D151" t="s">
        <v>8414</v>
      </c>
      <c r="E151" t="s">
        <v>8445</v>
      </c>
      <c r="F151" t="s">
        <v>8448</v>
      </c>
      <c r="G151" t="s">
        <v>8477</v>
      </c>
    </row>
    <row r="152" spans="1:7">
      <c r="A152" t="s">
        <v>2800</v>
      </c>
      <c r="C152" t="s">
        <v>8393</v>
      </c>
      <c r="D152" t="s">
        <v>8393</v>
      </c>
      <c r="E152" t="s">
        <v>919</v>
      </c>
      <c r="F152" t="s">
        <v>8393</v>
      </c>
    </row>
    <row r="153" spans="1:7">
      <c r="A153" t="s">
        <v>2801</v>
      </c>
      <c r="B153" t="s">
        <v>8273</v>
      </c>
      <c r="C153" t="s">
        <v>8395</v>
      </c>
      <c r="D153" t="s">
        <v>8414</v>
      </c>
      <c r="E153" t="s">
        <v>8444</v>
      </c>
      <c r="F153" t="s">
        <v>8448</v>
      </c>
      <c r="G153" t="s">
        <v>8455</v>
      </c>
    </row>
    <row r="154" spans="1:7">
      <c r="A154" t="s">
        <v>2802</v>
      </c>
      <c r="B154" t="s">
        <v>8277</v>
      </c>
      <c r="C154" t="s">
        <v>8395</v>
      </c>
      <c r="D154" t="s">
        <v>8414</v>
      </c>
      <c r="E154" t="s">
        <v>8444</v>
      </c>
      <c r="F154" t="s">
        <v>8448</v>
      </c>
      <c r="G154" t="s">
        <v>796</v>
      </c>
    </row>
    <row r="155" spans="1:7">
      <c r="A155" t="s">
        <v>2803</v>
      </c>
      <c r="B155" t="s">
        <v>8273</v>
      </c>
      <c r="C155" t="s">
        <v>8394</v>
      </c>
      <c r="D155" t="s">
        <v>8422</v>
      </c>
      <c r="E155" t="s">
        <v>8445</v>
      </c>
      <c r="F155" t="s">
        <v>8449</v>
      </c>
      <c r="G155" t="s">
        <v>8455</v>
      </c>
    </row>
    <row r="156" spans="1:7">
      <c r="A156" t="s">
        <v>2804</v>
      </c>
      <c r="C156" t="s">
        <v>8393</v>
      </c>
      <c r="D156" t="s">
        <v>8393</v>
      </c>
      <c r="E156" t="s">
        <v>919</v>
      </c>
      <c r="F156" t="s">
        <v>8393</v>
      </c>
    </row>
    <row r="157" spans="1:7">
      <c r="A157" t="s">
        <v>2805</v>
      </c>
      <c r="B157" t="s">
        <v>8278</v>
      </c>
      <c r="C157" t="s">
        <v>8394</v>
      </c>
      <c r="D157" t="s">
        <v>8423</v>
      </c>
      <c r="E157" t="s">
        <v>8444</v>
      </c>
      <c r="F157" t="s">
        <v>8449</v>
      </c>
      <c r="G157" t="s">
        <v>8455</v>
      </c>
    </row>
    <row r="158" spans="1:7">
      <c r="A158" t="s">
        <v>2806</v>
      </c>
      <c r="B158" t="s">
        <v>8279</v>
      </c>
      <c r="C158" t="s">
        <v>8394</v>
      </c>
      <c r="D158" t="s">
        <v>8423</v>
      </c>
      <c r="E158" t="s">
        <v>8444</v>
      </c>
      <c r="F158" t="s">
        <v>8449</v>
      </c>
      <c r="G158" t="s">
        <v>8455</v>
      </c>
    </row>
    <row r="159" spans="1:7">
      <c r="A159" t="s">
        <v>2807</v>
      </c>
      <c r="B159" t="s">
        <v>8280</v>
      </c>
      <c r="C159" t="s">
        <v>8394</v>
      </c>
      <c r="D159" t="s">
        <v>8423</v>
      </c>
      <c r="E159" t="s">
        <v>8444</v>
      </c>
      <c r="F159" t="s">
        <v>8449</v>
      </c>
      <c r="G159" t="s">
        <v>8455</v>
      </c>
    </row>
    <row r="160" spans="1:7">
      <c r="A160" t="s">
        <v>2808</v>
      </c>
      <c r="B160" t="s">
        <v>8281</v>
      </c>
      <c r="C160" t="s">
        <v>8394</v>
      </c>
      <c r="D160" t="s">
        <v>8423</v>
      </c>
      <c r="E160" t="s">
        <v>8444</v>
      </c>
      <c r="F160" t="s">
        <v>8449</v>
      </c>
      <c r="G160" t="s">
        <v>8455</v>
      </c>
    </row>
    <row r="161" spans="1:7">
      <c r="A161" t="s">
        <v>2809</v>
      </c>
      <c r="C161" t="s">
        <v>8393</v>
      </c>
      <c r="D161" t="s">
        <v>8393</v>
      </c>
      <c r="E161" t="s">
        <v>919</v>
      </c>
      <c r="F161" t="s">
        <v>8393</v>
      </c>
    </row>
    <row r="162" spans="1:7">
      <c r="A162" t="s">
        <v>2810</v>
      </c>
      <c r="B162" t="s">
        <v>8278</v>
      </c>
      <c r="C162" t="s">
        <v>8394</v>
      </c>
      <c r="D162" t="s">
        <v>8423</v>
      </c>
      <c r="E162" t="s">
        <v>8444</v>
      </c>
      <c r="F162" t="s">
        <v>8449</v>
      </c>
      <c r="G162" t="s">
        <v>8455</v>
      </c>
    </row>
    <row r="163" spans="1:7">
      <c r="A163" t="s">
        <v>2811</v>
      </c>
      <c r="B163" t="s">
        <v>8279</v>
      </c>
      <c r="C163" t="s">
        <v>8394</v>
      </c>
      <c r="D163" t="s">
        <v>8423</v>
      </c>
      <c r="E163" t="s">
        <v>8444</v>
      </c>
      <c r="F163" t="s">
        <v>8449</v>
      </c>
      <c r="G163" t="s">
        <v>8455</v>
      </c>
    </row>
    <row r="164" spans="1:7">
      <c r="A164" t="s">
        <v>2812</v>
      </c>
      <c r="B164" t="s">
        <v>8280</v>
      </c>
      <c r="C164" t="s">
        <v>8394</v>
      </c>
      <c r="D164" t="s">
        <v>8423</v>
      </c>
      <c r="E164" t="s">
        <v>8444</v>
      </c>
      <c r="F164" t="s">
        <v>8449</v>
      </c>
      <c r="G164" t="s">
        <v>8455</v>
      </c>
    </row>
    <row r="165" spans="1:7">
      <c r="A165" t="s">
        <v>2813</v>
      </c>
      <c r="B165" t="s">
        <v>8281</v>
      </c>
      <c r="C165" t="s">
        <v>8394</v>
      </c>
      <c r="D165" t="s">
        <v>8423</v>
      </c>
      <c r="E165" t="s">
        <v>8444</v>
      </c>
      <c r="F165" t="s">
        <v>8449</v>
      </c>
      <c r="G165" t="s">
        <v>8455</v>
      </c>
    </row>
    <row r="166" spans="1:7">
      <c r="A166" t="s">
        <v>2814</v>
      </c>
      <c r="C166" t="s">
        <v>8392</v>
      </c>
      <c r="D166" t="s">
        <v>8415</v>
      </c>
      <c r="E166" t="s">
        <v>8444</v>
      </c>
      <c r="F166" t="s">
        <v>8448</v>
      </c>
      <c r="G166" t="s">
        <v>8453</v>
      </c>
    </row>
    <row r="167" spans="1:7">
      <c r="A167" t="s">
        <v>2815</v>
      </c>
      <c r="B167" t="s">
        <v>8273</v>
      </c>
      <c r="C167" t="s">
        <v>8398</v>
      </c>
      <c r="D167" t="s">
        <v>8419</v>
      </c>
      <c r="E167" t="s">
        <v>8444</v>
      </c>
      <c r="F167" t="s">
        <v>8448</v>
      </c>
      <c r="G167" t="s">
        <v>8455</v>
      </c>
    </row>
    <row r="168" spans="1:7">
      <c r="A168" t="s">
        <v>2816</v>
      </c>
      <c r="C168" t="s">
        <v>8393</v>
      </c>
      <c r="D168" t="s">
        <v>8393</v>
      </c>
      <c r="E168" t="s">
        <v>919</v>
      </c>
      <c r="F168" t="s">
        <v>8393</v>
      </c>
    </row>
    <row r="169" spans="1:7">
      <c r="A169" t="s">
        <v>2817</v>
      </c>
      <c r="B169" t="s">
        <v>8275</v>
      </c>
      <c r="C169" t="s">
        <v>8395</v>
      </c>
      <c r="D169" t="s">
        <v>8420</v>
      </c>
      <c r="E169" t="s">
        <v>8444</v>
      </c>
      <c r="F169" t="s">
        <v>8449</v>
      </c>
      <c r="G169" t="s">
        <v>8475</v>
      </c>
    </row>
    <row r="170" spans="1:7">
      <c r="A170" t="s">
        <v>2818</v>
      </c>
      <c r="B170" t="s">
        <v>8282</v>
      </c>
      <c r="C170" t="s">
        <v>8395</v>
      </c>
      <c r="D170" t="s">
        <v>8420</v>
      </c>
      <c r="E170" t="s">
        <v>8444</v>
      </c>
      <c r="F170" t="s">
        <v>8448</v>
      </c>
      <c r="G170" t="s">
        <v>8475</v>
      </c>
    </row>
    <row r="171" spans="1:7">
      <c r="A171" t="s">
        <v>2819</v>
      </c>
      <c r="B171" t="s">
        <v>8275</v>
      </c>
      <c r="C171" t="s">
        <v>8395</v>
      </c>
      <c r="D171" t="s">
        <v>8400</v>
      </c>
      <c r="E171" t="s">
        <v>8444</v>
      </c>
      <c r="F171" t="s">
        <v>8449</v>
      </c>
      <c r="G171" t="s">
        <v>8475</v>
      </c>
    </row>
    <row r="172" spans="1:7">
      <c r="A172" t="s">
        <v>2820</v>
      </c>
      <c r="B172" t="s">
        <v>8275</v>
      </c>
      <c r="C172" t="s">
        <v>8395</v>
      </c>
      <c r="D172" t="s">
        <v>8421</v>
      </c>
      <c r="E172" t="s">
        <v>8444</v>
      </c>
      <c r="F172" t="s">
        <v>8449</v>
      </c>
      <c r="G172" t="s">
        <v>8475</v>
      </c>
    </row>
    <row r="173" spans="1:7">
      <c r="A173" t="s">
        <v>2821</v>
      </c>
      <c r="B173" t="s">
        <v>8283</v>
      </c>
      <c r="C173" t="s">
        <v>8395</v>
      </c>
      <c r="D173" t="s">
        <v>8400</v>
      </c>
      <c r="E173" t="s">
        <v>8444</v>
      </c>
      <c r="F173" t="s">
        <v>8449</v>
      </c>
      <c r="G173" t="s">
        <v>8475</v>
      </c>
    </row>
    <row r="174" spans="1:7">
      <c r="A174" t="s">
        <v>2822</v>
      </c>
      <c r="B174" t="s">
        <v>8273</v>
      </c>
      <c r="C174" t="s">
        <v>8395</v>
      </c>
      <c r="D174" t="s">
        <v>8422</v>
      </c>
      <c r="E174" t="s">
        <v>8445</v>
      </c>
      <c r="F174" t="s">
        <v>8449</v>
      </c>
      <c r="G174" t="s">
        <v>8455</v>
      </c>
    </row>
    <row r="175" spans="1:7">
      <c r="A175" t="s">
        <v>2823</v>
      </c>
      <c r="C175" t="s">
        <v>8394</v>
      </c>
      <c r="D175" t="s">
        <v>8407</v>
      </c>
      <c r="E175" t="s">
        <v>8444</v>
      </c>
      <c r="F175" t="s">
        <v>8448</v>
      </c>
      <c r="G175" t="s">
        <v>8455</v>
      </c>
    </row>
    <row r="176" spans="1:7">
      <c r="A176" t="s">
        <v>2824</v>
      </c>
      <c r="B176" t="s">
        <v>8273</v>
      </c>
      <c r="C176" t="s">
        <v>8395</v>
      </c>
      <c r="D176" t="s">
        <v>8400</v>
      </c>
      <c r="E176" t="s">
        <v>8446</v>
      </c>
      <c r="F176" t="s">
        <v>8449</v>
      </c>
      <c r="G176" t="s">
        <v>8455</v>
      </c>
    </row>
    <row r="177" spans="1:7">
      <c r="A177" t="s">
        <v>2825</v>
      </c>
      <c r="C177" t="s">
        <v>8394</v>
      </c>
      <c r="D177" t="s">
        <v>8401</v>
      </c>
      <c r="E177" t="s">
        <v>8445</v>
      </c>
      <c r="F177" t="s">
        <v>8448</v>
      </c>
      <c r="G177" t="s">
        <v>8478</v>
      </c>
    </row>
    <row r="178" spans="1:7">
      <c r="A178" t="s">
        <v>2826</v>
      </c>
      <c r="C178" t="s">
        <v>8397</v>
      </c>
      <c r="D178" t="s">
        <v>8421</v>
      </c>
      <c r="E178" t="s">
        <v>8444</v>
      </c>
      <c r="F178" t="s">
        <v>8448</v>
      </c>
      <c r="G178" t="s">
        <v>8479</v>
      </c>
    </row>
    <row r="179" spans="1:7">
      <c r="A179" t="s">
        <v>2827</v>
      </c>
      <c r="B179" t="s">
        <v>8273</v>
      </c>
      <c r="C179" t="s">
        <v>8395</v>
      </c>
      <c r="D179" t="s">
        <v>8400</v>
      </c>
      <c r="E179" t="s">
        <v>8446</v>
      </c>
      <c r="F179" t="s">
        <v>8448</v>
      </c>
      <c r="G179" t="s">
        <v>8480</v>
      </c>
    </row>
    <row r="180" spans="1:7">
      <c r="A180" t="s">
        <v>2828</v>
      </c>
      <c r="C180" t="s">
        <v>8394</v>
      </c>
      <c r="D180" t="s">
        <v>8424</v>
      </c>
      <c r="E180" t="s">
        <v>8446</v>
      </c>
      <c r="F180" t="s">
        <v>8448</v>
      </c>
      <c r="G180" t="s">
        <v>8481</v>
      </c>
    </row>
    <row r="181" spans="1:7">
      <c r="A181" t="s">
        <v>2829</v>
      </c>
      <c r="B181" t="s">
        <v>8273</v>
      </c>
      <c r="C181" t="s">
        <v>8394</v>
      </c>
      <c r="D181" t="s">
        <v>8402</v>
      </c>
      <c r="E181" t="s">
        <v>8446</v>
      </c>
      <c r="F181" t="s">
        <v>8448</v>
      </c>
      <c r="G181" t="s">
        <v>8482</v>
      </c>
    </row>
    <row r="182" spans="1:7">
      <c r="A182" t="s">
        <v>2830</v>
      </c>
      <c r="C182" t="s">
        <v>8394</v>
      </c>
      <c r="D182" t="s">
        <v>8416</v>
      </c>
      <c r="E182" t="s">
        <v>8446</v>
      </c>
      <c r="F182" t="s">
        <v>8448</v>
      </c>
      <c r="G182" t="s">
        <v>8483</v>
      </c>
    </row>
    <row r="183" spans="1:7">
      <c r="A183" t="s">
        <v>2831</v>
      </c>
      <c r="B183" t="s">
        <v>8273</v>
      </c>
      <c r="C183" t="s">
        <v>8398</v>
      </c>
      <c r="D183" t="s">
        <v>8419</v>
      </c>
      <c r="E183" t="s">
        <v>1519</v>
      </c>
      <c r="F183" t="s">
        <v>8449</v>
      </c>
      <c r="G183" t="s">
        <v>8484</v>
      </c>
    </row>
    <row r="184" spans="1:7">
      <c r="A184" t="s">
        <v>2832</v>
      </c>
      <c r="C184" t="s">
        <v>8394</v>
      </c>
      <c r="D184" t="s">
        <v>8416</v>
      </c>
      <c r="E184" t="s">
        <v>8446</v>
      </c>
      <c r="F184" t="s">
        <v>8448</v>
      </c>
      <c r="G184" t="s">
        <v>8485</v>
      </c>
    </row>
    <row r="185" spans="1:7">
      <c r="A185" t="s">
        <v>2833</v>
      </c>
      <c r="B185" t="s">
        <v>8273</v>
      </c>
      <c r="C185" t="s">
        <v>8396</v>
      </c>
      <c r="D185" t="s">
        <v>8405</v>
      </c>
      <c r="E185" t="s">
        <v>8444</v>
      </c>
      <c r="F185" t="s">
        <v>8449</v>
      </c>
      <c r="G185" t="s">
        <v>8455</v>
      </c>
    </row>
    <row r="186" spans="1:7">
      <c r="A186" t="s">
        <v>2834</v>
      </c>
      <c r="B186" t="s">
        <v>8273</v>
      </c>
      <c r="C186" t="s">
        <v>8395</v>
      </c>
      <c r="D186" t="s">
        <v>8414</v>
      </c>
      <c r="E186" t="s">
        <v>8446</v>
      </c>
      <c r="F186" t="s">
        <v>8448</v>
      </c>
      <c r="G186" t="s">
        <v>8455</v>
      </c>
    </row>
    <row r="187" spans="1:7">
      <c r="A187" t="s">
        <v>2835</v>
      </c>
      <c r="C187" t="s">
        <v>8392</v>
      </c>
      <c r="D187" t="s">
        <v>8415</v>
      </c>
      <c r="E187" t="s">
        <v>8445</v>
      </c>
      <c r="F187" t="s">
        <v>8448</v>
      </c>
      <c r="G187" t="s">
        <v>8486</v>
      </c>
    </row>
    <row r="188" spans="1:7">
      <c r="A188" t="s">
        <v>2836</v>
      </c>
      <c r="C188" t="s">
        <v>8393</v>
      </c>
      <c r="D188" t="s">
        <v>8393</v>
      </c>
      <c r="E188" t="s">
        <v>919</v>
      </c>
      <c r="F188" t="s">
        <v>8393</v>
      </c>
    </row>
    <row r="189" spans="1:7">
      <c r="A189" t="s">
        <v>2837</v>
      </c>
      <c r="B189" t="s">
        <v>8278</v>
      </c>
      <c r="C189" t="s">
        <v>8394</v>
      </c>
      <c r="D189" t="s">
        <v>8423</v>
      </c>
      <c r="E189" t="s">
        <v>8446</v>
      </c>
      <c r="F189" t="s">
        <v>8449</v>
      </c>
      <c r="G189" t="s">
        <v>8455</v>
      </c>
    </row>
    <row r="190" spans="1:7">
      <c r="A190" t="s">
        <v>2838</v>
      </c>
      <c r="B190" t="s">
        <v>8284</v>
      </c>
      <c r="C190" t="s">
        <v>8394</v>
      </c>
      <c r="D190" t="s">
        <v>8423</v>
      </c>
      <c r="E190" t="s">
        <v>8446</v>
      </c>
      <c r="F190" t="s">
        <v>8449</v>
      </c>
      <c r="G190" t="s">
        <v>8455</v>
      </c>
    </row>
    <row r="191" spans="1:7">
      <c r="A191" t="s">
        <v>2839</v>
      </c>
      <c r="B191" t="s">
        <v>8278</v>
      </c>
      <c r="C191" t="s">
        <v>8394</v>
      </c>
      <c r="D191" t="s">
        <v>8423</v>
      </c>
      <c r="E191" t="s">
        <v>8446</v>
      </c>
      <c r="F191" t="s">
        <v>8449</v>
      </c>
      <c r="G191" t="s">
        <v>8455</v>
      </c>
    </row>
    <row r="192" spans="1:7">
      <c r="A192" t="s">
        <v>2840</v>
      </c>
      <c r="B192" t="s">
        <v>8278</v>
      </c>
      <c r="C192" t="s">
        <v>8394</v>
      </c>
      <c r="D192" t="s">
        <v>8423</v>
      </c>
      <c r="E192" t="s">
        <v>8446</v>
      </c>
      <c r="F192" t="s">
        <v>8449</v>
      </c>
      <c r="G192" t="s">
        <v>8455</v>
      </c>
    </row>
    <row r="193" spans="1:7">
      <c r="A193" t="s">
        <v>2841</v>
      </c>
      <c r="B193" t="s">
        <v>8281</v>
      </c>
      <c r="C193" t="s">
        <v>8394</v>
      </c>
      <c r="D193" t="s">
        <v>8423</v>
      </c>
      <c r="E193" t="s">
        <v>8446</v>
      </c>
      <c r="F193" t="s">
        <v>8449</v>
      </c>
      <c r="G193" t="s">
        <v>8455</v>
      </c>
    </row>
    <row r="194" spans="1:7">
      <c r="A194" t="s">
        <v>2842</v>
      </c>
      <c r="C194" t="s">
        <v>8393</v>
      </c>
      <c r="D194" t="s">
        <v>8393</v>
      </c>
      <c r="E194" t="s">
        <v>919</v>
      </c>
      <c r="F194" t="s">
        <v>8393</v>
      </c>
    </row>
    <row r="195" spans="1:7">
      <c r="A195" t="s">
        <v>2843</v>
      </c>
      <c r="B195" t="s">
        <v>8278</v>
      </c>
      <c r="C195" t="s">
        <v>8395</v>
      </c>
      <c r="D195" t="s">
        <v>8423</v>
      </c>
      <c r="E195" t="s">
        <v>8446</v>
      </c>
      <c r="F195" t="s">
        <v>8449</v>
      </c>
      <c r="G195" t="s">
        <v>8455</v>
      </c>
    </row>
    <row r="196" spans="1:7">
      <c r="A196" t="s">
        <v>2844</v>
      </c>
      <c r="B196" t="s">
        <v>8281</v>
      </c>
      <c r="C196" t="s">
        <v>8394</v>
      </c>
      <c r="D196" t="s">
        <v>8423</v>
      </c>
      <c r="E196" t="s">
        <v>8446</v>
      </c>
      <c r="F196" t="s">
        <v>8449</v>
      </c>
      <c r="G196" t="s">
        <v>8455</v>
      </c>
    </row>
    <row r="197" spans="1:7">
      <c r="A197" t="s">
        <v>2845</v>
      </c>
      <c r="C197" t="s">
        <v>8393</v>
      </c>
      <c r="D197" t="s">
        <v>8393</v>
      </c>
      <c r="E197" t="s">
        <v>919</v>
      </c>
      <c r="F197" t="s">
        <v>8393</v>
      </c>
    </row>
    <row r="198" spans="1:7">
      <c r="A198" t="s">
        <v>2846</v>
      </c>
      <c r="B198" t="s">
        <v>8273</v>
      </c>
      <c r="C198" t="s">
        <v>8396</v>
      </c>
      <c r="D198" t="s">
        <v>8411</v>
      </c>
      <c r="E198" t="s">
        <v>8446</v>
      </c>
      <c r="F198" t="s">
        <v>8447</v>
      </c>
      <c r="G198" t="s">
        <v>8474</v>
      </c>
    </row>
    <row r="199" spans="1:7">
      <c r="A199" t="s">
        <v>2847</v>
      </c>
      <c r="B199" t="s">
        <v>8273</v>
      </c>
      <c r="C199" t="s">
        <v>8396</v>
      </c>
      <c r="D199" t="s">
        <v>8425</v>
      </c>
      <c r="E199" t="s">
        <v>8446</v>
      </c>
      <c r="F199" t="s">
        <v>8448</v>
      </c>
      <c r="G199" t="s">
        <v>8487</v>
      </c>
    </row>
    <row r="200" spans="1:7">
      <c r="A200" t="s">
        <v>2848</v>
      </c>
      <c r="C200" t="s">
        <v>8392</v>
      </c>
      <c r="D200" t="s">
        <v>8400</v>
      </c>
      <c r="E200" t="s">
        <v>1519</v>
      </c>
      <c r="F200" t="s">
        <v>8447</v>
      </c>
      <c r="G200" t="s">
        <v>8487</v>
      </c>
    </row>
    <row r="201" spans="1:7">
      <c r="A201" t="s">
        <v>2849</v>
      </c>
      <c r="B201" t="s">
        <v>8273</v>
      </c>
      <c r="C201" t="s">
        <v>8396</v>
      </c>
      <c r="D201" t="s">
        <v>8411</v>
      </c>
      <c r="E201" t="s">
        <v>8446</v>
      </c>
      <c r="F201" t="s">
        <v>8447</v>
      </c>
      <c r="G201" t="s">
        <v>8488</v>
      </c>
    </row>
    <row r="202" spans="1:7">
      <c r="A202" t="s">
        <v>2850</v>
      </c>
      <c r="C202" t="s">
        <v>8393</v>
      </c>
      <c r="D202" t="s">
        <v>8393</v>
      </c>
      <c r="E202" t="s">
        <v>919</v>
      </c>
      <c r="F202" t="s">
        <v>8393</v>
      </c>
    </row>
    <row r="203" spans="1:7">
      <c r="A203" t="s">
        <v>2851</v>
      </c>
      <c r="C203" t="s">
        <v>8396</v>
      </c>
      <c r="D203" t="s">
        <v>8425</v>
      </c>
      <c r="E203" t="s">
        <v>1519</v>
      </c>
      <c r="F203" t="s">
        <v>8449</v>
      </c>
      <c r="G203" t="s">
        <v>8455</v>
      </c>
    </row>
    <row r="204" spans="1:7">
      <c r="A204" t="s">
        <v>2852</v>
      </c>
      <c r="B204" t="s">
        <v>8273</v>
      </c>
      <c r="C204" t="s">
        <v>8395</v>
      </c>
      <c r="D204" t="s">
        <v>8400</v>
      </c>
      <c r="E204" t="s">
        <v>8446</v>
      </c>
      <c r="F204" t="s">
        <v>8449</v>
      </c>
      <c r="G204" t="s">
        <v>8455</v>
      </c>
    </row>
    <row r="205" spans="1:7">
      <c r="A205" t="s">
        <v>2853</v>
      </c>
      <c r="B205" t="s">
        <v>8273</v>
      </c>
      <c r="C205" t="s">
        <v>8395</v>
      </c>
      <c r="D205" t="s">
        <v>8404</v>
      </c>
      <c r="E205" t="s">
        <v>8446</v>
      </c>
      <c r="F205" t="s">
        <v>8449</v>
      </c>
      <c r="G205" t="s">
        <v>8489</v>
      </c>
    </row>
    <row r="206" spans="1:7">
      <c r="A206" t="s">
        <v>2854</v>
      </c>
      <c r="C206" t="s">
        <v>8393</v>
      </c>
      <c r="D206" t="s">
        <v>8393</v>
      </c>
      <c r="E206" t="s">
        <v>919</v>
      </c>
      <c r="F206" t="s">
        <v>8393</v>
      </c>
    </row>
    <row r="207" spans="1:7">
      <c r="A207" t="s">
        <v>2855</v>
      </c>
      <c r="B207" t="s">
        <v>8278</v>
      </c>
      <c r="C207" t="s">
        <v>8394</v>
      </c>
      <c r="D207" t="s">
        <v>8423</v>
      </c>
      <c r="E207" t="s">
        <v>8446</v>
      </c>
      <c r="F207" t="s">
        <v>8448</v>
      </c>
      <c r="G207" t="s">
        <v>8455</v>
      </c>
    </row>
    <row r="208" spans="1:7">
      <c r="A208" t="s">
        <v>2856</v>
      </c>
      <c r="B208" t="s">
        <v>8279</v>
      </c>
      <c r="C208" t="s">
        <v>8394</v>
      </c>
      <c r="D208" t="s">
        <v>8423</v>
      </c>
      <c r="E208" t="s">
        <v>8446</v>
      </c>
      <c r="F208" t="s">
        <v>8448</v>
      </c>
      <c r="G208" t="s">
        <v>8455</v>
      </c>
    </row>
    <row r="209" spans="1:7">
      <c r="A209" t="s">
        <v>2857</v>
      </c>
      <c r="B209" t="s">
        <v>8281</v>
      </c>
      <c r="C209" t="s">
        <v>8394</v>
      </c>
      <c r="D209" t="s">
        <v>8423</v>
      </c>
      <c r="E209" t="s">
        <v>8446</v>
      </c>
      <c r="F209" t="s">
        <v>8448</v>
      </c>
      <c r="G209" t="s">
        <v>8455</v>
      </c>
    </row>
    <row r="210" spans="1:7">
      <c r="A210" t="s">
        <v>2858</v>
      </c>
      <c r="B210" t="s">
        <v>8273</v>
      </c>
      <c r="C210" t="s">
        <v>8398</v>
      </c>
      <c r="D210" t="s">
        <v>8410</v>
      </c>
      <c r="E210" t="s">
        <v>8445</v>
      </c>
      <c r="F210" t="s">
        <v>8448</v>
      </c>
      <c r="G210" t="s">
        <v>8453</v>
      </c>
    </row>
    <row r="211" spans="1:7">
      <c r="A211" t="s">
        <v>2859</v>
      </c>
      <c r="B211" t="s">
        <v>8273</v>
      </c>
      <c r="C211" t="s">
        <v>8396</v>
      </c>
      <c r="D211" t="s">
        <v>8425</v>
      </c>
      <c r="E211" t="s">
        <v>8444</v>
      </c>
      <c r="F211" t="s">
        <v>8449</v>
      </c>
      <c r="G211" t="s">
        <v>8455</v>
      </c>
    </row>
    <row r="212" spans="1:7">
      <c r="A212" t="s">
        <v>2860</v>
      </c>
      <c r="B212" t="s">
        <v>8273</v>
      </c>
      <c r="C212" t="s">
        <v>8397</v>
      </c>
      <c r="D212" t="s">
        <v>8421</v>
      </c>
      <c r="E212" t="s">
        <v>8446</v>
      </c>
      <c r="F212" t="s">
        <v>8449</v>
      </c>
      <c r="G212" t="s">
        <v>8490</v>
      </c>
    </row>
    <row r="213" spans="1:7">
      <c r="A213" t="s">
        <v>2861</v>
      </c>
      <c r="C213" t="s">
        <v>8393</v>
      </c>
      <c r="D213" t="s">
        <v>8393</v>
      </c>
      <c r="E213" t="s">
        <v>919</v>
      </c>
      <c r="F213" t="s">
        <v>8393</v>
      </c>
    </row>
    <row r="214" spans="1:7">
      <c r="A214" t="s">
        <v>2862</v>
      </c>
      <c r="B214" t="s">
        <v>8273</v>
      </c>
      <c r="C214" t="s">
        <v>8394</v>
      </c>
      <c r="D214" t="s">
        <v>8422</v>
      </c>
      <c r="E214" t="s">
        <v>8446</v>
      </c>
      <c r="F214" t="s">
        <v>8449</v>
      </c>
      <c r="G214" t="s">
        <v>8455</v>
      </c>
    </row>
    <row r="215" spans="1:7">
      <c r="A215" t="s">
        <v>2863</v>
      </c>
      <c r="B215" t="s">
        <v>8285</v>
      </c>
      <c r="C215" t="s">
        <v>8394</v>
      </c>
      <c r="D215" t="s">
        <v>8422</v>
      </c>
      <c r="E215" t="s">
        <v>8446</v>
      </c>
      <c r="F215" t="s">
        <v>8449</v>
      </c>
      <c r="G215" t="s">
        <v>8455</v>
      </c>
    </row>
    <row r="216" spans="1:7">
      <c r="A216" t="s">
        <v>2864</v>
      </c>
      <c r="B216" t="s">
        <v>8286</v>
      </c>
      <c r="C216" t="s">
        <v>8394</v>
      </c>
      <c r="D216" t="s">
        <v>8422</v>
      </c>
      <c r="E216" t="s">
        <v>8446</v>
      </c>
      <c r="F216" t="s">
        <v>8449</v>
      </c>
      <c r="G216" t="s">
        <v>8455</v>
      </c>
    </row>
    <row r="217" spans="1:7">
      <c r="A217" t="s">
        <v>2865</v>
      </c>
      <c r="B217" t="s">
        <v>8274</v>
      </c>
      <c r="C217" t="s">
        <v>8394</v>
      </c>
      <c r="D217" t="s">
        <v>8422</v>
      </c>
      <c r="E217" t="s">
        <v>8446</v>
      </c>
      <c r="F217" t="s">
        <v>8449</v>
      </c>
      <c r="G217" t="s">
        <v>8455</v>
      </c>
    </row>
    <row r="218" spans="1:7">
      <c r="A218" t="s">
        <v>2866</v>
      </c>
      <c r="B218" t="s">
        <v>8287</v>
      </c>
      <c r="C218" t="s">
        <v>8394</v>
      </c>
      <c r="D218" t="s">
        <v>8422</v>
      </c>
      <c r="E218" t="s">
        <v>8446</v>
      </c>
      <c r="F218" t="s">
        <v>8449</v>
      </c>
      <c r="G218" t="s">
        <v>8455</v>
      </c>
    </row>
    <row r="219" spans="1:7">
      <c r="A219" t="s">
        <v>2867</v>
      </c>
      <c r="B219" t="s">
        <v>8277</v>
      </c>
      <c r="C219" t="s">
        <v>8394</v>
      </c>
      <c r="D219" t="s">
        <v>8422</v>
      </c>
      <c r="E219" t="s">
        <v>8446</v>
      </c>
      <c r="F219" t="s">
        <v>8449</v>
      </c>
      <c r="G219" t="s">
        <v>8455</v>
      </c>
    </row>
    <row r="220" spans="1:7">
      <c r="A220" t="s">
        <v>2868</v>
      </c>
      <c r="B220" t="s">
        <v>8273</v>
      </c>
      <c r="C220" t="s">
        <v>8395</v>
      </c>
      <c r="D220" t="s">
        <v>8411</v>
      </c>
      <c r="E220" t="s">
        <v>8446</v>
      </c>
      <c r="F220" t="s">
        <v>8449</v>
      </c>
      <c r="G220" t="s">
        <v>8463</v>
      </c>
    </row>
    <row r="221" spans="1:7">
      <c r="A221" t="s">
        <v>2869</v>
      </c>
      <c r="B221" t="s">
        <v>8273</v>
      </c>
      <c r="C221" t="s">
        <v>8394</v>
      </c>
      <c r="D221" t="s">
        <v>8402</v>
      </c>
      <c r="E221" t="s">
        <v>8445</v>
      </c>
      <c r="F221" t="s">
        <v>8449</v>
      </c>
      <c r="G221" t="s">
        <v>8455</v>
      </c>
    </row>
    <row r="222" spans="1:7">
      <c r="A222" t="s">
        <v>2870</v>
      </c>
      <c r="B222" t="s">
        <v>8273</v>
      </c>
      <c r="C222" t="s">
        <v>8392</v>
      </c>
      <c r="D222" t="s">
        <v>8400</v>
      </c>
      <c r="E222" t="s">
        <v>8446</v>
      </c>
      <c r="F222" t="s">
        <v>8448</v>
      </c>
      <c r="G222" t="s">
        <v>8455</v>
      </c>
    </row>
    <row r="223" spans="1:7">
      <c r="A223" t="s">
        <v>2871</v>
      </c>
      <c r="C223" t="s">
        <v>8394</v>
      </c>
      <c r="D223" t="s">
        <v>8414</v>
      </c>
      <c r="E223" t="s">
        <v>1519</v>
      </c>
      <c r="F223" t="s">
        <v>8448</v>
      </c>
      <c r="G223" t="s">
        <v>8491</v>
      </c>
    </row>
    <row r="224" spans="1:7">
      <c r="A224" t="s">
        <v>2872</v>
      </c>
      <c r="C224" t="s">
        <v>8394</v>
      </c>
      <c r="D224" t="s">
        <v>8413</v>
      </c>
      <c r="E224" t="s">
        <v>8445</v>
      </c>
      <c r="F224" t="s">
        <v>8448</v>
      </c>
      <c r="G224" t="s">
        <v>8492</v>
      </c>
    </row>
    <row r="225" spans="1:7">
      <c r="A225" t="s">
        <v>2873</v>
      </c>
      <c r="B225" t="s">
        <v>8273</v>
      </c>
      <c r="C225" t="s">
        <v>8395</v>
      </c>
      <c r="D225" t="s">
        <v>8414</v>
      </c>
      <c r="E225" t="s">
        <v>8446</v>
      </c>
      <c r="F225" t="s">
        <v>8449</v>
      </c>
      <c r="G225" t="s">
        <v>8455</v>
      </c>
    </row>
    <row r="226" spans="1:7">
      <c r="A226" t="s">
        <v>2874</v>
      </c>
      <c r="C226" t="s">
        <v>8393</v>
      </c>
      <c r="D226" t="s">
        <v>8393</v>
      </c>
      <c r="E226" t="s">
        <v>919</v>
      </c>
      <c r="F226" t="s">
        <v>8393</v>
      </c>
    </row>
    <row r="227" spans="1:7">
      <c r="A227" t="s">
        <v>2875</v>
      </c>
      <c r="B227" t="s">
        <v>8273</v>
      </c>
      <c r="C227" t="s">
        <v>8395</v>
      </c>
      <c r="D227" t="s">
        <v>8411</v>
      </c>
      <c r="E227" t="s">
        <v>1519</v>
      </c>
      <c r="F227" t="s">
        <v>8448</v>
      </c>
      <c r="G227" t="s">
        <v>8463</v>
      </c>
    </row>
    <row r="228" spans="1:7">
      <c r="A228" t="s">
        <v>2876</v>
      </c>
      <c r="B228" t="s">
        <v>8273</v>
      </c>
      <c r="C228" t="s">
        <v>8396</v>
      </c>
      <c r="D228" t="s">
        <v>8425</v>
      </c>
      <c r="E228" t="s">
        <v>1519</v>
      </c>
      <c r="F228" t="s">
        <v>8448</v>
      </c>
      <c r="G228" t="s">
        <v>8493</v>
      </c>
    </row>
    <row r="229" spans="1:7">
      <c r="A229" t="s">
        <v>2877</v>
      </c>
      <c r="B229" t="s">
        <v>8273</v>
      </c>
      <c r="C229" t="s">
        <v>8395</v>
      </c>
      <c r="D229" t="s">
        <v>8400</v>
      </c>
      <c r="E229" t="s">
        <v>1519</v>
      </c>
      <c r="F229" t="s">
        <v>8448</v>
      </c>
      <c r="G229" t="s">
        <v>8463</v>
      </c>
    </row>
    <row r="230" spans="1:7">
      <c r="A230" t="s">
        <v>2878</v>
      </c>
      <c r="B230" t="s">
        <v>8273</v>
      </c>
      <c r="C230" t="s">
        <v>8397</v>
      </c>
      <c r="D230" t="s">
        <v>8421</v>
      </c>
      <c r="E230" t="s">
        <v>1519</v>
      </c>
      <c r="F230" t="s">
        <v>8448</v>
      </c>
      <c r="G230" t="s">
        <v>8494</v>
      </c>
    </row>
    <row r="231" spans="1:7">
      <c r="A231" t="s">
        <v>2879</v>
      </c>
      <c r="B231" t="s">
        <v>8273</v>
      </c>
      <c r="C231" t="s">
        <v>8396</v>
      </c>
      <c r="D231" t="s">
        <v>8426</v>
      </c>
      <c r="E231" t="s">
        <v>8446</v>
      </c>
      <c r="F231" t="s">
        <v>8448</v>
      </c>
      <c r="G231" t="s">
        <v>8455</v>
      </c>
    </row>
    <row r="232" spans="1:7">
      <c r="A232" t="s">
        <v>2880</v>
      </c>
      <c r="B232" t="s">
        <v>8273</v>
      </c>
      <c r="C232" t="s">
        <v>8395</v>
      </c>
      <c r="D232" t="s">
        <v>8402</v>
      </c>
      <c r="E232" t="s">
        <v>8446</v>
      </c>
      <c r="F232" t="s">
        <v>8449</v>
      </c>
      <c r="G232" t="s">
        <v>8455</v>
      </c>
    </row>
    <row r="233" spans="1:7">
      <c r="A233" t="s">
        <v>2881</v>
      </c>
      <c r="B233" t="s">
        <v>8273</v>
      </c>
      <c r="C233" t="s">
        <v>8398</v>
      </c>
      <c r="D233" t="s">
        <v>8409</v>
      </c>
      <c r="E233" t="s">
        <v>1519</v>
      </c>
      <c r="F233" t="s">
        <v>8448</v>
      </c>
      <c r="G233" t="s">
        <v>8455</v>
      </c>
    </row>
    <row r="234" spans="1:7">
      <c r="A234" t="s">
        <v>2882</v>
      </c>
      <c r="B234" t="s">
        <v>8273</v>
      </c>
      <c r="C234" t="s">
        <v>8392</v>
      </c>
      <c r="D234" t="s">
        <v>8400</v>
      </c>
      <c r="E234" t="s">
        <v>1587</v>
      </c>
      <c r="F234" t="s">
        <v>8447</v>
      </c>
      <c r="G234" t="s">
        <v>796</v>
      </c>
    </row>
    <row r="235" spans="1:7">
      <c r="A235" t="s">
        <v>2883</v>
      </c>
      <c r="C235" t="s">
        <v>8397</v>
      </c>
      <c r="D235" t="s">
        <v>8421</v>
      </c>
      <c r="E235" t="s">
        <v>8444</v>
      </c>
      <c r="F235" t="s">
        <v>8448</v>
      </c>
      <c r="G235" t="s">
        <v>8463</v>
      </c>
    </row>
    <row r="236" spans="1:7">
      <c r="A236" t="s">
        <v>2884</v>
      </c>
      <c r="B236" t="s">
        <v>8273</v>
      </c>
      <c r="C236" t="s">
        <v>8394</v>
      </c>
      <c r="D236" t="s">
        <v>8427</v>
      </c>
      <c r="E236" t="s">
        <v>8446</v>
      </c>
      <c r="F236" t="s">
        <v>8448</v>
      </c>
      <c r="G236" t="s">
        <v>8495</v>
      </c>
    </row>
    <row r="237" spans="1:7">
      <c r="A237" t="s">
        <v>2885</v>
      </c>
      <c r="B237" t="s">
        <v>8273</v>
      </c>
      <c r="C237" t="s">
        <v>8394</v>
      </c>
      <c r="D237" t="s">
        <v>8413</v>
      </c>
      <c r="E237" t="s">
        <v>8445</v>
      </c>
      <c r="F237" t="s">
        <v>8448</v>
      </c>
      <c r="G237" t="s">
        <v>8455</v>
      </c>
    </row>
    <row r="238" spans="1:7">
      <c r="A238" t="s">
        <v>2886</v>
      </c>
      <c r="C238" t="s">
        <v>8393</v>
      </c>
      <c r="D238" t="s">
        <v>8393</v>
      </c>
      <c r="E238" t="s">
        <v>919</v>
      </c>
      <c r="F238" t="s">
        <v>8393</v>
      </c>
    </row>
    <row r="239" spans="1:7">
      <c r="A239" t="s">
        <v>2887</v>
      </c>
      <c r="B239" t="s">
        <v>8278</v>
      </c>
      <c r="C239" t="s">
        <v>8394</v>
      </c>
      <c r="D239" t="s">
        <v>8423</v>
      </c>
      <c r="E239" t="s">
        <v>8446</v>
      </c>
      <c r="F239" t="s">
        <v>8449</v>
      </c>
      <c r="G239" t="s">
        <v>8455</v>
      </c>
    </row>
    <row r="240" spans="1:7">
      <c r="A240" t="s">
        <v>2888</v>
      </c>
      <c r="B240" t="s">
        <v>8278</v>
      </c>
      <c r="C240" t="s">
        <v>8394</v>
      </c>
      <c r="D240" t="s">
        <v>8423</v>
      </c>
      <c r="E240" t="s">
        <v>8446</v>
      </c>
      <c r="F240" t="s">
        <v>8449</v>
      </c>
      <c r="G240" t="s">
        <v>8455</v>
      </c>
    </row>
    <row r="241" spans="1:7">
      <c r="A241" t="s">
        <v>2889</v>
      </c>
      <c r="B241" t="s">
        <v>8284</v>
      </c>
      <c r="C241" t="s">
        <v>8394</v>
      </c>
      <c r="D241" t="s">
        <v>8423</v>
      </c>
      <c r="E241" t="s">
        <v>8446</v>
      </c>
      <c r="F241" t="s">
        <v>8449</v>
      </c>
      <c r="G241" t="s">
        <v>8455</v>
      </c>
    </row>
    <row r="242" spans="1:7">
      <c r="A242" t="s">
        <v>2890</v>
      </c>
      <c r="B242" t="s">
        <v>8273</v>
      </c>
      <c r="C242" t="s">
        <v>8395</v>
      </c>
      <c r="D242" t="s">
        <v>8428</v>
      </c>
      <c r="E242" t="s">
        <v>8446</v>
      </c>
      <c r="F242" t="s">
        <v>8449</v>
      </c>
      <c r="G242" t="s">
        <v>8455</v>
      </c>
    </row>
    <row r="243" spans="1:7">
      <c r="A243" t="s">
        <v>2891</v>
      </c>
      <c r="B243" t="s">
        <v>8273</v>
      </c>
      <c r="C243" t="s">
        <v>8394</v>
      </c>
      <c r="D243" t="s">
        <v>8402</v>
      </c>
      <c r="E243" t="s">
        <v>8445</v>
      </c>
      <c r="F243" t="s">
        <v>8448</v>
      </c>
      <c r="G243" t="s">
        <v>8496</v>
      </c>
    </row>
    <row r="244" spans="1:7">
      <c r="A244" t="s">
        <v>2892</v>
      </c>
      <c r="B244" t="s">
        <v>8273</v>
      </c>
      <c r="C244" t="s">
        <v>8392</v>
      </c>
      <c r="D244" t="s">
        <v>8415</v>
      </c>
      <c r="E244" t="s">
        <v>8445</v>
      </c>
      <c r="F244" t="s">
        <v>8448</v>
      </c>
      <c r="G244" t="s">
        <v>8455</v>
      </c>
    </row>
    <row r="245" spans="1:7">
      <c r="A245" t="s">
        <v>2893</v>
      </c>
      <c r="B245" t="s">
        <v>8288</v>
      </c>
      <c r="C245" t="s">
        <v>8394</v>
      </c>
      <c r="D245" t="s">
        <v>8402</v>
      </c>
      <c r="E245" t="s">
        <v>8445</v>
      </c>
      <c r="F245" t="s">
        <v>8449</v>
      </c>
      <c r="G245" t="s">
        <v>8455</v>
      </c>
    </row>
    <row r="246" spans="1:7">
      <c r="A246" t="s">
        <v>2894</v>
      </c>
      <c r="C246" t="s">
        <v>8393</v>
      </c>
      <c r="D246" t="s">
        <v>8393</v>
      </c>
      <c r="E246" t="s">
        <v>919</v>
      </c>
      <c r="F246" t="s">
        <v>8393</v>
      </c>
    </row>
    <row r="247" spans="1:7">
      <c r="A247" t="s">
        <v>2895</v>
      </c>
      <c r="B247" t="s">
        <v>8289</v>
      </c>
      <c r="C247" t="s">
        <v>8395</v>
      </c>
      <c r="D247" t="s">
        <v>8423</v>
      </c>
      <c r="E247" t="s">
        <v>8444</v>
      </c>
      <c r="F247" t="s">
        <v>8449</v>
      </c>
      <c r="G247" t="s">
        <v>8455</v>
      </c>
    </row>
    <row r="248" spans="1:7">
      <c r="A248" t="s">
        <v>2896</v>
      </c>
      <c r="B248" t="s">
        <v>8290</v>
      </c>
      <c r="C248" t="s">
        <v>8395</v>
      </c>
      <c r="D248" t="s">
        <v>8423</v>
      </c>
      <c r="E248" t="s">
        <v>8444</v>
      </c>
      <c r="F248" t="s">
        <v>8449</v>
      </c>
      <c r="G248" t="s">
        <v>8455</v>
      </c>
    </row>
    <row r="249" spans="1:7">
      <c r="A249" t="s">
        <v>2897</v>
      </c>
      <c r="B249" t="s">
        <v>8291</v>
      </c>
      <c r="C249" t="s">
        <v>8395</v>
      </c>
      <c r="D249" t="s">
        <v>8423</v>
      </c>
      <c r="E249" t="s">
        <v>8444</v>
      </c>
      <c r="F249" t="s">
        <v>8449</v>
      </c>
      <c r="G249" t="s">
        <v>8455</v>
      </c>
    </row>
    <row r="250" spans="1:7">
      <c r="A250" t="s">
        <v>2898</v>
      </c>
      <c r="C250" t="s">
        <v>8393</v>
      </c>
      <c r="D250" t="s">
        <v>8393</v>
      </c>
      <c r="E250" t="s">
        <v>919</v>
      </c>
      <c r="F250" t="s">
        <v>8393</v>
      </c>
    </row>
    <row r="251" spans="1:7">
      <c r="A251" t="s">
        <v>2899</v>
      </c>
      <c r="B251" t="s">
        <v>8288</v>
      </c>
      <c r="C251" t="s">
        <v>8395</v>
      </c>
      <c r="D251" t="s">
        <v>8420</v>
      </c>
      <c r="E251" t="s">
        <v>8444</v>
      </c>
      <c r="F251" t="s">
        <v>8448</v>
      </c>
      <c r="G251" t="s">
        <v>8497</v>
      </c>
    </row>
    <row r="252" spans="1:7">
      <c r="A252" t="s">
        <v>2900</v>
      </c>
      <c r="B252" t="s">
        <v>8288</v>
      </c>
      <c r="C252" t="s">
        <v>8396</v>
      </c>
      <c r="D252" t="s">
        <v>8420</v>
      </c>
      <c r="E252" t="s">
        <v>8444</v>
      </c>
      <c r="F252" t="s">
        <v>8448</v>
      </c>
      <c r="G252" t="s">
        <v>8498</v>
      </c>
    </row>
    <row r="253" spans="1:7">
      <c r="A253" t="s">
        <v>2901</v>
      </c>
      <c r="B253" t="s">
        <v>8288</v>
      </c>
      <c r="C253" t="s">
        <v>8396</v>
      </c>
      <c r="D253" t="s">
        <v>8425</v>
      </c>
      <c r="E253" t="s">
        <v>8444</v>
      </c>
      <c r="F253" t="s">
        <v>8448</v>
      </c>
      <c r="G253" t="s">
        <v>8455</v>
      </c>
    </row>
    <row r="254" spans="1:7">
      <c r="A254" t="s">
        <v>2902</v>
      </c>
      <c r="B254" t="s">
        <v>8292</v>
      </c>
      <c r="C254" t="s">
        <v>8396</v>
      </c>
      <c r="D254" t="s">
        <v>8420</v>
      </c>
      <c r="E254" t="s">
        <v>8444</v>
      </c>
      <c r="F254" t="s">
        <v>8448</v>
      </c>
      <c r="G254" t="s">
        <v>8455</v>
      </c>
    </row>
    <row r="255" spans="1:7">
      <c r="A255" t="s">
        <v>2903</v>
      </c>
      <c r="C255" t="s">
        <v>8393</v>
      </c>
      <c r="D255" t="s">
        <v>8393</v>
      </c>
      <c r="E255" t="s">
        <v>919</v>
      </c>
      <c r="F255" t="s">
        <v>8393</v>
      </c>
    </row>
    <row r="256" spans="1:7">
      <c r="A256" t="s">
        <v>2904</v>
      </c>
      <c r="B256" t="s">
        <v>8273</v>
      </c>
      <c r="C256" t="s">
        <v>8395</v>
      </c>
      <c r="D256" t="s">
        <v>8400</v>
      </c>
      <c r="E256" t="s">
        <v>8445</v>
      </c>
      <c r="F256" t="s">
        <v>8449</v>
      </c>
      <c r="G256" t="s">
        <v>8455</v>
      </c>
    </row>
    <row r="257" spans="1:7">
      <c r="A257" t="s">
        <v>2905</v>
      </c>
      <c r="B257" t="s">
        <v>8277</v>
      </c>
      <c r="C257" t="s">
        <v>8395</v>
      </c>
      <c r="D257" t="s">
        <v>8400</v>
      </c>
      <c r="E257" t="s">
        <v>8445</v>
      </c>
      <c r="F257" t="s">
        <v>8449</v>
      </c>
      <c r="G257" t="s">
        <v>8455</v>
      </c>
    </row>
    <row r="258" spans="1:7">
      <c r="A258" t="s">
        <v>2906</v>
      </c>
      <c r="C258" t="s">
        <v>8398</v>
      </c>
      <c r="D258" t="s">
        <v>8410</v>
      </c>
      <c r="E258" t="s">
        <v>8446</v>
      </c>
      <c r="F258" t="s">
        <v>8449</v>
      </c>
      <c r="G258" t="s">
        <v>8455</v>
      </c>
    </row>
    <row r="259" spans="1:7">
      <c r="A259" t="s">
        <v>2907</v>
      </c>
      <c r="B259" t="s">
        <v>8289</v>
      </c>
      <c r="C259" t="s">
        <v>8395</v>
      </c>
      <c r="D259" t="s">
        <v>8423</v>
      </c>
      <c r="E259" t="s">
        <v>8444</v>
      </c>
      <c r="F259" t="s">
        <v>8449</v>
      </c>
      <c r="G259" t="s">
        <v>8455</v>
      </c>
    </row>
    <row r="260" spans="1:7">
      <c r="A260" t="s">
        <v>2908</v>
      </c>
      <c r="C260" t="s">
        <v>8393</v>
      </c>
      <c r="D260" t="s">
        <v>8393</v>
      </c>
      <c r="E260" t="s">
        <v>919</v>
      </c>
      <c r="F260" t="s">
        <v>8393</v>
      </c>
    </row>
    <row r="261" spans="1:7">
      <c r="A261" t="s">
        <v>2909</v>
      </c>
      <c r="B261" t="s">
        <v>8288</v>
      </c>
      <c r="C261" t="s">
        <v>8394</v>
      </c>
      <c r="D261" t="s">
        <v>8429</v>
      </c>
      <c r="E261" t="s">
        <v>8445</v>
      </c>
      <c r="F261" t="s">
        <v>8449</v>
      </c>
      <c r="G261" t="s">
        <v>8455</v>
      </c>
    </row>
    <row r="262" spans="1:7">
      <c r="A262" t="s">
        <v>2910</v>
      </c>
      <c r="B262" t="s">
        <v>8293</v>
      </c>
      <c r="C262" t="s">
        <v>8394</v>
      </c>
      <c r="D262" t="s">
        <v>8429</v>
      </c>
      <c r="E262" t="s">
        <v>8445</v>
      </c>
      <c r="F262" t="s">
        <v>8449</v>
      </c>
      <c r="G262" t="s">
        <v>8455</v>
      </c>
    </row>
    <row r="263" spans="1:7">
      <c r="A263" t="s">
        <v>2911</v>
      </c>
      <c r="B263" t="s">
        <v>8294</v>
      </c>
      <c r="C263" t="s">
        <v>8394</v>
      </c>
      <c r="D263" t="s">
        <v>8429</v>
      </c>
      <c r="E263" t="s">
        <v>8445</v>
      </c>
      <c r="F263" t="s">
        <v>8449</v>
      </c>
      <c r="G263" t="s">
        <v>8455</v>
      </c>
    </row>
    <row r="264" spans="1:7">
      <c r="A264" t="s">
        <v>2912</v>
      </c>
      <c r="B264" t="s">
        <v>8273</v>
      </c>
      <c r="C264" t="s">
        <v>8398</v>
      </c>
      <c r="D264" t="s">
        <v>8410</v>
      </c>
      <c r="E264" t="s">
        <v>8445</v>
      </c>
      <c r="F264" t="s">
        <v>8448</v>
      </c>
      <c r="G264" t="s">
        <v>8455</v>
      </c>
    </row>
    <row r="265" spans="1:7">
      <c r="A265" t="s">
        <v>2913</v>
      </c>
      <c r="B265" t="s">
        <v>8273</v>
      </c>
      <c r="C265" t="s">
        <v>8398</v>
      </c>
      <c r="D265" t="s">
        <v>8419</v>
      </c>
      <c r="E265" t="s">
        <v>8445</v>
      </c>
      <c r="F265" t="s">
        <v>8448</v>
      </c>
      <c r="G265" t="s">
        <v>8455</v>
      </c>
    </row>
    <row r="266" spans="1:7">
      <c r="A266" t="s">
        <v>2914</v>
      </c>
      <c r="B266" t="s">
        <v>8273</v>
      </c>
      <c r="C266" t="s">
        <v>8398</v>
      </c>
      <c r="D266" t="s">
        <v>8419</v>
      </c>
      <c r="E266" t="s">
        <v>8445</v>
      </c>
      <c r="F266" t="s">
        <v>8448</v>
      </c>
      <c r="G266" t="s">
        <v>8455</v>
      </c>
    </row>
    <row r="267" spans="1:7">
      <c r="A267" t="s">
        <v>2915</v>
      </c>
      <c r="B267" t="s">
        <v>8273</v>
      </c>
      <c r="C267" t="s">
        <v>8398</v>
      </c>
      <c r="D267" t="s">
        <v>8419</v>
      </c>
      <c r="E267" t="s">
        <v>8445</v>
      </c>
      <c r="F267" t="s">
        <v>8448</v>
      </c>
      <c r="G267" t="s">
        <v>8455</v>
      </c>
    </row>
    <row r="268" spans="1:7">
      <c r="A268" t="s">
        <v>2916</v>
      </c>
      <c r="B268" t="s">
        <v>8273</v>
      </c>
      <c r="C268" t="s">
        <v>8398</v>
      </c>
      <c r="D268" t="s">
        <v>8419</v>
      </c>
      <c r="E268" t="s">
        <v>8446</v>
      </c>
      <c r="F268" t="s">
        <v>8449</v>
      </c>
      <c r="G268" t="s">
        <v>8455</v>
      </c>
    </row>
    <row r="269" spans="1:7">
      <c r="A269" t="s">
        <v>2917</v>
      </c>
      <c r="B269" t="s">
        <v>8273</v>
      </c>
      <c r="C269" t="s">
        <v>8395</v>
      </c>
      <c r="D269" t="s">
        <v>8415</v>
      </c>
      <c r="E269" t="s">
        <v>8445</v>
      </c>
      <c r="F269" t="s">
        <v>8449</v>
      </c>
      <c r="G269" t="s">
        <v>8455</v>
      </c>
    </row>
    <row r="270" spans="1:7">
      <c r="A270" t="s">
        <v>2918</v>
      </c>
      <c r="C270" t="s">
        <v>8393</v>
      </c>
      <c r="D270" t="s">
        <v>8393</v>
      </c>
      <c r="E270" t="s">
        <v>919</v>
      </c>
      <c r="F270" t="s">
        <v>8393</v>
      </c>
    </row>
    <row r="271" spans="1:7">
      <c r="A271" t="s">
        <v>2919</v>
      </c>
      <c r="B271" t="s">
        <v>8273</v>
      </c>
      <c r="C271" t="s">
        <v>8398</v>
      </c>
      <c r="D271" t="s">
        <v>8410</v>
      </c>
      <c r="E271" t="s">
        <v>8445</v>
      </c>
      <c r="F271" t="s">
        <v>8448</v>
      </c>
      <c r="G271" t="s">
        <v>8455</v>
      </c>
    </row>
    <row r="272" spans="1:7">
      <c r="A272" t="s">
        <v>2920</v>
      </c>
      <c r="B272" t="s">
        <v>8273</v>
      </c>
      <c r="C272" t="s">
        <v>8398</v>
      </c>
      <c r="D272" t="s">
        <v>8410</v>
      </c>
      <c r="E272" t="s">
        <v>8445</v>
      </c>
      <c r="F272" t="s">
        <v>8448</v>
      </c>
      <c r="G272" t="s">
        <v>8455</v>
      </c>
    </row>
    <row r="273" spans="1:7">
      <c r="A273" t="s">
        <v>2921</v>
      </c>
      <c r="B273" t="s">
        <v>8289</v>
      </c>
      <c r="C273" t="s">
        <v>8394</v>
      </c>
      <c r="D273" t="s">
        <v>8423</v>
      </c>
      <c r="E273" t="s">
        <v>8446</v>
      </c>
      <c r="F273" t="s">
        <v>8449</v>
      </c>
      <c r="G273" t="s">
        <v>8455</v>
      </c>
    </row>
    <row r="274" spans="1:7">
      <c r="A274" t="s">
        <v>2922</v>
      </c>
      <c r="C274" t="s">
        <v>8393</v>
      </c>
      <c r="D274" t="s">
        <v>8393</v>
      </c>
      <c r="E274" t="s">
        <v>919</v>
      </c>
      <c r="F274" t="s">
        <v>8393</v>
      </c>
    </row>
    <row r="275" spans="1:7">
      <c r="A275" t="s">
        <v>2923</v>
      </c>
      <c r="B275" t="s">
        <v>8289</v>
      </c>
      <c r="C275" t="s">
        <v>8395</v>
      </c>
      <c r="D275" t="s">
        <v>8423</v>
      </c>
      <c r="E275" t="s">
        <v>8446</v>
      </c>
      <c r="F275" t="s">
        <v>8449</v>
      </c>
      <c r="G275" t="s">
        <v>8455</v>
      </c>
    </row>
    <row r="276" spans="1:7">
      <c r="A276" t="s">
        <v>2924</v>
      </c>
      <c r="B276" t="s">
        <v>8290</v>
      </c>
      <c r="C276" t="s">
        <v>8394</v>
      </c>
      <c r="D276" t="s">
        <v>8423</v>
      </c>
      <c r="E276" t="s">
        <v>8446</v>
      </c>
      <c r="F276" t="s">
        <v>8449</v>
      </c>
      <c r="G276" t="s">
        <v>8455</v>
      </c>
    </row>
    <row r="277" spans="1:7">
      <c r="A277" t="s">
        <v>2925</v>
      </c>
      <c r="B277" t="s">
        <v>8291</v>
      </c>
      <c r="C277" t="s">
        <v>8394</v>
      </c>
      <c r="D277" t="s">
        <v>8423</v>
      </c>
      <c r="E277" t="s">
        <v>8446</v>
      </c>
      <c r="F277" t="s">
        <v>8449</v>
      </c>
      <c r="G277" t="s">
        <v>8455</v>
      </c>
    </row>
    <row r="278" spans="1:7">
      <c r="A278" t="s">
        <v>2926</v>
      </c>
      <c r="B278" t="s">
        <v>8295</v>
      </c>
      <c r="C278" t="s">
        <v>8398</v>
      </c>
      <c r="D278" t="s">
        <v>8419</v>
      </c>
      <c r="E278" t="s">
        <v>8444</v>
      </c>
      <c r="F278" t="s">
        <v>8449</v>
      </c>
      <c r="G278" t="s">
        <v>8455</v>
      </c>
    </row>
    <row r="279" spans="1:7">
      <c r="A279" t="s">
        <v>2927</v>
      </c>
      <c r="B279" t="s">
        <v>8289</v>
      </c>
      <c r="C279" t="s">
        <v>8395</v>
      </c>
      <c r="D279" t="s">
        <v>8423</v>
      </c>
      <c r="E279" t="s">
        <v>8444</v>
      </c>
      <c r="F279" t="s">
        <v>8449</v>
      </c>
      <c r="G279" t="s">
        <v>8455</v>
      </c>
    </row>
    <row r="280" spans="1:7">
      <c r="A280" t="s">
        <v>2928</v>
      </c>
      <c r="B280" t="s">
        <v>8296</v>
      </c>
      <c r="C280" t="s">
        <v>8394</v>
      </c>
      <c r="D280" t="s">
        <v>8424</v>
      </c>
      <c r="E280" t="s">
        <v>8445</v>
      </c>
      <c r="F280" t="s">
        <v>8448</v>
      </c>
      <c r="G280" t="s">
        <v>8499</v>
      </c>
    </row>
    <row r="281" spans="1:7">
      <c r="A281" t="s">
        <v>2929</v>
      </c>
      <c r="C281" t="s">
        <v>8393</v>
      </c>
      <c r="D281" t="s">
        <v>8393</v>
      </c>
      <c r="E281" t="s">
        <v>919</v>
      </c>
      <c r="F281" t="s">
        <v>8393</v>
      </c>
    </row>
    <row r="282" spans="1:7">
      <c r="A282" t="s">
        <v>2930</v>
      </c>
      <c r="B282" t="s">
        <v>8289</v>
      </c>
      <c r="C282" t="s">
        <v>8395</v>
      </c>
      <c r="D282" t="s">
        <v>8423</v>
      </c>
      <c r="E282" t="s">
        <v>8446</v>
      </c>
      <c r="F282" t="s">
        <v>8449</v>
      </c>
      <c r="G282" t="s">
        <v>8455</v>
      </c>
    </row>
    <row r="283" spans="1:7">
      <c r="A283" t="s">
        <v>2931</v>
      </c>
      <c r="B283" t="s">
        <v>8289</v>
      </c>
      <c r="C283" t="s">
        <v>8395</v>
      </c>
      <c r="D283" t="s">
        <v>8423</v>
      </c>
      <c r="E283" t="s">
        <v>8446</v>
      </c>
      <c r="F283" t="s">
        <v>8449</v>
      </c>
      <c r="G283" t="s">
        <v>8455</v>
      </c>
    </row>
    <row r="284" spans="1:7">
      <c r="A284" t="s">
        <v>2932</v>
      </c>
      <c r="B284" t="s">
        <v>8290</v>
      </c>
      <c r="C284" t="s">
        <v>8395</v>
      </c>
      <c r="D284" t="s">
        <v>8423</v>
      </c>
      <c r="E284" t="s">
        <v>8446</v>
      </c>
      <c r="F284" t="s">
        <v>8449</v>
      </c>
      <c r="G284" t="s">
        <v>8455</v>
      </c>
    </row>
    <row r="285" spans="1:7">
      <c r="A285" t="s">
        <v>2933</v>
      </c>
      <c r="B285" t="s">
        <v>8289</v>
      </c>
      <c r="C285" t="s">
        <v>8395</v>
      </c>
      <c r="D285" t="s">
        <v>8423</v>
      </c>
      <c r="E285" t="s">
        <v>1519</v>
      </c>
      <c r="F285" t="s">
        <v>8449</v>
      </c>
      <c r="G285" t="s">
        <v>8455</v>
      </c>
    </row>
    <row r="286" spans="1:7">
      <c r="A286" t="s">
        <v>2934</v>
      </c>
      <c r="B286" t="s">
        <v>8290</v>
      </c>
      <c r="C286" t="s">
        <v>8395</v>
      </c>
      <c r="D286" t="s">
        <v>8423</v>
      </c>
      <c r="E286" t="s">
        <v>1519</v>
      </c>
      <c r="F286" t="s">
        <v>8449</v>
      </c>
      <c r="G286" t="s">
        <v>8455</v>
      </c>
    </row>
    <row r="287" spans="1:7">
      <c r="A287" t="s">
        <v>2935</v>
      </c>
      <c r="B287" t="s">
        <v>8289</v>
      </c>
      <c r="C287" t="s">
        <v>8395</v>
      </c>
      <c r="D287" t="s">
        <v>8423</v>
      </c>
      <c r="E287" t="s">
        <v>8446</v>
      </c>
      <c r="F287" t="s">
        <v>8449</v>
      </c>
      <c r="G287" t="s">
        <v>8455</v>
      </c>
    </row>
    <row r="288" spans="1:7">
      <c r="A288" t="s">
        <v>2936</v>
      </c>
      <c r="C288" t="s">
        <v>8393</v>
      </c>
      <c r="D288" t="s">
        <v>8393</v>
      </c>
      <c r="E288" t="s">
        <v>919</v>
      </c>
      <c r="F288" t="s">
        <v>8393</v>
      </c>
    </row>
    <row r="289" spans="1:7">
      <c r="A289" t="s">
        <v>2937</v>
      </c>
      <c r="B289" t="s">
        <v>8289</v>
      </c>
      <c r="C289" t="s">
        <v>8395</v>
      </c>
      <c r="D289" t="s">
        <v>8423</v>
      </c>
      <c r="E289" t="s">
        <v>8444</v>
      </c>
      <c r="F289" t="s">
        <v>8449</v>
      </c>
      <c r="G289" t="s">
        <v>8455</v>
      </c>
    </row>
    <row r="290" spans="1:7">
      <c r="A290" t="s">
        <v>2938</v>
      </c>
      <c r="B290" t="s">
        <v>8289</v>
      </c>
      <c r="C290" t="s">
        <v>8395</v>
      </c>
      <c r="D290" t="s">
        <v>8423</v>
      </c>
      <c r="E290" t="s">
        <v>8444</v>
      </c>
      <c r="F290" t="s">
        <v>8448</v>
      </c>
      <c r="G290" t="s">
        <v>8455</v>
      </c>
    </row>
    <row r="291" spans="1:7">
      <c r="A291" t="s">
        <v>2939</v>
      </c>
      <c r="B291" t="s">
        <v>8297</v>
      </c>
      <c r="C291" t="s">
        <v>8395</v>
      </c>
      <c r="D291" t="s">
        <v>8423</v>
      </c>
      <c r="E291" t="s">
        <v>8444</v>
      </c>
      <c r="F291" t="s">
        <v>8449</v>
      </c>
      <c r="G291" t="s">
        <v>8455</v>
      </c>
    </row>
    <row r="292" spans="1:7">
      <c r="A292" t="s">
        <v>2940</v>
      </c>
      <c r="B292" t="s">
        <v>8289</v>
      </c>
      <c r="C292" t="s">
        <v>8395</v>
      </c>
      <c r="D292" t="s">
        <v>8423</v>
      </c>
      <c r="E292" t="s">
        <v>8444</v>
      </c>
      <c r="F292" t="s">
        <v>8449</v>
      </c>
      <c r="G292" t="s">
        <v>8455</v>
      </c>
    </row>
    <row r="293" spans="1:7">
      <c r="A293" t="s">
        <v>2941</v>
      </c>
      <c r="C293" t="s">
        <v>8393</v>
      </c>
      <c r="D293" t="s">
        <v>8393</v>
      </c>
      <c r="E293" t="s">
        <v>919</v>
      </c>
      <c r="F293" t="s">
        <v>8393</v>
      </c>
    </row>
    <row r="294" spans="1:7">
      <c r="A294" t="s">
        <v>2942</v>
      </c>
      <c r="B294" t="s">
        <v>8289</v>
      </c>
      <c r="C294" t="s">
        <v>8395</v>
      </c>
      <c r="D294" t="s">
        <v>8423</v>
      </c>
      <c r="E294" t="s">
        <v>8444</v>
      </c>
      <c r="F294" t="s">
        <v>8449</v>
      </c>
      <c r="G294" t="s">
        <v>8455</v>
      </c>
    </row>
    <row r="295" spans="1:7">
      <c r="A295" t="s">
        <v>2943</v>
      </c>
      <c r="B295" t="s">
        <v>8289</v>
      </c>
      <c r="C295" t="s">
        <v>8395</v>
      </c>
      <c r="D295" t="s">
        <v>8423</v>
      </c>
      <c r="E295" t="s">
        <v>8444</v>
      </c>
      <c r="F295" t="s">
        <v>8449</v>
      </c>
      <c r="G295" t="s">
        <v>8455</v>
      </c>
    </row>
    <row r="296" spans="1:7">
      <c r="A296" t="s">
        <v>2944</v>
      </c>
      <c r="B296" t="s">
        <v>8290</v>
      </c>
      <c r="C296" t="s">
        <v>8395</v>
      </c>
      <c r="D296" t="s">
        <v>8423</v>
      </c>
      <c r="E296" t="s">
        <v>8444</v>
      </c>
      <c r="F296" t="s">
        <v>8449</v>
      </c>
      <c r="G296" t="s">
        <v>8455</v>
      </c>
    </row>
    <row r="297" spans="1:7">
      <c r="A297" t="s">
        <v>2945</v>
      </c>
      <c r="B297" t="s">
        <v>8298</v>
      </c>
      <c r="C297" t="s">
        <v>8395</v>
      </c>
      <c r="D297" t="s">
        <v>8423</v>
      </c>
      <c r="E297" t="s">
        <v>8444</v>
      </c>
      <c r="F297" t="s">
        <v>8449</v>
      </c>
      <c r="G297" t="s">
        <v>8455</v>
      </c>
    </row>
    <row r="298" spans="1:7">
      <c r="A298" t="s">
        <v>2946</v>
      </c>
      <c r="B298" t="s">
        <v>8289</v>
      </c>
      <c r="C298" t="s">
        <v>8395</v>
      </c>
      <c r="D298" t="s">
        <v>8423</v>
      </c>
      <c r="E298" t="s">
        <v>8444</v>
      </c>
      <c r="F298" t="s">
        <v>8449</v>
      </c>
      <c r="G298" t="s">
        <v>8500</v>
      </c>
    </row>
    <row r="299" spans="1:7">
      <c r="A299" t="s">
        <v>2947</v>
      </c>
      <c r="B299" t="s">
        <v>8273</v>
      </c>
      <c r="C299" t="s">
        <v>8398</v>
      </c>
      <c r="D299" t="s">
        <v>8419</v>
      </c>
      <c r="E299" t="s">
        <v>1519</v>
      </c>
      <c r="F299" t="s">
        <v>8448</v>
      </c>
      <c r="G299" t="s">
        <v>8455</v>
      </c>
    </row>
    <row r="300" spans="1:7">
      <c r="A300" t="s">
        <v>2948</v>
      </c>
      <c r="B300" t="s">
        <v>8288</v>
      </c>
      <c r="C300" t="s">
        <v>8394</v>
      </c>
      <c r="D300" t="s">
        <v>8427</v>
      </c>
      <c r="E300" t="s">
        <v>8444</v>
      </c>
      <c r="F300" t="s">
        <v>8448</v>
      </c>
      <c r="G300" t="s">
        <v>8501</v>
      </c>
    </row>
    <row r="301" spans="1:7">
      <c r="A301" t="s">
        <v>2949</v>
      </c>
      <c r="B301" t="s">
        <v>8274</v>
      </c>
      <c r="C301" t="s">
        <v>8396</v>
      </c>
      <c r="D301" t="s">
        <v>8406</v>
      </c>
      <c r="E301" t="s">
        <v>8444</v>
      </c>
      <c r="F301" t="s">
        <v>8449</v>
      </c>
      <c r="G301" t="s">
        <v>8455</v>
      </c>
    </row>
    <row r="302" spans="1:7">
      <c r="A302" t="s">
        <v>2950</v>
      </c>
      <c r="C302" t="s">
        <v>8393</v>
      </c>
      <c r="D302" t="s">
        <v>8393</v>
      </c>
      <c r="E302" t="s">
        <v>919</v>
      </c>
      <c r="F302" t="s">
        <v>8393</v>
      </c>
    </row>
    <row r="303" spans="1:7">
      <c r="A303" t="s">
        <v>2951</v>
      </c>
      <c r="B303" t="s">
        <v>8273</v>
      </c>
      <c r="C303" t="s">
        <v>8396</v>
      </c>
      <c r="D303" t="s">
        <v>8405</v>
      </c>
      <c r="E303" t="s">
        <v>1519</v>
      </c>
      <c r="F303" t="s">
        <v>8449</v>
      </c>
      <c r="G303" t="s">
        <v>8455</v>
      </c>
    </row>
    <row r="304" spans="1:7">
      <c r="A304" t="s">
        <v>2952</v>
      </c>
      <c r="B304" t="s">
        <v>8274</v>
      </c>
      <c r="C304" t="s">
        <v>8396</v>
      </c>
      <c r="D304" t="s">
        <v>8405</v>
      </c>
      <c r="E304" t="s">
        <v>1519</v>
      </c>
      <c r="F304" t="s">
        <v>8449</v>
      </c>
      <c r="G304" t="s">
        <v>8455</v>
      </c>
    </row>
    <row r="305" spans="1:7">
      <c r="A305" t="s">
        <v>2953</v>
      </c>
      <c r="B305" t="s">
        <v>8273</v>
      </c>
      <c r="C305" t="s">
        <v>8395</v>
      </c>
      <c r="D305" t="s">
        <v>8421</v>
      </c>
      <c r="E305" t="s">
        <v>1519</v>
      </c>
      <c r="F305" t="s">
        <v>8448</v>
      </c>
      <c r="G305" t="s">
        <v>8502</v>
      </c>
    </row>
    <row r="306" spans="1:7">
      <c r="A306" t="s">
        <v>2954</v>
      </c>
      <c r="B306" t="s">
        <v>8273</v>
      </c>
      <c r="C306" t="s">
        <v>8394</v>
      </c>
      <c r="D306" t="s">
        <v>8414</v>
      </c>
      <c r="E306" t="s">
        <v>8445</v>
      </c>
      <c r="F306" t="s">
        <v>8448</v>
      </c>
      <c r="G306" t="s">
        <v>8503</v>
      </c>
    </row>
    <row r="307" spans="1:7">
      <c r="A307" t="s">
        <v>2955</v>
      </c>
      <c r="C307" t="s">
        <v>8394</v>
      </c>
      <c r="D307" t="s">
        <v>8401</v>
      </c>
      <c r="E307" t="s">
        <v>8445</v>
      </c>
      <c r="F307" t="s">
        <v>8448</v>
      </c>
      <c r="G307" t="s">
        <v>8504</v>
      </c>
    </row>
    <row r="308" spans="1:7">
      <c r="A308" t="s">
        <v>2956</v>
      </c>
      <c r="C308" t="s">
        <v>8394</v>
      </c>
      <c r="D308" t="s">
        <v>8402</v>
      </c>
      <c r="E308" t="s">
        <v>8445</v>
      </c>
      <c r="F308" t="s">
        <v>8448</v>
      </c>
      <c r="G308" t="s">
        <v>8505</v>
      </c>
    </row>
    <row r="309" spans="1:7">
      <c r="A309" t="s">
        <v>2957</v>
      </c>
      <c r="B309" t="s">
        <v>8273</v>
      </c>
      <c r="C309" t="s">
        <v>8392</v>
      </c>
      <c r="D309" t="s">
        <v>8415</v>
      </c>
      <c r="E309" t="s">
        <v>8444</v>
      </c>
      <c r="F309" t="s">
        <v>8448</v>
      </c>
      <c r="G309" t="s">
        <v>8455</v>
      </c>
    </row>
    <row r="310" spans="1:7">
      <c r="A310" t="s">
        <v>2958</v>
      </c>
      <c r="C310" t="s">
        <v>8393</v>
      </c>
      <c r="D310" t="s">
        <v>8393</v>
      </c>
      <c r="E310" t="s">
        <v>919</v>
      </c>
      <c r="F310" t="s">
        <v>8393</v>
      </c>
    </row>
    <row r="311" spans="1:7">
      <c r="A311" t="s">
        <v>2959</v>
      </c>
      <c r="B311" t="s">
        <v>8278</v>
      </c>
      <c r="C311" t="s">
        <v>8394</v>
      </c>
      <c r="D311" t="s">
        <v>8423</v>
      </c>
      <c r="E311" t="s">
        <v>1519</v>
      </c>
      <c r="F311" t="s">
        <v>8448</v>
      </c>
      <c r="G311" t="s">
        <v>8455</v>
      </c>
    </row>
    <row r="312" spans="1:7">
      <c r="A312" t="s">
        <v>2960</v>
      </c>
      <c r="B312" t="s">
        <v>8280</v>
      </c>
      <c r="C312" t="s">
        <v>8394</v>
      </c>
      <c r="D312" t="s">
        <v>8423</v>
      </c>
      <c r="E312" t="s">
        <v>1519</v>
      </c>
      <c r="F312" t="s">
        <v>8448</v>
      </c>
      <c r="G312" t="s">
        <v>8455</v>
      </c>
    </row>
    <row r="313" spans="1:7">
      <c r="A313" t="s">
        <v>2961</v>
      </c>
      <c r="B313" t="s">
        <v>8273</v>
      </c>
      <c r="C313" t="s">
        <v>8392</v>
      </c>
      <c r="D313" t="s">
        <v>8400</v>
      </c>
      <c r="E313" t="s">
        <v>1587</v>
      </c>
      <c r="F313" t="s">
        <v>8447</v>
      </c>
      <c r="G313" t="s">
        <v>8506</v>
      </c>
    </row>
    <row r="314" spans="1:7">
      <c r="A314" t="s">
        <v>2962</v>
      </c>
      <c r="C314" t="s">
        <v>8397</v>
      </c>
      <c r="D314" t="s">
        <v>8408</v>
      </c>
      <c r="E314" t="s">
        <v>8445</v>
      </c>
      <c r="F314" t="s">
        <v>8450</v>
      </c>
    </row>
    <row r="315" spans="1:7">
      <c r="A315" t="s">
        <v>2963</v>
      </c>
      <c r="B315" t="s">
        <v>8273</v>
      </c>
      <c r="C315" t="s">
        <v>8397</v>
      </c>
      <c r="D315" t="s">
        <v>8421</v>
      </c>
      <c r="E315" t="s">
        <v>8446</v>
      </c>
      <c r="F315" t="s">
        <v>8448</v>
      </c>
      <c r="G315" t="s">
        <v>8507</v>
      </c>
    </row>
    <row r="316" spans="1:7">
      <c r="A316" t="s">
        <v>2964</v>
      </c>
      <c r="B316" t="s">
        <v>8273</v>
      </c>
      <c r="C316" t="s">
        <v>8397</v>
      </c>
      <c r="D316" t="s">
        <v>8421</v>
      </c>
      <c r="E316" t="s">
        <v>8445</v>
      </c>
      <c r="F316" t="s">
        <v>8448</v>
      </c>
      <c r="G316" t="s">
        <v>8508</v>
      </c>
    </row>
    <row r="317" spans="1:7">
      <c r="A317" t="s">
        <v>2965</v>
      </c>
      <c r="B317" t="s">
        <v>8273</v>
      </c>
      <c r="C317" t="s">
        <v>8397</v>
      </c>
      <c r="D317" t="s">
        <v>8421</v>
      </c>
      <c r="E317" t="s">
        <v>8444</v>
      </c>
      <c r="F317" t="s">
        <v>8448</v>
      </c>
      <c r="G317" t="s">
        <v>8455</v>
      </c>
    </row>
    <row r="318" spans="1:7">
      <c r="A318" t="s">
        <v>2966</v>
      </c>
      <c r="B318" t="s">
        <v>8273</v>
      </c>
      <c r="C318" t="s">
        <v>8392</v>
      </c>
      <c r="D318" t="s">
        <v>8415</v>
      </c>
      <c r="E318" t="s">
        <v>8445</v>
      </c>
      <c r="F318" t="s">
        <v>8448</v>
      </c>
      <c r="G318" t="s">
        <v>8509</v>
      </c>
    </row>
    <row r="319" spans="1:7">
      <c r="A319" t="s">
        <v>2967</v>
      </c>
      <c r="C319" t="s">
        <v>8393</v>
      </c>
      <c r="D319" t="s">
        <v>8393</v>
      </c>
      <c r="E319" t="s">
        <v>919</v>
      </c>
      <c r="F319" t="s">
        <v>8393</v>
      </c>
    </row>
    <row r="320" spans="1:7">
      <c r="A320" t="s">
        <v>2968</v>
      </c>
      <c r="B320" t="s">
        <v>8278</v>
      </c>
      <c r="C320" t="s">
        <v>8394</v>
      </c>
      <c r="D320" t="s">
        <v>8423</v>
      </c>
      <c r="E320" t="s">
        <v>8446</v>
      </c>
      <c r="F320" t="s">
        <v>8449</v>
      </c>
      <c r="G320" t="s">
        <v>8455</v>
      </c>
    </row>
    <row r="321" spans="1:7">
      <c r="A321" t="s">
        <v>2969</v>
      </c>
      <c r="B321" t="s">
        <v>8284</v>
      </c>
      <c r="C321" t="s">
        <v>8394</v>
      </c>
      <c r="D321" t="s">
        <v>8423</v>
      </c>
      <c r="E321" t="s">
        <v>8446</v>
      </c>
      <c r="F321" t="s">
        <v>8449</v>
      </c>
      <c r="G321" t="s">
        <v>8455</v>
      </c>
    </row>
    <row r="322" spans="1:7">
      <c r="A322" t="s">
        <v>2970</v>
      </c>
      <c r="B322" t="s">
        <v>8281</v>
      </c>
      <c r="C322" t="s">
        <v>8394</v>
      </c>
      <c r="D322" t="s">
        <v>8423</v>
      </c>
      <c r="E322" t="s">
        <v>8446</v>
      </c>
      <c r="F322" t="s">
        <v>8449</v>
      </c>
      <c r="G322" t="s">
        <v>8455</v>
      </c>
    </row>
    <row r="323" spans="1:7">
      <c r="A323" t="s">
        <v>2971</v>
      </c>
      <c r="C323" t="s">
        <v>8396</v>
      </c>
      <c r="D323" t="s">
        <v>8406</v>
      </c>
      <c r="E323" t="s">
        <v>8445</v>
      </c>
      <c r="F323" t="s">
        <v>8449</v>
      </c>
      <c r="G323" t="s">
        <v>795</v>
      </c>
    </row>
    <row r="324" spans="1:7">
      <c r="A324" t="s">
        <v>2972</v>
      </c>
      <c r="B324" t="s">
        <v>8299</v>
      </c>
      <c r="C324" t="s">
        <v>8397</v>
      </c>
      <c r="D324" t="s">
        <v>8430</v>
      </c>
      <c r="E324" t="s">
        <v>1519</v>
      </c>
      <c r="F324" t="s">
        <v>8448</v>
      </c>
      <c r="G324" t="s">
        <v>8510</v>
      </c>
    </row>
    <row r="325" spans="1:7">
      <c r="A325" t="s">
        <v>2973</v>
      </c>
      <c r="B325" t="s">
        <v>8273</v>
      </c>
      <c r="C325" t="s">
        <v>8397</v>
      </c>
      <c r="D325" t="s">
        <v>8421</v>
      </c>
      <c r="E325" t="s">
        <v>8444</v>
      </c>
      <c r="F325" t="s">
        <v>8448</v>
      </c>
      <c r="G325" t="s">
        <v>8511</v>
      </c>
    </row>
    <row r="326" spans="1:7">
      <c r="A326" t="s">
        <v>2974</v>
      </c>
      <c r="C326" t="s">
        <v>8394</v>
      </c>
      <c r="D326" t="s">
        <v>8414</v>
      </c>
      <c r="E326" t="s">
        <v>8445</v>
      </c>
      <c r="F326" t="s">
        <v>8448</v>
      </c>
      <c r="G326" t="s">
        <v>8512</v>
      </c>
    </row>
    <row r="327" spans="1:7">
      <c r="A327" t="s">
        <v>2975</v>
      </c>
      <c r="B327" t="s">
        <v>8273</v>
      </c>
      <c r="C327" t="s">
        <v>8397</v>
      </c>
      <c r="D327" t="s">
        <v>8421</v>
      </c>
      <c r="E327" t="s">
        <v>8445</v>
      </c>
      <c r="F327" t="s">
        <v>8448</v>
      </c>
      <c r="G327" t="s">
        <v>8513</v>
      </c>
    </row>
    <row r="328" spans="1:7">
      <c r="A328" t="s">
        <v>2976</v>
      </c>
      <c r="C328" t="s">
        <v>8392</v>
      </c>
      <c r="D328" t="s">
        <v>8415</v>
      </c>
      <c r="E328" t="s">
        <v>8444</v>
      </c>
      <c r="F328" t="s">
        <v>8448</v>
      </c>
      <c r="G328" t="s">
        <v>8514</v>
      </c>
    </row>
    <row r="329" spans="1:7">
      <c r="A329" t="s">
        <v>2977</v>
      </c>
      <c r="B329" t="s">
        <v>8273</v>
      </c>
      <c r="C329" t="s">
        <v>8394</v>
      </c>
      <c r="D329" t="s">
        <v>8402</v>
      </c>
      <c r="E329" t="s">
        <v>8445</v>
      </c>
      <c r="F329" t="s">
        <v>8448</v>
      </c>
      <c r="G329" t="s">
        <v>8515</v>
      </c>
    </row>
    <row r="330" spans="1:7">
      <c r="A330" t="s">
        <v>2978</v>
      </c>
      <c r="C330" t="s">
        <v>8394</v>
      </c>
      <c r="D330" t="s">
        <v>8402</v>
      </c>
      <c r="E330" t="s">
        <v>8445</v>
      </c>
      <c r="F330" t="s">
        <v>8448</v>
      </c>
      <c r="G330" t="s">
        <v>8516</v>
      </c>
    </row>
    <row r="331" spans="1:7">
      <c r="A331" t="s">
        <v>2979</v>
      </c>
      <c r="C331" t="s">
        <v>8394</v>
      </c>
      <c r="D331" t="s">
        <v>8414</v>
      </c>
      <c r="E331" t="s">
        <v>8444</v>
      </c>
      <c r="F331" t="s">
        <v>8448</v>
      </c>
      <c r="G331" t="s">
        <v>8517</v>
      </c>
    </row>
    <row r="332" spans="1:7">
      <c r="A332" t="s">
        <v>2980</v>
      </c>
      <c r="C332" t="s">
        <v>8394</v>
      </c>
      <c r="D332" t="s">
        <v>8413</v>
      </c>
      <c r="E332" t="s">
        <v>8445</v>
      </c>
      <c r="F332" t="s">
        <v>8448</v>
      </c>
      <c r="G332" t="s">
        <v>8518</v>
      </c>
    </row>
    <row r="333" spans="1:7">
      <c r="A333" t="s">
        <v>2981</v>
      </c>
      <c r="B333" t="s">
        <v>8273</v>
      </c>
      <c r="C333" t="s">
        <v>8398</v>
      </c>
      <c r="D333" t="s">
        <v>8409</v>
      </c>
      <c r="E333" t="s">
        <v>8444</v>
      </c>
      <c r="F333" t="s">
        <v>8448</v>
      </c>
      <c r="G333" t="s">
        <v>8519</v>
      </c>
    </row>
    <row r="334" spans="1:7">
      <c r="A334" t="s">
        <v>2982</v>
      </c>
      <c r="C334" t="s">
        <v>8394</v>
      </c>
      <c r="D334" t="s">
        <v>8414</v>
      </c>
      <c r="E334" t="s">
        <v>8445</v>
      </c>
      <c r="F334" t="s">
        <v>8448</v>
      </c>
      <c r="G334" t="s">
        <v>8453</v>
      </c>
    </row>
    <row r="335" spans="1:7">
      <c r="A335" t="s">
        <v>2983</v>
      </c>
      <c r="B335" t="s">
        <v>8273</v>
      </c>
      <c r="C335" t="s">
        <v>8395</v>
      </c>
      <c r="D335" t="s">
        <v>8427</v>
      </c>
      <c r="E335" t="s">
        <v>8446</v>
      </c>
      <c r="F335" t="s">
        <v>8448</v>
      </c>
      <c r="G335" t="s">
        <v>796</v>
      </c>
    </row>
    <row r="336" spans="1:7">
      <c r="A336" t="s">
        <v>2984</v>
      </c>
      <c r="B336" t="s">
        <v>8273</v>
      </c>
      <c r="C336" t="s">
        <v>8395</v>
      </c>
      <c r="D336" t="s">
        <v>8403</v>
      </c>
      <c r="E336" t="s">
        <v>8446</v>
      </c>
      <c r="F336" t="s">
        <v>8448</v>
      </c>
      <c r="G336" t="s">
        <v>8455</v>
      </c>
    </row>
    <row r="337" spans="1:7">
      <c r="A337" t="s">
        <v>2985</v>
      </c>
      <c r="B337" t="s">
        <v>8273</v>
      </c>
      <c r="C337" t="s">
        <v>8395</v>
      </c>
      <c r="D337" t="s">
        <v>8414</v>
      </c>
      <c r="E337" t="s">
        <v>8446</v>
      </c>
      <c r="F337" t="s">
        <v>8449</v>
      </c>
      <c r="G337" t="s">
        <v>8455</v>
      </c>
    </row>
    <row r="338" spans="1:7">
      <c r="A338" t="s">
        <v>2986</v>
      </c>
      <c r="B338" t="s">
        <v>8273</v>
      </c>
      <c r="C338" t="s">
        <v>8394</v>
      </c>
      <c r="D338" t="s">
        <v>8402</v>
      </c>
      <c r="E338" t="s">
        <v>8445</v>
      </c>
      <c r="F338" t="s">
        <v>8449</v>
      </c>
      <c r="G338" t="s">
        <v>796</v>
      </c>
    </row>
    <row r="339" spans="1:7">
      <c r="A339" t="s">
        <v>2987</v>
      </c>
      <c r="B339" t="s">
        <v>8273</v>
      </c>
      <c r="C339" t="s">
        <v>8398</v>
      </c>
      <c r="D339" t="s">
        <v>8419</v>
      </c>
      <c r="E339" t="s">
        <v>8445</v>
      </c>
      <c r="F339" t="s">
        <v>8448</v>
      </c>
      <c r="G339" t="s">
        <v>8463</v>
      </c>
    </row>
    <row r="340" spans="1:7">
      <c r="A340" t="s">
        <v>2988</v>
      </c>
      <c r="C340" t="s">
        <v>8397</v>
      </c>
      <c r="D340" t="s">
        <v>8418</v>
      </c>
      <c r="E340" t="s">
        <v>8444</v>
      </c>
      <c r="F340" t="s">
        <v>8450</v>
      </c>
      <c r="G340" t="s">
        <v>8520</v>
      </c>
    </row>
    <row r="341" spans="1:7">
      <c r="A341" t="s">
        <v>2989</v>
      </c>
      <c r="B341" t="s">
        <v>8273</v>
      </c>
      <c r="C341" t="s">
        <v>8392</v>
      </c>
      <c r="D341" t="s">
        <v>8415</v>
      </c>
      <c r="E341" t="s">
        <v>1519</v>
      </c>
      <c r="F341" t="s">
        <v>8448</v>
      </c>
      <c r="G341" t="s">
        <v>8521</v>
      </c>
    </row>
    <row r="342" spans="1:7">
      <c r="A342" t="s">
        <v>2990</v>
      </c>
      <c r="C342" t="s">
        <v>8398</v>
      </c>
      <c r="D342" t="s">
        <v>8409</v>
      </c>
      <c r="E342" t="s">
        <v>8445</v>
      </c>
      <c r="F342" t="s">
        <v>8448</v>
      </c>
      <c r="G342" t="s">
        <v>796</v>
      </c>
    </row>
    <row r="343" spans="1:7">
      <c r="A343" t="s">
        <v>2991</v>
      </c>
      <c r="B343" t="s">
        <v>8273</v>
      </c>
      <c r="C343" t="s">
        <v>8392</v>
      </c>
      <c r="D343" t="s">
        <v>8415</v>
      </c>
      <c r="E343" t="s">
        <v>8444</v>
      </c>
      <c r="F343" t="s">
        <v>8449</v>
      </c>
      <c r="G343" t="s">
        <v>8455</v>
      </c>
    </row>
    <row r="344" spans="1:7">
      <c r="A344" t="s">
        <v>2992</v>
      </c>
      <c r="B344" t="s">
        <v>8273</v>
      </c>
      <c r="C344" t="s">
        <v>8392</v>
      </c>
      <c r="D344" t="s">
        <v>8415</v>
      </c>
      <c r="E344" t="s">
        <v>8445</v>
      </c>
      <c r="F344" t="s">
        <v>8448</v>
      </c>
      <c r="G344" t="s">
        <v>8455</v>
      </c>
    </row>
    <row r="345" spans="1:7">
      <c r="A345" t="s">
        <v>2993</v>
      </c>
      <c r="B345" t="s">
        <v>8273</v>
      </c>
      <c r="C345" t="s">
        <v>8392</v>
      </c>
      <c r="D345" t="s">
        <v>8415</v>
      </c>
      <c r="E345" t="s">
        <v>8445</v>
      </c>
      <c r="F345" t="s">
        <v>8448</v>
      </c>
      <c r="G345" t="s">
        <v>8522</v>
      </c>
    </row>
    <row r="346" spans="1:7">
      <c r="A346" t="s">
        <v>2994</v>
      </c>
      <c r="C346" t="s">
        <v>8397</v>
      </c>
      <c r="D346" t="s">
        <v>8421</v>
      </c>
      <c r="E346" t="s">
        <v>8446</v>
      </c>
      <c r="F346" t="s">
        <v>8448</v>
      </c>
      <c r="G346" t="s">
        <v>8523</v>
      </c>
    </row>
    <row r="347" spans="1:7">
      <c r="A347" t="s">
        <v>2995</v>
      </c>
      <c r="B347" t="s">
        <v>8273</v>
      </c>
      <c r="C347" t="s">
        <v>8392</v>
      </c>
      <c r="D347" t="s">
        <v>8415</v>
      </c>
      <c r="E347" t="s">
        <v>8445</v>
      </c>
      <c r="F347" t="s">
        <v>8448</v>
      </c>
      <c r="G347" t="s">
        <v>8524</v>
      </c>
    </row>
    <row r="348" spans="1:7">
      <c r="A348" t="s">
        <v>2996</v>
      </c>
      <c r="B348" t="s">
        <v>8273</v>
      </c>
      <c r="C348" t="s">
        <v>8394</v>
      </c>
      <c r="D348" t="s">
        <v>8407</v>
      </c>
      <c r="E348" t="s">
        <v>8446</v>
      </c>
      <c r="F348" t="s">
        <v>8448</v>
      </c>
      <c r="G348" t="s">
        <v>8455</v>
      </c>
    </row>
    <row r="349" spans="1:7">
      <c r="A349" t="s">
        <v>2997</v>
      </c>
      <c r="B349" t="s">
        <v>8273</v>
      </c>
      <c r="C349" t="s">
        <v>8394</v>
      </c>
      <c r="D349" t="s">
        <v>8414</v>
      </c>
      <c r="E349" t="s">
        <v>8445</v>
      </c>
      <c r="F349" t="s">
        <v>8449</v>
      </c>
      <c r="G349" t="s">
        <v>796</v>
      </c>
    </row>
    <row r="350" spans="1:7">
      <c r="A350" t="s">
        <v>2998</v>
      </c>
      <c r="B350" t="s">
        <v>8273</v>
      </c>
      <c r="C350" t="s">
        <v>8392</v>
      </c>
      <c r="D350" t="s">
        <v>8400</v>
      </c>
      <c r="E350" t="s">
        <v>1587</v>
      </c>
      <c r="F350" t="s">
        <v>8447</v>
      </c>
      <c r="G350" t="s">
        <v>8525</v>
      </c>
    </row>
    <row r="351" spans="1:7">
      <c r="A351" t="s">
        <v>2999</v>
      </c>
      <c r="B351" t="s">
        <v>8295</v>
      </c>
      <c r="C351" t="s">
        <v>8398</v>
      </c>
      <c r="D351" t="s">
        <v>8419</v>
      </c>
      <c r="E351" t="s">
        <v>8444</v>
      </c>
      <c r="F351" t="s">
        <v>8449</v>
      </c>
      <c r="G351" t="s">
        <v>8455</v>
      </c>
    </row>
    <row r="352" spans="1:7">
      <c r="A352" t="s">
        <v>3000</v>
      </c>
      <c r="B352" t="s">
        <v>8273</v>
      </c>
      <c r="C352" t="s">
        <v>8394</v>
      </c>
      <c r="D352" t="s">
        <v>8402</v>
      </c>
      <c r="E352" t="s">
        <v>8446</v>
      </c>
      <c r="F352" t="s">
        <v>8448</v>
      </c>
      <c r="G352" t="s">
        <v>8526</v>
      </c>
    </row>
    <row r="353" spans="1:7">
      <c r="A353" t="s">
        <v>3001</v>
      </c>
      <c r="B353" t="s">
        <v>8273</v>
      </c>
      <c r="C353" t="s">
        <v>8395</v>
      </c>
      <c r="D353" t="s">
        <v>8402</v>
      </c>
      <c r="E353" t="s">
        <v>8446</v>
      </c>
      <c r="F353" t="s">
        <v>8449</v>
      </c>
      <c r="G353" t="s">
        <v>8455</v>
      </c>
    </row>
    <row r="354" spans="1:7">
      <c r="A354" t="s">
        <v>3002</v>
      </c>
      <c r="B354" t="s">
        <v>8273</v>
      </c>
      <c r="C354" t="s">
        <v>8395</v>
      </c>
      <c r="D354" t="s">
        <v>8402</v>
      </c>
      <c r="E354" t="s">
        <v>8446</v>
      </c>
      <c r="F354" t="s">
        <v>8449</v>
      </c>
      <c r="G354" t="s">
        <v>8455</v>
      </c>
    </row>
    <row r="355" spans="1:7">
      <c r="A355" t="s">
        <v>3003</v>
      </c>
      <c r="B355" t="s">
        <v>8273</v>
      </c>
      <c r="C355" t="s">
        <v>8395</v>
      </c>
      <c r="D355" t="s">
        <v>8403</v>
      </c>
      <c r="E355" t="s">
        <v>8446</v>
      </c>
      <c r="F355" t="s">
        <v>8449</v>
      </c>
      <c r="G355" t="s">
        <v>8455</v>
      </c>
    </row>
    <row r="356" spans="1:7">
      <c r="A356" t="s">
        <v>3004</v>
      </c>
      <c r="B356" t="s">
        <v>8273</v>
      </c>
      <c r="C356" t="s">
        <v>8394</v>
      </c>
      <c r="D356" t="s">
        <v>8402</v>
      </c>
      <c r="E356" t="s">
        <v>8445</v>
      </c>
      <c r="F356" t="s">
        <v>8448</v>
      </c>
      <c r="G356" t="s">
        <v>8455</v>
      </c>
    </row>
    <row r="357" spans="1:7">
      <c r="A357" t="s">
        <v>3005</v>
      </c>
      <c r="C357" t="s">
        <v>8393</v>
      </c>
      <c r="D357" t="s">
        <v>8393</v>
      </c>
      <c r="E357" t="s">
        <v>919</v>
      </c>
      <c r="F357" t="s">
        <v>8393</v>
      </c>
    </row>
    <row r="358" spans="1:7">
      <c r="A358" t="s">
        <v>3006</v>
      </c>
      <c r="B358" t="s">
        <v>8273</v>
      </c>
      <c r="C358" t="s">
        <v>8394</v>
      </c>
      <c r="D358" t="s">
        <v>8414</v>
      </c>
      <c r="E358" t="s">
        <v>8444</v>
      </c>
      <c r="F358" t="s">
        <v>8449</v>
      </c>
      <c r="G358" t="s">
        <v>8527</v>
      </c>
    </row>
    <row r="359" spans="1:7">
      <c r="A359" t="s">
        <v>3007</v>
      </c>
      <c r="B359" t="s">
        <v>8277</v>
      </c>
      <c r="C359" t="s">
        <v>8394</v>
      </c>
      <c r="D359" t="s">
        <v>8414</v>
      </c>
      <c r="E359" t="s">
        <v>8446</v>
      </c>
      <c r="F359" t="s">
        <v>8449</v>
      </c>
      <c r="G359" t="s">
        <v>8455</v>
      </c>
    </row>
    <row r="360" spans="1:7">
      <c r="A360" t="s">
        <v>3008</v>
      </c>
      <c r="C360" t="s">
        <v>8397</v>
      </c>
      <c r="D360" t="s">
        <v>8418</v>
      </c>
      <c r="E360" t="s">
        <v>8446</v>
      </c>
      <c r="F360" t="s">
        <v>8448</v>
      </c>
      <c r="G360" t="s">
        <v>8528</v>
      </c>
    </row>
    <row r="361" spans="1:7">
      <c r="A361" t="s">
        <v>3009</v>
      </c>
      <c r="B361" t="s">
        <v>8273</v>
      </c>
      <c r="C361" t="s">
        <v>8392</v>
      </c>
      <c r="D361" t="s">
        <v>8400</v>
      </c>
      <c r="E361" t="s">
        <v>1587</v>
      </c>
      <c r="F361" t="s">
        <v>8447</v>
      </c>
      <c r="G361" t="s">
        <v>8463</v>
      </c>
    </row>
    <row r="362" spans="1:7">
      <c r="A362" t="s">
        <v>3010</v>
      </c>
      <c r="C362" t="s">
        <v>8397</v>
      </c>
      <c r="D362" t="s">
        <v>8408</v>
      </c>
      <c r="E362" t="s">
        <v>8445</v>
      </c>
      <c r="F362" t="s">
        <v>8450</v>
      </c>
    </row>
    <row r="363" spans="1:7">
      <c r="A363" t="s">
        <v>3011</v>
      </c>
      <c r="B363" t="s">
        <v>8273</v>
      </c>
      <c r="C363" t="s">
        <v>8394</v>
      </c>
      <c r="D363" t="s">
        <v>8402</v>
      </c>
      <c r="E363" t="s">
        <v>8446</v>
      </c>
      <c r="F363" t="s">
        <v>8449</v>
      </c>
      <c r="G363" t="s">
        <v>8455</v>
      </c>
    </row>
    <row r="364" spans="1:7">
      <c r="A364" t="s">
        <v>3012</v>
      </c>
      <c r="B364" t="s">
        <v>8273</v>
      </c>
      <c r="C364" t="s">
        <v>8394</v>
      </c>
      <c r="D364" t="s">
        <v>8422</v>
      </c>
      <c r="E364" t="s">
        <v>8444</v>
      </c>
      <c r="F364" t="s">
        <v>8448</v>
      </c>
      <c r="G364" t="s">
        <v>8529</v>
      </c>
    </row>
    <row r="365" spans="1:7">
      <c r="A365" t="s">
        <v>3013</v>
      </c>
      <c r="C365" t="s">
        <v>8397</v>
      </c>
      <c r="D365" t="s">
        <v>8408</v>
      </c>
      <c r="E365" t="s">
        <v>8445</v>
      </c>
      <c r="F365" t="s">
        <v>8450</v>
      </c>
    </row>
    <row r="366" spans="1:7">
      <c r="A366" t="s">
        <v>3014</v>
      </c>
      <c r="C366" t="s">
        <v>8397</v>
      </c>
      <c r="D366" t="s">
        <v>8418</v>
      </c>
      <c r="E366" t="s">
        <v>8445</v>
      </c>
      <c r="F366" t="s">
        <v>8450</v>
      </c>
      <c r="G366" t="s">
        <v>8530</v>
      </c>
    </row>
    <row r="367" spans="1:7">
      <c r="A367" t="s">
        <v>3015</v>
      </c>
      <c r="B367" t="s">
        <v>8273</v>
      </c>
      <c r="C367" t="s">
        <v>8394</v>
      </c>
      <c r="D367" t="s">
        <v>8414</v>
      </c>
      <c r="E367" t="s">
        <v>8444</v>
      </c>
      <c r="F367" t="s">
        <v>8448</v>
      </c>
      <c r="G367" t="s">
        <v>8531</v>
      </c>
    </row>
    <row r="368" spans="1:7">
      <c r="A368" t="s">
        <v>3016</v>
      </c>
      <c r="C368" t="s">
        <v>8393</v>
      </c>
      <c r="D368" t="s">
        <v>8393</v>
      </c>
      <c r="E368" t="s">
        <v>919</v>
      </c>
      <c r="F368" t="s">
        <v>8393</v>
      </c>
    </row>
    <row r="369" spans="1:7">
      <c r="A369" t="s">
        <v>3017</v>
      </c>
      <c r="B369" t="s">
        <v>8273</v>
      </c>
      <c r="C369" t="s">
        <v>8395</v>
      </c>
      <c r="D369" t="s">
        <v>8426</v>
      </c>
      <c r="E369" t="s">
        <v>8446</v>
      </c>
      <c r="F369" t="s">
        <v>8449</v>
      </c>
      <c r="G369" t="s">
        <v>8455</v>
      </c>
    </row>
    <row r="370" spans="1:7">
      <c r="A370" t="s">
        <v>3018</v>
      </c>
      <c r="B370" t="s">
        <v>8285</v>
      </c>
      <c r="C370" t="s">
        <v>8395</v>
      </c>
      <c r="D370" t="s">
        <v>8426</v>
      </c>
      <c r="E370" t="s">
        <v>8446</v>
      </c>
      <c r="F370" t="s">
        <v>8449</v>
      </c>
      <c r="G370" t="s">
        <v>8455</v>
      </c>
    </row>
    <row r="371" spans="1:7">
      <c r="A371" t="s">
        <v>3019</v>
      </c>
      <c r="B371" t="s">
        <v>8277</v>
      </c>
      <c r="C371" t="s">
        <v>8395</v>
      </c>
      <c r="D371" t="s">
        <v>8426</v>
      </c>
      <c r="E371" t="s">
        <v>8446</v>
      </c>
      <c r="F371" t="s">
        <v>8449</v>
      </c>
      <c r="G371" t="s">
        <v>8455</v>
      </c>
    </row>
    <row r="372" spans="1:7">
      <c r="A372" t="s">
        <v>3020</v>
      </c>
      <c r="B372" t="s">
        <v>8273</v>
      </c>
      <c r="C372" t="s">
        <v>8398</v>
      </c>
      <c r="D372" t="s">
        <v>8419</v>
      </c>
      <c r="E372" t="s">
        <v>1587</v>
      </c>
      <c r="F372" t="s">
        <v>8449</v>
      </c>
      <c r="G372" t="s">
        <v>8455</v>
      </c>
    </row>
    <row r="373" spans="1:7">
      <c r="A373" t="s">
        <v>3021</v>
      </c>
      <c r="B373" t="s">
        <v>8273</v>
      </c>
      <c r="C373" t="s">
        <v>8396</v>
      </c>
      <c r="D373" t="s">
        <v>8405</v>
      </c>
      <c r="E373" t="s">
        <v>8444</v>
      </c>
      <c r="F373" t="s">
        <v>8449</v>
      </c>
      <c r="G373" t="s">
        <v>8532</v>
      </c>
    </row>
    <row r="374" spans="1:7">
      <c r="A374" t="s">
        <v>3022</v>
      </c>
      <c r="C374" t="s">
        <v>8394</v>
      </c>
      <c r="D374" t="s">
        <v>8401</v>
      </c>
      <c r="E374" t="s">
        <v>8445</v>
      </c>
      <c r="F374" t="s">
        <v>8448</v>
      </c>
      <c r="G374" t="s">
        <v>8453</v>
      </c>
    </row>
    <row r="375" spans="1:7">
      <c r="A375" t="s">
        <v>3023</v>
      </c>
      <c r="B375" t="s">
        <v>8299</v>
      </c>
      <c r="C375" t="s">
        <v>8397</v>
      </c>
      <c r="D375" t="s">
        <v>8430</v>
      </c>
      <c r="E375" t="s">
        <v>1587</v>
      </c>
      <c r="F375" t="s">
        <v>8449</v>
      </c>
      <c r="G375" t="s">
        <v>8455</v>
      </c>
    </row>
    <row r="376" spans="1:7">
      <c r="A376" t="s">
        <v>3024</v>
      </c>
      <c r="C376" t="s">
        <v>8394</v>
      </c>
      <c r="D376" t="s">
        <v>8402</v>
      </c>
      <c r="E376" t="s">
        <v>8445</v>
      </c>
      <c r="F376" t="s">
        <v>8450</v>
      </c>
      <c r="G376" t="s">
        <v>8533</v>
      </c>
    </row>
    <row r="377" spans="1:7">
      <c r="A377" t="s">
        <v>3025</v>
      </c>
      <c r="C377" t="s">
        <v>8393</v>
      </c>
      <c r="D377" t="s">
        <v>8393</v>
      </c>
      <c r="E377" t="s">
        <v>919</v>
      </c>
      <c r="F377" t="s">
        <v>8393</v>
      </c>
    </row>
    <row r="378" spans="1:7">
      <c r="A378" t="s">
        <v>3026</v>
      </c>
      <c r="B378" t="s">
        <v>8273</v>
      </c>
      <c r="C378" t="s">
        <v>8395</v>
      </c>
      <c r="D378" t="s">
        <v>8427</v>
      </c>
      <c r="E378" t="s">
        <v>8446</v>
      </c>
      <c r="F378" t="s">
        <v>8448</v>
      </c>
      <c r="G378" t="s">
        <v>8455</v>
      </c>
    </row>
    <row r="379" spans="1:7">
      <c r="A379" t="s">
        <v>3027</v>
      </c>
      <c r="B379" t="s">
        <v>8277</v>
      </c>
      <c r="C379" t="s">
        <v>8395</v>
      </c>
      <c r="D379" t="s">
        <v>8427</v>
      </c>
      <c r="E379" t="s">
        <v>8446</v>
      </c>
      <c r="F379" t="s">
        <v>8448</v>
      </c>
      <c r="G379" t="s">
        <v>8455</v>
      </c>
    </row>
    <row r="380" spans="1:7">
      <c r="A380" t="s">
        <v>3028</v>
      </c>
      <c r="C380" t="s">
        <v>8396</v>
      </c>
      <c r="D380" t="s">
        <v>8411</v>
      </c>
      <c r="E380" t="s">
        <v>8444</v>
      </c>
      <c r="F380" t="s">
        <v>8447</v>
      </c>
      <c r="G380" t="s">
        <v>8534</v>
      </c>
    </row>
    <row r="381" spans="1:7">
      <c r="A381" t="s">
        <v>3029</v>
      </c>
      <c r="B381" t="s">
        <v>8273</v>
      </c>
      <c r="C381" t="s">
        <v>8395</v>
      </c>
      <c r="D381" t="s">
        <v>8400</v>
      </c>
      <c r="E381" t="s">
        <v>8446</v>
      </c>
      <c r="F381" t="s">
        <v>8448</v>
      </c>
      <c r="G381" t="s">
        <v>8455</v>
      </c>
    </row>
    <row r="382" spans="1:7">
      <c r="A382" t="s">
        <v>3030</v>
      </c>
      <c r="C382" t="s">
        <v>8394</v>
      </c>
      <c r="D382" t="s">
        <v>8416</v>
      </c>
      <c r="E382" t="s">
        <v>8444</v>
      </c>
      <c r="F382" t="s">
        <v>8448</v>
      </c>
      <c r="G382" t="s">
        <v>8535</v>
      </c>
    </row>
    <row r="383" spans="1:7">
      <c r="A383" t="s">
        <v>3031</v>
      </c>
      <c r="C383" t="s">
        <v>8393</v>
      </c>
      <c r="D383" t="s">
        <v>8393</v>
      </c>
      <c r="E383" t="s">
        <v>919</v>
      </c>
      <c r="F383" t="s">
        <v>8393</v>
      </c>
    </row>
    <row r="384" spans="1:7">
      <c r="A384" t="s">
        <v>3032</v>
      </c>
      <c r="B384" t="s">
        <v>8273</v>
      </c>
      <c r="C384" t="s">
        <v>8397</v>
      </c>
      <c r="D384" t="s">
        <v>8421</v>
      </c>
      <c r="E384" t="s">
        <v>8446</v>
      </c>
      <c r="F384" t="s">
        <v>8449</v>
      </c>
      <c r="G384" t="s">
        <v>8455</v>
      </c>
    </row>
    <row r="385" spans="1:7">
      <c r="A385" t="s">
        <v>3033</v>
      </c>
      <c r="B385" t="s">
        <v>8300</v>
      </c>
      <c r="C385" t="s">
        <v>8397</v>
      </c>
      <c r="D385" t="s">
        <v>8421</v>
      </c>
      <c r="E385" t="s">
        <v>8446</v>
      </c>
      <c r="F385" t="s">
        <v>8449</v>
      </c>
      <c r="G385" t="s">
        <v>8455</v>
      </c>
    </row>
    <row r="386" spans="1:7">
      <c r="A386" t="s">
        <v>3034</v>
      </c>
      <c r="B386" t="s">
        <v>8285</v>
      </c>
      <c r="C386" t="s">
        <v>8397</v>
      </c>
      <c r="D386" t="s">
        <v>8421</v>
      </c>
      <c r="E386" t="s">
        <v>8446</v>
      </c>
      <c r="F386" t="s">
        <v>8449</v>
      </c>
      <c r="G386" t="s">
        <v>8455</v>
      </c>
    </row>
    <row r="387" spans="1:7">
      <c r="A387" t="s">
        <v>3035</v>
      </c>
      <c r="B387" t="s">
        <v>8273</v>
      </c>
      <c r="C387" t="s">
        <v>8397</v>
      </c>
      <c r="D387" t="s">
        <v>8421</v>
      </c>
      <c r="E387" t="s">
        <v>8446</v>
      </c>
      <c r="F387" t="s">
        <v>8449</v>
      </c>
      <c r="G387" t="s">
        <v>8455</v>
      </c>
    </row>
    <row r="388" spans="1:7">
      <c r="A388" t="s">
        <v>3036</v>
      </c>
      <c r="B388" t="s">
        <v>8273</v>
      </c>
      <c r="C388" t="s">
        <v>8394</v>
      </c>
      <c r="D388" t="s">
        <v>8401</v>
      </c>
      <c r="E388" t="s">
        <v>8445</v>
      </c>
      <c r="F388" t="s">
        <v>8448</v>
      </c>
      <c r="G388" t="s">
        <v>8536</v>
      </c>
    </row>
    <row r="389" spans="1:7">
      <c r="A389" t="s">
        <v>3037</v>
      </c>
      <c r="C389" t="s">
        <v>8394</v>
      </c>
      <c r="D389" t="s">
        <v>8401</v>
      </c>
      <c r="E389" t="s">
        <v>8445</v>
      </c>
      <c r="F389" t="s">
        <v>8448</v>
      </c>
      <c r="G389" t="s">
        <v>8537</v>
      </c>
    </row>
    <row r="390" spans="1:7">
      <c r="A390" t="s">
        <v>3038</v>
      </c>
      <c r="B390" t="s">
        <v>8273</v>
      </c>
      <c r="C390" t="s">
        <v>8395</v>
      </c>
      <c r="D390" t="s">
        <v>8427</v>
      </c>
      <c r="E390" t="s">
        <v>8446</v>
      </c>
      <c r="F390" t="s">
        <v>8449</v>
      </c>
      <c r="G390" t="s">
        <v>796</v>
      </c>
    </row>
    <row r="391" spans="1:7">
      <c r="A391" t="s">
        <v>3039</v>
      </c>
      <c r="B391" t="s">
        <v>8273</v>
      </c>
      <c r="C391" t="s">
        <v>8396</v>
      </c>
      <c r="D391" t="s">
        <v>8404</v>
      </c>
      <c r="E391" t="s">
        <v>8446</v>
      </c>
      <c r="F391" t="s">
        <v>8449</v>
      </c>
      <c r="G391" t="s">
        <v>8455</v>
      </c>
    </row>
    <row r="392" spans="1:7">
      <c r="A392" t="s">
        <v>3040</v>
      </c>
      <c r="B392" t="s">
        <v>8273</v>
      </c>
      <c r="C392" t="s">
        <v>8392</v>
      </c>
      <c r="D392" t="s">
        <v>8415</v>
      </c>
      <c r="E392" t="s">
        <v>8446</v>
      </c>
      <c r="F392" t="s">
        <v>8448</v>
      </c>
      <c r="G392" t="s">
        <v>8455</v>
      </c>
    </row>
    <row r="393" spans="1:7">
      <c r="A393" t="s">
        <v>3041</v>
      </c>
      <c r="B393" t="s">
        <v>8273</v>
      </c>
      <c r="C393" t="s">
        <v>8395</v>
      </c>
      <c r="D393" t="s">
        <v>8420</v>
      </c>
      <c r="E393" t="s">
        <v>8446</v>
      </c>
      <c r="F393" t="s">
        <v>8448</v>
      </c>
      <c r="G393" t="s">
        <v>8455</v>
      </c>
    </row>
    <row r="394" spans="1:7">
      <c r="A394" t="s">
        <v>3042</v>
      </c>
      <c r="C394" t="s">
        <v>8395</v>
      </c>
      <c r="D394" t="s">
        <v>8400</v>
      </c>
      <c r="E394" t="s">
        <v>8445</v>
      </c>
      <c r="F394" t="s">
        <v>8449</v>
      </c>
      <c r="G394" t="s">
        <v>8455</v>
      </c>
    </row>
    <row r="395" spans="1:7">
      <c r="A395" t="s">
        <v>3043</v>
      </c>
      <c r="B395" t="s">
        <v>8273</v>
      </c>
      <c r="C395" t="s">
        <v>8395</v>
      </c>
      <c r="D395" t="s">
        <v>8411</v>
      </c>
      <c r="E395" t="s">
        <v>8445</v>
      </c>
      <c r="F395" t="s">
        <v>8448</v>
      </c>
      <c r="G395" t="s">
        <v>8455</v>
      </c>
    </row>
    <row r="396" spans="1:7">
      <c r="A396" t="s">
        <v>3044</v>
      </c>
      <c r="C396" t="s">
        <v>8393</v>
      </c>
      <c r="D396" t="s">
        <v>8393</v>
      </c>
      <c r="E396" t="s">
        <v>919</v>
      </c>
      <c r="F396" t="s">
        <v>8393</v>
      </c>
    </row>
    <row r="397" spans="1:7">
      <c r="A397" t="s">
        <v>3045</v>
      </c>
      <c r="B397" t="s">
        <v>8278</v>
      </c>
      <c r="C397" t="s">
        <v>8394</v>
      </c>
      <c r="D397" t="s">
        <v>8423</v>
      </c>
      <c r="E397" t="s">
        <v>8446</v>
      </c>
      <c r="F397" t="s">
        <v>8449</v>
      </c>
      <c r="G397" t="s">
        <v>8455</v>
      </c>
    </row>
    <row r="398" spans="1:7">
      <c r="A398" t="s">
        <v>3046</v>
      </c>
      <c r="B398" t="s">
        <v>8278</v>
      </c>
      <c r="C398" t="s">
        <v>8394</v>
      </c>
      <c r="D398" t="s">
        <v>8423</v>
      </c>
      <c r="E398" t="s">
        <v>8446</v>
      </c>
      <c r="F398" t="s">
        <v>8449</v>
      </c>
      <c r="G398" t="s">
        <v>8455</v>
      </c>
    </row>
    <row r="399" spans="1:7">
      <c r="A399" t="s">
        <v>3047</v>
      </c>
      <c r="B399" t="s">
        <v>8284</v>
      </c>
      <c r="C399" t="s">
        <v>8394</v>
      </c>
      <c r="D399" t="s">
        <v>8423</v>
      </c>
      <c r="E399" t="s">
        <v>8446</v>
      </c>
      <c r="F399" t="s">
        <v>8449</v>
      </c>
      <c r="G399" t="s">
        <v>8455</v>
      </c>
    </row>
    <row r="400" spans="1:7">
      <c r="A400" t="s">
        <v>3048</v>
      </c>
      <c r="B400" t="s">
        <v>8279</v>
      </c>
      <c r="C400" t="s">
        <v>8394</v>
      </c>
      <c r="D400" t="s">
        <v>8423</v>
      </c>
      <c r="E400" t="s">
        <v>8446</v>
      </c>
      <c r="F400" t="s">
        <v>8449</v>
      </c>
      <c r="G400" t="s">
        <v>8455</v>
      </c>
    </row>
    <row r="401" spans="1:7">
      <c r="A401" t="s">
        <v>3049</v>
      </c>
      <c r="C401" t="s">
        <v>8397</v>
      </c>
      <c r="D401" t="s">
        <v>8431</v>
      </c>
      <c r="E401" t="s">
        <v>8446</v>
      </c>
      <c r="F401" t="s">
        <v>8448</v>
      </c>
      <c r="G401" t="s">
        <v>796</v>
      </c>
    </row>
    <row r="402" spans="1:7">
      <c r="A402" t="s">
        <v>3050</v>
      </c>
      <c r="B402" t="s">
        <v>8273</v>
      </c>
      <c r="C402" t="s">
        <v>8392</v>
      </c>
      <c r="D402" t="s">
        <v>8415</v>
      </c>
      <c r="E402" t="s">
        <v>8445</v>
      </c>
      <c r="F402" t="s">
        <v>8448</v>
      </c>
      <c r="G402" t="s">
        <v>795</v>
      </c>
    </row>
    <row r="403" spans="1:7">
      <c r="A403" t="s">
        <v>3051</v>
      </c>
      <c r="C403" t="s">
        <v>8393</v>
      </c>
      <c r="D403" t="s">
        <v>8393</v>
      </c>
      <c r="E403" t="s">
        <v>919</v>
      </c>
      <c r="F403" t="s">
        <v>8393</v>
      </c>
    </row>
    <row r="404" spans="1:7">
      <c r="A404" t="s">
        <v>3052</v>
      </c>
      <c r="B404" t="s">
        <v>8273</v>
      </c>
      <c r="C404" t="s">
        <v>8395</v>
      </c>
      <c r="D404" t="s">
        <v>8414</v>
      </c>
      <c r="E404" t="s">
        <v>8446</v>
      </c>
      <c r="F404" t="s">
        <v>8449</v>
      </c>
      <c r="G404" t="s">
        <v>796</v>
      </c>
    </row>
    <row r="405" spans="1:7">
      <c r="A405" t="s">
        <v>3053</v>
      </c>
      <c r="B405" t="s">
        <v>8277</v>
      </c>
      <c r="C405" t="s">
        <v>8395</v>
      </c>
      <c r="D405" t="s">
        <v>8414</v>
      </c>
      <c r="E405" t="s">
        <v>8446</v>
      </c>
      <c r="F405" t="s">
        <v>8449</v>
      </c>
      <c r="G405" t="s">
        <v>796</v>
      </c>
    </row>
    <row r="406" spans="1:7">
      <c r="A406" t="s">
        <v>3054</v>
      </c>
      <c r="C406" t="s">
        <v>8398</v>
      </c>
      <c r="D406" t="s">
        <v>8419</v>
      </c>
      <c r="E406" t="s">
        <v>8446</v>
      </c>
      <c r="F406" t="s">
        <v>8448</v>
      </c>
      <c r="G406" t="s">
        <v>8519</v>
      </c>
    </row>
    <row r="407" spans="1:7">
      <c r="A407" t="s">
        <v>3055</v>
      </c>
      <c r="C407" t="s">
        <v>8394</v>
      </c>
      <c r="D407" t="s">
        <v>8416</v>
      </c>
      <c r="E407" t="s">
        <v>8444</v>
      </c>
      <c r="F407" t="s">
        <v>8448</v>
      </c>
      <c r="G407" t="s">
        <v>8538</v>
      </c>
    </row>
    <row r="408" spans="1:7">
      <c r="A408" t="s">
        <v>3056</v>
      </c>
      <c r="B408" t="s">
        <v>8273</v>
      </c>
      <c r="C408" t="s">
        <v>8394</v>
      </c>
      <c r="D408" t="s">
        <v>8407</v>
      </c>
      <c r="E408" t="s">
        <v>8445</v>
      </c>
      <c r="F408" t="s">
        <v>8448</v>
      </c>
      <c r="G408" t="s">
        <v>8455</v>
      </c>
    </row>
    <row r="409" spans="1:7">
      <c r="A409" t="s">
        <v>3057</v>
      </c>
      <c r="B409" t="s">
        <v>8301</v>
      </c>
      <c r="C409" t="s">
        <v>8394</v>
      </c>
      <c r="D409" t="s">
        <v>8402</v>
      </c>
      <c r="E409" t="s">
        <v>8444</v>
      </c>
      <c r="F409" t="s">
        <v>8448</v>
      </c>
      <c r="G409" t="s">
        <v>8539</v>
      </c>
    </row>
    <row r="410" spans="1:7">
      <c r="A410" t="s">
        <v>3058</v>
      </c>
      <c r="B410" t="s">
        <v>8273</v>
      </c>
      <c r="C410" t="s">
        <v>8396</v>
      </c>
      <c r="D410" t="s">
        <v>8426</v>
      </c>
      <c r="E410" t="s">
        <v>8444</v>
      </c>
      <c r="F410" t="s">
        <v>8449</v>
      </c>
      <c r="G410" t="s">
        <v>8455</v>
      </c>
    </row>
    <row r="411" spans="1:7">
      <c r="A411" t="s">
        <v>3059</v>
      </c>
      <c r="C411" t="s">
        <v>8393</v>
      </c>
      <c r="D411" t="s">
        <v>8393</v>
      </c>
      <c r="E411" t="s">
        <v>919</v>
      </c>
      <c r="F411" t="s">
        <v>8393</v>
      </c>
    </row>
    <row r="412" spans="1:7">
      <c r="A412" t="s">
        <v>3060</v>
      </c>
      <c r="B412" t="s">
        <v>8275</v>
      </c>
      <c r="C412" t="s">
        <v>8395</v>
      </c>
      <c r="D412" t="s">
        <v>8420</v>
      </c>
      <c r="E412" t="s">
        <v>8446</v>
      </c>
      <c r="F412" t="s">
        <v>8449</v>
      </c>
      <c r="G412" t="s">
        <v>8540</v>
      </c>
    </row>
    <row r="413" spans="1:7">
      <c r="A413" t="s">
        <v>3061</v>
      </c>
      <c r="B413" t="s">
        <v>8282</v>
      </c>
      <c r="C413" t="s">
        <v>8395</v>
      </c>
      <c r="D413" t="s">
        <v>8420</v>
      </c>
      <c r="E413" t="s">
        <v>8446</v>
      </c>
      <c r="F413" t="s">
        <v>8449</v>
      </c>
      <c r="G413" t="s">
        <v>8475</v>
      </c>
    </row>
    <row r="414" spans="1:7">
      <c r="A414" t="s">
        <v>3062</v>
      </c>
      <c r="B414" t="s">
        <v>8275</v>
      </c>
      <c r="C414" t="s">
        <v>8395</v>
      </c>
      <c r="D414" t="s">
        <v>8400</v>
      </c>
      <c r="E414" t="s">
        <v>8446</v>
      </c>
      <c r="F414" t="s">
        <v>8449</v>
      </c>
      <c r="G414" t="s">
        <v>8455</v>
      </c>
    </row>
    <row r="415" spans="1:7">
      <c r="A415" t="s">
        <v>3063</v>
      </c>
      <c r="B415" t="s">
        <v>8275</v>
      </c>
      <c r="C415" t="s">
        <v>8395</v>
      </c>
      <c r="D415" t="s">
        <v>8411</v>
      </c>
      <c r="E415" t="s">
        <v>8446</v>
      </c>
      <c r="F415" t="s">
        <v>8449</v>
      </c>
      <c r="G415" t="s">
        <v>8541</v>
      </c>
    </row>
    <row r="416" spans="1:7">
      <c r="A416" t="s">
        <v>3064</v>
      </c>
      <c r="B416" t="s">
        <v>8273</v>
      </c>
      <c r="C416" t="s">
        <v>8394</v>
      </c>
      <c r="D416" t="s">
        <v>8407</v>
      </c>
      <c r="E416" t="s">
        <v>8445</v>
      </c>
      <c r="F416" t="s">
        <v>8448</v>
      </c>
      <c r="G416" t="s">
        <v>795</v>
      </c>
    </row>
    <row r="417" spans="1:7">
      <c r="A417" t="s">
        <v>3065</v>
      </c>
      <c r="C417" t="s">
        <v>8394</v>
      </c>
      <c r="D417" t="s">
        <v>8416</v>
      </c>
      <c r="E417" t="s">
        <v>8446</v>
      </c>
      <c r="F417" t="s">
        <v>8448</v>
      </c>
      <c r="G417" t="s">
        <v>8542</v>
      </c>
    </row>
    <row r="418" spans="1:7">
      <c r="A418" t="s">
        <v>3066</v>
      </c>
      <c r="C418" t="s">
        <v>8394</v>
      </c>
      <c r="D418" t="s">
        <v>8416</v>
      </c>
      <c r="E418" t="s">
        <v>8444</v>
      </c>
      <c r="F418" t="s">
        <v>8448</v>
      </c>
      <c r="G418" t="s">
        <v>8543</v>
      </c>
    </row>
    <row r="419" spans="1:7">
      <c r="A419" t="s">
        <v>3067</v>
      </c>
      <c r="B419" t="s">
        <v>8273</v>
      </c>
      <c r="C419" t="s">
        <v>8394</v>
      </c>
      <c r="D419" t="s">
        <v>8407</v>
      </c>
      <c r="E419" t="s">
        <v>8444</v>
      </c>
      <c r="F419" t="s">
        <v>8448</v>
      </c>
      <c r="G419" t="s">
        <v>8455</v>
      </c>
    </row>
    <row r="420" spans="1:7">
      <c r="A420" t="s">
        <v>3068</v>
      </c>
      <c r="C420" t="s">
        <v>8397</v>
      </c>
      <c r="D420" t="s">
        <v>8421</v>
      </c>
      <c r="E420" t="s">
        <v>8446</v>
      </c>
      <c r="F420" t="s">
        <v>8448</v>
      </c>
      <c r="G420" t="s">
        <v>8544</v>
      </c>
    </row>
    <row r="421" spans="1:7">
      <c r="A421" t="s">
        <v>3069</v>
      </c>
      <c r="C421" t="s">
        <v>8397</v>
      </c>
      <c r="D421" t="s">
        <v>8408</v>
      </c>
      <c r="E421" t="s">
        <v>8445</v>
      </c>
      <c r="F421" t="s">
        <v>8450</v>
      </c>
      <c r="G421" t="s">
        <v>8545</v>
      </c>
    </row>
    <row r="422" spans="1:7">
      <c r="A422" t="s">
        <v>3070</v>
      </c>
      <c r="B422" t="s">
        <v>8299</v>
      </c>
      <c r="C422" t="s">
        <v>8397</v>
      </c>
      <c r="D422" t="s">
        <v>8430</v>
      </c>
      <c r="E422" t="s">
        <v>1519</v>
      </c>
      <c r="F422" t="s">
        <v>8449</v>
      </c>
      <c r="G422" t="s">
        <v>795</v>
      </c>
    </row>
    <row r="423" spans="1:7">
      <c r="A423" t="s">
        <v>3071</v>
      </c>
      <c r="B423" t="s">
        <v>8273</v>
      </c>
      <c r="C423" t="s">
        <v>8397</v>
      </c>
      <c r="D423" t="s">
        <v>8421</v>
      </c>
      <c r="E423" t="s">
        <v>8446</v>
      </c>
      <c r="F423" t="s">
        <v>8448</v>
      </c>
      <c r="G423" t="s">
        <v>8455</v>
      </c>
    </row>
    <row r="424" spans="1:7">
      <c r="A424" t="s">
        <v>3072</v>
      </c>
      <c r="B424" t="s">
        <v>8296</v>
      </c>
      <c r="C424" t="s">
        <v>8397</v>
      </c>
      <c r="D424" t="s">
        <v>8418</v>
      </c>
      <c r="E424" t="s">
        <v>8445</v>
      </c>
      <c r="F424" t="s">
        <v>8448</v>
      </c>
      <c r="G424" t="s">
        <v>8453</v>
      </c>
    </row>
    <row r="425" spans="1:7">
      <c r="A425" t="s">
        <v>3073</v>
      </c>
      <c r="B425" t="s">
        <v>8288</v>
      </c>
      <c r="C425" t="s">
        <v>8395</v>
      </c>
      <c r="D425" t="s">
        <v>8400</v>
      </c>
      <c r="E425" t="s">
        <v>8444</v>
      </c>
      <c r="F425" t="s">
        <v>8448</v>
      </c>
      <c r="G425" t="s">
        <v>796</v>
      </c>
    </row>
    <row r="426" spans="1:7">
      <c r="A426" t="s">
        <v>3074</v>
      </c>
      <c r="C426" t="s">
        <v>8397</v>
      </c>
      <c r="D426" t="s">
        <v>8408</v>
      </c>
      <c r="E426" t="s">
        <v>8445</v>
      </c>
      <c r="F426" t="s">
        <v>8450</v>
      </c>
    </row>
    <row r="427" spans="1:7">
      <c r="A427" t="s">
        <v>3075</v>
      </c>
      <c r="C427" t="s">
        <v>8395</v>
      </c>
      <c r="D427" t="s">
        <v>8400</v>
      </c>
      <c r="E427" t="s">
        <v>1587</v>
      </c>
      <c r="F427" t="s">
        <v>8449</v>
      </c>
      <c r="G427" t="s">
        <v>795</v>
      </c>
    </row>
    <row r="428" spans="1:7">
      <c r="A428" t="s">
        <v>3076</v>
      </c>
      <c r="B428" t="s">
        <v>8273</v>
      </c>
      <c r="C428" t="s">
        <v>8398</v>
      </c>
      <c r="D428" t="s">
        <v>8419</v>
      </c>
      <c r="E428" t="s">
        <v>8445</v>
      </c>
      <c r="F428" t="s">
        <v>8449</v>
      </c>
      <c r="G428" t="s">
        <v>8455</v>
      </c>
    </row>
    <row r="429" spans="1:7">
      <c r="A429" t="s">
        <v>3077</v>
      </c>
      <c r="C429" t="s">
        <v>8393</v>
      </c>
      <c r="D429" t="s">
        <v>8393</v>
      </c>
      <c r="E429" t="s">
        <v>919</v>
      </c>
      <c r="F429" t="s">
        <v>8393</v>
      </c>
    </row>
    <row r="430" spans="1:7">
      <c r="A430" t="s">
        <v>3078</v>
      </c>
      <c r="B430" t="s">
        <v>8302</v>
      </c>
      <c r="C430" t="s">
        <v>8395</v>
      </c>
      <c r="D430" t="s">
        <v>8423</v>
      </c>
      <c r="E430" t="s">
        <v>8444</v>
      </c>
      <c r="F430" t="s">
        <v>8449</v>
      </c>
      <c r="G430" t="s">
        <v>8455</v>
      </c>
    </row>
    <row r="431" spans="1:7">
      <c r="A431" t="s">
        <v>3079</v>
      </c>
      <c r="B431" t="s">
        <v>8303</v>
      </c>
      <c r="C431" t="s">
        <v>8395</v>
      </c>
      <c r="D431" t="s">
        <v>8423</v>
      </c>
      <c r="E431" t="s">
        <v>8444</v>
      </c>
      <c r="F431" t="s">
        <v>8449</v>
      </c>
      <c r="G431" t="s">
        <v>8455</v>
      </c>
    </row>
    <row r="432" spans="1:7">
      <c r="A432" t="s">
        <v>3080</v>
      </c>
      <c r="B432" t="s">
        <v>8304</v>
      </c>
      <c r="C432" t="s">
        <v>8395</v>
      </c>
      <c r="D432" t="s">
        <v>8423</v>
      </c>
      <c r="E432" t="s">
        <v>8444</v>
      </c>
      <c r="F432" t="s">
        <v>8449</v>
      </c>
      <c r="G432" t="s">
        <v>8455</v>
      </c>
    </row>
    <row r="433" spans="1:7">
      <c r="A433" t="s">
        <v>3081</v>
      </c>
      <c r="B433" t="s">
        <v>8305</v>
      </c>
      <c r="C433" t="s">
        <v>8394</v>
      </c>
      <c r="D433" t="s">
        <v>8414</v>
      </c>
      <c r="E433" t="s">
        <v>8445</v>
      </c>
      <c r="F433" t="s">
        <v>8449</v>
      </c>
      <c r="G433" t="s">
        <v>8455</v>
      </c>
    </row>
    <row r="434" spans="1:7">
      <c r="A434" t="s">
        <v>3082</v>
      </c>
      <c r="B434" t="s">
        <v>8302</v>
      </c>
      <c r="C434" t="s">
        <v>8395</v>
      </c>
      <c r="D434" t="s">
        <v>8423</v>
      </c>
      <c r="E434" t="s">
        <v>8444</v>
      </c>
      <c r="F434" t="s">
        <v>8448</v>
      </c>
      <c r="G434" t="s">
        <v>8455</v>
      </c>
    </row>
    <row r="435" spans="1:7">
      <c r="A435" t="s">
        <v>3083</v>
      </c>
      <c r="B435" t="s">
        <v>8302</v>
      </c>
      <c r="C435" t="s">
        <v>8395</v>
      </c>
      <c r="D435" t="s">
        <v>8423</v>
      </c>
      <c r="E435" t="s">
        <v>8446</v>
      </c>
      <c r="F435" t="s">
        <v>8448</v>
      </c>
      <c r="G435" t="s">
        <v>8455</v>
      </c>
    </row>
    <row r="436" spans="1:7">
      <c r="A436" t="s">
        <v>3084</v>
      </c>
      <c r="B436" t="s">
        <v>8302</v>
      </c>
      <c r="C436" t="s">
        <v>8395</v>
      </c>
      <c r="D436" t="s">
        <v>8423</v>
      </c>
      <c r="E436" t="s">
        <v>8444</v>
      </c>
      <c r="F436" t="s">
        <v>8449</v>
      </c>
      <c r="G436" t="s">
        <v>8455</v>
      </c>
    </row>
    <row r="437" spans="1:7">
      <c r="A437" t="s">
        <v>3085</v>
      </c>
      <c r="B437" t="s">
        <v>8306</v>
      </c>
      <c r="C437" t="s">
        <v>8395</v>
      </c>
      <c r="D437" t="s">
        <v>8414</v>
      </c>
      <c r="E437" t="s">
        <v>8445</v>
      </c>
      <c r="F437" t="s">
        <v>8449</v>
      </c>
      <c r="G437" t="s">
        <v>8546</v>
      </c>
    </row>
    <row r="438" spans="1:7">
      <c r="A438" t="s">
        <v>3086</v>
      </c>
      <c r="B438" t="s">
        <v>8306</v>
      </c>
      <c r="C438" t="s">
        <v>8394</v>
      </c>
      <c r="D438" t="s">
        <v>8414</v>
      </c>
      <c r="E438" t="s">
        <v>8445</v>
      </c>
      <c r="F438" t="s">
        <v>8448</v>
      </c>
      <c r="G438" t="s">
        <v>8547</v>
      </c>
    </row>
    <row r="439" spans="1:7">
      <c r="A439" t="s">
        <v>3087</v>
      </c>
      <c r="B439" t="s">
        <v>8307</v>
      </c>
      <c r="C439" t="s">
        <v>8394</v>
      </c>
      <c r="D439" t="s">
        <v>8414</v>
      </c>
      <c r="E439" t="s">
        <v>8445</v>
      </c>
      <c r="F439" t="s">
        <v>8449</v>
      </c>
      <c r="G439" t="s">
        <v>8455</v>
      </c>
    </row>
    <row r="440" spans="1:7">
      <c r="A440" t="s">
        <v>3088</v>
      </c>
      <c r="C440" t="s">
        <v>8393</v>
      </c>
      <c r="D440" t="s">
        <v>8393</v>
      </c>
      <c r="E440" t="s">
        <v>919</v>
      </c>
      <c r="F440" t="s">
        <v>8393</v>
      </c>
    </row>
    <row r="441" spans="1:7">
      <c r="A441" t="s">
        <v>3089</v>
      </c>
      <c r="B441" t="s">
        <v>8302</v>
      </c>
      <c r="C441" t="s">
        <v>8394</v>
      </c>
      <c r="D441" t="s">
        <v>8414</v>
      </c>
      <c r="E441" t="s">
        <v>8444</v>
      </c>
      <c r="F441" t="s">
        <v>8449</v>
      </c>
      <c r="G441" t="s">
        <v>8455</v>
      </c>
    </row>
    <row r="442" spans="1:7">
      <c r="A442" t="s">
        <v>3090</v>
      </c>
      <c r="B442" t="s">
        <v>8308</v>
      </c>
      <c r="C442" t="s">
        <v>8394</v>
      </c>
      <c r="D442" t="s">
        <v>8414</v>
      </c>
      <c r="E442" t="s">
        <v>8444</v>
      </c>
      <c r="F442" t="s">
        <v>8449</v>
      </c>
      <c r="G442" t="s">
        <v>8455</v>
      </c>
    </row>
    <row r="443" spans="1:7">
      <c r="A443" t="s">
        <v>3091</v>
      </c>
      <c r="B443" t="s">
        <v>8304</v>
      </c>
      <c r="C443" t="s">
        <v>8394</v>
      </c>
      <c r="D443" t="s">
        <v>8414</v>
      </c>
      <c r="E443" t="s">
        <v>8444</v>
      </c>
      <c r="F443" t="s">
        <v>8449</v>
      </c>
      <c r="G443" t="s">
        <v>8455</v>
      </c>
    </row>
    <row r="444" spans="1:7">
      <c r="A444" t="s">
        <v>3092</v>
      </c>
      <c r="B444" t="s">
        <v>8306</v>
      </c>
      <c r="C444" t="s">
        <v>8392</v>
      </c>
      <c r="D444" t="s">
        <v>8400</v>
      </c>
      <c r="E444" t="s">
        <v>8445</v>
      </c>
      <c r="F444" t="s">
        <v>8449</v>
      </c>
      <c r="G444" t="s">
        <v>796</v>
      </c>
    </row>
    <row r="445" spans="1:7">
      <c r="A445" t="s">
        <v>3093</v>
      </c>
      <c r="B445" t="s">
        <v>8306</v>
      </c>
      <c r="C445" t="s">
        <v>8392</v>
      </c>
      <c r="D445" t="s">
        <v>8400</v>
      </c>
      <c r="E445" t="s">
        <v>8445</v>
      </c>
      <c r="F445" t="s">
        <v>8449</v>
      </c>
      <c r="G445" t="s">
        <v>796</v>
      </c>
    </row>
    <row r="446" spans="1:7">
      <c r="A446" t="s">
        <v>3094</v>
      </c>
      <c r="B446" t="s">
        <v>8306</v>
      </c>
      <c r="C446" t="s">
        <v>8392</v>
      </c>
      <c r="D446" t="s">
        <v>8400</v>
      </c>
      <c r="E446" t="s">
        <v>8445</v>
      </c>
      <c r="F446" t="s">
        <v>8449</v>
      </c>
      <c r="G446" t="s">
        <v>796</v>
      </c>
    </row>
    <row r="447" spans="1:7">
      <c r="A447" t="s">
        <v>3095</v>
      </c>
      <c r="B447" t="s">
        <v>8306</v>
      </c>
      <c r="C447" t="s">
        <v>8392</v>
      </c>
      <c r="D447" t="s">
        <v>8400</v>
      </c>
      <c r="E447" t="s">
        <v>8445</v>
      </c>
      <c r="F447" t="s">
        <v>8449</v>
      </c>
      <c r="G447" t="s">
        <v>796</v>
      </c>
    </row>
    <row r="448" spans="1:7">
      <c r="A448" t="s">
        <v>3096</v>
      </c>
      <c r="B448" t="s">
        <v>8306</v>
      </c>
      <c r="C448" t="s">
        <v>8394</v>
      </c>
      <c r="D448" t="s">
        <v>8424</v>
      </c>
      <c r="E448" t="s">
        <v>8445</v>
      </c>
      <c r="F448" t="s">
        <v>8449</v>
      </c>
      <c r="G448" t="s">
        <v>796</v>
      </c>
    </row>
    <row r="449" spans="1:7">
      <c r="A449" t="s">
        <v>3097</v>
      </c>
      <c r="C449" t="s">
        <v>8397</v>
      </c>
      <c r="D449" t="s">
        <v>8418</v>
      </c>
      <c r="E449" t="s">
        <v>8445</v>
      </c>
      <c r="F449" t="s">
        <v>8448</v>
      </c>
      <c r="G449" t="s">
        <v>8548</v>
      </c>
    </row>
    <row r="450" spans="1:7">
      <c r="A450" t="s">
        <v>3098</v>
      </c>
      <c r="C450" t="s">
        <v>8392</v>
      </c>
      <c r="D450" t="s">
        <v>8400</v>
      </c>
      <c r="E450" t="s">
        <v>1587</v>
      </c>
      <c r="F450" t="s">
        <v>8447</v>
      </c>
      <c r="G450" t="s">
        <v>8463</v>
      </c>
    </row>
    <row r="451" spans="1:7">
      <c r="A451" t="s">
        <v>3099</v>
      </c>
      <c r="B451" t="s">
        <v>8273</v>
      </c>
      <c r="C451" t="s">
        <v>8398</v>
      </c>
      <c r="D451" t="s">
        <v>8419</v>
      </c>
      <c r="E451" t="s">
        <v>1519</v>
      </c>
      <c r="F451" t="s">
        <v>8447</v>
      </c>
      <c r="G451" t="s">
        <v>8455</v>
      </c>
    </row>
    <row r="452" spans="1:7">
      <c r="A452" t="s">
        <v>3100</v>
      </c>
      <c r="B452" t="s">
        <v>8273</v>
      </c>
      <c r="C452" t="s">
        <v>8394</v>
      </c>
      <c r="D452" t="s">
        <v>8422</v>
      </c>
      <c r="E452" t="s">
        <v>8445</v>
      </c>
      <c r="F452" t="s">
        <v>8448</v>
      </c>
      <c r="G452" t="s">
        <v>8455</v>
      </c>
    </row>
    <row r="453" spans="1:7">
      <c r="A453" t="s">
        <v>3101</v>
      </c>
      <c r="B453" t="s">
        <v>8273</v>
      </c>
      <c r="C453" t="s">
        <v>8395</v>
      </c>
      <c r="D453" t="s">
        <v>8416</v>
      </c>
      <c r="E453" t="s">
        <v>8444</v>
      </c>
      <c r="F453" t="s">
        <v>8448</v>
      </c>
      <c r="G453" t="s">
        <v>796</v>
      </c>
    </row>
    <row r="454" spans="1:7">
      <c r="A454" t="s">
        <v>3102</v>
      </c>
      <c r="C454" t="s">
        <v>8396</v>
      </c>
      <c r="D454" t="s">
        <v>8406</v>
      </c>
      <c r="E454" t="s">
        <v>8444</v>
      </c>
      <c r="F454" t="s">
        <v>8449</v>
      </c>
      <c r="G454" t="s">
        <v>795</v>
      </c>
    </row>
    <row r="455" spans="1:7">
      <c r="A455" t="s">
        <v>3103</v>
      </c>
      <c r="C455" t="s">
        <v>8394</v>
      </c>
      <c r="D455" t="s">
        <v>8416</v>
      </c>
      <c r="E455" t="s">
        <v>8446</v>
      </c>
      <c r="F455" t="s">
        <v>8448</v>
      </c>
      <c r="G455" t="s">
        <v>8453</v>
      </c>
    </row>
    <row r="456" spans="1:7">
      <c r="A456" t="s">
        <v>3104</v>
      </c>
      <c r="B456" t="s">
        <v>8273</v>
      </c>
      <c r="C456" t="s">
        <v>8395</v>
      </c>
      <c r="D456" t="s">
        <v>8403</v>
      </c>
      <c r="E456" t="s">
        <v>1587</v>
      </c>
      <c r="F456" t="s">
        <v>8449</v>
      </c>
      <c r="G456" t="s">
        <v>8549</v>
      </c>
    </row>
    <row r="457" spans="1:7">
      <c r="A457" t="s">
        <v>3105</v>
      </c>
      <c r="C457" t="s">
        <v>8393</v>
      </c>
      <c r="D457" t="s">
        <v>8393</v>
      </c>
      <c r="E457" t="s">
        <v>919</v>
      </c>
      <c r="F457" t="s">
        <v>8393</v>
      </c>
    </row>
    <row r="458" spans="1:7">
      <c r="A458" t="s">
        <v>3106</v>
      </c>
      <c r="C458" t="s">
        <v>8394</v>
      </c>
      <c r="D458" t="s">
        <v>8401</v>
      </c>
      <c r="E458" t="s">
        <v>8445</v>
      </c>
      <c r="F458" t="s">
        <v>8450</v>
      </c>
      <c r="G458" t="s">
        <v>8550</v>
      </c>
    </row>
    <row r="459" spans="1:7">
      <c r="A459" t="s">
        <v>3107</v>
      </c>
      <c r="C459" t="s">
        <v>8394</v>
      </c>
      <c r="D459" t="s">
        <v>8401</v>
      </c>
      <c r="E459" t="s">
        <v>8445</v>
      </c>
      <c r="F459" t="s">
        <v>8450</v>
      </c>
      <c r="G459" t="s">
        <v>8550</v>
      </c>
    </row>
    <row r="460" spans="1:7">
      <c r="A460" t="s">
        <v>3108</v>
      </c>
      <c r="C460" t="s">
        <v>8394</v>
      </c>
      <c r="D460" t="s">
        <v>8401</v>
      </c>
      <c r="E460" t="s">
        <v>8445</v>
      </c>
      <c r="F460" t="s">
        <v>8450</v>
      </c>
      <c r="G460" t="s">
        <v>8550</v>
      </c>
    </row>
    <row r="461" spans="1:7">
      <c r="A461" t="s">
        <v>3109</v>
      </c>
      <c r="C461" t="s">
        <v>8394</v>
      </c>
      <c r="D461" t="s">
        <v>8401</v>
      </c>
      <c r="E461" t="s">
        <v>8445</v>
      </c>
      <c r="F461" t="s">
        <v>8450</v>
      </c>
      <c r="G461" t="s">
        <v>8550</v>
      </c>
    </row>
    <row r="462" spans="1:7">
      <c r="A462" t="s">
        <v>3110</v>
      </c>
      <c r="C462" t="s">
        <v>8394</v>
      </c>
      <c r="D462" t="s">
        <v>8401</v>
      </c>
      <c r="E462" t="s">
        <v>8445</v>
      </c>
      <c r="F462" t="s">
        <v>8450</v>
      </c>
      <c r="G462" t="s">
        <v>8550</v>
      </c>
    </row>
    <row r="463" spans="1:7">
      <c r="A463" t="s">
        <v>3111</v>
      </c>
      <c r="C463" t="s">
        <v>8394</v>
      </c>
      <c r="D463" t="s">
        <v>8401</v>
      </c>
      <c r="E463" t="s">
        <v>8445</v>
      </c>
      <c r="F463" t="s">
        <v>8450</v>
      </c>
      <c r="G463" t="s">
        <v>8550</v>
      </c>
    </row>
    <row r="464" spans="1:7">
      <c r="A464" t="s">
        <v>3112</v>
      </c>
      <c r="C464" t="s">
        <v>8394</v>
      </c>
      <c r="D464" t="s">
        <v>8401</v>
      </c>
      <c r="E464" t="s">
        <v>8445</v>
      </c>
      <c r="F464" t="s">
        <v>8450</v>
      </c>
      <c r="G464" t="s">
        <v>8551</v>
      </c>
    </row>
    <row r="465" spans="1:7">
      <c r="A465" t="s">
        <v>3113</v>
      </c>
      <c r="C465" t="s">
        <v>8394</v>
      </c>
      <c r="D465" t="s">
        <v>8401</v>
      </c>
      <c r="E465" t="s">
        <v>8445</v>
      </c>
      <c r="F465" t="s">
        <v>8450</v>
      </c>
      <c r="G465" t="s">
        <v>8550</v>
      </c>
    </row>
    <row r="466" spans="1:7">
      <c r="A466" t="s">
        <v>3114</v>
      </c>
      <c r="C466" t="s">
        <v>8394</v>
      </c>
      <c r="D466" t="s">
        <v>8401</v>
      </c>
      <c r="E466" t="s">
        <v>8445</v>
      </c>
      <c r="F466" t="s">
        <v>8450</v>
      </c>
      <c r="G466" t="s">
        <v>8550</v>
      </c>
    </row>
    <row r="467" spans="1:7">
      <c r="A467" t="s">
        <v>3115</v>
      </c>
      <c r="C467" t="s">
        <v>8394</v>
      </c>
      <c r="D467" t="s">
        <v>8401</v>
      </c>
      <c r="E467" t="s">
        <v>8445</v>
      </c>
      <c r="F467" t="s">
        <v>8450</v>
      </c>
      <c r="G467" t="s">
        <v>8550</v>
      </c>
    </row>
    <row r="468" spans="1:7">
      <c r="A468" t="s">
        <v>3116</v>
      </c>
      <c r="C468" t="s">
        <v>8394</v>
      </c>
      <c r="D468" t="s">
        <v>8401</v>
      </c>
      <c r="E468" t="s">
        <v>8445</v>
      </c>
      <c r="F468" t="s">
        <v>8450</v>
      </c>
      <c r="G468" t="s">
        <v>8550</v>
      </c>
    </row>
    <row r="469" spans="1:7">
      <c r="A469" t="s">
        <v>3117</v>
      </c>
      <c r="C469" t="s">
        <v>8394</v>
      </c>
      <c r="D469" t="s">
        <v>8401</v>
      </c>
      <c r="E469" t="s">
        <v>8445</v>
      </c>
      <c r="F469" t="s">
        <v>8450</v>
      </c>
      <c r="G469" t="s">
        <v>8550</v>
      </c>
    </row>
    <row r="470" spans="1:7">
      <c r="A470" t="s">
        <v>3118</v>
      </c>
      <c r="C470" t="s">
        <v>8394</v>
      </c>
      <c r="D470" t="s">
        <v>8401</v>
      </c>
      <c r="E470" t="s">
        <v>8445</v>
      </c>
      <c r="F470" t="s">
        <v>8450</v>
      </c>
      <c r="G470" t="s">
        <v>8550</v>
      </c>
    </row>
    <row r="471" spans="1:7">
      <c r="A471" t="s">
        <v>3119</v>
      </c>
      <c r="C471" t="s">
        <v>8394</v>
      </c>
      <c r="D471" t="s">
        <v>8401</v>
      </c>
      <c r="E471" t="s">
        <v>8445</v>
      </c>
      <c r="F471" t="s">
        <v>8450</v>
      </c>
      <c r="G471" t="s">
        <v>8550</v>
      </c>
    </row>
    <row r="472" spans="1:7">
      <c r="A472" t="s">
        <v>3120</v>
      </c>
      <c r="C472" t="s">
        <v>8394</v>
      </c>
      <c r="D472" t="s">
        <v>8401</v>
      </c>
      <c r="E472" t="s">
        <v>8445</v>
      </c>
      <c r="F472" t="s">
        <v>8450</v>
      </c>
      <c r="G472" t="s">
        <v>8550</v>
      </c>
    </row>
    <row r="473" spans="1:7">
      <c r="A473" t="s">
        <v>3121</v>
      </c>
      <c r="C473" t="s">
        <v>8394</v>
      </c>
      <c r="D473" t="s">
        <v>8401</v>
      </c>
      <c r="E473" t="s">
        <v>8445</v>
      </c>
      <c r="F473" t="s">
        <v>8450</v>
      </c>
      <c r="G473" t="s">
        <v>8550</v>
      </c>
    </row>
    <row r="474" spans="1:7">
      <c r="A474" t="s">
        <v>3122</v>
      </c>
      <c r="C474" t="s">
        <v>8394</v>
      </c>
      <c r="D474" t="s">
        <v>8401</v>
      </c>
      <c r="E474" t="s">
        <v>8445</v>
      </c>
      <c r="F474" t="s">
        <v>8450</v>
      </c>
      <c r="G474" t="s">
        <v>8550</v>
      </c>
    </row>
    <row r="475" spans="1:7">
      <c r="A475" t="s">
        <v>3123</v>
      </c>
      <c r="C475" t="s">
        <v>8394</v>
      </c>
      <c r="D475" t="s">
        <v>8401</v>
      </c>
      <c r="E475" t="s">
        <v>8445</v>
      </c>
      <c r="F475" t="s">
        <v>8450</v>
      </c>
      <c r="G475" t="s">
        <v>8550</v>
      </c>
    </row>
    <row r="476" spans="1:7">
      <c r="A476" t="s">
        <v>3124</v>
      </c>
      <c r="C476" t="s">
        <v>8394</v>
      </c>
      <c r="D476" t="s">
        <v>8401</v>
      </c>
      <c r="E476" t="s">
        <v>8445</v>
      </c>
      <c r="F476" t="s">
        <v>8450</v>
      </c>
      <c r="G476" t="s">
        <v>8550</v>
      </c>
    </row>
    <row r="477" spans="1:7">
      <c r="A477" t="s">
        <v>3125</v>
      </c>
      <c r="C477" t="s">
        <v>8394</v>
      </c>
      <c r="D477" t="s">
        <v>8401</v>
      </c>
      <c r="E477" t="s">
        <v>8445</v>
      </c>
      <c r="F477" t="s">
        <v>8450</v>
      </c>
      <c r="G477" t="s">
        <v>8550</v>
      </c>
    </row>
    <row r="478" spans="1:7">
      <c r="A478" t="s">
        <v>3126</v>
      </c>
      <c r="C478" t="s">
        <v>8394</v>
      </c>
      <c r="D478" t="s">
        <v>8401</v>
      </c>
      <c r="E478" t="s">
        <v>8445</v>
      </c>
      <c r="F478" t="s">
        <v>8450</v>
      </c>
      <c r="G478" t="s">
        <v>8550</v>
      </c>
    </row>
    <row r="479" spans="1:7">
      <c r="A479" t="s">
        <v>3127</v>
      </c>
      <c r="C479" t="s">
        <v>8394</v>
      </c>
      <c r="D479" t="s">
        <v>8401</v>
      </c>
      <c r="E479" t="s">
        <v>8445</v>
      </c>
      <c r="F479" t="s">
        <v>8450</v>
      </c>
      <c r="G479" t="s">
        <v>8550</v>
      </c>
    </row>
    <row r="480" spans="1:7">
      <c r="A480" t="s">
        <v>3128</v>
      </c>
      <c r="C480" t="s">
        <v>8394</v>
      </c>
      <c r="D480" t="s">
        <v>8401</v>
      </c>
      <c r="E480" t="s">
        <v>8445</v>
      </c>
      <c r="F480" t="s">
        <v>8450</v>
      </c>
      <c r="G480" t="s">
        <v>8550</v>
      </c>
    </row>
    <row r="481" spans="1:7">
      <c r="A481" t="s">
        <v>3129</v>
      </c>
      <c r="C481" t="s">
        <v>8394</v>
      </c>
      <c r="D481" t="s">
        <v>8401</v>
      </c>
      <c r="E481" t="s">
        <v>8445</v>
      </c>
      <c r="F481" t="s">
        <v>8450</v>
      </c>
      <c r="G481" t="s">
        <v>8550</v>
      </c>
    </row>
    <row r="482" spans="1:7">
      <c r="A482" t="s">
        <v>3130</v>
      </c>
      <c r="C482" t="s">
        <v>8394</v>
      </c>
      <c r="D482" t="s">
        <v>8401</v>
      </c>
      <c r="E482" t="s">
        <v>8445</v>
      </c>
      <c r="F482" t="s">
        <v>8450</v>
      </c>
      <c r="G482" t="s">
        <v>8550</v>
      </c>
    </row>
    <row r="483" spans="1:7">
      <c r="A483" t="s">
        <v>3131</v>
      </c>
      <c r="C483" t="s">
        <v>8394</v>
      </c>
      <c r="D483" t="s">
        <v>8401</v>
      </c>
      <c r="E483" t="s">
        <v>8445</v>
      </c>
      <c r="F483" t="s">
        <v>8450</v>
      </c>
      <c r="G483" t="s">
        <v>8550</v>
      </c>
    </row>
    <row r="484" spans="1:7">
      <c r="A484" t="s">
        <v>3132</v>
      </c>
      <c r="C484" t="s">
        <v>8394</v>
      </c>
      <c r="D484" t="s">
        <v>8401</v>
      </c>
      <c r="E484" t="s">
        <v>8445</v>
      </c>
      <c r="F484" t="s">
        <v>8450</v>
      </c>
      <c r="G484" t="s">
        <v>8550</v>
      </c>
    </row>
    <row r="485" spans="1:7">
      <c r="A485" t="s">
        <v>3133</v>
      </c>
      <c r="C485" t="s">
        <v>8394</v>
      </c>
      <c r="D485" t="s">
        <v>8401</v>
      </c>
      <c r="E485" t="s">
        <v>8445</v>
      </c>
      <c r="F485" t="s">
        <v>8450</v>
      </c>
      <c r="G485" t="s">
        <v>8550</v>
      </c>
    </row>
    <row r="486" spans="1:7">
      <c r="A486" t="s">
        <v>3134</v>
      </c>
      <c r="C486" t="s">
        <v>8394</v>
      </c>
      <c r="D486" t="s">
        <v>8401</v>
      </c>
      <c r="E486" t="s">
        <v>8445</v>
      </c>
      <c r="F486" t="s">
        <v>8450</v>
      </c>
      <c r="G486" t="s">
        <v>8550</v>
      </c>
    </row>
    <row r="487" spans="1:7">
      <c r="A487" t="s">
        <v>3135</v>
      </c>
      <c r="C487" t="s">
        <v>8394</v>
      </c>
      <c r="D487" t="s">
        <v>8401</v>
      </c>
      <c r="E487" t="s">
        <v>8445</v>
      </c>
      <c r="F487" t="s">
        <v>8450</v>
      </c>
      <c r="G487" t="s">
        <v>8550</v>
      </c>
    </row>
    <row r="488" spans="1:7">
      <c r="A488" t="s">
        <v>3136</v>
      </c>
      <c r="C488" t="s">
        <v>8394</v>
      </c>
      <c r="D488" t="s">
        <v>8401</v>
      </c>
      <c r="E488" t="s">
        <v>8445</v>
      </c>
      <c r="F488" t="s">
        <v>8450</v>
      </c>
      <c r="G488" t="s">
        <v>8550</v>
      </c>
    </row>
    <row r="489" spans="1:7">
      <c r="A489" t="s">
        <v>3137</v>
      </c>
      <c r="C489" t="s">
        <v>8394</v>
      </c>
      <c r="D489" t="s">
        <v>8401</v>
      </c>
      <c r="E489" t="s">
        <v>8445</v>
      </c>
      <c r="F489" t="s">
        <v>8450</v>
      </c>
      <c r="G489" t="s">
        <v>8550</v>
      </c>
    </row>
    <row r="490" spans="1:7">
      <c r="A490" t="s">
        <v>3138</v>
      </c>
      <c r="C490" t="s">
        <v>8394</v>
      </c>
      <c r="D490" t="s">
        <v>8401</v>
      </c>
      <c r="E490" t="s">
        <v>8445</v>
      </c>
      <c r="F490" t="s">
        <v>8450</v>
      </c>
      <c r="G490" t="s">
        <v>8550</v>
      </c>
    </row>
    <row r="491" spans="1:7">
      <c r="A491" t="s">
        <v>3139</v>
      </c>
      <c r="C491" t="s">
        <v>8394</v>
      </c>
      <c r="D491" t="s">
        <v>8401</v>
      </c>
      <c r="E491" t="s">
        <v>8445</v>
      </c>
      <c r="F491" t="s">
        <v>8450</v>
      </c>
      <c r="G491" t="s">
        <v>8550</v>
      </c>
    </row>
    <row r="492" spans="1:7">
      <c r="A492" t="s">
        <v>3140</v>
      </c>
      <c r="C492" t="s">
        <v>8394</v>
      </c>
      <c r="D492" t="s">
        <v>8401</v>
      </c>
      <c r="E492" t="s">
        <v>8445</v>
      </c>
      <c r="F492" t="s">
        <v>8450</v>
      </c>
      <c r="G492" t="s">
        <v>8550</v>
      </c>
    </row>
    <row r="493" spans="1:7">
      <c r="A493" t="s">
        <v>3141</v>
      </c>
      <c r="C493" t="s">
        <v>8394</v>
      </c>
      <c r="D493" t="s">
        <v>8401</v>
      </c>
      <c r="E493" t="s">
        <v>8445</v>
      </c>
      <c r="F493" t="s">
        <v>8450</v>
      </c>
      <c r="G493" t="s">
        <v>8550</v>
      </c>
    </row>
    <row r="494" spans="1:7">
      <c r="A494" t="s">
        <v>3142</v>
      </c>
      <c r="C494" t="s">
        <v>8394</v>
      </c>
      <c r="D494" t="s">
        <v>8401</v>
      </c>
      <c r="E494" t="s">
        <v>8445</v>
      </c>
      <c r="F494" t="s">
        <v>8450</v>
      </c>
      <c r="G494" t="s">
        <v>8550</v>
      </c>
    </row>
    <row r="495" spans="1:7">
      <c r="A495" t="s">
        <v>3143</v>
      </c>
      <c r="C495" t="s">
        <v>8394</v>
      </c>
      <c r="D495" t="s">
        <v>8401</v>
      </c>
      <c r="E495" t="s">
        <v>8445</v>
      </c>
      <c r="F495" t="s">
        <v>8450</v>
      </c>
      <c r="G495" t="s">
        <v>8550</v>
      </c>
    </row>
    <row r="496" spans="1:7">
      <c r="A496" t="s">
        <v>3144</v>
      </c>
      <c r="C496" t="s">
        <v>8394</v>
      </c>
      <c r="D496" t="s">
        <v>8401</v>
      </c>
      <c r="E496" t="s">
        <v>8445</v>
      </c>
      <c r="F496" t="s">
        <v>8450</v>
      </c>
      <c r="G496" t="s">
        <v>8550</v>
      </c>
    </row>
    <row r="497" spans="1:7">
      <c r="A497" t="s">
        <v>3145</v>
      </c>
      <c r="C497" t="s">
        <v>8394</v>
      </c>
      <c r="D497" t="s">
        <v>8401</v>
      </c>
      <c r="E497" t="s">
        <v>8445</v>
      </c>
      <c r="F497" t="s">
        <v>8450</v>
      </c>
      <c r="G497" t="s">
        <v>8550</v>
      </c>
    </row>
    <row r="498" spans="1:7">
      <c r="A498" t="s">
        <v>3146</v>
      </c>
      <c r="C498" t="s">
        <v>8394</v>
      </c>
      <c r="D498" t="s">
        <v>8401</v>
      </c>
      <c r="E498" t="s">
        <v>8445</v>
      </c>
      <c r="F498" t="s">
        <v>8450</v>
      </c>
      <c r="G498" t="s">
        <v>8550</v>
      </c>
    </row>
    <row r="499" spans="1:7">
      <c r="A499" t="s">
        <v>3147</v>
      </c>
      <c r="C499" t="s">
        <v>8394</v>
      </c>
      <c r="D499" t="s">
        <v>8401</v>
      </c>
      <c r="E499" t="s">
        <v>8445</v>
      </c>
      <c r="F499" t="s">
        <v>8450</v>
      </c>
      <c r="G499" t="s">
        <v>8550</v>
      </c>
    </row>
    <row r="500" spans="1:7">
      <c r="A500" t="s">
        <v>3148</v>
      </c>
      <c r="C500" t="s">
        <v>8394</v>
      </c>
      <c r="D500" t="s">
        <v>8401</v>
      </c>
      <c r="E500" t="s">
        <v>8445</v>
      </c>
      <c r="F500" t="s">
        <v>8450</v>
      </c>
      <c r="G500" t="s">
        <v>8550</v>
      </c>
    </row>
    <row r="501" spans="1:7">
      <c r="A501" t="s">
        <v>3149</v>
      </c>
      <c r="C501" t="s">
        <v>8394</v>
      </c>
      <c r="D501" t="s">
        <v>8401</v>
      </c>
      <c r="E501" t="s">
        <v>8445</v>
      </c>
      <c r="F501" t="s">
        <v>8450</v>
      </c>
      <c r="G501" t="s">
        <v>8550</v>
      </c>
    </row>
    <row r="502" spans="1:7">
      <c r="A502" t="s">
        <v>3150</v>
      </c>
      <c r="C502" t="s">
        <v>8394</v>
      </c>
      <c r="D502" t="s">
        <v>8401</v>
      </c>
      <c r="E502" t="s">
        <v>8445</v>
      </c>
      <c r="F502" t="s">
        <v>8450</v>
      </c>
      <c r="G502" t="s">
        <v>8550</v>
      </c>
    </row>
    <row r="503" spans="1:7">
      <c r="A503" t="s">
        <v>3151</v>
      </c>
      <c r="C503" t="s">
        <v>8394</v>
      </c>
      <c r="D503" t="s">
        <v>8401</v>
      </c>
      <c r="E503" t="s">
        <v>8445</v>
      </c>
      <c r="F503" t="s">
        <v>8450</v>
      </c>
      <c r="G503" t="s">
        <v>8550</v>
      </c>
    </row>
    <row r="504" spans="1:7">
      <c r="A504" t="s">
        <v>3152</v>
      </c>
      <c r="C504" t="s">
        <v>8394</v>
      </c>
      <c r="D504" t="s">
        <v>8401</v>
      </c>
      <c r="E504" t="s">
        <v>8445</v>
      </c>
      <c r="F504" t="s">
        <v>8450</v>
      </c>
      <c r="G504" t="s">
        <v>8550</v>
      </c>
    </row>
    <row r="505" spans="1:7">
      <c r="A505" t="s">
        <v>3153</v>
      </c>
      <c r="C505" t="s">
        <v>8394</v>
      </c>
      <c r="D505" t="s">
        <v>8401</v>
      </c>
      <c r="E505" t="s">
        <v>8445</v>
      </c>
      <c r="F505" t="s">
        <v>8450</v>
      </c>
      <c r="G505" t="s">
        <v>8550</v>
      </c>
    </row>
    <row r="506" spans="1:7">
      <c r="A506" t="s">
        <v>3154</v>
      </c>
      <c r="C506" t="s">
        <v>8394</v>
      </c>
      <c r="D506" t="s">
        <v>8401</v>
      </c>
      <c r="E506" t="s">
        <v>8445</v>
      </c>
      <c r="F506" t="s">
        <v>8450</v>
      </c>
      <c r="G506" t="s">
        <v>8550</v>
      </c>
    </row>
    <row r="507" spans="1:7">
      <c r="A507" t="s">
        <v>3155</v>
      </c>
      <c r="C507" t="s">
        <v>8394</v>
      </c>
      <c r="D507" t="s">
        <v>8401</v>
      </c>
      <c r="E507" t="s">
        <v>8445</v>
      </c>
      <c r="F507" t="s">
        <v>8450</v>
      </c>
      <c r="G507" t="s">
        <v>8550</v>
      </c>
    </row>
    <row r="508" spans="1:7">
      <c r="A508" t="s">
        <v>3156</v>
      </c>
      <c r="C508" t="s">
        <v>8394</v>
      </c>
      <c r="D508" t="s">
        <v>8401</v>
      </c>
      <c r="E508" t="s">
        <v>8445</v>
      </c>
      <c r="F508" t="s">
        <v>8450</v>
      </c>
      <c r="G508" t="s">
        <v>8550</v>
      </c>
    </row>
    <row r="509" spans="1:7">
      <c r="A509" t="s">
        <v>3157</v>
      </c>
      <c r="C509" t="s">
        <v>8394</v>
      </c>
      <c r="D509" t="s">
        <v>8401</v>
      </c>
      <c r="E509" t="s">
        <v>8445</v>
      </c>
      <c r="F509" t="s">
        <v>8450</v>
      </c>
      <c r="G509" t="s">
        <v>8550</v>
      </c>
    </row>
    <row r="510" spans="1:7">
      <c r="A510" t="s">
        <v>3158</v>
      </c>
      <c r="C510" t="s">
        <v>8394</v>
      </c>
      <c r="D510" t="s">
        <v>8401</v>
      </c>
      <c r="E510" t="s">
        <v>8445</v>
      </c>
      <c r="F510" t="s">
        <v>8450</v>
      </c>
      <c r="G510" t="s">
        <v>8550</v>
      </c>
    </row>
    <row r="511" spans="1:7">
      <c r="A511" t="s">
        <v>3159</v>
      </c>
      <c r="C511" t="s">
        <v>8394</v>
      </c>
      <c r="D511" t="s">
        <v>8401</v>
      </c>
      <c r="E511" t="s">
        <v>8445</v>
      </c>
      <c r="F511" t="s">
        <v>8450</v>
      </c>
      <c r="G511" t="s">
        <v>8550</v>
      </c>
    </row>
    <row r="512" spans="1:7">
      <c r="A512" t="s">
        <v>3160</v>
      </c>
      <c r="C512" t="s">
        <v>8394</v>
      </c>
      <c r="D512" t="s">
        <v>8401</v>
      </c>
      <c r="E512" t="s">
        <v>8445</v>
      </c>
      <c r="F512" t="s">
        <v>8450</v>
      </c>
      <c r="G512" t="s">
        <v>8550</v>
      </c>
    </row>
    <row r="513" spans="1:7">
      <c r="A513" t="s">
        <v>3161</v>
      </c>
      <c r="C513" t="s">
        <v>8394</v>
      </c>
      <c r="D513" t="s">
        <v>8401</v>
      </c>
      <c r="E513" t="s">
        <v>8445</v>
      </c>
      <c r="F513" t="s">
        <v>8450</v>
      </c>
      <c r="G513" t="s">
        <v>8550</v>
      </c>
    </row>
    <row r="514" spans="1:7">
      <c r="A514" t="s">
        <v>3162</v>
      </c>
      <c r="C514" t="s">
        <v>8394</v>
      </c>
      <c r="D514" t="s">
        <v>8401</v>
      </c>
      <c r="E514" t="s">
        <v>8445</v>
      </c>
      <c r="F514" t="s">
        <v>8450</v>
      </c>
      <c r="G514" t="s">
        <v>8550</v>
      </c>
    </row>
    <row r="515" spans="1:7">
      <c r="A515" t="s">
        <v>3163</v>
      </c>
      <c r="C515" t="s">
        <v>8394</v>
      </c>
      <c r="D515" t="s">
        <v>8401</v>
      </c>
      <c r="E515" t="s">
        <v>8445</v>
      </c>
      <c r="F515" t="s">
        <v>8450</v>
      </c>
      <c r="G515" t="s">
        <v>8550</v>
      </c>
    </row>
    <row r="516" spans="1:7">
      <c r="A516" t="s">
        <v>3164</v>
      </c>
      <c r="C516" t="s">
        <v>8394</v>
      </c>
      <c r="D516" t="s">
        <v>8401</v>
      </c>
      <c r="E516" t="s">
        <v>8445</v>
      </c>
      <c r="F516" t="s">
        <v>8450</v>
      </c>
      <c r="G516" t="s">
        <v>8550</v>
      </c>
    </row>
    <row r="517" spans="1:7">
      <c r="A517" t="s">
        <v>3165</v>
      </c>
      <c r="C517" t="s">
        <v>8394</v>
      </c>
      <c r="D517" t="s">
        <v>8401</v>
      </c>
      <c r="E517" t="s">
        <v>8445</v>
      </c>
      <c r="F517" t="s">
        <v>8450</v>
      </c>
      <c r="G517" t="s">
        <v>8550</v>
      </c>
    </row>
    <row r="518" spans="1:7">
      <c r="A518" t="s">
        <v>3166</v>
      </c>
      <c r="C518" t="s">
        <v>8394</v>
      </c>
      <c r="D518" t="s">
        <v>8401</v>
      </c>
      <c r="E518" t="s">
        <v>8445</v>
      </c>
      <c r="F518" t="s">
        <v>8450</v>
      </c>
      <c r="G518" t="s">
        <v>8550</v>
      </c>
    </row>
    <row r="519" spans="1:7">
      <c r="A519" t="s">
        <v>3167</v>
      </c>
      <c r="C519" t="s">
        <v>8394</v>
      </c>
      <c r="D519" t="s">
        <v>8401</v>
      </c>
      <c r="E519" t="s">
        <v>8445</v>
      </c>
      <c r="F519" t="s">
        <v>8450</v>
      </c>
      <c r="G519" t="s">
        <v>8550</v>
      </c>
    </row>
    <row r="520" spans="1:7">
      <c r="A520" t="s">
        <v>3168</v>
      </c>
      <c r="C520" t="s">
        <v>8394</v>
      </c>
      <c r="D520" t="s">
        <v>8401</v>
      </c>
      <c r="E520" t="s">
        <v>8445</v>
      </c>
      <c r="F520" t="s">
        <v>8450</v>
      </c>
      <c r="G520" t="s">
        <v>8550</v>
      </c>
    </row>
    <row r="521" spans="1:7">
      <c r="A521" t="s">
        <v>3169</v>
      </c>
      <c r="C521" t="s">
        <v>8394</v>
      </c>
      <c r="D521" t="s">
        <v>8401</v>
      </c>
      <c r="E521" t="s">
        <v>8445</v>
      </c>
      <c r="F521" t="s">
        <v>8450</v>
      </c>
      <c r="G521" t="s">
        <v>8550</v>
      </c>
    </row>
    <row r="522" spans="1:7">
      <c r="A522" t="s">
        <v>3170</v>
      </c>
      <c r="C522" t="s">
        <v>8394</v>
      </c>
      <c r="D522" t="s">
        <v>8401</v>
      </c>
      <c r="E522" t="s">
        <v>8445</v>
      </c>
      <c r="F522" t="s">
        <v>8450</v>
      </c>
      <c r="G522" t="s">
        <v>8550</v>
      </c>
    </row>
    <row r="523" spans="1:7">
      <c r="A523" t="s">
        <v>3171</v>
      </c>
      <c r="C523" t="s">
        <v>8394</v>
      </c>
      <c r="D523" t="s">
        <v>8401</v>
      </c>
      <c r="E523" t="s">
        <v>8445</v>
      </c>
      <c r="F523" t="s">
        <v>8450</v>
      </c>
      <c r="G523" t="s">
        <v>8550</v>
      </c>
    </row>
    <row r="524" spans="1:7">
      <c r="A524" t="s">
        <v>3172</v>
      </c>
      <c r="C524" t="s">
        <v>8394</v>
      </c>
      <c r="D524" t="s">
        <v>8401</v>
      </c>
      <c r="E524" t="s">
        <v>8445</v>
      </c>
      <c r="F524" t="s">
        <v>8450</v>
      </c>
      <c r="G524" t="s">
        <v>8550</v>
      </c>
    </row>
    <row r="525" spans="1:7">
      <c r="A525" t="s">
        <v>3173</v>
      </c>
      <c r="C525" t="s">
        <v>8394</v>
      </c>
      <c r="D525" t="s">
        <v>8401</v>
      </c>
      <c r="E525" t="s">
        <v>8445</v>
      </c>
      <c r="F525" t="s">
        <v>8450</v>
      </c>
      <c r="G525" t="s">
        <v>8550</v>
      </c>
    </row>
    <row r="526" spans="1:7">
      <c r="A526" t="s">
        <v>3174</v>
      </c>
      <c r="C526" t="s">
        <v>8394</v>
      </c>
      <c r="D526" t="s">
        <v>8401</v>
      </c>
      <c r="E526" t="s">
        <v>8445</v>
      </c>
      <c r="F526" t="s">
        <v>8450</v>
      </c>
      <c r="G526" t="s">
        <v>8550</v>
      </c>
    </row>
    <row r="527" spans="1:7">
      <c r="A527" t="s">
        <v>3175</v>
      </c>
      <c r="C527" t="s">
        <v>8394</v>
      </c>
      <c r="D527" t="s">
        <v>8401</v>
      </c>
      <c r="E527" t="s">
        <v>8445</v>
      </c>
      <c r="F527" t="s">
        <v>8450</v>
      </c>
      <c r="G527" t="s">
        <v>8550</v>
      </c>
    </row>
    <row r="528" spans="1:7">
      <c r="A528" t="s">
        <v>3176</v>
      </c>
      <c r="C528" t="s">
        <v>8394</v>
      </c>
      <c r="D528" t="s">
        <v>8401</v>
      </c>
      <c r="E528" t="s">
        <v>8445</v>
      </c>
      <c r="F528" t="s">
        <v>8450</v>
      </c>
      <c r="G528" t="s">
        <v>8550</v>
      </c>
    </row>
    <row r="529" spans="1:7">
      <c r="A529" t="s">
        <v>3177</v>
      </c>
      <c r="C529" t="s">
        <v>8394</v>
      </c>
      <c r="D529" t="s">
        <v>8401</v>
      </c>
      <c r="E529" t="s">
        <v>8445</v>
      </c>
      <c r="F529" t="s">
        <v>8450</v>
      </c>
      <c r="G529" t="s">
        <v>8550</v>
      </c>
    </row>
    <row r="530" spans="1:7">
      <c r="A530" t="s">
        <v>3178</v>
      </c>
      <c r="C530" t="s">
        <v>8394</v>
      </c>
      <c r="D530" t="s">
        <v>8401</v>
      </c>
      <c r="E530" t="s">
        <v>8445</v>
      </c>
      <c r="F530" t="s">
        <v>8450</v>
      </c>
      <c r="G530" t="s">
        <v>8550</v>
      </c>
    </row>
    <row r="531" spans="1:7">
      <c r="A531" t="s">
        <v>3179</v>
      </c>
      <c r="C531" t="s">
        <v>8394</v>
      </c>
      <c r="D531" t="s">
        <v>8401</v>
      </c>
      <c r="E531" t="s">
        <v>8445</v>
      </c>
      <c r="F531" t="s">
        <v>8450</v>
      </c>
      <c r="G531" t="s">
        <v>8550</v>
      </c>
    </row>
    <row r="532" spans="1:7">
      <c r="A532" t="s">
        <v>3180</v>
      </c>
      <c r="C532" t="s">
        <v>8394</v>
      </c>
      <c r="D532" t="s">
        <v>8401</v>
      </c>
      <c r="E532" t="s">
        <v>8445</v>
      </c>
      <c r="F532" t="s">
        <v>8450</v>
      </c>
      <c r="G532" t="s">
        <v>8550</v>
      </c>
    </row>
    <row r="533" spans="1:7">
      <c r="A533" t="s">
        <v>3181</v>
      </c>
      <c r="C533" t="s">
        <v>8394</v>
      </c>
      <c r="D533" t="s">
        <v>8401</v>
      </c>
      <c r="E533" t="s">
        <v>8445</v>
      </c>
      <c r="F533" t="s">
        <v>8450</v>
      </c>
      <c r="G533" t="s">
        <v>8550</v>
      </c>
    </row>
    <row r="534" spans="1:7">
      <c r="A534" t="s">
        <v>3182</v>
      </c>
      <c r="C534" t="s">
        <v>8394</v>
      </c>
      <c r="D534" t="s">
        <v>8401</v>
      </c>
      <c r="E534" t="s">
        <v>8445</v>
      </c>
      <c r="F534" t="s">
        <v>8450</v>
      </c>
      <c r="G534" t="s">
        <v>8550</v>
      </c>
    </row>
    <row r="535" spans="1:7">
      <c r="A535" t="s">
        <v>3183</v>
      </c>
      <c r="C535" t="s">
        <v>8394</v>
      </c>
      <c r="D535" t="s">
        <v>8401</v>
      </c>
      <c r="E535" t="s">
        <v>8445</v>
      </c>
      <c r="F535" t="s">
        <v>8450</v>
      </c>
      <c r="G535" t="s">
        <v>8550</v>
      </c>
    </row>
    <row r="536" spans="1:7">
      <c r="A536" t="s">
        <v>3184</v>
      </c>
      <c r="C536" t="s">
        <v>8394</v>
      </c>
      <c r="D536" t="s">
        <v>8401</v>
      </c>
      <c r="E536" t="s">
        <v>8445</v>
      </c>
      <c r="F536" t="s">
        <v>8450</v>
      </c>
      <c r="G536" t="s">
        <v>8550</v>
      </c>
    </row>
    <row r="537" spans="1:7">
      <c r="A537" t="s">
        <v>3185</v>
      </c>
      <c r="C537" t="s">
        <v>8394</v>
      </c>
      <c r="D537" t="s">
        <v>8401</v>
      </c>
      <c r="E537" t="s">
        <v>8445</v>
      </c>
      <c r="F537" t="s">
        <v>8450</v>
      </c>
      <c r="G537" t="s">
        <v>8550</v>
      </c>
    </row>
    <row r="538" spans="1:7">
      <c r="A538" t="s">
        <v>3186</v>
      </c>
      <c r="C538" t="s">
        <v>8394</v>
      </c>
      <c r="D538" t="s">
        <v>8401</v>
      </c>
      <c r="E538" t="s">
        <v>8445</v>
      </c>
      <c r="F538" t="s">
        <v>8450</v>
      </c>
      <c r="G538" t="s">
        <v>8550</v>
      </c>
    </row>
    <row r="539" spans="1:7">
      <c r="A539" t="s">
        <v>3187</v>
      </c>
      <c r="C539" t="s">
        <v>8394</v>
      </c>
      <c r="D539" t="s">
        <v>8401</v>
      </c>
      <c r="E539" t="s">
        <v>8445</v>
      </c>
      <c r="F539" t="s">
        <v>8450</v>
      </c>
      <c r="G539" t="s">
        <v>8550</v>
      </c>
    </row>
    <row r="540" spans="1:7">
      <c r="A540" t="s">
        <v>3188</v>
      </c>
      <c r="C540" t="s">
        <v>8394</v>
      </c>
      <c r="D540" t="s">
        <v>8401</v>
      </c>
      <c r="E540" t="s">
        <v>8445</v>
      </c>
      <c r="F540" t="s">
        <v>8450</v>
      </c>
      <c r="G540" t="s">
        <v>8550</v>
      </c>
    </row>
    <row r="541" spans="1:7">
      <c r="A541" t="s">
        <v>3189</v>
      </c>
      <c r="C541" t="s">
        <v>8394</v>
      </c>
      <c r="D541" t="s">
        <v>8401</v>
      </c>
      <c r="E541" t="s">
        <v>8445</v>
      </c>
      <c r="F541" t="s">
        <v>8450</v>
      </c>
      <c r="G541" t="s">
        <v>8550</v>
      </c>
    </row>
    <row r="542" spans="1:7">
      <c r="A542" t="s">
        <v>3190</v>
      </c>
      <c r="C542" t="s">
        <v>8394</v>
      </c>
      <c r="D542" t="s">
        <v>8401</v>
      </c>
      <c r="E542" t="s">
        <v>8445</v>
      </c>
      <c r="F542" t="s">
        <v>8450</v>
      </c>
      <c r="G542" t="s">
        <v>8550</v>
      </c>
    </row>
    <row r="543" spans="1:7">
      <c r="A543" t="s">
        <v>3191</v>
      </c>
      <c r="C543" t="s">
        <v>8394</v>
      </c>
      <c r="D543" t="s">
        <v>8401</v>
      </c>
      <c r="E543" t="s">
        <v>8445</v>
      </c>
      <c r="F543" t="s">
        <v>8450</v>
      </c>
      <c r="G543" t="s">
        <v>8550</v>
      </c>
    </row>
    <row r="544" spans="1:7">
      <c r="A544" t="s">
        <v>3192</v>
      </c>
      <c r="C544" t="s">
        <v>8394</v>
      </c>
      <c r="D544" t="s">
        <v>8401</v>
      </c>
      <c r="E544" t="s">
        <v>8445</v>
      </c>
      <c r="F544" t="s">
        <v>8450</v>
      </c>
      <c r="G544" t="s">
        <v>8550</v>
      </c>
    </row>
    <row r="545" spans="1:7">
      <c r="A545" t="s">
        <v>3193</v>
      </c>
      <c r="C545" t="s">
        <v>8394</v>
      </c>
      <c r="D545" t="s">
        <v>8401</v>
      </c>
      <c r="E545" t="s">
        <v>8445</v>
      </c>
      <c r="F545" t="s">
        <v>8450</v>
      </c>
      <c r="G545" t="s">
        <v>8550</v>
      </c>
    </row>
    <row r="546" spans="1:7">
      <c r="A546" t="s">
        <v>3194</v>
      </c>
      <c r="C546" t="s">
        <v>8394</v>
      </c>
      <c r="D546" t="s">
        <v>8401</v>
      </c>
      <c r="E546" t="s">
        <v>8445</v>
      </c>
      <c r="F546" t="s">
        <v>8450</v>
      </c>
      <c r="G546" t="s">
        <v>8550</v>
      </c>
    </row>
    <row r="547" spans="1:7">
      <c r="A547" t="s">
        <v>3195</v>
      </c>
      <c r="C547" t="s">
        <v>8394</v>
      </c>
      <c r="D547" t="s">
        <v>8401</v>
      </c>
      <c r="E547" t="s">
        <v>8445</v>
      </c>
      <c r="F547" t="s">
        <v>8450</v>
      </c>
      <c r="G547" t="s">
        <v>8550</v>
      </c>
    </row>
    <row r="548" spans="1:7">
      <c r="A548" t="s">
        <v>3196</v>
      </c>
      <c r="C548" t="s">
        <v>8394</v>
      </c>
      <c r="D548" t="s">
        <v>8401</v>
      </c>
      <c r="E548" t="s">
        <v>8445</v>
      </c>
      <c r="F548" t="s">
        <v>8450</v>
      </c>
      <c r="G548" t="s">
        <v>8550</v>
      </c>
    </row>
    <row r="549" spans="1:7">
      <c r="A549" t="s">
        <v>3197</v>
      </c>
      <c r="C549" t="s">
        <v>8394</v>
      </c>
      <c r="D549" t="s">
        <v>8401</v>
      </c>
      <c r="E549" t="s">
        <v>8445</v>
      </c>
      <c r="F549" t="s">
        <v>8450</v>
      </c>
      <c r="G549" t="s">
        <v>8550</v>
      </c>
    </row>
    <row r="550" spans="1:7">
      <c r="A550" t="s">
        <v>3198</v>
      </c>
      <c r="C550" t="s">
        <v>8394</v>
      </c>
      <c r="D550" t="s">
        <v>8401</v>
      </c>
      <c r="E550" t="s">
        <v>8445</v>
      </c>
      <c r="F550" t="s">
        <v>8450</v>
      </c>
      <c r="G550" t="s">
        <v>8550</v>
      </c>
    </row>
    <row r="551" spans="1:7">
      <c r="A551" t="s">
        <v>3199</v>
      </c>
      <c r="C551" t="s">
        <v>8394</v>
      </c>
      <c r="D551" t="s">
        <v>8401</v>
      </c>
      <c r="E551" t="s">
        <v>8445</v>
      </c>
      <c r="F551" t="s">
        <v>8450</v>
      </c>
      <c r="G551" t="s">
        <v>8550</v>
      </c>
    </row>
    <row r="552" spans="1:7">
      <c r="A552" t="s">
        <v>3200</v>
      </c>
      <c r="C552" t="s">
        <v>8394</v>
      </c>
      <c r="D552" t="s">
        <v>8401</v>
      </c>
      <c r="E552" t="s">
        <v>8445</v>
      </c>
      <c r="F552" t="s">
        <v>8450</v>
      </c>
      <c r="G552" t="s">
        <v>8550</v>
      </c>
    </row>
    <row r="553" spans="1:7">
      <c r="A553" t="s">
        <v>3201</v>
      </c>
      <c r="C553" t="s">
        <v>8394</v>
      </c>
      <c r="D553" t="s">
        <v>8401</v>
      </c>
      <c r="E553" t="s">
        <v>8445</v>
      </c>
      <c r="F553" t="s">
        <v>8450</v>
      </c>
      <c r="G553" t="s">
        <v>8550</v>
      </c>
    </row>
    <row r="554" spans="1:7">
      <c r="A554" t="s">
        <v>3202</v>
      </c>
      <c r="C554" t="s">
        <v>8394</v>
      </c>
      <c r="D554" t="s">
        <v>8401</v>
      </c>
      <c r="E554" t="s">
        <v>8445</v>
      </c>
      <c r="F554" t="s">
        <v>8450</v>
      </c>
      <c r="G554" t="s">
        <v>8550</v>
      </c>
    </row>
    <row r="555" spans="1:7">
      <c r="A555" t="s">
        <v>3203</v>
      </c>
      <c r="C555" t="s">
        <v>8394</v>
      </c>
      <c r="D555" t="s">
        <v>8401</v>
      </c>
      <c r="E555" t="s">
        <v>8445</v>
      </c>
      <c r="F555" t="s">
        <v>8450</v>
      </c>
      <c r="G555" t="s">
        <v>8550</v>
      </c>
    </row>
    <row r="556" spans="1:7">
      <c r="A556" t="s">
        <v>3204</v>
      </c>
      <c r="C556" t="s">
        <v>8394</v>
      </c>
      <c r="D556" t="s">
        <v>8401</v>
      </c>
      <c r="E556" t="s">
        <v>8445</v>
      </c>
      <c r="F556" t="s">
        <v>8450</v>
      </c>
      <c r="G556" t="s">
        <v>8550</v>
      </c>
    </row>
    <row r="557" spans="1:7">
      <c r="A557" t="s">
        <v>3205</v>
      </c>
      <c r="C557" t="s">
        <v>8394</v>
      </c>
      <c r="D557" t="s">
        <v>8401</v>
      </c>
      <c r="E557" t="s">
        <v>8445</v>
      </c>
      <c r="F557" t="s">
        <v>8450</v>
      </c>
      <c r="G557" t="s">
        <v>8550</v>
      </c>
    </row>
    <row r="558" spans="1:7">
      <c r="A558" t="s">
        <v>3206</v>
      </c>
      <c r="C558" t="s">
        <v>8394</v>
      </c>
      <c r="D558" t="s">
        <v>8401</v>
      </c>
      <c r="E558" t="s">
        <v>8445</v>
      </c>
      <c r="F558" t="s">
        <v>8450</v>
      </c>
      <c r="G558" t="s">
        <v>8550</v>
      </c>
    </row>
    <row r="559" spans="1:7">
      <c r="A559" t="s">
        <v>3207</v>
      </c>
      <c r="C559" t="s">
        <v>8394</v>
      </c>
      <c r="D559" t="s">
        <v>8401</v>
      </c>
      <c r="E559" t="s">
        <v>8445</v>
      </c>
      <c r="F559" t="s">
        <v>8450</v>
      </c>
      <c r="G559" t="s">
        <v>8550</v>
      </c>
    </row>
    <row r="560" spans="1:7">
      <c r="A560" t="s">
        <v>3208</v>
      </c>
      <c r="C560" t="s">
        <v>8394</v>
      </c>
      <c r="D560" t="s">
        <v>8401</v>
      </c>
      <c r="E560" t="s">
        <v>8445</v>
      </c>
      <c r="F560" t="s">
        <v>8450</v>
      </c>
      <c r="G560" t="s">
        <v>8550</v>
      </c>
    </row>
    <row r="561" spans="1:7">
      <c r="A561" t="s">
        <v>3209</v>
      </c>
      <c r="C561" t="s">
        <v>8394</v>
      </c>
      <c r="D561" t="s">
        <v>8401</v>
      </c>
      <c r="E561" t="s">
        <v>8445</v>
      </c>
      <c r="F561" t="s">
        <v>8450</v>
      </c>
      <c r="G561" t="s">
        <v>8550</v>
      </c>
    </row>
    <row r="562" spans="1:7">
      <c r="A562" t="s">
        <v>3210</v>
      </c>
      <c r="C562" t="s">
        <v>8394</v>
      </c>
      <c r="D562" t="s">
        <v>8401</v>
      </c>
      <c r="E562" t="s">
        <v>8445</v>
      </c>
      <c r="F562" t="s">
        <v>8450</v>
      </c>
      <c r="G562" t="s">
        <v>8550</v>
      </c>
    </row>
    <row r="563" spans="1:7">
      <c r="A563" t="s">
        <v>3211</v>
      </c>
      <c r="C563" t="s">
        <v>8394</v>
      </c>
      <c r="D563" t="s">
        <v>8401</v>
      </c>
      <c r="E563" t="s">
        <v>8445</v>
      </c>
      <c r="F563" t="s">
        <v>8450</v>
      </c>
      <c r="G563" t="s">
        <v>8550</v>
      </c>
    </row>
    <row r="564" spans="1:7">
      <c r="A564" t="s">
        <v>3212</v>
      </c>
      <c r="C564" t="s">
        <v>8394</v>
      </c>
      <c r="D564" t="s">
        <v>8401</v>
      </c>
      <c r="E564" t="s">
        <v>8445</v>
      </c>
      <c r="F564" t="s">
        <v>8450</v>
      </c>
      <c r="G564" t="s">
        <v>8550</v>
      </c>
    </row>
    <row r="565" spans="1:7">
      <c r="A565" t="s">
        <v>3213</v>
      </c>
      <c r="C565" t="s">
        <v>8394</v>
      </c>
      <c r="D565" t="s">
        <v>8401</v>
      </c>
      <c r="E565" t="s">
        <v>8445</v>
      </c>
      <c r="F565" t="s">
        <v>8450</v>
      </c>
      <c r="G565" t="s">
        <v>8550</v>
      </c>
    </row>
    <row r="566" spans="1:7">
      <c r="A566" t="s">
        <v>3214</v>
      </c>
      <c r="C566" t="s">
        <v>8394</v>
      </c>
      <c r="D566" t="s">
        <v>8401</v>
      </c>
      <c r="E566" t="s">
        <v>8445</v>
      </c>
      <c r="F566" t="s">
        <v>8450</v>
      </c>
      <c r="G566" t="s">
        <v>8550</v>
      </c>
    </row>
    <row r="567" spans="1:7">
      <c r="A567" t="s">
        <v>3215</v>
      </c>
      <c r="C567" t="s">
        <v>8394</v>
      </c>
      <c r="D567" t="s">
        <v>8401</v>
      </c>
      <c r="E567" t="s">
        <v>8445</v>
      </c>
      <c r="F567" t="s">
        <v>8450</v>
      </c>
      <c r="G567" t="s">
        <v>8550</v>
      </c>
    </row>
    <row r="568" spans="1:7">
      <c r="A568" t="s">
        <v>3216</v>
      </c>
      <c r="C568" t="s">
        <v>8394</v>
      </c>
      <c r="D568" t="s">
        <v>8401</v>
      </c>
      <c r="E568" t="s">
        <v>8445</v>
      </c>
      <c r="F568" t="s">
        <v>8450</v>
      </c>
      <c r="G568" t="s">
        <v>8550</v>
      </c>
    </row>
    <row r="569" spans="1:7">
      <c r="A569" t="s">
        <v>3217</v>
      </c>
      <c r="C569" t="s">
        <v>8394</v>
      </c>
      <c r="D569" t="s">
        <v>8401</v>
      </c>
      <c r="E569" t="s">
        <v>8445</v>
      </c>
      <c r="F569" t="s">
        <v>8450</v>
      </c>
      <c r="G569" t="s">
        <v>8550</v>
      </c>
    </row>
    <row r="570" spans="1:7">
      <c r="A570" t="s">
        <v>3218</v>
      </c>
      <c r="C570" t="s">
        <v>8394</v>
      </c>
      <c r="D570" t="s">
        <v>8401</v>
      </c>
      <c r="E570" t="s">
        <v>8445</v>
      </c>
      <c r="F570" t="s">
        <v>8450</v>
      </c>
      <c r="G570" t="s">
        <v>8550</v>
      </c>
    </row>
    <row r="571" spans="1:7">
      <c r="A571" t="s">
        <v>3219</v>
      </c>
      <c r="C571" t="s">
        <v>8394</v>
      </c>
      <c r="D571" t="s">
        <v>8401</v>
      </c>
      <c r="E571" t="s">
        <v>8445</v>
      </c>
      <c r="F571" t="s">
        <v>8450</v>
      </c>
      <c r="G571" t="s">
        <v>8550</v>
      </c>
    </row>
    <row r="572" spans="1:7">
      <c r="A572" t="s">
        <v>3220</v>
      </c>
      <c r="C572" t="s">
        <v>8394</v>
      </c>
      <c r="D572" t="s">
        <v>8401</v>
      </c>
      <c r="E572" t="s">
        <v>8445</v>
      </c>
      <c r="F572" t="s">
        <v>8450</v>
      </c>
      <c r="G572" t="s">
        <v>8550</v>
      </c>
    </row>
    <row r="573" spans="1:7">
      <c r="A573" t="s">
        <v>3221</v>
      </c>
      <c r="C573" t="s">
        <v>8394</v>
      </c>
      <c r="D573" t="s">
        <v>8401</v>
      </c>
      <c r="E573" t="s">
        <v>8445</v>
      </c>
      <c r="F573" t="s">
        <v>8450</v>
      </c>
      <c r="G573" t="s">
        <v>8550</v>
      </c>
    </row>
    <row r="574" spans="1:7">
      <c r="A574" t="s">
        <v>3222</v>
      </c>
      <c r="C574" t="s">
        <v>8394</v>
      </c>
      <c r="D574" t="s">
        <v>8401</v>
      </c>
      <c r="E574" t="s">
        <v>8445</v>
      </c>
      <c r="F574" t="s">
        <v>8450</v>
      </c>
      <c r="G574" t="s">
        <v>8550</v>
      </c>
    </row>
    <row r="575" spans="1:7">
      <c r="A575" t="s">
        <v>3223</v>
      </c>
      <c r="C575" t="s">
        <v>8394</v>
      </c>
      <c r="D575" t="s">
        <v>8401</v>
      </c>
      <c r="E575" t="s">
        <v>8445</v>
      </c>
      <c r="F575" t="s">
        <v>8450</v>
      </c>
      <c r="G575" t="s">
        <v>8550</v>
      </c>
    </row>
    <row r="576" spans="1:7">
      <c r="A576" t="s">
        <v>3224</v>
      </c>
      <c r="C576" t="s">
        <v>8394</v>
      </c>
      <c r="D576" t="s">
        <v>8401</v>
      </c>
      <c r="E576" t="s">
        <v>8445</v>
      </c>
      <c r="F576" t="s">
        <v>8450</v>
      </c>
      <c r="G576" t="s">
        <v>8550</v>
      </c>
    </row>
    <row r="577" spans="1:7">
      <c r="A577" t="s">
        <v>3225</v>
      </c>
      <c r="C577" t="s">
        <v>8394</v>
      </c>
      <c r="D577" t="s">
        <v>8401</v>
      </c>
      <c r="E577" t="s">
        <v>8445</v>
      </c>
      <c r="F577" t="s">
        <v>8450</v>
      </c>
      <c r="G577" t="s">
        <v>8550</v>
      </c>
    </row>
    <row r="578" spans="1:7">
      <c r="A578" t="s">
        <v>3226</v>
      </c>
      <c r="C578" t="s">
        <v>8394</v>
      </c>
      <c r="D578" t="s">
        <v>8401</v>
      </c>
      <c r="E578" t="s">
        <v>8445</v>
      </c>
      <c r="F578" t="s">
        <v>8450</v>
      </c>
      <c r="G578" t="s">
        <v>8550</v>
      </c>
    </row>
    <row r="579" spans="1:7">
      <c r="A579" t="s">
        <v>3227</v>
      </c>
      <c r="C579" t="s">
        <v>8394</v>
      </c>
      <c r="D579" t="s">
        <v>8401</v>
      </c>
      <c r="E579" t="s">
        <v>8445</v>
      </c>
      <c r="F579" t="s">
        <v>8450</v>
      </c>
      <c r="G579" t="s">
        <v>8550</v>
      </c>
    </row>
    <row r="580" spans="1:7">
      <c r="A580" t="s">
        <v>3228</v>
      </c>
      <c r="C580" t="s">
        <v>8394</v>
      </c>
      <c r="D580" t="s">
        <v>8401</v>
      </c>
      <c r="E580" t="s">
        <v>8445</v>
      </c>
      <c r="F580" t="s">
        <v>8450</v>
      </c>
      <c r="G580" t="s">
        <v>8550</v>
      </c>
    </row>
    <row r="581" spans="1:7">
      <c r="A581" t="s">
        <v>3229</v>
      </c>
      <c r="C581" t="s">
        <v>8394</v>
      </c>
      <c r="D581" t="s">
        <v>8401</v>
      </c>
      <c r="E581" t="s">
        <v>8445</v>
      </c>
      <c r="F581" t="s">
        <v>8450</v>
      </c>
      <c r="G581" t="s">
        <v>8550</v>
      </c>
    </row>
    <row r="582" spans="1:7">
      <c r="A582" t="s">
        <v>3230</v>
      </c>
      <c r="C582" t="s">
        <v>8394</v>
      </c>
      <c r="D582" t="s">
        <v>8401</v>
      </c>
      <c r="E582" t="s">
        <v>8445</v>
      </c>
      <c r="F582" t="s">
        <v>8450</v>
      </c>
      <c r="G582" t="s">
        <v>8550</v>
      </c>
    </row>
    <row r="583" spans="1:7">
      <c r="A583" t="s">
        <v>3231</v>
      </c>
      <c r="C583" t="s">
        <v>8394</v>
      </c>
      <c r="D583" t="s">
        <v>8401</v>
      </c>
      <c r="E583" t="s">
        <v>8445</v>
      </c>
      <c r="F583" t="s">
        <v>8450</v>
      </c>
      <c r="G583" t="s">
        <v>8550</v>
      </c>
    </row>
    <row r="584" spans="1:7">
      <c r="A584" t="s">
        <v>3232</v>
      </c>
      <c r="C584" t="s">
        <v>8394</v>
      </c>
      <c r="D584" t="s">
        <v>8401</v>
      </c>
      <c r="E584" t="s">
        <v>8445</v>
      </c>
      <c r="F584" t="s">
        <v>8450</v>
      </c>
      <c r="G584" t="s">
        <v>8550</v>
      </c>
    </row>
    <row r="585" spans="1:7">
      <c r="A585" t="s">
        <v>3105</v>
      </c>
      <c r="C585" t="s">
        <v>8393</v>
      </c>
      <c r="D585" t="s">
        <v>8393</v>
      </c>
      <c r="E585" t="s">
        <v>919</v>
      </c>
      <c r="F585" t="s">
        <v>8393</v>
      </c>
    </row>
    <row r="586" spans="1:7">
      <c r="A586" t="s">
        <v>3106</v>
      </c>
      <c r="C586" t="s">
        <v>8394</v>
      </c>
      <c r="D586" t="s">
        <v>8401</v>
      </c>
      <c r="E586" t="s">
        <v>8445</v>
      </c>
      <c r="F586" t="s">
        <v>8450</v>
      </c>
      <c r="G586" t="s">
        <v>8550</v>
      </c>
    </row>
    <row r="587" spans="1:7">
      <c r="A587" t="s">
        <v>3107</v>
      </c>
      <c r="C587" t="s">
        <v>8394</v>
      </c>
      <c r="D587" t="s">
        <v>8401</v>
      </c>
      <c r="E587" t="s">
        <v>8445</v>
      </c>
      <c r="F587" t="s">
        <v>8450</v>
      </c>
      <c r="G587" t="s">
        <v>8550</v>
      </c>
    </row>
    <row r="588" spans="1:7">
      <c r="A588" t="s">
        <v>3108</v>
      </c>
      <c r="C588" t="s">
        <v>8394</v>
      </c>
      <c r="D588" t="s">
        <v>8401</v>
      </c>
      <c r="E588" t="s">
        <v>8445</v>
      </c>
      <c r="F588" t="s">
        <v>8450</v>
      </c>
      <c r="G588" t="s">
        <v>8550</v>
      </c>
    </row>
    <row r="589" spans="1:7">
      <c r="A589" t="s">
        <v>3109</v>
      </c>
      <c r="C589" t="s">
        <v>8394</v>
      </c>
      <c r="D589" t="s">
        <v>8401</v>
      </c>
      <c r="E589" t="s">
        <v>8445</v>
      </c>
      <c r="F589" t="s">
        <v>8450</v>
      </c>
      <c r="G589" t="s">
        <v>8550</v>
      </c>
    </row>
    <row r="590" spans="1:7">
      <c r="A590" t="s">
        <v>3110</v>
      </c>
      <c r="C590" t="s">
        <v>8394</v>
      </c>
      <c r="D590" t="s">
        <v>8401</v>
      </c>
      <c r="E590" t="s">
        <v>8445</v>
      </c>
      <c r="F590" t="s">
        <v>8450</v>
      </c>
      <c r="G590" t="s">
        <v>8550</v>
      </c>
    </row>
    <row r="591" spans="1:7">
      <c r="A591" t="s">
        <v>3111</v>
      </c>
      <c r="C591" t="s">
        <v>8394</v>
      </c>
      <c r="D591" t="s">
        <v>8401</v>
      </c>
      <c r="E591" t="s">
        <v>8445</v>
      </c>
      <c r="F591" t="s">
        <v>8450</v>
      </c>
      <c r="G591" t="s">
        <v>8550</v>
      </c>
    </row>
    <row r="592" spans="1:7">
      <c r="A592" t="s">
        <v>3112</v>
      </c>
      <c r="C592" t="s">
        <v>8394</v>
      </c>
      <c r="D592" t="s">
        <v>8401</v>
      </c>
      <c r="E592" t="s">
        <v>8445</v>
      </c>
      <c r="F592" t="s">
        <v>8450</v>
      </c>
      <c r="G592" t="s">
        <v>8551</v>
      </c>
    </row>
    <row r="593" spans="1:7">
      <c r="A593" t="s">
        <v>3113</v>
      </c>
      <c r="C593" t="s">
        <v>8394</v>
      </c>
      <c r="D593" t="s">
        <v>8401</v>
      </c>
      <c r="E593" t="s">
        <v>8445</v>
      </c>
      <c r="F593" t="s">
        <v>8450</v>
      </c>
      <c r="G593" t="s">
        <v>8550</v>
      </c>
    </row>
    <row r="594" spans="1:7">
      <c r="A594" t="s">
        <v>3114</v>
      </c>
      <c r="C594" t="s">
        <v>8394</v>
      </c>
      <c r="D594" t="s">
        <v>8401</v>
      </c>
      <c r="E594" t="s">
        <v>8445</v>
      </c>
      <c r="F594" t="s">
        <v>8450</v>
      </c>
      <c r="G594" t="s">
        <v>8550</v>
      </c>
    </row>
    <row r="595" spans="1:7">
      <c r="A595" t="s">
        <v>3115</v>
      </c>
      <c r="C595" t="s">
        <v>8394</v>
      </c>
      <c r="D595" t="s">
        <v>8401</v>
      </c>
      <c r="E595" t="s">
        <v>8445</v>
      </c>
      <c r="F595" t="s">
        <v>8450</v>
      </c>
      <c r="G595" t="s">
        <v>8550</v>
      </c>
    </row>
    <row r="596" spans="1:7">
      <c r="A596" t="s">
        <v>3116</v>
      </c>
      <c r="C596" t="s">
        <v>8394</v>
      </c>
      <c r="D596" t="s">
        <v>8401</v>
      </c>
      <c r="E596" t="s">
        <v>8445</v>
      </c>
      <c r="F596" t="s">
        <v>8450</v>
      </c>
      <c r="G596" t="s">
        <v>8550</v>
      </c>
    </row>
    <row r="597" spans="1:7">
      <c r="A597" t="s">
        <v>3117</v>
      </c>
      <c r="C597" t="s">
        <v>8394</v>
      </c>
      <c r="D597" t="s">
        <v>8401</v>
      </c>
      <c r="E597" t="s">
        <v>8445</v>
      </c>
      <c r="F597" t="s">
        <v>8450</v>
      </c>
      <c r="G597" t="s">
        <v>8550</v>
      </c>
    </row>
    <row r="598" spans="1:7">
      <c r="A598" t="s">
        <v>3118</v>
      </c>
      <c r="C598" t="s">
        <v>8394</v>
      </c>
      <c r="D598" t="s">
        <v>8401</v>
      </c>
      <c r="E598" t="s">
        <v>8445</v>
      </c>
      <c r="F598" t="s">
        <v>8450</v>
      </c>
      <c r="G598" t="s">
        <v>8550</v>
      </c>
    </row>
    <row r="599" spans="1:7">
      <c r="A599" t="s">
        <v>3119</v>
      </c>
      <c r="C599" t="s">
        <v>8394</v>
      </c>
      <c r="D599" t="s">
        <v>8401</v>
      </c>
      <c r="E599" t="s">
        <v>8445</v>
      </c>
      <c r="F599" t="s">
        <v>8450</v>
      </c>
      <c r="G599" t="s">
        <v>8550</v>
      </c>
    </row>
    <row r="600" spans="1:7">
      <c r="A600" t="s">
        <v>3120</v>
      </c>
      <c r="C600" t="s">
        <v>8394</v>
      </c>
      <c r="D600" t="s">
        <v>8401</v>
      </c>
      <c r="E600" t="s">
        <v>8445</v>
      </c>
      <c r="F600" t="s">
        <v>8450</v>
      </c>
      <c r="G600" t="s">
        <v>8550</v>
      </c>
    </row>
    <row r="601" spans="1:7">
      <c r="A601" t="s">
        <v>3121</v>
      </c>
      <c r="C601" t="s">
        <v>8394</v>
      </c>
      <c r="D601" t="s">
        <v>8401</v>
      </c>
      <c r="E601" t="s">
        <v>8445</v>
      </c>
      <c r="F601" t="s">
        <v>8450</v>
      </c>
      <c r="G601" t="s">
        <v>8550</v>
      </c>
    </row>
    <row r="602" spans="1:7">
      <c r="A602" t="s">
        <v>3122</v>
      </c>
      <c r="C602" t="s">
        <v>8394</v>
      </c>
      <c r="D602" t="s">
        <v>8401</v>
      </c>
      <c r="E602" t="s">
        <v>8445</v>
      </c>
      <c r="F602" t="s">
        <v>8450</v>
      </c>
      <c r="G602" t="s">
        <v>8550</v>
      </c>
    </row>
    <row r="603" spans="1:7">
      <c r="A603" t="s">
        <v>3123</v>
      </c>
      <c r="C603" t="s">
        <v>8394</v>
      </c>
      <c r="D603" t="s">
        <v>8401</v>
      </c>
      <c r="E603" t="s">
        <v>8445</v>
      </c>
      <c r="F603" t="s">
        <v>8450</v>
      </c>
      <c r="G603" t="s">
        <v>8550</v>
      </c>
    </row>
    <row r="604" spans="1:7">
      <c r="A604" t="s">
        <v>3124</v>
      </c>
      <c r="C604" t="s">
        <v>8394</v>
      </c>
      <c r="D604" t="s">
        <v>8401</v>
      </c>
      <c r="E604" t="s">
        <v>8445</v>
      </c>
      <c r="F604" t="s">
        <v>8450</v>
      </c>
      <c r="G604" t="s">
        <v>8550</v>
      </c>
    </row>
    <row r="605" spans="1:7">
      <c r="A605" t="s">
        <v>3125</v>
      </c>
      <c r="C605" t="s">
        <v>8394</v>
      </c>
      <c r="D605" t="s">
        <v>8401</v>
      </c>
      <c r="E605" t="s">
        <v>8445</v>
      </c>
      <c r="F605" t="s">
        <v>8450</v>
      </c>
      <c r="G605" t="s">
        <v>8550</v>
      </c>
    </row>
    <row r="606" spans="1:7">
      <c r="A606" t="s">
        <v>3126</v>
      </c>
      <c r="C606" t="s">
        <v>8394</v>
      </c>
      <c r="D606" t="s">
        <v>8401</v>
      </c>
      <c r="E606" t="s">
        <v>8445</v>
      </c>
      <c r="F606" t="s">
        <v>8450</v>
      </c>
      <c r="G606" t="s">
        <v>8550</v>
      </c>
    </row>
    <row r="607" spans="1:7">
      <c r="A607" t="s">
        <v>3127</v>
      </c>
      <c r="C607" t="s">
        <v>8394</v>
      </c>
      <c r="D607" t="s">
        <v>8401</v>
      </c>
      <c r="E607" t="s">
        <v>8445</v>
      </c>
      <c r="F607" t="s">
        <v>8450</v>
      </c>
      <c r="G607" t="s">
        <v>8550</v>
      </c>
    </row>
    <row r="608" spans="1:7">
      <c r="A608" t="s">
        <v>3128</v>
      </c>
      <c r="C608" t="s">
        <v>8394</v>
      </c>
      <c r="D608" t="s">
        <v>8401</v>
      </c>
      <c r="E608" t="s">
        <v>8445</v>
      </c>
      <c r="F608" t="s">
        <v>8450</v>
      </c>
      <c r="G608" t="s">
        <v>8550</v>
      </c>
    </row>
    <row r="609" spans="1:7">
      <c r="A609" t="s">
        <v>3129</v>
      </c>
      <c r="C609" t="s">
        <v>8394</v>
      </c>
      <c r="D609" t="s">
        <v>8401</v>
      </c>
      <c r="E609" t="s">
        <v>8445</v>
      </c>
      <c r="F609" t="s">
        <v>8450</v>
      </c>
      <c r="G609" t="s">
        <v>8550</v>
      </c>
    </row>
    <row r="610" spans="1:7">
      <c r="A610" t="s">
        <v>3130</v>
      </c>
      <c r="C610" t="s">
        <v>8394</v>
      </c>
      <c r="D610" t="s">
        <v>8401</v>
      </c>
      <c r="E610" t="s">
        <v>8445</v>
      </c>
      <c r="F610" t="s">
        <v>8450</v>
      </c>
      <c r="G610" t="s">
        <v>8550</v>
      </c>
    </row>
    <row r="611" spans="1:7">
      <c r="A611" t="s">
        <v>3131</v>
      </c>
      <c r="C611" t="s">
        <v>8394</v>
      </c>
      <c r="D611" t="s">
        <v>8401</v>
      </c>
      <c r="E611" t="s">
        <v>8445</v>
      </c>
      <c r="F611" t="s">
        <v>8450</v>
      </c>
      <c r="G611" t="s">
        <v>8550</v>
      </c>
    </row>
    <row r="612" spans="1:7">
      <c r="A612" t="s">
        <v>3132</v>
      </c>
      <c r="C612" t="s">
        <v>8394</v>
      </c>
      <c r="D612" t="s">
        <v>8401</v>
      </c>
      <c r="E612" t="s">
        <v>8445</v>
      </c>
      <c r="F612" t="s">
        <v>8450</v>
      </c>
      <c r="G612" t="s">
        <v>8550</v>
      </c>
    </row>
    <row r="613" spans="1:7">
      <c r="A613" t="s">
        <v>3133</v>
      </c>
      <c r="C613" t="s">
        <v>8394</v>
      </c>
      <c r="D613" t="s">
        <v>8401</v>
      </c>
      <c r="E613" t="s">
        <v>8445</v>
      </c>
      <c r="F613" t="s">
        <v>8450</v>
      </c>
      <c r="G613" t="s">
        <v>8550</v>
      </c>
    </row>
    <row r="614" spans="1:7">
      <c r="A614" t="s">
        <v>3134</v>
      </c>
      <c r="C614" t="s">
        <v>8394</v>
      </c>
      <c r="D614" t="s">
        <v>8401</v>
      </c>
      <c r="E614" t="s">
        <v>8445</v>
      </c>
      <c r="F614" t="s">
        <v>8450</v>
      </c>
      <c r="G614" t="s">
        <v>8550</v>
      </c>
    </row>
    <row r="615" spans="1:7">
      <c r="A615" t="s">
        <v>3135</v>
      </c>
      <c r="C615" t="s">
        <v>8394</v>
      </c>
      <c r="D615" t="s">
        <v>8401</v>
      </c>
      <c r="E615" t="s">
        <v>8445</v>
      </c>
      <c r="F615" t="s">
        <v>8450</v>
      </c>
      <c r="G615" t="s">
        <v>8550</v>
      </c>
    </row>
    <row r="616" spans="1:7">
      <c r="A616" t="s">
        <v>3136</v>
      </c>
      <c r="C616" t="s">
        <v>8394</v>
      </c>
      <c r="D616" t="s">
        <v>8401</v>
      </c>
      <c r="E616" t="s">
        <v>8445</v>
      </c>
      <c r="F616" t="s">
        <v>8450</v>
      </c>
      <c r="G616" t="s">
        <v>8550</v>
      </c>
    </row>
    <row r="617" spans="1:7">
      <c r="A617" t="s">
        <v>3137</v>
      </c>
      <c r="C617" t="s">
        <v>8394</v>
      </c>
      <c r="D617" t="s">
        <v>8401</v>
      </c>
      <c r="E617" t="s">
        <v>8445</v>
      </c>
      <c r="F617" t="s">
        <v>8450</v>
      </c>
      <c r="G617" t="s">
        <v>8550</v>
      </c>
    </row>
    <row r="618" spans="1:7">
      <c r="A618" t="s">
        <v>3138</v>
      </c>
      <c r="C618" t="s">
        <v>8394</v>
      </c>
      <c r="D618" t="s">
        <v>8401</v>
      </c>
      <c r="E618" t="s">
        <v>8445</v>
      </c>
      <c r="F618" t="s">
        <v>8450</v>
      </c>
      <c r="G618" t="s">
        <v>8550</v>
      </c>
    </row>
    <row r="619" spans="1:7">
      <c r="A619" t="s">
        <v>3139</v>
      </c>
      <c r="C619" t="s">
        <v>8394</v>
      </c>
      <c r="D619" t="s">
        <v>8401</v>
      </c>
      <c r="E619" t="s">
        <v>8445</v>
      </c>
      <c r="F619" t="s">
        <v>8450</v>
      </c>
      <c r="G619" t="s">
        <v>8550</v>
      </c>
    </row>
    <row r="620" spans="1:7">
      <c r="A620" t="s">
        <v>3140</v>
      </c>
      <c r="C620" t="s">
        <v>8394</v>
      </c>
      <c r="D620" t="s">
        <v>8401</v>
      </c>
      <c r="E620" t="s">
        <v>8445</v>
      </c>
      <c r="F620" t="s">
        <v>8450</v>
      </c>
      <c r="G620" t="s">
        <v>8550</v>
      </c>
    </row>
    <row r="621" spans="1:7">
      <c r="A621" t="s">
        <v>3141</v>
      </c>
      <c r="C621" t="s">
        <v>8394</v>
      </c>
      <c r="D621" t="s">
        <v>8401</v>
      </c>
      <c r="E621" t="s">
        <v>8445</v>
      </c>
      <c r="F621" t="s">
        <v>8450</v>
      </c>
      <c r="G621" t="s">
        <v>8550</v>
      </c>
    </row>
    <row r="622" spans="1:7">
      <c r="A622" t="s">
        <v>3142</v>
      </c>
      <c r="C622" t="s">
        <v>8394</v>
      </c>
      <c r="D622" t="s">
        <v>8401</v>
      </c>
      <c r="E622" t="s">
        <v>8445</v>
      </c>
      <c r="F622" t="s">
        <v>8450</v>
      </c>
      <c r="G622" t="s">
        <v>8550</v>
      </c>
    </row>
    <row r="623" spans="1:7">
      <c r="A623" t="s">
        <v>3143</v>
      </c>
      <c r="C623" t="s">
        <v>8394</v>
      </c>
      <c r="D623" t="s">
        <v>8401</v>
      </c>
      <c r="E623" t="s">
        <v>8445</v>
      </c>
      <c r="F623" t="s">
        <v>8450</v>
      </c>
      <c r="G623" t="s">
        <v>8550</v>
      </c>
    </row>
    <row r="624" spans="1:7">
      <c r="A624" t="s">
        <v>3144</v>
      </c>
      <c r="C624" t="s">
        <v>8394</v>
      </c>
      <c r="D624" t="s">
        <v>8401</v>
      </c>
      <c r="E624" t="s">
        <v>8445</v>
      </c>
      <c r="F624" t="s">
        <v>8450</v>
      </c>
      <c r="G624" t="s">
        <v>8550</v>
      </c>
    </row>
    <row r="625" spans="1:7">
      <c r="A625" t="s">
        <v>3145</v>
      </c>
      <c r="C625" t="s">
        <v>8394</v>
      </c>
      <c r="D625" t="s">
        <v>8401</v>
      </c>
      <c r="E625" t="s">
        <v>8445</v>
      </c>
      <c r="F625" t="s">
        <v>8450</v>
      </c>
      <c r="G625" t="s">
        <v>8550</v>
      </c>
    </row>
    <row r="626" spans="1:7">
      <c r="A626" t="s">
        <v>3146</v>
      </c>
      <c r="C626" t="s">
        <v>8394</v>
      </c>
      <c r="D626" t="s">
        <v>8401</v>
      </c>
      <c r="E626" t="s">
        <v>8445</v>
      </c>
      <c r="F626" t="s">
        <v>8450</v>
      </c>
      <c r="G626" t="s">
        <v>8550</v>
      </c>
    </row>
    <row r="627" spans="1:7">
      <c r="A627" t="s">
        <v>3147</v>
      </c>
      <c r="C627" t="s">
        <v>8394</v>
      </c>
      <c r="D627" t="s">
        <v>8401</v>
      </c>
      <c r="E627" t="s">
        <v>8445</v>
      </c>
      <c r="F627" t="s">
        <v>8450</v>
      </c>
      <c r="G627" t="s">
        <v>8550</v>
      </c>
    </row>
    <row r="628" spans="1:7">
      <c r="A628" t="s">
        <v>3148</v>
      </c>
      <c r="C628" t="s">
        <v>8394</v>
      </c>
      <c r="D628" t="s">
        <v>8401</v>
      </c>
      <c r="E628" t="s">
        <v>8445</v>
      </c>
      <c r="F628" t="s">
        <v>8450</v>
      </c>
      <c r="G628" t="s">
        <v>8550</v>
      </c>
    </row>
    <row r="629" spans="1:7">
      <c r="A629" t="s">
        <v>3149</v>
      </c>
      <c r="C629" t="s">
        <v>8394</v>
      </c>
      <c r="D629" t="s">
        <v>8401</v>
      </c>
      <c r="E629" t="s">
        <v>8445</v>
      </c>
      <c r="F629" t="s">
        <v>8450</v>
      </c>
      <c r="G629" t="s">
        <v>8550</v>
      </c>
    </row>
    <row r="630" spans="1:7">
      <c r="A630" t="s">
        <v>3150</v>
      </c>
      <c r="C630" t="s">
        <v>8394</v>
      </c>
      <c r="D630" t="s">
        <v>8401</v>
      </c>
      <c r="E630" t="s">
        <v>8445</v>
      </c>
      <c r="F630" t="s">
        <v>8450</v>
      </c>
      <c r="G630" t="s">
        <v>8550</v>
      </c>
    </row>
    <row r="631" spans="1:7">
      <c r="A631" t="s">
        <v>3151</v>
      </c>
      <c r="C631" t="s">
        <v>8394</v>
      </c>
      <c r="D631" t="s">
        <v>8401</v>
      </c>
      <c r="E631" t="s">
        <v>8445</v>
      </c>
      <c r="F631" t="s">
        <v>8450</v>
      </c>
      <c r="G631" t="s">
        <v>8550</v>
      </c>
    </row>
    <row r="632" spans="1:7">
      <c r="A632" t="s">
        <v>3152</v>
      </c>
      <c r="C632" t="s">
        <v>8394</v>
      </c>
      <c r="D632" t="s">
        <v>8401</v>
      </c>
      <c r="E632" t="s">
        <v>8445</v>
      </c>
      <c r="F632" t="s">
        <v>8450</v>
      </c>
      <c r="G632" t="s">
        <v>8550</v>
      </c>
    </row>
    <row r="633" spans="1:7">
      <c r="A633" t="s">
        <v>3153</v>
      </c>
      <c r="C633" t="s">
        <v>8394</v>
      </c>
      <c r="D633" t="s">
        <v>8401</v>
      </c>
      <c r="E633" t="s">
        <v>8445</v>
      </c>
      <c r="F633" t="s">
        <v>8450</v>
      </c>
      <c r="G633" t="s">
        <v>8550</v>
      </c>
    </row>
    <row r="634" spans="1:7">
      <c r="A634" t="s">
        <v>3154</v>
      </c>
      <c r="C634" t="s">
        <v>8394</v>
      </c>
      <c r="D634" t="s">
        <v>8401</v>
      </c>
      <c r="E634" t="s">
        <v>8445</v>
      </c>
      <c r="F634" t="s">
        <v>8450</v>
      </c>
      <c r="G634" t="s">
        <v>8550</v>
      </c>
    </row>
    <row r="635" spans="1:7">
      <c r="A635" t="s">
        <v>3155</v>
      </c>
      <c r="C635" t="s">
        <v>8394</v>
      </c>
      <c r="D635" t="s">
        <v>8401</v>
      </c>
      <c r="E635" t="s">
        <v>8445</v>
      </c>
      <c r="F635" t="s">
        <v>8450</v>
      </c>
      <c r="G635" t="s">
        <v>8550</v>
      </c>
    </row>
    <row r="636" spans="1:7">
      <c r="A636" t="s">
        <v>3156</v>
      </c>
      <c r="C636" t="s">
        <v>8394</v>
      </c>
      <c r="D636" t="s">
        <v>8401</v>
      </c>
      <c r="E636" t="s">
        <v>8445</v>
      </c>
      <c r="F636" t="s">
        <v>8450</v>
      </c>
      <c r="G636" t="s">
        <v>8550</v>
      </c>
    </row>
    <row r="637" spans="1:7">
      <c r="A637" t="s">
        <v>3157</v>
      </c>
      <c r="C637" t="s">
        <v>8394</v>
      </c>
      <c r="D637" t="s">
        <v>8401</v>
      </c>
      <c r="E637" t="s">
        <v>8445</v>
      </c>
      <c r="F637" t="s">
        <v>8450</v>
      </c>
      <c r="G637" t="s">
        <v>8550</v>
      </c>
    </row>
    <row r="638" spans="1:7">
      <c r="A638" t="s">
        <v>3158</v>
      </c>
      <c r="C638" t="s">
        <v>8394</v>
      </c>
      <c r="D638" t="s">
        <v>8401</v>
      </c>
      <c r="E638" t="s">
        <v>8445</v>
      </c>
      <c r="F638" t="s">
        <v>8450</v>
      </c>
      <c r="G638" t="s">
        <v>8550</v>
      </c>
    </row>
    <row r="639" spans="1:7">
      <c r="A639" t="s">
        <v>3159</v>
      </c>
      <c r="C639" t="s">
        <v>8394</v>
      </c>
      <c r="D639" t="s">
        <v>8401</v>
      </c>
      <c r="E639" t="s">
        <v>8445</v>
      </c>
      <c r="F639" t="s">
        <v>8450</v>
      </c>
      <c r="G639" t="s">
        <v>8550</v>
      </c>
    </row>
    <row r="640" spans="1:7">
      <c r="A640" t="s">
        <v>3160</v>
      </c>
      <c r="C640" t="s">
        <v>8394</v>
      </c>
      <c r="D640" t="s">
        <v>8401</v>
      </c>
      <c r="E640" t="s">
        <v>8445</v>
      </c>
      <c r="F640" t="s">
        <v>8450</v>
      </c>
      <c r="G640" t="s">
        <v>8550</v>
      </c>
    </row>
    <row r="641" spans="1:7">
      <c r="A641" t="s">
        <v>3161</v>
      </c>
      <c r="C641" t="s">
        <v>8394</v>
      </c>
      <c r="D641" t="s">
        <v>8401</v>
      </c>
      <c r="E641" t="s">
        <v>8445</v>
      </c>
      <c r="F641" t="s">
        <v>8450</v>
      </c>
      <c r="G641" t="s">
        <v>8550</v>
      </c>
    </row>
    <row r="642" spans="1:7">
      <c r="A642" t="s">
        <v>3162</v>
      </c>
      <c r="C642" t="s">
        <v>8394</v>
      </c>
      <c r="D642" t="s">
        <v>8401</v>
      </c>
      <c r="E642" t="s">
        <v>8445</v>
      </c>
      <c r="F642" t="s">
        <v>8450</v>
      </c>
      <c r="G642" t="s">
        <v>8550</v>
      </c>
    </row>
    <row r="643" spans="1:7">
      <c r="A643" t="s">
        <v>3163</v>
      </c>
      <c r="C643" t="s">
        <v>8394</v>
      </c>
      <c r="D643" t="s">
        <v>8401</v>
      </c>
      <c r="E643" t="s">
        <v>8445</v>
      </c>
      <c r="F643" t="s">
        <v>8450</v>
      </c>
      <c r="G643" t="s">
        <v>8550</v>
      </c>
    </row>
    <row r="644" spans="1:7">
      <c r="A644" t="s">
        <v>3164</v>
      </c>
      <c r="C644" t="s">
        <v>8394</v>
      </c>
      <c r="D644" t="s">
        <v>8401</v>
      </c>
      <c r="E644" t="s">
        <v>8445</v>
      </c>
      <c r="F644" t="s">
        <v>8450</v>
      </c>
      <c r="G644" t="s">
        <v>8550</v>
      </c>
    </row>
    <row r="645" spans="1:7">
      <c r="A645" t="s">
        <v>3165</v>
      </c>
      <c r="C645" t="s">
        <v>8394</v>
      </c>
      <c r="D645" t="s">
        <v>8401</v>
      </c>
      <c r="E645" t="s">
        <v>8445</v>
      </c>
      <c r="F645" t="s">
        <v>8450</v>
      </c>
      <c r="G645" t="s">
        <v>8550</v>
      </c>
    </row>
    <row r="646" spans="1:7">
      <c r="A646" t="s">
        <v>3166</v>
      </c>
      <c r="C646" t="s">
        <v>8394</v>
      </c>
      <c r="D646" t="s">
        <v>8401</v>
      </c>
      <c r="E646" t="s">
        <v>8445</v>
      </c>
      <c r="F646" t="s">
        <v>8450</v>
      </c>
      <c r="G646" t="s">
        <v>8550</v>
      </c>
    </row>
    <row r="647" spans="1:7">
      <c r="A647" t="s">
        <v>3167</v>
      </c>
      <c r="C647" t="s">
        <v>8394</v>
      </c>
      <c r="D647" t="s">
        <v>8401</v>
      </c>
      <c r="E647" t="s">
        <v>8445</v>
      </c>
      <c r="F647" t="s">
        <v>8450</v>
      </c>
      <c r="G647" t="s">
        <v>8550</v>
      </c>
    </row>
    <row r="648" spans="1:7">
      <c r="A648" t="s">
        <v>3168</v>
      </c>
      <c r="C648" t="s">
        <v>8394</v>
      </c>
      <c r="D648" t="s">
        <v>8401</v>
      </c>
      <c r="E648" t="s">
        <v>8445</v>
      </c>
      <c r="F648" t="s">
        <v>8450</v>
      </c>
      <c r="G648" t="s">
        <v>8550</v>
      </c>
    </row>
    <row r="649" spans="1:7">
      <c r="A649" t="s">
        <v>3169</v>
      </c>
      <c r="C649" t="s">
        <v>8394</v>
      </c>
      <c r="D649" t="s">
        <v>8401</v>
      </c>
      <c r="E649" t="s">
        <v>8445</v>
      </c>
      <c r="F649" t="s">
        <v>8450</v>
      </c>
      <c r="G649" t="s">
        <v>8550</v>
      </c>
    </row>
    <row r="650" spans="1:7">
      <c r="A650" t="s">
        <v>3170</v>
      </c>
      <c r="C650" t="s">
        <v>8394</v>
      </c>
      <c r="D650" t="s">
        <v>8401</v>
      </c>
      <c r="E650" t="s">
        <v>8445</v>
      </c>
      <c r="F650" t="s">
        <v>8450</v>
      </c>
      <c r="G650" t="s">
        <v>8550</v>
      </c>
    </row>
    <row r="651" spans="1:7">
      <c r="A651" t="s">
        <v>3171</v>
      </c>
      <c r="C651" t="s">
        <v>8394</v>
      </c>
      <c r="D651" t="s">
        <v>8401</v>
      </c>
      <c r="E651" t="s">
        <v>8445</v>
      </c>
      <c r="F651" t="s">
        <v>8450</v>
      </c>
      <c r="G651" t="s">
        <v>8550</v>
      </c>
    </row>
    <row r="652" spans="1:7">
      <c r="A652" t="s">
        <v>3172</v>
      </c>
      <c r="C652" t="s">
        <v>8394</v>
      </c>
      <c r="D652" t="s">
        <v>8401</v>
      </c>
      <c r="E652" t="s">
        <v>8445</v>
      </c>
      <c r="F652" t="s">
        <v>8450</v>
      </c>
      <c r="G652" t="s">
        <v>8550</v>
      </c>
    </row>
    <row r="653" spans="1:7">
      <c r="A653" t="s">
        <v>3173</v>
      </c>
      <c r="C653" t="s">
        <v>8394</v>
      </c>
      <c r="D653" t="s">
        <v>8401</v>
      </c>
      <c r="E653" t="s">
        <v>8445</v>
      </c>
      <c r="F653" t="s">
        <v>8450</v>
      </c>
      <c r="G653" t="s">
        <v>8550</v>
      </c>
    </row>
    <row r="654" spans="1:7">
      <c r="A654" t="s">
        <v>3174</v>
      </c>
      <c r="C654" t="s">
        <v>8394</v>
      </c>
      <c r="D654" t="s">
        <v>8401</v>
      </c>
      <c r="E654" t="s">
        <v>8445</v>
      </c>
      <c r="F654" t="s">
        <v>8450</v>
      </c>
      <c r="G654" t="s">
        <v>8550</v>
      </c>
    </row>
    <row r="655" spans="1:7">
      <c r="A655" t="s">
        <v>3175</v>
      </c>
      <c r="C655" t="s">
        <v>8394</v>
      </c>
      <c r="D655" t="s">
        <v>8401</v>
      </c>
      <c r="E655" t="s">
        <v>8445</v>
      </c>
      <c r="F655" t="s">
        <v>8450</v>
      </c>
      <c r="G655" t="s">
        <v>8550</v>
      </c>
    </row>
    <row r="656" spans="1:7">
      <c r="A656" t="s">
        <v>3176</v>
      </c>
      <c r="C656" t="s">
        <v>8394</v>
      </c>
      <c r="D656" t="s">
        <v>8401</v>
      </c>
      <c r="E656" t="s">
        <v>8445</v>
      </c>
      <c r="F656" t="s">
        <v>8450</v>
      </c>
      <c r="G656" t="s">
        <v>8550</v>
      </c>
    </row>
    <row r="657" spans="1:7">
      <c r="A657" t="s">
        <v>3177</v>
      </c>
      <c r="C657" t="s">
        <v>8394</v>
      </c>
      <c r="D657" t="s">
        <v>8401</v>
      </c>
      <c r="E657" t="s">
        <v>8445</v>
      </c>
      <c r="F657" t="s">
        <v>8450</v>
      </c>
      <c r="G657" t="s">
        <v>8550</v>
      </c>
    </row>
    <row r="658" spans="1:7">
      <c r="A658" t="s">
        <v>3178</v>
      </c>
      <c r="C658" t="s">
        <v>8394</v>
      </c>
      <c r="D658" t="s">
        <v>8401</v>
      </c>
      <c r="E658" t="s">
        <v>8445</v>
      </c>
      <c r="F658" t="s">
        <v>8450</v>
      </c>
      <c r="G658" t="s">
        <v>8550</v>
      </c>
    </row>
    <row r="659" spans="1:7">
      <c r="A659" t="s">
        <v>3179</v>
      </c>
      <c r="C659" t="s">
        <v>8394</v>
      </c>
      <c r="D659" t="s">
        <v>8401</v>
      </c>
      <c r="E659" t="s">
        <v>8445</v>
      </c>
      <c r="F659" t="s">
        <v>8450</v>
      </c>
      <c r="G659" t="s">
        <v>8550</v>
      </c>
    </row>
    <row r="660" spans="1:7">
      <c r="A660" t="s">
        <v>3180</v>
      </c>
      <c r="C660" t="s">
        <v>8394</v>
      </c>
      <c r="D660" t="s">
        <v>8401</v>
      </c>
      <c r="E660" t="s">
        <v>8445</v>
      </c>
      <c r="F660" t="s">
        <v>8450</v>
      </c>
      <c r="G660" t="s">
        <v>8550</v>
      </c>
    </row>
    <row r="661" spans="1:7">
      <c r="A661" t="s">
        <v>3181</v>
      </c>
      <c r="C661" t="s">
        <v>8394</v>
      </c>
      <c r="D661" t="s">
        <v>8401</v>
      </c>
      <c r="E661" t="s">
        <v>8445</v>
      </c>
      <c r="F661" t="s">
        <v>8450</v>
      </c>
      <c r="G661" t="s">
        <v>8550</v>
      </c>
    </row>
    <row r="662" spans="1:7">
      <c r="A662" t="s">
        <v>3182</v>
      </c>
      <c r="C662" t="s">
        <v>8394</v>
      </c>
      <c r="D662" t="s">
        <v>8401</v>
      </c>
      <c r="E662" t="s">
        <v>8445</v>
      </c>
      <c r="F662" t="s">
        <v>8450</v>
      </c>
      <c r="G662" t="s">
        <v>8550</v>
      </c>
    </row>
    <row r="663" spans="1:7">
      <c r="A663" t="s">
        <v>3183</v>
      </c>
      <c r="C663" t="s">
        <v>8394</v>
      </c>
      <c r="D663" t="s">
        <v>8401</v>
      </c>
      <c r="E663" t="s">
        <v>8445</v>
      </c>
      <c r="F663" t="s">
        <v>8450</v>
      </c>
      <c r="G663" t="s">
        <v>8550</v>
      </c>
    </row>
    <row r="664" spans="1:7">
      <c r="A664" t="s">
        <v>3184</v>
      </c>
      <c r="C664" t="s">
        <v>8394</v>
      </c>
      <c r="D664" t="s">
        <v>8401</v>
      </c>
      <c r="E664" t="s">
        <v>8445</v>
      </c>
      <c r="F664" t="s">
        <v>8450</v>
      </c>
      <c r="G664" t="s">
        <v>8550</v>
      </c>
    </row>
    <row r="665" spans="1:7">
      <c r="A665" t="s">
        <v>3185</v>
      </c>
      <c r="C665" t="s">
        <v>8394</v>
      </c>
      <c r="D665" t="s">
        <v>8401</v>
      </c>
      <c r="E665" t="s">
        <v>8445</v>
      </c>
      <c r="F665" t="s">
        <v>8450</v>
      </c>
      <c r="G665" t="s">
        <v>8550</v>
      </c>
    </row>
    <row r="666" spans="1:7">
      <c r="A666" t="s">
        <v>3186</v>
      </c>
      <c r="C666" t="s">
        <v>8394</v>
      </c>
      <c r="D666" t="s">
        <v>8401</v>
      </c>
      <c r="E666" t="s">
        <v>8445</v>
      </c>
      <c r="F666" t="s">
        <v>8450</v>
      </c>
      <c r="G666" t="s">
        <v>8550</v>
      </c>
    </row>
    <row r="667" spans="1:7">
      <c r="A667" t="s">
        <v>3187</v>
      </c>
      <c r="C667" t="s">
        <v>8394</v>
      </c>
      <c r="D667" t="s">
        <v>8401</v>
      </c>
      <c r="E667" t="s">
        <v>8445</v>
      </c>
      <c r="F667" t="s">
        <v>8450</v>
      </c>
      <c r="G667" t="s">
        <v>8550</v>
      </c>
    </row>
    <row r="668" spans="1:7">
      <c r="A668" t="s">
        <v>3188</v>
      </c>
      <c r="C668" t="s">
        <v>8394</v>
      </c>
      <c r="D668" t="s">
        <v>8401</v>
      </c>
      <c r="E668" t="s">
        <v>8445</v>
      </c>
      <c r="F668" t="s">
        <v>8450</v>
      </c>
      <c r="G668" t="s">
        <v>8550</v>
      </c>
    </row>
    <row r="669" spans="1:7">
      <c r="A669" t="s">
        <v>3189</v>
      </c>
      <c r="C669" t="s">
        <v>8394</v>
      </c>
      <c r="D669" t="s">
        <v>8401</v>
      </c>
      <c r="E669" t="s">
        <v>8445</v>
      </c>
      <c r="F669" t="s">
        <v>8450</v>
      </c>
      <c r="G669" t="s">
        <v>8550</v>
      </c>
    </row>
    <row r="670" spans="1:7">
      <c r="A670" t="s">
        <v>3190</v>
      </c>
      <c r="C670" t="s">
        <v>8394</v>
      </c>
      <c r="D670" t="s">
        <v>8401</v>
      </c>
      <c r="E670" t="s">
        <v>8445</v>
      </c>
      <c r="F670" t="s">
        <v>8450</v>
      </c>
      <c r="G670" t="s">
        <v>8550</v>
      </c>
    </row>
    <row r="671" spans="1:7">
      <c r="A671" t="s">
        <v>3191</v>
      </c>
      <c r="C671" t="s">
        <v>8394</v>
      </c>
      <c r="D671" t="s">
        <v>8401</v>
      </c>
      <c r="E671" t="s">
        <v>8445</v>
      </c>
      <c r="F671" t="s">
        <v>8450</v>
      </c>
      <c r="G671" t="s">
        <v>8550</v>
      </c>
    </row>
    <row r="672" spans="1:7">
      <c r="A672" t="s">
        <v>3192</v>
      </c>
      <c r="C672" t="s">
        <v>8394</v>
      </c>
      <c r="D672" t="s">
        <v>8401</v>
      </c>
      <c r="E672" t="s">
        <v>8445</v>
      </c>
      <c r="F672" t="s">
        <v>8450</v>
      </c>
      <c r="G672" t="s">
        <v>8550</v>
      </c>
    </row>
    <row r="673" spans="1:7">
      <c r="A673" t="s">
        <v>3193</v>
      </c>
      <c r="C673" t="s">
        <v>8394</v>
      </c>
      <c r="D673" t="s">
        <v>8401</v>
      </c>
      <c r="E673" t="s">
        <v>8445</v>
      </c>
      <c r="F673" t="s">
        <v>8450</v>
      </c>
      <c r="G673" t="s">
        <v>8550</v>
      </c>
    </row>
    <row r="674" spans="1:7">
      <c r="A674" t="s">
        <v>3194</v>
      </c>
      <c r="C674" t="s">
        <v>8394</v>
      </c>
      <c r="D674" t="s">
        <v>8401</v>
      </c>
      <c r="E674" t="s">
        <v>8445</v>
      </c>
      <c r="F674" t="s">
        <v>8450</v>
      </c>
      <c r="G674" t="s">
        <v>8550</v>
      </c>
    </row>
    <row r="675" spans="1:7">
      <c r="A675" t="s">
        <v>3195</v>
      </c>
      <c r="C675" t="s">
        <v>8394</v>
      </c>
      <c r="D675" t="s">
        <v>8401</v>
      </c>
      <c r="E675" t="s">
        <v>8445</v>
      </c>
      <c r="F675" t="s">
        <v>8450</v>
      </c>
      <c r="G675" t="s">
        <v>8550</v>
      </c>
    </row>
    <row r="676" spans="1:7">
      <c r="A676" t="s">
        <v>3196</v>
      </c>
      <c r="C676" t="s">
        <v>8394</v>
      </c>
      <c r="D676" t="s">
        <v>8401</v>
      </c>
      <c r="E676" t="s">
        <v>8445</v>
      </c>
      <c r="F676" t="s">
        <v>8450</v>
      </c>
      <c r="G676" t="s">
        <v>8550</v>
      </c>
    </row>
    <row r="677" spans="1:7">
      <c r="A677" t="s">
        <v>3197</v>
      </c>
      <c r="C677" t="s">
        <v>8394</v>
      </c>
      <c r="D677" t="s">
        <v>8401</v>
      </c>
      <c r="E677" t="s">
        <v>8445</v>
      </c>
      <c r="F677" t="s">
        <v>8450</v>
      </c>
      <c r="G677" t="s">
        <v>8550</v>
      </c>
    </row>
    <row r="678" spans="1:7">
      <c r="A678" t="s">
        <v>3198</v>
      </c>
      <c r="C678" t="s">
        <v>8394</v>
      </c>
      <c r="D678" t="s">
        <v>8401</v>
      </c>
      <c r="E678" t="s">
        <v>8445</v>
      </c>
      <c r="F678" t="s">
        <v>8450</v>
      </c>
      <c r="G678" t="s">
        <v>8550</v>
      </c>
    </row>
    <row r="679" spans="1:7">
      <c r="A679" t="s">
        <v>3199</v>
      </c>
      <c r="C679" t="s">
        <v>8394</v>
      </c>
      <c r="D679" t="s">
        <v>8401</v>
      </c>
      <c r="E679" t="s">
        <v>8445</v>
      </c>
      <c r="F679" t="s">
        <v>8450</v>
      </c>
      <c r="G679" t="s">
        <v>8550</v>
      </c>
    </row>
    <row r="680" spans="1:7">
      <c r="A680" t="s">
        <v>3200</v>
      </c>
      <c r="C680" t="s">
        <v>8394</v>
      </c>
      <c r="D680" t="s">
        <v>8401</v>
      </c>
      <c r="E680" t="s">
        <v>8445</v>
      </c>
      <c r="F680" t="s">
        <v>8450</v>
      </c>
      <c r="G680" t="s">
        <v>8550</v>
      </c>
    </row>
    <row r="681" spans="1:7">
      <c r="A681" t="s">
        <v>3201</v>
      </c>
      <c r="C681" t="s">
        <v>8394</v>
      </c>
      <c r="D681" t="s">
        <v>8401</v>
      </c>
      <c r="E681" t="s">
        <v>8445</v>
      </c>
      <c r="F681" t="s">
        <v>8450</v>
      </c>
      <c r="G681" t="s">
        <v>8550</v>
      </c>
    </row>
    <row r="682" spans="1:7">
      <c r="A682" t="s">
        <v>3202</v>
      </c>
      <c r="C682" t="s">
        <v>8394</v>
      </c>
      <c r="D682" t="s">
        <v>8401</v>
      </c>
      <c r="E682" t="s">
        <v>8445</v>
      </c>
      <c r="F682" t="s">
        <v>8450</v>
      </c>
      <c r="G682" t="s">
        <v>8550</v>
      </c>
    </row>
    <row r="683" spans="1:7">
      <c r="A683" t="s">
        <v>3203</v>
      </c>
      <c r="C683" t="s">
        <v>8394</v>
      </c>
      <c r="D683" t="s">
        <v>8401</v>
      </c>
      <c r="E683" t="s">
        <v>8445</v>
      </c>
      <c r="F683" t="s">
        <v>8450</v>
      </c>
      <c r="G683" t="s">
        <v>8550</v>
      </c>
    </row>
    <row r="684" spans="1:7">
      <c r="A684" t="s">
        <v>3204</v>
      </c>
      <c r="C684" t="s">
        <v>8394</v>
      </c>
      <c r="D684" t="s">
        <v>8401</v>
      </c>
      <c r="E684" t="s">
        <v>8445</v>
      </c>
      <c r="F684" t="s">
        <v>8450</v>
      </c>
      <c r="G684" t="s">
        <v>8550</v>
      </c>
    </row>
    <row r="685" spans="1:7">
      <c r="A685" t="s">
        <v>3205</v>
      </c>
      <c r="C685" t="s">
        <v>8394</v>
      </c>
      <c r="D685" t="s">
        <v>8401</v>
      </c>
      <c r="E685" t="s">
        <v>8445</v>
      </c>
      <c r="F685" t="s">
        <v>8450</v>
      </c>
      <c r="G685" t="s">
        <v>8550</v>
      </c>
    </row>
    <row r="686" spans="1:7">
      <c r="A686" t="s">
        <v>3206</v>
      </c>
      <c r="C686" t="s">
        <v>8394</v>
      </c>
      <c r="D686" t="s">
        <v>8401</v>
      </c>
      <c r="E686" t="s">
        <v>8445</v>
      </c>
      <c r="F686" t="s">
        <v>8450</v>
      </c>
      <c r="G686" t="s">
        <v>8550</v>
      </c>
    </row>
    <row r="687" spans="1:7">
      <c r="A687" t="s">
        <v>3207</v>
      </c>
      <c r="C687" t="s">
        <v>8394</v>
      </c>
      <c r="D687" t="s">
        <v>8401</v>
      </c>
      <c r="E687" t="s">
        <v>8445</v>
      </c>
      <c r="F687" t="s">
        <v>8450</v>
      </c>
      <c r="G687" t="s">
        <v>8550</v>
      </c>
    </row>
    <row r="688" spans="1:7">
      <c r="A688" t="s">
        <v>3208</v>
      </c>
      <c r="C688" t="s">
        <v>8394</v>
      </c>
      <c r="D688" t="s">
        <v>8401</v>
      </c>
      <c r="E688" t="s">
        <v>8445</v>
      </c>
      <c r="F688" t="s">
        <v>8450</v>
      </c>
      <c r="G688" t="s">
        <v>8550</v>
      </c>
    </row>
    <row r="689" spans="1:7">
      <c r="A689" t="s">
        <v>3209</v>
      </c>
      <c r="C689" t="s">
        <v>8394</v>
      </c>
      <c r="D689" t="s">
        <v>8401</v>
      </c>
      <c r="E689" t="s">
        <v>8445</v>
      </c>
      <c r="F689" t="s">
        <v>8450</v>
      </c>
      <c r="G689" t="s">
        <v>8550</v>
      </c>
    </row>
    <row r="690" spans="1:7">
      <c r="A690" t="s">
        <v>3210</v>
      </c>
      <c r="C690" t="s">
        <v>8394</v>
      </c>
      <c r="D690" t="s">
        <v>8401</v>
      </c>
      <c r="E690" t="s">
        <v>8445</v>
      </c>
      <c r="F690" t="s">
        <v>8450</v>
      </c>
      <c r="G690" t="s">
        <v>8550</v>
      </c>
    </row>
    <row r="691" spans="1:7">
      <c r="A691" t="s">
        <v>3211</v>
      </c>
      <c r="C691" t="s">
        <v>8394</v>
      </c>
      <c r="D691" t="s">
        <v>8401</v>
      </c>
      <c r="E691" t="s">
        <v>8445</v>
      </c>
      <c r="F691" t="s">
        <v>8450</v>
      </c>
      <c r="G691" t="s">
        <v>8550</v>
      </c>
    </row>
    <row r="692" spans="1:7">
      <c r="A692" t="s">
        <v>3212</v>
      </c>
      <c r="C692" t="s">
        <v>8394</v>
      </c>
      <c r="D692" t="s">
        <v>8401</v>
      </c>
      <c r="E692" t="s">
        <v>8445</v>
      </c>
      <c r="F692" t="s">
        <v>8450</v>
      </c>
      <c r="G692" t="s">
        <v>8550</v>
      </c>
    </row>
    <row r="693" spans="1:7">
      <c r="A693" t="s">
        <v>3213</v>
      </c>
      <c r="C693" t="s">
        <v>8394</v>
      </c>
      <c r="D693" t="s">
        <v>8401</v>
      </c>
      <c r="E693" t="s">
        <v>8445</v>
      </c>
      <c r="F693" t="s">
        <v>8450</v>
      </c>
      <c r="G693" t="s">
        <v>8550</v>
      </c>
    </row>
    <row r="694" spans="1:7">
      <c r="A694" t="s">
        <v>3214</v>
      </c>
      <c r="C694" t="s">
        <v>8394</v>
      </c>
      <c r="D694" t="s">
        <v>8401</v>
      </c>
      <c r="E694" t="s">
        <v>8445</v>
      </c>
      <c r="F694" t="s">
        <v>8450</v>
      </c>
      <c r="G694" t="s">
        <v>8550</v>
      </c>
    </row>
    <row r="695" spans="1:7">
      <c r="A695" t="s">
        <v>3215</v>
      </c>
      <c r="C695" t="s">
        <v>8394</v>
      </c>
      <c r="D695" t="s">
        <v>8401</v>
      </c>
      <c r="E695" t="s">
        <v>8445</v>
      </c>
      <c r="F695" t="s">
        <v>8450</v>
      </c>
      <c r="G695" t="s">
        <v>8550</v>
      </c>
    </row>
    <row r="696" spans="1:7">
      <c r="A696" t="s">
        <v>3216</v>
      </c>
      <c r="C696" t="s">
        <v>8394</v>
      </c>
      <c r="D696" t="s">
        <v>8401</v>
      </c>
      <c r="E696" t="s">
        <v>8445</v>
      </c>
      <c r="F696" t="s">
        <v>8450</v>
      </c>
      <c r="G696" t="s">
        <v>8550</v>
      </c>
    </row>
    <row r="697" spans="1:7">
      <c r="A697" t="s">
        <v>3217</v>
      </c>
      <c r="C697" t="s">
        <v>8394</v>
      </c>
      <c r="D697" t="s">
        <v>8401</v>
      </c>
      <c r="E697" t="s">
        <v>8445</v>
      </c>
      <c r="F697" t="s">
        <v>8450</v>
      </c>
      <c r="G697" t="s">
        <v>8550</v>
      </c>
    </row>
    <row r="698" spans="1:7">
      <c r="A698" t="s">
        <v>3218</v>
      </c>
      <c r="C698" t="s">
        <v>8394</v>
      </c>
      <c r="D698" t="s">
        <v>8401</v>
      </c>
      <c r="E698" t="s">
        <v>8445</v>
      </c>
      <c r="F698" t="s">
        <v>8450</v>
      </c>
      <c r="G698" t="s">
        <v>8550</v>
      </c>
    </row>
    <row r="699" spans="1:7">
      <c r="A699" t="s">
        <v>3219</v>
      </c>
      <c r="C699" t="s">
        <v>8394</v>
      </c>
      <c r="D699" t="s">
        <v>8401</v>
      </c>
      <c r="E699" t="s">
        <v>8445</v>
      </c>
      <c r="F699" t="s">
        <v>8450</v>
      </c>
      <c r="G699" t="s">
        <v>8550</v>
      </c>
    </row>
    <row r="700" spans="1:7">
      <c r="A700" t="s">
        <v>3220</v>
      </c>
      <c r="C700" t="s">
        <v>8394</v>
      </c>
      <c r="D700" t="s">
        <v>8401</v>
      </c>
      <c r="E700" t="s">
        <v>8445</v>
      </c>
      <c r="F700" t="s">
        <v>8450</v>
      </c>
      <c r="G700" t="s">
        <v>8550</v>
      </c>
    </row>
    <row r="701" spans="1:7">
      <c r="A701" t="s">
        <v>3221</v>
      </c>
      <c r="C701" t="s">
        <v>8394</v>
      </c>
      <c r="D701" t="s">
        <v>8401</v>
      </c>
      <c r="E701" t="s">
        <v>8445</v>
      </c>
      <c r="F701" t="s">
        <v>8450</v>
      </c>
      <c r="G701" t="s">
        <v>8550</v>
      </c>
    </row>
    <row r="702" spans="1:7">
      <c r="A702" t="s">
        <v>3222</v>
      </c>
      <c r="C702" t="s">
        <v>8394</v>
      </c>
      <c r="D702" t="s">
        <v>8401</v>
      </c>
      <c r="E702" t="s">
        <v>8445</v>
      </c>
      <c r="F702" t="s">
        <v>8450</v>
      </c>
      <c r="G702" t="s">
        <v>8550</v>
      </c>
    </row>
    <row r="703" spans="1:7">
      <c r="A703" t="s">
        <v>3223</v>
      </c>
      <c r="C703" t="s">
        <v>8394</v>
      </c>
      <c r="D703" t="s">
        <v>8401</v>
      </c>
      <c r="E703" t="s">
        <v>8445</v>
      </c>
      <c r="F703" t="s">
        <v>8450</v>
      </c>
      <c r="G703" t="s">
        <v>8550</v>
      </c>
    </row>
    <row r="704" spans="1:7">
      <c r="A704" t="s">
        <v>3224</v>
      </c>
      <c r="C704" t="s">
        <v>8394</v>
      </c>
      <c r="D704" t="s">
        <v>8401</v>
      </c>
      <c r="E704" t="s">
        <v>8445</v>
      </c>
      <c r="F704" t="s">
        <v>8450</v>
      </c>
      <c r="G704" t="s">
        <v>8550</v>
      </c>
    </row>
    <row r="705" spans="1:7">
      <c r="A705" t="s">
        <v>3225</v>
      </c>
      <c r="C705" t="s">
        <v>8394</v>
      </c>
      <c r="D705" t="s">
        <v>8401</v>
      </c>
      <c r="E705" t="s">
        <v>8445</v>
      </c>
      <c r="F705" t="s">
        <v>8450</v>
      </c>
      <c r="G705" t="s">
        <v>8550</v>
      </c>
    </row>
    <row r="706" spans="1:7">
      <c r="A706" t="s">
        <v>3226</v>
      </c>
      <c r="C706" t="s">
        <v>8394</v>
      </c>
      <c r="D706" t="s">
        <v>8401</v>
      </c>
      <c r="E706" t="s">
        <v>8445</v>
      </c>
      <c r="F706" t="s">
        <v>8450</v>
      </c>
      <c r="G706" t="s">
        <v>8550</v>
      </c>
    </row>
    <row r="707" spans="1:7">
      <c r="A707" t="s">
        <v>3227</v>
      </c>
      <c r="C707" t="s">
        <v>8394</v>
      </c>
      <c r="D707" t="s">
        <v>8401</v>
      </c>
      <c r="E707" t="s">
        <v>8445</v>
      </c>
      <c r="F707" t="s">
        <v>8450</v>
      </c>
      <c r="G707" t="s">
        <v>8550</v>
      </c>
    </row>
    <row r="708" spans="1:7">
      <c r="A708" t="s">
        <v>3228</v>
      </c>
      <c r="C708" t="s">
        <v>8394</v>
      </c>
      <c r="D708" t="s">
        <v>8401</v>
      </c>
      <c r="E708" t="s">
        <v>8445</v>
      </c>
      <c r="F708" t="s">
        <v>8450</v>
      </c>
      <c r="G708" t="s">
        <v>8550</v>
      </c>
    </row>
    <row r="709" spans="1:7">
      <c r="A709" t="s">
        <v>3229</v>
      </c>
      <c r="C709" t="s">
        <v>8394</v>
      </c>
      <c r="D709" t="s">
        <v>8401</v>
      </c>
      <c r="E709" t="s">
        <v>8445</v>
      </c>
      <c r="F709" t="s">
        <v>8450</v>
      </c>
      <c r="G709" t="s">
        <v>8550</v>
      </c>
    </row>
    <row r="710" spans="1:7">
      <c r="A710" t="s">
        <v>3230</v>
      </c>
      <c r="C710" t="s">
        <v>8394</v>
      </c>
      <c r="D710" t="s">
        <v>8401</v>
      </c>
      <c r="E710" t="s">
        <v>8445</v>
      </c>
      <c r="F710" t="s">
        <v>8450</v>
      </c>
      <c r="G710" t="s">
        <v>8550</v>
      </c>
    </row>
    <row r="711" spans="1:7">
      <c r="A711" t="s">
        <v>3231</v>
      </c>
      <c r="C711" t="s">
        <v>8394</v>
      </c>
      <c r="D711" t="s">
        <v>8401</v>
      </c>
      <c r="E711" t="s">
        <v>8445</v>
      </c>
      <c r="F711" t="s">
        <v>8450</v>
      </c>
      <c r="G711" t="s">
        <v>8550</v>
      </c>
    </row>
    <row r="712" spans="1:7">
      <c r="A712" t="s">
        <v>3232</v>
      </c>
      <c r="C712" t="s">
        <v>8394</v>
      </c>
      <c r="D712" t="s">
        <v>8401</v>
      </c>
      <c r="E712" t="s">
        <v>8445</v>
      </c>
      <c r="F712" t="s">
        <v>8450</v>
      </c>
      <c r="G712" t="s">
        <v>8550</v>
      </c>
    </row>
    <row r="713" spans="1:7">
      <c r="A713" t="s">
        <v>3233</v>
      </c>
      <c r="C713" t="s">
        <v>8394</v>
      </c>
      <c r="D713" t="s">
        <v>8416</v>
      </c>
      <c r="E713" t="s">
        <v>8444</v>
      </c>
      <c r="F713" t="s">
        <v>8448</v>
      </c>
      <c r="G713" t="s">
        <v>8552</v>
      </c>
    </row>
    <row r="714" spans="1:7">
      <c r="A714" t="s">
        <v>3234</v>
      </c>
      <c r="C714" t="s">
        <v>8392</v>
      </c>
      <c r="D714" t="s">
        <v>8400</v>
      </c>
      <c r="E714" t="s">
        <v>1519</v>
      </c>
      <c r="F714" t="s">
        <v>8449</v>
      </c>
      <c r="G714" t="s">
        <v>8455</v>
      </c>
    </row>
    <row r="715" spans="1:7">
      <c r="A715" t="s">
        <v>3235</v>
      </c>
      <c r="B715" t="s">
        <v>8273</v>
      </c>
      <c r="C715" t="s">
        <v>8396</v>
      </c>
      <c r="D715" t="s">
        <v>8405</v>
      </c>
      <c r="E715" t="s">
        <v>8446</v>
      </c>
      <c r="F715" t="s">
        <v>8449</v>
      </c>
      <c r="G715" t="s">
        <v>8455</v>
      </c>
    </row>
    <row r="716" spans="1:7">
      <c r="A716" t="s">
        <v>3236</v>
      </c>
      <c r="C716" t="s">
        <v>8393</v>
      </c>
      <c r="D716" t="s">
        <v>8393</v>
      </c>
      <c r="E716" t="s">
        <v>919</v>
      </c>
      <c r="F716" t="s">
        <v>8393</v>
      </c>
    </row>
    <row r="717" spans="1:7">
      <c r="A717" t="s">
        <v>3237</v>
      </c>
      <c r="B717" t="s">
        <v>8273</v>
      </c>
      <c r="C717" t="s">
        <v>8395</v>
      </c>
      <c r="D717" t="s">
        <v>8411</v>
      </c>
      <c r="E717" t="s">
        <v>8445</v>
      </c>
      <c r="F717" t="s">
        <v>8448</v>
      </c>
      <c r="G717" t="s">
        <v>8474</v>
      </c>
    </row>
    <row r="718" spans="1:7">
      <c r="A718" t="s">
        <v>3238</v>
      </c>
      <c r="B718" t="s">
        <v>8273</v>
      </c>
      <c r="C718" t="s">
        <v>8396</v>
      </c>
      <c r="D718" t="s">
        <v>8425</v>
      </c>
      <c r="E718" t="s">
        <v>8445</v>
      </c>
      <c r="F718" t="s">
        <v>8448</v>
      </c>
      <c r="G718" t="s">
        <v>8553</v>
      </c>
    </row>
    <row r="719" spans="1:7">
      <c r="A719" t="s">
        <v>3239</v>
      </c>
      <c r="B719" t="s">
        <v>8273</v>
      </c>
      <c r="C719" t="s">
        <v>8392</v>
      </c>
      <c r="D719" t="s">
        <v>8400</v>
      </c>
      <c r="E719" t="s">
        <v>8445</v>
      </c>
      <c r="F719" t="s">
        <v>8448</v>
      </c>
      <c r="G719" t="s">
        <v>8463</v>
      </c>
    </row>
    <row r="720" spans="1:7">
      <c r="A720" t="s">
        <v>3240</v>
      </c>
      <c r="B720" t="s">
        <v>8273</v>
      </c>
      <c r="C720" t="s">
        <v>8398</v>
      </c>
      <c r="D720" t="s">
        <v>8409</v>
      </c>
      <c r="E720" t="s">
        <v>8445</v>
      </c>
      <c r="F720" t="s">
        <v>8448</v>
      </c>
      <c r="G720" t="s">
        <v>8457</v>
      </c>
    </row>
    <row r="721" spans="1:7">
      <c r="A721" t="s">
        <v>3241</v>
      </c>
      <c r="B721" t="s">
        <v>8273</v>
      </c>
      <c r="C721" t="s">
        <v>8392</v>
      </c>
      <c r="D721" t="s">
        <v>8415</v>
      </c>
      <c r="E721" t="s">
        <v>8444</v>
      </c>
      <c r="F721" t="s">
        <v>8448</v>
      </c>
      <c r="G721" t="s">
        <v>8455</v>
      </c>
    </row>
    <row r="722" spans="1:7">
      <c r="A722" t="s">
        <v>3242</v>
      </c>
      <c r="C722" t="s">
        <v>8396</v>
      </c>
      <c r="D722" t="s">
        <v>8425</v>
      </c>
      <c r="E722" t="s">
        <v>8446</v>
      </c>
      <c r="F722" t="s">
        <v>8449</v>
      </c>
      <c r="G722" t="s">
        <v>8455</v>
      </c>
    </row>
    <row r="723" spans="1:7">
      <c r="A723" t="s">
        <v>3243</v>
      </c>
      <c r="B723" t="s">
        <v>8273</v>
      </c>
      <c r="C723" t="s">
        <v>8395</v>
      </c>
      <c r="D723" t="s">
        <v>8414</v>
      </c>
      <c r="E723" t="s">
        <v>8446</v>
      </c>
      <c r="F723" t="s">
        <v>8448</v>
      </c>
      <c r="G723" t="s">
        <v>8455</v>
      </c>
    </row>
    <row r="724" spans="1:7">
      <c r="A724" t="s">
        <v>3244</v>
      </c>
      <c r="B724" t="s">
        <v>8273</v>
      </c>
      <c r="C724" t="s">
        <v>8394</v>
      </c>
      <c r="D724" t="s">
        <v>8401</v>
      </c>
      <c r="E724" t="s">
        <v>8445</v>
      </c>
      <c r="F724" t="s">
        <v>8448</v>
      </c>
      <c r="G724" t="s">
        <v>8455</v>
      </c>
    </row>
    <row r="725" spans="1:7">
      <c r="A725" t="s">
        <v>3245</v>
      </c>
      <c r="B725" t="s">
        <v>8273</v>
      </c>
      <c r="C725" t="s">
        <v>8392</v>
      </c>
      <c r="D725" t="s">
        <v>8415</v>
      </c>
      <c r="E725" t="s">
        <v>8446</v>
      </c>
      <c r="F725" t="s">
        <v>8449</v>
      </c>
      <c r="G725" t="s">
        <v>8455</v>
      </c>
    </row>
    <row r="726" spans="1:7">
      <c r="A726" t="s">
        <v>3246</v>
      </c>
      <c r="B726" t="s">
        <v>8273</v>
      </c>
      <c r="C726" t="s">
        <v>8398</v>
      </c>
      <c r="D726" t="s">
        <v>8419</v>
      </c>
      <c r="E726" t="s">
        <v>1519</v>
      </c>
      <c r="F726" t="s">
        <v>8447</v>
      </c>
      <c r="G726" t="s">
        <v>8463</v>
      </c>
    </row>
    <row r="727" spans="1:7">
      <c r="A727" t="s">
        <v>3247</v>
      </c>
      <c r="B727" t="s">
        <v>8273</v>
      </c>
      <c r="C727" t="s">
        <v>8395</v>
      </c>
      <c r="D727" t="s">
        <v>8416</v>
      </c>
      <c r="E727" t="s">
        <v>8446</v>
      </c>
      <c r="F727" t="s">
        <v>8448</v>
      </c>
      <c r="G727" t="s">
        <v>8554</v>
      </c>
    </row>
    <row r="728" spans="1:7">
      <c r="A728" t="s">
        <v>3248</v>
      </c>
      <c r="B728" t="s">
        <v>8273</v>
      </c>
      <c r="C728" t="s">
        <v>8395</v>
      </c>
      <c r="D728" t="s">
        <v>8403</v>
      </c>
      <c r="E728" t="s">
        <v>8446</v>
      </c>
      <c r="F728" t="s">
        <v>8449</v>
      </c>
      <c r="G728" t="s">
        <v>8455</v>
      </c>
    </row>
    <row r="729" spans="1:7">
      <c r="A729" t="s">
        <v>3249</v>
      </c>
      <c r="C729" t="s">
        <v>8393</v>
      </c>
      <c r="D729" t="s">
        <v>8393</v>
      </c>
      <c r="E729" t="s">
        <v>919</v>
      </c>
      <c r="F729" t="s">
        <v>8393</v>
      </c>
    </row>
    <row r="730" spans="1:7">
      <c r="A730" t="s">
        <v>3250</v>
      </c>
      <c r="B730" t="s">
        <v>8273</v>
      </c>
      <c r="C730" t="s">
        <v>8395</v>
      </c>
      <c r="D730" t="s">
        <v>8406</v>
      </c>
      <c r="E730" t="s">
        <v>8446</v>
      </c>
      <c r="F730" t="s">
        <v>8449</v>
      </c>
      <c r="G730" t="s">
        <v>8455</v>
      </c>
    </row>
    <row r="731" spans="1:7">
      <c r="A731" t="s">
        <v>3251</v>
      </c>
      <c r="B731" t="s">
        <v>8285</v>
      </c>
      <c r="C731" t="s">
        <v>8395</v>
      </c>
      <c r="D731" t="s">
        <v>8406</v>
      </c>
      <c r="E731" t="s">
        <v>8446</v>
      </c>
      <c r="F731" t="s">
        <v>8448</v>
      </c>
      <c r="G731" t="s">
        <v>8455</v>
      </c>
    </row>
    <row r="732" spans="1:7">
      <c r="A732" t="s">
        <v>3252</v>
      </c>
      <c r="B732" t="s">
        <v>8277</v>
      </c>
      <c r="C732" t="s">
        <v>8395</v>
      </c>
      <c r="D732" t="s">
        <v>8406</v>
      </c>
      <c r="E732" t="s">
        <v>8446</v>
      </c>
      <c r="F732" t="s">
        <v>8448</v>
      </c>
      <c r="G732" t="s">
        <v>8455</v>
      </c>
    </row>
    <row r="733" spans="1:7">
      <c r="A733" t="s">
        <v>3253</v>
      </c>
      <c r="B733" t="s">
        <v>8273</v>
      </c>
      <c r="C733" t="s">
        <v>8395</v>
      </c>
      <c r="D733" t="s">
        <v>8403</v>
      </c>
      <c r="E733" t="s">
        <v>1519</v>
      </c>
      <c r="F733" t="s">
        <v>8449</v>
      </c>
      <c r="G733" t="s">
        <v>8455</v>
      </c>
    </row>
    <row r="734" spans="1:7">
      <c r="A734" t="s">
        <v>3254</v>
      </c>
      <c r="B734" t="s">
        <v>8273</v>
      </c>
      <c r="C734" t="s">
        <v>8398</v>
      </c>
      <c r="D734" t="s">
        <v>8409</v>
      </c>
      <c r="E734" t="s">
        <v>1519</v>
      </c>
      <c r="F734" t="s">
        <v>8448</v>
      </c>
      <c r="G734" t="s">
        <v>8555</v>
      </c>
    </row>
    <row r="735" spans="1:7">
      <c r="A735" t="s">
        <v>3255</v>
      </c>
      <c r="B735" t="s">
        <v>8273</v>
      </c>
      <c r="C735" t="s">
        <v>8398</v>
      </c>
      <c r="D735" t="s">
        <v>8409</v>
      </c>
      <c r="E735" t="s">
        <v>8444</v>
      </c>
      <c r="F735" t="s">
        <v>8448</v>
      </c>
      <c r="G735" t="s">
        <v>8463</v>
      </c>
    </row>
    <row r="736" spans="1:7">
      <c r="A736" t="s">
        <v>3256</v>
      </c>
      <c r="C736" t="s">
        <v>8394</v>
      </c>
      <c r="D736" t="s">
        <v>8413</v>
      </c>
      <c r="E736" t="s">
        <v>8445</v>
      </c>
      <c r="F736" t="s">
        <v>8448</v>
      </c>
      <c r="G736" t="s">
        <v>8463</v>
      </c>
    </row>
    <row r="737" spans="1:7">
      <c r="A737" t="s">
        <v>3257</v>
      </c>
      <c r="B737" t="s">
        <v>8273</v>
      </c>
      <c r="C737" t="s">
        <v>8398</v>
      </c>
      <c r="D737" t="s">
        <v>8419</v>
      </c>
      <c r="E737" t="s">
        <v>8446</v>
      </c>
      <c r="F737" t="s">
        <v>8449</v>
      </c>
      <c r="G737" t="s">
        <v>8556</v>
      </c>
    </row>
    <row r="738" spans="1:7">
      <c r="A738" t="s">
        <v>3258</v>
      </c>
      <c r="B738" t="s">
        <v>8273</v>
      </c>
      <c r="C738" t="s">
        <v>8398</v>
      </c>
      <c r="D738" t="s">
        <v>8419</v>
      </c>
      <c r="E738" t="s">
        <v>8444</v>
      </c>
      <c r="F738" t="s">
        <v>8449</v>
      </c>
      <c r="G738" t="s">
        <v>8455</v>
      </c>
    </row>
    <row r="739" spans="1:7">
      <c r="A739" t="s">
        <v>3259</v>
      </c>
      <c r="C739" t="s">
        <v>8392</v>
      </c>
      <c r="D739" t="s">
        <v>8415</v>
      </c>
      <c r="E739" t="s">
        <v>8444</v>
      </c>
      <c r="F739" t="s">
        <v>8448</v>
      </c>
      <c r="G739" t="s">
        <v>8557</v>
      </c>
    </row>
    <row r="740" spans="1:7">
      <c r="A740" t="s">
        <v>3260</v>
      </c>
      <c r="C740" t="s">
        <v>8397</v>
      </c>
      <c r="D740" t="s">
        <v>8408</v>
      </c>
      <c r="E740" t="s">
        <v>8445</v>
      </c>
      <c r="F740" t="s">
        <v>8450</v>
      </c>
    </row>
    <row r="741" spans="1:7">
      <c r="A741" t="s">
        <v>3261</v>
      </c>
      <c r="C741" t="s">
        <v>8394</v>
      </c>
      <c r="D741" t="s">
        <v>8413</v>
      </c>
      <c r="E741" t="s">
        <v>8445</v>
      </c>
      <c r="F741" t="s">
        <v>8448</v>
      </c>
      <c r="G741" t="s">
        <v>8558</v>
      </c>
    </row>
    <row r="742" spans="1:7">
      <c r="A742" t="s">
        <v>3262</v>
      </c>
      <c r="B742" t="s">
        <v>8273</v>
      </c>
      <c r="C742" t="s">
        <v>8394</v>
      </c>
      <c r="D742" t="s">
        <v>8413</v>
      </c>
      <c r="E742" t="s">
        <v>8445</v>
      </c>
      <c r="F742" t="s">
        <v>8449</v>
      </c>
      <c r="G742" t="s">
        <v>8455</v>
      </c>
    </row>
    <row r="743" spans="1:7">
      <c r="A743" t="s">
        <v>3263</v>
      </c>
      <c r="C743" t="s">
        <v>8394</v>
      </c>
      <c r="D743" t="s">
        <v>8413</v>
      </c>
      <c r="E743" t="s">
        <v>8445</v>
      </c>
      <c r="F743" t="s">
        <v>8448</v>
      </c>
      <c r="G743" t="s">
        <v>8559</v>
      </c>
    </row>
    <row r="744" spans="1:7">
      <c r="A744" t="s">
        <v>3264</v>
      </c>
      <c r="B744" t="s">
        <v>8273</v>
      </c>
      <c r="C744" t="s">
        <v>8394</v>
      </c>
      <c r="D744" t="s">
        <v>8414</v>
      </c>
      <c r="E744" t="s">
        <v>8445</v>
      </c>
      <c r="F744" t="s">
        <v>8447</v>
      </c>
      <c r="G744" t="s">
        <v>8560</v>
      </c>
    </row>
    <row r="745" spans="1:7">
      <c r="A745" t="s">
        <v>3265</v>
      </c>
      <c r="B745" t="s">
        <v>8273</v>
      </c>
      <c r="C745" t="s">
        <v>8395</v>
      </c>
      <c r="D745" t="s">
        <v>8420</v>
      </c>
      <c r="E745" t="s">
        <v>8446</v>
      </c>
      <c r="F745" t="s">
        <v>8449</v>
      </c>
      <c r="G745" t="s">
        <v>8455</v>
      </c>
    </row>
    <row r="746" spans="1:7">
      <c r="A746" t="s">
        <v>3266</v>
      </c>
      <c r="B746" t="s">
        <v>8273</v>
      </c>
      <c r="C746" t="s">
        <v>8398</v>
      </c>
      <c r="D746" t="s">
        <v>8410</v>
      </c>
      <c r="E746" t="s">
        <v>8444</v>
      </c>
      <c r="F746" t="s">
        <v>8449</v>
      </c>
      <c r="G746" t="s">
        <v>8475</v>
      </c>
    </row>
    <row r="747" spans="1:7">
      <c r="A747" t="s">
        <v>3267</v>
      </c>
      <c r="C747" t="s">
        <v>8393</v>
      </c>
      <c r="D747" t="s">
        <v>8393</v>
      </c>
      <c r="E747" t="s">
        <v>919</v>
      </c>
      <c r="F747" t="s">
        <v>8393</v>
      </c>
    </row>
    <row r="748" spans="1:7">
      <c r="A748" t="s">
        <v>3268</v>
      </c>
      <c r="B748" t="s">
        <v>8278</v>
      </c>
      <c r="C748" t="s">
        <v>8394</v>
      </c>
      <c r="D748" t="s">
        <v>8423</v>
      </c>
      <c r="E748" t="s">
        <v>8446</v>
      </c>
      <c r="F748" t="s">
        <v>8449</v>
      </c>
      <c r="G748" t="s">
        <v>8455</v>
      </c>
    </row>
    <row r="749" spans="1:7">
      <c r="A749" t="s">
        <v>3269</v>
      </c>
      <c r="B749" t="s">
        <v>8278</v>
      </c>
      <c r="C749" t="s">
        <v>8394</v>
      </c>
      <c r="D749" t="s">
        <v>8423</v>
      </c>
      <c r="E749" t="s">
        <v>8446</v>
      </c>
      <c r="F749" t="s">
        <v>8449</v>
      </c>
      <c r="G749" t="s">
        <v>8455</v>
      </c>
    </row>
    <row r="750" spans="1:7">
      <c r="A750" t="s">
        <v>3270</v>
      </c>
      <c r="B750" t="s">
        <v>8284</v>
      </c>
      <c r="C750" t="s">
        <v>8394</v>
      </c>
      <c r="D750" t="s">
        <v>8423</v>
      </c>
      <c r="E750" t="s">
        <v>8446</v>
      </c>
      <c r="F750" t="s">
        <v>8449</v>
      </c>
      <c r="G750" t="s">
        <v>8455</v>
      </c>
    </row>
    <row r="751" spans="1:7">
      <c r="A751" t="s">
        <v>3271</v>
      </c>
      <c r="B751" t="s">
        <v>8279</v>
      </c>
      <c r="C751" t="s">
        <v>8394</v>
      </c>
      <c r="D751" t="s">
        <v>8423</v>
      </c>
      <c r="E751" t="s">
        <v>8446</v>
      </c>
      <c r="F751" t="s">
        <v>8449</v>
      </c>
      <c r="G751" t="s">
        <v>8455</v>
      </c>
    </row>
    <row r="752" spans="1:7">
      <c r="A752" t="s">
        <v>3272</v>
      </c>
      <c r="B752" t="s">
        <v>8278</v>
      </c>
      <c r="C752" t="s">
        <v>8394</v>
      </c>
      <c r="D752" t="s">
        <v>8423</v>
      </c>
      <c r="E752" t="s">
        <v>8446</v>
      </c>
      <c r="F752" t="s">
        <v>8449</v>
      </c>
      <c r="G752" t="s">
        <v>8455</v>
      </c>
    </row>
    <row r="753" spans="1:7">
      <c r="A753" t="s">
        <v>3273</v>
      </c>
      <c r="B753" t="s">
        <v>8309</v>
      </c>
      <c r="C753" t="s">
        <v>8394</v>
      </c>
      <c r="D753" t="s">
        <v>8423</v>
      </c>
      <c r="E753" t="s">
        <v>8446</v>
      </c>
      <c r="F753" t="s">
        <v>8449</v>
      </c>
      <c r="G753" t="s">
        <v>8455</v>
      </c>
    </row>
    <row r="754" spans="1:7">
      <c r="A754" t="s">
        <v>3274</v>
      </c>
      <c r="B754" t="s">
        <v>8281</v>
      </c>
      <c r="C754" t="s">
        <v>8394</v>
      </c>
      <c r="D754" t="s">
        <v>8423</v>
      </c>
      <c r="E754" t="s">
        <v>8446</v>
      </c>
      <c r="F754" t="s">
        <v>8449</v>
      </c>
      <c r="G754" t="s">
        <v>8455</v>
      </c>
    </row>
    <row r="755" spans="1:7">
      <c r="A755" t="s">
        <v>3275</v>
      </c>
      <c r="C755" t="s">
        <v>8393</v>
      </c>
      <c r="D755" t="s">
        <v>8393</v>
      </c>
      <c r="E755" t="s">
        <v>919</v>
      </c>
      <c r="F755" t="s">
        <v>8393</v>
      </c>
    </row>
    <row r="756" spans="1:7">
      <c r="A756" t="s">
        <v>3276</v>
      </c>
      <c r="C756" t="s">
        <v>8396</v>
      </c>
      <c r="D756" t="s">
        <v>8405</v>
      </c>
      <c r="E756" t="s">
        <v>8446</v>
      </c>
      <c r="F756" t="s">
        <v>8449</v>
      </c>
      <c r="G756" t="s">
        <v>8455</v>
      </c>
    </row>
    <row r="757" spans="1:7">
      <c r="A757" t="s">
        <v>3277</v>
      </c>
      <c r="C757" t="s">
        <v>8396</v>
      </c>
      <c r="D757" t="s">
        <v>8404</v>
      </c>
      <c r="E757" t="s">
        <v>8446</v>
      </c>
      <c r="F757" t="s">
        <v>8449</v>
      </c>
      <c r="G757" t="s">
        <v>795</v>
      </c>
    </row>
    <row r="758" spans="1:7">
      <c r="A758" t="s">
        <v>3278</v>
      </c>
      <c r="C758" t="s">
        <v>8396</v>
      </c>
      <c r="D758" t="s">
        <v>8405</v>
      </c>
      <c r="E758" t="s">
        <v>1519</v>
      </c>
      <c r="F758" t="s">
        <v>8449</v>
      </c>
      <c r="G758" t="s">
        <v>795</v>
      </c>
    </row>
    <row r="759" spans="1:7">
      <c r="A759" t="s">
        <v>3279</v>
      </c>
      <c r="C759" t="s">
        <v>8394</v>
      </c>
      <c r="D759" t="s">
        <v>8401</v>
      </c>
      <c r="E759" t="s">
        <v>8445</v>
      </c>
      <c r="F759" t="s">
        <v>8448</v>
      </c>
      <c r="G759" t="s">
        <v>8561</v>
      </c>
    </row>
    <row r="760" spans="1:7">
      <c r="A760" t="s">
        <v>3280</v>
      </c>
      <c r="B760" t="s">
        <v>8273</v>
      </c>
      <c r="C760" t="s">
        <v>8394</v>
      </c>
      <c r="D760" t="s">
        <v>8413</v>
      </c>
      <c r="E760" t="s">
        <v>8445</v>
      </c>
      <c r="F760" t="s">
        <v>8448</v>
      </c>
      <c r="G760" t="s">
        <v>8455</v>
      </c>
    </row>
    <row r="761" spans="1:7">
      <c r="A761" t="s">
        <v>3281</v>
      </c>
      <c r="C761" t="s">
        <v>8394</v>
      </c>
      <c r="D761" t="s">
        <v>8401</v>
      </c>
      <c r="E761" t="s">
        <v>8445</v>
      </c>
      <c r="F761" t="s">
        <v>8448</v>
      </c>
      <c r="G761" t="s">
        <v>8562</v>
      </c>
    </row>
    <row r="762" spans="1:7">
      <c r="A762" t="s">
        <v>3282</v>
      </c>
      <c r="C762" t="s">
        <v>8397</v>
      </c>
      <c r="D762" t="s">
        <v>8421</v>
      </c>
      <c r="E762" t="s">
        <v>8444</v>
      </c>
      <c r="F762" t="s">
        <v>8448</v>
      </c>
      <c r="G762" t="s">
        <v>796</v>
      </c>
    </row>
    <row r="763" spans="1:7">
      <c r="A763" t="s">
        <v>3283</v>
      </c>
      <c r="B763" t="s">
        <v>8273</v>
      </c>
      <c r="C763" t="s">
        <v>8395</v>
      </c>
      <c r="D763" t="s">
        <v>8422</v>
      </c>
      <c r="E763" t="s">
        <v>8446</v>
      </c>
      <c r="F763" t="s">
        <v>8449</v>
      </c>
      <c r="G763" t="s">
        <v>8455</v>
      </c>
    </row>
    <row r="764" spans="1:7">
      <c r="A764" t="s">
        <v>3284</v>
      </c>
      <c r="B764" t="s">
        <v>8273</v>
      </c>
      <c r="C764" t="s">
        <v>8398</v>
      </c>
      <c r="D764" t="s">
        <v>8409</v>
      </c>
      <c r="E764" t="s">
        <v>1519</v>
      </c>
      <c r="F764" t="s">
        <v>8449</v>
      </c>
      <c r="G764" t="s">
        <v>8455</v>
      </c>
    </row>
    <row r="765" spans="1:7">
      <c r="A765" t="s">
        <v>3285</v>
      </c>
      <c r="B765" t="s">
        <v>8299</v>
      </c>
      <c r="C765" t="s">
        <v>8397</v>
      </c>
      <c r="D765" t="s">
        <v>8431</v>
      </c>
      <c r="E765" t="s">
        <v>8445</v>
      </c>
      <c r="F765" t="s">
        <v>8449</v>
      </c>
      <c r="G765" t="s">
        <v>8455</v>
      </c>
    </row>
    <row r="766" spans="1:7">
      <c r="A766" t="s">
        <v>3286</v>
      </c>
      <c r="B766" t="s">
        <v>8273</v>
      </c>
      <c r="C766" t="s">
        <v>8396</v>
      </c>
      <c r="D766" t="s">
        <v>8425</v>
      </c>
      <c r="E766" t="s">
        <v>8444</v>
      </c>
      <c r="F766" t="s">
        <v>8448</v>
      </c>
      <c r="G766" t="s">
        <v>8563</v>
      </c>
    </row>
    <row r="767" spans="1:7">
      <c r="A767" t="s">
        <v>3287</v>
      </c>
      <c r="B767" t="s">
        <v>8273</v>
      </c>
      <c r="C767" t="s">
        <v>8397</v>
      </c>
      <c r="D767" t="s">
        <v>8421</v>
      </c>
      <c r="E767" t="s">
        <v>8444</v>
      </c>
      <c r="F767" t="s">
        <v>8448</v>
      </c>
      <c r="G767" t="s">
        <v>8455</v>
      </c>
    </row>
    <row r="768" spans="1:7">
      <c r="A768" t="s">
        <v>3288</v>
      </c>
      <c r="B768" t="s">
        <v>8301</v>
      </c>
      <c r="C768" t="s">
        <v>8396</v>
      </c>
      <c r="D768" t="s">
        <v>8420</v>
      </c>
      <c r="E768" t="s">
        <v>8445</v>
      </c>
      <c r="F768" t="s">
        <v>8448</v>
      </c>
      <c r="G768" t="s">
        <v>8463</v>
      </c>
    </row>
    <row r="769" spans="1:7">
      <c r="A769" t="s">
        <v>3289</v>
      </c>
      <c r="C769" t="s">
        <v>8397</v>
      </c>
      <c r="D769" t="s">
        <v>8418</v>
      </c>
      <c r="E769" t="s">
        <v>8445</v>
      </c>
      <c r="F769" t="s">
        <v>8450</v>
      </c>
      <c r="G769" t="s">
        <v>8564</v>
      </c>
    </row>
    <row r="770" spans="1:7">
      <c r="A770" t="s">
        <v>3290</v>
      </c>
      <c r="C770" t="s">
        <v>8397</v>
      </c>
      <c r="D770" t="s">
        <v>8412</v>
      </c>
      <c r="E770" t="s">
        <v>8444</v>
      </c>
      <c r="F770" t="s">
        <v>8450</v>
      </c>
      <c r="G770" t="s">
        <v>8565</v>
      </c>
    </row>
    <row r="771" spans="1:7">
      <c r="A771" t="s">
        <v>3291</v>
      </c>
      <c r="C771" t="s">
        <v>8394</v>
      </c>
      <c r="D771" t="s">
        <v>8402</v>
      </c>
      <c r="E771" t="s">
        <v>8445</v>
      </c>
      <c r="F771" t="s">
        <v>8448</v>
      </c>
      <c r="G771" t="s">
        <v>8566</v>
      </c>
    </row>
    <row r="772" spans="1:7">
      <c r="A772" t="s">
        <v>3292</v>
      </c>
      <c r="B772" t="s">
        <v>8276</v>
      </c>
      <c r="C772" t="s">
        <v>8396</v>
      </c>
      <c r="D772" t="s">
        <v>8420</v>
      </c>
      <c r="E772" t="s">
        <v>8446</v>
      </c>
      <c r="F772" t="s">
        <v>8449</v>
      </c>
      <c r="G772" t="s">
        <v>8455</v>
      </c>
    </row>
    <row r="773" spans="1:7">
      <c r="A773" t="s">
        <v>3293</v>
      </c>
      <c r="C773" t="s">
        <v>8392</v>
      </c>
      <c r="D773" t="s">
        <v>8400</v>
      </c>
      <c r="E773" t="s">
        <v>1519</v>
      </c>
      <c r="F773" t="s">
        <v>8449</v>
      </c>
      <c r="G773" t="s">
        <v>8567</v>
      </c>
    </row>
    <row r="774" spans="1:7">
      <c r="A774" t="s">
        <v>3294</v>
      </c>
      <c r="B774" t="s">
        <v>8273</v>
      </c>
      <c r="C774" t="s">
        <v>8395</v>
      </c>
      <c r="D774" t="s">
        <v>8414</v>
      </c>
      <c r="E774" t="s">
        <v>8444</v>
      </c>
      <c r="F774" t="s">
        <v>8448</v>
      </c>
      <c r="G774" t="s">
        <v>8455</v>
      </c>
    </row>
    <row r="775" spans="1:7">
      <c r="A775" t="s">
        <v>3295</v>
      </c>
      <c r="C775" t="s">
        <v>8393</v>
      </c>
      <c r="D775" t="s">
        <v>8393</v>
      </c>
      <c r="E775" t="s">
        <v>919</v>
      </c>
      <c r="F775" t="s">
        <v>8393</v>
      </c>
    </row>
    <row r="776" spans="1:7">
      <c r="A776" t="s">
        <v>3296</v>
      </c>
      <c r="B776" t="s">
        <v>8278</v>
      </c>
      <c r="C776" t="s">
        <v>8395</v>
      </c>
      <c r="D776" t="s">
        <v>8423</v>
      </c>
      <c r="E776" t="s">
        <v>1519</v>
      </c>
      <c r="F776" t="s">
        <v>8449</v>
      </c>
      <c r="G776" t="s">
        <v>8455</v>
      </c>
    </row>
    <row r="777" spans="1:7">
      <c r="A777" t="s">
        <v>3297</v>
      </c>
      <c r="B777" t="s">
        <v>8281</v>
      </c>
      <c r="C777" t="s">
        <v>8395</v>
      </c>
      <c r="D777" t="s">
        <v>8423</v>
      </c>
      <c r="E777" t="s">
        <v>1519</v>
      </c>
      <c r="F777" t="s">
        <v>8449</v>
      </c>
      <c r="G777" t="s">
        <v>8455</v>
      </c>
    </row>
    <row r="778" spans="1:7">
      <c r="A778" t="s">
        <v>3298</v>
      </c>
      <c r="B778" t="s">
        <v>8273</v>
      </c>
      <c r="C778" t="s">
        <v>8392</v>
      </c>
      <c r="D778" t="s">
        <v>8415</v>
      </c>
      <c r="E778" t="s">
        <v>8445</v>
      </c>
      <c r="F778" t="s">
        <v>8449</v>
      </c>
      <c r="G778" t="s">
        <v>8455</v>
      </c>
    </row>
    <row r="779" spans="1:7">
      <c r="A779" t="s">
        <v>3299</v>
      </c>
      <c r="C779" t="s">
        <v>8394</v>
      </c>
      <c r="D779" t="s">
        <v>8413</v>
      </c>
      <c r="E779" t="s">
        <v>8445</v>
      </c>
      <c r="F779" t="s">
        <v>8448</v>
      </c>
      <c r="G779" t="s">
        <v>8453</v>
      </c>
    </row>
    <row r="780" spans="1:7">
      <c r="A780" t="s">
        <v>3300</v>
      </c>
      <c r="B780" t="s">
        <v>8273</v>
      </c>
      <c r="C780" t="s">
        <v>8394</v>
      </c>
      <c r="D780" t="s">
        <v>8413</v>
      </c>
      <c r="E780" t="s">
        <v>8445</v>
      </c>
      <c r="F780" t="s">
        <v>8448</v>
      </c>
      <c r="G780" t="s">
        <v>8568</v>
      </c>
    </row>
    <row r="781" spans="1:7">
      <c r="A781" t="s">
        <v>3301</v>
      </c>
      <c r="C781" t="s">
        <v>8394</v>
      </c>
      <c r="D781" t="s">
        <v>8413</v>
      </c>
      <c r="E781" t="s">
        <v>8445</v>
      </c>
      <c r="F781" t="s">
        <v>8448</v>
      </c>
      <c r="G781" t="s">
        <v>8455</v>
      </c>
    </row>
    <row r="782" spans="1:7">
      <c r="A782" t="s">
        <v>3302</v>
      </c>
      <c r="B782" t="s">
        <v>8273</v>
      </c>
      <c r="C782" t="s">
        <v>8394</v>
      </c>
      <c r="D782" t="s">
        <v>8402</v>
      </c>
      <c r="E782" t="s">
        <v>8444</v>
      </c>
      <c r="F782" t="s">
        <v>8448</v>
      </c>
      <c r="G782" t="s">
        <v>8569</v>
      </c>
    </row>
    <row r="783" spans="1:7">
      <c r="A783" t="s">
        <v>3303</v>
      </c>
      <c r="C783" t="s">
        <v>8393</v>
      </c>
      <c r="D783" t="s">
        <v>8393</v>
      </c>
      <c r="E783" t="s">
        <v>919</v>
      </c>
      <c r="F783" t="s">
        <v>8393</v>
      </c>
    </row>
    <row r="784" spans="1:7">
      <c r="A784" t="s">
        <v>3304</v>
      </c>
      <c r="B784" t="s">
        <v>8278</v>
      </c>
      <c r="C784" t="s">
        <v>8395</v>
      </c>
      <c r="D784" t="s">
        <v>8402</v>
      </c>
      <c r="E784" t="s">
        <v>8446</v>
      </c>
      <c r="F784" t="s">
        <v>8449</v>
      </c>
      <c r="G784" t="s">
        <v>8455</v>
      </c>
    </row>
    <row r="785" spans="1:7">
      <c r="A785" t="s">
        <v>3305</v>
      </c>
      <c r="B785" t="s">
        <v>8273</v>
      </c>
      <c r="C785" t="s">
        <v>8395</v>
      </c>
      <c r="D785" t="s">
        <v>8402</v>
      </c>
      <c r="E785" t="s">
        <v>8444</v>
      </c>
      <c r="F785" t="s">
        <v>8449</v>
      </c>
      <c r="G785" t="s">
        <v>796</v>
      </c>
    </row>
    <row r="786" spans="1:7">
      <c r="A786" t="s">
        <v>3306</v>
      </c>
      <c r="B786" t="s">
        <v>8277</v>
      </c>
      <c r="C786" t="s">
        <v>8395</v>
      </c>
      <c r="D786" t="s">
        <v>8402</v>
      </c>
      <c r="E786" t="s">
        <v>8444</v>
      </c>
      <c r="F786" t="s">
        <v>8448</v>
      </c>
      <c r="G786" t="s">
        <v>796</v>
      </c>
    </row>
    <row r="787" spans="1:7">
      <c r="A787" t="s">
        <v>3307</v>
      </c>
      <c r="B787" t="s">
        <v>8273</v>
      </c>
      <c r="C787" t="s">
        <v>8395</v>
      </c>
      <c r="D787" t="s">
        <v>8400</v>
      </c>
      <c r="E787" t="s">
        <v>8446</v>
      </c>
      <c r="F787" t="s">
        <v>8448</v>
      </c>
      <c r="G787" t="s">
        <v>8455</v>
      </c>
    </row>
    <row r="788" spans="1:7">
      <c r="A788" t="s">
        <v>3308</v>
      </c>
      <c r="C788" t="s">
        <v>8392</v>
      </c>
      <c r="D788" t="s">
        <v>8415</v>
      </c>
      <c r="E788" t="s">
        <v>1519</v>
      </c>
      <c r="F788" t="s">
        <v>8447</v>
      </c>
      <c r="G788" t="s">
        <v>8570</v>
      </c>
    </row>
    <row r="789" spans="1:7">
      <c r="A789" t="s">
        <v>3309</v>
      </c>
      <c r="B789" t="s">
        <v>8273</v>
      </c>
      <c r="C789" t="s">
        <v>8394</v>
      </c>
      <c r="D789" t="s">
        <v>8402</v>
      </c>
      <c r="E789" t="s">
        <v>8446</v>
      </c>
      <c r="F789" t="s">
        <v>8448</v>
      </c>
      <c r="G789" t="s">
        <v>8455</v>
      </c>
    </row>
    <row r="790" spans="1:7">
      <c r="A790" t="s">
        <v>3310</v>
      </c>
      <c r="C790" t="s">
        <v>8393</v>
      </c>
      <c r="D790" t="s">
        <v>8393</v>
      </c>
      <c r="E790" t="s">
        <v>919</v>
      </c>
      <c r="F790" t="s">
        <v>8393</v>
      </c>
    </row>
    <row r="791" spans="1:7">
      <c r="A791" t="s">
        <v>3311</v>
      </c>
      <c r="B791" t="s">
        <v>8278</v>
      </c>
      <c r="C791" t="s">
        <v>8394</v>
      </c>
      <c r="D791" t="s">
        <v>8423</v>
      </c>
      <c r="E791" t="s">
        <v>8446</v>
      </c>
      <c r="F791" t="s">
        <v>8448</v>
      </c>
      <c r="G791" t="s">
        <v>8455</v>
      </c>
    </row>
    <row r="792" spans="1:7">
      <c r="A792" t="s">
        <v>3312</v>
      </c>
      <c r="B792" t="s">
        <v>8278</v>
      </c>
      <c r="C792" t="s">
        <v>8394</v>
      </c>
      <c r="D792" t="s">
        <v>8423</v>
      </c>
      <c r="E792" t="s">
        <v>8446</v>
      </c>
      <c r="F792" t="s">
        <v>8448</v>
      </c>
      <c r="G792" t="s">
        <v>8455</v>
      </c>
    </row>
    <row r="793" spans="1:7">
      <c r="A793" t="s">
        <v>3313</v>
      </c>
      <c r="B793" t="s">
        <v>8309</v>
      </c>
      <c r="C793" t="s">
        <v>8394</v>
      </c>
      <c r="D793" t="s">
        <v>8423</v>
      </c>
      <c r="E793" t="s">
        <v>8446</v>
      </c>
      <c r="F793" t="s">
        <v>8448</v>
      </c>
      <c r="G793" t="s">
        <v>8455</v>
      </c>
    </row>
    <row r="794" spans="1:7">
      <c r="A794" t="s">
        <v>3314</v>
      </c>
      <c r="B794" t="s">
        <v>8273</v>
      </c>
      <c r="C794" t="s">
        <v>8395</v>
      </c>
      <c r="D794" t="s">
        <v>8403</v>
      </c>
      <c r="E794" t="s">
        <v>8446</v>
      </c>
      <c r="F794" t="s">
        <v>8449</v>
      </c>
      <c r="G794" t="s">
        <v>796</v>
      </c>
    </row>
    <row r="795" spans="1:7">
      <c r="A795" t="s">
        <v>3315</v>
      </c>
      <c r="C795" t="s">
        <v>8392</v>
      </c>
      <c r="D795" t="s">
        <v>8400</v>
      </c>
      <c r="E795" t="s">
        <v>1587</v>
      </c>
      <c r="F795" t="s">
        <v>8447</v>
      </c>
      <c r="G795" t="s">
        <v>8463</v>
      </c>
    </row>
    <row r="796" spans="1:7">
      <c r="A796" t="s">
        <v>3316</v>
      </c>
      <c r="C796" t="s">
        <v>8392</v>
      </c>
      <c r="D796" t="s">
        <v>8400</v>
      </c>
      <c r="E796" t="s">
        <v>1519</v>
      </c>
      <c r="F796" t="s">
        <v>8448</v>
      </c>
      <c r="G796" t="s">
        <v>8463</v>
      </c>
    </row>
    <row r="797" spans="1:7">
      <c r="A797" t="s">
        <v>3317</v>
      </c>
      <c r="B797" t="s">
        <v>8273</v>
      </c>
      <c r="C797" t="s">
        <v>8395</v>
      </c>
      <c r="D797" t="s">
        <v>8402</v>
      </c>
      <c r="E797" t="s">
        <v>1519</v>
      </c>
      <c r="F797" t="s">
        <v>8449</v>
      </c>
      <c r="G797" t="s">
        <v>8455</v>
      </c>
    </row>
    <row r="798" spans="1:7">
      <c r="A798" t="s">
        <v>3318</v>
      </c>
      <c r="B798" t="s">
        <v>8273</v>
      </c>
      <c r="C798" t="s">
        <v>8396</v>
      </c>
      <c r="D798" t="s">
        <v>8404</v>
      </c>
      <c r="E798" t="s">
        <v>1519</v>
      </c>
      <c r="F798" t="s">
        <v>8448</v>
      </c>
      <c r="G798" t="s">
        <v>8571</v>
      </c>
    </row>
    <row r="799" spans="1:7">
      <c r="A799" t="s">
        <v>3319</v>
      </c>
      <c r="B799" t="s">
        <v>8276</v>
      </c>
      <c r="C799" t="s">
        <v>8395</v>
      </c>
      <c r="D799" t="s">
        <v>8426</v>
      </c>
      <c r="E799" t="s">
        <v>8446</v>
      </c>
      <c r="F799" t="s">
        <v>8449</v>
      </c>
      <c r="G799" t="s">
        <v>8453</v>
      </c>
    </row>
    <row r="800" spans="1:7">
      <c r="A800" t="s">
        <v>3320</v>
      </c>
      <c r="B800" t="s">
        <v>8276</v>
      </c>
      <c r="C800" t="s">
        <v>8396</v>
      </c>
      <c r="D800" t="s">
        <v>8405</v>
      </c>
      <c r="E800" t="s">
        <v>8444</v>
      </c>
      <c r="F800" t="s">
        <v>8449</v>
      </c>
      <c r="G800" t="s">
        <v>8455</v>
      </c>
    </row>
    <row r="801" spans="1:7">
      <c r="A801" t="s">
        <v>3321</v>
      </c>
      <c r="C801" t="s">
        <v>8393</v>
      </c>
      <c r="D801" t="s">
        <v>8393</v>
      </c>
      <c r="E801" t="s">
        <v>919</v>
      </c>
      <c r="F801" t="s">
        <v>8393</v>
      </c>
    </row>
    <row r="802" spans="1:7">
      <c r="A802" t="s">
        <v>3322</v>
      </c>
      <c r="B802" t="s">
        <v>8278</v>
      </c>
      <c r="C802" t="s">
        <v>8394</v>
      </c>
      <c r="D802" t="s">
        <v>8423</v>
      </c>
      <c r="E802" t="s">
        <v>8446</v>
      </c>
      <c r="F802" t="s">
        <v>8449</v>
      </c>
      <c r="G802" t="s">
        <v>8455</v>
      </c>
    </row>
    <row r="803" spans="1:7">
      <c r="A803" t="s">
        <v>3323</v>
      </c>
      <c r="B803" t="s">
        <v>8284</v>
      </c>
      <c r="C803" t="s">
        <v>8394</v>
      </c>
      <c r="D803" t="s">
        <v>8423</v>
      </c>
      <c r="E803" t="s">
        <v>8446</v>
      </c>
      <c r="F803" t="s">
        <v>8449</v>
      </c>
      <c r="G803" t="s">
        <v>8455</v>
      </c>
    </row>
    <row r="804" spans="1:7">
      <c r="A804" t="s">
        <v>3324</v>
      </c>
      <c r="B804" t="s">
        <v>8279</v>
      </c>
      <c r="C804" t="s">
        <v>8394</v>
      </c>
      <c r="D804" t="s">
        <v>8423</v>
      </c>
      <c r="E804" t="s">
        <v>8446</v>
      </c>
      <c r="F804" t="s">
        <v>8449</v>
      </c>
      <c r="G804" t="s">
        <v>8455</v>
      </c>
    </row>
    <row r="805" spans="1:7">
      <c r="A805" t="s">
        <v>3325</v>
      </c>
      <c r="B805" t="s">
        <v>8281</v>
      </c>
      <c r="C805" t="s">
        <v>8394</v>
      </c>
      <c r="D805" t="s">
        <v>8423</v>
      </c>
      <c r="E805" t="s">
        <v>8446</v>
      </c>
      <c r="F805" t="s">
        <v>8449</v>
      </c>
      <c r="G805" t="s">
        <v>8455</v>
      </c>
    </row>
    <row r="806" spans="1:7">
      <c r="A806" t="s">
        <v>3326</v>
      </c>
      <c r="C806" t="s">
        <v>8398</v>
      </c>
      <c r="D806" t="s">
        <v>8419</v>
      </c>
      <c r="E806" t="s">
        <v>8446</v>
      </c>
      <c r="F806" t="s">
        <v>8447</v>
      </c>
      <c r="G806" t="s">
        <v>8474</v>
      </c>
    </row>
    <row r="807" spans="1:7">
      <c r="A807" t="s">
        <v>3327</v>
      </c>
      <c r="B807" t="s">
        <v>8273</v>
      </c>
      <c r="C807" t="s">
        <v>8396</v>
      </c>
      <c r="D807" t="s">
        <v>8405</v>
      </c>
      <c r="E807" t="s">
        <v>8446</v>
      </c>
      <c r="F807" t="s">
        <v>8449</v>
      </c>
      <c r="G807" t="s">
        <v>796</v>
      </c>
    </row>
    <row r="808" spans="1:7">
      <c r="A808" t="s">
        <v>3328</v>
      </c>
      <c r="B808" t="s">
        <v>8274</v>
      </c>
      <c r="C808" t="s">
        <v>8396</v>
      </c>
      <c r="D808" t="s">
        <v>8406</v>
      </c>
      <c r="E808" t="s">
        <v>1519</v>
      </c>
      <c r="F808" t="s">
        <v>8449</v>
      </c>
      <c r="G808" t="s">
        <v>8455</v>
      </c>
    </row>
    <row r="809" spans="1:7">
      <c r="A809" t="s">
        <v>3329</v>
      </c>
      <c r="B809" t="s">
        <v>8274</v>
      </c>
      <c r="C809" t="s">
        <v>8396</v>
      </c>
      <c r="D809" t="s">
        <v>8406</v>
      </c>
      <c r="E809" t="s">
        <v>8446</v>
      </c>
      <c r="F809" t="s">
        <v>8449</v>
      </c>
      <c r="G809" t="s">
        <v>8455</v>
      </c>
    </row>
    <row r="810" spans="1:7">
      <c r="A810" t="s">
        <v>3330</v>
      </c>
      <c r="B810" t="s">
        <v>8273</v>
      </c>
      <c r="C810" t="s">
        <v>8398</v>
      </c>
      <c r="D810" t="s">
        <v>8409</v>
      </c>
      <c r="E810" t="s">
        <v>8445</v>
      </c>
      <c r="F810" t="s">
        <v>8449</v>
      </c>
      <c r="G810" t="s">
        <v>8475</v>
      </c>
    </row>
    <row r="811" spans="1:7">
      <c r="A811" t="s">
        <v>3331</v>
      </c>
      <c r="B811" t="s">
        <v>8273</v>
      </c>
      <c r="C811" t="s">
        <v>8395</v>
      </c>
      <c r="D811" t="s">
        <v>8415</v>
      </c>
      <c r="E811" t="s">
        <v>8446</v>
      </c>
      <c r="F811" t="s">
        <v>8449</v>
      </c>
      <c r="G811" t="s">
        <v>8455</v>
      </c>
    </row>
    <row r="812" spans="1:7">
      <c r="A812" t="s">
        <v>3332</v>
      </c>
      <c r="B812" t="s">
        <v>8273</v>
      </c>
      <c r="C812" t="s">
        <v>8394</v>
      </c>
      <c r="D812" t="s">
        <v>8414</v>
      </c>
      <c r="E812" t="s">
        <v>8444</v>
      </c>
      <c r="F812" t="s">
        <v>8448</v>
      </c>
      <c r="G812" t="s">
        <v>8572</v>
      </c>
    </row>
    <row r="813" spans="1:7">
      <c r="A813" t="s">
        <v>3333</v>
      </c>
      <c r="C813" t="s">
        <v>8397</v>
      </c>
      <c r="D813" t="s">
        <v>8418</v>
      </c>
      <c r="E813" t="s">
        <v>8445</v>
      </c>
      <c r="F813" t="s">
        <v>8448</v>
      </c>
      <c r="G813" t="s">
        <v>8573</v>
      </c>
    </row>
    <row r="814" spans="1:7">
      <c r="A814" t="s">
        <v>3334</v>
      </c>
      <c r="B814" t="s">
        <v>8273</v>
      </c>
      <c r="C814" t="s">
        <v>8394</v>
      </c>
      <c r="D814" t="s">
        <v>8417</v>
      </c>
      <c r="E814" t="s">
        <v>8446</v>
      </c>
      <c r="F814" t="s">
        <v>8448</v>
      </c>
      <c r="G814" t="s">
        <v>8574</v>
      </c>
    </row>
    <row r="815" spans="1:7">
      <c r="A815" t="s">
        <v>3335</v>
      </c>
      <c r="C815" t="s">
        <v>8393</v>
      </c>
      <c r="D815" t="s">
        <v>8393</v>
      </c>
      <c r="E815" t="s">
        <v>919</v>
      </c>
      <c r="F815" t="s">
        <v>8393</v>
      </c>
    </row>
    <row r="816" spans="1:7">
      <c r="A816" t="s">
        <v>3336</v>
      </c>
      <c r="B816" t="s">
        <v>8275</v>
      </c>
      <c r="C816" t="s">
        <v>8395</v>
      </c>
      <c r="D816" t="s">
        <v>8420</v>
      </c>
      <c r="E816" t="s">
        <v>8446</v>
      </c>
      <c r="F816" t="s">
        <v>8449</v>
      </c>
      <c r="G816" t="s">
        <v>8575</v>
      </c>
    </row>
    <row r="817" spans="1:7">
      <c r="A817" t="s">
        <v>3337</v>
      </c>
      <c r="B817" t="s">
        <v>8310</v>
      </c>
      <c r="C817" t="s">
        <v>8395</v>
      </c>
      <c r="D817" t="s">
        <v>8400</v>
      </c>
      <c r="E817" t="s">
        <v>8446</v>
      </c>
      <c r="F817" t="s">
        <v>8448</v>
      </c>
      <c r="G817" t="s">
        <v>8455</v>
      </c>
    </row>
    <row r="818" spans="1:7">
      <c r="A818" t="s">
        <v>3338</v>
      </c>
      <c r="B818" t="s">
        <v>8283</v>
      </c>
      <c r="C818" t="s">
        <v>8395</v>
      </c>
      <c r="D818" t="s">
        <v>8400</v>
      </c>
      <c r="E818" t="s">
        <v>8446</v>
      </c>
      <c r="F818" t="s">
        <v>8448</v>
      </c>
      <c r="G818" t="s">
        <v>8455</v>
      </c>
    </row>
    <row r="819" spans="1:7">
      <c r="A819" t="s">
        <v>3339</v>
      </c>
      <c r="B819" t="s">
        <v>8273</v>
      </c>
      <c r="C819" t="s">
        <v>8394</v>
      </c>
      <c r="D819" t="s">
        <v>8414</v>
      </c>
      <c r="E819" t="s">
        <v>8444</v>
      </c>
      <c r="F819" t="s">
        <v>8448</v>
      </c>
      <c r="G819" t="s">
        <v>8455</v>
      </c>
    </row>
    <row r="820" spans="1:7">
      <c r="A820" t="s">
        <v>3340</v>
      </c>
      <c r="C820" t="s">
        <v>8394</v>
      </c>
      <c r="D820" t="s">
        <v>8402</v>
      </c>
      <c r="E820" t="s">
        <v>8445</v>
      </c>
      <c r="F820" t="s">
        <v>8448</v>
      </c>
      <c r="G820" t="s">
        <v>8576</v>
      </c>
    </row>
    <row r="821" spans="1:7">
      <c r="A821" t="s">
        <v>3341</v>
      </c>
      <c r="C821" t="s">
        <v>8397</v>
      </c>
      <c r="D821" t="s">
        <v>8408</v>
      </c>
      <c r="E821" t="s">
        <v>8445</v>
      </c>
      <c r="F821" t="s">
        <v>8450</v>
      </c>
    </row>
    <row r="822" spans="1:7">
      <c r="A822" t="s">
        <v>3342</v>
      </c>
      <c r="B822" t="s">
        <v>8273</v>
      </c>
      <c r="C822" t="s">
        <v>8396</v>
      </c>
      <c r="D822" t="s">
        <v>8425</v>
      </c>
      <c r="E822" t="s">
        <v>1519</v>
      </c>
      <c r="F822" t="s">
        <v>8449</v>
      </c>
      <c r="G822" t="s">
        <v>8455</v>
      </c>
    </row>
    <row r="823" spans="1:7">
      <c r="A823" t="s">
        <v>3343</v>
      </c>
      <c r="C823" t="s">
        <v>8398</v>
      </c>
      <c r="D823" t="s">
        <v>8409</v>
      </c>
      <c r="E823" t="s">
        <v>8445</v>
      </c>
      <c r="F823" t="s">
        <v>8448</v>
      </c>
      <c r="G823" t="s">
        <v>8577</v>
      </c>
    </row>
    <row r="824" spans="1:7">
      <c r="A824" t="s">
        <v>3344</v>
      </c>
      <c r="B824" t="s">
        <v>8273</v>
      </c>
      <c r="C824" t="s">
        <v>8395</v>
      </c>
      <c r="D824" t="s">
        <v>8421</v>
      </c>
      <c r="E824" t="s">
        <v>8444</v>
      </c>
      <c r="F824" t="s">
        <v>8448</v>
      </c>
      <c r="G824" t="s">
        <v>8455</v>
      </c>
    </row>
    <row r="825" spans="1:7">
      <c r="A825" t="s">
        <v>3345</v>
      </c>
      <c r="C825" t="s">
        <v>8392</v>
      </c>
      <c r="D825" t="s">
        <v>8400</v>
      </c>
      <c r="E825" t="s">
        <v>1519</v>
      </c>
      <c r="F825" t="s">
        <v>8449</v>
      </c>
      <c r="G825" t="s">
        <v>795</v>
      </c>
    </row>
    <row r="826" spans="1:7">
      <c r="A826" t="s">
        <v>3346</v>
      </c>
      <c r="B826" t="s">
        <v>8273</v>
      </c>
      <c r="C826" t="s">
        <v>8395</v>
      </c>
      <c r="D826" t="s">
        <v>8404</v>
      </c>
      <c r="E826" t="s">
        <v>8446</v>
      </c>
      <c r="F826" t="s">
        <v>8449</v>
      </c>
      <c r="G826" t="s">
        <v>8455</v>
      </c>
    </row>
    <row r="827" spans="1:7">
      <c r="A827" t="s">
        <v>3347</v>
      </c>
      <c r="B827" t="s">
        <v>8273</v>
      </c>
      <c r="C827" t="s">
        <v>8394</v>
      </c>
      <c r="D827" t="s">
        <v>8402</v>
      </c>
      <c r="E827" t="s">
        <v>8444</v>
      </c>
      <c r="F827" t="s">
        <v>8448</v>
      </c>
      <c r="G827" t="s">
        <v>8455</v>
      </c>
    </row>
    <row r="828" spans="1:7">
      <c r="A828" t="s">
        <v>3348</v>
      </c>
      <c r="C828" t="s">
        <v>8393</v>
      </c>
      <c r="D828" t="s">
        <v>8393</v>
      </c>
      <c r="E828" t="s">
        <v>919</v>
      </c>
      <c r="F828" t="s">
        <v>8393</v>
      </c>
    </row>
    <row r="829" spans="1:7">
      <c r="A829" t="s">
        <v>3349</v>
      </c>
      <c r="B829" t="s">
        <v>8273</v>
      </c>
      <c r="C829" t="s">
        <v>8392</v>
      </c>
      <c r="D829" t="s">
        <v>8400</v>
      </c>
      <c r="E829" t="s">
        <v>8444</v>
      </c>
      <c r="F829" t="s">
        <v>8449</v>
      </c>
      <c r="G829" t="s">
        <v>8455</v>
      </c>
    </row>
    <row r="830" spans="1:7">
      <c r="A830" t="s">
        <v>3350</v>
      </c>
      <c r="B830" t="s">
        <v>8273</v>
      </c>
      <c r="C830" t="s">
        <v>8395</v>
      </c>
      <c r="D830" t="s">
        <v>8400</v>
      </c>
      <c r="E830" t="s">
        <v>8444</v>
      </c>
      <c r="F830" t="s">
        <v>8449</v>
      </c>
      <c r="G830" t="s">
        <v>796</v>
      </c>
    </row>
    <row r="831" spans="1:7">
      <c r="A831" t="s">
        <v>3351</v>
      </c>
      <c r="B831" t="s">
        <v>8273</v>
      </c>
      <c r="C831" t="s">
        <v>8392</v>
      </c>
      <c r="D831" t="s">
        <v>8400</v>
      </c>
      <c r="E831" t="s">
        <v>8444</v>
      </c>
      <c r="F831" t="s">
        <v>8449</v>
      </c>
      <c r="G831" t="s">
        <v>8455</v>
      </c>
    </row>
    <row r="832" spans="1:7">
      <c r="A832" t="s">
        <v>3352</v>
      </c>
      <c r="B832" t="s">
        <v>8273</v>
      </c>
      <c r="C832" t="s">
        <v>8392</v>
      </c>
      <c r="D832" t="s">
        <v>8400</v>
      </c>
      <c r="E832" t="s">
        <v>8444</v>
      </c>
      <c r="F832" t="s">
        <v>8449</v>
      </c>
      <c r="G832" t="s">
        <v>8455</v>
      </c>
    </row>
    <row r="833" spans="1:7">
      <c r="A833" t="s">
        <v>3353</v>
      </c>
      <c r="B833" t="s">
        <v>8300</v>
      </c>
      <c r="C833" t="s">
        <v>8392</v>
      </c>
      <c r="D833" t="s">
        <v>8400</v>
      </c>
      <c r="E833" t="s">
        <v>8444</v>
      </c>
      <c r="F833" t="s">
        <v>8449</v>
      </c>
      <c r="G833" t="s">
        <v>8455</v>
      </c>
    </row>
    <row r="834" spans="1:7">
      <c r="A834" t="s">
        <v>3354</v>
      </c>
      <c r="B834" t="s">
        <v>8285</v>
      </c>
      <c r="C834" t="s">
        <v>8395</v>
      </c>
      <c r="D834" t="s">
        <v>8400</v>
      </c>
      <c r="E834" t="s">
        <v>8444</v>
      </c>
      <c r="F834" t="s">
        <v>8449</v>
      </c>
      <c r="G834" t="s">
        <v>796</v>
      </c>
    </row>
    <row r="835" spans="1:7">
      <c r="A835" t="s">
        <v>3355</v>
      </c>
      <c r="B835" t="s">
        <v>8286</v>
      </c>
      <c r="C835" t="s">
        <v>8395</v>
      </c>
      <c r="D835" t="s">
        <v>8400</v>
      </c>
      <c r="E835" t="s">
        <v>8444</v>
      </c>
      <c r="F835" t="s">
        <v>8449</v>
      </c>
      <c r="G835" t="s">
        <v>8455</v>
      </c>
    </row>
    <row r="836" spans="1:7">
      <c r="A836" t="s">
        <v>3356</v>
      </c>
      <c r="B836" t="s">
        <v>8273</v>
      </c>
      <c r="C836" t="s">
        <v>8395</v>
      </c>
      <c r="D836" t="s">
        <v>8400</v>
      </c>
      <c r="E836" t="s">
        <v>8444</v>
      </c>
      <c r="F836" t="s">
        <v>8449</v>
      </c>
      <c r="G836" t="s">
        <v>796</v>
      </c>
    </row>
    <row r="837" spans="1:7">
      <c r="A837" t="s">
        <v>3357</v>
      </c>
      <c r="B837" t="s">
        <v>8273</v>
      </c>
      <c r="C837" t="s">
        <v>8392</v>
      </c>
      <c r="D837" t="s">
        <v>8400</v>
      </c>
      <c r="E837" t="s">
        <v>8444</v>
      </c>
      <c r="F837" t="s">
        <v>8449</v>
      </c>
      <c r="G837" t="s">
        <v>8455</v>
      </c>
    </row>
    <row r="838" spans="1:7">
      <c r="A838" t="s">
        <v>3358</v>
      </c>
      <c r="B838" t="s">
        <v>8287</v>
      </c>
      <c r="C838" t="s">
        <v>8395</v>
      </c>
      <c r="D838" t="s">
        <v>8400</v>
      </c>
      <c r="E838" t="s">
        <v>8444</v>
      </c>
      <c r="F838" t="s">
        <v>8449</v>
      </c>
      <c r="G838" t="s">
        <v>796</v>
      </c>
    </row>
    <row r="839" spans="1:7">
      <c r="A839" t="s">
        <v>3359</v>
      </c>
      <c r="B839" t="s">
        <v>8273</v>
      </c>
      <c r="C839" t="s">
        <v>8392</v>
      </c>
      <c r="D839" t="s">
        <v>8400</v>
      </c>
      <c r="E839" t="s">
        <v>8444</v>
      </c>
      <c r="F839" t="s">
        <v>8449</v>
      </c>
      <c r="G839" t="s">
        <v>8455</v>
      </c>
    </row>
    <row r="840" spans="1:7">
      <c r="A840" t="s">
        <v>3360</v>
      </c>
      <c r="B840" t="s">
        <v>8277</v>
      </c>
      <c r="C840" t="s">
        <v>8395</v>
      </c>
      <c r="D840" t="s">
        <v>8400</v>
      </c>
      <c r="E840" t="s">
        <v>8444</v>
      </c>
      <c r="F840" t="s">
        <v>8449</v>
      </c>
      <c r="G840" t="s">
        <v>8455</v>
      </c>
    </row>
    <row r="841" spans="1:7">
      <c r="A841" t="s">
        <v>3361</v>
      </c>
      <c r="C841" t="s">
        <v>8394</v>
      </c>
      <c r="D841" t="s">
        <v>8401</v>
      </c>
      <c r="E841" t="s">
        <v>8445</v>
      </c>
      <c r="F841" t="s">
        <v>8448</v>
      </c>
      <c r="G841" t="s">
        <v>8578</v>
      </c>
    </row>
    <row r="842" spans="1:7">
      <c r="A842" t="s">
        <v>3362</v>
      </c>
      <c r="C842" t="s">
        <v>8394</v>
      </c>
      <c r="D842" t="s">
        <v>8401</v>
      </c>
      <c r="E842" t="s">
        <v>8445</v>
      </c>
      <c r="F842" t="s">
        <v>8448</v>
      </c>
      <c r="G842" t="s">
        <v>8579</v>
      </c>
    </row>
    <row r="843" spans="1:7">
      <c r="A843" t="s">
        <v>3363</v>
      </c>
      <c r="C843" t="s">
        <v>8397</v>
      </c>
      <c r="D843" t="s">
        <v>8408</v>
      </c>
      <c r="E843" t="s">
        <v>8445</v>
      </c>
      <c r="F843" t="s">
        <v>8450</v>
      </c>
    </row>
    <row r="844" spans="1:7">
      <c r="A844" t="s">
        <v>3364</v>
      </c>
      <c r="B844" t="s">
        <v>8273</v>
      </c>
      <c r="C844" t="s">
        <v>8394</v>
      </c>
      <c r="D844" t="s">
        <v>8401</v>
      </c>
      <c r="E844" t="s">
        <v>8445</v>
      </c>
      <c r="F844" t="s">
        <v>8448</v>
      </c>
      <c r="G844" t="s">
        <v>8455</v>
      </c>
    </row>
    <row r="845" spans="1:7">
      <c r="A845" t="s">
        <v>3365</v>
      </c>
      <c r="C845" t="s">
        <v>8392</v>
      </c>
      <c r="D845" t="s">
        <v>8415</v>
      </c>
      <c r="E845" t="s">
        <v>8445</v>
      </c>
      <c r="F845" t="s">
        <v>8450</v>
      </c>
      <c r="G845" t="s">
        <v>8580</v>
      </c>
    </row>
    <row r="846" spans="1:7">
      <c r="A846" t="s">
        <v>3366</v>
      </c>
      <c r="B846" t="s">
        <v>8273</v>
      </c>
      <c r="C846" t="s">
        <v>8394</v>
      </c>
      <c r="D846" t="s">
        <v>8414</v>
      </c>
      <c r="E846" t="s">
        <v>8445</v>
      </c>
      <c r="F846" t="s">
        <v>8448</v>
      </c>
      <c r="G846" t="s">
        <v>8455</v>
      </c>
    </row>
    <row r="847" spans="1:7">
      <c r="A847" t="s">
        <v>3367</v>
      </c>
      <c r="B847" t="s">
        <v>8273</v>
      </c>
      <c r="C847" t="s">
        <v>8398</v>
      </c>
      <c r="D847" t="s">
        <v>8419</v>
      </c>
      <c r="E847" t="s">
        <v>8446</v>
      </c>
      <c r="F847" t="s">
        <v>8449</v>
      </c>
      <c r="G847" t="s">
        <v>8455</v>
      </c>
    </row>
    <row r="848" spans="1:7">
      <c r="A848" t="s">
        <v>3368</v>
      </c>
      <c r="B848" t="s">
        <v>8273</v>
      </c>
      <c r="C848" t="s">
        <v>8398</v>
      </c>
      <c r="D848" t="s">
        <v>8419</v>
      </c>
      <c r="E848" t="s">
        <v>8445</v>
      </c>
      <c r="F848" t="s">
        <v>8448</v>
      </c>
      <c r="G848" t="s">
        <v>8455</v>
      </c>
    </row>
    <row r="849" spans="1:7">
      <c r="A849" t="s">
        <v>3369</v>
      </c>
      <c r="B849" t="s">
        <v>8273</v>
      </c>
      <c r="C849" t="s">
        <v>8398</v>
      </c>
      <c r="D849" t="s">
        <v>8419</v>
      </c>
      <c r="E849" t="s">
        <v>8446</v>
      </c>
      <c r="F849" t="s">
        <v>8449</v>
      </c>
      <c r="G849" t="s">
        <v>8455</v>
      </c>
    </row>
    <row r="850" spans="1:7">
      <c r="A850" t="s">
        <v>3370</v>
      </c>
      <c r="B850" t="s">
        <v>8299</v>
      </c>
      <c r="C850" t="s">
        <v>8397</v>
      </c>
      <c r="D850" t="s">
        <v>8431</v>
      </c>
      <c r="E850" t="s">
        <v>1587</v>
      </c>
      <c r="F850" t="s">
        <v>8449</v>
      </c>
      <c r="G850" t="s">
        <v>796</v>
      </c>
    </row>
    <row r="851" spans="1:7">
      <c r="A851" t="s">
        <v>3371</v>
      </c>
      <c r="B851" t="s">
        <v>8278</v>
      </c>
      <c r="C851" t="s">
        <v>8394</v>
      </c>
      <c r="D851" t="s">
        <v>8423</v>
      </c>
      <c r="E851" t="s">
        <v>8446</v>
      </c>
      <c r="F851" t="s">
        <v>8449</v>
      </c>
      <c r="G851" t="s">
        <v>8455</v>
      </c>
    </row>
    <row r="852" spans="1:7">
      <c r="A852" t="s">
        <v>3372</v>
      </c>
      <c r="B852" t="s">
        <v>8273</v>
      </c>
      <c r="C852" t="s">
        <v>8394</v>
      </c>
      <c r="D852" t="s">
        <v>8427</v>
      </c>
      <c r="E852" t="s">
        <v>8446</v>
      </c>
      <c r="F852" t="s">
        <v>8449</v>
      </c>
      <c r="G852" t="s">
        <v>8455</v>
      </c>
    </row>
    <row r="853" spans="1:7">
      <c r="A853" t="s">
        <v>3373</v>
      </c>
      <c r="B853" t="s">
        <v>8273</v>
      </c>
      <c r="C853" t="s">
        <v>8396</v>
      </c>
      <c r="D853" t="s">
        <v>8405</v>
      </c>
      <c r="E853" t="s">
        <v>8445</v>
      </c>
      <c r="F853" t="s">
        <v>8448</v>
      </c>
      <c r="G853" t="s">
        <v>8455</v>
      </c>
    </row>
    <row r="854" spans="1:7">
      <c r="A854" t="s">
        <v>3374</v>
      </c>
      <c r="C854" t="s">
        <v>8393</v>
      </c>
      <c r="D854" t="s">
        <v>8393</v>
      </c>
      <c r="E854" t="s">
        <v>919</v>
      </c>
      <c r="F854" t="s">
        <v>8393</v>
      </c>
    </row>
    <row r="855" spans="1:7">
      <c r="A855" t="s">
        <v>3375</v>
      </c>
      <c r="C855" t="s">
        <v>8396</v>
      </c>
      <c r="D855" t="s">
        <v>8425</v>
      </c>
      <c r="E855" t="s">
        <v>8445</v>
      </c>
      <c r="F855" t="s">
        <v>8448</v>
      </c>
      <c r="G855" t="s">
        <v>8453</v>
      </c>
    </row>
    <row r="856" spans="1:7">
      <c r="A856" t="s">
        <v>3376</v>
      </c>
      <c r="C856" t="s">
        <v>8392</v>
      </c>
      <c r="D856" t="s">
        <v>8400</v>
      </c>
      <c r="E856" t="s">
        <v>8444</v>
      </c>
      <c r="F856" t="s">
        <v>8448</v>
      </c>
      <c r="G856" t="s">
        <v>8453</v>
      </c>
    </row>
    <row r="857" spans="1:7">
      <c r="A857" t="s">
        <v>3377</v>
      </c>
      <c r="B857" t="s">
        <v>8273</v>
      </c>
      <c r="C857" t="s">
        <v>8394</v>
      </c>
      <c r="D857" t="s">
        <v>8414</v>
      </c>
      <c r="E857" t="s">
        <v>8446</v>
      </c>
      <c r="F857" t="s">
        <v>8449</v>
      </c>
      <c r="G857" t="s">
        <v>8455</v>
      </c>
    </row>
    <row r="858" spans="1:7">
      <c r="A858" t="s">
        <v>3378</v>
      </c>
      <c r="B858" t="s">
        <v>8273</v>
      </c>
      <c r="C858" t="s">
        <v>8395</v>
      </c>
      <c r="D858" t="s">
        <v>8403</v>
      </c>
      <c r="E858" t="s">
        <v>8444</v>
      </c>
      <c r="F858" t="s">
        <v>8449</v>
      </c>
      <c r="G858" t="s">
        <v>8455</v>
      </c>
    </row>
    <row r="859" spans="1:7">
      <c r="A859" t="s">
        <v>3379</v>
      </c>
      <c r="B859" t="s">
        <v>8299</v>
      </c>
      <c r="C859" t="s">
        <v>8397</v>
      </c>
      <c r="D859" t="s">
        <v>8430</v>
      </c>
      <c r="E859" t="s">
        <v>1519</v>
      </c>
      <c r="F859" t="s">
        <v>8448</v>
      </c>
      <c r="G859" t="s">
        <v>795</v>
      </c>
    </row>
    <row r="860" spans="1:7">
      <c r="A860" t="s">
        <v>3380</v>
      </c>
      <c r="B860" t="s">
        <v>8299</v>
      </c>
      <c r="C860" t="s">
        <v>8397</v>
      </c>
      <c r="D860" t="s">
        <v>8430</v>
      </c>
      <c r="E860" t="s">
        <v>1587</v>
      </c>
      <c r="F860" t="s">
        <v>8448</v>
      </c>
      <c r="G860" t="s">
        <v>795</v>
      </c>
    </row>
    <row r="861" spans="1:7">
      <c r="A861" t="s">
        <v>3381</v>
      </c>
      <c r="B861" t="s">
        <v>8273</v>
      </c>
      <c r="C861" t="s">
        <v>8394</v>
      </c>
      <c r="D861" t="s">
        <v>8414</v>
      </c>
      <c r="E861" t="s">
        <v>8445</v>
      </c>
      <c r="F861" t="s">
        <v>8448</v>
      </c>
      <c r="G861" t="s">
        <v>8581</v>
      </c>
    </row>
    <row r="862" spans="1:7">
      <c r="A862" t="s">
        <v>3382</v>
      </c>
      <c r="C862" t="s">
        <v>8393</v>
      </c>
      <c r="D862" t="s">
        <v>8393</v>
      </c>
      <c r="E862" t="s">
        <v>919</v>
      </c>
      <c r="F862" t="s">
        <v>8393</v>
      </c>
    </row>
    <row r="863" spans="1:7">
      <c r="A863" t="s">
        <v>3383</v>
      </c>
      <c r="C863" t="s">
        <v>8394</v>
      </c>
      <c r="D863" t="s">
        <v>8401</v>
      </c>
      <c r="E863" t="s">
        <v>8445</v>
      </c>
      <c r="F863" t="s">
        <v>8448</v>
      </c>
      <c r="G863" t="s">
        <v>8582</v>
      </c>
    </row>
    <row r="864" spans="1:7">
      <c r="A864" t="s">
        <v>3384</v>
      </c>
      <c r="C864" t="s">
        <v>8394</v>
      </c>
      <c r="D864" t="s">
        <v>8401</v>
      </c>
      <c r="E864" t="s">
        <v>8445</v>
      </c>
      <c r="F864" t="s">
        <v>8448</v>
      </c>
      <c r="G864" t="s">
        <v>8582</v>
      </c>
    </row>
    <row r="865" spans="1:7">
      <c r="A865" t="s">
        <v>3385</v>
      </c>
      <c r="C865" t="s">
        <v>8394</v>
      </c>
      <c r="D865" t="s">
        <v>8401</v>
      </c>
      <c r="E865" t="s">
        <v>8445</v>
      </c>
      <c r="F865" t="s">
        <v>8448</v>
      </c>
      <c r="G865" t="s">
        <v>8582</v>
      </c>
    </row>
    <row r="866" spans="1:7">
      <c r="A866" t="s">
        <v>3386</v>
      </c>
      <c r="C866" t="s">
        <v>8394</v>
      </c>
      <c r="D866" t="s">
        <v>8401</v>
      </c>
      <c r="E866" t="s">
        <v>8445</v>
      </c>
      <c r="F866" t="s">
        <v>8448</v>
      </c>
      <c r="G866" t="s">
        <v>8582</v>
      </c>
    </row>
    <row r="867" spans="1:7">
      <c r="A867" t="s">
        <v>3387</v>
      </c>
      <c r="C867" t="s">
        <v>8394</v>
      </c>
      <c r="D867" t="s">
        <v>8401</v>
      </c>
      <c r="E867" t="s">
        <v>8445</v>
      </c>
      <c r="F867" t="s">
        <v>8448</v>
      </c>
      <c r="G867" t="s">
        <v>8582</v>
      </c>
    </row>
    <row r="868" spans="1:7">
      <c r="A868" t="s">
        <v>3388</v>
      </c>
      <c r="C868" t="s">
        <v>8394</v>
      </c>
      <c r="D868" t="s">
        <v>8401</v>
      </c>
      <c r="E868" t="s">
        <v>8445</v>
      </c>
      <c r="F868" t="s">
        <v>8448</v>
      </c>
      <c r="G868" t="s">
        <v>8582</v>
      </c>
    </row>
    <row r="869" spans="1:7">
      <c r="A869" t="s">
        <v>3389</v>
      </c>
      <c r="C869" t="s">
        <v>8394</v>
      </c>
      <c r="D869" t="s">
        <v>8401</v>
      </c>
      <c r="E869" t="s">
        <v>8445</v>
      </c>
      <c r="F869" t="s">
        <v>8448</v>
      </c>
      <c r="G869" t="s">
        <v>8582</v>
      </c>
    </row>
    <row r="870" spans="1:7">
      <c r="A870" t="s">
        <v>3390</v>
      </c>
      <c r="C870" t="s">
        <v>8394</v>
      </c>
      <c r="D870" t="s">
        <v>8401</v>
      </c>
      <c r="E870" t="s">
        <v>8445</v>
      </c>
      <c r="F870" t="s">
        <v>8448</v>
      </c>
      <c r="G870" t="s">
        <v>8582</v>
      </c>
    </row>
    <row r="871" spans="1:7">
      <c r="A871" t="s">
        <v>3391</v>
      </c>
      <c r="C871" t="s">
        <v>8394</v>
      </c>
      <c r="D871" t="s">
        <v>8401</v>
      </c>
      <c r="E871" t="s">
        <v>8445</v>
      </c>
      <c r="F871" t="s">
        <v>8448</v>
      </c>
      <c r="G871" t="s">
        <v>8582</v>
      </c>
    </row>
    <row r="872" spans="1:7">
      <c r="A872" t="s">
        <v>3392</v>
      </c>
      <c r="C872" t="s">
        <v>8394</v>
      </c>
      <c r="D872" t="s">
        <v>8401</v>
      </c>
      <c r="E872" t="s">
        <v>8445</v>
      </c>
      <c r="F872" t="s">
        <v>8448</v>
      </c>
      <c r="G872" t="s">
        <v>8582</v>
      </c>
    </row>
    <row r="873" spans="1:7">
      <c r="A873" t="s">
        <v>3393</v>
      </c>
      <c r="C873" t="s">
        <v>8394</v>
      </c>
      <c r="D873" t="s">
        <v>8401</v>
      </c>
      <c r="E873" t="s">
        <v>8445</v>
      </c>
      <c r="F873" t="s">
        <v>8448</v>
      </c>
      <c r="G873" t="s">
        <v>8582</v>
      </c>
    </row>
    <row r="874" spans="1:7">
      <c r="A874" t="s">
        <v>3394</v>
      </c>
      <c r="C874" t="s">
        <v>8394</v>
      </c>
      <c r="D874" t="s">
        <v>8401</v>
      </c>
      <c r="E874" t="s">
        <v>8445</v>
      </c>
      <c r="F874" t="s">
        <v>8448</v>
      </c>
      <c r="G874" t="s">
        <v>8582</v>
      </c>
    </row>
    <row r="875" spans="1:7">
      <c r="A875" t="s">
        <v>3395</v>
      </c>
      <c r="B875" t="s">
        <v>8273</v>
      </c>
      <c r="C875" t="s">
        <v>8394</v>
      </c>
      <c r="D875" t="s">
        <v>8414</v>
      </c>
      <c r="E875" t="s">
        <v>8445</v>
      </c>
      <c r="F875" t="s">
        <v>8448</v>
      </c>
      <c r="G875" t="s">
        <v>796</v>
      </c>
    </row>
    <row r="876" spans="1:7">
      <c r="A876" t="s">
        <v>3396</v>
      </c>
      <c r="C876" t="s">
        <v>8394</v>
      </c>
      <c r="D876" t="s">
        <v>8416</v>
      </c>
      <c r="E876" t="s">
        <v>8444</v>
      </c>
      <c r="F876" t="s">
        <v>8448</v>
      </c>
      <c r="G876" t="s">
        <v>8583</v>
      </c>
    </row>
    <row r="877" spans="1:7">
      <c r="A877" t="s">
        <v>3397</v>
      </c>
      <c r="C877" t="s">
        <v>8394</v>
      </c>
      <c r="D877" t="s">
        <v>8402</v>
      </c>
      <c r="E877" t="s">
        <v>8445</v>
      </c>
      <c r="F877" t="s">
        <v>8448</v>
      </c>
      <c r="G877" t="s">
        <v>8584</v>
      </c>
    </row>
    <row r="878" spans="1:7">
      <c r="A878" t="s">
        <v>3398</v>
      </c>
      <c r="C878" t="s">
        <v>8394</v>
      </c>
      <c r="D878" t="s">
        <v>8402</v>
      </c>
      <c r="E878" t="s">
        <v>8445</v>
      </c>
      <c r="F878" t="s">
        <v>8448</v>
      </c>
      <c r="G878" t="s">
        <v>8585</v>
      </c>
    </row>
    <row r="879" spans="1:7">
      <c r="A879" t="s">
        <v>3399</v>
      </c>
      <c r="C879" t="s">
        <v>8394</v>
      </c>
      <c r="D879" t="s">
        <v>8413</v>
      </c>
      <c r="E879" t="s">
        <v>8445</v>
      </c>
      <c r="F879" t="s">
        <v>8448</v>
      </c>
      <c r="G879" t="s">
        <v>8586</v>
      </c>
    </row>
    <row r="880" spans="1:7">
      <c r="A880" t="s">
        <v>3400</v>
      </c>
      <c r="B880" t="s">
        <v>8273</v>
      </c>
      <c r="C880" t="s">
        <v>8396</v>
      </c>
      <c r="D880" t="s">
        <v>8425</v>
      </c>
      <c r="E880" t="s">
        <v>1519</v>
      </c>
      <c r="F880" t="s">
        <v>8448</v>
      </c>
      <c r="G880" t="s">
        <v>8587</v>
      </c>
    </row>
    <row r="881" spans="1:7">
      <c r="A881" t="s">
        <v>3401</v>
      </c>
      <c r="B881" t="s">
        <v>8273</v>
      </c>
      <c r="C881" t="s">
        <v>8395</v>
      </c>
      <c r="D881" t="s">
        <v>8414</v>
      </c>
      <c r="E881" t="s">
        <v>8446</v>
      </c>
      <c r="F881" t="s">
        <v>8449</v>
      </c>
      <c r="G881" t="s">
        <v>8455</v>
      </c>
    </row>
    <row r="882" spans="1:7">
      <c r="A882" t="s">
        <v>3402</v>
      </c>
      <c r="B882" t="s">
        <v>8273</v>
      </c>
      <c r="C882" t="s">
        <v>8392</v>
      </c>
      <c r="D882" t="s">
        <v>8400</v>
      </c>
      <c r="E882" t="s">
        <v>8445</v>
      </c>
      <c r="F882" t="s">
        <v>8449</v>
      </c>
      <c r="G882" t="s">
        <v>8455</v>
      </c>
    </row>
    <row r="883" spans="1:7">
      <c r="A883" t="s">
        <v>3403</v>
      </c>
      <c r="B883" t="s">
        <v>8273</v>
      </c>
      <c r="C883" t="s">
        <v>8395</v>
      </c>
      <c r="D883" t="s">
        <v>8422</v>
      </c>
      <c r="E883" t="s">
        <v>8444</v>
      </c>
      <c r="F883" t="s">
        <v>8449</v>
      </c>
      <c r="G883" t="s">
        <v>8455</v>
      </c>
    </row>
    <row r="884" spans="1:7">
      <c r="A884" t="s">
        <v>3404</v>
      </c>
      <c r="C884" t="s">
        <v>8398</v>
      </c>
      <c r="D884" t="s">
        <v>8409</v>
      </c>
      <c r="E884" t="s">
        <v>8446</v>
      </c>
      <c r="F884" t="s">
        <v>8448</v>
      </c>
      <c r="G884" t="s">
        <v>8588</v>
      </c>
    </row>
    <row r="885" spans="1:7">
      <c r="A885" t="s">
        <v>3405</v>
      </c>
      <c r="B885" t="s">
        <v>8273</v>
      </c>
      <c r="C885" t="s">
        <v>8395</v>
      </c>
      <c r="D885" t="s">
        <v>8414</v>
      </c>
      <c r="E885" t="s">
        <v>8445</v>
      </c>
      <c r="F885" t="s">
        <v>8449</v>
      </c>
      <c r="G885" t="s">
        <v>8455</v>
      </c>
    </row>
    <row r="886" spans="1:7">
      <c r="A886" t="s">
        <v>3406</v>
      </c>
      <c r="B886" t="s">
        <v>8273</v>
      </c>
      <c r="C886" t="s">
        <v>8395</v>
      </c>
      <c r="D886" t="s">
        <v>8404</v>
      </c>
      <c r="E886" t="s">
        <v>8445</v>
      </c>
      <c r="F886" t="s">
        <v>8449</v>
      </c>
      <c r="G886" t="s">
        <v>8455</v>
      </c>
    </row>
    <row r="887" spans="1:7">
      <c r="A887" t="s">
        <v>3407</v>
      </c>
      <c r="B887" t="s">
        <v>8273</v>
      </c>
      <c r="C887" t="s">
        <v>8395</v>
      </c>
      <c r="D887" t="s">
        <v>8411</v>
      </c>
      <c r="E887" t="s">
        <v>1587</v>
      </c>
      <c r="F887" t="s">
        <v>8447</v>
      </c>
      <c r="G887" t="s">
        <v>8463</v>
      </c>
    </row>
    <row r="888" spans="1:7">
      <c r="A888" t="s">
        <v>3408</v>
      </c>
      <c r="B888" t="s">
        <v>8299</v>
      </c>
      <c r="C888" t="s">
        <v>8397</v>
      </c>
      <c r="D888" t="s">
        <v>8430</v>
      </c>
      <c r="E888" t="s">
        <v>1519</v>
      </c>
      <c r="F888" t="s">
        <v>8449</v>
      </c>
      <c r="G888" t="s">
        <v>8455</v>
      </c>
    </row>
    <row r="889" spans="1:7">
      <c r="A889" t="s">
        <v>3409</v>
      </c>
      <c r="C889" t="s">
        <v>8394</v>
      </c>
      <c r="D889" t="s">
        <v>8403</v>
      </c>
      <c r="E889" t="s">
        <v>8445</v>
      </c>
      <c r="F889" t="s">
        <v>8448</v>
      </c>
      <c r="G889" t="s">
        <v>8589</v>
      </c>
    </row>
    <row r="890" spans="1:7">
      <c r="A890" t="s">
        <v>3410</v>
      </c>
      <c r="B890" t="s">
        <v>8273</v>
      </c>
      <c r="C890" t="s">
        <v>8395</v>
      </c>
      <c r="D890" t="s">
        <v>8420</v>
      </c>
      <c r="E890" t="s">
        <v>8446</v>
      </c>
      <c r="F890" t="s">
        <v>8449</v>
      </c>
      <c r="G890" t="s">
        <v>8455</v>
      </c>
    </row>
    <row r="891" spans="1:7">
      <c r="A891" t="s">
        <v>3411</v>
      </c>
      <c r="C891" t="s">
        <v>8394</v>
      </c>
      <c r="D891" t="s">
        <v>8402</v>
      </c>
      <c r="E891" t="s">
        <v>8445</v>
      </c>
      <c r="F891" t="s">
        <v>8448</v>
      </c>
      <c r="G891" t="s">
        <v>8590</v>
      </c>
    </row>
    <row r="892" spans="1:7">
      <c r="A892" t="s">
        <v>3412</v>
      </c>
      <c r="C892" t="s">
        <v>8393</v>
      </c>
      <c r="D892" t="s">
        <v>8393</v>
      </c>
      <c r="E892" t="s">
        <v>919</v>
      </c>
      <c r="F892" t="s">
        <v>8393</v>
      </c>
    </row>
    <row r="893" spans="1:7">
      <c r="A893" t="s">
        <v>3413</v>
      </c>
      <c r="B893" t="s">
        <v>8273</v>
      </c>
      <c r="C893" t="s">
        <v>8394</v>
      </c>
      <c r="D893" t="s">
        <v>8432</v>
      </c>
      <c r="E893" t="s">
        <v>8446</v>
      </c>
      <c r="F893" t="s">
        <v>8449</v>
      </c>
      <c r="G893" t="s">
        <v>8455</v>
      </c>
    </row>
    <row r="894" spans="1:7">
      <c r="A894" t="s">
        <v>3414</v>
      </c>
      <c r="B894" t="s">
        <v>8285</v>
      </c>
      <c r="C894" t="s">
        <v>8394</v>
      </c>
      <c r="D894" t="s">
        <v>8432</v>
      </c>
      <c r="E894" t="s">
        <v>8446</v>
      </c>
      <c r="F894" t="s">
        <v>8449</v>
      </c>
      <c r="G894" t="s">
        <v>8455</v>
      </c>
    </row>
    <row r="895" spans="1:7">
      <c r="A895" t="s">
        <v>3415</v>
      </c>
      <c r="B895" t="s">
        <v>8278</v>
      </c>
      <c r="C895" t="s">
        <v>8394</v>
      </c>
      <c r="D895" t="s">
        <v>8423</v>
      </c>
      <c r="E895" t="s">
        <v>8446</v>
      </c>
      <c r="F895" t="s">
        <v>8449</v>
      </c>
      <c r="G895" t="s">
        <v>8455</v>
      </c>
    </row>
    <row r="896" spans="1:7">
      <c r="A896" t="s">
        <v>3416</v>
      </c>
      <c r="B896" t="s">
        <v>8279</v>
      </c>
      <c r="C896" t="s">
        <v>8394</v>
      </c>
      <c r="D896" t="s">
        <v>8423</v>
      </c>
      <c r="E896" t="s">
        <v>8446</v>
      </c>
      <c r="F896" t="s">
        <v>8449</v>
      </c>
      <c r="G896" t="s">
        <v>8455</v>
      </c>
    </row>
    <row r="897" spans="1:7">
      <c r="A897" t="s">
        <v>3417</v>
      </c>
      <c r="B897" t="s">
        <v>8280</v>
      </c>
      <c r="C897" t="s">
        <v>8394</v>
      </c>
      <c r="D897" t="s">
        <v>8423</v>
      </c>
      <c r="E897" t="s">
        <v>8446</v>
      </c>
      <c r="F897" t="s">
        <v>8449</v>
      </c>
      <c r="G897" t="s">
        <v>8455</v>
      </c>
    </row>
    <row r="898" spans="1:7">
      <c r="A898" t="s">
        <v>3418</v>
      </c>
      <c r="B898" t="s">
        <v>8278</v>
      </c>
      <c r="C898" t="s">
        <v>8394</v>
      </c>
      <c r="D898" t="s">
        <v>8432</v>
      </c>
      <c r="E898" t="s">
        <v>8446</v>
      </c>
      <c r="F898" t="s">
        <v>8449</v>
      </c>
      <c r="G898" t="s">
        <v>8455</v>
      </c>
    </row>
    <row r="899" spans="1:7">
      <c r="A899" t="s">
        <v>3419</v>
      </c>
      <c r="B899" t="s">
        <v>8277</v>
      </c>
      <c r="C899" t="s">
        <v>8394</v>
      </c>
      <c r="D899" t="s">
        <v>8432</v>
      </c>
      <c r="E899" t="s">
        <v>8446</v>
      </c>
      <c r="F899" t="s">
        <v>8449</v>
      </c>
      <c r="G899" t="s">
        <v>8455</v>
      </c>
    </row>
    <row r="900" spans="1:7">
      <c r="A900" t="s">
        <v>3420</v>
      </c>
      <c r="B900" t="s">
        <v>8276</v>
      </c>
      <c r="C900" t="s">
        <v>8394</v>
      </c>
      <c r="D900" t="s">
        <v>8414</v>
      </c>
      <c r="E900" t="s">
        <v>8446</v>
      </c>
      <c r="F900" t="s">
        <v>8449</v>
      </c>
      <c r="G900" t="s">
        <v>8455</v>
      </c>
    </row>
    <row r="901" spans="1:7">
      <c r="A901" t="s">
        <v>3421</v>
      </c>
      <c r="B901" t="s">
        <v>8273</v>
      </c>
      <c r="C901" t="s">
        <v>8395</v>
      </c>
      <c r="D901" t="s">
        <v>8414</v>
      </c>
      <c r="E901" t="s">
        <v>8446</v>
      </c>
      <c r="F901" t="s">
        <v>8449</v>
      </c>
      <c r="G901" t="s">
        <v>8455</v>
      </c>
    </row>
    <row r="902" spans="1:7">
      <c r="A902" t="s">
        <v>3422</v>
      </c>
      <c r="C902" t="s">
        <v>8394</v>
      </c>
      <c r="D902" t="s">
        <v>8413</v>
      </c>
      <c r="E902" t="s">
        <v>8445</v>
      </c>
      <c r="F902" t="s">
        <v>8448</v>
      </c>
      <c r="G902" t="s">
        <v>8591</v>
      </c>
    </row>
    <row r="903" spans="1:7">
      <c r="A903" t="s">
        <v>3423</v>
      </c>
      <c r="C903" t="s">
        <v>8397</v>
      </c>
      <c r="D903" t="s">
        <v>8431</v>
      </c>
      <c r="E903" t="s">
        <v>8445</v>
      </c>
      <c r="F903" t="s">
        <v>8448</v>
      </c>
      <c r="G903" t="s">
        <v>8592</v>
      </c>
    </row>
    <row r="904" spans="1:7">
      <c r="A904" t="s">
        <v>3424</v>
      </c>
      <c r="C904" t="s">
        <v>8394</v>
      </c>
      <c r="D904" t="s">
        <v>8413</v>
      </c>
      <c r="E904" t="s">
        <v>8445</v>
      </c>
      <c r="F904" t="s">
        <v>8448</v>
      </c>
      <c r="G904" t="s">
        <v>8592</v>
      </c>
    </row>
    <row r="905" spans="1:7">
      <c r="A905" t="s">
        <v>3425</v>
      </c>
      <c r="C905" t="s">
        <v>8397</v>
      </c>
      <c r="D905" t="s">
        <v>8418</v>
      </c>
      <c r="E905" t="s">
        <v>8445</v>
      </c>
      <c r="F905" t="s">
        <v>8450</v>
      </c>
      <c r="G905" t="s">
        <v>8593</v>
      </c>
    </row>
    <row r="906" spans="1:7">
      <c r="A906" t="s">
        <v>3426</v>
      </c>
      <c r="C906" t="s">
        <v>8393</v>
      </c>
      <c r="D906" t="s">
        <v>8393</v>
      </c>
      <c r="E906" t="s">
        <v>919</v>
      </c>
      <c r="F906" t="s">
        <v>8393</v>
      </c>
    </row>
    <row r="907" spans="1:7">
      <c r="A907" t="s">
        <v>3427</v>
      </c>
      <c r="B907" t="s">
        <v>8273</v>
      </c>
      <c r="C907" t="s">
        <v>8395</v>
      </c>
      <c r="D907" t="s">
        <v>8416</v>
      </c>
      <c r="E907" t="s">
        <v>8444</v>
      </c>
      <c r="F907" t="s">
        <v>8449</v>
      </c>
      <c r="G907" t="s">
        <v>8594</v>
      </c>
    </row>
    <row r="908" spans="1:7">
      <c r="A908" t="s">
        <v>3428</v>
      </c>
      <c r="B908" t="s">
        <v>8285</v>
      </c>
      <c r="C908" t="s">
        <v>8395</v>
      </c>
      <c r="D908" t="s">
        <v>8416</v>
      </c>
      <c r="E908" t="s">
        <v>1519</v>
      </c>
      <c r="F908" t="s">
        <v>8449</v>
      </c>
      <c r="G908" t="s">
        <v>8455</v>
      </c>
    </row>
    <row r="909" spans="1:7">
      <c r="A909" t="s">
        <v>3429</v>
      </c>
      <c r="B909" t="s">
        <v>8277</v>
      </c>
      <c r="C909" t="s">
        <v>8395</v>
      </c>
      <c r="D909" t="s">
        <v>8416</v>
      </c>
      <c r="E909" t="s">
        <v>1519</v>
      </c>
      <c r="F909" t="s">
        <v>8449</v>
      </c>
      <c r="G909" t="s">
        <v>8455</v>
      </c>
    </row>
    <row r="910" spans="1:7">
      <c r="A910" t="s">
        <v>3430</v>
      </c>
      <c r="B910" t="s">
        <v>8273</v>
      </c>
      <c r="C910" t="s">
        <v>8394</v>
      </c>
      <c r="D910" t="s">
        <v>8433</v>
      </c>
      <c r="E910" t="s">
        <v>8445</v>
      </c>
      <c r="F910" t="s">
        <v>8448</v>
      </c>
      <c r="G910" t="s">
        <v>8455</v>
      </c>
    </row>
    <row r="911" spans="1:7">
      <c r="A911" t="s">
        <v>3431</v>
      </c>
      <c r="B911" t="s">
        <v>8273</v>
      </c>
      <c r="C911" t="s">
        <v>8394</v>
      </c>
      <c r="D911" t="s">
        <v>8413</v>
      </c>
      <c r="E911" t="s">
        <v>8444</v>
      </c>
      <c r="F911" t="s">
        <v>8448</v>
      </c>
      <c r="G911" t="s">
        <v>795</v>
      </c>
    </row>
    <row r="912" spans="1:7">
      <c r="A912" t="s">
        <v>3432</v>
      </c>
      <c r="C912" t="s">
        <v>8394</v>
      </c>
      <c r="D912" t="s">
        <v>8413</v>
      </c>
      <c r="E912" t="s">
        <v>8445</v>
      </c>
      <c r="F912" t="s">
        <v>8448</v>
      </c>
      <c r="G912" t="s">
        <v>8595</v>
      </c>
    </row>
    <row r="913" spans="1:7">
      <c r="A913" t="s">
        <v>3433</v>
      </c>
      <c r="B913" t="s">
        <v>8273</v>
      </c>
      <c r="C913" t="s">
        <v>8394</v>
      </c>
      <c r="D913" t="s">
        <v>8424</v>
      </c>
      <c r="E913" t="s">
        <v>8446</v>
      </c>
      <c r="F913" t="s">
        <v>8448</v>
      </c>
      <c r="G913" t="s">
        <v>8596</v>
      </c>
    </row>
    <row r="914" spans="1:7">
      <c r="A914" t="s">
        <v>3434</v>
      </c>
      <c r="C914" t="s">
        <v>8392</v>
      </c>
      <c r="D914" t="s">
        <v>8400</v>
      </c>
      <c r="E914" t="s">
        <v>8446</v>
      </c>
      <c r="F914" t="s">
        <v>8448</v>
      </c>
      <c r="G914" t="s">
        <v>8597</v>
      </c>
    </row>
    <row r="915" spans="1:7">
      <c r="A915" t="s">
        <v>3435</v>
      </c>
      <c r="B915" t="s">
        <v>8295</v>
      </c>
      <c r="C915" t="s">
        <v>8398</v>
      </c>
      <c r="D915" t="s">
        <v>8419</v>
      </c>
      <c r="E915" t="s">
        <v>8446</v>
      </c>
      <c r="F915" t="s">
        <v>8449</v>
      </c>
      <c r="G915" t="s">
        <v>8455</v>
      </c>
    </row>
    <row r="916" spans="1:7">
      <c r="A916" t="s">
        <v>3436</v>
      </c>
      <c r="C916" t="s">
        <v>8397</v>
      </c>
      <c r="D916" t="s">
        <v>8408</v>
      </c>
      <c r="E916" t="s">
        <v>8445</v>
      </c>
      <c r="F916" t="s">
        <v>8450</v>
      </c>
    </row>
    <row r="917" spans="1:7">
      <c r="A917" t="s">
        <v>3437</v>
      </c>
      <c r="C917" t="s">
        <v>8394</v>
      </c>
      <c r="D917" t="s">
        <v>8401</v>
      </c>
      <c r="E917" t="s">
        <v>8445</v>
      </c>
      <c r="F917" t="s">
        <v>8450</v>
      </c>
      <c r="G917" t="s">
        <v>8598</v>
      </c>
    </row>
    <row r="918" spans="1:7">
      <c r="A918" t="s">
        <v>3438</v>
      </c>
      <c r="C918" t="s">
        <v>8398</v>
      </c>
      <c r="D918" t="s">
        <v>8419</v>
      </c>
      <c r="E918" t="s">
        <v>8445</v>
      </c>
      <c r="F918" t="s">
        <v>8448</v>
      </c>
      <c r="G918" t="s">
        <v>8599</v>
      </c>
    </row>
    <row r="919" spans="1:7">
      <c r="A919" t="s">
        <v>3439</v>
      </c>
      <c r="B919" t="s">
        <v>8273</v>
      </c>
      <c r="C919" t="s">
        <v>8396</v>
      </c>
      <c r="D919" t="s">
        <v>8425</v>
      </c>
      <c r="E919" t="s">
        <v>8446</v>
      </c>
      <c r="F919" t="s">
        <v>8448</v>
      </c>
      <c r="G919" t="s">
        <v>8600</v>
      </c>
    </row>
    <row r="920" spans="1:7">
      <c r="A920" t="s">
        <v>3440</v>
      </c>
      <c r="B920" t="s">
        <v>8273</v>
      </c>
      <c r="C920" t="s">
        <v>8395</v>
      </c>
      <c r="D920" t="s">
        <v>8402</v>
      </c>
      <c r="E920" t="s">
        <v>8446</v>
      </c>
      <c r="F920" t="s">
        <v>8449</v>
      </c>
      <c r="G920" t="s">
        <v>796</v>
      </c>
    </row>
    <row r="921" spans="1:7">
      <c r="A921" t="s">
        <v>3441</v>
      </c>
      <c r="C921" t="s">
        <v>8394</v>
      </c>
      <c r="D921" t="s">
        <v>8413</v>
      </c>
      <c r="E921" t="s">
        <v>8445</v>
      </c>
      <c r="F921" t="s">
        <v>8448</v>
      </c>
      <c r="G921" t="s">
        <v>8601</v>
      </c>
    </row>
    <row r="922" spans="1:7">
      <c r="A922" t="s">
        <v>3442</v>
      </c>
      <c r="B922" t="s">
        <v>8273</v>
      </c>
      <c r="C922" t="s">
        <v>8395</v>
      </c>
      <c r="D922" t="s">
        <v>8414</v>
      </c>
      <c r="E922" t="s">
        <v>8446</v>
      </c>
      <c r="F922" t="s">
        <v>8449</v>
      </c>
      <c r="G922" t="s">
        <v>8455</v>
      </c>
    </row>
    <row r="923" spans="1:7">
      <c r="A923" t="s">
        <v>3443</v>
      </c>
      <c r="B923" t="s">
        <v>8273</v>
      </c>
      <c r="C923" t="s">
        <v>8395</v>
      </c>
      <c r="D923" t="s">
        <v>8403</v>
      </c>
      <c r="E923" t="s">
        <v>8446</v>
      </c>
      <c r="F923" t="s">
        <v>8449</v>
      </c>
      <c r="G923" t="s">
        <v>8455</v>
      </c>
    </row>
    <row r="924" spans="1:7">
      <c r="A924" t="s">
        <v>3444</v>
      </c>
      <c r="C924" t="s">
        <v>8394</v>
      </c>
      <c r="D924" t="s">
        <v>8402</v>
      </c>
      <c r="E924" t="s">
        <v>8446</v>
      </c>
      <c r="F924" t="s">
        <v>8448</v>
      </c>
      <c r="G924" t="s">
        <v>8602</v>
      </c>
    </row>
    <row r="925" spans="1:7">
      <c r="A925" t="s">
        <v>3445</v>
      </c>
      <c r="B925" t="s">
        <v>8273</v>
      </c>
      <c r="C925" t="s">
        <v>8394</v>
      </c>
      <c r="D925" t="s">
        <v>8413</v>
      </c>
      <c r="E925" t="s">
        <v>8445</v>
      </c>
      <c r="F925" t="s">
        <v>8448</v>
      </c>
      <c r="G925" t="s">
        <v>8603</v>
      </c>
    </row>
    <row r="926" spans="1:7">
      <c r="A926" t="s">
        <v>3446</v>
      </c>
      <c r="B926" t="s">
        <v>8273</v>
      </c>
      <c r="C926" t="s">
        <v>8394</v>
      </c>
      <c r="D926" t="s">
        <v>8413</v>
      </c>
      <c r="E926" t="s">
        <v>8445</v>
      </c>
      <c r="F926" t="s">
        <v>8448</v>
      </c>
      <c r="G926" t="s">
        <v>8453</v>
      </c>
    </row>
    <row r="927" spans="1:7">
      <c r="A927" t="s">
        <v>3447</v>
      </c>
      <c r="B927" t="s">
        <v>8273</v>
      </c>
      <c r="C927" t="s">
        <v>8394</v>
      </c>
      <c r="D927" t="s">
        <v>8413</v>
      </c>
      <c r="E927" t="s">
        <v>8445</v>
      </c>
      <c r="F927" t="s">
        <v>8448</v>
      </c>
      <c r="G927" t="s">
        <v>8455</v>
      </c>
    </row>
    <row r="928" spans="1:7">
      <c r="A928" t="s">
        <v>3448</v>
      </c>
      <c r="B928" t="s">
        <v>8273</v>
      </c>
      <c r="C928" t="s">
        <v>8394</v>
      </c>
      <c r="D928" t="s">
        <v>8413</v>
      </c>
      <c r="E928" t="s">
        <v>8445</v>
      </c>
      <c r="F928" t="s">
        <v>8448</v>
      </c>
      <c r="G928" t="s">
        <v>8455</v>
      </c>
    </row>
    <row r="929" spans="1:7">
      <c r="A929" t="s">
        <v>3449</v>
      </c>
      <c r="C929" t="s">
        <v>8397</v>
      </c>
      <c r="D929" t="s">
        <v>8418</v>
      </c>
      <c r="E929" t="s">
        <v>8445</v>
      </c>
      <c r="F929" t="s">
        <v>8450</v>
      </c>
      <c r="G929" t="s">
        <v>8604</v>
      </c>
    </row>
    <row r="930" spans="1:7">
      <c r="A930" t="s">
        <v>3450</v>
      </c>
      <c r="B930" t="s">
        <v>8273</v>
      </c>
      <c r="C930" t="s">
        <v>8395</v>
      </c>
      <c r="D930" t="s">
        <v>8402</v>
      </c>
      <c r="E930" t="s">
        <v>8446</v>
      </c>
      <c r="F930" t="s">
        <v>8449</v>
      </c>
      <c r="G930" t="s">
        <v>8455</v>
      </c>
    </row>
    <row r="931" spans="1:7">
      <c r="A931" t="s">
        <v>3451</v>
      </c>
      <c r="C931" t="s">
        <v>8397</v>
      </c>
      <c r="D931" t="s">
        <v>8408</v>
      </c>
      <c r="E931" t="s">
        <v>8445</v>
      </c>
      <c r="F931" t="s">
        <v>8450</v>
      </c>
    </row>
    <row r="932" spans="1:7">
      <c r="A932" t="s">
        <v>3452</v>
      </c>
      <c r="B932" t="s">
        <v>8273</v>
      </c>
      <c r="C932" t="s">
        <v>8396</v>
      </c>
      <c r="D932" t="s">
        <v>8425</v>
      </c>
      <c r="E932" t="s">
        <v>1519</v>
      </c>
      <c r="F932" t="s">
        <v>8449</v>
      </c>
      <c r="G932" t="s">
        <v>8455</v>
      </c>
    </row>
    <row r="933" spans="1:7">
      <c r="A933" t="s">
        <v>3453</v>
      </c>
      <c r="B933" t="s">
        <v>8299</v>
      </c>
      <c r="C933" t="s">
        <v>8397</v>
      </c>
      <c r="D933" t="s">
        <v>8430</v>
      </c>
      <c r="E933" t="s">
        <v>1587</v>
      </c>
      <c r="F933" t="s">
        <v>8449</v>
      </c>
      <c r="G933" t="s">
        <v>8455</v>
      </c>
    </row>
    <row r="934" spans="1:7">
      <c r="A934" t="s">
        <v>3454</v>
      </c>
      <c r="B934" t="s">
        <v>8295</v>
      </c>
      <c r="C934" t="s">
        <v>8398</v>
      </c>
      <c r="D934" t="s">
        <v>8419</v>
      </c>
      <c r="E934" t="s">
        <v>8446</v>
      </c>
      <c r="F934" t="s">
        <v>8449</v>
      </c>
      <c r="G934" t="s">
        <v>8475</v>
      </c>
    </row>
    <row r="935" spans="1:7">
      <c r="A935" t="s">
        <v>3455</v>
      </c>
      <c r="C935" t="s">
        <v>8397</v>
      </c>
      <c r="D935" t="s">
        <v>8408</v>
      </c>
      <c r="E935" t="s">
        <v>8445</v>
      </c>
      <c r="F935" t="s">
        <v>8450</v>
      </c>
    </row>
    <row r="936" spans="1:7">
      <c r="A936" t="s">
        <v>3456</v>
      </c>
      <c r="C936" t="s">
        <v>8393</v>
      </c>
      <c r="D936" t="s">
        <v>8393</v>
      </c>
      <c r="E936" t="s">
        <v>919</v>
      </c>
      <c r="F936" t="s">
        <v>8393</v>
      </c>
    </row>
    <row r="937" spans="1:7">
      <c r="A937" t="s">
        <v>3457</v>
      </c>
      <c r="B937" t="s">
        <v>8278</v>
      </c>
      <c r="C937" t="s">
        <v>8395</v>
      </c>
      <c r="D937" t="s">
        <v>8423</v>
      </c>
      <c r="E937" t="s">
        <v>1519</v>
      </c>
      <c r="F937" t="s">
        <v>8449</v>
      </c>
      <c r="G937" t="s">
        <v>8455</v>
      </c>
    </row>
    <row r="938" spans="1:7">
      <c r="A938" t="s">
        <v>3458</v>
      </c>
      <c r="B938" t="s">
        <v>8280</v>
      </c>
      <c r="C938" t="s">
        <v>8395</v>
      </c>
      <c r="D938" t="s">
        <v>8423</v>
      </c>
      <c r="E938" t="s">
        <v>1519</v>
      </c>
      <c r="F938" t="s">
        <v>8449</v>
      </c>
      <c r="G938" t="s">
        <v>8455</v>
      </c>
    </row>
    <row r="939" spans="1:7">
      <c r="A939" t="s">
        <v>3459</v>
      </c>
      <c r="B939" t="s">
        <v>8281</v>
      </c>
      <c r="C939" t="s">
        <v>8395</v>
      </c>
      <c r="D939" t="s">
        <v>8423</v>
      </c>
      <c r="E939" t="s">
        <v>1519</v>
      </c>
      <c r="F939" t="s">
        <v>8449</v>
      </c>
      <c r="G939" t="s">
        <v>8455</v>
      </c>
    </row>
    <row r="940" spans="1:7">
      <c r="A940" t="s">
        <v>3460</v>
      </c>
      <c r="C940" t="s">
        <v>8394</v>
      </c>
      <c r="D940" t="s">
        <v>8402</v>
      </c>
      <c r="E940" t="s">
        <v>8445</v>
      </c>
      <c r="F940" t="s">
        <v>8450</v>
      </c>
      <c r="G940" t="s">
        <v>8605</v>
      </c>
    </row>
    <row r="941" spans="1:7">
      <c r="A941" t="s">
        <v>3461</v>
      </c>
      <c r="B941" t="s">
        <v>8273</v>
      </c>
      <c r="C941" t="s">
        <v>8396</v>
      </c>
      <c r="D941" t="s">
        <v>8425</v>
      </c>
      <c r="E941" t="s">
        <v>8445</v>
      </c>
      <c r="F941" t="s">
        <v>8448</v>
      </c>
      <c r="G941" t="s">
        <v>8455</v>
      </c>
    </row>
    <row r="942" spans="1:7">
      <c r="A942" t="s">
        <v>3462</v>
      </c>
      <c r="C942" t="s">
        <v>8393</v>
      </c>
      <c r="D942" t="s">
        <v>8393</v>
      </c>
      <c r="E942" t="s">
        <v>919</v>
      </c>
      <c r="F942" t="s">
        <v>8393</v>
      </c>
    </row>
    <row r="943" spans="1:7">
      <c r="A943" t="s">
        <v>3463</v>
      </c>
      <c r="B943" t="s">
        <v>8278</v>
      </c>
      <c r="C943" t="s">
        <v>8394</v>
      </c>
      <c r="D943" t="s">
        <v>8423</v>
      </c>
      <c r="E943" t="s">
        <v>8444</v>
      </c>
      <c r="F943" t="s">
        <v>8449</v>
      </c>
      <c r="G943" t="s">
        <v>8455</v>
      </c>
    </row>
    <row r="944" spans="1:7">
      <c r="A944" t="s">
        <v>3464</v>
      </c>
      <c r="B944" t="s">
        <v>8278</v>
      </c>
      <c r="C944" t="s">
        <v>8394</v>
      </c>
      <c r="D944" t="s">
        <v>8423</v>
      </c>
      <c r="E944" t="s">
        <v>8444</v>
      </c>
      <c r="F944" t="s">
        <v>8449</v>
      </c>
      <c r="G944" t="s">
        <v>8455</v>
      </c>
    </row>
    <row r="945" spans="1:7">
      <c r="A945" t="s">
        <v>3465</v>
      </c>
      <c r="B945" t="s">
        <v>8278</v>
      </c>
      <c r="C945" t="s">
        <v>8394</v>
      </c>
      <c r="D945" t="s">
        <v>8423</v>
      </c>
      <c r="E945" t="s">
        <v>8444</v>
      </c>
      <c r="F945" t="s">
        <v>8449</v>
      </c>
      <c r="G945" t="s">
        <v>8455</v>
      </c>
    </row>
    <row r="946" spans="1:7">
      <c r="A946" t="s">
        <v>3466</v>
      </c>
      <c r="B946" t="s">
        <v>8284</v>
      </c>
      <c r="C946" t="s">
        <v>8394</v>
      </c>
      <c r="D946" t="s">
        <v>8423</v>
      </c>
      <c r="E946" t="s">
        <v>8444</v>
      </c>
      <c r="F946" t="s">
        <v>8449</v>
      </c>
      <c r="G946" t="s">
        <v>8455</v>
      </c>
    </row>
    <row r="947" spans="1:7">
      <c r="A947" t="s">
        <v>3467</v>
      </c>
      <c r="B947" t="s">
        <v>8279</v>
      </c>
      <c r="C947" t="s">
        <v>8394</v>
      </c>
      <c r="D947" t="s">
        <v>8423</v>
      </c>
      <c r="E947" t="s">
        <v>8444</v>
      </c>
      <c r="F947" t="s">
        <v>8449</v>
      </c>
      <c r="G947" t="s">
        <v>8455</v>
      </c>
    </row>
    <row r="948" spans="1:7">
      <c r="A948" t="s">
        <v>3468</v>
      </c>
      <c r="B948" t="s">
        <v>8311</v>
      </c>
      <c r="C948" t="s">
        <v>8394</v>
      </c>
      <c r="D948" t="s">
        <v>8423</v>
      </c>
      <c r="E948" t="s">
        <v>8444</v>
      </c>
      <c r="F948" t="s">
        <v>8449</v>
      </c>
      <c r="G948" t="s">
        <v>8455</v>
      </c>
    </row>
    <row r="949" spans="1:7">
      <c r="A949" t="s">
        <v>3469</v>
      </c>
      <c r="B949" t="s">
        <v>8280</v>
      </c>
      <c r="C949" t="s">
        <v>8394</v>
      </c>
      <c r="D949" t="s">
        <v>8423</v>
      </c>
      <c r="E949" t="s">
        <v>8444</v>
      </c>
      <c r="F949" t="s">
        <v>8449</v>
      </c>
      <c r="G949" t="s">
        <v>8455</v>
      </c>
    </row>
    <row r="950" spans="1:7">
      <c r="A950" t="s">
        <v>3470</v>
      </c>
      <c r="B950" t="s">
        <v>8281</v>
      </c>
      <c r="C950" t="s">
        <v>8394</v>
      </c>
      <c r="D950" t="s">
        <v>8423</v>
      </c>
      <c r="E950" t="s">
        <v>8444</v>
      </c>
      <c r="F950" t="s">
        <v>8449</v>
      </c>
      <c r="G950" t="s">
        <v>8455</v>
      </c>
    </row>
    <row r="951" spans="1:7">
      <c r="A951" t="s">
        <v>3471</v>
      </c>
      <c r="B951" t="s">
        <v>8273</v>
      </c>
      <c r="C951" t="s">
        <v>8396</v>
      </c>
      <c r="D951" t="s">
        <v>8425</v>
      </c>
      <c r="E951" t="s">
        <v>8444</v>
      </c>
      <c r="F951" t="s">
        <v>8448</v>
      </c>
      <c r="G951" t="s">
        <v>8606</v>
      </c>
    </row>
    <row r="952" spans="1:7">
      <c r="A952" t="s">
        <v>3472</v>
      </c>
      <c r="B952" t="s">
        <v>8273</v>
      </c>
      <c r="C952" t="s">
        <v>8396</v>
      </c>
      <c r="D952" t="s">
        <v>8411</v>
      </c>
      <c r="E952" t="s">
        <v>8446</v>
      </c>
      <c r="F952" t="s">
        <v>8449</v>
      </c>
      <c r="G952" t="s">
        <v>8607</v>
      </c>
    </row>
    <row r="953" spans="1:7">
      <c r="A953" t="s">
        <v>3473</v>
      </c>
      <c r="B953" t="s">
        <v>8278</v>
      </c>
      <c r="C953" t="s">
        <v>8395</v>
      </c>
      <c r="D953" t="s">
        <v>8423</v>
      </c>
      <c r="E953" t="s">
        <v>8446</v>
      </c>
      <c r="F953" t="s">
        <v>8449</v>
      </c>
      <c r="G953" t="s">
        <v>8455</v>
      </c>
    </row>
    <row r="954" spans="1:7">
      <c r="A954" t="s">
        <v>3474</v>
      </c>
      <c r="C954" t="s">
        <v>8393</v>
      </c>
      <c r="D954" t="s">
        <v>8393</v>
      </c>
      <c r="E954" t="s">
        <v>919</v>
      </c>
      <c r="F954" t="s">
        <v>8393</v>
      </c>
    </row>
    <row r="955" spans="1:7">
      <c r="A955" t="s">
        <v>3475</v>
      </c>
      <c r="B955" t="s">
        <v>8273</v>
      </c>
      <c r="C955" t="s">
        <v>8394</v>
      </c>
      <c r="D955" t="s">
        <v>8414</v>
      </c>
      <c r="E955" t="s">
        <v>8446</v>
      </c>
      <c r="F955" t="s">
        <v>8449</v>
      </c>
      <c r="G955" t="s">
        <v>8455</v>
      </c>
    </row>
    <row r="956" spans="1:7">
      <c r="A956" t="s">
        <v>3476</v>
      </c>
      <c r="B956" t="s">
        <v>8277</v>
      </c>
      <c r="C956" t="s">
        <v>8394</v>
      </c>
      <c r="D956" t="s">
        <v>8414</v>
      </c>
      <c r="E956" t="s">
        <v>8446</v>
      </c>
      <c r="F956" t="s">
        <v>8449</v>
      </c>
      <c r="G956" t="s">
        <v>8455</v>
      </c>
    </row>
    <row r="957" spans="1:7">
      <c r="A957" t="s">
        <v>3477</v>
      </c>
      <c r="B957" t="s">
        <v>8273</v>
      </c>
      <c r="C957" t="s">
        <v>8395</v>
      </c>
      <c r="D957" t="s">
        <v>8434</v>
      </c>
      <c r="E957" t="s">
        <v>8446</v>
      </c>
      <c r="F957" t="s">
        <v>8449</v>
      </c>
      <c r="G957" t="s">
        <v>8455</v>
      </c>
    </row>
    <row r="958" spans="1:7">
      <c r="A958" t="s">
        <v>3478</v>
      </c>
      <c r="B958" t="s">
        <v>8273</v>
      </c>
      <c r="C958" t="s">
        <v>8394</v>
      </c>
      <c r="D958" t="s">
        <v>8417</v>
      </c>
      <c r="E958" t="s">
        <v>8445</v>
      </c>
      <c r="F958" t="s">
        <v>8448</v>
      </c>
      <c r="G958" t="s">
        <v>8608</v>
      </c>
    </row>
    <row r="959" spans="1:7">
      <c r="A959" t="s">
        <v>3479</v>
      </c>
      <c r="C959" t="s">
        <v>8394</v>
      </c>
      <c r="D959" t="s">
        <v>8402</v>
      </c>
      <c r="E959" t="s">
        <v>8445</v>
      </c>
      <c r="F959" t="s">
        <v>8448</v>
      </c>
      <c r="G959" t="s">
        <v>8609</v>
      </c>
    </row>
    <row r="960" spans="1:7">
      <c r="A960" t="s">
        <v>3480</v>
      </c>
      <c r="C960" t="s">
        <v>8394</v>
      </c>
      <c r="D960" t="s">
        <v>8402</v>
      </c>
      <c r="E960" t="s">
        <v>8445</v>
      </c>
      <c r="F960" t="s">
        <v>8448</v>
      </c>
      <c r="G960" t="s">
        <v>8610</v>
      </c>
    </row>
    <row r="961" spans="1:7">
      <c r="A961" t="s">
        <v>3481</v>
      </c>
      <c r="C961" t="s">
        <v>8394</v>
      </c>
      <c r="D961" t="s">
        <v>8402</v>
      </c>
      <c r="E961" t="s">
        <v>8445</v>
      </c>
      <c r="F961" t="s">
        <v>8448</v>
      </c>
      <c r="G961" t="s">
        <v>8611</v>
      </c>
    </row>
    <row r="962" spans="1:7">
      <c r="A962" t="s">
        <v>3482</v>
      </c>
      <c r="C962" t="s">
        <v>8394</v>
      </c>
      <c r="D962" t="s">
        <v>8402</v>
      </c>
      <c r="E962" t="s">
        <v>8445</v>
      </c>
      <c r="F962" t="s">
        <v>8448</v>
      </c>
      <c r="G962" t="s">
        <v>8612</v>
      </c>
    </row>
    <row r="963" spans="1:7">
      <c r="A963" t="s">
        <v>3483</v>
      </c>
      <c r="C963" t="s">
        <v>8397</v>
      </c>
      <c r="D963" t="s">
        <v>8431</v>
      </c>
      <c r="E963" t="s">
        <v>8446</v>
      </c>
      <c r="F963" t="s">
        <v>8448</v>
      </c>
      <c r="G963" t="s">
        <v>796</v>
      </c>
    </row>
    <row r="964" spans="1:7">
      <c r="A964" t="s">
        <v>3484</v>
      </c>
      <c r="B964" t="s">
        <v>8273</v>
      </c>
      <c r="C964" t="s">
        <v>8396</v>
      </c>
      <c r="D964" t="s">
        <v>8425</v>
      </c>
      <c r="E964" t="s">
        <v>8444</v>
      </c>
      <c r="F964" t="s">
        <v>8448</v>
      </c>
      <c r="G964" t="s">
        <v>8613</v>
      </c>
    </row>
    <row r="965" spans="1:7">
      <c r="A965" t="s">
        <v>3485</v>
      </c>
      <c r="C965" t="s">
        <v>8393</v>
      </c>
      <c r="D965" t="s">
        <v>8393</v>
      </c>
      <c r="E965" t="s">
        <v>919</v>
      </c>
      <c r="F965" t="s">
        <v>8393</v>
      </c>
    </row>
    <row r="966" spans="1:7">
      <c r="A966" t="s">
        <v>3486</v>
      </c>
      <c r="B966" t="s">
        <v>8273</v>
      </c>
      <c r="C966" t="s">
        <v>8396</v>
      </c>
      <c r="D966" t="s">
        <v>8405</v>
      </c>
      <c r="E966" t="s">
        <v>8444</v>
      </c>
      <c r="F966" t="s">
        <v>8449</v>
      </c>
      <c r="G966" t="s">
        <v>8455</v>
      </c>
    </row>
    <row r="967" spans="1:7">
      <c r="A967" t="s">
        <v>3487</v>
      </c>
      <c r="B967" t="s">
        <v>8273</v>
      </c>
      <c r="C967" t="s">
        <v>8396</v>
      </c>
      <c r="D967" t="s">
        <v>8405</v>
      </c>
      <c r="E967" t="s">
        <v>8444</v>
      </c>
      <c r="F967" t="s">
        <v>8449</v>
      </c>
      <c r="G967" t="s">
        <v>8455</v>
      </c>
    </row>
    <row r="968" spans="1:7">
      <c r="A968" t="s">
        <v>3488</v>
      </c>
      <c r="B968" t="s">
        <v>8273</v>
      </c>
      <c r="C968" t="s">
        <v>8396</v>
      </c>
      <c r="D968" t="s">
        <v>8425</v>
      </c>
      <c r="E968" t="s">
        <v>8446</v>
      </c>
      <c r="F968" t="s">
        <v>8449</v>
      </c>
      <c r="G968" t="s">
        <v>8455</v>
      </c>
    </row>
    <row r="969" spans="1:7">
      <c r="A969" t="s">
        <v>3489</v>
      </c>
      <c r="B969" t="s">
        <v>8273</v>
      </c>
      <c r="C969" t="s">
        <v>8395</v>
      </c>
      <c r="D969" t="s">
        <v>8404</v>
      </c>
      <c r="E969" t="s">
        <v>1519</v>
      </c>
      <c r="F969" t="s">
        <v>8449</v>
      </c>
      <c r="G969" t="s">
        <v>8455</v>
      </c>
    </row>
    <row r="970" spans="1:7">
      <c r="A970" t="s">
        <v>3490</v>
      </c>
      <c r="B970" t="s">
        <v>8274</v>
      </c>
      <c r="C970" t="s">
        <v>8396</v>
      </c>
      <c r="D970" t="s">
        <v>8406</v>
      </c>
      <c r="E970" t="s">
        <v>8446</v>
      </c>
      <c r="F970" t="s">
        <v>8449</v>
      </c>
      <c r="G970" t="s">
        <v>8455</v>
      </c>
    </row>
    <row r="971" spans="1:7">
      <c r="A971" t="s">
        <v>3491</v>
      </c>
      <c r="B971" t="s">
        <v>8299</v>
      </c>
      <c r="C971" t="s">
        <v>8397</v>
      </c>
      <c r="D971" t="s">
        <v>8430</v>
      </c>
      <c r="E971" t="s">
        <v>8446</v>
      </c>
      <c r="F971" t="s">
        <v>8448</v>
      </c>
      <c r="G971" t="s">
        <v>8453</v>
      </c>
    </row>
    <row r="972" spans="1:7">
      <c r="A972" t="s">
        <v>3492</v>
      </c>
      <c r="C972" t="s">
        <v>8397</v>
      </c>
      <c r="D972" t="s">
        <v>8421</v>
      </c>
      <c r="E972" t="s">
        <v>8446</v>
      </c>
      <c r="F972" t="s">
        <v>8449</v>
      </c>
      <c r="G972" t="s">
        <v>8463</v>
      </c>
    </row>
    <row r="973" spans="1:7">
      <c r="A973" t="s">
        <v>3493</v>
      </c>
      <c r="B973" t="s">
        <v>8273</v>
      </c>
      <c r="C973" t="s">
        <v>8398</v>
      </c>
      <c r="D973" t="s">
        <v>8419</v>
      </c>
      <c r="E973" t="s">
        <v>8444</v>
      </c>
      <c r="F973" t="s">
        <v>8448</v>
      </c>
      <c r="G973" t="s">
        <v>8455</v>
      </c>
    </row>
    <row r="974" spans="1:7">
      <c r="A974" t="s">
        <v>3494</v>
      </c>
      <c r="C974" t="s">
        <v>8393</v>
      </c>
      <c r="D974" t="s">
        <v>8393</v>
      </c>
      <c r="E974" t="s">
        <v>919</v>
      </c>
      <c r="F974" t="s">
        <v>8393</v>
      </c>
    </row>
    <row r="975" spans="1:7">
      <c r="A975" t="s">
        <v>3495</v>
      </c>
      <c r="C975" t="s">
        <v>8394</v>
      </c>
      <c r="D975" t="s">
        <v>8401</v>
      </c>
      <c r="E975" t="s">
        <v>8445</v>
      </c>
      <c r="F975" t="s">
        <v>8448</v>
      </c>
      <c r="G975" t="s">
        <v>8614</v>
      </c>
    </row>
    <row r="976" spans="1:7">
      <c r="A976" t="s">
        <v>3496</v>
      </c>
      <c r="C976" t="s">
        <v>8394</v>
      </c>
      <c r="D976" t="s">
        <v>8401</v>
      </c>
      <c r="E976" t="s">
        <v>8444</v>
      </c>
      <c r="F976" t="s">
        <v>8448</v>
      </c>
      <c r="G976" t="s">
        <v>8615</v>
      </c>
    </row>
    <row r="977" spans="1:7">
      <c r="A977" t="s">
        <v>3497</v>
      </c>
      <c r="C977" t="s">
        <v>8394</v>
      </c>
      <c r="D977" t="s">
        <v>8401</v>
      </c>
      <c r="E977" t="s">
        <v>8445</v>
      </c>
      <c r="F977" t="s">
        <v>8448</v>
      </c>
      <c r="G977" t="s">
        <v>8615</v>
      </c>
    </row>
    <row r="978" spans="1:7">
      <c r="A978" t="s">
        <v>3498</v>
      </c>
      <c r="C978" t="s">
        <v>8394</v>
      </c>
      <c r="D978" t="s">
        <v>8401</v>
      </c>
      <c r="E978" t="s">
        <v>8445</v>
      </c>
      <c r="F978" t="s">
        <v>8448</v>
      </c>
      <c r="G978" t="s">
        <v>8615</v>
      </c>
    </row>
    <row r="979" spans="1:7">
      <c r="A979" t="s">
        <v>3499</v>
      </c>
      <c r="B979" t="s">
        <v>8312</v>
      </c>
      <c r="C979" t="s">
        <v>8394</v>
      </c>
      <c r="D979" t="s">
        <v>8401</v>
      </c>
      <c r="E979" t="s">
        <v>8444</v>
      </c>
      <c r="F979" t="s">
        <v>8448</v>
      </c>
      <c r="G979" t="s">
        <v>8615</v>
      </c>
    </row>
    <row r="980" spans="1:7">
      <c r="A980" t="s">
        <v>3500</v>
      </c>
      <c r="C980" t="s">
        <v>8394</v>
      </c>
      <c r="D980" t="s">
        <v>8401</v>
      </c>
      <c r="E980" t="s">
        <v>8445</v>
      </c>
      <c r="F980" t="s">
        <v>8448</v>
      </c>
      <c r="G980" t="s">
        <v>8615</v>
      </c>
    </row>
    <row r="981" spans="1:7">
      <c r="A981" t="s">
        <v>3501</v>
      </c>
      <c r="C981" t="s">
        <v>8394</v>
      </c>
      <c r="D981" t="s">
        <v>8401</v>
      </c>
      <c r="E981" t="s">
        <v>8445</v>
      </c>
      <c r="F981" t="s">
        <v>8448</v>
      </c>
      <c r="G981" t="s">
        <v>8615</v>
      </c>
    </row>
    <row r="982" spans="1:7">
      <c r="A982" t="s">
        <v>3502</v>
      </c>
      <c r="C982" t="s">
        <v>8394</v>
      </c>
      <c r="D982" t="s">
        <v>8401</v>
      </c>
      <c r="E982" t="s">
        <v>8445</v>
      </c>
      <c r="F982" t="s">
        <v>8448</v>
      </c>
      <c r="G982" t="s">
        <v>8615</v>
      </c>
    </row>
    <row r="983" spans="1:7">
      <c r="A983" t="s">
        <v>3503</v>
      </c>
      <c r="C983" t="s">
        <v>8394</v>
      </c>
      <c r="D983" t="s">
        <v>8401</v>
      </c>
      <c r="E983" t="s">
        <v>8444</v>
      </c>
      <c r="F983" t="s">
        <v>8448</v>
      </c>
      <c r="G983" t="s">
        <v>8615</v>
      </c>
    </row>
    <row r="984" spans="1:7">
      <c r="A984" t="s">
        <v>3504</v>
      </c>
      <c r="C984" t="s">
        <v>8394</v>
      </c>
      <c r="D984" t="s">
        <v>8401</v>
      </c>
      <c r="E984" t="s">
        <v>8444</v>
      </c>
      <c r="F984" t="s">
        <v>8448</v>
      </c>
      <c r="G984" t="s">
        <v>8615</v>
      </c>
    </row>
    <row r="985" spans="1:7">
      <c r="A985" t="s">
        <v>3505</v>
      </c>
      <c r="C985" t="s">
        <v>8394</v>
      </c>
      <c r="D985" t="s">
        <v>8401</v>
      </c>
      <c r="E985" t="s">
        <v>8444</v>
      </c>
      <c r="F985" t="s">
        <v>8448</v>
      </c>
      <c r="G985" t="s">
        <v>8615</v>
      </c>
    </row>
    <row r="986" spans="1:7">
      <c r="A986" t="s">
        <v>3506</v>
      </c>
      <c r="C986" t="s">
        <v>8394</v>
      </c>
      <c r="D986" t="s">
        <v>8401</v>
      </c>
      <c r="E986" t="s">
        <v>8444</v>
      </c>
      <c r="F986" t="s">
        <v>8448</v>
      </c>
      <c r="G986" t="s">
        <v>8615</v>
      </c>
    </row>
    <row r="987" spans="1:7">
      <c r="A987" t="s">
        <v>3507</v>
      </c>
      <c r="C987" t="s">
        <v>8394</v>
      </c>
      <c r="D987" t="s">
        <v>8401</v>
      </c>
      <c r="E987" t="s">
        <v>8445</v>
      </c>
      <c r="F987" t="s">
        <v>8448</v>
      </c>
      <c r="G987" t="s">
        <v>8615</v>
      </c>
    </row>
    <row r="988" spans="1:7">
      <c r="A988" t="s">
        <v>3508</v>
      </c>
      <c r="C988" t="s">
        <v>8394</v>
      </c>
      <c r="D988" t="s">
        <v>8401</v>
      </c>
      <c r="E988" t="s">
        <v>8445</v>
      </c>
      <c r="F988" t="s">
        <v>8448</v>
      </c>
      <c r="G988" t="s">
        <v>8615</v>
      </c>
    </row>
    <row r="989" spans="1:7">
      <c r="A989" t="s">
        <v>3509</v>
      </c>
      <c r="C989" t="s">
        <v>8394</v>
      </c>
      <c r="D989" t="s">
        <v>8401</v>
      </c>
      <c r="E989" t="s">
        <v>8445</v>
      </c>
      <c r="F989" t="s">
        <v>8448</v>
      </c>
      <c r="G989" t="s">
        <v>8615</v>
      </c>
    </row>
    <row r="990" spans="1:7">
      <c r="A990" t="s">
        <v>3510</v>
      </c>
      <c r="C990" t="s">
        <v>8394</v>
      </c>
      <c r="D990" t="s">
        <v>8401</v>
      </c>
      <c r="E990" t="s">
        <v>8445</v>
      </c>
      <c r="F990" t="s">
        <v>8448</v>
      </c>
      <c r="G990" t="s">
        <v>8615</v>
      </c>
    </row>
    <row r="991" spans="1:7">
      <c r="A991" t="s">
        <v>3511</v>
      </c>
      <c r="C991" t="s">
        <v>8394</v>
      </c>
      <c r="D991" t="s">
        <v>8401</v>
      </c>
      <c r="E991" t="s">
        <v>8444</v>
      </c>
      <c r="F991" t="s">
        <v>8448</v>
      </c>
      <c r="G991" t="s">
        <v>8615</v>
      </c>
    </row>
    <row r="992" spans="1:7">
      <c r="A992" t="s">
        <v>3512</v>
      </c>
      <c r="C992" t="s">
        <v>8394</v>
      </c>
      <c r="D992" t="s">
        <v>8401</v>
      </c>
      <c r="E992" t="s">
        <v>8445</v>
      </c>
      <c r="F992" t="s">
        <v>8448</v>
      </c>
      <c r="G992" t="s">
        <v>8615</v>
      </c>
    </row>
    <row r="993" spans="1:7">
      <c r="A993" t="s">
        <v>3513</v>
      </c>
      <c r="C993" t="s">
        <v>8394</v>
      </c>
      <c r="D993" t="s">
        <v>8401</v>
      </c>
      <c r="E993" t="s">
        <v>8444</v>
      </c>
      <c r="F993" t="s">
        <v>8448</v>
      </c>
      <c r="G993" t="s">
        <v>8615</v>
      </c>
    </row>
    <row r="994" spans="1:7">
      <c r="A994" t="s">
        <v>3514</v>
      </c>
      <c r="C994" t="s">
        <v>8394</v>
      </c>
      <c r="D994" t="s">
        <v>8401</v>
      </c>
      <c r="E994" t="s">
        <v>8445</v>
      </c>
      <c r="F994" t="s">
        <v>8448</v>
      </c>
      <c r="G994" t="s">
        <v>8615</v>
      </c>
    </row>
    <row r="995" spans="1:7">
      <c r="A995" t="s">
        <v>3515</v>
      </c>
      <c r="C995" t="s">
        <v>8394</v>
      </c>
      <c r="D995" t="s">
        <v>8401</v>
      </c>
      <c r="E995" t="s">
        <v>8445</v>
      </c>
      <c r="F995" t="s">
        <v>8448</v>
      </c>
      <c r="G995" t="s">
        <v>8615</v>
      </c>
    </row>
    <row r="996" spans="1:7">
      <c r="A996" t="s">
        <v>3516</v>
      </c>
      <c r="C996" t="s">
        <v>8394</v>
      </c>
      <c r="D996" t="s">
        <v>8401</v>
      </c>
      <c r="E996" t="s">
        <v>8445</v>
      </c>
      <c r="F996" t="s">
        <v>8448</v>
      </c>
      <c r="G996" t="s">
        <v>8615</v>
      </c>
    </row>
    <row r="997" spans="1:7">
      <c r="A997" t="s">
        <v>3517</v>
      </c>
      <c r="C997" t="s">
        <v>8394</v>
      </c>
      <c r="D997" t="s">
        <v>8401</v>
      </c>
      <c r="E997" t="s">
        <v>8445</v>
      </c>
      <c r="F997" t="s">
        <v>8448</v>
      </c>
      <c r="G997" t="s">
        <v>8615</v>
      </c>
    </row>
    <row r="998" spans="1:7">
      <c r="A998" t="s">
        <v>3518</v>
      </c>
      <c r="B998" t="s">
        <v>8313</v>
      </c>
      <c r="C998" t="s">
        <v>8394</v>
      </c>
      <c r="D998" t="s">
        <v>8401</v>
      </c>
      <c r="E998" t="s">
        <v>8444</v>
      </c>
      <c r="F998" t="s">
        <v>8448</v>
      </c>
      <c r="G998" t="s">
        <v>8615</v>
      </c>
    </row>
    <row r="999" spans="1:7">
      <c r="A999" t="s">
        <v>3519</v>
      </c>
      <c r="C999" t="s">
        <v>8394</v>
      </c>
      <c r="D999" t="s">
        <v>8401</v>
      </c>
      <c r="E999" t="s">
        <v>8445</v>
      </c>
      <c r="F999" t="s">
        <v>8448</v>
      </c>
      <c r="G999" t="s">
        <v>8615</v>
      </c>
    </row>
    <row r="1000" spans="1:7">
      <c r="A1000" t="s">
        <v>3520</v>
      </c>
      <c r="C1000" t="s">
        <v>8394</v>
      </c>
      <c r="D1000" t="s">
        <v>8401</v>
      </c>
      <c r="E1000" t="s">
        <v>8445</v>
      </c>
      <c r="F1000" t="s">
        <v>8448</v>
      </c>
      <c r="G1000" t="s">
        <v>8615</v>
      </c>
    </row>
    <row r="1001" spans="1:7">
      <c r="A1001" t="s">
        <v>3521</v>
      </c>
      <c r="C1001" t="s">
        <v>8394</v>
      </c>
      <c r="D1001" t="s">
        <v>8401</v>
      </c>
      <c r="E1001" t="s">
        <v>8445</v>
      </c>
      <c r="F1001" t="s">
        <v>8448</v>
      </c>
      <c r="G1001" t="s">
        <v>8616</v>
      </c>
    </row>
    <row r="1002" spans="1:7">
      <c r="A1002" t="s">
        <v>3522</v>
      </c>
      <c r="C1002" t="s">
        <v>8394</v>
      </c>
      <c r="D1002" t="s">
        <v>8401</v>
      </c>
      <c r="E1002" t="s">
        <v>8445</v>
      </c>
      <c r="F1002" t="s">
        <v>8448</v>
      </c>
      <c r="G1002" t="s">
        <v>8616</v>
      </c>
    </row>
    <row r="1003" spans="1:7">
      <c r="A1003" t="s">
        <v>3523</v>
      </c>
      <c r="C1003" t="s">
        <v>8394</v>
      </c>
      <c r="D1003" t="s">
        <v>8401</v>
      </c>
      <c r="E1003" t="s">
        <v>8445</v>
      </c>
      <c r="F1003" t="s">
        <v>8448</v>
      </c>
      <c r="G1003" t="s">
        <v>8616</v>
      </c>
    </row>
    <row r="1004" spans="1:7">
      <c r="A1004" t="s">
        <v>3524</v>
      </c>
      <c r="C1004" t="s">
        <v>8394</v>
      </c>
      <c r="D1004" t="s">
        <v>8401</v>
      </c>
      <c r="E1004" t="s">
        <v>8445</v>
      </c>
      <c r="F1004" t="s">
        <v>8448</v>
      </c>
      <c r="G1004" t="s">
        <v>8616</v>
      </c>
    </row>
    <row r="1005" spans="1:7">
      <c r="A1005" t="s">
        <v>3525</v>
      </c>
      <c r="C1005" t="s">
        <v>8394</v>
      </c>
      <c r="D1005" t="s">
        <v>8401</v>
      </c>
      <c r="E1005" t="s">
        <v>8445</v>
      </c>
      <c r="F1005" t="s">
        <v>8448</v>
      </c>
      <c r="G1005" t="s">
        <v>8616</v>
      </c>
    </row>
    <row r="1006" spans="1:7">
      <c r="A1006" t="s">
        <v>3526</v>
      </c>
      <c r="C1006" t="s">
        <v>8394</v>
      </c>
      <c r="D1006" t="s">
        <v>8401</v>
      </c>
      <c r="E1006" t="s">
        <v>8445</v>
      </c>
      <c r="F1006" t="s">
        <v>8448</v>
      </c>
      <c r="G1006" t="s">
        <v>8616</v>
      </c>
    </row>
    <row r="1007" spans="1:7">
      <c r="A1007" t="s">
        <v>3527</v>
      </c>
      <c r="C1007" t="s">
        <v>8394</v>
      </c>
      <c r="D1007" t="s">
        <v>8401</v>
      </c>
      <c r="E1007" t="s">
        <v>8445</v>
      </c>
      <c r="F1007" t="s">
        <v>8448</v>
      </c>
      <c r="G1007" t="s">
        <v>8616</v>
      </c>
    </row>
    <row r="1008" spans="1:7">
      <c r="A1008" t="s">
        <v>3528</v>
      </c>
      <c r="C1008" t="s">
        <v>8394</v>
      </c>
      <c r="D1008" t="s">
        <v>8401</v>
      </c>
      <c r="E1008" t="s">
        <v>8445</v>
      </c>
      <c r="F1008" t="s">
        <v>8448</v>
      </c>
      <c r="G1008" t="s">
        <v>8616</v>
      </c>
    </row>
    <row r="1009" spans="1:7">
      <c r="A1009" t="s">
        <v>3529</v>
      </c>
      <c r="C1009" t="s">
        <v>8394</v>
      </c>
      <c r="D1009" t="s">
        <v>8401</v>
      </c>
      <c r="E1009" t="s">
        <v>8445</v>
      </c>
      <c r="F1009" t="s">
        <v>8448</v>
      </c>
      <c r="G1009" t="s">
        <v>8616</v>
      </c>
    </row>
    <row r="1010" spans="1:7">
      <c r="A1010" t="s">
        <v>3530</v>
      </c>
      <c r="C1010" t="s">
        <v>8394</v>
      </c>
      <c r="D1010" t="s">
        <v>8401</v>
      </c>
      <c r="E1010" t="s">
        <v>8445</v>
      </c>
      <c r="F1010" t="s">
        <v>8448</v>
      </c>
      <c r="G1010" t="s">
        <v>8616</v>
      </c>
    </row>
    <row r="1011" spans="1:7">
      <c r="A1011" t="s">
        <v>3531</v>
      </c>
      <c r="B1011" t="s">
        <v>8299</v>
      </c>
      <c r="C1011" t="s">
        <v>8397</v>
      </c>
      <c r="D1011" t="s">
        <v>8430</v>
      </c>
      <c r="E1011" t="s">
        <v>1587</v>
      </c>
      <c r="F1011" t="s">
        <v>8449</v>
      </c>
      <c r="G1011" t="s">
        <v>795</v>
      </c>
    </row>
    <row r="1012" spans="1:7">
      <c r="A1012" t="s">
        <v>3532</v>
      </c>
      <c r="C1012" t="s">
        <v>8397</v>
      </c>
      <c r="D1012" t="s">
        <v>8412</v>
      </c>
      <c r="E1012" t="s">
        <v>8445</v>
      </c>
      <c r="F1012" t="s">
        <v>8450</v>
      </c>
      <c r="G1012" t="s">
        <v>8617</v>
      </c>
    </row>
    <row r="1013" spans="1:7">
      <c r="A1013" t="s">
        <v>3533</v>
      </c>
      <c r="C1013" t="s">
        <v>8394</v>
      </c>
      <c r="D1013" t="s">
        <v>8417</v>
      </c>
      <c r="E1013" t="s">
        <v>8445</v>
      </c>
      <c r="F1013" t="s">
        <v>8448</v>
      </c>
      <c r="G1013" t="s">
        <v>8618</v>
      </c>
    </row>
    <row r="1014" spans="1:7">
      <c r="A1014" t="s">
        <v>3534</v>
      </c>
      <c r="C1014" t="s">
        <v>8394</v>
      </c>
      <c r="D1014" t="s">
        <v>8402</v>
      </c>
      <c r="E1014" t="s">
        <v>8445</v>
      </c>
      <c r="F1014" t="s">
        <v>8448</v>
      </c>
      <c r="G1014" t="s">
        <v>8619</v>
      </c>
    </row>
    <row r="1015" spans="1:7">
      <c r="A1015" t="s">
        <v>3535</v>
      </c>
      <c r="C1015" t="s">
        <v>8393</v>
      </c>
      <c r="D1015" t="s">
        <v>8393</v>
      </c>
      <c r="E1015" t="s">
        <v>919</v>
      </c>
      <c r="F1015" t="s">
        <v>8393</v>
      </c>
    </row>
    <row r="1016" spans="1:7">
      <c r="A1016" t="s">
        <v>3536</v>
      </c>
      <c r="B1016" t="s">
        <v>8275</v>
      </c>
      <c r="C1016" t="s">
        <v>8396</v>
      </c>
      <c r="D1016" t="s">
        <v>8411</v>
      </c>
      <c r="E1016" t="s">
        <v>8444</v>
      </c>
      <c r="F1016" t="s">
        <v>8447</v>
      </c>
      <c r="G1016" t="s">
        <v>8620</v>
      </c>
    </row>
    <row r="1017" spans="1:7">
      <c r="A1017" t="s">
        <v>3537</v>
      </c>
      <c r="B1017" t="s">
        <v>8275</v>
      </c>
      <c r="C1017" t="s">
        <v>8396</v>
      </c>
      <c r="D1017" t="s">
        <v>8426</v>
      </c>
      <c r="E1017" t="s">
        <v>8445</v>
      </c>
      <c r="F1017" t="s">
        <v>8449</v>
      </c>
      <c r="G1017" t="s">
        <v>8621</v>
      </c>
    </row>
    <row r="1018" spans="1:7">
      <c r="A1018" t="s">
        <v>3538</v>
      </c>
      <c r="B1018" t="s">
        <v>8275</v>
      </c>
      <c r="C1018" t="s">
        <v>8392</v>
      </c>
      <c r="D1018" t="s">
        <v>8400</v>
      </c>
      <c r="E1018" t="s">
        <v>8444</v>
      </c>
      <c r="F1018" t="s">
        <v>8449</v>
      </c>
      <c r="G1018" t="s">
        <v>8455</v>
      </c>
    </row>
    <row r="1019" spans="1:7">
      <c r="A1019" t="s">
        <v>3539</v>
      </c>
      <c r="C1019" t="s">
        <v>8397</v>
      </c>
      <c r="D1019" t="s">
        <v>8418</v>
      </c>
      <c r="E1019" t="s">
        <v>8445</v>
      </c>
      <c r="F1019" t="s">
        <v>8450</v>
      </c>
      <c r="G1019" t="s">
        <v>8453</v>
      </c>
    </row>
    <row r="1020" spans="1:7">
      <c r="A1020" t="s">
        <v>3540</v>
      </c>
      <c r="C1020" t="s">
        <v>8397</v>
      </c>
      <c r="D1020" t="s">
        <v>8431</v>
      </c>
      <c r="E1020" t="s">
        <v>8445</v>
      </c>
      <c r="F1020" t="s">
        <v>8448</v>
      </c>
      <c r="G1020" t="s">
        <v>8622</v>
      </c>
    </row>
    <row r="1021" spans="1:7">
      <c r="A1021" t="s">
        <v>3541</v>
      </c>
      <c r="C1021" t="s">
        <v>8397</v>
      </c>
      <c r="D1021" t="s">
        <v>8431</v>
      </c>
      <c r="E1021" t="s">
        <v>8445</v>
      </c>
      <c r="F1021" t="s">
        <v>8448</v>
      </c>
      <c r="G1021" t="s">
        <v>8623</v>
      </c>
    </row>
    <row r="1022" spans="1:7">
      <c r="A1022" t="s">
        <v>3542</v>
      </c>
      <c r="C1022" t="s">
        <v>8397</v>
      </c>
      <c r="D1022" t="s">
        <v>8418</v>
      </c>
      <c r="E1022" t="s">
        <v>8445</v>
      </c>
      <c r="F1022" t="s">
        <v>8450</v>
      </c>
      <c r="G1022" t="s">
        <v>8624</v>
      </c>
    </row>
    <row r="1023" spans="1:7">
      <c r="A1023" t="s">
        <v>3543</v>
      </c>
      <c r="C1023" t="s">
        <v>8397</v>
      </c>
      <c r="D1023" t="s">
        <v>8418</v>
      </c>
      <c r="E1023" t="s">
        <v>8445</v>
      </c>
      <c r="F1023" t="s">
        <v>8448</v>
      </c>
      <c r="G1023" t="s">
        <v>8625</v>
      </c>
    </row>
    <row r="1024" spans="1:7">
      <c r="A1024" t="s">
        <v>3544</v>
      </c>
      <c r="C1024" t="s">
        <v>8397</v>
      </c>
      <c r="D1024" t="s">
        <v>8431</v>
      </c>
      <c r="E1024" t="s">
        <v>8446</v>
      </c>
      <c r="F1024" t="s">
        <v>8448</v>
      </c>
      <c r="G1024" t="s">
        <v>8626</v>
      </c>
    </row>
    <row r="1025" spans="1:7">
      <c r="A1025" t="s">
        <v>3545</v>
      </c>
      <c r="C1025" t="s">
        <v>8394</v>
      </c>
      <c r="D1025" t="s">
        <v>8401</v>
      </c>
      <c r="E1025" t="s">
        <v>8445</v>
      </c>
      <c r="F1025" t="s">
        <v>8448</v>
      </c>
      <c r="G1025" t="s">
        <v>8627</v>
      </c>
    </row>
    <row r="1026" spans="1:7">
      <c r="A1026" t="s">
        <v>3546</v>
      </c>
      <c r="B1026" t="s">
        <v>8273</v>
      </c>
      <c r="C1026" t="s">
        <v>8397</v>
      </c>
      <c r="D1026" t="s">
        <v>8421</v>
      </c>
      <c r="E1026" t="s">
        <v>8446</v>
      </c>
      <c r="F1026" t="s">
        <v>8448</v>
      </c>
      <c r="G1026" t="s">
        <v>8628</v>
      </c>
    </row>
    <row r="1027" spans="1:7">
      <c r="A1027" t="s">
        <v>3547</v>
      </c>
      <c r="B1027" t="s">
        <v>8273</v>
      </c>
      <c r="C1027" t="s">
        <v>8394</v>
      </c>
      <c r="D1027" t="s">
        <v>8402</v>
      </c>
      <c r="E1027" t="s">
        <v>8445</v>
      </c>
      <c r="F1027" t="s">
        <v>8448</v>
      </c>
      <c r="G1027" t="s">
        <v>8453</v>
      </c>
    </row>
    <row r="1028" spans="1:7">
      <c r="A1028" t="s">
        <v>3548</v>
      </c>
      <c r="B1028" t="s">
        <v>8273</v>
      </c>
      <c r="C1028" t="s">
        <v>8397</v>
      </c>
      <c r="D1028" t="s">
        <v>8421</v>
      </c>
      <c r="E1028" t="s">
        <v>8444</v>
      </c>
      <c r="F1028" t="s">
        <v>8448</v>
      </c>
      <c r="G1028" t="s">
        <v>8629</v>
      </c>
    </row>
    <row r="1029" spans="1:7">
      <c r="A1029" t="s">
        <v>3549</v>
      </c>
      <c r="C1029" t="s">
        <v>8394</v>
      </c>
      <c r="D1029" t="s">
        <v>8402</v>
      </c>
      <c r="E1029" t="s">
        <v>8445</v>
      </c>
      <c r="F1029" t="s">
        <v>8448</v>
      </c>
      <c r="G1029" t="s">
        <v>8630</v>
      </c>
    </row>
    <row r="1030" spans="1:7">
      <c r="A1030" t="s">
        <v>3550</v>
      </c>
      <c r="C1030" t="s">
        <v>8394</v>
      </c>
      <c r="D1030" t="s">
        <v>8402</v>
      </c>
      <c r="E1030" t="s">
        <v>8445</v>
      </c>
      <c r="F1030" t="s">
        <v>8448</v>
      </c>
      <c r="G1030" t="s">
        <v>8474</v>
      </c>
    </row>
    <row r="1031" spans="1:7">
      <c r="A1031" t="s">
        <v>3551</v>
      </c>
      <c r="B1031" t="s">
        <v>8273</v>
      </c>
      <c r="C1031" t="s">
        <v>8394</v>
      </c>
      <c r="D1031" t="s">
        <v>8402</v>
      </c>
      <c r="E1031" t="s">
        <v>8445</v>
      </c>
      <c r="F1031" t="s">
        <v>8449</v>
      </c>
      <c r="G1031" t="s">
        <v>8546</v>
      </c>
    </row>
    <row r="1032" spans="1:7">
      <c r="A1032" t="s">
        <v>3552</v>
      </c>
      <c r="C1032" t="s">
        <v>8393</v>
      </c>
      <c r="D1032" t="s">
        <v>8393</v>
      </c>
      <c r="E1032" t="s">
        <v>919</v>
      </c>
      <c r="F1032" t="s">
        <v>8393</v>
      </c>
    </row>
    <row r="1033" spans="1:7">
      <c r="A1033" t="s">
        <v>3553</v>
      </c>
      <c r="B1033" t="s">
        <v>8278</v>
      </c>
      <c r="C1033" t="s">
        <v>8394</v>
      </c>
      <c r="D1033" t="s">
        <v>8423</v>
      </c>
      <c r="E1033" t="s">
        <v>8446</v>
      </c>
      <c r="F1033" t="s">
        <v>8449</v>
      </c>
      <c r="G1033" t="s">
        <v>8455</v>
      </c>
    </row>
    <row r="1034" spans="1:7">
      <c r="A1034" t="s">
        <v>3554</v>
      </c>
      <c r="B1034" t="s">
        <v>8279</v>
      </c>
      <c r="C1034" t="s">
        <v>8394</v>
      </c>
      <c r="D1034" t="s">
        <v>8423</v>
      </c>
      <c r="E1034" t="s">
        <v>8446</v>
      </c>
      <c r="F1034" t="s">
        <v>8449</v>
      </c>
      <c r="G1034" t="s">
        <v>8455</v>
      </c>
    </row>
    <row r="1035" spans="1:7">
      <c r="A1035" t="s">
        <v>3555</v>
      </c>
      <c r="B1035" t="s">
        <v>8281</v>
      </c>
      <c r="C1035" t="s">
        <v>8394</v>
      </c>
      <c r="D1035" t="s">
        <v>8423</v>
      </c>
      <c r="E1035" t="s">
        <v>8446</v>
      </c>
      <c r="F1035" t="s">
        <v>8449</v>
      </c>
      <c r="G1035" t="s">
        <v>8455</v>
      </c>
    </row>
    <row r="1036" spans="1:7">
      <c r="A1036" t="s">
        <v>3556</v>
      </c>
      <c r="B1036" t="s">
        <v>8273</v>
      </c>
      <c r="C1036" t="s">
        <v>8395</v>
      </c>
      <c r="D1036" t="s">
        <v>8402</v>
      </c>
      <c r="E1036" t="s">
        <v>8446</v>
      </c>
      <c r="F1036" t="s">
        <v>8449</v>
      </c>
      <c r="G1036" t="s">
        <v>796</v>
      </c>
    </row>
    <row r="1037" spans="1:7">
      <c r="A1037" t="s">
        <v>3557</v>
      </c>
      <c r="B1037" t="s">
        <v>8273</v>
      </c>
      <c r="C1037" t="s">
        <v>8398</v>
      </c>
      <c r="D1037" t="s">
        <v>8409</v>
      </c>
      <c r="E1037" t="s">
        <v>8444</v>
      </c>
      <c r="F1037" t="s">
        <v>8448</v>
      </c>
      <c r="G1037" t="s">
        <v>8631</v>
      </c>
    </row>
    <row r="1038" spans="1:7">
      <c r="A1038" t="s">
        <v>3558</v>
      </c>
      <c r="B1038" t="s">
        <v>8276</v>
      </c>
      <c r="C1038" t="s">
        <v>8398</v>
      </c>
      <c r="D1038" t="s">
        <v>8419</v>
      </c>
      <c r="E1038" t="s">
        <v>8446</v>
      </c>
      <c r="F1038" t="s">
        <v>8449</v>
      </c>
      <c r="G1038" t="s">
        <v>8455</v>
      </c>
    </row>
    <row r="1039" spans="1:7">
      <c r="A1039" t="s">
        <v>3559</v>
      </c>
      <c r="B1039" t="s">
        <v>8276</v>
      </c>
      <c r="C1039" t="s">
        <v>8395</v>
      </c>
      <c r="D1039" t="s">
        <v>8405</v>
      </c>
      <c r="E1039" t="s">
        <v>8446</v>
      </c>
      <c r="F1039" t="s">
        <v>8448</v>
      </c>
      <c r="G1039" t="s">
        <v>8463</v>
      </c>
    </row>
    <row r="1040" spans="1:7">
      <c r="A1040" t="s">
        <v>3560</v>
      </c>
      <c r="B1040" t="s">
        <v>8273</v>
      </c>
      <c r="C1040" t="s">
        <v>8396</v>
      </c>
      <c r="D1040" t="s">
        <v>8405</v>
      </c>
      <c r="E1040" t="s">
        <v>8444</v>
      </c>
      <c r="F1040" t="s">
        <v>8449</v>
      </c>
      <c r="G1040" t="s">
        <v>8455</v>
      </c>
    </row>
    <row r="1041" spans="1:7">
      <c r="A1041" t="s">
        <v>3561</v>
      </c>
      <c r="C1041" t="s">
        <v>8393</v>
      </c>
      <c r="D1041" t="s">
        <v>8393</v>
      </c>
      <c r="E1041" t="s">
        <v>919</v>
      </c>
      <c r="F1041" t="s">
        <v>8393</v>
      </c>
    </row>
    <row r="1042" spans="1:7">
      <c r="A1042" t="s">
        <v>3562</v>
      </c>
      <c r="B1042" t="s">
        <v>8278</v>
      </c>
      <c r="C1042" t="s">
        <v>8395</v>
      </c>
      <c r="D1042" t="s">
        <v>8423</v>
      </c>
      <c r="E1042" t="s">
        <v>1519</v>
      </c>
      <c r="F1042" t="s">
        <v>8449</v>
      </c>
      <c r="G1042" t="s">
        <v>8455</v>
      </c>
    </row>
    <row r="1043" spans="1:7">
      <c r="A1043" t="s">
        <v>3563</v>
      </c>
      <c r="B1043" t="s">
        <v>8284</v>
      </c>
      <c r="C1043" t="s">
        <v>8395</v>
      </c>
      <c r="D1043" t="s">
        <v>8423</v>
      </c>
      <c r="E1043" t="s">
        <v>1519</v>
      </c>
      <c r="F1043" t="s">
        <v>8449</v>
      </c>
      <c r="G1043" t="s">
        <v>8455</v>
      </c>
    </row>
    <row r="1044" spans="1:7">
      <c r="A1044" t="s">
        <v>3564</v>
      </c>
      <c r="B1044" t="s">
        <v>8311</v>
      </c>
      <c r="C1044" t="s">
        <v>8395</v>
      </c>
      <c r="D1044" t="s">
        <v>8423</v>
      </c>
      <c r="E1044" t="s">
        <v>1519</v>
      </c>
      <c r="F1044" t="s">
        <v>8449</v>
      </c>
      <c r="G1044" t="s">
        <v>8455</v>
      </c>
    </row>
    <row r="1045" spans="1:7">
      <c r="A1045" t="s">
        <v>3565</v>
      </c>
      <c r="B1045" t="s">
        <v>8280</v>
      </c>
      <c r="C1045" t="s">
        <v>8395</v>
      </c>
      <c r="D1045" t="s">
        <v>8423</v>
      </c>
      <c r="E1045" t="s">
        <v>1519</v>
      </c>
      <c r="F1045" t="s">
        <v>8449</v>
      </c>
      <c r="G1045" t="s">
        <v>8455</v>
      </c>
    </row>
    <row r="1046" spans="1:7">
      <c r="A1046" t="s">
        <v>3566</v>
      </c>
      <c r="B1046" t="s">
        <v>8281</v>
      </c>
      <c r="C1046" t="s">
        <v>8395</v>
      </c>
      <c r="D1046" t="s">
        <v>8423</v>
      </c>
      <c r="E1046" t="s">
        <v>1519</v>
      </c>
      <c r="F1046" t="s">
        <v>8449</v>
      </c>
      <c r="G1046" t="s">
        <v>8455</v>
      </c>
    </row>
    <row r="1047" spans="1:7">
      <c r="A1047" t="s">
        <v>3567</v>
      </c>
      <c r="B1047" t="s">
        <v>8273</v>
      </c>
      <c r="C1047" t="s">
        <v>8395</v>
      </c>
      <c r="D1047" t="s">
        <v>8414</v>
      </c>
      <c r="E1047" t="s">
        <v>8446</v>
      </c>
      <c r="F1047" t="s">
        <v>8449</v>
      </c>
      <c r="G1047" t="s">
        <v>8455</v>
      </c>
    </row>
    <row r="1048" spans="1:7">
      <c r="A1048" t="s">
        <v>3568</v>
      </c>
      <c r="B1048" t="s">
        <v>8273</v>
      </c>
      <c r="C1048" t="s">
        <v>8395</v>
      </c>
      <c r="D1048" t="s">
        <v>8426</v>
      </c>
      <c r="E1048" t="s">
        <v>8446</v>
      </c>
      <c r="F1048" t="s">
        <v>8449</v>
      </c>
      <c r="G1048" t="s">
        <v>8453</v>
      </c>
    </row>
    <row r="1049" spans="1:7">
      <c r="A1049" t="s">
        <v>3569</v>
      </c>
      <c r="B1049" t="s">
        <v>8273</v>
      </c>
      <c r="C1049" t="s">
        <v>8395</v>
      </c>
      <c r="D1049" t="s">
        <v>8414</v>
      </c>
      <c r="E1049" t="s">
        <v>1587</v>
      </c>
      <c r="F1049" t="s">
        <v>8449</v>
      </c>
      <c r="G1049" t="s">
        <v>8455</v>
      </c>
    </row>
    <row r="1050" spans="1:7">
      <c r="A1050" t="s">
        <v>3570</v>
      </c>
      <c r="B1050" t="s">
        <v>8273</v>
      </c>
      <c r="C1050" t="s">
        <v>8394</v>
      </c>
      <c r="D1050" t="s">
        <v>8414</v>
      </c>
      <c r="E1050" t="s">
        <v>8445</v>
      </c>
      <c r="F1050" t="s">
        <v>8448</v>
      </c>
      <c r="G1050" t="s">
        <v>8632</v>
      </c>
    </row>
    <row r="1051" spans="1:7">
      <c r="A1051" t="s">
        <v>3571</v>
      </c>
      <c r="B1051" t="s">
        <v>8273</v>
      </c>
      <c r="C1051" t="s">
        <v>8392</v>
      </c>
      <c r="D1051" t="s">
        <v>8400</v>
      </c>
      <c r="E1051" t="s">
        <v>1519</v>
      </c>
      <c r="F1051" t="s">
        <v>8448</v>
      </c>
      <c r="G1051" t="s">
        <v>8455</v>
      </c>
    </row>
    <row r="1052" spans="1:7">
      <c r="A1052" t="s">
        <v>3572</v>
      </c>
      <c r="C1052" t="s">
        <v>8393</v>
      </c>
      <c r="D1052" t="s">
        <v>8393</v>
      </c>
      <c r="E1052" t="s">
        <v>919</v>
      </c>
      <c r="F1052" t="s">
        <v>8393</v>
      </c>
    </row>
    <row r="1053" spans="1:7">
      <c r="A1053" t="s">
        <v>3573</v>
      </c>
      <c r="B1053" t="s">
        <v>8278</v>
      </c>
      <c r="C1053" t="s">
        <v>8395</v>
      </c>
      <c r="D1053" t="s">
        <v>8423</v>
      </c>
      <c r="E1053" t="s">
        <v>8444</v>
      </c>
      <c r="F1053" t="s">
        <v>8449</v>
      </c>
      <c r="G1053" t="s">
        <v>8455</v>
      </c>
    </row>
    <row r="1054" spans="1:7">
      <c r="A1054" t="s">
        <v>3574</v>
      </c>
      <c r="B1054" t="s">
        <v>8278</v>
      </c>
      <c r="C1054" t="s">
        <v>8395</v>
      </c>
      <c r="D1054" t="s">
        <v>8423</v>
      </c>
      <c r="E1054" t="s">
        <v>8444</v>
      </c>
      <c r="F1054" t="s">
        <v>8449</v>
      </c>
      <c r="G1054" t="s">
        <v>8455</v>
      </c>
    </row>
    <row r="1055" spans="1:7">
      <c r="A1055" t="s">
        <v>3575</v>
      </c>
      <c r="B1055" t="s">
        <v>8284</v>
      </c>
      <c r="C1055" t="s">
        <v>8395</v>
      </c>
      <c r="D1055" t="s">
        <v>8423</v>
      </c>
      <c r="E1055" t="s">
        <v>8444</v>
      </c>
      <c r="F1055" t="s">
        <v>8449</v>
      </c>
      <c r="G1055" t="s">
        <v>8455</v>
      </c>
    </row>
    <row r="1056" spans="1:7">
      <c r="A1056" t="s">
        <v>3576</v>
      </c>
      <c r="B1056" t="s">
        <v>8311</v>
      </c>
      <c r="C1056" t="s">
        <v>8395</v>
      </c>
      <c r="D1056" t="s">
        <v>8423</v>
      </c>
      <c r="E1056" t="s">
        <v>8444</v>
      </c>
      <c r="F1056" t="s">
        <v>8449</v>
      </c>
      <c r="G1056" t="s">
        <v>8455</v>
      </c>
    </row>
    <row r="1057" spans="1:7">
      <c r="A1057" t="s">
        <v>3577</v>
      </c>
      <c r="B1057" t="s">
        <v>8278</v>
      </c>
      <c r="C1057" t="s">
        <v>8395</v>
      </c>
      <c r="D1057" t="s">
        <v>8423</v>
      </c>
      <c r="E1057" t="s">
        <v>8444</v>
      </c>
      <c r="F1057" t="s">
        <v>8449</v>
      </c>
      <c r="G1057" t="s">
        <v>8455</v>
      </c>
    </row>
    <row r="1058" spans="1:7">
      <c r="A1058" t="s">
        <v>3578</v>
      </c>
      <c r="B1058" t="s">
        <v>8280</v>
      </c>
      <c r="C1058" t="s">
        <v>8395</v>
      </c>
      <c r="D1058" t="s">
        <v>8423</v>
      </c>
      <c r="E1058" t="s">
        <v>8444</v>
      </c>
      <c r="F1058" t="s">
        <v>8449</v>
      </c>
      <c r="G1058" t="s">
        <v>8455</v>
      </c>
    </row>
    <row r="1059" spans="1:7">
      <c r="A1059" t="s">
        <v>3579</v>
      </c>
      <c r="B1059" t="s">
        <v>8273</v>
      </c>
      <c r="C1059" t="s">
        <v>8395</v>
      </c>
      <c r="D1059" t="s">
        <v>8414</v>
      </c>
      <c r="E1059" t="s">
        <v>8446</v>
      </c>
      <c r="F1059" t="s">
        <v>8449</v>
      </c>
      <c r="G1059" t="s">
        <v>8633</v>
      </c>
    </row>
    <row r="1060" spans="1:7">
      <c r="A1060" t="s">
        <v>3580</v>
      </c>
      <c r="B1060" t="s">
        <v>8273</v>
      </c>
      <c r="C1060" t="s">
        <v>8395</v>
      </c>
      <c r="D1060" t="s">
        <v>8402</v>
      </c>
      <c r="E1060" t="s">
        <v>8444</v>
      </c>
      <c r="F1060" t="s">
        <v>8449</v>
      </c>
      <c r="G1060" t="s">
        <v>796</v>
      </c>
    </row>
    <row r="1061" spans="1:7">
      <c r="A1061" t="s">
        <v>3581</v>
      </c>
      <c r="C1061" t="s">
        <v>8393</v>
      </c>
      <c r="D1061" t="s">
        <v>8393</v>
      </c>
      <c r="E1061" t="s">
        <v>919</v>
      </c>
      <c r="F1061" t="s">
        <v>8393</v>
      </c>
    </row>
    <row r="1062" spans="1:7">
      <c r="A1062" t="s">
        <v>3582</v>
      </c>
      <c r="B1062" t="s">
        <v>8273</v>
      </c>
      <c r="C1062" t="s">
        <v>8395</v>
      </c>
      <c r="D1062" t="s">
        <v>8400</v>
      </c>
      <c r="E1062" t="s">
        <v>8446</v>
      </c>
      <c r="F1062" t="s">
        <v>8448</v>
      </c>
      <c r="G1062" t="s">
        <v>8455</v>
      </c>
    </row>
    <row r="1063" spans="1:7">
      <c r="A1063" t="s">
        <v>3583</v>
      </c>
      <c r="B1063" t="s">
        <v>8277</v>
      </c>
      <c r="C1063" t="s">
        <v>8395</v>
      </c>
      <c r="D1063" t="s">
        <v>8400</v>
      </c>
      <c r="E1063" t="s">
        <v>8446</v>
      </c>
      <c r="F1063" t="s">
        <v>8448</v>
      </c>
      <c r="G1063" t="s">
        <v>8455</v>
      </c>
    </row>
    <row r="1064" spans="1:7">
      <c r="A1064" t="s">
        <v>3584</v>
      </c>
      <c r="B1064" t="s">
        <v>8273</v>
      </c>
      <c r="C1064" t="s">
        <v>8395</v>
      </c>
      <c r="D1064" t="s">
        <v>8403</v>
      </c>
      <c r="E1064" t="s">
        <v>8446</v>
      </c>
      <c r="F1064" t="s">
        <v>8449</v>
      </c>
      <c r="G1064" t="s">
        <v>796</v>
      </c>
    </row>
    <row r="1065" spans="1:7">
      <c r="A1065" t="s">
        <v>3585</v>
      </c>
      <c r="C1065" t="s">
        <v>8397</v>
      </c>
      <c r="D1065" t="s">
        <v>8431</v>
      </c>
      <c r="E1065" t="s">
        <v>8444</v>
      </c>
      <c r="F1065" t="s">
        <v>8448</v>
      </c>
      <c r="G1065" t="s">
        <v>8634</v>
      </c>
    </row>
    <row r="1066" spans="1:7">
      <c r="A1066" t="s">
        <v>3586</v>
      </c>
      <c r="C1066" t="s">
        <v>8393</v>
      </c>
      <c r="D1066" t="s">
        <v>8393</v>
      </c>
      <c r="E1066" t="s">
        <v>919</v>
      </c>
      <c r="F1066" t="s">
        <v>8393</v>
      </c>
    </row>
    <row r="1067" spans="1:7">
      <c r="A1067" t="s">
        <v>3587</v>
      </c>
      <c r="B1067" t="s">
        <v>8273</v>
      </c>
      <c r="C1067" t="s">
        <v>8395</v>
      </c>
      <c r="D1067" t="s">
        <v>8402</v>
      </c>
      <c r="E1067" t="s">
        <v>8445</v>
      </c>
      <c r="F1067" t="s">
        <v>8449</v>
      </c>
      <c r="G1067" t="s">
        <v>8455</v>
      </c>
    </row>
    <row r="1068" spans="1:7">
      <c r="A1068" t="s">
        <v>3588</v>
      </c>
      <c r="B1068" t="s">
        <v>8277</v>
      </c>
      <c r="C1068" t="s">
        <v>8395</v>
      </c>
      <c r="D1068" t="s">
        <v>8402</v>
      </c>
      <c r="E1068" t="s">
        <v>8444</v>
      </c>
      <c r="F1068" t="s">
        <v>8449</v>
      </c>
      <c r="G1068" t="s">
        <v>796</v>
      </c>
    </row>
    <row r="1069" spans="1:7">
      <c r="A1069" t="s">
        <v>3589</v>
      </c>
      <c r="C1069" t="s">
        <v>8393</v>
      </c>
      <c r="D1069" t="s">
        <v>8393</v>
      </c>
      <c r="E1069" t="s">
        <v>919</v>
      </c>
      <c r="F1069" t="s">
        <v>8393</v>
      </c>
    </row>
    <row r="1070" spans="1:7">
      <c r="A1070" t="s">
        <v>3590</v>
      </c>
      <c r="B1070" t="s">
        <v>8273</v>
      </c>
      <c r="C1070" t="s">
        <v>8395</v>
      </c>
      <c r="D1070" t="s">
        <v>8419</v>
      </c>
      <c r="E1070" t="s">
        <v>8446</v>
      </c>
      <c r="F1070" t="s">
        <v>8448</v>
      </c>
      <c r="G1070" t="s">
        <v>8455</v>
      </c>
    </row>
    <row r="1071" spans="1:7">
      <c r="A1071" t="s">
        <v>3591</v>
      </c>
      <c r="B1071" t="s">
        <v>8277</v>
      </c>
      <c r="C1071" t="s">
        <v>8395</v>
      </c>
      <c r="D1071" t="s">
        <v>8414</v>
      </c>
      <c r="E1071" t="s">
        <v>8446</v>
      </c>
      <c r="F1071" t="s">
        <v>8448</v>
      </c>
      <c r="G1071" t="s">
        <v>8455</v>
      </c>
    </row>
    <row r="1072" spans="1:7">
      <c r="A1072" t="s">
        <v>3592</v>
      </c>
      <c r="B1072" t="s">
        <v>8273</v>
      </c>
      <c r="C1072" t="s">
        <v>8392</v>
      </c>
      <c r="D1072" t="s">
        <v>8415</v>
      </c>
      <c r="E1072" t="s">
        <v>8445</v>
      </c>
      <c r="F1072" t="s">
        <v>8448</v>
      </c>
      <c r="G1072" t="s">
        <v>8635</v>
      </c>
    </row>
    <row r="1073" spans="1:7">
      <c r="A1073" t="s">
        <v>3593</v>
      </c>
      <c r="B1073" t="s">
        <v>8273</v>
      </c>
      <c r="C1073" t="s">
        <v>8392</v>
      </c>
      <c r="D1073" t="s">
        <v>8400</v>
      </c>
      <c r="E1073" t="s">
        <v>8446</v>
      </c>
      <c r="F1073" t="s">
        <v>8449</v>
      </c>
      <c r="G1073" t="s">
        <v>8455</v>
      </c>
    </row>
    <row r="1074" spans="1:7">
      <c r="A1074" t="s">
        <v>3594</v>
      </c>
      <c r="B1074" t="s">
        <v>8273</v>
      </c>
      <c r="C1074" t="s">
        <v>8395</v>
      </c>
      <c r="D1074" t="s">
        <v>8422</v>
      </c>
      <c r="E1074" t="s">
        <v>8444</v>
      </c>
      <c r="F1074" t="s">
        <v>8448</v>
      </c>
      <c r="G1074" t="s">
        <v>8519</v>
      </c>
    </row>
    <row r="1075" spans="1:7">
      <c r="A1075" t="s">
        <v>3595</v>
      </c>
      <c r="B1075" t="s">
        <v>8273</v>
      </c>
      <c r="C1075" t="s">
        <v>8395</v>
      </c>
      <c r="D1075" t="s">
        <v>8427</v>
      </c>
      <c r="E1075" t="s">
        <v>8446</v>
      </c>
      <c r="F1075" t="s">
        <v>8449</v>
      </c>
      <c r="G1075" t="s">
        <v>8455</v>
      </c>
    </row>
    <row r="1076" spans="1:7">
      <c r="A1076" t="s">
        <v>3596</v>
      </c>
      <c r="B1076" t="s">
        <v>8273</v>
      </c>
      <c r="C1076" t="s">
        <v>8395</v>
      </c>
      <c r="D1076" t="s">
        <v>8418</v>
      </c>
      <c r="E1076" t="s">
        <v>8446</v>
      </c>
      <c r="F1076" t="s">
        <v>8449</v>
      </c>
      <c r="G1076" t="s">
        <v>796</v>
      </c>
    </row>
    <row r="1077" spans="1:7">
      <c r="A1077" t="s">
        <v>3597</v>
      </c>
      <c r="B1077" t="s">
        <v>8273</v>
      </c>
      <c r="C1077" t="s">
        <v>8392</v>
      </c>
      <c r="D1077" t="s">
        <v>8400</v>
      </c>
      <c r="E1077" t="s">
        <v>8446</v>
      </c>
      <c r="F1077" t="s">
        <v>8449</v>
      </c>
      <c r="G1077" t="s">
        <v>796</v>
      </c>
    </row>
    <row r="1078" spans="1:7">
      <c r="A1078" t="s">
        <v>3598</v>
      </c>
      <c r="B1078" t="s">
        <v>8273</v>
      </c>
      <c r="C1078" t="s">
        <v>8396</v>
      </c>
      <c r="D1078" t="s">
        <v>8405</v>
      </c>
      <c r="E1078" t="s">
        <v>8446</v>
      </c>
      <c r="F1078" t="s">
        <v>8449</v>
      </c>
      <c r="G1078" t="s">
        <v>8636</v>
      </c>
    </row>
    <row r="1079" spans="1:7">
      <c r="A1079" t="s">
        <v>3599</v>
      </c>
      <c r="B1079" t="s">
        <v>8273</v>
      </c>
      <c r="C1079" t="s">
        <v>8396</v>
      </c>
      <c r="D1079" t="s">
        <v>8425</v>
      </c>
      <c r="E1079" t="s">
        <v>8445</v>
      </c>
      <c r="F1079" t="s">
        <v>8448</v>
      </c>
      <c r="G1079" t="s">
        <v>8637</v>
      </c>
    </row>
    <row r="1080" spans="1:7">
      <c r="A1080" t="s">
        <v>3600</v>
      </c>
      <c r="C1080" t="s">
        <v>8395</v>
      </c>
      <c r="D1080" t="s">
        <v>8405</v>
      </c>
      <c r="E1080" t="s">
        <v>8446</v>
      </c>
      <c r="F1080" t="s">
        <v>8448</v>
      </c>
      <c r="G1080" t="s">
        <v>796</v>
      </c>
    </row>
    <row r="1081" spans="1:7">
      <c r="A1081" t="s">
        <v>3601</v>
      </c>
      <c r="C1081" t="s">
        <v>8393</v>
      </c>
      <c r="D1081" t="s">
        <v>8393</v>
      </c>
      <c r="E1081" t="s">
        <v>919</v>
      </c>
      <c r="F1081" t="s">
        <v>8393</v>
      </c>
    </row>
    <row r="1082" spans="1:7">
      <c r="A1082" t="s">
        <v>3602</v>
      </c>
      <c r="C1082" t="s">
        <v>8394</v>
      </c>
      <c r="D1082" t="s">
        <v>8401</v>
      </c>
      <c r="E1082" t="s">
        <v>8445</v>
      </c>
      <c r="F1082" t="s">
        <v>8448</v>
      </c>
      <c r="G1082" t="s">
        <v>8638</v>
      </c>
    </row>
    <row r="1083" spans="1:7">
      <c r="A1083" t="s">
        <v>3603</v>
      </c>
      <c r="C1083" t="s">
        <v>8394</v>
      </c>
      <c r="D1083" t="s">
        <v>8401</v>
      </c>
      <c r="E1083" t="s">
        <v>8445</v>
      </c>
      <c r="F1083" t="s">
        <v>8448</v>
      </c>
      <c r="G1083" t="s">
        <v>8638</v>
      </c>
    </row>
    <row r="1084" spans="1:7">
      <c r="A1084" t="s">
        <v>3604</v>
      </c>
      <c r="C1084" t="s">
        <v>8394</v>
      </c>
      <c r="D1084" t="s">
        <v>8401</v>
      </c>
      <c r="E1084" t="s">
        <v>8445</v>
      </c>
      <c r="F1084" t="s">
        <v>8448</v>
      </c>
      <c r="G1084" t="s">
        <v>8638</v>
      </c>
    </row>
    <row r="1085" spans="1:7">
      <c r="A1085" t="s">
        <v>3605</v>
      </c>
      <c r="C1085" t="s">
        <v>8394</v>
      </c>
      <c r="D1085" t="s">
        <v>8401</v>
      </c>
      <c r="E1085" t="s">
        <v>8445</v>
      </c>
      <c r="F1085" t="s">
        <v>8448</v>
      </c>
      <c r="G1085" t="s">
        <v>8638</v>
      </c>
    </row>
    <row r="1086" spans="1:7">
      <c r="A1086" t="s">
        <v>3606</v>
      </c>
      <c r="C1086" t="s">
        <v>8394</v>
      </c>
      <c r="D1086" t="s">
        <v>8401</v>
      </c>
      <c r="E1086" t="s">
        <v>8445</v>
      </c>
      <c r="F1086" t="s">
        <v>8448</v>
      </c>
      <c r="G1086" t="s">
        <v>8638</v>
      </c>
    </row>
    <row r="1087" spans="1:7">
      <c r="A1087" t="s">
        <v>3607</v>
      </c>
      <c r="C1087" t="s">
        <v>8394</v>
      </c>
      <c r="D1087" t="s">
        <v>8401</v>
      </c>
      <c r="E1087" t="s">
        <v>8445</v>
      </c>
      <c r="F1087" t="s">
        <v>8448</v>
      </c>
      <c r="G1087" t="s">
        <v>8638</v>
      </c>
    </row>
    <row r="1088" spans="1:7">
      <c r="A1088" t="s">
        <v>3608</v>
      </c>
      <c r="C1088" t="s">
        <v>8394</v>
      </c>
      <c r="D1088" t="s">
        <v>8401</v>
      </c>
      <c r="E1088" t="s">
        <v>8445</v>
      </c>
      <c r="F1088" t="s">
        <v>8448</v>
      </c>
      <c r="G1088" t="s">
        <v>8638</v>
      </c>
    </row>
    <row r="1089" spans="1:7">
      <c r="A1089" t="s">
        <v>3609</v>
      </c>
      <c r="C1089" t="s">
        <v>8394</v>
      </c>
      <c r="D1089" t="s">
        <v>8401</v>
      </c>
      <c r="E1089" t="s">
        <v>8445</v>
      </c>
      <c r="F1089" t="s">
        <v>8448</v>
      </c>
      <c r="G1089" t="s">
        <v>8638</v>
      </c>
    </row>
    <row r="1090" spans="1:7">
      <c r="A1090" t="s">
        <v>3610</v>
      </c>
      <c r="C1090" t="s">
        <v>8394</v>
      </c>
      <c r="D1090" t="s">
        <v>8401</v>
      </c>
      <c r="E1090" t="s">
        <v>8445</v>
      </c>
      <c r="F1090" t="s">
        <v>8448</v>
      </c>
      <c r="G1090" t="s">
        <v>8638</v>
      </c>
    </row>
    <row r="1091" spans="1:7">
      <c r="A1091" t="s">
        <v>3611</v>
      </c>
      <c r="C1091" t="s">
        <v>8394</v>
      </c>
      <c r="D1091" t="s">
        <v>8401</v>
      </c>
      <c r="E1091" t="s">
        <v>8445</v>
      </c>
      <c r="F1091" t="s">
        <v>8448</v>
      </c>
      <c r="G1091" t="s">
        <v>8638</v>
      </c>
    </row>
    <row r="1092" spans="1:7">
      <c r="A1092" t="s">
        <v>3612</v>
      </c>
      <c r="C1092" t="s">
        <v>8394</v>
      </c>
      <c r="D1092" t="s">
        <v>8401</v>
      </c>
      <c r="E1092" t="s">
        <v>8445</v>
      </c>
      <c r="F1092" t="s">
        <v>8448</v>
      </c>
      <c r="G1092" t="s">
        <v>8638</v>
      </c>
    </row>
    <row r="1093" spans="1:7">
      <c r="A1093" t="s">
        <v>3613</v>
      </c>
      <c r="C1093" t="s">
        <v>8394</v>
      </c>
      <c r="D1093" t="s">
        <v>8401</v>
      </c>
      <c r="E1093" t="s">
        <v>8445</v>
      </c>
      <c r="F1093" t="s">
        <v>8448</v>
      </c>
      <c r="G1093" t="s">
        <v>8638</v>
      </c>
    </row>
    <row r="1094" spans="1:7">
      <c r="A1094" t="s">
        <v>3614</v>
      </c>
      <c r="C1094" t="s">
        <v>8394</v>
      </c>
      <c r="D1094" t="s">
        <v>8401</v>
      </c>
      <c r="E1094" t="s">
        <v>8445</v>
      </c>
      <c r="F1094" t="s">
        <v>8448</v>
      </c>
      <c r="G1094" t="s">
        <v>8638</v>
      </c>
    </row>
    <row r="1095" spans="1:7">
      <c r="A1095" t="s">
        <v>3615</v>
      </c>
      <c r="C1095" t="s">
        <v>8394</v>
      </c>
      <c r="D1095" t="s">
        <v>8401</v>
      </c>
      <c r="E1095" t="s">
        <v>8445</v>
      </c>
      <c r="F1095" t="s">
        <v>8448</v>
      </c>
      <c r="G1095" t="s">
        <v>8638</v>
      </c>
    </row>
    <row r="1096" spans="1:7">
      <c r="A1096" t="s">
        <v>3616</v>
      </c>
      <c r="C1096" t="s">
        <v>8394</v>
      </c>
      <c r="D1096" t="s">
        <v>8401</v>
      </c>
      <c r="E1096" t="s">
        <v>8445</v>
      </c>
      <c r="F1096" t="s">
        <v>8448</v>
      </c>
      <c r="G1096" t="s">
        <v>8638</v>
      </c>
    </row>
    <row r="1097" spans="1:7">
      <c r="A1097" t="s">
        <v>3617</v>
      </c>
      <c r="B1097" t="s">
        <v>8295</v>
      </c>
      <c r="C1097" t="s">
        <v>8398</v>
      </c>
      <c r="D1097" t="s">
        <v>8419</v>
      </c>
      <c r="E1097" t="s">
        <v>8444</v>
      </c>
      <c r="F1097" t="s">
        <v>8449</v>
      </c>
      <c r="G1097" t="s">
        <v>8455</v>
      </c>
    </row>
    <row r="1098" spans="1:7">
      <c r="A1098" t="s">
        <v>3618</v>
      </c>
      <c r="C1098" t="s">
        <v>8393</v>
      </c>
      <c r="D1098" t="s">
        <v>8393</v>
      </c>
      <c r="E1098" t="s">
        <v>919</v>
      </c>
      <c r="F1098" t="s">
        <v>8393</v>
      </c>
    </row>
    <row r="1099" spans="1:7">
      <c r="A1099" t="s">
        <v>3619</v>
      </c>
      <c r="C1099" t="s">
        <v>8394</v>
      </c>
      <c r="D1099" t="s">
        <v>8401</v>
      </c>
      <c r="E1099" t="s">
        <v>8445</v>
      </c>
      <c r="F1099" t="s">
        <v>8448</v>
      </c>
      <c r="G1099" t="s">
        <v>8639</v>
      </c>
    </row>
    <row r="1100" spans="1:7">
      <c r="A1100" t="s">
        <v>3620</v>
      </c>
      <c r="C1100" t="s">
        <v>8394</v>
      </c>
      <c r="D1100" t="s">
        <v>8401</v>
      </c>
      <c r="E1100" t="s">
        <v>8445</v>
      </c>
      <c r="F1100" t="s">
        <v>8448</v>
      </c>
      <c r="G1100" t="s">
        <v>8639</v>
      </c>
    </row>
    <row r="1101" spans="1:7">
      <c r="A1101" t="s">
        <v>3621</v>
      </c>
      <c r="C1101" t="s">
        <v>8394</v>
      </c>
      <c r="D1101" t="s">
        <v>8401</v>
      </c>
      <c r="E1101" t="s">
        <v>8445</v>
      </c>
      <c r="F1101" t="s">
        <v>8448</v>
      </c>
      <c r="G1101" t="s">
        <v>8639</v>
      </c>
    </row>
    <row r="1102" spans="1:7">
      <c r="A1102" t="s">
        <v>3622</v>
      </c>
      <c r="B1102" t="s">
        <v>8314</v>
      </c>
      <c r="C1102" t="s">
        <v>8394</v>
      </c>
      <c r="D1102" t="s">
        <v>8401</v>
      </c>
      <c r="E1102" t="s">
        <v>8445</v>
      </c>
      <c r="F1102" t="s">
        <v>8448</v>
      </c>
      <c r="G1102" t="s">
        <v>8639</v>
      </c>
    </row>
    <row r="1103" spans="1:7">
      <c r="A1103" t="s">
        <v>3623</v>
      </c>
      <c r="C1103" t="s">
        <v>8394</v>
      </c>
      <c r="D1103" t="s">
        <v>8401</v>
      </c>
      <c r="E1103" t="s">
        <v>8445</v>
      </c>
      <c r="F1103" t="s">
        <v>8448</v>
      </c>
      <c r="G1103" t="s">
        <v>8639</v>
      </c>
    </row>
    <row r="1104" spans="1:7">
      <c r="A1104" t="s">
        <v>3624</v>
      </c>
      <c r="B1104" t="s">
        <v>8273</v>
      </c>
      <c r="C1104" t="s">
        <v>8394</v>
      </c>
      <c r="D1104" t="s">
        <v>8413</v>
      </c>
      <c r="E1104" t="s">
        <v>8445</v>
      </c>
      <c r="F1104" t="s">
        <v>8448</v>
      </c>
      <c r="G1104" t="s">
        <v>8455</v>
      </c>
    </row>
    <row r="1105" spans="1:7">
      <c r="A1105" t="s">
        <v>3625</v>
      </c>
      <c r="B1105" t="s">
        <v>8273</v>
      </c>
      <c r="C1105" t="s">
        <v>8396</v>
      </c>
      <c r="D1105" t="s">
        <v>8425</v>
      </c>
      <c r="E1105" t="s">
        <v>1519</v>
      </c>
      <c r="F1105" t="s">
        <v>8448</v>
      </c>
      <c r="G1105" t="s">
        <v>8640</v>
      </c>
    </row>
    <row r="1106" spans="1:7">
      <c r="A1106" t="s">
        <v>3626</v>
      </c>
      <c r="B1106" t="s">
        <v>8278</v>
      </c>
      <c r="C1106" t="s">
        <v>8394</v>
      </c>
      <c r="D1106" t="s">
        <v>8423</v>
      </c>
      <c r="E1106" t="s">
        <v>8446</v>
      </c>
      <c r="F1106" t="s">
        <v>8449</v>
      </c>
      <c r="G1106" t="s">
        <v>8455</v>
      </c>
    </row>
    <row r="1107" spans="1:7">
      <c r="A1107" t="s">
        <v>3627</v>
      </c>
      <c r="B1107" t="s">
        <v>8278</v>
      </c>
      <c r="C1107" t="s">
        <v>8395</v>
      </c>
      <c r="D1107" t="s">
        <v>8423</v>
      </c>
      <c r="E1107" t="s">
        <v>8446</v>
      </c>
      <c r="F1107" t="s">
        <v>8449</v>
      </c>
      <c r="G1107" t="s">
        <v>8455</v>
      </c>
    </row>
    <row r="1108" spans="1:7">
      <c r="A1108" t="s">
        <v>3628</v>
      </c>
      <c r="C1108" t="s">
        <v>8394</v>
      </c>
      <c r="D1108" t="s">
        <v>8401</v>
      </c>
      <c r="E1108" t="s">
        <v>8445</v>
      </c>
      <c r="F1108" t="s">
        <v>8448</v>
      </c>
      <c r="G1108" t="s">
        <v>8641</v>
      </c>
    </row>
    <row r="1109" spans="1:7">
      <c r="A1109" t="s">
        <v>3629</v>
      </c>
      <c r="C1109" t="s">
        <v>8394</v>
      </c>
      <c r="D1109" t="s">
        <v>8401</v>
      </c>
      <c r="E1109" t="s">
        <v>8445</v>
      </c>
      <c r="F1109" t="s">
        <v>8448</v>
      </c>
      <c r="G1109" t="s">
        <v>8642</v>
      </c>
    </row>
    <row r="1110" spans="1:7">
      <c r="A1110" t="s">
        <v>3630</v>
      </c>
      <c r="B1110" t="s">
        <v>8278</v>
      </c>
      <c r="C1110" t="s">
        <v>8395</v>
      </c>
      <c r="D1110" t="s">
        <v>8423</v>
      </c>
      <c r="E1110" t="s">
        <v>8444</v>
      </c>
      <c r="F1110" t="s">
        <v>8448</v>
      </c>
      <c r="G1110" t="s">
        <v>8455</v>
      </c>
    </row>
    <row r="1111" spans="1:7">
      <c r="A1111" t="s">
        <v>3631</v>
      </c>
      <c r="C1111" t="s">
        <v>8394</v>
      </c>
      <c r="D1111" t="s">
        <v>8401</v>
      </c>
      <c r="E1111" t="s">
        <v>8445</v>
      </c>
      <c r="F1111" t="s">
        <v>8448</v>
      </c>
      <c r="G1111" t="s">
        <v>8643</v>
      </c>
    </row>
    <row r="1112" spans="1:7">
      <c r="A1112" t="s">
        <v>3632</v>
      </c>
      <c r="C1112" t="s">
        <v>8394</v>
      </c>
      <c r="D1112" t="s">
        <v>8401</v>
      </c>
      <c r="E1112" t="s">
        <v>8445</v>
      </c>
      <c r="F1112" t="s">
        <v>8448</v>
      </c>
      <c r="G1112" t="s">
        <v>8644</v>
      </c>
    </row>
    <row r="1113" spans="1:7">
      <c r="A1113" t="s">
        <v>3633</v>
      </c>
      <c r="C1113" t="s">
        <v>8393</v>
      </c>
      <c r="D1113" t="s">
        <v>8393</v>
      </c>
      <c r="E1113" t="s">
        <v>919</v>
      </c>
      <c r="F1113" t="s">
        <v>8393</v>
      </c>
    </row>
    <row r="1114" spans="1:7">
      <c r="A1114" t="s">
        <v>3634</v>
      </c>
      <c r="B1114" t="s">
        <v>8278</v>
      </c>
      <c r="C1114" t="s">
        <v>8394</v>
      </c>
      <c r="D1114" t="s">
        <v>8423</v>
      </c>
      <c r="E1114" t="s">
        <v>8444</v>
      </c>
      <c r="F1114" t="s">
        <v>8449</v>
      </c>
      <c r="G1114" t="s">
        <v>8455</v>
      </c>
    </row>
    <row r="1115" spans="1:7">
      <c r="A1115" t="s">
        <v>3635</v>
      </c>
      <c r="B1115" t="s">
        <v>8284</v>
      </c>
      <c r="C1115" t="s">
        <v>8394</v>
      </c>
      <c r="D1115" t="s">
        <v>8423</v>
      </c>
      <c r="E1115" t="s">
        <v>8444</v>
      </c>
      <c r="F1115" t="s">
        <v>8449</v>
      </c>
      <c r="G1115" t="s">
        <v>8455</v>
      </c>
    </row>
    <row r="1116" spans="1:7">
      <c r="A1116" t="s">
        <v>3636</v>
      </c>
      <c r="B1116" t="s">
        <v>8281</v>
      </c>
      <c r="C1116" t="s">
        <v>8394</v>
      </c>
      <c r="D1116" t="s">
        <v>8423</v>
      </c>
      <c r="E1116" t="s">
        <v>8444</v>
      </c>
      <c r="F1116" t="s">
        <v>8449</v>
      </c>
      <c r="G1116" t="s">
        <v>8455</v>
      </c>
    </row>
    <row r="1117" spans="1:7">
      <c r="A1117" t="s">
        <v>3637</v>
      </c>
      <c r="C1117" t="s">
        <v>8394</v>
      </c>
      <c r="D1117" t="s">
        <v>8402</v>
      </c>
      <c r="E1117" t="s">
        <v>8445</v>
      </c>
      <c r="F1117" t="s">
        <v>8448</v>
      </c>
      <c r="G1117" t="s">
        <v>8645</v>
      </c>
    </row>
    <row r="1118" spans="1:7">
      <c r="A1118" t="s">
        <v>3638</v>
      </c>
      <c r="B1118" t="s">
        <v>8273</v>
      </c>
      <c r="C1118" t="s">
        <v>8394</v>
      </c>
      <c r="D1118" t="s">
        <v>8414</v>
      </c>
      <c r="E1118" t="s">
        <v>8446</v>
      </c>
      <c r="F1118" t="s">
        <v>8449</v>
      </c>
      <c r="G1118" t="s">
        <v>8455</v>
      </c>
    </row>
    <row r="1119" spans="1:7">
      <c r="A1119" t="s">
        <v>3639</v>
      </c>
      <c r="C1119" t="s">
        <v>8392</v>
      </c>
      <c r="D1119" t="s">
        <v>8415</v>
      </c>
      <c r="E1119" t="s">
        <v>1587</v>
      </c>
      <c r="F1119" t="s">
        <v>8449</v>
      </c>
      <c r="G1119" t="s">
        <v>796</v>
      </c>
    </row>
    <row r="1120" spans="1:7">
      <c r="A1120" t="s">
        <v>3640</v>
      </c>
      <c r="B1120" t="s">
        <v>8273</v>
      </c>
      <c r="C1120" t="s">
        <v>8394</v>
      </c>
      <c r="D1120" t="s">
        <v>8414</v>
      </c>
      <c r="E1120" t="s">
        <v>1587</v>
      </c>
      <c r="F1120" t="s">
        <v>8449</v>
      </c>
      <c r="G1120" t="s">
        <v>796</v>
      </c>
    </row>
    <row r="1121" spans="1:7">
      <c r="A1121" t="s">
        <v>3641</v>
      </c>
      <c r="C1121" t="s">
        <v>8392</v>
      </c>
      <c r="D1121" t="s">
        <v>8415</v>
      </c>
      <c r="E1121" t="s">
        <v>1587</v>
      </c>
      <c r="F1121" t="s">
        <v>8449</v>
      </c>
      <c r="G1121" t="s">
        <v>796</v>
      </c>
    </row>
    <row r="1122" spans="1:7">
      <c r="A1122" t="s">
        <v>3642</v>
      </c>
      <c r="C1122" t="s">
        <v>8392</v>
      </c>
      <c r="D1122" t="s">
        <v>8415</v>
      </c>
      <c r="E1122" t="s">
        <v>1587</v>
      </c>
      <c r="F1122" t="s">
        <v>8449</v>
      </c>
      <c r="G1122" t="s">
        <v>796</v>
      </c>
    </row>
    <row r="1123" spans="1:7">
      <c r="A1123" t="s">
        <v>3643</v>
      </c>
      <c r="C1123" t="s">
        <v>8394</v>
      </c>
      <c r="D1123" t="s">
        <v>8402</v>
      </c>
      <c r="E1123" t="s">
        <v>8444</v>
      </c>
      <c r="F1123" t="s">
        <v>8448</v>
      </c>
      <c r="G1123" t="s">
        <v>8646</v>
      </c>
    </row>
    <row r="1124" spans="1:7">
      <c r="A1124" t="s">
        <v>3644</v>
      </c>
      <c r="B1124" t="s">
        <v>8273</v>
      </c>
      <c r="C1124" t="s">
        <v>8395</v>
      </c>
      <c r="D1124" t="s">
        <v>8404</v>
      </c>
      <c r="E1124" t="s">
        <v>8446</v>
      </c>
      <c r="F1124" t="s">
        <v>8449</v>
      </c>
      <c r="G1124" t="s">
        <v>8647</v>
      </c>
    </row>
    <row r="1125" spans="1:7">
      <c r="A1125" t="s">
        <v>3645</v>
      </c>
      <c r="B1125" t="s">
        <v>8273</v>
      </c>
      <c r="C1125" t="s">
        <v>8394</v>
      </c>
      <c r="D1125" t="s">
        <v>8402</v>
      </c>
      <c r="E1125" t="s">
        <v>8444</v>
      </c>
      <c r="F1125" t="s">
        <v>8448</v>
      </c>
      <c r="G1125" t="s">
        <v>8453</v>
      </c>
    </row>
    <row r="1126" spans="1:7">
      <c r="A1126" t="s">
        <v>3646</v>
      </c>
      <c r="B1126" t="s">
        <v>8273</v>
      </c>
      <c r="C1126" t="s">
        <v>8394</v>
      </c>
      <c r="D1126" t="s">
        <v>8402</v>
      </c>
      <c r="E1126" t="s">
        <v>8445</v>
      </c>
      <c r="F1126" t="s">
        <v>8448</v>
      </c>
      <c r="G1126" t="s">
        <v>8455</v>
      </c>
    </row>
    <row r="1127" spans="1:7">
      <c r="A1127" t="s">
        <v>3647</v>
      </c>
      <c r="C1127" t="s">
        <v>8397</v>
      </c>
      <c r="D1127" t="s">
        <v>8408</v>
      </c>
      <c r="E1127" t="s">
        <v>8445</v>
      </c>
      <c r="F1127" t="s">
        <v>8450</v>
      </c>
    </row>
    <row r="1128" spans="1:7">
      <c r="A1128" t="s">
        <v>3648</v>
      </c>
      <c r="B1128" t="s">
        <v>8273</v>
      </c>
      <c r="C1128" t="s">
        <v>8394</v>
      </c>
      <c r="D1128" t="s">
        <v>8414</v>
      </c>
      <c r="E1128" t="s">
        <v>8446</v>
      </c>
      <c r="F1128" t="s">
        <v>8448</v>
      </c>
      <c r="G1128" t="s">
        <v>8457</v>
      </c>
    </row>
    <row r="1129" spans="1:7">
      <c r="A1129" t="s">
        <v>3649</v>
      </c>
      <c r="B1129" t="s">
        <v>8273</v>
      </c>
      <c r="C1129" t="s">
        <v>8395</v>
      </c>
      <c r="D1129" t="s">
        <v>8414</v>
      </c>
      <c r="E1129" t="s">
        <v>8446</v>
      </c>
      <c r="F1129" t="s">
        <v>8448</v>
      </c>
      <c r="G1129" t="s">
        <v>8455</v>
      </c>
    </row>
    <row r="1130" spans="1:7">
      <c r="A1130" t="s">
        <v>3650</v>
      </c>
      <c r="C1130" t="s">
        <v>8394</v>
      </c>
      <c r="D1130" t="s">
        <v>8401</v>
      </c>
      <c r="E1130" t="s">
        <v>8445</v>
      </c>
      <c r="F1130" t="s">
        <v>8448</v>
      </c>
      <c r="G1130" t="s">
        <v>8648</v>
      </c>
    </row>
    <row r="1131" spans="1:7">
      <c r="A1131" t="s">
        <v>3651</v>
      </c>
      <c r="C1131" t="s">
        <v>8393</v>
      </c>
      <c r="D1131" t="s">
        <v>8393</v>
      </c>
      <c r="E1131" t="s">
        <v>919</v>
      </c>
      <c r="F1131" t="s">
        <v>8393</v>
      </c>
    </row>
    <row r="1132" spans="1:7">
      <c r="A1132" t="s">
        <v>3652</v>
      </c>
      <c r="B1132" t="s">
        <v>8273</v>
      </c>
      <c r="C1132" t="s">
        <v>8395</v>
      </c>
      <c r="D1132" t="s">
        <v>8414</v>
      </c>
      <c r="E1132" t="s">
        <v>8444</v>
      </c>
      <c r="F1132" t="s">
        <v>8449</v>
      </c>
      <c r="G1132" t="s">
        <v>8455</v>
      </c>
    </row>
    <row r="1133" spans="1:7">
      <c r="A1133" t="s">
        <v>3653</v>
      </c>
      <c r="B1133" t="s">
        <v>8285</v>
      </c>
      <c r="C1133" t="s">
        <v>8395</v>
      </c>
      <c r="D1133" t="s">
        <v>8414</v>
      </c>
      <c r="E1133" t="s">
        <v>8444</v>
      </c>
      <c r="F1133" t="s">
        <v>8449</v>
      </c>
      <c r="G1133" t="s">
        <v>796</v>
      </c>
    </row>
    <row r="1134" spans="1:7">
      <c r="A1134" t="s">
        <v>3654</v>
      </c>
      <c r="B1134" t="s">
        <v>8286</v>
      </c>
      <c r="C1134" t="s">
        <v>8395</v>
      </c>
      <c r="D1134" t="s">
        <v>8414</v>
      </c>
      <c r="E1134" t="s">
        <v>8444</v>
      </c>
      <c r="F1134" t="s">
        <v>8449</v>
      </c>
      <c r="G1134" t="s">
        <v>796</v>
      </c>
    </row>
    <row r="1135" spans="1:7">
      <c r="A1135" t="s">
        <v>3655</v>
      </c>
      <c r="B1135" t="s">
        <v>8277</v>
      </c>
      <c r="C1135" t="s">
        <v>8395</v>
      </c>
      <c r="D1135" t="s">
        <v>8414</v>
      </c>
      <c r="E1135" t="s">
        <v>8444</v>
      </c>
      <c r="F1135" t="s">
        <v>8449</v>
      </c>
      <c r="G1135" t="s">
        <v>796</v>
      </c>
    </row>
    <row r="1136" spans="1:7">
      <c r="A1136" t="s">
        <v>3656</v>
      </c>
      <c r="C1136" t="s">
        <v>8394</v>
      </c>
      <c r="D1136" t="s">
        <v>8402</v>
      </c>
      <c r="E1136" t="s">
        <v>8445</v>
      </c>
      <c r="F1136" t="s">
        <v>8448</v>
      </c>
      <c r="G1136" t="s">
        <v>8649</v>
      </c>
    </row>
    <row r="1137" spans="1:7">
      <c r="A1137" t="s">
        <v>3657</v>
      </c>
      <c r="C1137" t="s">
        <v>8393</v>
      </c>
      <c r="D1137" t="s">
        <v>8393</v>
      </c>
      <c r="E1137" t="s">
        <v>919</v>
      </c>
      <c r="F1137" t="s">
        <v>8393</v>
      </c>
    </row>
    <row r="1138" spans="1:7">
      <c r="A1138" t="s">
        <v>3658</v>
      </c>
      <c r="B1138" t="s">
        <v>8278</v>
      </c>
      <c r="C1138" t="s">
        <v>8395</v>
      </c>
      <c r="D1138" t="s">
        <v>8426</v>
      </c>
      <c r="E1138" t="s">
        <v>8446</v>
      </c>
      <c r="F1138" t="s">
        <v>8449</v>
      </c>
      <c r="G1138" t="s">
        <v>8455</v>
      </c>
    </row>
    <row r="1139" spans="1:7">
      <c r="A1139" t="s">
        <v>3659</v>
      </c>
      <c r="B1139" t="s">
        <v>8273</v>
      </c>
      <c r="C1139" t="s">
        <v>8395</v>
      </c>
      <c r="D1139" t="s">
        <v>8426</v>
      </c>
      <c r="E1139" t="s">
        <v>8444</v>
      </c>
      <c r="F1139" t="s">
        <v>8449</v>
      </c>
      <c r="G1139" t="s">
        <v>8455</v>
      </c>
    </row>
    <row r="1140" spans="1:7">
      <c r="A1140" t="s">
        <v>3660</v>
      </c>
      <c r="B1140" t="s">
        <v>8285</v>
      </c>
      <c r="C1140" t="s">
        <v>8395</v>
      </c>
      <c r="D1140" t="s">
        <v>8426</v>
      </c>
      <c r="E1140" t="s">
        <v>8444</v>
      </c>
      <c r="F1140" t="s">
        <v>8449</v>
      </c>
      <c r="G1140" t="s">
        <v>8455</v>
      </c>
    </row>
    <row r="1141" spans="1:7">
      <c r="A1141" t="s">
        <v>3661</v>
      </c>
      <c r="B1141" t="s">
        <v>8286</v>
      </c>
      <c r="C1141" t="s">
        <v>8395</v>
      </c>
      <c r="D1141" t="s">
        <v>8426</v>
      </c>
      <c r="E1141" t="s">
        <v>8444</v>
      </c>
      <c r="F1141" t="s">
        <v>8449</v>
      </c>
      <c r="G1141" t="s">
        <v>8455</v>
      </c>
    </row>
    <row r="1142" spans="1:7">
      <c r="A1142" t="s">
        <v>3662</v>
      </c>
      <c r="B1142" t="s">
        <v>8274</v>
      </c>
      <c r="C1142" t="s">
        <v>8395</v>
      </c>
      <c r="D1142" t="s">
        <v>8426</v>
      </c>
      <c r="E1142" t="s">
        <v>8444</v>
      </c>
      <c r="F1142" t="s">
        <v>8449</v>
      </c>
      <c r="G1142" t="s">
        <v>8455</v>
      </c>
    </row>
    <row r="1143" spans="1:7">
      <c r="A1143" t="s">
        <v>3663</v>
      </c>
      <c r="B1143" t="s">
        <v>8287</v>
      </c>
      <c r="C1143" t="s">
        <v>8395</v>
      </c>
      <c r="D1143" t="s">
        <v>8426</v>
      </c>
      <c r="E1143" t="s">
        <v>8444</v>
      </c>
      <c r="F1143" t="s">
        <v>8449</v>
      </c>
      <c r="G1143" t="s">
        <v>8455</v>
      </c>
    </row>
    <row r="1144" spans="1:7">
      <c r="A1144" t="s">
        <v>3664</v>
      </c>
      <c r="B1144" t="s">
        <v>8277</v>
      </c>
      <c r="C1144" t="s">
        <v>8395</v>
      </c>
      <c r="D1144" t="s">
        <v>8426</v>
      </c>
      <c r="E1144" t="s">
        <v>8444</v>
      </c>
      <c r="F1144" t="s">
        <v>8449</v>
      </c>
      <c r="G1144" t="s">
        <v>8455</v>
      </c>
    </row>
    <row r="1145" spans="1:7">
      <c r="A1145" t="s">
        <v>3665</v>
      </c>
      <c r="B1145" t="s">
        <v>8273</v>
      </c>
      <c r="C1145" t="s">
        <v>8392</v>
      </c>
      <c r="D1145" t="s">
        <v>8415</v>
      </c>
      <c r="E1145" t="s">
        <v>8446</v>
      </c>
      <c r="F1145" t="s">
        <v>8448</v>
      </c>
      <c r="G1145" t="s">
        <v>8650</v>
      </c>
    </row>
    <row r="1146" spans="1:7">
      <c r="A1146" t="s">
        <v>3666</v>
      </c>
      <c r="B1146" t="s">
        <v>8273</v>
      </c>
      <c r="C1146" t="s">
        <v>8395</v>
      </c>
      <c r="D1146" t="s">
        <v>8414</v>
      </c>
      <c r="E1146" t="s">
        <v>8446</v>
      </c>
      <c r="F1146" t="s">
        <v>8449</v>
      </c>
      <c r="G1146" t="s">
        <v>8455</v>
      </c>
    </row>
    <row r="1147" spans="1:7">
      <c r="A1147" t="s">
        <v>3667</v>
      </c>
      <c r="B1147" t="s">
        <v>8278</v>
      </c>
      <c r="C1147" t="s">
        <v>8394</v>
      </c>
      <c r="D1147" t="s">
        <v>8423</v>
      </c>
      <c r="E1147" t="s">
        <v>8446</v>
      </c>
      <c r="F1147" t="s">
        <v>8449</v>
      </c>
      <c r="G1147" t="s">
        <v>8455</v>
      </c>
    </row>
    <row r="1148" spans="1:7">
      <c r="A1148" t="s">
        <v>3668</v>
      </c>
      <c r="C1148" t="s">
        <v>8394</v>
      </c>
      <c r="D1148" t="s">
        <v>8402</v>
      </c>
      <c r="E1148" t="s">
        <v>8445</v>
      </c>
      <c r="F1148" t="s">
        <v>8448</v>
      </c>
      <c r="G1148" t="s">
        <v>8651</v>
      </c>
    </row>
    <row r="1149" spans="1:7">
      <c r="A1149" t="s">
        <v>3669</v>
      </c>
      <c r="C1149" t="s">
        <v>8394</v>
      </c>
      <c r="D1149" t="s">
        <v>8401</v>
      </c>
      <c r="E1149" t="s">
        <v>8445</v>
      </c>
      <c r="F1149" t="s">
        <v>8448</v>
      </c>
      <c r="G1149" t="s">
        <v>8652</v>
      </c>
    </row>
    <row r="1150" spans="1:7">
      <c r="A1150" t="s">
        <v>3670</v>
      </c>
      <c r="C1150" t="s">
        <v>8394</v>
      </c>
      <c r="D1150" t="s">
        <v>8401</v>
      </c>
      <c r="E1150" t="s">
        <v>8445</v>
      </c>
      <c r="F1150" t="s">
        <v>8448</v>
      </c>
      <c r="G1150" t="s">
        <v>8653</v>
      </c>
    </row>
    <row r="1151" spans="1:7">
      <c r="A1151" t="s">
        <v>3671</v>
      </c>
      <c r="C1151" t="s">
        <v>8393</v>
      </c>
      <c r="D1151" t="s">
        <v>8393</v>
      </c>
      <c r="E1151" t="s">
        <v>919</v>
      </c>
      <c r="F1151" t="s">
        <v>8393</v>
      </c>
    </row>
    <row r="1152" spans="1:7">
      <c r="A1152" t="s">
        <v>3672</v>
      </c>
      <c r="B1152" t="s">
        <v>8273</v>
      </c>
      <c r="C1152" t="s">
        <v>8395</v>
      </c>
      <c r="D1152" t="s">
        <v>8426</v>
      </c>
      <c r="E1152" t="s">
        <v>8446</v>
      </c>
      <c r="F1152" t="s">
        <v>8449</v>
      </c>
      <c r="G1152" t="s">
        <v>8455</v>
      </c>
    </row>
    <row r="1153" spans="1:7">
      <c r="A1153" t="s">
        <v>3673</v>
      </c>
      <c r="B1153" t="s">
        <v>8273</v>
      </c>
      <c r="C1153" t="s">
        <v>8395</v>
      </c>
      <c r="D1153" t="s">
        <v>8425</v>
      </c>
      <c r="E1153" t="s">
        <v>8446</v>
      </c>
      <c r="F1153" t="s">
        <v>8449</v>
      </c>
      <c r="G1153" t="s">
        <v>8455</v>
      </c>
    </row>
    <row r="1154" spans="1:7">
      <c r="A1154" t="s">
        <v>3674</v>
      </c>
      <c r="B1154" t="s">
        <v>8277</v>
      </c>
      <c r="C1154" t="s">
        <v>8395</v>
      </c>
      <c r="D1154" t="s">
        <v>8400</v>
      </c>
      <c r="E1154" t="s">
        <v>8446</v>
      </c>
      <c r="F1154" t="s">
        <v>8449</v>
      </c>
      <c r="G1154" t="s">
        <v>8455</v>
      </c>
    </row>
    <row r="1155" spans="1:7">
      <c r="A1155" t="s">
        <v>3675</v>
      </c>
      <c r="C1155" t="s">
        <v>8396</v>
      </c>
      <c r="D1155" t="s">
        <v>8420</v>
      </c>
      <c r="E1155" t="s">
        <v>8446</v>
      </c>
      <c r="F1155" t="s">
        <v>8449</v>
      </c>
      <c r="G1155" t="s">
        <v>8455</v>
      </c>
    </row>
    <row r="1156" spans="1:7">
      <c r="A1156" t="s">
        <v>3676</v>
      </c>
      <c r="B1156" t="s">
        <v>8273</v>
      </c>
      <c r="C1156" t="s">
        <v>8396</v>
      </c>
      <c r="D1156" t="s">
        <v>8420</v>
      </c>
      <c r="E1156" t="s">
        <v>8445</v>
      </c>
      <c r="F1156" t="s">
        <v>8449</v>
      </c>
      <c r="G1156" t="s">
        <v>8455</v>
      </c>
    </row>
    <row r="1157" spans="1:7">
      <c r="A1157" t="s">
        <v>3677</v>
      </c>
      <c r="B1157" t="s">
        <v>8273</v>
      </c>
      <c r="C1157" t="s">
        <v>8396</v>
      </c>
      <c r="D1157" t="s">
        <v>8411</v>
      </c>
      <c r="E1157" t="s">
        <v>8444</v>
      </c>
      <c r="F1157" t="s">
        <v>8449</v>
      </c>
      <c r="G1157" t="s">
        <v>8654</v>
      </c>
    </row>
    <row r="1158" spans="1:7">
      <c r="A1158" t="s">
        <v>3678</v>
      </c>
      <c r="C1158" t="s">
        <v>8393</v>
      </c>
      <c r="D1158" t="s">
        <v>8393</v>
      </c>
      <c r="E1158" t="s">
        <v>919</v>
      </c>
      <c r="F1158" t="s">
        <v>8393</v>
      </c>
    </row>
    <row r="1159" spans="1:7">
      <c r="A1159" t="s">
        <v>3679</v>
      </c>
      <c r="B1159" t="s">
        <v>8278</v>
      </c>
      <c r="C1159" t="s">
        <v>8395</v>
      </c>
      <c r="D1159" t="s">
        <v>8423</v>
      </c>
      <c r="E1159" t="s">
        <v>8446</v>
      </c>
      <c r="F1159" t="s">
        <v>8449</v>
      </c>
      <c r="G1159" t="s">
        <v>8455</v>
      </c>
    </row>
    <row r="1160" spans="1:7">
      <c r="A1160" t="s">
        <v>3680</v>
      </c>
      <c r="B1160" t="s">
        <v>8278</v>
      </c>
      <c r="C1160" t="s">
        <v>8394</v>
      </c>
      <c r="D1160" t="s">
        <v>8423</v>
      </c>
      <c r="E1160" t="s">
        <v>8446</v>
      </c>
      <c r="F1160" t="s">
        <v>8449</v>
      </c>
      <c r="G1160" t="s">
        <v>8455</v>
      </c>
    </row>
    <row r="1161" spans="1:7">
      <c r="A1161" t="s">
        <v>3681</v>
      </c>
      <c r="B1161" t="s">
        <v>8278</v>
      </c>
      <c r="C1161" t="s">
        <v>8394</v>
      </c>
      <c r="D1161" t="s">
        <v>8423</v>
      </c>
      <c r="E1161" t="s">
        <v>8446</v>
      </c>
      <c r="F1161" t="s">
        <v>8449</v>
      </c>
      <c r="G1161" t="s">
        <v>8455</v>
      </c>
    </row>
    <row r="1162" spans="1:7">
      <c r="A1162" t="s">
        <v>3682</v>
      </c>
      <c r="B1162" t="s">
        <v>8284</v>
      </c>
      <c r="C1162" t="s">
        <v>8394</v>
      </c>
      <c r="D1162" t="s">
        <v>8423</v>
      </c>
      <c r="E1162" t="s">
        <v>8446</v>
      </c>
      <c r="F1162" t="s">
        <v>8449</v>
      </c>
      <c r="G1162" t="s">
        <v>8455</v>
      </c>
    </row>
    <row r="1163" spans="1:7">
      <c r="A1163" t="s">
        <v>3683</v>
      </c>
      <c r="B1163" t="s">
        <v>8311</v>
      </c>
      <c r="C1163" t="s">
        <v>8394</v>
      </c>
      <c r="D1163" t="s">
        <v>8423</v>
      </c>
      <c r="E1163" t="s">
        <v>8446</v>
      </c>
      <c r="F1163" t="s">
        <v>8449</v>
      </c>
      <c r="G1163" t="s">
        <v>8455</v>
      </c>
    </row>
    <row r="1164" spans="1:7">
      <c r="A1164" t="s">
        <v>3684</v>
      </c>
      <c r="B1164" t="s">
        <v>8278</v>
      </c>
      <c r="C1164" t="s">
        <v>8394</v>
      </c>
      <c r="D1164" t="s">
        <v>8423</v>
      </c>
      <c r="E1164" t="s">
        <v>8446</v>
      </c>
      <c r="F1164" t="s">
        <v>8449</v>
      </c>
      <c r="G1164" t="s">
        <v>8455</v>
      </c>
    </row>
    <row r="1165" spans="1:7">
      <c r="A1165" t="s">
        <v>3685</v>
      </c>
      <c r="B1165" t="s">
        <v>8280</v>
      </c>
      <c r="C1165" t="s">
        <v>8394</v>
      </c>
      <c r="D1165" t="s">
        <v>8423</v>
      </c>
      <c r="E1165" t="s">
        <v>8446</v>
      </c>
      <c r="F1165" t="s">
        <v>8449</v>
      </c>
      <c r="G1165" t="s">
        <v>8455</v>
      </c>
    </row>
    <row r="1166" spans="1:7">
      <c r="A1166" t="s">
        <v>3686</v>
      </c>
      <c r="B1166" t="s">
        <v>8309</v>
      </c>
      <c r="C1166" t="s">
        <v>8394</v>
      </c>
      <c r="D1166" t="s">
        <v>8423</v>
      </c>
      <c r="E1166" t="s">
        <v>8446</v>
      </c>
      <c r="F1166" t="s">
        <v>8449</v>
      </c>
      <c r="G1166" t="s">
        <v>8455</v>
      </c>
    </row>
    <row r="1167" spans="1:7">
      <c r="A1167" t="s">
        <v>3687</v>
      </c>
      <c r="B1167" t="s">
        <v>8278</v>
      </c>
      <c r="C1167" t="s">
        <v>8394</v>
      </c>
      <c r="D1167" t="s">
        <v>8423</v>
      </c>
      <c r="E1167" t="s">
        <v>8446</v>
      </c>
      <c r="F1167" t="s">
        <v>8449</v>
      </c>
      <c r="G1167" t="s">
        <v>8455</v>
      </c>
    </row>
    <row r="1168" spans="1:7">
      <c r="A1168" t="s">
        <v>3688</v>
      </c>
      <c r="B1168" t="s">
        <v>8299</v>
      </c>
      <c r="C1168" t="s">
        <v>8397</v>
      </c>
      <c r="D1168" t="s">
        <v>8430</v>
      </c>
      <c r="E1168" t="s">
        <v>1587</v>
      </c>
      <c r="F1168" t="s">
        <v>8449</v>
      </c>
      <c r="G1168" t="s">
        <v>795</v>
      </c>
    </row>
    <row r="1169" spans="1:7">
      <c r="A1169" t="s">
        <v>3689</v>
      </c>
      <c r="C1169" t="s">
        <v>8394</v>
      </c>
      <c r="D1169" t="s">
        <v>8414</v>
      </c>
      <c r="E1169" t="s">
        <v>8445</v>
      </c>
      <c r="F1169" t="s">
        <v>8448</v>
      </c>
      <c r="G1169" t="s">
        <v>8655</v>
      </c>
    </row>
    <row r="1170" spans="1:7">
      <c r="A1170" t="s">
        <v>3690</v>
      </c>
      <c r="B1170" t="s">
        <v>8315</v>
      </c>
      <c r="C1170" t="s">
        <v>8394</v>
      </c>
      <c r="D1170" t="s">
        <v>8402</v>
      </c>
      <c r="E1170" t="s">
        <v>8444</v>
      </c>
      <c r="F1170" t="s">
        <v>8449</v>
      </c>
      <c r="G1170" t="s">
        <v>8455</v>
      </c>
    </row>
    <row r="1171" spans="1:7">
      <c r="A1171" t="s">
        <v>3691</v>
      </c>
      <c r="B1171" t="s">
        <v>8316</v>
      </c>
      <c r="C1171" t="s">
        <v>8392</v>
      </c>
      <c r="D1171" t="s">
        <v>8415</v>
      </c>
      <c r="E1171" t="s">
        <v>8445</v>
      </c>
      <c r="F1171" t="s">
        <v>8450</v>
      </c>
    </row>
    <row r="1172" spans="1:7">
      <c r="A1172" t="s">
        <v>3692</v>
      </c>
      <c r="B1172" t="s">
        <v>8273</v>
      </c>
      <c r="C1172" t="s">
        <v>8396</v>
      </c>
      <c r="D1172" t="s">
        <v>8426</v>
      </c>
      <c r="E1172" t="s">
        <v>8446</v>
      </c>
      <c r="F1172" t="s">
        <v>8448</v>
      </c>
      <c r="G1172" t="s">
        <v>8455</v>
      </c>
    </row>
    <row r="1173" spans="1:7">
      <c r="A1173" t="s">
        <v>3693</v>
      </c>
      <c r="C1173" t="s">
        <v>8397</v>
      </c>
      <c r="D1173" t="s">
        <v>8418</v>
      </c>
      <c r="E1173" t="s">
        <v>8445</v>
      </c>
      <c r="F1173" t="s">
        <v>8450</v>
      </c>
      <c r="G1173" t="s">
        <v>8453</v>
      </c>
    </row>
    <row r="1174" spans="1:7">
      <c r="A1174" t="s">
        <v>3694</v>
      </c>
      <c r="B1174" t="s">
        <v>8273</v>
      </c>
      <c r="C1174" t="s">
        <v>8394</v>
      </c>
      <c r="D1174" t="s">
        <v>8424</v>
      </c>
      <c r="E1174" t="s">
        <v>8445</v>
      </c>
      <c r="F1174" t="s">
        <v>8448</v>
      </c>
      <c r="G1174" t="s">
        <v>8453</v>
      </c>
    </row>
    <row r="1175" spans="1:7">
      <c r="A1175" t="s">
        <v>3695</v>
      </c>
      <c r="C1175" t="s">
        <v>8393</v>
      </c>
      <c r="D1175" t="s">
        <v>8393</v>
      </c>
      <c r="E1175" t="s">
        <v>919</v>
      </c>
      <c r="F1175" t="s">
        <v>8393</v>
      </c>
    </row>
    <row r="1176" spans="1:7">
      <c r="A1176" t="s">
        <v>3696</v>
      </c>
      <c r="B1176" t="s">
        <v>8278</v>
      </c>
      <c r="C1176" t="s">
        <v>8394</v>
      </c>
      <c r="D1176" t="s">
        <v>8423</v>
      </c>
      <c r="E1176" t="s">
        <v>8446</v>
      </c>
      <c r="F1176" t="s">
        <v>8449</v>
      </c>
      <c r="G1176" t="s">
        <v>8455</v>
      </c>
    </row>
    <row r="1177" spans="1:7">
      <c r="A1177" t="s">
        <v>3697</v>
      </c>
      <c r="B1177" t="s">
        <v>8284</v>
      </c>
      <c r="C1177" t="s">
        <v>8394</v>
      </c>
      <c r="D1177" t="s">
        <v>8423</v>
      </c>
      <c r="E1177" t="s">
        <v>8446</v>
      </c>
      <c r="F1177" t="s">
        <v>8449</v>
      </c>
      <c r="G1177" t="s">
        <v>8455</v>
      </c>
    </row>
    <row r="1178" spans="1:7">
      <c r="A1178" t="s">
        <v>3698</v>
      </c>
      <c r="B1178" t="s">
        <v>8279</v>
      </c>
      <c r="C1178" t="s">
        <v>8394</v>
      </c>
      <c r="D1178" t="s">
        <v>8423</v>
      </c>
      <c r="E1178" t="s">
        <v>8446</v>
      </c>
      <c r="F1178" t="s">
        <v>8449</v>
      </c>
      <c r="G1178" t="s">
        <v>8455</v>
      </c>
    </row>
    <row r="1179" spans="1:7">
      <c r="A1179" t="s">
        <v>3699</v>
      </c>
      <c r="B1179" t="s">
        <v>8278</v>
      </c>
      <c r="C1179" t="s">
        <v>8394</v>
      </c>
      <c r="D1179" t="s">
        <v>8423</v>
      </c>
      <c r="E1179" t="s">
        <v>8446</v>
      </c>
      <c r="F1179" t="s">
        <v>8449</v>
      </c>
      <c r="G1179" t="s">
        <v>8455</v>
      </c>
    </row>
    <row r="1180" spans="1:7">
      <c r="A1180" t="s">
        <v>3700</v>
      </c>
      <c r="B1180" t="s">
        <v>8309</v>
      </c>
      <c r="C1180" t="s">
        <v>8394</v>
      </c>
      <c r="D1180" t="s">
        <v>8423</v>
      </c>
      <c r="E1180" t="s">
        <v>8446</v>
      </c>
      <c r="F1180" t="s">
        <v>8449</v>
      </c>
      <c r="G1180" t="s">
        <v>8455</v>
      </c>
    </row>
    <row r="1181" spans="1:7">
      <c r="A1181" t="s">
        <v>3701</v>
      </c>
      <c r="B1181" t="s">
        <v>8281</v>
      </c>
      <c r="C1181" t="s">
        <v>8394</v>
      </c>
      <c r="D1181" t="s">
        <v>8423</v>
      </c>
      <c r="E1181" t="s">
        <v>8446</v>
      </c>
      <c r="F1181" t="s">
        <v>8449</v>
      </c>
      <c r="G1181" t="s">
        <v>8455</v>
      </c>
    </row>
    <row r="1182" spans="1:7">
      <c r="A1182" t="s">
        <v>3702</v>
      </c>
      <c r="B1182" t="s">
        <v>8273</v>
      </c>
      <c r="C1182" t="s">
        <v>8392</v>
      </c>
      <c r="D1182" t="s">
        <v>8415</v>
      </c>
      <c r="E1182" t="s">
        <v>8444</v>
      </c>
      <c r="F1182" t="s">
        <v>8449</v>
      </c>
      <c r="G1182" t="s">
        <v>8455</v>
      </c>
    </row>
    <row r="1183" spans="1:7">
      <c r="A1183" t="s">
        <v>3703</v>
      </c>
      <c r="B1183" t="s">
        <v>8273</v>
      </c>
      <c r="C1183" t="s">
        <v>8395</v>
      </c>
      <c r="D1183" t="s">
        <v>8404</v>
      </c>
      <c r="E1183" t="s">
        <v>1519</v>
      </c>
      <c r="F1183" t="s">
        <v>8449</v>
      </c>
      <c r="G1183" t="s">
        <v>8455</v>
      </c>
    </row>
    <row r="1184" spans="1:7">
      <c r="A1184" t="s">
        <v>3704</v>
      </c>
      <c r="C1184" t="s">
        <v>8397</v>
      </c>
      <c r="D1184" t="s">
        <v>8408</v>
      </c>
      <c r="E1184" t="s">
        <v>8445</v>
      </c>
      <c r="F1184" t="s">
        <v>8450</v>
      </c>
    </row>
    <row r="1185" spans="1:7">
      <c r="A1185" t="s">
        <v>3705</v>
      </c>
      <c r="C1185" t="s">
        <v>8397</v>
      </c>
      <c r="D1185" t="s">
        <v>8408</v>
      </c>
      <c r="E1185" t="s">
        <v>8445</v>
      </c>
      <c r="F1185" t="s">
        <v>8450</v>
      </c>
    </row>
    <row r="1186" spans="1:7">
      <c r="A1186" t="s">
        <v>3706</v>
      </c>
      <c r="B1186" t="s">
        <v>8273</v>
      </c>
      <c r="C1186" t="s">
        <v>8397</v>
      </c>
      <c r="D1186" t="s">
        <v>8421</v>
      </c>
      <c r="E1186" t="s">
        <v>8445</v>
      </c>
      <c r="F1186" t="s">
        <v>8448</v>
      </c>
      <c r="G1186" t="s">
        <v>8656</v>
      </c>
    </row>
    <row r="1187" spans="1:7">
      <c r="A1187" t="s">
        <v>3707</v>
      </c>
      <c r="C1187" t="s">
        <v>8394</v>
      </c>
      <c r="D1187" t="s">
        <v>8402</v>
      </c>
      <c r="E1187" t="s">
        <v>8446</v>
      </c>
      <c r="F1187" t="s">
        <v>8448</v>
      </c>
      <c r="G1187" t="s">
        <v>8657</v>
      </c>
    </row>
    <row r="1188" spans="1:7">
      <c r="A1188" t="s">
        <v>3708</v>
      </c>
      <c r="C1188" t="s">
        <v>8395</v>
      </c>
      <c r="D1188" t="s">
        <v>8416</v>
      </c>
      <c r="E1188" t="s">
        <v>8444</v>
      </c>
      <c r="F1188" t="s">
        <v>8448</v>
      </c>
      <c r="G1188" t="s">
        <v>8658</v>
      </c>
    </row>
    <row r="1189" spans="1:7">
      <c r="A1189" t="s">
        <v>3709</v>
      </c>
      <c r="B1189" t="s">
        <v>8295</v>
      </c>
      <c r="C1189" t="s">
        <v>8398</v>
      </c>
      <c r="D1189" t="s">
        <v>8419</v>
      </c>
      <c r="E1189" t="s">
        <v>8445</v>
      </c>
      <c r="F1189" t="s">
        <v>8449</v>
      </c>
      <c r="G1189" t="s">
        <v>8455</v>
      </c>
    </row>
    <row r="1190" spans="1:7">
      <c r="A1190" t="s">
        <v>3710</v>
      </c>
      <c r="C1190" t="s">
        <v>8394</v>
      </c>
      <c r="D1190" t="s">
        <v>8427</v>
      </c>
      <c r="E1190" t="s">
        <v>8445</v>
      </c>
      <c r="F1190" t="s">
        <v>8448</v>
      </c>
      <c r="G1190" t="s">
        <v>8659</v>
      </c>
    </row>
    <row r="1191" spans="1:7">
      <c r="A1191" t="s">
        <v>3711</v>
      </c>
      <c r="C1191" t="s">
        <v>8394</v>
      </c>
      <c r="D1191" t="s">
        <v>8414</v>
      </c>
      <c r="E1191" t="s">
        <v>8445</v>
      </c>
      <c r="F1191" t="s">
        <v>8448</v>
      </c>
      <c r="G1191" t="s">
        <v>8660</v>
      </c>
    </row>
    <row r="1192" spans="1:7">
      <c r="A1192" t="s">
        <v>3712</v>
      </c>
      <c r="B1192" t="s">
        <v>8278</v>
      </c>
      <c r="C1192" t="s">
        <v>8394</v>
      </c>
      <c r="D1192" t="s">
        <v>8423</v>
      </c>
      <c r="E1192" t="s">
        <v>8446</v>
      </c>
      <c r="F1192" t="s">
        <v>8449</v>
      </c>
      <c r="G1192" t="s">
        <v>8455</v>
      </c>
    </row>
    <row r="1193" spans="1:7">
      <c r="A1193" t="s">
        <v>3713</v>
      </c>
      <c r="C1193" t="s">
        <v>8397</v>
      </c>
      <c r="D1193" t="s">
        <v>8421</v>
      </c>
      <c r="E1193" t="s">
        <v>1519</v>
      </c>
      <c r="F1193" t="s">
        <v>8448</v>
      </c>
      <c r="G1193" t="s">
        <v>795</v>
      </c>
    </row>
    <row r="1194" spans="1:7">
      <c r="A1194" t="s">
        <v>3714</v>
      </c>
      <c r="C1194" t="s">
        <v>8393</v>
      </c>
      <c r="D1194" t="s">
        <v>8393</v>
      </c>
      <c r="E1194" t="s">
        <v>919</v>
      </c>
      <c r="F1194" t="s">
        <v>8393</v>
      </c>
    </row>
    <row r="1195" spans="1:7">
      <c r="A1195" t="s">
        <v>3715</v>
      </c>
      <c r="B1195" t="s">
        <v>8273</v>
      </c>
      <c r="C1195" t="s">
        <v>8392</v>
      </c>
      <c r="D1195" t="s">
        <v>8415</v>
      </c>
      <c r="E1195" t="s">
        <v>8446</v>
      </c>
      <c r="F1195" t="s">
        <v>8449</v>
      </c>
      <c r="G1195" t="s">
        <v>8455</v>
      </c>
    </row>
    <row r="1196" spans="1:7">
      <c r="A1196" t="s">
        <v>3716</v>
      </c>
      <c r="B1196" t="s">
        <v>8277</v>
      </c>
      <c r="C1196" t="s">
        <v>8392</v>
      </c>
      <c r="D1196" t="s">
        <v>8415</v>
      </c>
      <c r="E1196" t="s">
        <v>8446</v>
      </c>
      <c r="F1196" t="s">
        <v>8449</v>
      </c>
      <c r="G1196" t="s">
        <v>8455</v>
      </c>
    </row>
    <row r="1197" spans="1:7">
      <c r="A1197" t="s">
        <v>3717</v>
      </c>
      <c r="C1197" t="s">
        <v>8394</v>
      </c>
      <c r="D1197" t="s">
        <v>8402</v>
      </c>
      <c r="E1197" t="s">
        <v>8444</v>
      </c>
      <c r="F1197" t="s">
        <v>8448</v>
      </c>
      <c r="G1197" t="s">
        <v>796</v>
      </c>
    </row>
    <row r="1198" spans="1:7">
      <c r="A1198" t="s">
        <v>3718</v>
      </c>
      <c r="C1198" t="s">
        <v>8397</v>
      </c>
      <c r="D1198" t="s">
        <v>8408</v>
      </c>
      <c r="E1198" t="s">
        <v>8445</v>
      </c>
      <c r="F1198" t="s">
        <v>8450</v>
      </c>
    </row>
    <row r="1199" spans="1:7">
      <c r="A1199" t="s">
        <v>3719</v>
      </c>
      <c r="B1199" t="s">
        <v>8273</v>
      </c>
      <c r="C1199" t="s">
        <v>8394</v>
      </c>
      <c r="D1199" t="s">
        <v>8427</v>
      </c>
      <c r="E1199" t="s">
        <v>8444</v>
      </c>
      <c r="F1199" t="s">
        <v>8449</v>
      </c>
      <c r="G1199" t="s">
        <v>8661</v>
      </c>
    </row>
    <row r="1200" spans="1:7">
      <c r="A1200" t="s">
        <v>3720</v>
      </c>
      <c r="C1200" t="s">
        <v>8397</v>
      </c>
      <c r="D1200" t="s">
        <v>8408</v>
      </c>
      <c r="E1200" t="s">
        <v>8445</v>
      </c>
      <c r="F1200" t="s">
        <v>8450</v>
      </c>
    </row>
    <row r="1201" spans="1:7">
      <c r="A1201" t="s">
        <v>3721</v>
      </c>
      <c r="C1201" t="s">
        <v>8392</v>
      </c>
      <c r="D1201" t="s">
        <v>8415</v>
      </c>
      <c r="E1201" t="s">
        <v>1519</v>
      </c>
      <c r="F1201" t="s">
        <v>8449</v>
      </c>
      <c r="G1201" t="s">
        <v>796</v>
      </c>
    </row>
    <row r="1202" spans="1:7">
      <c r="A1202" t="s">
        <v>3722</v>
      </c>
      <c r="B1202" t="s">
        <v>8273</v>
      </c>
      <c r="C1202" t="s">
        <v>8396</v>
      </c>
      <c r="D1202" t="s">
        <v>8425</v>
      </c>
      <c r="E1202" t="s">
        <v>8445</v>
      </c>
      <c r="F1202" t="s">
        <v>8448</v>
      </c>
      <c r="G1202" t="s">
        <v>8662</v>
      </c>
    </row>
    <row r="1203" spans="1:7">
      <c r="A1203" t="s">
        <v>3723</v>
      </c>
      <c r="C1203" t="s">
        <v>8394</v>
      </c>
      <c r="D1203" t="s">
        <v>8401</v>
      </c>
      <c r="E1203" t="s">
        <v>8445</v>
      </c>
      <c r="F1203" t="s">
        <v>8448</v>
      </c>
      <c r="G1203" t="s">
        <v>8663</v>
      </c>
    </row>
    <row r="1204" spans="1:7">
      <c r="A1204" t="s">
        <v>3724</v>
      </c>
      <c r="C1204" t="s">
        <v>8393</v>
      </c>
      <c r="D1204" t="s">
        <v>8393</v>
      </c>
      <c r="E1204" t="s">
        <v>919</v>
      </c>
      <c r="F1204" t="s">
        <v>8393</v>
      </c>
    </row>
    <row r="1205" spans="1:7">
      <c r="A1205" t="s">
        <v>3725</v>
      </c>
      <c r="C1205" t="s">
        <v>8394</v>
      </c>
      <c r="D1205" t="s">
        <v>8401</v>
      </c>
      <c r="E1205" t="s">
        <v>8445</v>
      </c>
      <c r="F1205" t="s">
        <v>8448</v>
      </c>
      <c r="G1205" t="s">
        <v>8664</v>
      </c>
    </row>
    <row r="1206" spans="1:7">
      <c r="A1206" t="s">
        <v>3726</v>
      </c>
      <c r="C1206" t="s">
        <v>8394</v>
      </c>
      <c r="D1206" t="s">
        <v>8401</v>
      </c>
      <c r="E1206" t="s">
        <v>8445</v>
      </c>
      <c r="F1206" t="s">
        <v>8448</v>
      </c>
      <c r="G1206" t="s">
        <v>8664</v>
      </c>
    </row>
    <row r="1207" spans="1:7">
      <c r="A1207" t="s">
        <v>3727</v>
      </c>
      <c r="C1207" t="s">
        <v>8394</v>
      </c>
      <c r="D1207" t="s">
        <v>8401</v>
      </c>
      <c r="E1207" t="s">
        <v>8445</v>
      </c>
      <c r="F1207" t="s">
        <v>8448</v>
      </c>
      <c r="G1207" t="s">
        <v>8664</v>
      </c>
    </row>
    <row r="1208" spans="1:7">
      <c r="A1208" t="s">
        <v>3728</v>
      </c>
      <c r="C1208" t="s">
        <v>8394</v>
      </c>
      <c r="D1208" t="s">
        <v>8401</v>
      </c>
      <c r="E1208" t="s">
        <v>8445</v>
      </c>
      <c r="F1208" t="s">
        <v>8448</v>
      </c>
      <c r="G1208" t="s">
        <v>8664</v>
      </c>
    </row>
    <row r="1209" spans="1:7">
      <c r="A1209" t="s">
        <v>3729</v>
      </c>
      <c r="C1209" t="s">
        <v>8394</v>
      </c>
      <c r="D1209" t="s">
        <v>8401</v>
      </c>
      <c r="E1209" t="s">
        <v>8445</v>
      </c>
      <c r="F1209" t="s">
        <v>8448</v>
      </c>
      <c r="G1209" t="s">
        <v>8664</v>
      </c>
    </row>
    <row r="1210" spans="1:7">
      <c r="A1210" t="s">
        <v>3730</v>
      </c>
      <c r="C1210" t="s">
        <v>8394</v>
      </c>
      <c r="D1210" t="s">
        <v>8401</v>
      </c>
      <c r="E1210" t="s">
        <v>8445</v>
      </c>
      <c r="F1210" t="s">
        <v>8448</v>
      </c>
      <c r="G1210" t="s">
        <v>8664</v>
      </c>
    </row>
    <row r="1211" spans="1:7">
      <c r="A1211" t="s">
        <v>3731</v>
      </c>
      <c r="C1211" t="s">
        <v>8394</v>
      </c>
      <c r="D1211" t="s">
        <v>8401</v>
      </c>
      <c r="E1211" t="s">
        <v>8445</v>
      </c>
      <c r="F1211" t="s">
        <v>8448</v>
      </c>
      <c r="G1211" t="s">
        <v>8664</v>
      </c>
    </row>
    <row r="1212" spans="1:7">
      <c r="A1212" t="s">
        <v>3732</v>
      </c>
      <c r="B1212" t="s">
        <v>8273</v>
      </c>
      <c r="C1212" t="s">
        <v>8395</v>
      </c>
      <c r="D1212" t="s">
        <v>8400</v>
      </c>
      <c r="E1212" t="s">
        <v>8446</v>
      </c>
      <c r="F1212" t="s">
        <v>8448</v>
      </c>
      <c r="G1212" t="s">
        <v>8519</v>
      </c>
    </row>
    <row r="1213" spans="1:7">
      <c r="A1213" t="s">
        <v>3733</v>
      </c>
      <c r="C1213" t="s">
        <v>8394</v>
      </c>
      <c r="D1213" t="s">
        <v>8424</v>
      </c>
      <c r="E1213" t="s">
        <v>8446</v>
      </c>
      <c r="F1213" t="s">
        <v>8448</v>
      </c>
      <c r="G1213" t="s">
        <v>8665</v>
      </c>
    </row>
    <row r="1214" spans="1:7">
      <c r="A1214" t="s">
        <v>3734</v>
      </c>
      <c r="C1214" t="s">
        <v>8394</v>
      </c>
      <c r="D1214" t="s">
        <v>8402</v>
      </c>
      <c r="E1214" t="s">
        <v>8446</v>
      </c>
      <c r="F1214" t="s">
        <v>8448</v>
      </c>
      <c r="G1214" t="s">
        <v>8666</v>
      </c>
    </row>
    <row r="1215" spans="1:7">
      <c r="A1215" t="s">
        <v>3735</v>
      </c>
      <c r="C1215" t="s">
        <v>8394</v>
      </c>
      <c r="D1215" t="s">
        <v>8414</v>
      </c>
      <c r="E1215" t="s">
        <v>8446</v>
      </c>
      <c r="F1215" t="s">
        <v>8448</v>
      </c>
      <c r="G1215" t="s">
        <v>8667</v>
      </c>
    </row>
    <row r="1216" spans="1:7">
      <c r="A1216" t="s">
        <v>3736</v>
      </c>
      <c r="C1216" t="s">
        <v>8394</v>
      </c>
      <c r="D1216" t="s">
        <v>8416</v>
      </c>
      <c r="E1216" t="s">
        <v>8446</v>
      </c>
      <c r="F1216" t="s">
        <v>8448</v>
      </c>
      <c r="G1216" t="s">
        <v>8668</v>
      </c>
    </row>
    <row r="1217" spans="1:7">
      <c r="A1217" t="s">
        <v>3737</v>
      </c>
      <c r="C1217" t="s">
        <v>8394</v>
      </c>
      <c r="D1217" t="s">
        <v>8402</v>
      </c>
      <c r="E1217" t="s">
        <v>8445</v>
      </c>
      <c r="F1217" t="s">
        <v>8448</v>
      </c>
      <c r="G1217" t="s">
        <v>8669</v>
      </c>
    </row>
    <row r="1218" spans="1:7">
      <c r="A1218" t="s">
        <v>3738</v>
      </c>
      <c r="B1218" t="s">
        <v>8299</v>
      </c>
      <c r="C1218" t="s">
        <v>8397</v>
      </c>
      <c r="D1218" t="s">
        <v>8431</v>
      </c>
      <c r="E1218" t="s">
        <v>8446</v>
      </c>
      <c r="F1218" t="s">
        <v>8448</v>
      </c>
      <c r="G1218" t="s">
        <v>8463</v>
      </c>
    </row>
    <row r="1219" spans="1:7">
      <c r="A1219" t="s">
        <v>3739</v>
      </c>
      <c r="C1219" t="s">
        <v>8394</v>
      </c>
      <c r="D1219" t="s">
        <v>8401</v>
      </c>
      <c r="E1219" t="s">
        <v>8445</v>
      </c>
      <c r="F1219" t="s">
        <v>8450</v>
      </c>
      <c r="G1219" t="s">
        <v>8474</v>
      </c>
    </row>
    <row r="1220" spans="1:7">
      <c r="A1220" t="s">
        <v>3740</v>
      </c>
      <c r="B1220" t="s">
        <v>8273</v>
      </c>
      <c r="C1220" t="s">
        <v>8394</v>
      </c>
      <c r="D1220" t="s">
        <v>8402</v>
      </c>
      <c r="E1220" t="s">
        <v>8445</v>
      </c>
      <c r="F1220" t="s">
        <v>8449</v>
      </c>
      <c r="G1220" t="s">
        <v>796</v>
      </c>
    </row>
    <row r="1221" spans="1:7">
      <c r="A1221" t="s">
        <v>3741</v>
      </c>
      <c r="C1221" t="s">
        <v>8393</v>
      </c>
      <c r="D1221" t="s">
        <v>8393</v>
      </c>
      <c r="E1221" t="s">
        <v>919</v>
      </c>
      <c r="F1221" t="s">
        <v>8393</v>
      </c>
    </row>
    <row r="1222" spans="1:7">
      <c r="A1222" t="s">
        <v>3742</v>
      </c>
      <c r="B1222" t="s">
        <v>8273</v>
      </c>
      <c r="C1222" t="s">
        <v>8396</v>
      </c>
      <c r="D1222" t="s">
        <v>8411</v>
      </c>
      <c r="E1222" t="s">
        <v>8446</v>
      </c>
      <c r="F1222" t="s">
        <v>8449</v>
      </c>
      <c r="G1222" t="s">
        <v>8498</v>
      </c>
    </row>
    <row r="1223" spans="1:7">
      <c r="A1223" t="s">
        <v>3743</v>
      </c>
      <c r="B1223" t="s">
        <v>8273</v>
      </c>
      <c r="C1223" t="s">
        <v>8396</v>
      </c>
      <c r="D1223" t="s">
        <v>8411</v>
      </c>
      <c r="E1223" t="s">
        <v>8446</v>
      </c>
      <c r="F1223" t="s">
        <v>8449</v>
      </c>
      <c r="G1223" t="s">
        <v>8455</v>
      </c>
    </row>
    <row r="1224" spans="1:7">
      <c r="A1224" t="s">
        <v>3744</v>
      </c>
      <c r="B1224" t="s">
        <v>8273</v>
      </c>
      <c r="C1224" t="s">
        <v>8396</v>
      </c>
      <c r="D1224" t="s">
        <v>8411</v>
      </c>
      <c r="E1224" t="s">
        <v>8446</v>
      </c>
      <c r="F1224" t="s">
        <v>8449</v>
      </c>
      <c r="G1224" t="s">
        <v>8455</v>
      </c>
    </row>
    <row r="1225" spans="1:7">
      <c r="A1225" t="s">
        <v>3745</v>
      </c>
      <c r="B1225" t="s">
        <v>8273</v>
      </c>
      <c r="C1225" t="s">
        <v>8396</v>
      </c>
      <c r="D1225" t="s">
        <v>8405</v>
      </c>
      <c r="E1225" t="s">
        <v>8446</v>
      </c>
      <c r="F1225" t="s">
        <v>8449</v>
      </c>
      <c r="G1225" t="s">
        <v>8455</v>
      </c>
    </row>
    <row r="1226" spans="1:7">
      <c r="A1226" t="s">
        <v>3746</v>
      </c>
      <c r="C1226" t="s">
        <v>8392</v>
      </c>
      <c r="D1226" t="s">
        <v>8415</v>
      </c>
      <c r="E1226" t="s">
        <v>8445</v>
      </c>
      <c r="F1226" t="s">
        <v>8448</v>
      </c>
      <c r="G1226" t="s">
        <v>8670</v>
      </c>
    </row>
    <row r="1227" spans="1:7">
      <c r="A1227" t="s">
        <v>3747</v>
      </c>
      <c r="B1227" t="s">
        <v>8273</v>
      </c>
      <c r="C1227" t="s">
        <v>8398</v>
      </c>
      <c r="D1227" t="s">
        <v>8410</v>
      </c>
      <c r="E1227" t="s">
        <v>1519</v>
      </c>
      <c r="F1227" t="s">
        <v>8448</v>
      </c>
      <c r="G1227" t="s">
        <v>8455</v>
      </c>
    </row>
    <row r="1228" spans="1:7">
      <c r="A1228" t="s">
        <v>3748</v>
      </c>
      <c r="B1228" t="s">
        <v>8273</v>
      </c>
      <c r="C1228" t="s">
        <v>8394</v>
      </c>
      <c r="D1228" t="s">
        <v>8424</v>
      </c>
      <c r="E1228" t="s">
        <v>8444</v>
      </c>
      <c r="F1228" t="s">
        <v>8449</v>
      </c>
      <c r="G1228" t="s">
        <v>8455</v>
      </c>
    </row>
    <row r="1229" spans="1:7">
      <c r="A1229" t="s">
        <v>3749</v>
      </c>
      <c r="B1229" t="s">
        <v>8273</v>
      </c>
      <c r="C1229" t="s">
        <v>8398</v>
      </c>
      <c r="D1229" t="s">
        <v>8419</v>
      </c>
      <c r="E1229" t="s">
        <v>8445</v>
      </c>
      <c r="F1229" t="s">
        <v>8447</v>
      </c>
      <c r="G1229" t="s">
        <v>8671</v>
      </c>
    </row>
    <row r="1230" spans="1:7">
      <c r="A1230" t="s">
        <v>3750</v>
      </c>
      <c r="B1230" t="s">
        <v>8273</v>
      </c>
      <c r="C1230" t="s">
        <v>8398</v>
      </c>
      <c r="D1230" t="s">
        <v>8419</v>
      </c>
      <c r="E1230" t="s">
        <v>8444</v>
      </c>
      <c r="F1230" t="s">
        <v>8449</v>
      </c>
      <c r="G1230" t="s">
        <v>8455</v>
      </c>
    </row>
    <row r="1231" spans="1:7">
      <c r="A1231" t="s">
        <v>3751</v>
      </c>
      <c r="B1231" t="s">
        <v>8273</v>
      </c>
      <c r="C1231" t="s">
        <v>8397</v>
      </c>
      <c r="D1231" t="s">
        <v>8421</v>
      </c>
      <c r="E1231" t="s">
        <v>8446</v>
      </c>
      <c r="F1231" t="s">
        <v>8448</v>
      </c>
      <c r="G1231" t="s">
        <v>8672</v>
      </c>
    </row>
    <row r="1232" spans="1:7">
      <c r="A1232" t="s">
        <v>3752</v>
      </c>
      <c r="B1232" t="s">
        <v>8273</v>
      </c>
      <c r="C1232" t="s">
        <v>8395</v>
      </c>
      <c r="D1232" t="s">
        <v>8402</v>
      </c>
      <c r="E1232" t="s">
        <v>8446</v>
      </c>
      <c r="F1232" t="s">
        <v>8449</v>
      </c>
      <c r="G1232" t="s">
        <v>8455</v>
      </c>
    </row>
    <row r="1233" spans="1:7">
      <c r="A1233" t="s">
        <v>3753</v>
      </c>
      <c r="B1233" t="s">
        <v>8273</v>
      </c>
      <c r="C1233" t="s">
        <v>8395</v>
      </c>
      <c r="D1233" t="s">
        <v>8400</v>
      </c>
      <c r="E1233" t="s">
        <v>1519</v>
      </c>
      <c r="F1233" t="s">
        <v>8449</v>
      </c>
      <c r="G1233" t="s">
        <v>8455</v>
      </c>
    </row>
    <row r="1234" spans="1:7">
      <c r="A1234" t="s">
        <v>3754</v>
      </c>
      <c r="B1234" t="s">
        <v>8273</v>
      </c>
      <c r="C1234" t="s">
        <v>8395</v>
      </c>
      <c r="D1234" t="s">
        <v>8402</v>
      </c>
      <c r="E1234" t="s">
        <v>8444</v>
      </c>
      <c r="F1234" t="s">
        <v>8449</v>
      </c>
      <c r="G1234" t="s">
        <v>796</v>
      </c>
    </row>
    <row r="1235" spans="1:7">
      <c r="A1235" t="s">
        <v>3755</v>
      </c>
      <c r="C1235" t="s">
        <v>8393</v>
      </c>
      <c r="D1235" t="s">
        <v>8393</v>
      </c>
      <c r="E1235" t="s">
        <v>919</v>
      </c>
      <c r="F1235" t="s">
        <v>8393</v>
      </c>
    </row>
    <row r="1236" spans="1:7">
      <c r="A1236" t="s">
        <v>3756</v>
      </c>
      <c r="B1236" t="s">
        <v>8273</v>
      </c>
      <c r="C1236" t="s">
        <v>8394</v>
      </c>
      <c r="D1236" t="s">
        <v>8414</v>
      </c>
      <c r="E1236" t="s">
        <v>8446</v>
      </c>
      <c r="F1236" t="s">
        <v>8449</v>
      </c>
      <c r="G1236" t="s">
        <v>8455</v>
      </c>
    </row>
    <row r="1237" spans="1:7">
      <c r="A1237" t="s">
        <v>3757</v>
      </c>
      <c r="B1237" t="s">
        <v>8277</v>
      </c>
      <c r="C1237" t="s">
        <v>8394</v>
      </c>
      <c r="D1237" t="s">
        <v>8414</v>
      </c>
      <c r="E1237" t="s">
        <v>8446</v>
      </c>
      <c r="F1237" t="s">
        <v>8449</v>
      </c>
      <c r="G1237" t="s">
        <v>8455</v>
      </c>
    </row>
    <row r="1238" spans="1:7">
      <c r="A1238" t="s">
        <v>3758</v>
      </c>
      <c r="B1238" t="s">
        <v>8273</v>
      </c>
      <c r="C1238" t="s">
        <v>8395</v>
      </c>
      <c r="D1238" t="s">
        <v>8416</v>
      </c>
      <c r="E1238" t="s">
        <v>8446</v>
      </c>
      <c r="F1238" t="s">
        <v>8449</v>
      </c>
      <c r="G1238" t="s">
        <v>8455</v>
      </c>
    </row>
    <row r="1239" spans="1:7">
      <c r="A1239" t="s">
        <v>3759</v>
      </c>
      <c r="C1239" t="s">
        <v>8393</v>
      </c>
      <c r="D1239" t="s">
        <v>8393</v>
      </c>
      <c r="E1239" t="s">
        <v>919</v>
      </c>
      <c r="F1239" t="s">
        <v>8393</v>
      </c>
    </row>
    <row r="1240" spans="1:7">
      <c r="A1240" t="s">
        <v>3760</v>
      </c>
      <c r="B1240" t="s">
        <v>8274</v>
      </c>
      <c r="C1240" t="s">
        <v>8396</v>
      </c>
      <c r="D1240" t="s">
        <v>8406</v>
      </c>
      <c r="E1240" t="s">
        <v>8444</v>
      </c>
      <c r="F1240" t="s">
        <v>8449</v>
      </c>
      <c r="G1240" t="s">
        <v>8455</v>
      </c>
    </row>
    <row r="1241" spans="1:7">
      <c r="A1241" t="s">
        <v>3761</v>
      </c>
      <c r="B1241" t="s">
        <v>8274</v>
      </c>
      <c r="C1241" t="s">
        <v>8396</v>
      </c>
      <c r="D1241" t="s">
        <v>8406</v>
      </c>
      <c r="E1241" t="s">
        <v>8444</v>
      </c>
      <c r="F1241" t="s">
        <v>8449</v>
      </c>
      <c r="G1241" t="s">
        <v>8455</v>
      </c>
    </row>
    <row r="1242" spans="1:7">
      <c r="A1242" t="s">
        <v>3762</v>
      </c>
      <c r="B1242" t="s">
        <v>8273</v>
      </c>
      <c r="C1242" t="s">
        <v>8395</v>
      </c>
      <c r="D1242" t="s">
        <v>8400</v>
      </c>
      <c r="E1242" t="s">
        <v>1519</v>
      </c>
      <c r="F1242" t="s">
        <v>8449</v>
      </c>
      <c r="G1242" t="s">
        <v>8455</v>
      </c>
    </row>
    <row r="1243" spans="1:7">
      <c r="A1243" t="s">
        <v>3763</v>
      </c>
      <c r="B1243" t="s">
        <v>8273</v>
      </c>
      <c r="C1243" t="s">
        <v>8395</v>
      </c>
      <c r="D1243" t="s">
        <v>8404</v>
      </c>
      <c r="E1243" t="s">
        <v>1519</v>
      </c>
      <c r="F1243" t="s">
        <v>8449</v>
      </c>
      <c r="G1243" t="s">
        <v>8673</v>
      </c>
    </row>
    <row r="1244" spans="1:7">
      <c r="A1244" t="s">
        <v>3764</v>
      </c>
      <c r="B1244" t="s">
        <v>8273</v>
      </c>
      <c r="C1244" t="s">
        <v>8396</v>
      </c>
      <c r="D1244" t="s">
        <v>8425</v>
      </c>
      <c r="E1244" t="s">
        <v>8446</v>
      </c>
      <c r="F1244" t="s">
        <v>8448</v>
      </c>
      <c r="G1244" t="s">
        <v>8674</v>
      </c>
    </row>
    <row r="1245" spans="1:7">
      <c r="A1245" t="s">
        <v>3765</v>
      </c>
      <c r="B1245" t="s">
        <v>8273</v>
      </c>
      <c r="C1245" t="s">
        <v>8396</v>
      </c>
      <c r="D1245" t="s">
        <v>8425</v>
      </c>
      <c r="E1245" t="s">
        <v>1519</v>
      </c>
      <c r="F1245" t="s">
        <v>8448</v>
      </c>
      <c r="G1245" t="s">
        <v>8453</v>
      </c>
    </row>
    <row r="1246" spans="1:7">
      <c r="A1246" t="s">
        <v>3766</v>
      </c>
      <c r="C1246" t="s">
        <v>8398</v>
      </c>
      <c r="D1246" t="s">
        <v>8419</v>
      </c>
      <c r="E1246" t="s">
        <v>8444</v>
      </c>
      <c r="F1246" t="s">
        <v>8449</v>
      </c>
      <c r="G1246" t="s">
        <v>795</v>
      </c>
    </row>
    <row r="1247" spans="1:7">
      <c r="A1247" t="s">
        <v>3767</v>
      </c>
      <c r="C1247" t="s">
        <v>8394</v>
      </c>
      <c r="D1247" t="s">
        <v>8402</v>
      </c>
      <c r="E1247" t="s">
        <v>8445</v>
      </c>
      <c r="F1247" t="s">
        <v>8448</v>
      </c>
      <c r="G1247" t="s">
        <v>8675</v>
      </c>
    </row>
    <row r="1248" spans="1:7">
      <c r="A1248" t="s">
        <v>3768</v>
      </c>
      <c r="B1248" t="s">
        <v>8273</v>
      </c>
      <c r="C1248" t="s">
        <v>8394</v>
      </c>
      <c r="D1248" t="s">
        <v>8414</v>
      </c>
      <c r="E1248" t="s">
        <v>8445</v>
      </c>
      <c r="F1248" t="s">
        <v>8448</v>
      </c>
      <c r="G1248" t="s">
        <v>8463</v>
      </c>
    </row>
    <row r="1249" spans="1:7">
      <c r="A1249" t="s">
        <v>3769</v>
      </c>
      <c r="C1249" t="s">
        <v>8394</v>
      </c>
      <c r="D1249" t="s">
        <v>8424</v>
      </c>
      <c r="E1249" t="s">
        <v>8445</v>
      </c>
      <c r="F1249" t="s">
        <v>8448</v>
      </c>
      <c r="G1249" t="s">
        <v>8676</v>
      </c>
    </row>
    <row r="1250" spans="1:7">
      <c r="A1250" t="s">
        <v>3770</v>
      </c>
      <c r="B1250" t="s">
        <v>8273</v>
      </c>
      <c r="C1250" t="s">
        <v>8398</v>
      </c>
      <c r="D1250" t="s">
        <v>8409</v>
      </c>
      <c r="E1250" t="s">
        <v>8445</v>
      </c>
      <c r="F1250" t="s">
        <v>8448</v>
      </c>
      <c r="G1250" t="s">
        <v>8677</v>
      </c>
    </row>
    <row r="1251" spans="1:7">
      <c r="A1251" t="s">
        <v>3771</v>
      </c>
      <c r="C1251" t="s">
        <v>8392</v>
      </c>
      <c r="D1251" t="s">
        <v>8415</v>
      </c>
      <c r="E1251" t="s">
        <v>8444</v>
      </c>
      <c r="F1251" t="s">
        <v>8448</v>
      </c>
      <c r="G1251" t="s">
        <v>8678</v>
      </c>
    </row>
    <row r="1252" spans="1:7">
      <c r="A1252" t="s">
        <v>3772</v>
      </c>
      <c r="C1252" t="s">
        <v>8397</v>
      </c>
      <c r="D1252" t="s">
        <v>8408</v>
      </c>
      <c r="E1252" t="s">
        <v>8445</v>
      </c>
      <c r="F1252" t="s">
        <v>8450</v>
      </c>
    </row>
    <row r="1253" spans="1:7">
      <c r="A1253" t="s">
        <v>3773</v>
      </c>
      <c r="C1253" t="s">
        <v>8393</v>
      </c>
      <c r="D1253" t="s">
        <v>8393</v>
      </c>
      <c r="E1253" t="s">
        <v>919</v>
      </c>
      <c r="F1253" t="s">
        <v>8393</v>
      </c>
    </row>
    <row r="1254" spans="1:7">
      <c r="A1254" t="s">
        <v>3774</v>
      </c>
      <c r="B1254" t="s">
        <v>8273</v>
      </c>
      <c r="C1254" t="s">
        <v>8396</v>
      </c>
      <c r="D1254" t="s">
        <v>8405</v>
      </c>
      <c r="E1254" t="s">
        <v>8446</v>
      </c>
      <c r="F1254" t="s">
        <v>8449</v>
      </c>
      <c r="G1254" t="s">
        <v>8509</v>
      </c>
    </row>
    <row r="1255" spans="1:7">
      <c r="A1255" t="s">
        <v>3775</v>
      </c>
      <c r="B1255" t="s">
        <v>8274</v>
      </c>
      <c r="C1255" t="s">
        <v>8396</v>
      </c>
      <c r="D1255" t="s">
        <v>8406</v>
      </c>
      <c r="E1255" t="s">
        <v>8446</v>
      </c>
      <c r="F1255" t="s">
        <v>8449</v>
      </c>
      <c r="G1255" t="s">
        <v>8455</v>
      </c>
    </row>
    <row r="1256" spans="1:7">
      <c r="A1256" t="s">
        <v>3776</v>
      </c>
      <c r="C1256" t="s">
        <v>8394</v>
      </c>
      <c r="D1256" t="s">
        <v>8403</v>
      </c>
      <c r="E1256" t="s">
        <v>8445</v>
      </c>
      <c r="F1256" t="s">
        <v>8450</v>
      </c>
      <c r="G1256" t="s">
        <v>8679</v>
      </c>
    </row>
    <row r="1257" spans="1:7">
      <c r="A1257" t="s">
        <v>3777</v>
      </c>
      <c r="C1257" t="s">
        <v>8397</v>
      </c>
      <c r="D1257" t="s">
        <v>8408</v>
      </c>
      <c r="E1257" t="s">
        <v>8445</v>
      </c>
      <c r="F1257" t="s">
        <v>8450</v>
      </c>
    </row>
    <row r="1258" spans="1:7">
      <c r="A1258" t="s">
        <v>3778</v>
      </c>
      <c r="C1258" t="s">
        <v>8397</v>
      </c>
      <c r="D1258" t="s">
        <v>8408</v>
      </c>
      <c r="E1258" t="s">
        <v>8445</v>
      </c>
      <c r="F1258" t="s">
        <v>8450</v>
      </c>
    </row>
    <row r="1259" spans="1:7">
      <c r="A1259" t="s">
        <v>3779</v>
      </c>
      <c r="C1259" t="s">
        <v>8397</v>
      </c>
      <c r="D1259" t="s">
        <v>8408</v>
      </c>
      <c r="E1259" t="s">
        <v>8445</v>
      </c>
      <c r="F1259" t="s">
        <v>8450</v>
      </c>
    </row>
    <row r="1260" spans="1:7">
      <c r="A1260" t="s">
        <v>3780</v>
      </c>
      <c r="B1260" t="s">
        <v>8273</v>
      </c>
      <c r="C1260" t="s">
        <v>8392</v>
      </c>
      <c r="D1260" t="s">
        <v>8415</v>
      </c>
      <c r="E1260" t="s">
        <v>8444</v>
      </c>
      <c r="F1260" t="s">
        <v>8448</v>
      </c>
      <c r="G1260" t="s">
        <v>8455</v>
      </c>
    </row>
    <row r="1261" spans="1:7">
      <c r="A1261" t="s">
        <v>3781</v>
      </c>
      <c r="C1261" t="s">
        <v>8393</v>
      </c>
      <c r="D1261" t="s">
        <v>8393</v>
      </c>
      <c r="E1261" t="s">
        <v>919</v>
      </c>
      <c r="F1261" t="s">
        <v>8393</v>
      </c>
    </row>
    <row r="1262" spans="1:7">
      <c r="A1262" t="s">
        <v>3782</v>
      </c>
      <c r="B1262" t="s">
        <v>8278</v>
      </c>
      <c r="C1262" t="s">
        <v>8395</v>
      </c>
      <c r="D1262" t="s">
        <v>8423</v>
      </c>
      <c r="E1262" t="s">
        <v>1519</v>
      </c>
      <c r="F1262" t="s">
        <v>8449</v>
      </c>
      <c r="G1262" t="s">
        <v>8455</v>
      </c>
    </row>
    <row r="1263" spans="1:7">
      <c r="A1263" t="s">
        <v>3783</v>
      </c>
      <c r="B1263" t="s">
        <v>8278</v>
      </c>
      <c r="C1263" t="s">
        <v>8394</v>
      </c>
      <c r="D1263" t="s">
        <v>8423</v>
      </c>
      <c r="E1263" t="s">
        <v>1519</v>
      </c>
      <c r="F1263" t="s">
        <v>8449</v>
      </c>
      <c r="G1263" t="s">
        <v>8455</v>
      </c>
    </row>
    <row r="1264" spans="1:7">
      <c r="A1264" t="s">
        <v>3784</v>
      </c>
      <c r="B1264" t="s">
        <v>8284</v>
      </c>
      <c r="C1264" t="s">
        <v>8394</v>
      </c>
      <c r="D1264" t="s">
        <v>8423</v>
      </c>
      <c r="E1264" t="s">
        <v>1519</v>
      </c>
      <c r="F1264" t="s">
        <v>8449</v>
      </c>
      <c r="G1264" t="s">
        <v>8455</v>
      </c>
    </row>
    <row r="1265" spans="1:7">
      <c r="A1265" t="s">
        <v>3785</v>
      </c>
      <c r="B1265" t="s">
        <v>8279</v>
      </c>
      <c r="C1265" t="s">
        <v>8394</v>
      </c>
      <c r="D1265" t="s">
        <v>8423</v>
      </c>
      <c r="E1265" t="s">
        <v>1519</v>
      </c>
      <c r="F1265" t="s">
        <v>8449</v>
      </c>
      <c r="G1265" t="s">
        <v>8455</v>
      </c>
    </row>
    <row r="1266" spans="1:7">
      <c r="A1266" t="s">
        <v>3786</v>
      </c>
      <c r="B1266" t="s">
        <v>8311</v>
      </c>
      <c r="C1266" t="s">
        <v>8394</v>
      </c>
      <c r="D1266" t="s">
        <v>8423</v>
      </c>
      <c r="E1266" t="s">
        <v>1519</v>
      </c>
      <c r="F1266" t="s">
        <v>8449</v>
      </c>
      <c r="G1266" t="s">
        <v>8455</v>
      </c>
    </row>
    <row r="1267" spans="1:7">
      <c r="A1267" t="s">
        <v>3787</v>
      </c>
      <c r="B1267" t="s">
        <v>8281</v>
      </c>
      <c r="C1267" t="s">
        <v>8394</v>
      </c>
      <c r="D1267" t="s">
        <v>8423</v>
      </c>
      <c r="E1267" t="s">
        <v>1519</v>
      </c>
      <c r="F1267" t="s">
        <v>8449</v>
      </c>
      <c r="G1267" t="s">
        <v>8455</v>
      </c>
    </row>
    <row r="1268" spans="1:7">
      <c r="A1268" t="s">
        <v>3788</v>
      </c>
      <c r="B1268" t="s">
        <v>8278</v>
      </c>
      <c r="C1268" t="s">
        <v>8395</v>
      </c>
      <c r="D1268" t="s">
        <v>8423</v>
      </c>
      <c r="E1268" t="s">
        <v>1519</v>
      </c>
      <c r="F1268" t="s">
        <v>8449</v>
      </c>
      <c r="G1268" t="s">
        <v>8455</v>
      </c>
    </row>
    <row r="1269" spans="1:7">
      <c r="A1269" t="s">
        <v>3789</v>
      </c>
      <c r="B1269" t="s">
        <v>8273</v>
      </c>
      <c r="C1269" t="s">
        <v>8397</v>
      </c>
      <c r="D1269" t="s">
        <v>8421</v>
      </c>
      <c r="E1269" t="s">
        <v>1519</v>
      </c>
      <c r="F1269" t="s">
        <v>8448</v>
      </c>
      <c r="G1269" t="s">
        <v>8680</v>
      </c>
    </row>
    <row r="1270" spans="1:7">
      <c r="A1270" t="s">
        <v>3790</v>
      </c>
      <c r="C1270" t="s">
        <v>8392</v>
      </c>
      <c r="D1270" t="s">
        <v>8415</v>
      </c>
      <c r="E1270" t="s">
        <v>1587</v>
      </c>
      <c r="F1270" t="s">
        <v>8449</v>
      </c>
      <c r="G1270" t="s">
        <v>796</v>
      </c>
    </row>
    <row r="1271" spans="1:7">
      <c r="A1271" t="s">
        <v>3791</v>
      </c>
      <c r="B1271" t="s">
        <v>8278</v>
      </c>
      <c r="C1271" t="s">
        <v>8394</v>
      </c>
      <c r="D1271" t="s">
        <v>8423</v>
      </c>
      <c r="E1271" t="s">
        <v>1519</v>
      </c>
      <c r="F1271" t="s">
        <v>8448</v>
      </c>
      <c r="G1271" t="s">
        <v>8455</v>
      </c>
    </row>
    <row r="1272" spans="1:7">
      <c r="A1272" t="s">
        <v>3792</v>
      </c>
      <c r="B1272" t="s">
        <v>8278</v>
      </c>
      <c r="C1272" t="s">
        <v>8394</v>
      </c>
      <c r="D1272" t="s">
        <v>8423</v>
      </c>
      <c r="E1272" t="s">
        <v>1519</v>
      </c>
      <c r="F1272" t="s">
        <v>8449</v>
      </c>
      <c r="G1272" t="s">
        <v>8455</v>
      </c>
    </row>
    <row r="1273" spans="1:7">
      <c r="A1273" t="s">
        <v>3793</v>
      </c>
      <c r="B1273" t="s">
        <v>8278</v>
      </c>
      <c r="C1273" t="s">
        <v>8394</v>
      </c>
      <c r="D1273" t="s">
        <v>8423</v>
      </c>
      <c r="E1273" t="s">
        <v>1519</v>
      </c>
      <c r="F1273" t="s">
        <v>8449</v>
      </c>
      <c r="G1273" t="s">
        <v>8455</v>
      </c>
    </row>
    <row r="1274" spans="1:7">
      <c r="A1274" t="s">
        <v>3794</v>
      </c>
      <c r="B1274" t="s">
        <v>8273</v>
      </c>
      <c r="C1274" t="s">
        <v>8398</v>
      </c>
      <c r="D1274" t="s">
        <v>8410</v>
      </c>
      <c r="E1274" t="s">
        <v>8446</v>
      </c>
      <c r="F1274" t="s">
        <v>8449</v>
      </c>
      <c r="G1274" t="s">
        <v>8455</v>
      </c>
    </row>
    <row r="1275" spans="1:7">
      <c r="A1275" t="s">
        <v>3795</v>
      </c>
      <c r="B1275" t="s">
        <v>8273</v>
      </c>
      <c r="C1275" t="s">
        <v>8397</v>
      </c>
      <c r="D1275" t="s">
        <v>8421</v>
      </c>
      <c r="E1275" t="s">
        <v>8444</v>
      </c>
      <c r="F1275" t="s">
        <v>8448</v>
      </c>
      <c r="G1275" t="s">
        <v>8681</v>
      </c>
    </row>
    <row r="1276" spans="1:7">
      <c r="A1276" t="s">
        <v>3796</v>
      </c>
      <c r="B1276" t="s">
        <v>8273</v>
      </c>
      <c r="C1276" t="s">
        <v>8394</v>
      </c>
      <c r="D1276" t="s">
        <v>8407</v>
      </c>
      <c r="E1276" t="s">
        <v>8446</v>
      </c>
      <c r="F1276" t="s">
        <v>8448</v>
      </c>
      <c r="G1276" t="s">
        <v>8682</v>
      </c>
    </row>
    <row r="1277" spans="1:7">
      <c r="A1277" t="s">
        <v>3797</v>
      </c>
      <c r="B1277" t="s">
        <v>8273</v>
      </c>
      <c r="C1277" t="s">
        <v>8394</v>
      </c>
      <c r="D1277" t="s">
        <v>8402</v>
      </c>
      <c r="E1277" t="s">
        <v>8445</v>
      </c>
      <c r="F1277" t="s">
        <v>8448</v>
      </c>
      <c r="G1277" t="s">
        <v>8455</v>
      </c>
    </row>
    <row r="1278" spans="1:7">
      <c r="A1278" t="s">
        <v>3798</v>
      </c>
      <c r="C1278" t="s">
        <v>8394</v>
      </c>
      <c r="D1278" t="s">
        <v>8401</v>
      </c>
      <c r="E1278" t="s">
        <v>8445</v>
      </c>
      <c r="F1278" t="s">
        <v>8448</v>
      </c>
      <c r="G1278" t="s">
        <v>8683</v>
      </c>
    </row>
    <row r="1279" spans="1:7">
      <c r="A1279" t="s">
        <v>3799</v>
      </c>
      <c r="C1279" t="s">
        <v>8394</v>
      </c>
      <c r="D1279" t="s">
        <v>8401</v>
      </c>
      <c r="E1279" t="s">
        <v>8445</v>
      </c>
      <c r="F1279" t="s">
        <v>8448</v>
      </c>
      <c r="G1279" t="s">
        <v>8684</v>
      </c>
    </row>
    <row r="1280" spans="1:7">
      <c r="A1280" t="s">
        <v>3800</v>
      </c>
      <c r="C1280" t="s">
        <v>8394</v>
      </c>
      <c r="D1280" t="s">
        <v>8401</v>
      </c>
      <c r="E1280" t="s">
        <v>8445</v>
      </c>
      <c r="F1280" t="s">
        <v>8448</v>
      </c>
      <c r="G1280" t="s">
        <v>8685</v>
      </c>
    </row>
    <row r="1281" spans="1:7">
      <c r="A1281" t="s">
        <v>3801</v>
      </c>
      <c r="B1281" t="s">
        <v>8273</v>
      </c>
      <c r="C1281" t="s">
        <v>8392</v>
      </c>
      <c r="D1281" t="s">
        <v>8400</v>
      </c>
      <c r="E1281" t="s">
        <v>8446</v>
      </c>
      <c r="F1281" t="s">
        <v>8448</v>
      </c>
      <c r="G1281" t="s">
        <v>8453</v>
      </c>
    </row>
    <row r="1282" spans="1:7">
      <c r="A1282" t="s">
        <v>3802</v>
      </c>
      <c r="B1282" t="s">
        <v>8273</v>
      </c>
      <c r="C1282" t="s">
        <v>8395</v>
      </c>
      <c r="D1282" t="s">
        <v>8400</v>
      </c>
      <c r="E1282" t="s">
        <v>1587</v>
      </c>
      <c r="F1282" t="s">
        <v>8449</v>
      </c>
      <c r="G1282" t="s">
        <v>8455</v>
      </c>
    </row>
    <row r="1283" spans="1:7">
      <c r="A1283" t="s">
        <v>3803</v>
      </c>
      <c r="B1283" t="s">
        <v>8273</v>
      </c>
      <c r="C1283" t="s">
        <v>8392</v>
      </c>
      <c r="D1283" t="s">
        <v>8415</v>
      </c>
      <c r="E1283" t="s">
        <v>8445</v>
      </c>
      <c r="F1283" t="s">
        <v>8448</v>
      </c>
      <c r="G1283" t="s">
        <v>8455</v>
      </c>
    </row>
    <row r="1284" spans="1:7">
      <c r="A1284" t="s">
        <v>3804</v>
      </c>
      <c r="B1284" t="s">
        <v>8273</v>
      </c>
      <c r="C1284" t="s">
        <v>8395</v>
      </c>
      <c r="D1284" t="s">
        <v>8421</v>
      </c>
      <c r="E1284" t="s">
        <v>1587</v>
      </c>
      <c r="F1284" t="s">
        <v>8448</v>
      </c>
      <c r="G1284" t="s">
        <v>8686</v>
      </c>
    </row>
    <row r="1285" spans="1:7">
      <c r="A1285" t="s">
        <v>3805</v>
      </c>
      <c r="B1285" t="s">
        <v>8273</v>
      </c>
      <c r="C1285" t="s">
        <v>8395</v>
      </c>
      <c r="D1285" t="s">
        <v>8421</v>
      </c>
      <c r="E1285" t="s">
        <v>1519</v>
      </c>
      <c r="F1285" t="s">
        <v>8449</v>
      </c>
      <c r="G1285" t="s">
        <v>8455</v>
      </c>
    </row>
    <row r="1286" spans="1:7">
      <c r="A1286" t="s">
        <v>3806</v>
      </c>
      <c r="B1286" t="s">
        <v>8273</v>
      </c>
      <c r="C1286" t="s">
        <v>8394</v>
      </c>
      <c r="D1286" t="s">
        <v>8402</v>
      </c>
      <c r="E1286" t="s">
        <v>8445</v>
      </c>
      <c r="F1286" t="s">
        <v>8448</v>
      </c>
      <c r="G1286" t="s">
        <v>8453</v>
      </c>
    </row>
    <row r="1287" spans="1:7">
      <c r="A1287" t="s">
        <v>3807</v>
      </c>
      <c r="C1287" t="s">
        <v>8397</v>
      </c>
      <c r="D1287" t="s">
        <v>8421</v>
      </c>
      <c r="E1287" t="s">
        <v>8446</v>
      </c>
      <c r="F1287" t="s">
        <v>8449</v>
      </c>
      <c r="G1287" t="s">
        <v>8687</v>
      </c>
    </row>
    <row r="1288" spans="1:7">
      <c r="A1288" t="s">
        <v>3808</v>
      </c>
      <c r="C1288" t="s">
        <v>8394</v>
      </c>
      <c r="D1288" t="s">
        <v>8401</v>
      </c>
      <c r="E1288" t="s">
        <v>8445</v>
      </c>
      <c r="F1288" t="s">
        <v>8448</v>
      </c>
      <c r="G1288" t="s">
        <v>8453</v>
      </c>
    </row>
    <row r="1289" spans="1:7">
      <c r="A1289" t="s">
        <v>3809</v>
      </c>
      <c r="C1289" t="s">
        <v>8393</v>
      </c>
      <c r="D1289" t="s">
        <v>8393</v>
      </c>
      <c r="E1289" t="s">
        <v>919</v>
      </c>
      <c r="F1289" t="s">
        <v>8393</v>
      </c>
    </row>
    <row r="1290" spans="1:7">
      <c r="A1290" t="s">
        <v>3810</v>
      </c>
      <c r="C1290" t="s">
        <v>8394</v>
      </c>
      <c r="D1290" t="s">
        <v>8401</v>
      </c>
      <c r="E1290" t="s">
        <v>8445</v>
      </c>
      <c r="F1290" t="s">
        <v>8448</v>
      </c>
      <c r="G1290" t="s">
        <v>8453</v>
      </c>
    </row>
    <row r="1291" spans="1:7">
      <c r="A1291" t="s">
        <v>3811</v>
      </c>
      <c r="C1291" t="s">
        <v>8394</v>
      </c>
      <c r="D1291" t="s">
        <v>8401</v>
      </c>
      <c r="E1291" t="s">
        <v>8445</v>
      </c>
      <c r="F1291" t="s">
        <v>8448</v>
      </c>
      <c r="G1291" t="s">
        <v>8453</v>
      </c>
    </row>
    <row r="1292" spans="1:7">
      <c r="A1292" t="s">
        <v>3812</v>
      </c>
      <c r="C1292" t="s">
        <v>8394</v>
      </c>
      <c r="D1292" t="s">
        <v>8401</v>
      </c>
      <c r="E1292" t="s">
        <v>8445</v>
      </c>
      <c r="F1292" t="s">
        <v>8448</v>
      </c>
      <c r="G1292" t="s">
        <v>8453</v>
      </c>
    </row>
    <row r="1293" spans="1:7">
      <c r="A1293" t="s">
        <v>3813</v>
      </c>
      <c r="C1293" t="s">
        <v>8394</v>
      </c>
      <c r="D1293" t="s">
        <v>8401</v>
      </c>
      <c r="E1293" t="s">
        <v>8445</v>
      </c>
      <c r="F1293" t="s">
        <v>8448</v>
      </c>
      <c r="G1293" t="s">
        <v>8453</v>
      </c>
    </row>
    <row r="1294" spans="1:7">
      <c r="A1294" t="s">
        <v>3814</v>
      </c>
      <c r="C1294" t="s">
        <v>8394</v>
      </c>
      <c r="D1294" t="s">
        <v>8401</v>
      </c>
      <c r="E1294" t="s">
        <v>8445</v>
      </c>
      <c r="F1294" t="s">
        <v>8448</v>
      </c>
      <c r="G1294" t="s">
        <v>8453</v>
      </c>
    </row>
    <row r="1295" spans="1:7">
      <c r="A1295" t="s">
        <v>3815</v>
      </c>
      <c r="C1295" t="s">
        <v>8394</v>
      </c>
      <c r="D1295" t="s">
        <v>8401</v>
      </c>
      <c r="E1295" t="s">
        <v>8445</v>
      </c>
      <c r="F1295" t="s">
        <v>8448</v>
      </c>
      <c r="G1295" t="s">
        <v>8453</v>
      </c>
    </row>
    <row r="1296" spans="1:7">
      <c r="A1296" t="s">
        <v>3816</v>
      </c>
      <c r="C1296" t="s">
        <v>8394</v>
      </c>
      <c r="D1296" t="s">
        <v>8401</v>
      </c>
      <c r="E1296" t="s">
        <v>8445</v>
      </c>
      <c r="F1296" t="s">
        <v>8448</v>
      </c>
      <c r="G1296" t="s">
        <v>8453</v>
      </c>
    </row>
    <row r="1297" spans="1:7">
      <c r="A1297" t="s">
        <v>3817</v>
      </c>
      <c r="C1297" t="s">
        <v>8394</v>
      </c>
      <c r="D1297" t="s">
        <v>8401</v>
      </c>
      <c r="E1297" t="s">
        <v>8445</v>
      </c>
      <c r="F1297" t="s">
        <v>8448</v>
      </c>
      <c r="G1297" t="s">
        <v>8453</v>
      </c>
    </row>
    <row r="1298" spans="1:7">
      <c r="A1298" t="s">
        <v>3818</v>
      </c>
      <c r="C1298" t="s">
        <v>8394</v>
      </c>
      <c r="D1298" t="s">
        <v>8401</v>
      </c>
      <c r="E1298" t="s">
        <v>8445</v>
      </c>
      <c r="F1298" t="s">
        <v>8448</v>
      </c>
      <c r="G1298" t="s">
        <v>8453</v>
      </c>
    </row>
    <row r="1299" spans="1:7">
      <c r="A1299" t="s">
        <v>3819</v>
      </c>
      <c r="C1299" t="s">
        <v>8394</v>
      </c>
      <c r="D1299" t="s">
        <v>8401</v>
      </c>
      <c r="E1299" t="s">
        <v>8445</v>
      </c>
      <c r="F1299" t="s">
        <v>8448</v>
      </c>
      <c r="G1299" t="s">
        <v>8453</v>
      </c>
    </row>
    <row r="1300" spans="1:7">
      <c r="A1300" t="s">
        <v>3820</v>
      </c>
      <c r="C1300" t="s">
        <v>8394</v>
      </c>
      <c r="D1300" t="s">
        <v>8401</v>
      </c>
      <c r="E1300" t="s">
        <v>8445</v>
      </c>
      <c r="F1300" t="s">
        <v>8448</v>
      </c>
      <c r="G1300" t="s">
        <v>8453</v>
      </c>
    </row>
    <row r="1301" spans="1:7">
      <c r="A1301" t="s">
        <v>3821</v>
      </c>
      <c r="C1301" t="s">
        <v>8394</v>
      </c>
      <c r="D1301" t="s">
        <v>8401</v>
      </c>
      <c r="E1301" t="s">
        <v>8445</v>
      </c>
      <c r="F1301" t="s">
        <v>8448</v>
      </c>
      <c r="G1301" t="s">
        <v>8453</v>
      </c>
    </row>
    <row r="1302" spans="1:7">
      <c r="A1302" t="s">
        <v>3822</v>
      </c>
      <c r="C1302" t="s">
        <v>8394</v>
      </c>
      <c r="D1302" t="s">
        <v>8401</v>
      </c>
      <c r="E1302" t="s">
        <v>8445</v>
      </c>
      <c r="F1302" t="s">
        <v>8448</v>
      </c>
      <c r="G1302" t="s">
        <v>8453</v>
      </c>
    </row>
    <row r="1303" spans="1:7">
      <c r="A1303" t="s">
        <v>3823</v>
      </c>
      <c r="C1303" t="s">
        <v>8394</v>
      </c>
      <c r="D1303" t="s">
        <v>8401</v>
      </c>
      <c r="E1303" t="s">
        <v>8445</v>
      </c>
      <c r="F1303" t="s">
        <v>8448</v>
      </c>
      <c r="G1303" t="s">
        <v>8453</v>
      </c>
    </row>
    <row r="1304" spans="1:7">
      <c r="A1304" t="s">
        <v>3824</v>
      </c>
      <c r="C1304" t="s">
        <v>8394</v>
      </c>
      <c r="D1304" t="s">
        <v>8401</v>
      </c>
      <c r="E1304" t="s">
        <v>8445</v>
      </c>
      <c r="F1304" t="s">
        <v>8448</v>
      </c>
      <c r="G1304" t="s">
        <v>8453</v>
      </c>
    </row>
    <row r="1305" spans="1:7">
      <c r="A1305" t="s">
        <v>3825</v>
      </c>
      <c r="C1305" t="s">
        <v>8394</v>
      </c>
      <c r="D1305" t="s">
        <v>8401</v>
      </c>
      <c r="E1305" t="s">
        <v>8445</v>
      </c>
      <c r="F1305" t="s">
        <v>8448</v>
      </c>
      <c r="G1305" t="s">
        <v>8453</v>
      </c>
    </row>
    <row r="1306" spans="1:7">
      <c r="A1306" t="s">
        <v>3826</v>
      </c>
      <c r="C1306" t="s">
        <v>8394</v>
      </c>
      <c r="D1306" t="s">
        <v>8401</v>
      </c>
      <c r="E1306" t="s">
        <v>8445</v>
      </c>
      <c r="F1306" t="s">
        <v>8448</v>
      </c>
      <c r="G1306" t="s">
        <v>8453</v>
      </c>
    </row>
    <row r="1307" spans="1:7">
      <c r="A1307" t="s">
        <v>3827</v>
      </c>
      <c r="C1307" t="s">
        <v>8394</v>
      </c>
      <c r="D1307" t="s">
        <v>8401</v>
      </c>
      <c r="E1307" t="s">
        <v>8445</v>
      </c>
      <c r="F1307" t="s">
        <v>8448</v>
      </c>
      <c r="G1307" t="s">
        <v>8453</v>
      </c>
    </row>
    <row r="1308" spans="1:7">
      <c r="A1308" t="s">
        <v>3828</v>
      </c>
      <c r="C1308" t="s">
        <v>8394</v>
      </c>
      <c r="D1308" t="s">
        <v>8401</v>
      </c>
      <c r="E1308" t="s">
        <v>8445</v>
      </c>
      <c r="F1308" t="s">
        <v>8448</v>
      </c>
      <c r="G1308" t="s">
        <v>8453</v>
      </c>
    </row>
    <row r="1309" spans="1:7">
      <c r="A1309" t="s">
        <v>3829</v>
      </c>
      <c r="C1309" t="s">
        <v>8394</v>
      </c>
      <c r="D1309" t="s">
        <v>8401</v>
      </c>
      <c r="E1309" t="s">
        <v>8445</v>
      </c>
      <c r="F1309" t="s">
        <v>8448</v>
      </c>
      <c r="G1309" t="s">
        <v>8453</v>
      </c>
    </row>
    <row r="1310" spans="1:7">
      <c r="A1310" t="s">
        <v>3830</v>
      </c>
      <c r="C1310" t="s">
        <v>8394</v>
      </c>
      <c r="D1310" t="s">
        <v>8401</v>
      </c>
      <c r="E1310" t="s">
        <v>8445</v>
      </c>
      <c r="F1310" t="s">
        <v>8448</v>
      </c>
      <c r="G1310" t="s">
        <v>8453</v>
      </c>
    </row>
    <row r="1311" spans="1:7">
      <c r="A1311" t="s">
        <v>3831</v>
      </c>
      <c r="C1311" t="s">
        <v>8394</v>
      </c>
      <c r="D1311" t="s">
        <v>8401</v>
      </c>
      <c r="E1311" t="s">
        <v>8445</v>
      </c>
      <c r="F1311" t="s">
        <v>8448</v>
      </c>
      <c r="G1311" t="s">
        <v>8453</v>
      </c>
    </row>
    <row r="1312" spans="1:7">
      <c r="A1312" t="s">
        <v>3832</v>
      </c>
      <c r="C1312" t="s">
        <v>8394</v>
      </c>
      <c r="D1312" t="s">
        <v>8401</v>
      </c>
      <c r="E1312" t="s">
        <v>8445</v>
      </c>
      <c r="F1312" t="s">
        <v>8448</v>
      </c>
      <c r="G1312" t="s">
        <v>8453</v>
      </c>
    </row>
    <row r="1313" spans="1:7">
      <c r="A1313" t="s">
        <v>3833</v>
      </c>
      <c r="C1313" t="s">
        <v>8394</v>
      </c>
      <c r="D1313" t="s">
        <v>8401</v>
      </c>
      <c r="E1313" t="s">
        <v>8445</v>
      </c>
      <c r="F1313" t="s">
        <v>8448</v>
      </c>
      <c r="G1313" t="s">
        <v>8453</v>
      </c>
    </row>
    <row r="1314" spans="1:7">
      <c r="A1314" t="s">
        <v>3834</v>
      </c>
      <c r="C1314" t="s">
        <v>8394</v>
      </c>
      <c r="D1314" t="s">
        <v>8401</v>
      </c>
      <c r="E1314" t="s">
        <v>8445</v>
      </c>
      <c r="F1314" t="s">
        <v>8448</v>
      </c>
      <c r="G1314" t="s">
        <v>8453</v>
      </c>
    </row>
    <row r="1315" spans="1:7">
      <c r="A1315" t="s">
        <v>3835</v>
      </c>
      <c r="C1315" t="s">
        <v>8394</v>
      </c>
      <c r="D1315" t="s">
        <v>8401</v>
      </c>
      <c r="E1315" t="s">
        <v>8445</v>
      </c>
      <c r="F1315" t="s">
        <v>8448</v>
      </c>
      <c r="G1315" t="s">
        <v>8453</v>
      </c>
    </row>
    <row r="1316" spans="1:7">
      <c r="A1316" t="s">
        <v>3836</v>
      </c>
      <c r="C1316" t="s">
        <v>8394</v>
      </c>
      <c r="D1316" t="s">
        <v>8401</v>
      </c>
      <c r="E1316" t="s">
        <v>8445</v>
      </c>
      <c r="F1316" t="s">
        <v>8448</v>
      </c>
      <c r="G1316" t="s">
        <v>8453</v>
      </c>
    </row>
    <row r="1317" spans="1:7">
      <c r="A1317" t="s">
        <v>3837</v>
      </c>
      <c r="C1317" t="s">
        <v>8394</v>
      </c>
      <c r="D1317" t="s">
        <v>8401</v>
      </c>
      <c r="E1317" t="s">
        <v>8445</v>
      </c>
      <c r="F1317" t="s">
        <v>8448</v>
      </c>
      <c r="G1317" t="s">
        <v>8453</v>
      </c>
    </row>
    <row r="1318" spans="1:7">
      <c r="A1318" t="s">
        <v>3838</v>
      </c>
      <c r="C1318" t="s">
        <v>8394</v>
      </c>
      <c r="D1318" t="s">
        <v>8401</v>
      </c>
      <c r="E1318" t="s">
        <v>8445</v>
      </c>
      <c r="F1318" t="s">
        <v>8448</v>
      </c>
      <c r="G1318" t="s">
        <v>8453</v>
      </c>
    </row>
    <row r="1319" spans="1:7">
      <c r="A1319" t="s">
        <v>3839</v>
      </c>
      <c r="C1319" t="s">
        <v>8394</v>
      </c>
      <c r="D1319" t="s">
        <v>8401</v>
      </c>
      <c r="E1319" t="s">
        <v>8445</v>
      </c>
      <c r="F1319" t="s">
        <v>8448</v>
      </c>
      <c r="G1319" t="s">
        <v>8453</v>
      </c>
    </row>
    <row r="1320" spans="1:7">
      <c r="A1320" t="s">
        <v>3840</v>
      </c>
      <c r="C1320" t="s">
        <v>8394</v>
      </c>
      <c r="D1320" t="s">
        <v>8401</v>
      </c>
      <c r="E1320" t="s">
        <v>8445</v>
      </c>
      <c r="F1320" t="s">
        <v>8448</v>
      </c>
      <c r="G1320" t="s">
        <v>8453</v>
      </c>
    </row>
    <row r="1321" spans="1:7">
      <c r="A1321" t="s">
        <v>3841</v>
      </c>
      <c r="C1321" t="s">
        <v>8394</v>
      </c>
      <c r="D1321" t="s">
        <v>8401</v>
      </c>
      <c r="E1321" t="s">
        <v>8445</v>
      </c>
      <c r="F1321" t="s">
        <v>8448</v>
      </c>
      <c r="G1321" t="s">
        <v>8453</v>
      </c>
    </row>
    <row r="1322" spans="1:7">
      <c r="A1322" t="s">
        <v>3842</v>
      </c>
      <c r="C1322" t="s">
        <v>8394</v>
      </c>
      <c r="D1322" t="s">
        <v>8401</v>
      </c>
      <c r="E1322" t="s">
        <v>8445</v>
      </c>
      <c r="F1322" t="s">
        <v>8448</v>
      </c>
      <c r="G1322" t="s">
        <v>8453</v>
      </c>
    </row>
    <row r="1323" spans="1:7">
      <c r="A1323" t="s">
        <v>3843</v>
      </c>
      <c r="C1323" t="s">
        <v>8394</v>
      </c>
      <c r="D1323" t="s">
        <v>8401</v>
      </c>
      <c r="E1323" t="s">
        <v>8445</v>
      </c>
      <c r="F1323" t="s">
        <v>8448</v>
      </c>
      <c r="G1323" t="s">
        <v>8453</v>
      </c>
    </row>
    <row r="1324" spans="1:7">
      <c r="A1324" t="s">
        <v>3844</v>
      </c>
      <c r="C1324" t="s">
        <v>8394</v>
      </c>
      <c r="D1324" t="s">
        <v>8401</v>
      </c>
      <c r="E1324" t="s">
        <v>8445</v>
      </c>
      <c r="F1324" t="s">
        <v>8448</v>
      </c>
      <c r="G1324" t="s">
        <v>8453</v>
      </c>
    </row>
    <row r="1325" spans="1:7">
      <c r="A1325" t="s">
        <v>3845</v>
      </c>
      <c r="C1325" t="s">
        <v>8394</v>
      </c>
      <c r="D1325" t="s">
        <v>8401</v>
      </c>
      <c r="E1325" t="s">
        <v>8445</v>
      </c>
      <c r="F1325" t="s">
        <v>8448</v>
      </c>
      <c r="G1325" t="s">
        <v>8453</v>
      </c>
    </row>
    <row r="1326" spans="1:7">
      <c r="A1326" t="s">
        <v>3846</v>
      </c>
      <c r="C1326" t="s">
        <v>8394</v>
      </c>
      <c r="D1326" t="s">
        <v>8401</v>
      </c>
      <c r="E1326" t="s">
        <v>8445</v>
      </c>
      <c r="F1326" t="s">
        <v>8448</v>
      </c>
      <c r="G1326" t="s">
        <v>8453</v>
      </c>
    </row>
    <row r="1327" spans="1:7">
      <c r="A1327" t="s">
        <v>3847</v>
      </c>
      <c r="C1327" t="s">
        <v>8394</v>
      </c>
      <c r="D1327" t="s">
        <v>8401</v>
      </c>
      <c r="E1327" t="s">
        <v>8445</v>
      </c>
      <c r="F1327" t="s">
        <v>8448</v>
      </c>
      <c r="G1327" t="s">
        <v>8453</v>
      </c>
    </row>
    <row r="1328" spans="1:7">
      <c r="A1328" t="s">
        <v>3848</v>
      </c>
      <c r="C1328" t="s">
        <v>8394</v>
      </c>
      <c r="D1328" t="s">
        <v>8401</v>
      </c>
      <c r="E1328" t="s">
        <v>8445</v>
      </c>
      <c r="F1328" t="s">
        <v>8448</v>
      </c>
      <c r="G1328" t="s">
        <v>8453</v>
      </c>
    </row>
    <row r="1329" spans="1:7">
      <c r="A1329" t="s">
        <v>3849</v>
      </c>
      <c r="C1329" t="s">
        <v>8394</v>
      </c>
      <c r="D1329" t="s">
        <v>8401</v>
      </c>
      <c r="E1329" t="s">
        <v>8445</v>
      </c>
      <c r="F1329" t="s">
        <v>8448</v>
      </c>
      <c r="G1329" t="s">
        <v>8453</v>
      </c>
    </row>
    <row r="1330" spans="1:7">
      <c r="A1330" t="s">
        <v>3850</v>
      </c>
      <c r="C1330" t="s">
        <v>8394</v>
      </c>
      <c r="D1330" t="s">
        <v>8401</v>
      </c>
      <c r="E1330" t="s">
        <v>8445</v>
      </c>
      <c r="F1330" t="s">
        <v>8448</v>
      </c>
      <c r="G1330" t="s">
        <v>8453</v>
      </c>
    </row>
    <row r="1331" spans="1:7">
      <c r="A1331" t="s">
        <v>3851</v>
      </c>
      <c r="C1331" t="s">
        <v>8394</v>
      </c>
      <c r="D1331" t="s">
        <v>8401</v>
      </c>
      <c r="E1331" t="s">
        <v>8445</v>
      </c>
      <c r="F1331" t="s">
        <v>8448</v>
      </c>
      <c r="G1331" t="s">
        <v>8453</v>
      </c>
    </row>
    <row r="1332" spans="1:7">
      <c r="A1332" t="s">
        <v>3852</v>
      </c>
      <c r="C1332" t="s">
        <v>8394</v>
      </c>
      <c r="D1332" t="s">
        <v>8401</v>
      </c>
      <c r="E1332" t="s">
        <v>8445</v>
      </c>
      <c r="F1332" t="s">
        <v>8448</v>
      </c>
      <c r="G1332" t="s">
        <v>8453</v>
      </c>
    </row>
    <row r="1333" spans="1:7">
      <c r="A1333" t="s">
        <v>3853</v>
      </c>
      <c r="C1333" t="s">
        <v>8394</v>
      </c>
      <c r="D1333" t="s">
        <v>8401</v>
      </c>
      <c r="E1333" t="s">
        <v>8445</v>
      </c>
      <c r="F1333" t="s">
        <v>8448</v>
      </c>
      <c r="G1333" t="s">
        <v>8453</v>
      </c>
    </row>
    <row r="1334" spans="1:7">
      <c r="A1334" t="s">
        <v>3854</v>
      </c>
      <c r="C1334" t="s">
        <v>8394</v>
      </c>
      <c r="D1334" t="s">
        <v>8401</v>
      </c>
      <c r="E1334" t="s">
        <v>8445</v>
      </c>
      <c r="F1334" t="s">
        <v>8448</v>
      </c>
      <c r="G1334" t="s">
        <v>8453</v>
      </c>
    </row>
    <row r="1335" spans="1:7">
      <c r="A1335" t="s">
        <v>3855</v>
      </c>
      <c r="C1335" t="s">
        <v>8394</v>
      </c>
      <c r="D1335" t="s">
        <v>8401</v>
      </c>
      <c r="E1335" t="s">
        <v>8445</v>
      </c>
      <c r="F1335" t="s">
        <v>8448</v>
      </c>
      <c r="G1335" t="s">
        <v>8453</v>
      </c>
    </row>
    <row r="1336" spans="1:7">
      <c r="A1336" t="s">
        <v>3856</v>
      </c>
      <c r="C1336" t="s">
        <v>8394</v>
      </c>
      <c r="D1336" t="s">
        <v>8401</v>
      </c>
      <c r="E1336" t="s">
        <v>8445</v>
      </c>
      <c r="F1336" t="s">
        <v>8448</v>
      </c>
      <c r="G1336" t="s">
        <v>8453</v>
      </c>
    </row>
    <row r="1337" spans="1:7">
      <c r="A1337" t="s">
        <v>3857</v>
      </c>
      <c r="C1337" t="s">
        <v>8394</v>
      </c>
      <c r="D1337" t="s">
        <v>8401</v>
      </c>
      <c r="E1337" t="s">
        <v>8445</v>
      </c>
      <c r="F1337" t="s">
        <v>8448</v>
      </c>
      <c r="G1337" t="s">
        <v>8453</v>
      </c>
    </row>
    <row r="1338" spans="1:7">
      <c r="A1338" t="s">
        <v>3858</v>
      </c>
      <c r="C1338" t="s">
        <v>8394</v>
      </c>
      <c r="D1338" t="s">
        <v>8401</v>
      </c>
      <c r="E1338" t="s">
        <v>8445</v>
      </c>
      <c r="F1338" t="s">
        <v>8448</v>
      </c>
      <c r="G1338" t="s">
        <v>8453</v>
      </c>
    </row>
    <row r="1339" spans="1:7">
      <c r="A1339" t="s">
        <v>3859</v>
      </c>
      <c r="C1339" t="s">
        <v>8394</v>
      </c>
      <c r="D1339" t="s">
        <v>8401</v>
      </c>
      <c r="E1339" t="s">
        <v>8445</v>
      </c>
      <c r="F1339" t="s">
        <v>8448</v>
      </c>
      <c r="G1339" t="s">
        <v>8453</v>
      </c>
    </row>
    <row r="1340" spans="1:7">
      <c r="A1340" t="s">
        <v>3860</v>
      </c>
      <c r="C1340" t="s">
        <v>8397</v>
      </c>
      <c r="D1340" t="s">
        <v>8408</v>
      </c>
      <c r="E1340" t="s">
        <v>8445</v>
      </c>
      <c r="F1340" t="s">
        <v>8450</v>
      </c>
    </row>
    <row r="1341" spans="1:7">
      <c r="A1341" t="s">
        <v>3861</v>
      </c>
      <c r="C1341" t="s">
        <v>8397</v>
      </c>
      <c r="D1341" t="s">
        <v>8408</v>
      </c>
      <c r="E1341" t="s">
        <v>8445</v>
      </c>
      <c r="F1341" t="s">
        <v>8450</v>
      </c>
    </row>
    <row r="1342" spans="1:7">
      <c r="A1342" t="s">
        <v>3862</v>
      </c>
      <c r="C1342" t="s">
        <v>8397</v>
      </c>
      <c r="D1342" t="s">
        <v>8418</v>
      </c>
      <c r="E1342" t="s">
        <v>8444</v>
      </c>
      <c r="F1342" t="s">
        <v>8450</v>
      </c>
      <c r="G1342" t="s">
        <v>8688</v>
      </c>
    </row>
    <row r="1343" spans="1:7">
      <c r="A1343" t="s">
        <v>3863</v>
      </c>
      <c r="C1343" t="s">
        <v>8397</v>
      </c>
      <c r="D1343" t="s">
        <v>8418</v>
      </c>
      <c r="E1343" t="s">
        <v>8444</v>
      </c>
      <c r="F1343" t="s">
        <v>8450</v>
      </c>
      <c r="G1343" t="s">
        <v>8689</v>
      </c>
    </row>
    <row r="1344" spans="1:7">
      <c r="A1344" t="s">
        <v>3864</v>
      </c>
      <c r="C1344" t="s">
        <v>8394</v>
      </c>
      <c r="D1344" t="s">
        <v>8414</v>
      </c>
      <c r="E1344" t="s">
        <v>8445</v>
      </c>
      <c r="F1344" t="s">
        <v>8448</v>
      </c>
      <c r="G1344" t="s">
        <v>8690</v>
      </c>
    </row>
    <row r="1345" spans="1:7">
      <c r="A1345" t="s">
        <v>3865</v>
      </c>
      <c r="B1345" t="s">
        <v>8275</v>
      </c>
      <c r="C1345" t="s">
        <v>8395</v>
      </c>
      <c r="D1345" t="s">
        <v>8411</v>
      </c>
      <c r="E1345" t="s">
        <v>8444</v>
      </c>
      <c r="F1345" t="s">
        <v>8448</v>
      </c>
      <c r="G1345" t="s">
        <v>8691</v>
      </c>
    </row>
    <row r="1346" spans="1:7">
      <c r="A1346" t="s">
        <v>3866</v>
      </c>
      <c r="C1346" t="s">
        <v>8393</v>
      </c>
      <c r="D1346" t="s">
        <v>8393</v>
      </c>
      <c r="E1346" t="s">
        <v>919</v>
      </c>
      <c r="F1346" t="s">
        <v>8393</v>
      </c>
    </row>
    <row r="1347" spans="1:7">
      <c r="A1347" t="s">
        <v>3867</v>
      </c>
      <c r="C1347" t="s">
        <v>8394</v>
      </c>
      <c r="D1347" t="s">
        <v>8417</v>
      </c>
      <c r="E1347" t="s">
        <v>8445</v>
      </c>
      <c r="F1347" t="s">
        <v>8448</v>
      </c>
      <c r="G1347" t="s">
        <v>8692</v>
      </c>
    </row>
    <row r="1348" spans="1:7">
      <c r="A1348" t="s">
        <v>3868</v>
      </c>
      <c r="C1348" t="s">
        <v>8394</v>
      </c>
      <c r="D1348" t="s">
        <v>8417</v>
      </c>
      <c r="E1348" t="s">
        <v>8445</v>
      </c>
      <c r="F1348" t="s">
        <v>8448</v>
      </c>
    </row>
    <row r="1349" spans="1:7">
      <c r="A1349" t="s">
        <v>3869</v>
      </c>
      <c r="C1349" t="s">
        <v>8394</v>
      </c>
      <c r="D1349" t="s">
        <v>8414</v>
      </c>
      <c r="E1349" t="s">
        <v>8446</v>
      </c>
      <c r="F1349" t="s">
        <v>8448</v>
      </c>
      <c r="G1349" t="s">
        <v>8693</v>
      </c>
    </row>
    <row r="1350" spans="1:7">
      <c r="A1350" t="s">
        <v>3870</v>
      </c>
      <c r="B1350" t="s">
        <v>8274</v>
      </c>
      <c r="C1350" t="s">
        <v>8396</v>
      </c>
      <c r="D1350" t="s">
        <v>8406</v>
      </c>
      <c r="E1350" t="s">
        <v>8444</v>
      </c>
      <c r="F1350" t="s">
        <v>8449</v>
      </c>
      <c r="G1350" t="s">
        <v>8455</v>
      </c>
    </row>
    <row r="1351" spans="1:7">
      <c r="A1351" t="s">
        <v>3871</v>
      </c>
      <c r="B1351" t="s">
        <v>8273</v>
      </c>
      <c r="C1351" t="s">
        <v>8395</v>
      </c>
      <c r="D1351" t="s">
        <v>8400</v>
      </c>
      <c r="E1351" t="s">
        <v>1519</v>
      </c>
      <c r="F1351" t="s">
        <v>8448</v>
      </c>
      <c r="G1351" t="s">
        <v>8455</v>
      </c>
    </row>
    <row r="1352" spans="1:7">
      <c r="A1352" t="s">
        <v>3872</v>
      </c>
      <c r="C1352" t="s">
        <v>8396</v>
      </c>
      <c r="D1352" t="s">
        <v>8420</v>
      </c>
      <c r="E1352" t="s">
        <v>8446</v>
      </c>
      <c r="F1352" t="s">
        <v>8449</v>
      </c>
      <c r="G1352" t="s">
        <v>8455</v>
      </c>
    </row>
    <row r="1353" spans="1:7">
      <c r="A1353" t="s">
        <v>3873</v>
      </c>
      <c r="C1353" t="s">
        <v>8393</v>
      </c>
      <c r="D1353" t="s">
        <v>8393</v>
      </c>
      <c r="E1353" t="s">
        <v>919</v>
      </c>
      <c r="F1353" t="s">
        <v>8393</v>
      </c>
    </row>
    <row r="1354" spans="1:7">
      <c r="A1354" t="s">
        <v>3874</v>
      </c>
      <c r="B1354" t="s">
        <v>8273</v>
      </c>
      <c r="C1354" t="s">
        <v>8396</v>
      </c>
      <c r="D1354" t="s">
        <v>8425</v>
      </c>
      <c r="E1354" t="s">
        <v>8445</v>
      </c>
      <c r="F1354" t="s">
        <v>8448</v>
      </c>
      <c r="G1354" t="s">
        <v>796</v>
      </c>
    </row>
    <row r="1355" spans="1:7">
      <c r="A1355" t="s">
        <v>3875</v>
      </c>
      <c r="B1355" t="s">
        <v>8273</v>
      </c>
      <c r="C1355" t="s">
        <v>8396</v>
      </c>
      <c r="D1355" t="s">
        <v>8425</v>
      </c>
      <c r="E1355" t="s">
        <v>8445</v>
      </c>
      <c r="F1355" t="s">
        <v>8448</v>
      </c>
      <c r="G1355" t="s">
        <v>8455</v>
      </c>
    </row>
    <row r="1356" spans="1:7">
      <c r="A1356" t="s">
        <v>3876</v>
      </c>
      <c r="C1356" t="s">
        <v>8398</v>
      </c>
      <c r="D1356" t="s">
        <v>8419</v>
      </c>
      <c r="E1356" t="s">
        <v>8444</v>
      </c>
      <c r="F1356" t="s">
        <v>8449</v>
      </c>
      <c r="G1356" t="s">
        <v>8476</v>
      </c>
    </row>
    <row r="1357" spans="1:7">
      <c r="A1357" t="s">
        <v>3877</v>
      </c>
      <c r="B1357" t="s">
        <v>8273</v>
      </c>
      <c r="C1357" t="s">
        <v>8392</v>
      </c>
      <c r="D1357" t="s">
        <v>8400</v>
      </c>
      <c r="E1357" t="s">
        <v>1587</v>
      </c>
      <c r="F1357" t="s">
        <v>8447</v>
      </c>
      <c r="G1357" t="s">
        <v>8694</v>
      </c>
    </row>
    <row r="1358" spans="1:7">
      <c r="A1358" t="s">
        <v>3878</v>
      </c>
      <c r="B1358" t="s">
        <v>8273</v>
      </c>
      <c r="C1358" t="s">
        <v>8398</v>
      </c>
      <c r="D1358" t="s">
        <v>8419</v>
      </c>
      <c r="E1358" t="s">
        <v>8444</v>
      </c>
      <c r="F1358" t="s">
        <v>8449</v>
      </c>
      <c r="G1358" t="s">
        <v>8455</v>
      </c>
    </row>
    <row r="1359" spans="1:7">
      <c r="A1359" t="s">
        <v>3879</v>
      </c>
      <c r="C1359" t="s">
        <v>8393</v>
      </c>
      <c r="D1359" t="s">
        <v>8393</v>
      </c>
      <c r="E1359" t="s">
        <v>919</v>
      </c>
      <c r="F1359" t="s">
        <v>8393</v>
      </c>
    </row>
    <row r="1360" spans="1:7">
      <c r="A1360" t="s">
        <v>3880</v>
      </c>
      <c r="C1360" t="s">
        <v>8394</v>
      </c>
      <c r="D1360" t="s">
        <v>8401</v>
      </c>
      <c r="E1360" t="s">
        <v>8445</v>
      </c>
      <c r="F1360" t="s">
        <v>8448</v>
      </c>
      <c r="G1360" t="s">
        <v>8695</v>
      </c>
    </row>
    <row r="1361" spans="1:7">
      <c r="A1361" t="s">
        <v>3881</v>
      </c>
      <c r="C1361" t="s">
        <v>8394</v>
      </c>
      <c r="D1361" t="s">
        <v>8401</v>
      </c>
      <c r="E1361" t="s">
        <v>8445</v>
      </c>
      <c r="F1361" t="s">
        <v>8448</v>
      </c>
      <c r="G1361" t="s">
        <v>8695</v>
      </c>
    </row>
    <row r="1362" spans="1:7">
      <c r="A1362" t="s">
        <v>3882</v>
      </c>
      <c r="C1362" t="s">
        <v>8394</v>
      </c>
      <c r="D1362" t="s">
        <v>8401</v>
      </c>
      <c r="E1362" t="s">
        <v>8445</v>
      </c>
      <c r="F1362" t="s">
        <v>8448</v>
      </c>
      <c r="G1362" t="s">
        <v>8695</v>
      </c>
    </row>
    <row r="1363" spans="1:7">
      <c r="A1363" t="s">
        <v>3883</v>
      </c>
      <c r="C1363" t="s">
        <v>8394</v>
      </c>
      <c r="D1363" t="s">
        <v>8401</v>
      </c>
      <c r="E1363" t="s">
        <v>8445</v>
      </c>
      <c r="F1363" t="s">
        <v>8448</v>
      </c>
      <c r="G1363" t="s">
        <v>8695</v>
      </c>
    </row>
    <row r="1364" spans="1:7">
      <c r="A1364" t="s">
        <v>3884</v>
      </c>
      <c r="C1364" t="s">
        <v>8394</v>
      </c>
      <c r="D1364" t="s">
        <v>8401</v>
      </c>
      <c r="E1364" t="s">
        <v>8445</v>
      </c>
      <c r="F1364" t="s">
        <v>8448</v>
      </c>
      <c r="G1364" t="s">
        <v>8695</v>
      </c>
    </row>
    <row r="1365" spans="1:7">
      <c r="A1365" t="s">
        <v>3885</v>
      </c>
      <c r="C1365" t="s">
        <v>8394</v>
      </c>
      <c r="D1365" t="s">
        <v>8401</v>
      </c>
      <c r="E1365" t="s">
        <v>8445</v>
      </c>
      <c r="F1365" t="s">
        <v>8448</v>
      </c>
      <c r="G1365" t="s">
        <v>8695</v>
      </c>
    </row>
    <row r="1366" spans="1:7">
      <c r="A1366" t="s">
        <v>3886</v>
      </c>
      <c r="C1366" t="s">
        <v>8394</v>
      </c>
      <c r="D1366" t="s">
        <v>8401</v>
      </c>
      <c r="E1366" t="s">
        <v>8445</v>
      </c>
      <c r="F1366" t="s">
        <v>8448</v>
      </c>
      <c r="G1366" t="s">
        <v>8695</v>
      </c>
    </row>
    <row r="1367" spans="1:7">
      <c r="A1367" t="s">
        <v>3887</v>
      </c>
      <c r="C1367" t="s">
        <v>8394</v>
      </c>
      <c r="D1367" t="s">
        <v>8401</v>
      </c>
      <c r="E1367" t="s">
        <v>8445</v>
      </c>
      <c r="F1367" t="s">
        <v>8448</v>
      </c>
      <c r="G1367" t="s">
        <v>8695</v>
      </c>
    </row>
    <row r="1368" spans="1:7">
      <c r="A1368" t="s">
        <v>3888</v>
      </c>
      <c r="C1368" t="s">
        <v>8394</v>
      </c>
      <c r="D1368" t="s">
        <v>8401</v>
      </c>
      <c r="E1368" t="s">
        <v>8445</v>
      </c>
      <c r="F1368" t="s">
        <v>8448</v>
      </c>
      <c r="G1368" t="s">
        <v>8695</v>
      </c>
    </row>
    <row r="1369" spans="1:7">
      <c r="A1369" t="s">
        <v>3889</v>
      </c>
      <c r="C1369" t="s">
        <v>8394</v>
      </c>
      <c r="D1369" t="s">
        <v>8401</v>
      </c>
      <c r="E1369" t="s">
        <v>8445</v>
      </c>
      <c r="F1369" t="s">
        <v>8448</v>
      </c>
      <c r="G1369" t="s">
        <v>8695</v>
      </c>
    </row>
    <row r="1370" spans="1:7">
      <c r="A1370" t="s">
        <v>3890</v>
      </c>
      <c r="C1370" t="s">
        <v>8394</v>
      </c>
      <c r="D1370" t="s">
        <v>8401</v>
      </c>
      <c r="E1370" t="s">
        <v>8445</v>
      </c>
      <c r="F1370" t="s">
        <v>8448</v>
      </c>
      <c r="G1370" t="s">
        <v>8695</v>
      </c>
    </row>
    <row r="1371" spans="1:7">
      <c r="A1371" t="s">
        <v>3891</v>
      </c>
      <c r="C1371" t="s">
        <v>8394</v>
      </c>
      <c r="D1371" t="s">
        <v>8401</v>
      </c>
      <c r="E1371" t="s">
        <v>8445</v>
      </c>
      <c r="F1371" t="s">
        <v>8448</v>
      </c>
      <c r="G1371" t="s">
        <v>8695</v>
      </c>
    </row>
    <row r="1372" spans="1:7">
      <c r="A1372" t="s">
        <v>3892</v>
      </c>
      <c r="C1372" t="s">
        <v>8394</v>
      </c>
      <c r="D1372" t="s">
        <v>8401</v>
      </c>
      <c r="E1372" t="s">
        <v>8445</v>
      </c>
      <c r="F1372" t="s">
        <v>8448</v>
      </c>
      <c r="G1372" t="s">
        <v>8695</v>
      </c>
    </row>
    <row r="1373" spans="1:7">
      <c r="A1373" t="s">
        <v>3893</v>
      </c>
      <c r="C1373" t="s">
        <v>8394</v>
      </c>
      <c r="D1373" t="s">
        <v>8401</v>
      </c>
      <c r="E1373" t="s">
        <v>8445</v>
      </c>
      <c r="F1373" t="s">
        <v>8448</v>
      </c>
      <c r="G1373" t="s">
        <v>8695</v>
      </c>
    </row>
    <row r="1374" spans="1:7">
      <c r="A1374" t="s">
        <v>3894</v>
      </c>
      <c r="C1374" t="s">
        <v>8394</v>
      </c>
      <c r="D1374" t="s">
        <v>8401</v>
      </c>
      <c r="E1374" t="s">
        <v>8445</v>
      </c>
      <c r="F1374" t="s">
        <v>8448</v>
      </c>
      <c r="G1374" t="s">
        <v>8695</v>
      </c>
    </row>
    <row r="1375" spans="1:7">
      <c r="A1375" t="s">
        <v>3895</v>
      </c>
      <c r="C1375" t="s">
        <v>8394</v>
      </c>
      <c r="D1375" t="s">
        <v>8401</v>
      </c>
      <c r="E1375" t="s">
        <v>8445</v>
      </c>
      <c r="F1375" t="s">
        <v>8448</v>
      </c>
      <c r="G1375" t="s">
        <v>8695</v>
      </c>
    </row>
    <row r="1376" spans="1:7">
      <c r="A1376" t="s">
        <v>3896</v>
      </c>
      <c r="C1376" t="s">
        <v>8394</v>
      </c>
      <c r="D1376" t="s">
        <v>8401</v>
      </c>
      <c r="E1376" t="s">
        <v>8445</v>
      </c>
      <c r="F1376" t="s">
        <v>8448</v>
      </c>
      <c r="G1376" t="s">
        <v>8695</v>
      </c>
    </row>
    <row r="1377" spans="1:7">
      <c r="A1377" t="s">
        <v>3897</v>
      </c>
      <c r="C1377" t="s">
        <v>8394</v>
      </c>
      <c r="D1377" t="s">
        <v>8401</v>
      </c>
      <c r="E1377" t="s">
        <v>8445</v>
      </c>
      <c r="F1377" t="s">
        <v>8448</v>
      </c>
      <c r="G1377" t="s">
        <v>8695</v>
      </c>
    </row>
    <row r="1378" spans="1:7">
      <c r="A1378" t="s">
        <v>3898</v>
      </c>
      <c r="C1378" t="s">
        <v>8394</v>
      </c>
      <c r="D1378" t="s">
        <v>8401</v>
      </c>
      <c r="E1378" t="s">
        <v>8445</v>
      </c>
      <c r="F1378" t="s">
        <v>8448</v>
      </c>
      <c r="G1378" t="s">
        <v>8695</v>
      </c>
    </row>
    <row r="1379" spans="1:7">
      <c r="A1379" t="s">
        <v>3899</v>
      </c>
      <c r="C1379" t="s">
        <v>8394</v>
      </c>
      <c r="D1379" t="s">
        <v>8401</v>
      </c>
      <c r="E1379" t="s">
        <v>8445</v>
      </c>
      <c r="F1379" t="s">
        <v>8448</v>
      </c>
      <c r="G1379" t="s">
        <v>8695</v>
      </c>
    </row>
    <row r="1380" spans="1:7">
      <c r="A1380" t="s">
        <v>3900</v>
      </c>
      <c r="C1380" t="s">
        <v>8394</v>
      </c>
      <c r="D1380" t="s">
        <v>8401</v>
      </c>
      <c r="E1380" t="s">
        <v>8445</v>
      </c>
      <c r="F1380" t="s">
        <v>8448</v>
      </c>
      <c r="G1380" t="s">
        <v>8695</v>
      </c>
    </row>
    <row r="1381" spans="1:7">
      <c r="A1381" t="s">
        <v>3901</v>
      </c>
      <c r="C1381" t="s">
        <v>8394</v>
      </c>
      <c r="D1381" t="s">
        <v>8401</v>
      </c>
      <c r="E1381" t="s">
        <v>8445</v>
      </c>
      <c r="F1381" t="s">
        <v>8448</v>
      </c>
      <c r="G1381" t="s">
        <v>8695</v>
      </c>
    </row>
    <row r="1382" spans="1:7">
      <c r="A1382" t="s">
        <v>3902</v>
      </c>
      <c r="C1382" t="s">
        <v>8394</v>
      </c>
      <c r="D1382" t="s">
        <v>8401</v>
      </c>
      <c r="E1382" t="s">
        <v>8445</v>
      </c>
      <c r="F1382" t="s">
        <v>8448</v>
      </c>
      <c r="G1382" t="s">
        <v>8695</v>
      </c>
    </row>
    <row r="1383" spans="1:7">
      <c r="A1383" t="s">
        <v>3903</v>
      </c>
      <c r="C1383" t="s">
        <v>8394</v>
      </c>
      <c r="D1383" t="s">
        <v>8401</v>
      </c>
      <c r="E1383" t="s">
        <v>8445</v>
      </c>
      <c r="F1383" t="s">
        <v>8448</v>
      </c>
      <c r="G1383" t="s">
        <v>8695</v>
      </c>
    </row>
    <row r="1384" spans="1:7">
      <c r="A1384" t="s">
        <v>3904</v>
      </c>
      <c r="C1384" t="s">
        <v>8394</v>
      </c>
      <c r="D1384" t="s">
        <v>8401</v>
      </c>
      <c r="E1384" t="s">
        <v>8445</v>
      </c>
      <c r="F1384" t="s">
        <v>8448</v>
      </c>
      <c r="G1384" t="s">
        <v>8695</v>
      </c>
    </row>
    <row r="1385" spans="1:7">
      <c r="A1385" t="s">
        <v>3905</v>
      </c>
      <c r="C1385" t="s">
        <v>8394</v>
      </c>
      <c r="D1385" t="s">
        <v>8401</v>
      </c>
      <c r="E1385" t="s">
        <v>8445</v>
      </c>
      <c r="F1385" t="s">
        <v>8448</v>
      </c>
      <c r="G1385" t="s">
        <v>8695</v>
      </c>
    </row>
    <row r="1386" spans="1:7">
      <c r="A1386" t="s">
        <v>3906</v>
      </c>
      <c r="C1386" t="s">
        <v>8394</v>
      </c>
      <c r="D1386" t="s">
        <v>8401</v>
      </c>
      <c r="E1386" t="s">
        <v>8445</v>
      </c>
      <c r="F1386" t="s">
        <v>8448</v>
      </c>
      <c r="G1386" t="s">
        <v>8695</v>
      </c>
    </row>
    <row r="1387" spans="1:7">
      <c r="A1387" t="s">
        <v>3907</v>
      </c>
      <c r="C1387" t="s">
        <v>8394</v>
      </c>
      <c r="D1387" t="s">
        <v>8401</v>
      </c>
      <c r="E1387" t="s">
        <v>8445</v>
      </c>
      <c r="F1387" t="s">
        <v>8448</v>
      </c>
      <c r="G1387" t="s">
        <v>8695</v>
      </c>
    </row>
    <row r="1388" spans="1:7">
      <c r="A1388" t="s">
        <v>3908</v>
      </c>
      <c r="C1388" t="s">
        <v>8394</v>
      </c>
      <c r="D1388" t="s">
        <v>8401</v>
      </c>
      <c r="E1388" t="s">
        <v>8445</v>
      </c>
      <c r="F1388" t="s">
        <v>8448</v>
      </c>
      <c r="G1388" t="s">
        <v>8695</v>
      </c>
    </row>
    <row r="1389" spans="1:7">
      <c r="A1389" t="s">
        <v>3909</v>
      </c>
      <c r="C1389" t="s">
        <v>8394</v>
      </c>
      <c r="D1389" t="s">
        <v>8401</v>
      </c>
      <c r="E1389" t="s">
        <v>8445</v>
      </c>
      <c r="F1389" t="s">
        <v>8448</v>
      </c>
      <c r="G1389" t="s">
        <v>8695</v>
      </c>
    </row>
    <row r="1390" spans="1:7">
      <c r="A1390" t="s">
        <v>3910</v>
      </c>
      <c r="C1390" t="s">
        <v>8394</v>
      </c>
      <c r="D1390" t="s">
        <v>8401</v>
      </c>
      <c r="E1390" t="s">
        <v>8445</v>
      </c>
      <c r="F1390" t="s">
        <v>8448</v>
      </c>
      <c r="G1390" t="s">
        <v>8695</v>
      </c>
    </row>
    <row r="1391" spans="1:7">
      <c r="A1391" t="s">
        <v>3911</v>
      </c>
      <c r="C1391" t="s">
        <v>8394</v>
      </c>
      <c r="D1391" t="s">
        <v>8401</v>
      </c>
      <c r="E1391" t="s">
        <v>8445</v>
      </c>
      <c r="F1391" t="s">
        <v>8448</v>
      </c>
      <c r="G1391" t="s">
        <v>8695</v>
      </c>
    </row>
    <row r="1392" spans="1:7">
      <c r="A1392" t="s">
        <v>3912</v>
      </c>
      <c r="C1392" t="s">
        <v>8394</v>
      </c>
      <c r="D1392" t="s">
        <v>8401</v>
      </c>
      <c r="E1392" t="s">
        <v>8445</v>
      </c>
      <c r="F1392" t="s">
        <v>8448</v>
      </c>
      <c r="G1392" t="s">
        <v>8695</v>
      </c>
    </row>
    <row r="1393" spans="1:7">
      <c r="A1393" t="s">
        <v>3913</v>
      </c>
      <c r="C1393" t="s">
        <v>8394</v>
      </c>
      <c r="D1393" t="s">
        <v>8401</v>
      </c>
      <c r="E1393" t="s">
        <v>8445</v>
      </c>
      <c r="F1393" t="s">
        <v>8448</v>
      </c>
      <c r="G1393" t="s">
        <v>8695</v>
      </c>
    </row>
    <row r="1394" spans="1:7">
      <c r="A1394" t="s">
        <v>3914</v>
      </c>
      <c r="C1394" t="s">
        <v>8394</v>
      </c>
      <c r="D1394" t="s">
        <v>8401</v>
      </c>
      <c r="E1394" t="s">
        <v>8445</v>
      </c>
      <c r="F1394" t="s">
        <v>8448</v>
      </c>
      <c r="G1394" t="s">
        <v>8695</v>
      </c>
    </row>
    <row r="1395" spans="1:7">
      <c r="A1395" t="s">
        <v>3915</v>
      </c>
      <c r="C1395" t="s">
        <v>8394</v>
      </c>
      <c r="D1395" t="s">
        <v>8401</v>
      </c>
      <c r="E1395" t="s">
        <v>8445</v>
      </c>
      <c r="F1395" t="s">
        <v>8448</v>
      </c>
      <c r="G1395" t="s">
        <v>8695</v>
      </c>
    </row>
    <row r="1396" spans="1:7">
      <c r="A1396" t="s">
        <v>3916</v>
      </c>
      <c r="C1396" t="s">
        <v>8394</v>
      </c>
      <c r="D1396" t="s">
        <v>8401</v>
      </c>
      <c r="E1396" t="s">
        <v>8445</v>
      </c>
      <c r="F1396" t="s">
        <v>8448</v>
      </c>
      <c r="G1396" t="s">
        <v>8695</v>
      </c>
    </row>
    <row r="1397" spans="1:7">
      <c r="A1397" t="s">
        <v>3917</v>
      </c>
      <c r="C1397" t="s">
        <v>8394</v>
      </c>
      <c r="D1397" t="s">
        <v>8401</v>
      </c>
      <c r="E1397" t="s">
        <v>8445</v>
      </c>
      <c r="F1397" t="s">
        <v>8448</v>
      </c>
      <c r="G1397" t="s">
        <v>8695</v>
      </c>
    </row>
    <row r="1398" spans="1:7">
      <c r="A1398" t="s">
        <v>3918</v>
      </c>
      <c r="C1398" t="s">
        <v>8394</v>
      </c>
      <c r="D1398" t="s">
        <v>8401</v>
      </c>
      <c r="E1398" t="s">
        <v>8445</v>
      </c>
      <c r="F1398" t="s">
        <v>8448</v>
      </c>
      <c r="G1398" t="s">
        <v>8695</v>
      </c>
    </row>
    <row r="1399" spans="1:7">
      <c r="A1399" t="s">
        <v>3919</v>
      </c>
      <c r="C1399" t="s">
        <v>8394</v>
      </c>
      <c r="D1399" t="s">
        <v>8401</v>
      </c>
      <c r="E1399" t="s">
        <v>8445</v>
      </c>
      <c r="F1399" t="s">
        <v>8448</v>
      </c>
      <c r="G1399" t="s">
        <v>8695</v>
      </c>
    </row>
    <row r="1400" spans="1:7">
      <c r="A1400" t="s">
        <v>3920</v>
      </c>
      <c r="C1400" t="s">
        <v>8394</v>
      </c>
      <c r="D1400" t="s">
        <v>8401</v>
      </c>
      <c r="E1400" t="s">
        <v>8445</v>
      </c>
      <c r="F1400" t="s">
        <v>8448</v>
      </c>
      <c r="G1400" t="s">
        <v>8695</v>
      </c>
    </row>
    <row r="1401" spans="1:7">
      <c r="A1401" t="s">
        <v>3921</v>
      </c>
      <c r="C1401" t="s">
        <v>8394</v>
      </c>
      <c r="D1401" t="s">
        <v>8401</v>
      </c>
      <c r="E1401" t="s">
        <v>8445</v>
      </c>
      <c r="F1401" t="s">
        <v>8448</v>
      </c>
      <c r="G1401" t="s">
        <v>8695</v>
      </c>
    </row>
    <row r="1402" spans="1:7">
      <c r="A1402" t="s">
        <v>3922</v>
      </c>
      <c r="C1402" t="s">
        <v>8394</v>
      </c>
      <c r="D1402" t="s">
        <v>8401</v>
      </c>
      <c r="E1402" t="s">
        <v>8445</v>
      </c>
      <c r="F1402" t="s">
        <v>8448</v>
      </c>
      <c r="G1402" t="s">
        <v>8695</v>
      </c>
    </row>
    <row r="1403" spans="1:7">
      <c r="A1403" t="s">
        <v>3923</v>
      </c>
      <c r="C1403" t="s">
        <v>8394</v>
      </c>
      <c r="D1403" t="s">
        <v>8401</v>
      </c>
      <c r="E1403" t="s">
        <v>8445</v>
      </c>
      <c r="F1403" t="s">
        <v>8448</v>
      </c>
      <c r="G1403" t="s">
        <v>8695</v>
      </c>
    </row>
    <row r="1404" spans="1:7">
      <c r="A1404" t="s">
        <v>3924</v>
      </c>
      <c r="C1404" t="s">
        <v>8394</v>
      </c>
      <c r="D1404" t="s">
        <v>8401</v>
      </c>
      <c r="E1404" t="s">
        <v>8445</v>
      </c>
      <c r="F1404" t="s">
        <v>8448</v>
      </c>
      <c r="G1404" t="s">
        <v>8695</v>
      </c>
    </row>
    <row r="1405" spans="1:7">
      <c r="A1405" t="s">
        <v>3925</v>
      </c>
      <c r="C1405" t="s">
        <v>8394</v>
      </c>
      <c r="D1405" t="s">
        <v>8401</v>
      </c>
      <c r="E1405" t="s">
        <v>8445</v>
      </c>
      <c r="F1405" t="s">
        <v>8448</v>
      </c>
      <c r="G1405" t="s">
        <v>8695</v>
      </c>
    </row>
    <row r="1406" spans="1:7">
      <c r="A1406" t="s">
        <v>3926</v>
      </c>
      <c r="C1406" t="s">
        <v>8394</v>
      </c>
      <c r="D1406" t="s">
        <v>8401</v>
      </c>
      <c r="E1406" t="s">
        <v>8445</v>
      </c>
      <c r="F1406" t="s">
        <v>8448</v>
      </c>
      <c r="G1406" t="s">
        <v>8695</v>
      </c>
    </row>
    <row r="1407" spans="1:7">
      <c r="A1407" t="s">
        <v>3927</v>
      </c>
      <c r="C1407" t="s">
        <v>8394</v>
      </c>
      <c r="D1407" t="s">
        <v>8402</v>
      </c>
      <c r="E1407" t="s">
        <v>8445</v>
      </c>
      <c r="F1407" t="s">
        <v>8448</v>
      </c>
      <c r="G1407" t="s">
        <v>8696</v>
      </c>
    </row>
    <row r="1408" spans="1:7">
      <c r="A1408" t="s">
        <v>3928</v>
      </c>
      <c r="B1408" t="s">
        <v>8273</v>
      </c>
      <c r="C1408" t="s">
        <v>8394</v>
      </c>
      <c r="D1408" t="s">
        <v>8413</v>
      </c>
      <c r="E1408" t="s">
        <v>8445</v>
      </c>
      <c r="F1408" t="s">
        <v>8449</v>
      </c>
      <c r="G1408" t="s">
        <v>8509</v>
      </c>
    </row>
    <row r="1409" spans="1:7">
      <c r="A1409" t="s">
        <v>3929</v>
      </c>
      <c r="B1409" t="s">
        <v>8273</v>
      </c>
      <c r="C1409" t="s">
        <v>8396</v>
      </c>
      <c r="D1409" t="s">
        <v>8411</v>
      </c>
      <c r="E1409" t="s">
        <v>8446</v>
      </c>
      <c r="F1409" t="s">
        <v>8448</v>
      </c>
      <c r="G1409" t="s">
        <v>8519</v>
      </c>
    </row>
    <row r="1410" spans="1:7">
      <c r="A1410" t="s">
        <v>3930</v>
      </c>
      <c r="B1410" t="s">
        <v>8295</v>
      </c>
      <c r="C1410" t="s">
        <v>8398</v>
      </c>
      <c r="D1410" t="s">
        <v>8419</v>
      </c>
      <c r="E1410" t="s">
        <v>8446</v>
      </c>
      <c r="F1410" t="s">
        <v>8449</v>
      </c>
      <c r="G1410" t="s">
        <v>8455</v>
      </c>
    </row>
    <row r="1411" spans="1:7">
      <c r="A1411" t="s">
        <v>3931</v>
      </c>
      <c r="B1411" t="s">
        <v>8273</v>
      </c>
      <c r="C1411" t="s">
        <v>8396</v>
      </c>
      <c r="D1411" t="s">
        <v>8406</v>
      </c>
      <c r="E1411" t="s">
        <v>8444</v>
      </c>
      <c r="F1411" t="s">
        <v>8449</v>
      </c>
      <c r="G1411" t="s">
        <v>8455</v>
      </c>
    </row>
    <row r="1412" spans="1:7">
      <c r="A1412" t="s">
        <v>3932</v>
      </c>
      <c r="C1412" t="s">
        <v>8394</v>
      </c>
      <c r="D1412" t="s">
        <v>8414</v>
      </c>
      <c r="E1412" t="s">
        <v>8445</v>
      </c>
      <c r="F1412" t="s">
        <v>8448</v>
      </c>
      <c r="G1412" t="s">
        <v>8697</v>
      </c>
    </row>
    <row r="1413" spans="1:7">
      <c r="A1413" t="s">
        <v>3933</v>
      </c>
      <c r="C1413" t="s">
        <v>8395</v>
      </c>
      <c r="D1413" t="s">
        <v>8400</v>
      </c>
      <c r="E1413" t="s">
        <v>1519</v>
      </c>
      <c r="F1413" t="s">
        <v>8449</v>
      </c>
      <c r="G1413" t="s">
        <v>8455</v>
      </c>
    </row>
    <row r="1414" spans="1:7">
      <c r="A1414" t="s">
        <v>3934</v>
      </c>
      <c r="C1414" t="s">
        <v>8392</v>
      </c>
      <c r="D1414" t="s">
        <v>8400</v>
      </c>
      <c r="E1414" t="s">
        <v>1587</v>
      </c>
      <c r="F1414" t="s">
        <v>8449</v>
      </c>
      <c r="G1414" t="s">
        <v>795</v>
      </c>
    </row>
    <row r="1415" spans="1:7">
      <c r="A1415" t="s">
        <v>3935</v>
      </c>
      <c r="C1415" t="s">
        <v>8393</v>
      </c>
      <c r="D1415" t="s">
        <v>8393</v>
      </c>
      <c r="E1415" t="s">
        <v>919</v>
      </c>
      <c r="F1415" t="s">
        <v>8393</v>
      </c>
    </row>
    <row r="1416" spans="1:7">
      <c r="A1416" t="s">
        <v>3936</v>
      </c>
      <c r="C1416" t="s">
        <v>8394</v>
      </c>
      <c r="D1416" t="s">
        <v>8401</v>
      </c>
      <c r="E1416" t="s">
        <v>8445</v>
      </c>
      <c r="F1416" t="s">
        <v>8450</v>
      </c>
      <c r="G1416" t="s">
        <v>8463</v>
      </c>
    </row>
    <row r="1417" spans="1:7">
      <c r="A1417" t="s">
        <v>3937</v>
      </c>
      <c r="C1417" t="s">
        <v>8394</v>
      </c>
      <c r="D1417" t="s">
        <v>8401</v>
      </c>
      <c r="E1417" t="s">
        <v>8445</v>
      </c>
      <c r="F1417" t="s">
        <v>8450</v>
      </c>
      <c r="G1417" t="s">
        <v>8463</v>
      </c>
    </row>
    <row r="1418" spans="1:7">
      <c r="A1418" t="s">
        <v>3938</v>
      </c>
      <c r="C1418" t="s">
        <v>8394</v>
      </c>
      <c r="D1418" t="s">
        <v>8401</v>
      </c>
      <c r="E1418" t="s">
        <v>8445</v>
      </c>
      <c r="F1418" t="s">
        <v>8450</v>
      </c>
      <c r="G1418" t="s">
        <v>8463</v>
      </c>
    </row>
    <row r="1419" spans="1:7">
      <c r="A1419" t="s">
        <v>3939</v>
      </c>
      <c r="C1419" t="s">
        <v>8394</v>
      </c>
      <c r="D1419" t="s">
        <v>8401</v>
      </c>
      <c r="E1419" t="s">
        <v>8445</v>
      </c>
      <c r="F1419" t="s">
        <v>8450</v>
      </c>
      <c r="G1419" t="s">
        <v>8463</v>
      </c>
    </row>
    <row r="1420" spans="1:7">
      <c r="A1420" t="s">
        <v>3940</v>
      </c>
      <c r="C1420" t="s">
        <v>8394</v>
      </c>
      <c r="D1420" t="s">
        <v>8401</v>
      </c>
      <c r="E1420" t="s">
        <v>8445</v>
      </c>
      <c r="F1420" t="s">
        <v>8450</v>
      </c>
      <c r="G1420" t="s">
        <v>8463</v>
      </c>
    </row>
    <row r="1421" spans="1:7">
      <c r="A1421" t="s">
        <v>3941</v>
      </c>
      <c r="C1421" t="s">
        <v>8394</v>
      </c>
      <c r="D1421" t="s">
        <v>8401</v>
      </c>
      <c r="E1421" t="s">
        <v>8445</v>
      </c>
      <c r="F1421" t="s">
        <v>8450</v>
      </c>
      <c r="G1421" t="s">
        <v>8463</v>
      </c>
    </row>
    <row r="1422" spans="1:7">
      <c r="A1422" t="s">
        <v>3942</v>
      </c>
      <c r="C1422" t="s">
        <v>8394</v>
      </c>
      <c r="D1422" t="s">
        <v>8401</v>
      </c>
      <c r="E1422" t="s">
        <v>8445</v>
      </c>
      <c r="F1422" t="s">
        <v>8450</v>
      </c>
      <c r="G1422" t="s">
        <v>8463</v>
      </c>
    </row>
    <row r="1423" spans="1:7">
      <c r="A1423" t="s">
        <v>3943</v>
      </c>
      <c r="C1423" t="s">
        <v>8394</v>
      </c>
      <c r="D1423" t="s">
        <v>8401</v>
      </c>
      <c r="E1423" t="s">
        <v>8445</v>
      </c>
      <c r="F1423" t="s">
        <v>8450</v>
      </c>
      <c r="G1423" t="s">
        <v>8463</v>
      </c>
    </row>
    <row r="1424" spans="1:7">
      <c r="A1424" t="s">
        <v>3944</v>
      </c>
      <c r="C1424" t="s">
        <v>8394</v>
      </c>
      <c r="D1424" t="s">
        <v>8401</v>
      </c>
      <c r="E1424" t="s">
        <v>8445</v>
      </c>
      <c r="F1424" t="s">
        <v>8450</v>
      </c>
      <c r="G1424" t="s">
        <v>8463</v>
      </c>
    </row>
    <row r="1425" spans="1:7">
      <c r="A1425" t="s">
        <v>3945</v>
      </c>
      <c r="B1425" t="s">
        <v>8273</v>
      </c>
      <c r="C1425" t="s">
        <v>8394</v>
      </c>
      <c r="D1425" t="s">
        <v>8402</v>
      </c>
      <c r="E1425" t="s">
        <v>8444</v>
      </c>
      <c r="F1425" t="s">
        <v>8448</v>
      </c>
      <c r="G1425" t="s">
        <v>8455</v>
      </c>
    </row>
    <row r="1426" spans="1:7">
      <c r="A1426" t="s">
        <v>3946</v>
      </c>
      <c r="C1426" t="s">
        <v>8393</v>
      </c>
      <c r="D1426" t="s">
        <v>8393</v>
      </c>
      <c r="E1426" t="s">
        <v>919</v>
      </c>
      <c r="F1426" t="s">
        <v>8393</v>
      </c>
    </row>
    <row r="1427" spans="1:7">
      <c r="A1427" t="s">
        <v>3947</v>
      </c>
      <c r="C1427" t="s">
        <v>8394</v>
      </c>
      <c r="D1427" t="s">
        <v>8401</v>
      </c>
      <c r="E1427" t="s">
        <v>8445</v>
      </c>
      <c r="F1427" t="s">
        <v>8450</v>
      </c>
      <c r="G1427" t="s">
        <v>8698</v>
      </c>
    </row>
    <row r="1428" spans="1:7">
      <c r="A1428" t="s">
        <v>3948</v>
      </c>
      <c r="C1428" t="s">
        <v>8394</v>
      </c>
      <c r="D1428" t="s">
        <v>8401</v>
      </c>
      <c r="E1428" t="s">
        <v>8445</v>
      </c>
      <c r="F1428" t="s">
        <v>8450</v>
      </c>
      <c r="G1428" t="s">
        <v>8698</v>
      </c>
    </row>
    <row r="1429" spans="1:7">
      <c r="A1429" t="s">
        <v>3949</v>
      </c>
      <c r="C1429" t="s">
        <v>8394</v>
      </c>
      <c r="D1429" t="s">
        <v>8401</v>
      </c>
      <c r="E1429" t="s">
        <v>8445</v>
      </c>
      <c r="F1429" t="s">
        <v>8450</v>
      </c>
      <c r="G1429" t="s">
        <v>8698</v>
      </c>
    </row>
    <row r="1430" spans="1:7">
      <c r="A1430" t="s">
        <v>3950</v>
      </c>
      <c r="C1430" t="s">
        <v>8394</v>
      </c>
      <c r="D1430" t="s">
        <v>8401</v>
      </c>
      <c r="E1430" t="s">
        <v>8445</v>
      </c>
      <c r="F1430" t="s">
        <v>8450</v>
      </c>
      <c r="G1430" t="s">
        <v>8699</v>
      </c>
    </row>
    <row r="1431" spans="1:7">
      <c r="A1431" t="s">
        <v>3951</v>
      </c>
      <c r="C1431" t="s">
        <v>8394</v>
      </c>
      <c r="D1431" t="s">
        <v>8401</v>
      </c>
      <c r="E1431" t="s">
        <v>8445</v>
      </c>
      <c r="F1431" t="s">
        <v>8450</v>
      </c>
      <c r="G1431" t="s">
        <v>8698</v>
      </c>
    </row>
    <row r="1432" spans="1:7">
      <c r="A1432" t="s">
        <v>3952</v>
      </c>
      <c r="C1432" t="s">
        <v>8394</v>
      </c>
      <c r="D1432" t="s">
        <v>8401</v>
      </c>
      <c r="E1432" t="s">
        <v>8445</v>
      </c>
      <c r="F1432" t="s">
        <v>8450</v>
      </c>
      <c r="G1432" t="s">
        <v>8698</v>
      </c>
    </row>
    <row r="1433" spans="1:7">
      <c r="A1433" t="s">
        <v>3953</v>
      </c>
      <c r="C1433" t="s">
        <v>8394</v>
      </c>
      <c r="D1433" t="s">
        <v>8401</v>
      </c>
      <c r="E1433" t="s">
        <v>8445</v>
      </c>
      <c r="F1433" t="s">
        <v>8450</v>
      </c>
      <c r="G1433" t="s">
        <v>8698</v>
      </c>
    </row>
    <row r="1434" spans="1:7">
      <c r="A1434" t="s">
        <v>3954</v>
      </c>
      <c r="C1434" t="s">
        <v>8394</v>
      </c>
      <c r="D1434" t="s">
        <v>8401</v>
      </c>
      <c r="E1434" t="s">
        <v>8445</v>
      </c>
      <c r="F1434" t="s">
        <v>8450</v>
      </c>
      <c r="G1434" t="s">
        <v>8698</v>
      </c>
    </row>
    <row r="1435" spans="1:7">
      <c r="A1435" t="s">
        <v>3955</v>
      </c>
      <c r="C1435" t="s">
        <v>8394</v>
      </c>
      <c r="D1435" t="s">
        <v>8401</v>
      </c>
      <c r="E1435" t="s">
        <v>8445</v>
      </c>
      <c r="F1435" t="s">
        <v>8450</v>
      </c>
      <c r="G1435" t="s">
        <v>8698</v>
      </c>
    </row>
    <row r="1436" spans="1:7">
      <c r="A1436" t="s">
        <v>3956</v>
      </c>
      <c r="C1436" t="s">
        <v>8394</v>
      </c>
      <c r="D1436" t="s">
        <v>8401</v>
      </c>
      <c r="E1436" t="s">
        <v>8445</v>
      </c>
      <c r="F1436" t="s">
        <v>8450</v>
      </c>
      <c r="G1436" t="s">
        <v>8698</v>
      </c>
    </row>
    <row r="1437" spans="1:7">
      <c r="A1437" t="s">
        <v>3957</v>
      </c>
      <c r="C1437" t="s">
        <v>8394</v>
      </c>
      <c r="D1437" t="s">
        <v>8401</v>
      </c>
      <c r="E1437" t="s">
        <v>8445</v>
      </c>
      <c r="F1437" t="s">
        <v>8450</v>
      </c>
      <c r="G1437" t="s">
        <v>8698</v>
      </c>
    </row>
    <row r="1438" spans="1:7">
      <c r="A1438" t="s">
        <v>3958</v>
      </c>
      <c r="C1438" t="s">
        <v>8394</v>
      </c>
      <c r="D1438" t="s">
        <v>8401</v>
      </c>
      <c r="E1438" t="s">
        <v>8445</v>
      </c>
      <c r="F1438" t="s">
        <v>8450</v>
      </c>
      <c r="G1438" t="s">
        <v>8698</v>
      </c>
    </row>
    <row r="1439" spans="1:7">
      <c r="A1439" t="s">
        <v>3959</v>
      </c>
      <c r="C1439" t="s">
        <v>8394</v>
      </c>
      <c r="D1439" t="s">
        <v>8401</v>
      </c>
      <c r="E1439" t="s">
        <v>8445</v>
      </c>
      <c r="F1439" t="s">
        <v>8450</v>
      </c>
      <c r="G1439" t="s">
        <v>8698</v>
      </c>
    </row>
    <row r="1440" spans="1:7">
      <c r="A1440" t="s">
        <v>3960</v>
      </c>
      <c r="C1440" t="s">
        <v>8394</v>
      </c>
      <c r="D1440" t="s">
        <v>8401</v>
      </c>
      <c r="E1440" t="s">
        <v>8445</v>
      </c>
      <c r="F1440" t="s">
        <v>8450</v>
      </c>
      <c r="G1440" t="s">
        <v>8698</v>
      </c>
    </row>
    <row r="1441" spans="1:7">
      <c r="A1441" t="s">
        <v>3961</v>
      </c>
      <c r="C1441" t="s">
        <v>8394</v>
      </c>
      <c r="D1441" t="s">
        <v>8401</v>
      </c>
      <c r="E1441" t="s">
        <v>8445</v>
      </c>
      <c r="F1441" t="s">
        <v>8450</v>
      </c>
      <c r="G1441" t="s">
        <v>8698</v>
      </c>
    </row>
    <row r="1442" spans="1:7">
      <c r="A1442" t="s">
        <v>3962</v>
      </c>
      <c r="C1442" t="s">
        <v>8394</v>
      </c>
      <c r="D1442" t="s">
        <v>8401</v>
      </c>
      <c r="E1442" t="s">
        <v>8445</v>
      </c>
      <c r="F1442" t="s">
        <v>8450</v>
      </c>
      <c r="G1442" t="s">
        <v>8698</v>
      </c>
    </row>
    <row r="1443" spans="1:7">
      <c r="A1443" t="s">
        <v>3963</v>
      </c>
      <c r="C1443" t="s">
        <v>8394</v>
      </c>
      <c r="D1443" t="s">
        <v>8401</v>
      </c>
      <c r="E1443" t="s">
        <v>8445</v>
      </c>
      <c r="F1443" t="s">
        <v>8450</v>
      </c>
      <c r="G1443" t="s">
        <v>8698</v>
      </c>
    </row>
    <row r="1444" spans="1:7">
      <c r="A1444" t="s">
        <v>3964</v>
      </c>
      <c r="C1444" t="s">
        <v>8394</v>
      </c>
      <c r="D1444" t="s">
        <v>8401</v>
      </c>
      <c r="E1444" t="s">
        <v>8445</v>
      </c>
      <c r="F1444" t="s">
        <v>8450</v>
      </c>
      <c r="G1444" t="s">
        <v>8698</v>
      </c>
    </row>
    <row r="1445" spans="1:7">
      <c r="A1445" t="s">
        <v>3965</v>
      </c>
      <c r="C1445" t="s">
        <v>8394</v>
      </c>
      <c r="D1445" t="s">
        <v>8401</v>
      </c>
      <c r="E1445" t="s">
        <v>8445</v>
      </c>
      <c r="F1445" t="s">
        <v>8450</v>
      </c>
      <c r="G1445" t="s">
        <v>8698</v>
      </c>
    </row>
    <row r="1446" spans="1:7">
      <c r="A1446" t="s">
        <v>3966</v>
      </c>
      <c r="C1446" t="s">
        <v>8394</v>
      </c>
      <c r="D1446" t="s">
        <v>8401</v>
      </c>
      <c r="E1446" t="s">
        <v>8445</v>
      </c>
      <c r="F1446" t="s">
        <v>8450</v>
      </c>
      <c r="G1446" t="s">
        <v>8698</v>
      </c>
    </row>
    <row r="1447" spans="1:7">
      <c r="A1447" t="s">
        <v>3967</v>
      </c>
      <c r="C1447" t="s">
        <v>8394</v>
      </c>
      <c r="D1447" t="s">
        <v>8401</v>
      </c>
      <c r="E1447" t="s">
        <v>8445</v>
      </c>
      <c r="F1447" t="s">
        <v>8450</v>
      </c>
      <c r="G1447" t="s">
        <v>8698</v>
      </c>
    </row>
    <row r="1448" spans="1:7">
      <c r="A1448" t="s">
        <v>3968</v>
      </c>
      <c r="C1448" t="s">
        <v>8394</v>
      </c>
      <c r="D1448" t="s">
        <v>8401</v>
      </c>
      <c r="E1448" t="s">
        <v>8445</v>
      </c>
      <c r="F1448" t="s">
        <v>8450</v>
      </c>
      <c r="G1448" t="s">
        <v>8698</v>
      </c>
    </row>
    <row r="1449" spans="1:7">
      <c r="A1449" t="s">
        <v>3969</v>
      </c>
      <c r="C1449" t="s">
        <v>8394</v>
      </c>
      <c r="D1449" t="s">
        <v>8401</v>
      </c>
      <c r="E1449" t="s">
        <v>8445</v>
      </c>
      <c r="F1449" t="s">
        <v>8450</v>
      </c>
      <c r="G1449" t="s">
        <v>8698</v>
      </c>
    </row>
    <row r="1450" spans="1:7">
      <c r="A1450" t="s">
        <v>3970</v>
      </c>
      <c r="C1450" t="s">
        <v>8394</v>
      </c>
      <c r="D1450" t="s">
        <v>8401</v>
      </c>
      <c r="E1450" t="s">
        <v>8445</v>
      </c>
      <c r="F1450" t="s">
        <v>8450</v>
      </c>
      <c r="G1450" t="s">
        <v>8698</v>
      </c>
    </row>
    <row r="1451" spans="1:7">
      <c r="A1451" t="s">
        <v>3971</v>
      </c>
      <c r="C1451" t="s">
        <v>8394</v>
      </c>
      <c r="D1451" t="s">
        <v>8401</v>
      </c>
      <c r="E1451" t="s">
        <v>8445</v>
      </c>
      <c r="F1451" t="s">
        <v>8450</v>
      </c>
      <c r="G1451" t="s">
        <v>8698</v>
      </c>
    </row>
    <row r="1452" spans="1:7">
      <c r="A1452" t="s">
        <v>3972</v>
      </c>
      <c r="C1452" t="s">
        <v>8394</v>
      </c>
      <c r="D1452" t="s">
        <v>8401</v>
      </c>
      <c r="E1452" t="s">
        <v>8445</v>
      </c>
      <c r="F1452" t="s">
        <v>8450</v>
      </c>
      <c r="G1452" t="s">
        <v>8698</v>
      </c>
    </row>
    <row r="1453" spans="1:7">
      <c r="A1453" t="s">
        <v>3973</v>
      </c>
      <c r="C1453" t="s">
        <v>8394</v>
      </c>
      <c r="D1453" t="s">
        <v>8401</v>
      </c>
      <c r="E1453" t="s">
        <v>8445</v>
      </c>
      <c r="F1453" t="s">
        <v>8450</v>
      </c>
      <c r="G1453" t="s">
        <v>8698</v>
      </c>
    </row>
    <row r="1454" spans="1:7">
      <c r="A1454" t="s">
        <v>3974</v>
      </c>
      <c r="C1454" t="s">
        <v>8394</v>
      </c>
      <c r="D1454" t="s">
        <v>8401</v>
      </c>
      <c r="E1454" t="s">
        <v>8445</v>
      </c>
      <c r="F1454" t="s">
        <v>8450</v>
      </c>
      <c r="G1454" t="s">
        <v>8698</v>
      </c>
    </row>
    <row r="1455" spans="1:7">
      <c r="A1455" t="s">
        <v>3975</v>
      </c>
      <c r="C1455" t="s">
        <v>8394</v>
      </c>
      <c r="D1455" t="s">
        <v>8401</v>
      </c>
      <c r="E1455" t="s">
        <v>8445</v>
      </c>
      <c r="F1455" t="s">
        <v>8450</v>
      </c>
      <c r="G1455" t="s">
        <v>8698</v>
      </c>
    </row>
    <row r="1456" spans="1:7">
      <c r="A1456" t="s">
        <v>3976</v>
      </c>
      <c r="C1456" t="s">
        <v>8394</v>
      </c>
      <c r="D1456" t="s">
        <v>8401</v>
      </c>
      <c r="E1456" t="s">
        <v>8445</v>
      </c>
      <c r="F1456" t="s">
        <v>8450</v>
      </c>
      <c r="G1456" t="s">
        <v>8698</v>
      </c>
    </row>
    <row r="1457" spans="1:7">
      <c r="A1457" t="s">
        <v>3977</v>
      </c>
      <c r="C1457" t="s">
        <v>8394</v>
      </c>
      <c r="D1457" t="s">
        <v>8401</v>
      </c>
      <c r="E1457" t="s">
        <v>8445</v>
      </c>
      <c r="F1457" t="s">
        <v>8450</v>
      </c>
      <c r="G1457" t="s">
        <v>8698</v>
      </c>
    </row>
    <row r="1458" spans="1:7">
      <c r="A1458" t="s">
        <v>3978</v>
      </c>
      <c r="C1458" t="s">
        <v>8394</v>
      </c>
      <c r="D1458" t="s">
        <v>8401</v>
      </c>
      <c r="E1458" t="s">
        <v>8445</v>
      </c>
      <c r="F1458" t="s">
        <v>8450</v>
      </c>
      <c r="G1458" t="s">
        <v>8698</v>
      </c>
    </row>
    <row r="1459" spans="1:7">
      <c r="A1459" t="s">
        <v>3979</v>
      </c>
      <c r="C1459" t="s">
        <v>8394</v>
      </c>
      <c r="D1459" t="s">
        <v>8401</v>
      </c>
      <c r="E1459" t="s">
        <v>8445</v>
      </c>
      <c r="F1459" t="s">
        <v>8450</v>
      </c>
      <c r="G1459" t="s">
        <v>8698</v>
      </c>
    </row>
    <row r="1460" spans="1:7">
      <c r="A1460" t="s">
        <v>770</v>
      </c>
      <c r="C1460" t="s">
        <v>8393</v>
      </c>
      <c r="D1460" t="s">
        <v>8393</v>
      </c>
      <c r="E1460" t="s">
        <v>919</v>
      </c>
      <c r="F1460" t="s">
        <v>8393</v>
      </c>
    </row>
    <row r="1461" spans="1:7">
      <c r="A1461" t="s">
        <v>3980</v>
      </c>
      <c r="C1461" t="s">
        <v>8397</v>
      </c>
      <c r="D1461" t="s">
        <v>8418</v>
      </c>
      <c r="E1461" t="s">
        <v>8446</v>
      </c>
      <c r="F1461" t="s">
        <v>8450</v>
      </c>
      <c r="G1461" t="s">
        <v>8700</v>
      </c>
    </row>
    <row r="1462" spans="1:7">
      <c r="A1462" t="s">
        <v>3981</v>
      </c>
      <c r="B1462" t="s">
        <v>8317</v>
      </c>
      <c r="C1462" t="s">
        <v>8397</v>
      </c>
      <c r="D1462" t="s">
        <v>8418</v>
      </c>
      <c r="E1462" t="s">
        <v>8446</v>
      </c>
      <c r="F1462" t="s">
        <v>8450</v>
      </c>
      <c r="G1462" t="s">
        <v>8700</v>
      </c>
    </row>
    <row r="1463" spans="1:7">
      <c r="A1463" t="s">
        <v>3982</v>
      </c>
      <c r="B1463" t="s">
        <v>8273</v>
      </c>
      <c r="C1463" t="s">
        <v>8392</v>
      </c>
      <c r="D1463" t="s">
        <v>8415</v>
      </c>
      <c r="E1463" t="s">
        <v>8446</v>
      </c>
      <c r="F1463" t="s">
        <v>8449</v>
      </c>
      <c r="G1463" t="s">
        <v>8455</v>
      </c>
    </row>
    <row r="1464" spans="1:7">
      <c r="A1464" t="s">
        <v>3983</v>
      </c>
      <c r="B1464" t="s">
        <v>8273</v>
      </c>
      <c r="C1464" t="s">
        <v>8392</v>
      </c>
      <c r="D1464" t="s">
        <v>8415</v>
      </c>
      <c r="E1464" t="s">
        <v>8445</v>
      </c>
      <c r="F1464" t="s">
        <v>8449</v>
      </c>
      <c r="G1464" t="s">
        <v>8701</v>
      </c>
    </row>
    <row r="1465" spans="1:7">
      <c r="A1465" t="s">
        <v>3984</v>
      </c>
      <c r="C1465" t="s">
        <v>8397</v>
      </c>
      <c r="D1465" t="s">
        <v>8418</v>
      </c>
      <c r="E1465" t="s">
        <v>8445</v>
      </c>
      <c r="F1465" t="s">
        <v>8448</v>
      </c>
      <c r="G1465" t="s">
        <v>8702</v>
      </c>
    </row>
    <row r="1466" spans="1:7">
      <c r="A1466" t="s">
        <v>3985</v>
      </c>
      <c r="C1466" t="s">
        <v>8394</v>
      </c>
      <c r="D1466" t="s">
        <v>8416</v>
      </c>
      <c r="E1466" t="s">
        <v>8444</v>
      </c>
      <c r="F1466" t="s">
        <v>8448</v>
      </c>
      <c r="G1466" t="s">
        <v>8703</v>
      </c>
    </row>
    <row r="1467" spans="1:7">
      <c r="A1467" t="s">
        <v>3986</v>
      </c>
      <c r="C1467" t="s">
        <v>8393</v>
      </c>
      <c r="D1467" t="s">
        <v>8393</v>
      </c>
      <c r="E1467" t="s">
        <v>919</v>
      </c>
      <c r="F1467" t="s">
        <v>8393</v>
      </c>
    </row>
    <row r="1468" spans="1:7">
      <c r="A1468" t="s">
        <v>3987</v>
      </c>
      <c r="B1468" t="s">
        <v>8273</v>
      </c>
      <c r="C1468" t="s">
        <v>8395</v>
      </c>
      <c r="D1468" t="s">
        <v>8400</v>
      </c>
      <c r="E1468" t="s">
        <v>8444</v>
      </c>
      <c r="F1468" t="s">
        <v>8449</v>
      </c>
      <c r="G1468" t="s">
        <v>8455</v>
      </c>
    </row>
    <row r="1469" spans="1:7">
      <c r="A1469" t="s">
        <v>3988</v>
      </c>
      <c r="B1469" t="s">
        <v>8277</v>
      </c>
      <c r="C1469" t="s">
        <v>8395</v>
      </c>
      <c r="D1469" t="s">
        <v>8400</v>
      </c>
      <c r="E1469" t="s">
        <v>8444</v>
      </c>
      <c r="F1469" t="s">
        <v>8449</v>
      </c>
      <c r="G1469" t="s">
        <v>8455</v>
      </c>
    </row>
    <row r="1470" spans="1:7">
      <c r="A1470" t="s">
        <v>3989</v>
      </c>
      <c r="B1470" t="s">
        <v>8273</v>
      </c>
      <c r="C1470" t="s">
        <v>8392</v>
      </c>
      <c r="D1470" t="s">
        <v>8400</v>
      </c>
      <c r="E1470" t="s">
        <v>8446</v>
      </c>
      <c r="F1470" t="s">
        <v>8449</v>
      </c>
      <c r="G1470" t="s">
        <v>8455</v>
      </c>
    </row>
    <row r="1471" spans="1:7">
      <c r="A1471" t="s">
        <v>3990</v>
      </c>
      <c r="C1471" t="s">
        <v>8393</v>
      </c>
      <c r="D1471" t="s">
        <v>8393</v>
      </c>
      <c r="E1471" t="s">
        <v>919</v>
      </c>
      <c r="F1471" t="s">
        <v>8393</v>
      </c>
    </row>
    <row r="1472" spans="1:7">
      <c r="A1472" t="s">
        <v>3991</v>
      </c>
      <c r="B1472" t="s">
        <v>8273</v>
      </c>
      <c r="C1472" t="s">
        <v>8395</v>
      </c>
      <c r="D1472" t="s">
        <v>8400</v>
      </c>
      <c r="E1472" t="s">
        <v>1587</v>
      </c>
      <c r="F1472" t="s">
        <v>8449</v>
      </c>
      <c r="G1472" t="s">
        <v>8455</v>
      </c>
    </row>
    <row r="1473" spans="1:7">
      <c r="A1473" t="s">
        <v>3992</v>
      </c>
      <c r="B1473" t="s">
        <v>8277</v>
      </c>
      <c r="C1473" t="s">
        <v>8395</v>
      </c>
      <c r="D1473" t="s">
        <v>8400</v>
      </c>
      <c r="E1473" t="s">
        <v>1587</v>
      </c>
      <c r="F1473" t="s">
        <v>8449</v>
      </c>
      <c r="G1473" t="s">
        <v>8455</v>
      </c>
    </row>
    <row r="1474" spans="1:7">
      <c r="A1474" t="s">
        <v>3993</v>
      </c>
      <c r="C1474" t="s">
        <v>8393</v>
      </c>
      <c r="D1474" t="s">
        <v>8393</v>
      </c>
      <c r="E1474" t="s">
        <v>919</v>
      </c>
      <c r="F1474" t="s">
        <v>8393</v>
      </c>
    </row>
    <row r="1475" spans="1:7">
      <c r="A1475" t="s">
        <v>3994</v>
      </c>
      <c r="B1475" t="s">
        <v>8273</v>
      </c>
      <c r="C1475" t="s">
        <v>8394</v>
      </c>
      <c r="D1475" t="s">
        <v>8422</v>
      </c>
      <c r="E1475" t="s">
        <v>8444</v>
      </c>
      <c r="F1475" t="s">
        <v>8449</v>
      </c>
      <c r="G1475" t="s">
        <v>8455</v>
      </c>
    </row>
    <row r="1476" spans="1:7">
      <c r="A1476" t="s">
        <v>3995</v>
      </c>
      <c r="B1476" t="s">
        <v>8273</v>
      </c>
      <c r="C1476" t="s">
        <v>8395</v>
      </c>
      <c r="D1476" t="s">
        <v>8422</v>
      </c>
      <c r="E1476" t="s">
        <v>8444</v>
      </c>
      <c r="F1476" t="s">
        <v>8449</v>
      </c>
      <c r="G1476" t="s">
        <v>8455</v>
      </c>
    </row>
    <row r="1477" spans="1:7">
      <c r="A1477" t="s">
        <v>3996</v>
      </c>
      <c r="B1477" t="s">
        <v>8273</v>
      </c>
      <c r="C1477" t="s">
        <v>8394</v>
      </c>
      <c r="D1477" t="s">
        <v>8422</v>
      </c>
      <c r="E1477" t="s">
        <v>8444</v>
      </c>
      <c r="F1477" t="s">
        <v>8449</v>
      </c>
      <c r="G1477" t="s">
        <v>8455</v>
      </c>
    </row>
    <row r="1478" spans="1:7">
      <c r="A1478" t="s">
        <v>3997</v>
      </c>
      <c r="B1478" t="s">
        <v>8300</v>
      </c>
      <c r="C1478" t="s">
        <v>8394</v>
      </c>
      <c r="D1478" t="s">
        <v>8422</v>
      </c>
      <c r="E1478" t="s">
        <v>8444</v>
      </c>
      <c r="F1478" t="s">
        <v>8449</v>
      </c>
      <c r="G1478" t="s">
        <v>8455</v>
      </c>
    </row>
    <row r="1479" spans="1:7">
      <c r="A1479" t="s">
        <v>3998</v>
      </c>
      <c r="B1479" t="s">
        <v>8285</v>
      </c>
      <c r="C1479" t="s">
        <v>8395</v>
      </c>
      <c r="D1479" t="s">
        <v>8422</v>
      </c>
      <c r="E1479" t="s">
        <v>8444</v>
      </c>
      <c r="F1479" t="s">
        <v>8449</v>
      </c>
      <c r="G1479" t="s">
        <v>8455</v>
      </c>
    </row>
    <row r="1480" spans="1:7">
      <c r="A1480" t="s">
        <v>3999</v>
      </c>
      <c r="B1480" t="s">
        <v>8286</v>
      </c>
      <c r="C1480" t="s">
        <v>8395</v>
      </c>
      <c r="D1480" t="s">
        <v>8422</v>
      </c>
      <c r="E1480" t="s">
        <v>8444</v>
      </c>
      <c r="F1480" t="s">
        <v>8449</v>
      </c>
      <c r="G1480" t="s">
        <v>8455</v>
      </c>
    </row>
    <row r="1481" spans="1:7">
      <c r="A1481" t="s">
        <v>4000</v>
      </c>
      <c r="B1481" t="s">
        <v>8273</v>
      </c>
      <c r="C1481" t="s">
        <v>8395</v>
      </c>
      <c r="D1481" t="s">
        <v>8422</v>
      </c>
      <c r="E1481" t="s">
        <v>8444</v>
      </c>
      <c r="F1481" t="s">
        <v>8449</v>
      </c>
      <c r="G1481" t="s">
        <v>8455</v>
      </c>
    </row>
    <row r="1482" spans="1:7">
      <c r="A1482" t="s">
        <v>4001</v>
      </c>
      <c r="B1482" t="s">
        <v>8277</v>
      </c>
      <c r="C1482" t="s">
        <v>8395</v>
      </c>
      <c r="D1482" t="s">
        <v>8422</v>
      </c>
      <c r="E1482" t="s">
        <v>8444</v>
      </c>
      <c r="F1482" t="s">
        <v>8449</v>
      </c>
      <c r="G1482" t="s">
        <v>8455</v>
      </c>
    </row>
    <row r="1483" spans="1:7">
      <c r="A1483" t="s">
        <v>4002</v>
      </c>
      <c r="B1483" t="s">
        <v>8273</v>
      </c>
      <c r="C1483" t="s">
        <v>8394</v>
      </c>
      <c r="D1483" t="s">
        <v>8402</v>
      </c>
      <c r="E1483" t="s">
        <v>8446</v>
      </c>
      <c r="F1483" t="s">
        <v>8448</v>
      </c>
      <c r="G1483" t="s">
        <v>8704</v>
      </c>
    </row>
    <row r="1484" spans="1:7">
      <c r="A1484" t="s">
        <v>4003</v>
      </c>
      <c r="B1484" t="s">
        <v>8299</v>
      </c>
      <c r="C1484" t="s">
        <v>8397</v>
      </c>
      <c r="D1484" t="s">
        <v>8430</v>
      </c>
      <c r="E1484" t="s">
        <v>1519</v>
      </c>
      <c r="F1484" t="s">
        <v>8449</v>
      </c>
      <c r="G1484" t="s">
        <v>795</v>
      </c>
    </row>
    <row r="1485" spans="1:7">
      <c r="A1485" t="s">
        <v>4004</v>
      </c>
      <c r="B1485" t="s">
        <v>8273</v>
      </c>
      <c r="C1485" t="s">
        <v>8398</v>
      </c>
      <c r="D1485" t="s">
        <v>8409</v>
      </c>
      <c r="E1485" t="s">
        <v>8444</v>
      </c>
      <c r="F1485" t="s">
        <v>8449</v>
      </c>
      <c r="G1485" t="s">
        <v>8453</v>
      </c>
    </row>
    <row r="1486" spans="1:7">
      <c r="A1486" t="s">
        <v>4005</v>
      </c>
      <c r="B1486" t="s">
        <v>8273</v>
      </c>
      <c r="C1486" t="s">
        <v>8396</v>
      </c>
      <c r="D1486" t="s">
        <v>8425</v>
      </c>
      <c r="E1486" t="s">
        <v>8444</v>
      </c>
      <c r="F1486" t="s">
        <v>8448</v>
      </c>
      <c r="G1486" t="s">
        <v>8705</v>
      </c>
    </row>
    <row r="1487" spans="1:7">
      <c r="A1487" t="s">
        <v>4006</v>
      </c>
      <c r="B1487" t="s">
        <v>8299</v>
      </c>
      <c r="C1487" t="s">
        <v>8397</v>
      </c>
      <c r="D1487" t="s">
        <v>8430</v>
      </c>
      <c r="E1487" t="s">
        <v>1519</v>
      </c>
      <c r="F1487" t="s">
        <v>8449</v>
      </c>
      <c r="G1487" t="s">
        <v>795</v>
      </c>
    </row>
    <row r="1488" spans="1:7">
      <c r="A1488" t="s">
        <v>4007</v>
      </c>
      <c r="C1488" t="s">
        <v>8394</v>
      </c>
      <c r="D1488" t="s">
        <v>8416</v>
      </c>
      <c r="E1488" t="s">
        <v>8446</v>
      </c>
      <c r="F1488" t="s">
        <v>8448</v>
      </c>
      <c r="G1488" t="s">
        <v>8521</v>
      </c>
    </row>
    <row r="1489" spans="1:7">
      <c r="A1489" t="s">
        <v>4008</v>
      </c>
      <c r="B1489" t="s">
        <v>8299</v>
      </c>
      <c r="C1489" t="s">
        <v>8397</v>
      </c>
      <c r="D1489" t="s">
        <v>8431</v>
      </c>
      <c r="E1489" t="s">
        <v>8444</v>
      </c>
      <c r="F1489" t="s">
        <v>8449</v>
      </c>
      <c r="G1489" t="s">
        <v>796</v>
      </c>
    </row>
    <row r="1490" spans="1:7">
      <c r="A1490" t="s">
        <v>4009</v>
      </c>
      <c r="B1490" t="s">
        <v>8273</v>
      </c>
      <c r="C1490" t="s">
        <v>8394</v>
      </c>
      <c r="D1490" t="s">
        <v>8402</v>
      </c>
      <c r="E1490" t="s">
        <v>8446</v>
      </c>
      <c r="F1490" t="s">
        <v>8448</v>
      </c>
      <c r="G1490" t="s">
        <v>8706</v>
      </c>
    </row>
    <row r="1491" spans="1:7">
      <c r="A1491" t="s">
        <v>4010</v>
      </c>
      <c r="C1491" t="s">
        <v>8394</v>
      </c>
      <c r="D1491" t="s">
        <v>8413</v>
      </c>
      <c r="E1491" t="s">
        <v>8445</v>
      </c>
      <c r="F1491" t="s">
        <v>8448</v>
      </c>
      <c r="G1491" t="s">
        <v>8707</v>
      </c>
    </row>
    <row r="1492" spans="1:7">
      <c r="A1492" t="s">
        <v>4011</v>
      </c>
      <c r="B1492" t="s">
        <v>8273</v>
      </c>
      <c r="C1492" t="s">
        <v>8396</v>
      </c>
      <c r="D1492" t="s">
        <v>8405</v>
      </c>
      <c r="E1492" t="s">
        <v>8446</v>
      </c>
      <c r="F1492" t="s">
        <v>8449</v>
      </c>
      <c r="G1492" t="s">
        <v>8708</v>
      </c>
    </row>
    <row r="1493" spans="1:7">
      <c r="A1493" t="s">
        <v>4012</v>
      </c>
      <c r="C1493" t="s">
        <v>8393</v>
      </c>
      <c r="D1493" t="s">
        <v>8393</v>
      </c>
      <c r="E1493" t="s">
        <v>919</v>
      </c>
      <c r="F1493" t="s">
        <v>8393</v>
      </c>
    </row>
    <row r="1494" spans="1:7">
      <c r="A1494" t="s">
        <v>4013</v>
      </c>
      <c r="B1494" t="s">
        <v>8273</v>
      </c>
      <c r="C1494" t="s">
        <v>8394</v>
      </c>
      <c r="D1494" t="s">
        <v>8422</v>
      </c>
      <c r="E1494" t="s">
        <v>8446</v>
      </c>
      <c r="F1494" t="s">
        <v>8449</v>
      </c>
      <c r="G1494" t="s">
        <v>8455</v>
      </c>
    </row>
    <row r="1495" spans="1:7">
      <c r="A1495" t="s">
        <v>4014</v>
      </c>
      <c r="B1495" t="s">
        <v>8273</v>
      </c>
      <c r="C1495" t="s">
        <v>8394</v>
      </c>
      <c r="D1495" t="s">
        <v>8422</v>
      </c>
      <c r="E1495" t="s">
        <v>8446</v>
      </c>
      <c r="F1495" t="s">
        <v>8449</v>
      </c>
      <c r="G1495" t="s">
        <v>8455</v>
      </c>
    </row>
    <row r="1496" spans="1:7">
      <c r="A1496" t="s">
        <v>4015</v>
      </c>
      <c r="C1496" t="s">
        <v>8394</v>
      </c>
      <c r="D1496" t="s">
        <v>8424</v>
      </c>
      <c r="E1496" t="s">
        <v>8445</v>
      </c>
      <c r="F1496" t="s">
        <v>8450</v>
      </c>
      <c r="G1496" t="s">
        <v>8709</v>
      </c>
    </row>
    <row r="1497" spans="1:7">
      <c r="A1497" t="s">
        <v>4016</v>
      </c>
      <c r="B1497" t="s">
        <v>8273</v>
      </c>
      <c r="C1497" t="s">
        <v>8395</v>
      </c>
      <c r="D1497" t="s">
        <v>8416</v>
      </c>
      <c r="E1497" t="s">
        <v>8446</v>
      </c>
      <c r="F1497" t="s">
        <v>8448</v>
      </c>
      <c r="G1497" t="s">
        <v>8455</v>
      </c>
    </row>
    <row r="1498" spans="1:7">
      <c r="A1498" t="s">
        <v>4017</v>
      </c>
      <c r="B1498" t="s">
        <v>8299</v>
      </c>
      <c r="C1498" t="s">
        <v>8397</v>
      </c>
      <c r="D1498" t="s">
        <v>8431</v>
      </c>
      <c r="E1498" t="s">
        <v>1587</v>
      </c>
      <c r="F1498" t="s">
        <v>8448</v>
      </c>
      <c r="G1498" t="s">
        <v>8710</v>
      </c>
    </row>
    <row r="1499" spans="1:7">
      <c r="A1499" t="s">
        <v>4018</v>
      </c>
      <c r="C1499" t="s">
        <v>8392</v>
      </c>
      <c r="D1499" t="s">
        <v>8400</v>
      </c>
      <c r="E1499" t="s">
        <v>1519</v>
      </c>
      <c r="F1499" t="s">
        <v>8449</v>
      </c>
      <c r="G1499" t="s">
        <v>795</v>
      </c>
    </row>
    <row r="1500" spans="1:7">
      <c r="A1500" t="s">
        <v>4019</v>
      </c>
      <c r="B1500" t="s">
        <v>8273</v>
      </c>
      <c r="C1500" t="s">
        <v>8392</v>
      </c>
      <c r="D1500" t="s">
        <v>8400</v>
      </c>
      <c r="E1500" t="s">
        <v>1519</v>
      </c>
      <c r="F1500" t="s">
        <v>8449</v>
      </c>
      <c r="G1500" t="s">
        <v>796</v>
      </c>
    </row>
    <row r="1501" spans="1:7">
      <c r="A1501" t="s">
        <v>4020</v>
      </c>
      <c r="C1501" t="s">
        <v>8393</v>
      </c>
      <c r="D1501" t="s">
        <v>8393</v>
      </c>
      <c r="E1501" t="s">
        <v>919</v>
      </c>
      <c r="F1501" t="s">
        <v>8393</v>
      </c>
    </row>
    <row r="1502" spans="1:7">
      <c r="A1502" t="s">
        <v>4021</v>
      </c>
      <c r="B1502" t="s">
        <v>8273</v>
      </c>
      <c r="C1502" t="s">
        <v>8392</v>
      </c>
      <c r="D1502" t="s">
        <v>8400</v>
      </c>
      <c r="E1502" t="s">
        <v>8444</v>
      </c>
      <c r="F1502" t="s">
        <v>8448</v>
      </c>
      <c r="G1502" t="s">
        <v>8455</v>
      </c>
    </row>
    <row r="1503" spans="1:7">
      <c r="A1503" t="s">
        <v>4022</v>
      </c>
      <c r="B1503" t="s">
        <v>8300</v>
      </c>
      <c r="C1503" t="s">
        <v>8392</v>
      </c>
      <c r="D1503" t="s">
        <v>8400</v>
      </c>
      <c r="E1503" t="s">
        <v>8445</v>
      </c>
      <c r="F1503" t="s">
        <v>8448</v>
      </c>
      <c r="G1503" t="s">
        <v>8711</v>
      </c>
    </row>
    <row r="1504" spans="1:7">
      <c r="A1504" t="s">
        <v>4023</v>
      </c>
      <c r="B1504" t="s">
        <v>8273</v>
      </c>
      <c r="C1504" t="s">
        <v>8392</v>
      </c>
      <c r="D1504" t="s">
        <v>8400</v>
      </c>
      <c r="E1504" t="s">
        <v>8445</v>
      </c>
      <c r="F1504" t="s">
        <v>8448</v>
      </c>
      <c r="G1504" t="s">
        <v>8711</v>
      </c>
    </row>
    <row r="1505" spans="1:7">
      <c r="A1505" t="s">
        <v>4024</v>
      </c>
      <c r="B1505" t="s">
        <v>8300</v>
      </c>
      <c r="C1505" t="s">
        <v>8392</v>
      </c>
      <c r="D1505" t="s">
        <v>8400</v>
      </c>
      <c r="E1505" t="s">
        <v>8445</v>
      </c>
      <c r="F1505" t="s">
        <v>8448</v>
      </c>
      <c r="G1505" t="s">
        <v>8455</v>
      </c>
    </row>
    <row r="1506" spans="1:7">
      <c r="A1506" t="s">
        <v>4025</v>
      </c>
      <c r="B1506" t="s">
        <v>8285</v>
      </c>
      <c r="C1506" t="s">
        <v>8395</v>
      </c>
      <c r="D1506" t="s">
        <v>8400</v>
      </c>
      <c r="E1506" t="s">
        <v>8445</v>
      </c>
      <c r="F1506" t="s">
        <v>8448</v>
      </c>
      <c r="G1506" t="s">
        <v>8455</v>
      </c>
    </row>
    <row r="1507" spans="1:7">
      <c r="A1507" t="s">
        <v>4026</v>
      </c>
      <c r="B1507" t="s">
        <v>8286</v>
      </c>
      <c r="C1507" t="s">
        <v>8395</v>
      </c>
      <c r="D1507" t="s">
        <v>8400</v>
      </c>
      <c r="E1507" t="s">
        <v>8445</v>
      </c>
      <c r="F1507" t="s">
        <v>8448</v>
      </c>
      <c r="G1507" t="s">
        <v>8455</v>
      </c>
    </row>
    <row r="1508" spans="1:7">
      <c r="A1508" t="s">
        <v>4027</v>
      </c>
      <c r="B1508" t="s">
        <v>8273</v>
      </c>
      <c r="C1508" t="s">
        <v>8392</v>
      </c>
      <c r="D1508" t="s">
        <v>8400</v>
      </c>
      <c r="E1508" t="s">
        <v>8445</v>
      </c>
      <c r="F1508" t="s">
        <v>8448</v>
      </c>
      <c r="G1508" t="s">
        <v>8455</v>
      </c>
    </row>
    <row r="1509" spans="1:7">
      <c r="A1509" t="s">
        <v>4028</v>
      </c>
      <c r="B1509" t="s">
        <v>8273</v>
      </c>
      <c r="C1509" t="s">
        <v>8395</v>
      </c>
      <c r="D1509" t="s">
        <v>8400</v>
      </c>
      <c r="E1509" t="s">
        <v>8445</v>
      </c>
      <c r="F1509" t="s">
        <v>8448</v>
      </c>
      <c r="G1509" t="s">
        <v>8712</v>
      </c>
    </row>
    <row r="1510" spans="1:7">
      <c r="A1510" t="s">
        <v>4029</v>
      </c>
      <c r="B1510" t="s">
        <v>8273</v>
      </c>
      <c r="C1510" t="s">
        <v>8395</v>
      </c>
      <c r="D1510" t="s">
        <v>8406</v>
      </c>
      <c r="E1510" t="s">
        <v>8445</v>
      </c>
      <c r="F1510" t="s">
        <v>8449</v>
      </c>
      <c r="G1510" t="s">
        <v>8455</v>
      </c>
    </row>
    <row r="1511" spans="1:7">
      <c r="A1511" t="s">
        <v>4030</v>
      </c>
      <c r="B1511" t="s">
        <v>8277</v>
      </c>
      <c r="C1511" t="s">
        <v>8392</v>
      </c>
      <c r="D1511" t="s">
        <v>8400</v>
      </c>
      <c r="E1511" t="s">
        <v>8445</v>
      </c>
      <c r="F1511" t="s">
        <v>8448</v>
      </c>
      <c r="G1511" t="s">
        <v>8455</v>
      </c>
    </row>
    <row r="1512" spans="1:7">
      <c r="A1512" t="s">
        <v>4031</v>
      </c>
      <c r="B1512" t="s">
        <v>8274</v>
      </c>
      <c r="C1512" t="s">
        <v>8395</v>
      </c>
      <c r="D1512" t="s">
        <v>8400</v>
      </c>
      <c r="E1512" t="s">
        <v>8445</v>
      </c>
      <c r="F1512" t="s">
        <v>8448</v>
      </c>
      <c r="G1512" t="s">
        <v>8455</v>
      </c>
    </row>
    <row r="1513" spans="1:7">
      <c r="A1513" t="s">
        <v>4032</v>
      </c>
      <c r="B1513" t="s">
        <v>8287</v>
      </c>
      <c r="C1513" t="s">
        <v>8395</v>
      </c>
      <c r="D1513" t="s">
        <v>8400</v>
      </c>
      <c r="E1513" t="s">
        <v>8445</v>
      </c>
      <c r="F1513" t="s">
        <v>8448</v>
      </c>
      <c r="G1513" t="s">
        <v>8455</v>
      </c>
    </row>
    <row r="1514" spans="1:7">
      <c r="A1514" t="s">
        <v>4033</v>
      </c>
      <c r="B1514" t="s">
        <v>8273</v>
      </c>
      <c r="C1514" t="s">
        <v>8392</v>
      </c>
      <c r="D1514" t="s">
        <v>8400</v>
      </c>
      <c r="E1514" t="s">
        <v>8445</v>
      </c>
      <c r="F1514" t="s">
        <v>8448</v>
      </c>
      <c r="G1514" t="s">
        <v>8455</v>
      </c>
    </row>
    <row r="1515" spans="1:7">
      <c r="A1515" t="s">
        <v>4034</v>
      </c>
      <c r="B1515" t="s">
        <v>8277</v>
      </c>
      <c r="C1515" t="s">
        <v>8395</v>
      </c>
      <c r="D1515" t="s">
        <v>8400</v>
      </c>
      <c r="E1515" t="s">
        <v>8445</v>
      </c>
      <c r="F1515" t="s">
        <v>8448</v>
      </c>
      <c r="G1515" t="s">
        <v>8455</v>
      </c>
    </row>
    <row r="1516" spans="1:7">
      <c r="A1516" t="s">
        <v>4035</v>
      </c>
      <c r="B1516" t="s">
        <v>8273</v>
      </c>
      <c r="C1516" t="s">
        <v>8392</v>
      </c>
      <c r="D1516" t="s">
        <v>8415</v>
      </c>
      <c r="E1516" t="s">
        <v>8445</v>
      </c>
      <c r="F1516" t="s">
        <v>8448</v>
      </c>
      <c r="G1516" t="s">
        <v>8713</v>
      </c>
    </row>
    <row r="1517" spans="1:7">
      <c r="A1517" t="s">
        <v>4036</v>
      </c>
      <c r="C1517" t="s">
        <v>8393</v>
      </c>
      <c r="D1517" t="s">
        <v>8393</v>
      </c>
      <c r="E1517" t="s">
        <v>919</v>
      </c>
      <c r="F1517" t="s">
        <v>8393</v>
      </c>
    </row>
    <row r="1518" spans="1:7">
      <c r="A1518" t="s">
        <v>4037</v>
      </c>
      <c r="B1518" t="s">
        <v>8273</v>
      </c>
      <c r="C1518" t="s">
        <v>8395</v>
      </c>
      <c r="D1518" t="s">
        <v>8400</v>
      </c>
      <c r="E1518" t="s">
        <v>8446</v>
      </c>
      <c r="F1518" t="s">
        <v>8448</v>
      </c>
      <c r="G1518" t="s">
        <v>8455</v>
      </c>
    </row>
    <row r="1519" spans="1:7">
      <c r="A1519" t="s">
        <v>4038</v>
      </c>
      <c r="B1519" t="s">
        <v>8277</v>
      </c>
      <c r="C1519" t="s">
        <v>8395</v>
      </c>
      <c r="D1519" t="s">
        <v>8400</v>
      </c>
      <c r="E1519" t="s">
        <v>8446</v>
      </c>
      <c r="F1519" t="s">
        <v>8448</v>
      </c>
      <c r="G1519" t="s">
        <v>8455</v>
      </c>
    </row>
    <row r="1520" spans="1:7">
      <c r="A1520" t="s">
        <v>4039</v>
      </c>
      <c r="B1520" t="s">
        <v>8273</v>
      </c>
      <c r="C1520" t="s">
        <v>8395</v>
      </c>
      <c r="D1520" t="s">
        <v>8400</v>
      </c>
      <c r="E1520" t="s">
        <v>8446</v>
      </c>
      <c r="F1520" t="s">
        <v>8449</v>
      </c>
      <c r="G1520" t="s">
        <v>8455</v>
      </c>
    </row>
    <row r="1521" spans="1:7">
      <c r="A1521" t="s">
        <v>4040</v>
      </c>
      <c r="C1521" t="s">
        <v>8395</v>
      </c>
      <c r="D1521" t="s">
        <v>8416</v>
      </c>
      <c r="E1521" t="s">
        <v>8444</v>
      </c>
      <c r="F1521" t="s">
        <v>8448</v>
      </c>
      <c r="G1521" t="s">
        <v>8455</v>
      </c>
    </row>
    <row r="1522" spans="1:7">
      <c r="A1522" t="s">
        <v>4041</v>
      </c>
      <c r="C1522" t="s">
        <v>8395</v>
      </c>
      <c r="D1522" t="s">
        <v>8416</v>
      </c>
      <c r="E1522" t="s">
        <v>8444</v>
      </c>
      <c r="F1522" t="s">
        <v>8448</v>
      </c>
      <c r="G1522" t="s">
        <v>8455</v>
      </c>
    </row>
    <row r="1523" spans="1:7">
      <c r="A1523" t="s">
        <v>4042</v>
      </c>
      <c r="C1523" t="s">
        <v>8397</v>
      </c>
      <c r="D1523" t="s">
        <v>8412</v>
      </c>
      <c r="E1523" t="s">
        <v>8445</v>
      </c>
      <c r="F1523" t="s">
        <v>8450</v>
      </c>
    </row>
    <row r="1524" spans="1:7">
      <c r="A1524" t="s">
        <v>4043</v>
      </c>
      <c r="C1524" t="s">
        <v>8398</v>
      </c>
      <c r="D1524" t="s">
        <v>8419</v>
      </c>
      <c r="E1524" t="s">
        <v>8444</v>
      </c>
      <c r="F1524" t="s">
        <v>8449</v>
      </c>
      <c r="G1524" t="s">
        <v>8455</v>
      </c>
    </row>
    <row r="1525" spans="1:7">
      <c r="A1525" t="s">
        <v>4044</v>
      </c>
      <c r="C1525" t="s">
        <v>8397</v>
      </c>
      <c r="D1525" t="s">
        <v>8431</v>
      </c>
      <c r="E1525" t="s">
        <v>8445</v>
      </c>
      <c r="F1525" t="s">
        <v>8448</v>
      </c>
      <c r="G1525" t="s">
        <v>8474</v>
      </c>
    </row>
    <row r="1526" spans="1:7">
      <c r="A1526" t="s">
        <v>4045</v>
      </c>
      <c r="B1526" t="s">
        <v>8273</v>
      </c>
      <c r="C1526" t="s">
        <v>8394</v>
      </c>
      <c r="D1526" t="s">
        <v>8417</v>
      </c>
      <c r="E1526" t="s">
        <v>8446</v>
      </c>
      <c r="F1526" t="s">
        <v>8448</v>
      </c>
      <c r="G1526" t="s">
        <v>8455</v>
      </c>
    </row>
    <row r="1527" spans="1:7">
      <c r="A1527" t="s">
        <v>4046</v>
      </c>
      <c r="B1527" t="s">
        <v>8273</v>
      </c>
      <c r="C1527" t="s">
        <v>8396</v>
      </c>
      <c r="D1527" t="s">
        <v>8425</v>
      </c>
      <c r="E1527" t="s">
        <v>8444</v>
      </c>
      <c r="F1527" t="s">
        <v>8448</v>
      </c>
      <c r="G1527" t="s">
        <v>8455</v>
      </c>
    </row>
    <row r="1528" spans="1:7">
      <c r="A1528" t="s">
        <v>4047</v>
      </c>
      <c r="B1528" t="s">
        <v>8273</v>
      </c>
      <c r="C1528" t="s">
        <v>8397</v>
      </c>
      <c r="D1528" t="s">
        <v>8421</v>
      </c>
      <c r="E1528" t="s">
        <v>8446</v>
      </c>
      <c r="F1528" t="s">
        <v>8449</v>
      </c>
      <c r="G1528" t="s">
        <v>8455</v>
      </c>
    </row>
    <row r="1529" spans="1:7">
      <c r="A1529" t="s">
        <v>4048</v>
      </c>
      <c r="B1529" t="s">
        <v>8273</v>
      </c>
      <c r="C1529" t="s">
        <v>8394</v>
      </c>
      <c r="D1529" t="s">
        <v>8414</v>
      </c>
      <c r="E1529" t="s">
        <v>8444</v>
      </c>
      <c r="F1529" t="s">
        <v>8449</v>
      </c>
      <c r="G1529" t="s">
        <v>8455</v>
      </c>
    </row>
    <row r="1530" spans="1:7">
      <c r="A1530" t="s">
        <v>4049</v>
      </c>
      <c r="B1530" t="s">
        <v>8273</v>
      </c>
      <c r="C1530" t="s">
        <v>8394</v>
      </c>
      <c r="D1530" t="s">
        <v>8414</v>
      </c>
      <c r="E1530" t="s">
        <v>8445</v>
      </c>
      <c r="F1530" t="s">
        <v>8449</v>
      </c>
      <c r="G1530" t="s">
        <v>8453</v>
      </c>
    </row>
    <row r="1531" spans="1:7">
      <c r="A1531" t="s">
        <v>4050</v>
      </c>
      <c r="B1531" t="s">
        <v>8273</v>
      </c>
      <c r="C1531" t="s">
        <v>8395</v>
      </c>
      <c r="D1531" t="s">
        <v>8422</v>
      </c>
      <c r="E1531" t="s">
        <v>8444</v>
      </c>
      <c r="F1531" t="s">
        <v>8449</v>
      </c>
      <c r="G1531" t="s">
        <v>796</v>
      </c>
    </row>
    <row r="1532" spans="1:7">
      <c r="A1532" t="s">
        <v>4051</v>
      </c>
      <c r="B1532" t="s">
        <v>8273</v>
      </c>
      <c r="C1532" t="s">
        <v>8398</v>
      </c>
      <c r="D1532" t="s">
        <v>8409</v>
      </c>
      <c r="E1532" t="s">
        <v>8445</v>
      </c>
      <c r="F1532" t="s">
        <v>8448</v>
      </c>
      <c r="G1532" t="s">
        <v>8714</v>
      </c>
    </row>
    <row r="1533" spans="1:7">
      <c r="A1533" t="s">
        <v>4052</v>
      </c>
      <c r="B1533" t="s">
        <v>8273</v>
      </c>
      <c r="C1533" t="s">
        <v>8398</v>
      </c>
      <c r="D1533" t="s">
        <v>8419</v>
      </c>
      <c r="E1533" t="s">
        <v>8444</v>
      </c>
      <c r="F1533" t="s">
        <v>8449</v>
      </c>
      <c r="G1533" t="s">
        <v>8455</v>
      </c>
    </row>
    <row r="1534" spans="1:7">
      <c r="A1534" t="s">
        <v>4053</v>
      </c>
      <c r="C1534" t="s">
        <v>8392</v>
      </c>
      <c r="D1534" t="s">
        <v>8400</v>
      </c>
      <c r="E1534" t="s">
        <v>1519</v>
      </c>
      <c r="F1534" t="s">
        <v>8449</v>
      </c>
      <c r="G1534" t="s">
        <v>8455</v>
      </c>
    </row>
    <row r="1535" spans="1:7">
      <c r="A1535" t="s">
        <v>4054</v>
      </c>
      <c r="C1535" t="s">
        <v>8392</v>
      </c>
      <c r="D1535" t="s">
        <v>8400</v>
      </c>
      <c r="E1535" t="s">
        <v>1519</v>
      </c>
      <c r="F1535" t="s">
        <v>8449</v>
      </c>
      <c r="G1535" t="s">
        <v>795</v>
      </c>
    </row>
    <row r="1536" spans="1:7">
      <c r="A1536" t="s">
        <v>4055</v>
      </c>
      <c r="B1536" t="s">
        <v>8273</v>
      </c>
      <c r="C1536" t="s">
        <v>8392</v>
      </c>
      <c r="D1536" t="s">
        <v>8415</v>
      </c>
      <c r="E1536" t="s">
        <v>8444</v>
      </c>
      <c r="F1536" t="s">
        <v>8448</v>
      </c>
      <c r="G1536" t="s">
        <v>8455</v>
      </c>
    </row>
    <row r="1537" spans="1:7">
      <c r="A1537" t="s">
        <v>4056</v>
      </c>
      <c r="B1537" t="s">
        <v>8273</v>
      </c>
      <c r="C1537" t="s">
        <v>8396</v>
      </c>
      <c r="D1537" t="s">
        <v>8425</v>
      </c>
      <c r="E1537" t="s">
        <v>1587</v>
      </c>
      <c r="F1537" t="s">
        <v>8449</v>
      </c>
      <c r="G1537" t="s">
        <v>8455</v>
      </c>
    </row>
    <row r="1538" spans="1:7">
      <c r="A1538" t="s">
        <v>4057</v>
      </c>
      <c r="C1538" t="s">
        <v>8394</v>
      </c>
      <c r="D1538" t="s">
        <v>8402</v>
      </c>
      <c r="E1538" t="s">
        <v>8446</v>
      </c>
      <c r="F1538" t="s">
        <v>8448</v>
      </c>
      <c r="G1538" t="s">
        <v>8715</v>
      </c>
    </row>
    <row r="1539" spans="1:7">
      <c r="A1539" t="s">
        <v>4058</v>
      </c>
      <c r="C1539" t="s">
        <v>8393</v>
      </c>
      <c r="D1539" t="s">
        <v>8393</v>
      </c>
      <c r="E1539" t="s">
        <v>919</v>
      </c>
      <c r="F1539" t="s">
        <v>8393</v>
      </c>
    </row>
    <row r="1540" spans="1:7">
      <c r="A1540" t="s">
        <v>4059</v>
      </c>
      <c r="C1540" t="s">
        <v>8394</v>
      </c>
      <c r="D1540" t="s">
        <v>8401</v>
      </c>
      <c r="E1540" t="s">
        <v>8445</v>
      </c>
      <c r="F1540" t="s">
        <v>8450</v>
      </c>
      <c r="G1540" t="s">
        <v>8716</v>
      </c>
    </row>
    <row r="1541" spans="1:7">
      <c r="A1541" t="s">
        <v>4060</v>
      </c>
      <c r="C1541" t="s">
        <v>8394</v>
      </c>
      <c r="D1541" t="s">
        <v>8401</v>
      </c>
      <c r="E1541" t="s">
        <v>8445</v>
      </c>
      <c r="F1541" t="s">
        <v>8450</v>
      </c>
      <c r="G1541" t="s">
        <v>8716</v>
      </c>
    </row>
    <row r="1542" spans="1:7">
      <c r="A1542" t="s">
        <v>4061</v>
      </c>
      <c r="C1542" t="s">
        <v>8394</v>
      </c>
      <c r="D1542" t="s">
        <v>8401</v>
      </c>
      <c r="E1542" t="s">
        <v>8445</v>
      </c>
      <c r="F1542" t="s">
        <v>8450</v>
      </c>
      <c r="G1542" t="s">
        <v>8716</v>
      </c>
    </row>
    <row r="1543" spans="1:7">
      <c r="A1543" t="s">
        <v>4062</v>
      </c>
      <c r="C1543" t="s">
        <v>8394</v>
      </c>
      <c r="D1543" t="s">
        <v>8401</v>
      </c>
      <c r="E1543" t="s">
        <v>8445</v>
      </c>
      <c r="F1543" t="s">
        <v>8450</v>
      </c>
      <c r="G1543" t="s">
        <v>8716</v>
      </c>
    </row>
    <row r="1544" spans="1:7">
      <c r="A1544" t="s">
        <v>4063</v>
      </c>
      <c r="C1544" t="s">
        <v>8394</v>
      </c>
      <c r="D1544" t="s">
        <v>8401</v>
      </c>
      <c r="E1544" t="s">
        <v>8445</v>
      </c>
      <c r="F1544" t="s">
        <v>8450</v>
      </c>
      <c r="G1544" t="s">
        <v>8716</v>
      </c>
    </row>
    <row r="1545" spans="1:7">
      <c r="A1545" t="s">
        <v>4064</v>
      </c>
      <c r="C1545" t="s">
        <v>8394</v>
      </c>
      <c r="D1545" t="s">
        <v>8401</v>
      </c>
      <c r="E1545" t="s">
        <v>8445</v>
      </c>
      <c r="F1545" t="s">
        <v>8450</v>
      </c>
      <c r="G1545" t="s">
        <v>8716</v>
      </c>
    </row>
    <row r="1546" spans="1:7">
      <c r="A1546" t="s">
        <v>4065</v>
      </c>
      <c r="C1546" t="s">
        <v>8394</v>
      </c>
      <c r="D1546" t="s">
        <v>8401</v>
      </c>
      <c r="E1546" t="s">
        <v>8445</v>
      </c>
      <c r="F1546" t="s">
        <v>8450</v>
      </c>
      <c r="G1546" t="s">
        <v>8716</v>
      </c>
    </row>
    <row r="1547" spans="1:7">
      <c r="A1547" t="s">
        <v>4066</v>
      </c>
      <c r="C1547" t="s">
        <v>8394</v>
      </c>
      <c r="D1547" t="s">
        <v>8401</v>
      </c>
      <c r="E1547" t="s">
        <v>8445</v>
      </c>
      <c r="F1547" t="s">
        <v>8450</v>
      </c>
      <c r="G1547" t="s">
        <v>8716</v>
      </c>
    </row>
    <row r="1548" spans="1:7">
      <c r="A1548" t="s">
        <v>4067</v>
      </c>
      <c r="C1548" t="s">
        <v>8394</v>
      </c>
      <c r="D1548" t="s">
        <v>8401</v>
      </c>
      <c r="E1548" t="s">
        <v>8445</v>
      </c>
      <c r="F1548" t="s">
        <v>8450</v>
      </c>
      <c r="G1548" t="s">
        <v>8716</v>
      </c>
    </row>
    <row r="1549" spans="1:7">
      <c r="A1549" t="s">
        <v>4068</v>
      </c>
      <c r="C1549" t="s">
        <v>8394</v>
      </c>
      <c r="D1549" t="s">
        <v>8401</v>
      </c>
      <c r="E1549" t="s">
        <v>8445</v>
      </c>
      <c r="F1549" t="s">
        <v>8450</v>
      </c>
      <c r="G1549" t="s">
        <v>8716</v>
      </c>
    </row>
    <row r="1550" spans="1:7">
      <c r="A1550" t="s">
        <v>4069</v>
      </c>
      <c r="C1550" t="s">
        <v>8394</v>
      </c>
      <c r="D1550" t="s">
        <v>8401</v>
      </c>
      <c r="E1550" t="s">
        <v>8445</v>
      </c>
      <c r="F1550" t="s">
        <v>8450</v>
      </c>
      <c r="G1550" t="s">
        <v>8716</v>
      </c>
    </row>
    <row r="1551" spans="1:7">
      <c r="A1551" t="s">
        <v>4070</v>
      </c>
      <c r="C1551" t="s">
        <v>8394</v>
      </c>
      <c r="D1551" t="s">
        <v>8401</v>
      </c>
      <c r="E1551" t="s">
        <v>8445</v>
      </c>
      <c r="F1551" t="s">
        <v>8450</v>
      </c>
      <c r="G1551" t="s">
        <v>8716</v>
      </c>
    </row>
    <row r="1552" spans="1:7">
      <c r="A1552" t="s">
        <v>4071</v>
      </c>
      <c r="C1552" t="s">
        <v>8394</v>
      </c>
      <c r="D1552" t="s">
        <v>8401</v>
      </c>
      <c r="E1552" t="s">
        <v>8445</v>
      </c>
      <c r="F1552" t="s">
        <v>8450</v>
      </c>
      <c r="G1552" t="s">
        <v>8716</v>
      </c>
    </row>
    <row r="1553" spans="1:7">
      <c r="A1553" t="s">
        <v>4072</v>
      </c>
      <c r="C1553" t="s">
        <v>8394</v>
      </c>
      <c r="D1553" t="s">
        <v>8401</v>
      </c>
      <c r="E1553" t="s">
        <v>8445</v>
      </c>
      <c r="F1553" t="s">
        <v>8450</v>
      </c>
      <c r="G1553" t="s">
        <v>8716</v>
      </c>
    </row>
    <row r="1554" spans="1:7">
      <c r="A1554" t="s">
        <v>4073</v>
      </c>
      <c r="C1554" t="s">
        <v>8394</v>
      </c>
      <c r="D1554" t="s">
        <v>8401</v>
      </c>
      <c r="E1554" t="s">
        <v>8445</v>
      </c>
      <c r="F1554" t="s">
        <v>8450</v>
      </c>
      <c r="G1554" t="s">
        <v>8716</v>
      </c>
    </row>
    <row r="1555" spans="1:7">
      <c r="A1555" t="s">
        <v>4074</v>
      </c>
      <c r="C1555" t="s">
        <v>8394</v>
      </c>
      <c r="D1555" t="s">
        <v>8401</v>
      </c>
      <c r="E1555" t="s">
        <v>8445</v>
      </c>
      <c r="F1555" t="s">
        <v>8450</v>
      </c>
      <c r="G1555" t="s">
        <v>8716</v>
      </c>
    </row>
    <row r="1556" spans="1:7">
      <c r="A1556" t="s">
        <v>4075</v>
      </c>
      <c r="C1556" t="s">
        <v>8394</v>
      </c>
      <c r="D1556" t="s">
        <v>8401</v>
      </c>
      <c r="E1556" t="s">
        <v>8445</v>
      </c>
      <c r="F1556" t="s">
        <v>8450</v>
      </c>
      <c r="G1556" t="s">
        <v>8716</v>
      </c>
    </row>
    <row r="1557" spans="1:7">
      <c r="A1557" t="s">
        <v>4076</v>
      </c>
      <c r="C1557" t="s">
        <v>8394</v>
      </c>
      <c r="D1557" t="s">
        <v>8401</v>
      </c>
      <c r="E1557" t="s">
        <v>8445</v>
      </c>
      <c r="F1557" t="s">
        <v>8450</v>
      </c>
      <c r="G1557" t="s">
        <v>8716</v>
      </c>
    </row>
    <row r="1558" spans="1:7">
      <c r="A1558" t="s">
        <v>4077</v>
      </c>
      <c r="C1558" t="s">
        <v>8394</v>
      </c>
      <c r="D1558" t="s">
        <v>8401</v>
      </c>
      <c r="E1558" t="s">
        <v>8445</v>
      </c>
      <c r="F1558" t="s">
        <v>8450</v>
      </c>
      <c r="G1558" t="s">
        <v>8716</v>
      </c>
    </row>
    <row r="1559" spans="1:7">
      <c r="A1559" t="s">
        <v>4078</v>
      </c>
      <c r="C1559" t="s">
        <v>8394</v>
      </c>
      <c r="D1559" t="s">
        <v>8401</v>
      </c>
      <c r="E1559" t="s">
        <v>8445</v>
      </c>
      <c r="F1559" t="s">
        <v>8450</v>
      </c>
      <c r="G1559" t="s">
        <v>8716</v>
      </c>
    </row>
    <row r="1560" spans="1:7">
      <c r="A1560" t="s">
        <v>4079</v>
      </c>
      <c r="C1560" t="s">
        <v>8394</v>
      </c>
      <c r="D1560" t="s">
        <v>8401</v>
      </c>
      <c r="E1560" t="s">
        <v>8445</v>
      </c>
      <c r="F1560" t="s">
        <v>8450</v>
      </c>
      <c r="G1560" t="s">
        <v>8716</v>
      </c>
    </row>
    <row r="1561" spans="1:7">
      <c r="A1561" t="s">
        <v>4080</v>
      </c>
      <c r="C1561" t="s">
        <v>8394</v>
      </c>
      <c r="D1561" t="s">
        <v>8401</v>
      </c>
      <c r="E1561" t="s">
        <v>8445</v>
      </c>
      <c r="F1561" t="s">
        <v>8450</v>
      </c>
      <c r="G1561" t="s">
        <v>8716</v>
      </c>
    </row>
    <row r="1562" spans="1:7">
      <c r="A1562" t="s">
        <v>4081</v>
      </c>
      <c r="C1562" t="s">
        <v>8394</v>
      </c>
      <c r="D1562" t="s">
        <v>8401</v>
      </c>
      <c r="E1562" t="s">
        <v>8445</v>
      </c>
      <c r="F1562" t="s">
        <v>8450</v>
      </c>
      <c r="G1562" t="s">
        <v>8716</v>
      </c>
    </row>
    <row r="1563" spans="1:7">
      <c r="A1563" t="s">
        <v>4082</v>
      </c>
      <c r="C1563" t="s">
        <v>8394</v>
      </c>
      <c r="D1563" t="s">
        <v>8401</v>
      </c>
      <c r="E1563" t="s">
        <v>8445</v>
      </c>
      <c r="F1563" t="s">
        <v>8450</v>
      </c>
      <c r="G1563" t="s">
        <v>8716</v>
      </c>
    </row>
    <row r="1564" spans="1:7">
      <c r="A1564" t="s">
        <v>4083</v>
      </c>
      <c r="C1564" t="s">
        <v>8394</v>
      </c>
      <c r="D1564" t="s">
        <v>8401</v>
      </c>
      <c r="E1564" t="s">
        <v>8445</v>
      </c>
      <c r="F1564" t="s">
        <v>8450</v>
      </c>
      <c r="G1564" t="s">
        <v>8716</v>
      </c>
    </row>
    <row r="1565" spans="1:7">
      <c r="A1565" t="s">
        <v>4084</v>
      </c>
      <c r="C1565" t="s">
        <v>8394</v>
      </c>
      <c r="D1565" t="s">
        <v>8401</v>
      </c>
      <c r="E1565" t="s">
        <v>8445</v>
      </c>
      <c r="F1565" t="s">
        <v>8450</v>
      </c>
      <c r="G1565" t="s">
        <v>8716</v>
      </c>
    </row>
    <row r="1566" spans="1:7">
      <c r="A1566" t="s">
        <v>4085</v>
      </c>
      <c r="C1566" t="s">
        <v>8394</v>
      </c>
      <c r="D1566" t="s">
        <v>8401</v>
      </c>
      <c r="E1566" t="s">
        <v>8445</v>
      </c>
      <c r="F1566" t="s">
        <v>8450</v>
      </c>
      <c r="G1566" t="s">
        <v>8716</v>
      </c>
    </row>
    <row r="1567" spans="1:7">
      <c r="A1567" t="s">
        <v>4086</v>
      </c>
      <c r="C1567" t="s">
        <v>8394</v>
      </c>
      <c r="D1567" t="s">
        <v>8401</v>
      </c>
      <c r="E1567" t="s">
        <v>8445</v>
      </c>
      <c r="F1567" t="s">
        <v>8450</v>
      </c>
      <c r="G1567" t="s">
        <v>8716</v>
      </c>
    </row>
    <row r="1568" spans="1:7">
      <c r="A1568" t="s">
        <v>4087</v>
      </c>
      <c r="C1568" t="s">
        <v>8394</v>
      </c>
      <c r="D1568" t="s">
        <v>8401</v>
      </c>
      <c r="E1568" t="s">
        <v>8445</v>
      </c>
      <c r="F1568" t="s">
        <v>8450</v>
      </c>
      <c r="G1568" t="s">
        <v>8716</v>
      </c>
    </row>
    <row r="1569" spans="1:7">
      <c r="A1569" t="s">
        <v>4088</v>
      </c>
      <c r="C1569" t="s">
        <v>8394</v>
      </c>
      <c r="D1569" t="s">
        <v>8401</v>
      </c>
      <c r="E1569" t="s">
        <v>8445</v>
      </c>
      <c r="F1569" t="s">
        <v>8450</v>
      </c>
      <c r="G1569" t="s">
        <v>8716</v>
      </c>
    </row>
    <row r="1570" spans="1:7">
      <c r="A1570" t="s">
        <v>4089</v>
      </c>
      <c r="C1570" t="s">
        <v>8394</v>
      </c>
      <c r="D1570" t="s">
        <v>8401</v>
      </c>
      <c r="E1570" t="s">
        <v>8445</v>
      </c>
      <c r="F1570" t="s">
        <v>8450</v>
      </c>
      <c r="G1570" t="s">
        <v>8716</v>
      </c>
    </row>
    <row r="1571" spans="1:7">
      <c r="A1571" t="s">
        <v>4090</v>
      </c>
      <c r="C1571" t="s">
        <v>8394</v>
      </c>
      <c r="D1571" t="s">
        <v>8401</v>
      </c>
      <c r="E1571" t="s">
        <v>8445</v>
      </c>
      <c r="F1571" t="s">
        <v>8450</v>
      </c>
      <c r="G1571" t="s">
        <v>8716</v>
      </c>
    </row>
    <row r="1572" spans="1:7">
      <c r="A1572" t="s">
        <v>4091</v>
      </c>
      <c r="C1572" t="s">
        <v>8394</v>
      </c>
      <c r="D1572" t="s">
        <v>8401</v>
      </c>
      <c r="E1572" t="s">
        <v>8445</v>
      </c>
      <c r="F1572" t="s">
        <v>8450</v>
      </c>
      <c r="G1572" t="s">
        <v>8716</v>
      </c>
    </row>
    <row r="1573" spans="1:7">
      <c r="A1573" t="s">
        <v>4092</v>
      </c>
      <c r="C1573" t="s">
        <v>8394</v>
      </c>
      <c r="D1573" t="s">
        <v>8401</v>
      </c>
      <c r="E1573" t="s">
        <v>8445</v>
      </c>
      <c r="F1573" t="s">
        <v>8450</v>
      </c>
      <c r="G1573" t="s">
        <v>8716</v>
      </c>
    </row>
    <row r="1574" spans="1:7">
      <c r="A1574" t="s">
        <v>4093</v>
      </c>
      <c r="C1574" t="s">
        <v>8394</v>
      </c>
      <c r="D1574" t="s">
        <v>8401</v>
      </c>
      <c r="E1574" t="s">
        <v>8445</v>
      </c>
      <c r="F1574" t="s">
        <v>8450</v>
      </c>
      <c r="G1574" t="s">
        <v>8716</v>
      </c>
    </row>
    <row r="1575" spans="1:7">
      <c r="A1575" t="s">
        <v>4094</v>
      </c>
      <c r="C1575" t="s">
        <v>8394</v>
      </c>
      <c r="D1575" t="s">
        <v>8401</v>
      </c>
      <c r="E1575" t="s">
        <v>8445</v>
      </c>
      <c r="F1575" t="s">
        <v>8450</v>
      </c>
      <c r="G1575" t="s">
        <v>8716</v>
      </c>
    </row>
    <row r="1576" spans="1:7">
      <c r="A1576" t="s">
        <v>4095</v>
      </c>
      <c r="C1576" t="s">
        <v>8394</v>
      </c>
      <c r="D1576" t="s">
        <v>8401</v>
      </c>
      <c r="E1576" t="s">
        <v>8445</v>
      </c>
      <c r="F1576" t="s">
        <v>8450</v>
      </c>
      <c r="G1576" t="s">
        <v>8716</v>
      </c>
    </row>
    <row r="1577" spans="1:7">
      <c r="A1577" t="s">
        <v>4096</v>
      </c>
      <c r="C1577" t="s">
        <v>8394</v>
      </c>
      <c r="D1577" t="s">
        <v>8401</v>
      </c>
      <c r="E1577" t="s">
        <v>8445</v>
      </c>
      <c r="F1577" t="s">
        <v>8450</v>
      </c>
      <c r="G1577" t="s">
        <v>8716</v>
      </c>
    </row>
    <row r="1578" spans="1:7">
      <c r="A1578" t="s">
        <v>4097</v>
      </c>
      <c r="C1578" t="s">
        <v>8394</v>
      </c>
      <c r="D1578" t="s">
        <v>8401</v>
      </c>
      <c r="E1578" t="s">
        <v>8445</v>
      </c>
      <c r="F1578" t="s">
        <v>8450</v>
      </c>
      <c r="G1578" t="s">
        <v>8716</v>
      </c>
    </row>
    <row r="1579" spans="1:7">
      <c r="A1579" t="s">
        <v>4098</v>
      </c>
      <c r="C1579" t="s">
        <v>8394</v>
      </c>
      <c r="D1579" t="s">
        <v>8401</v>
      </c>
      <c r="E1579" t="s">
        <v>8445</v>
      </c>
      <c r="F1579" t="s">
        <v>8450</v>
      </c>
      <c r="G1579" t="s">
        <v>8716</v>
      </c>
    </row>
    <row r="1580" spans="1:7">
      <c r="A1580" t="s">
        <v>4099</v>
      </c>
      <c r="C1580" t="s">
        <v>8394</v>
      </c>
      <c r="D1580" t="s">
        <v>8401</v>
      </c>
      <c r="E1580" t="s">
        <v>8445</v>
      </c>
      <c r="F1580" t="s">
        <v>8450</v>
      </c>
      <c r="G1580" t="s">
        <v>8716</v>
      </c>
    </row>
    <row r="1581" spans="1:7">
      <c r="A1581" t="s">
        <v>4100</v>
      </c>
      <c r="C1581" t="s">
        <v>8394</v>
      </c>
      <c r="D1581" t="s">
        <v>8401</v>
      </c>
      <c r="E1581" t="s">
        <v>8445</v>
      </c>
      <c r="F1581" t="s">
        <v>8450</v>
      </c>
      <c r="G1581" t="s">
        <v>8716</v>
      </c>
    </row>
    <row r="1582" spans="1:7">
      <c r="A1582" t="s">
        <v>4101</v>
      </c>
      <c r="C1582" t="s">
        <v>8394</v>
      </c>
      <c r="D1582" t="s">
        <v>8401</v>
      </c>
      <c r="E1582" t="s">
        <v>8445</v>
      </c>
      <c r="F1582" t="s">
        <v>8450</v>
      </c>
      <c r="G1582" t="s">
        <v>8716</v>
      </c>
    </row>
    <row r="1583" spans="1:7">
      <c r="A1583" t="s">
        <v>4102</v>
      </c>
      <c r="C1583" t="s">
        <v>8394</v>
      </c>
      <c r="D1583" t="s">
        <v>8401</v>
      </c>
      <c r="E1583" t="s">
        <v>8445</v>
      </c>
      <c r="F1583" t="s">
        <v>8450</v>
      </c>
      <c r="G1583" t="s">
        <v>8716</v>
      </c>
    </row>
    <row r="1584" spans="1:7">
      <c r="A1584" t="s">
        <v>4103</v>
      </c>
      <c r="C1584" t="s">
        <v>8394</v>
      </c>
      <c r="D1584" t="s">
        <v>8401</v>
      </c>
      <c r="E1584" t="s">
        <v>8445</v>
      </c>
      <c r="F1584" t="s">
        <v>8450</v>
      </c>
      <c r="G1584" t="s">
        <v>8716</v>
      </c>
    </row>
    <row r="1585" spans="1:7">
      <c r="A1585" t="s">
        <v>4104</v>
      </c>
      <c r="C1585" t="s">
        <v>8394</v>
      </c>
      <c r="D1585" t="s">
        <v>8401</v>
      </c>
      <c r="E1585" t="s">
        <v>8445</v>
      </c>
      <c r="F1585" t="s">
        <v>8450</v>
      </c>
      <c r="G1585" t="s">
        <v>8716</v>
      </c>
    </row>
    <row r="1586" spans="1:7">
      <c r="A1586" t="s">
        <v>4105</v>
      </c>
      <c r="C1586" t="s">
        <v>8394</v>
      </c>
      <c r="D1586" t="s">
        <v>8401</v>
      </c>
      <c r="E1586" t="s">
        <v>8445</v>
      </c>
      <c r="F1586" t="s">
        <v>8450</v>
      </c>
      <c r="G1586" t="s">
        <v>8716</v>
      </c>
    </row>
    <row r="1587" spans="1:7">
      <c r="A1587" t="s">
        <v>4106</v>
      </c>
      <c r="C1587" t="s">
        <v>8394</v>
      </c>
      <c r="D1587" t="s">
        <v>8401</v>
      </c>
      <c r="E1587" t="s">
        <v>8445</v>
      </c>
      <c r="F1587" t="s">
        <v>8450</v>
      </c>
      <c r="G1587" t="s">
        <v>8716</v>
      </c>
    </row>
    <row r="1588" spans="1:7">
      <c r="A1588" t="s">
        <v>4107</v>
      </c>
      <c r="C1588" t="s">
        <v>8394</v>
      </c>
      <c r="D1588" t="s">
        <v>8401</v>
      </c>
      <c r="E1588" t="s">
        <v>8445</v>
      </c>
      <c r="F1588" t="s">
        <v>8450</v>
      </c>
      <c r="G1588" t="s">
        <v>8716</v>
      </c>
    </row>
    <row r="1589" spans="1:7">
      <c r="A1589" t="s">
        <v>4108</v>
      </c>
      <c r="C1589" t="s">
        <v>8394</v>
      </c>
      <c r="D1589" t="s">
        <v>8401</v>
      </c>
      <c r="E1589" t="s">
        <v>8445</v>
      </c>
      <c r="F1589" t="s">
        <v>8450</v>
      </c>
      <c r="G1589" t="s">
        <v>8716</v>
      </c>
    </row>
    <row r="1590" spans="1:7">
      <c r="A1590" t="s">
        <v>4109</v>
      </c>
      <c r="C1590" t="s">
        <v>8394</v>
      </c>
      <c r="D1590" t="s">
        <v>8401</v>
      </c>
      <c r="E1590" t="s">
        <v>8445</v>
      </c>
      <c r="F1590" t="s">
        <v>8450</v>
      </c>
      <c r="G1590" t="s">
        <v>8716</v>
      </c>
    </row>
    <row r="1591" spans="1:7">
      <c r="A1591" t="s">
        <v>4110</v>
      </c>
      <c r="C1591" t="s">
        <v>8394</v>
      </c>
      <c r="D1591" t="s">
        <v>8401</v>
      </c>
      <c r="E1591" t="s">
        <v>8445</v>
      </c>
      <c r="F1591" t="s">
        <v>8450</v>
      </c>
      <c r="G1591" t="s">
        <v>8716</v>
      </c>
    </row>
    <row r="1592" spans="1:7">
      <c r="A1592" t="s">
        <v>4111</v>
      </c>
      <c r="C1592" t="s">
        <v>8394</v>
      </c>
      <c r="D1592" t="s">
        <v>8401</v>
      </c>
      <c r="E1592" t="s">
        <v>8445</v>
      </c>
      <c r="F1592" t="s">
        <v>8450</v>
      </c>
      <c r="G1592" t="s">
        <v>8716</v>
      </c>
    </row>
    <row r="1593" spans="1:7">
      <c r="A1593" t="s">
        <v>4112</v>
      </c>
      <c r="C1593" t="s">
        <v>8394</v>
      </c>
      <c r="D1593" t="s">
        <v>8401</v>
      </c>
      <c r="E1593" t="s">
        <v>8445</v>
      </c>
      <c r="F1593" t="s">
        <v>8450</v>
      </c>
      <c r="G1593" t="s">
        <v>8716</v>
      </c>
    </row>
    <row r="1594" spans="1:7">
      <c r="A1594" t="s">
        <v>4113</v>
      </c>
      <c r="C1594" t="s">
        <v>8394</v>
      </c>
      <c r="D1594" t="s">
        <v>8401</v>
      </c>
      <c r="E1594" t="s">
        <v>8445</v>
      </c>
      <c r="F1594" t="s">
        <v>8450</v>
      </c>
      <c r="G1594" t="s">
        <v>8716</v>
      </c>
    </row>
    <row r="1595" spans="1:7">
      <c r="A1595" t="s">
        <v>4114</v>
      </c>
      <c r="C1595" t="s">
        <v>8394</v>
      </c>
      <c r="D1595" t="s">
        <v>8401</v>
      </c>
      <c r="E1595" t="s">
        <v>8445</v>
      </c>
      <c r="F1595" t="s">
        <v>8450</v>
      </c>
      <c r="G1595" t="s">
        <v>8716</v>
      </c>
    </row>
    <row r="1596" spans="1:7">
      <c r="A1596" t="s">
        <v>4115</v>
      </c>
      <c r="C1596" t="s">
        <v>8394</v>
      </c>
      <c r="D1596" t="s">
        <v>8401</v>
      </c>
      <c r="E1596" t="s">
        <v>8445</v>
      </c>
      <c r="F1596" t="s">
        <v>8450</v>
      </c>
      <c r="G1596" t="s">
        <v>8716</v>
      </c>
    </row>
    <row r="1597" spans="1:7">
      <c r="A1597" t="s">
        <v>4116</v>
      </c>
      <c r="C1597" t="s">
        <v>8394</v>
      </c>
      <c r="D1597" t="s">
        <v>8401</v>
      </c>
      <c r="E1597" t="s">
        <v>8445</v>
      </c>
      <c r="F1597" t="s">
        <v>8450</v>
      </c>
      <c r="G1597" t="s">
        <v>8716</v>
      </c>
    </row>
    <row r="1598" spans="1:7">
      <c r="A1598" t="s">
        <v>4117</v>
      </c>
      <c r="C1598" t="s">
        <v>8394</v>
      </c>
      <c r="D1598" t="s">
        <v>8401</v>
      </c>
      <c r="E1598" t="s">
        <v>8445</v>
      </c>
      <c r="F1598" t="s">
        <v>8450</v>
      </c>
      <c r="G1598" t="s">
        <v>8716</v>
      </c>
    </row>
    <row r="1599" spans="1:7">
      <c r="A1599" t="s">
        <v>4118</v>
      </c>
      <c r="C1599" t="s">
        <v>8394</v>
      </c>
      <c r="D1599" t="s">
        <v>8401</v>
      </c>
      <c r="E1599" t="s">
        <v>8445</v>
      </c>
      <c r="F1599" t="s">
        <v>8450</v>
      </c>
      <c r="G1599" t="s">
        <v>8716</v>
      </c>
    </row>
    <row r="1600" spans="1:7">
      <c r="A1600" t="s">
        <v>4119</v>
      </c>
      <c r="C1600" t="s">
        <v>8394</v>
      </c>
      <c r="D1600" t="s">
        <v>8401</v>
      </c>
      <c r="E1600" t="s">
        <v>8445</v>
      </c>
      <c r="F1600" t="s">
        <v>8450</v>
      </c>
      <c r="G1600" t="s">
        <v>8716</v>
      </c>
    </row>
    <row r="1601" spans="1:7">
      <c r="A1601" t="s">
        <v>4120</v>
      </c>
      <c r="C1601" t="s">
        <v>8394</v>
      </c>
      <c r="D1601" t="s">
        <v>8401</v>
      </c>
      <c r="E1601" t="s">
        <v>8445</v>
      </c>
      <c r="F1601" t="s">
        <v>8450</v>
      </c>
      <c r="G1601" t="s">
        <v>8716</v>
      </c>
    </row>
    <row r="1602" spans="1:7">
      <c r="A1602" t="s">
        <v>4121</v>
      </c>
      <c r="C1602" t="s">
        <v>8394</v>
      </c>
      <c r="D1602" t="s">
        <v>8401</v>
      </c>
      <c r="E1602" t="s">
        <v>8445</v>
      </c>
      <c r="F1602" t="s">
        <v>8450</v>
      </c>
      <c r="G1602" t="s">
        <v>8716</v>
      </c>
    </row>
    <row r="1603" spans="1:7">
      <c r="A1603" t="s">
        <v>4122</v>
      </c>
      <c r="C1603" t="s">
        <v>8394</v>
      </c>
      <c r="D1603" t="s">
        <v>8401</v>
      </c>
      <c r="E1603" t="s">
        <v>8445</v>
      </c>
      <c r="F1603" t="s">
        <v>8450</v>
      </c>
      <c r="G1603" t="s">
        <v>8716</v>
      </c>
    </row>
    <row r="1604" spans="1:7">
      <c r="A1604" t="s">
        <v>4123</v>
      </c>
      <c r="C1604" t="s">
        <v>8394</v>
      </c>
      <c r="D1604" t="s">
        <v>8401</v>
      </c>
      <c r="E1604" t="s">
        <v>8445</v>
      </c>
      <c r="F1604" t="s">
        <v>8450</v>
      </c>
      <c r="G1604" t="s">
        <v>8716</v>
      </c>
    </row>
    <row r="1605" spans="1:7">
      <c r="A1605" t="s">
        <v>4124</v>
      </c>
      <c r="C1605" t="s">
        <v>8394</v>
      </c>
      <c r="D1605" t="s">
        <v>8401</v>
      </c>
      <c r="E1605" t="s">
        <v>8445</v>
      </c>
      <c r="F1605" t="s">
        <v>8450</v>
      </c>
      <c r="G1605" t="s">
        <v>8716</v>
      </c>
    </row>
    <row r="1606" spans="1:7">
      <c r="A1606" t="s">
        <v>4125</v>
      </c>
      <c r="C1606" t="s">
        <v>8394</v>
      </c>
      <c r="D1606" t="s">
        <v>8401</v>
      </c>
      <c r="E1606" t="s">
        <v>8445</v>
      </c>
      <c r="F1606" t="s">
        <v>8450</v>
      </c>
      <c r="G1606" t="s">
        <v>8716</v>
      </c>
    </row>
    <row r="1607" spans="1:7">
      <c r="A1607" t="s">
        <v>4126</v>
      </c>
      <c r="C1607" t="s">
        <v>8394</v>
      </c>
      <c r="D1607" t="s">
        <v>8401</v>
      </c>
      <c r="E1607" t="s">
        <v>8445</v>
      </c>
      <c r="F1607" t="s">
        <v>8450</v>
      </c>
      <c r="G1607" t="s">
        <v>8716</v>
      </c>
    </row>
    <row r="1608" spans="1:7">
      <c r="A1608" t="s">
        <v>4127</v>
      </c>
      <c r="C1608" t="s">
        <v>8394</v>
      </c>
      <c r="D1608" t="s">
        <v>8401</v>
      </c>
      <c r="E1608" t="s">
        <v>8445</v>
      </c>
      <c r="F1608" t="s">
        <v>8450</v>
      </c>
      <c r="G1608" t="s">
        <v>8716</v>
      </c>
    </row>
    <row r="1609" spans="1:7">
      <c r="A1609" t="s">
        <v>4128</v>
      </c>
      <c r="C1609" t="s">
        <v>8394</v>
      </c>
      <c r="D1609" t="s">
        <v>8401</v>
      </c>
      <c r="E1609" t="s">
        <v>8445</v>
      </c>
      <c r="F1609" t="s">
        <v>8450</v>
      </c>
      <c r="G1609" t="s">
        <v>8716</v>
      </c>
    </row>
    <row r="1610" spans="1:7">
      <c r="A1610" t="s">
        <v>4129</v>
      </c>
      <c r="C1610" t="s">
        <v>8394</v>
      </c>
      <c r="D1610" t="s">
        <v>8401</v>
      </c>
      <c r="E1610" t="s">
        <v>8445</v>
      </c>
      <c r="F1610" t="s">
        <v>8450</v>
      </c>
      <c r="G1610" t="s">
        <v>8716</v>
      </c>
    </row>
    <row r="1611" spans="1:7">
      <c r="A1611" t="s">
        <v>4130</v>
      </c>
      <c r="C1611" t="s">
        <v>8394</v>
      </c>
      <c r="D1611" t="s">
        <v>8401</v>
      </c>
      <c r="E1611" t="s">
        <v>8445</v>
      </c>
      <c r="F1611" t="s">
        <v>8450</v>
      </c>
      <c r="G1611" t="s">
        <v>8716</v>
      </c>
    </row>
    <row r="1612" spans="1:7">
      <c r="A1612" t="s">
        <v>4131</v>
      </c>
      <c r="C1612" t="s">
        <v>8394</v>
      </c>
      <c r="D1612" t="s">
        <v>8401</v>
      </c>
      <c r="E1612" t="s">
        <v>8445</v>
      </c>
      <c r="F1612" t="s">
        <v>8450</v>
      </c>
      <c r="G1612" t="s">
        <v>8716</v>
      </c>
    </row>
    <row r="1613" spans="1:7">
      <c r="A1613" t="s">
        <v>4132</v>
      </c>
      <c r="C1613" t="s">
        <v>8394</v>
      </c>
      <c r="D1613" t="s">
        <v>8401</v>
      </c>
      <c r="E1613" t="s">
        <v>8445</v>
      </c>
      <c r="F1613" t="s">
        <v>8450</v>
      </c>
      <c r="G1613" t="s">
        <v>8716</v>
      </c>
    </row>
    <row r="1614" spans="1:7">
      <c r="A1614" t="s">
        <v>4133</v>
      </c>
      <c r="C1614" t="s">
        <v>8394</v>
      </c>
      <c r="D1614" t="s">
        <v>8401</v>
      </c>
      <c r="E1614" t="s">
        <v>8445</v>
      </c>
      <c r="F1614" t="s">
        <v>8450</v>
      </c>
      <c r="G1614" t="s">
        <v>8716</v>
      </c>
    </row>
    <row r="1615" spans="1:7">
      <c r="A1615" t="s">
        <v>4134</v>
      </c>
      <c r="C1615" t="s">
        <v>8394</v>
      </c>
      <c r="D1615" t="s">
        <v>8401</v>
      </c>
      <c r="E1615" t="s">
        <v>8445</v>
      </c>
      <c r="F1615" t="s">
        <v>8450</v>
      </c>
      <c r="G1615" t="s">
        <v>8716</v>
      </c>
    </row>
    <row r="1616" spans="1:7">
      <c r="A1616" t="s">
        <v>4135</v>
      </c>
      <c r="C1616" t="s">
        <v>8394</v>
      </c>
      <c r="D1616" t="s">
        <v>8401</v>
      </c>
      <c r="E1616" t="s">
        <v>8445</v>
      </c>
      <c r="F1616" t="s">
        <v>8450</v>
      </c>
      <c r="G1616" t="s">
        <v>8716</v>
      </c>
    </row>
    <row r="1617" spans="1:7">
      <c r="A1617" t="s">
        <v>4136</v>
      </c>
      <c r="C1617" t="s">
        <v>8394</v>
      </c>
      <c r="D1617" t="s">
        <v>8401</v>
      </c>
      <c r="E1617" t="s">
        <v>8445</v>
      </c>
      <c r="F1617" t="s">
        <v>8450</v>
      </c>
      <c r="G1617" t="s">
        <v>8716</v>
      </c>
    </row>
    <row r="1618" spans="1:7">
      <c r="A1618" t="s">
        <v>4137</v>
      </c>
      <c r="C1618" t="s">
        <v>8394</v>
      </c>
      <c r="D1618" t="s">
        <v>8401</v>
      </c>
      <c r="E1618" t="s">
        <v>8445</v>
      </c>
      <c r="F1618" t="s">
        <v>8450</v>
      </c>
      <c r="G1618" t="s">
        <v>8716</v>
      </c>
    </row>
    <row r="1619" spans="1:7">
      <c r="A1619" t="s">
        <v>4138</v>
      </c>
      <c r="C1619" t="s">
        <v>8394</v>
      </c>
      <c r="D1619" t="s">
        <v>8401</v>
      </c>
      <c r="E1619" t="s">
        <v>8445</v>
      </c>
      <c r="F1619" t="s">
        <v>8450</v>
      </c>
      <c r="G1619" t="s">
        <v>8716</v>
      </c>
    </row>
    <row r="1620" spans="1:7">
      <c r="A1620" t="s">
        <v>4139</v>
      </c>
      <c r="C1620" t="s">
        <v>8394</v>
      </c>
      <c r="D1620" t="s">
        <v>8401</v>
      </c>
      <c r="E1620" t="s">
        <v>8445</v>
      </c>
      <c r="F1620" t="s">
        <v>8450</v>
      </c>
      <c r="G1620" t="s">
        <v>8716</v>
      </c>
    </row>
    <row r="1621" spans="1:7">
      <c r="A1621" t="s">
        <v>4140</v>
      </c>
      <c r="C1621" t="s">
        <v>8394</v>
      </c>
      <c r="D1621" t="s">
        <v>8401</v>
      </c>
      <c r="E1621" t="s">
        <v>8445</v>
      </c>
      <c r="F1621" t="s">
        <v>8450</v>
      </c>
      <c r="G1621" t="s">
        <v>8716</v>
      </c>
    </row>
    <row r="1622" spans="1:7">
      <c r="A1622" t="s">
        <v>4141</v>
      </c>
      <c r="C1622" t="s">
        <v>8394</v>
      </c>
      <c r="D1622" t="s">
        <v>8401</v>
      </c>
      <c r="E1622" t="s">
        <v>8445</v>
      </c>
      <c r="F1622" t="s">
        <v>8450</v>
      </c>
      <c r="G1622" t="s">
        <v>8716</v>
      </c>
    </row>
    <row r="1623" spans="1:7">
      <c r="A1623" t="s">
        <v>4142</v>
      </c>
      <c r="C1623" t="s">
        <v>8394</v>
      </c>
      <c r="D1623" t="s">
        <v>8401</v>
      </c>
      <c r="E1623" t="s">
        <v>8445</v>
      </c>
      <c r="F1623" t="s">
        <v>8450</v>
      </c>
      <c r="G1623" t="s">
        <v>8716</v>
      </c>
    </row>
    <row r="1624" spans="1:7">
      <c r="A1624" t="s">
        <v>4143</v>
      </c>
      <c r="C1624" t="s">
        <v>8394</v>
      </c>
      <c r="D1624" t="s">
        <v>8401</v>
      </c>
      <c r="E1624" t="s">
        <v>8445</v>
      </c>
      <c r="F1624" t="s">
        <v>8450</v>
      </c>
      <c r="G1624" t="s">
        <v>8716</v>
      </c>
    </row>
    <row r="1625" spans="1:7">
      <c r="A1625" t="s">
        <v>4144</v>
      </c>
      <c r="C1625" t="s">
        <v>8394</v>
      </c>
      <c r="D1625" t="s">
        <v>8401</v>
      </c>
      <c r="E1625" t="s">
        <v>8445</v>
      </c>
      <c r="F1625" t="s">
        <v>8450</v>
      </c>
      <c r="G1625" t="s">
        <v>8716</v>
      </c>
    </row>
    <row r="1626" spans="1:7">
      <c r="A1626" t="s">
        <v>4145</v>
      </c>
      <c r="C1626" t="s">
        <v>8394</v>
      </c>
      <c r="D1626" t="s">
        <v>8401</v>
      </c>
      <c r="E1626" t="s">
        <v>8445</v>
      </c>
      <c r="F1626" t="s">
        <v>8450</v>
      </c>
      <c r="G1626" t="s">
        <v>8716</v>
      </c>
    </row>
    <row r="1627" spans="1:7">
      <c r="A1627" t="s">
        <v>4146</v>
      </c>
      <c r="C1627" t="s">
        <v>8394</v>
      </c>
      <c r="D1627" t="s">
        <v>8401</v>
      </c>
      <c r="E1627" t="s">
        <v>8445</v>
      </c>
      <c r="F1627" t="s">
        <v>8450</v>
      </c>
      <c r="G1627" t="s">
        <v>8716</v>
      </c>
    </row>
    <row r="1628" spans="1:7">
      <c r="A1628" t="s">
        <v>4147</v>
      </c>
      <c r="C1628" t="s">
        <v>8394</v>
      </c>
      <c r="D1628" t="s">
        <v>8401</v>
      </c>
      <c r="E1628" t="s">
        <v>8445</v>
      </c>
      <c r="F1628" t="s">
        <v>8450</v>
      </c>
      <c r="G1628" t="s">
        <v>8716</v>
      </c>
    </row>
    <row r="1629" spans="1:7">
      <c r="A1629" t="s">
        <v>4148</v>
      </c>
      <c r="C1629" t="s">
        <v>8394</v>
      </c>
      <c r="D1629" t="s">
        <v>8401</v>
      </c>
      <c r="E1629" t="s">
        <v>8445</v>
      </c>
      <c r="F1629" t="s">
        <v>8450</v>
      </c>
      <c r="G1629" t="s">
        <v>8716</v>
      </c>
    </row>
    <row r="1630" spans="1:7">
      <c r="A1630" t="s">
        <v>4149</v>
      </c>
      <c r="C1630" t="s">
        <v>8394</v>
      </c>
      <c r="D1630" t="s">
        <v>8401</v>
      </c>
      <c r="E1630" t="s">
        <v>8445</v>
      </c>
      <c r="F1630" t="s">
        <v>8450</v>
      </c>
      <c r="G1630" t="s">
        <v>8716</v>
      </c>
    </row>
    <row r="1631" spans="1:7">
      <c r="A1631" t="s">
        <v>4150</v>
      </c>
      <c r="C1631" t="s">
        <v>8394</v>
      </c>
      <c r="D1631" t="s">
        <v>8401</v>
      </c>
      <c r="E1631" t="s">
        <v>8445</v>
      </c>
      <c r="F1631" t="s">
        <v>8450</v>
      </c>
      <c r="G1631" t="s">
        <v>8716</v>
      </c>
    </row>
    <row r="1632" spans="1:7">
      <c r="A1632" t="s">
        <v>4151</v>
      </c>
      <c r="C1632" t="s">
        <v>8394</v>
      </c>
      <c r="D1632" t="s">
        <v>8401</v>
      </c>
      <c r="E1632" t="s">
        <v>8445</v>
      </c>
      <c r="F1632" t="s">
        <v>8450</v>
      </c>
      <c r="G1632" t="s">
        <v>8716</v>
      </c>
    </row>
    <row r="1633" spans="1:7">
      <c r="A1633" t="s">
        <v>4152</v>
      </c>
      <c r="C1633" t="s">
        <v>8394</v>
      </c>
      <c r="D1633" t="s">
        <v>8401</v>
      </c>
      <c r="E1633" t="s">
        <v>8445</v>
      </c>
      <c r="F1633" t="s">
        <v>8450</v>
      </c>
      <c r="G1633" t="s">
        <v>8716</v>
      </c>
    </row>
    <row r="1634" spans="1:7">
      <c r="A1634" t="s">
        <v>4153</v>
      </c>
      <c r="C1634" t="s">
        <v>8394</v>
      </c>
      <c r="D1634" t="s">
        <v>8401</v>
      </c>
      <c r="E1634" t="s">
        <v>8445</v>
      </c>
      <c r="F1634" t="s">
        <v>8450</v>
      </c>
      <c r="G1634" t="s">
        <v>8716</v>
      </c>
    </row>
    <row r="1635" spans="1:7">
      <c r="A1635" t="s">
        <v>4154</v>
      </c>
      <c r="C1635" t="s">
        <v>8394</v>
      </c>
      <c r="D1635" t="s">
        <v>8401</v>
      </c>
      <c r="E1635" t="s">
        <v>8445</v>
      </c>
      <c r="F1635" t="s">
        <v>8450</v>
      </c>
      <c r="G1635" t="s">
        <v>8716</v>
      </c>
    </row>
    <row r="1636" spans="1:7">
      <c r="A1636" t="s">
        <v>4155</v>
      </c>
      <c r="C1636" t="s">
        <v>8394</v>
      </c>
      <c r="D1636" t="s">
        <v>8401</v>
      </c>
      <c r="E1636" t="s">
        <v>8445</v>
      </c>
      <c r="F1636" t="s">
        <v>8450</v>
      </c>
      <c r="G1636" t="s">
        <v>8716</v>
      </c>
    </row>
    <row r="1637" spans="1:7">
      <c r="A1637" t="s">
        <v>4156</v>
      </c>
      <c r="C1637" t="s">
        <v>8394</v>
      </c>
      <c r="D1637" t="s">
        <v>8401</v>
      </c>
      <c r="E1637" t="s">
        <v>8445</v>
      </c>
      <c r="F1637" t="s">
        <v>8450</v>
      </c>
      <c r="G1637" t="s">
        <v>8716</v>
      </c>
    </row>
    <row r="1638" spans="1:7">
      <c r="A1638" t="s">
        <v>4157</v>
      </c>
      <c r="C1638" t="s">
        <v>8394</v>
      </c>
      <c r="D1638" t="s">
        <v>8401</v>
      </c>
      <c r="E1638" t="s">
        <v>8445</v>
      </c>
      <c r="F1638" t="s">
        <v>8450</v>
      </c>
      <c r="G1638" t="s">
        <v>8716</v>
      </c>
    </row>
    <row r="1639" spans="1:7">
      <c r="A1639" t="s">
        <v>4158</v>
      </c>
      <c r="C1639" t="s">
        <v>8394</v>
      </c>
      <c r="D1639" t="s">
        <v>8401</v>
      </c>
      <c r="E1639" t="s">
        <v>8445</v>
      </c>
      <c r="F1639" t="s">
        <v>8450</v>
      </c>
      <c r="G1639" t="s">
        <v>8716</v>
      </c>
    </row>
    <row r="1640" spans="1:7">
      <c r="A1640" t="s">
        <v>4159</v>
      </c>
      <c r="C1640" t="s">
        <v>8394</v>
      </c>
      <c r="D1640" t="s">
        <v>8401</v>
      </c>
      <c r="E1640" t="s">
        <v>8445</v>
      </c>
      <c r="F1640" t="s">
        <v>8450</v>
      </c>
      <c r="G1640" t="s">
        <v>8716</v>
      </c>
    </row>
    <row r="1641" spans="1:7">
      <c r="A1641" t="s">
        <v>4160</v>
      </c>
      <c r="C1641" t="s">
        <v>8394</v>
      </c>
      <c r="D1641" t="s">
        <v>8401</v>
      </c>
      <c r="E1641" t="s">
        <v>8445</v>
      </c>
      <c r="F1641" t="s">
        <v>8450</v>
      </c>
      <c r="G1641" t="s">
        <v>8716</v>
      </c>
    </row>
    <row r="1642" spans="1:7">
      <c r="A1642" t="s">
        <v>4161</v>
      </c>
      <c r="C1642" t="s">
        <v>8394</v>
      </c>
      <c r="D1642" t="s">
        <v>8401</v>
      </c>
      <c r="E1642" t="s">
        <v>8445</v>
      </c>
      <c r="F1642" t="s">
        <v>8450</v>
      </c>
      <c r="G1642" t="s">
        <v>8716</v>
      </c>
    </row>
    <row r="1643" spans="1:7">
      <c r="A1643" t="s">
        <v>4162</v>
      </c>
      <c r="C1643" t="s">
        <v>8394</v>
      </c>
      <c r="D1643" t="s">
        <v>8401</v>
      </c>
      <c r="E1643" t="s">
        <v>8445</v>
      </c>
      <c r="F1643" t="s">
        <v>8450</v>
      </c>
      <c r="G1643" t="s">
        <v>8716</v>
      </c>
    </row>
    <row r="1644" spans="1:7">
      <c r="A1644" t="s">
        <v>4163</v>
      </c>
      <c r="C1644" t="s">
        <v>8394</v>
      </c>
      <c r="D1644" t="s">
        <v>8401</v>
      </c>
      <c r="E1644" t="s">
        <v>8445</v>
      </c>
      <c r="F1644" t="s">
        <v>8450</v>
      </c>
      <c r="G1644" t="s">
        <v>8716</v>
      </c>
    </row>
    <row r="1645" spans="1:7">
      <c r="A1645" t="s">
        <v>4164</v>
      </c>
      <c r="C1645" t="s">
        <v>8394</v>
      </c>
      <c r="D1645" t="s">
        <v>8401</v>
      </c>
      <c r="E1645" t="s">
        <v>8445</v>
      </c>
      <c r="F1645" t="s">
        <v>8450</v>
      </c>
      <c r="G1645" t="s">
        <v>8716</v>
      </c>
    </row>
    <row r="1646" spans="1:7">
      <c r="A1646" t="s">
        <v>4165</v>
      </c>
      <c r="C1646" t="s">
        <v>8394</v>
      </c>
      <c r="D1646" t="s">
        <v>8401</v>
      </c>
      <c r="E1646" t="s">
        <v>8445</v>
      </c>
      <c r="F1646" t="s">
        <v>8450</v>
      </c>
      <c r="G1646" t="s">
        <v>8716</v>
      </c>
    </row>
    <row r="1647" spans="1:7">
      <c r="A1647" t="s">
        <v>4166</v>
      </c>
      <c r="C1647" t="s">
        <v>8394</v>
      </c>
      <c r="D1647" t="s">
        <v>8401</v>
      </c>
      <c r="E1647" t="s">
        <v>8445</v>
      </c>
      <c r="F1647" t="s">
        <v>8450</v>
      </c>
      <c r="G1647" t="s">
        <v>8716</v>
      </c>
    </row>
    <row r="1648" spans="1:7">
      <c r="A1648" t="s">
        <v>4167</v>
      </c>
      <c r="C1648" t="s">
        <v>8394</v>
      </c>
      <c r="D1648" t="s">
        <v>8401</v>
      </c>
      <c r="E1648" t="s">
        <v>8445</v>
      </c>
      <c r="F1648" t="s">
        <v>8450</v>
      </c>
      <c r="G1648" t="s">
        <v>8716</v>
      </c>
    </row>
    <row r="1649" spans="1:7">
      <c r="A1649" t="s">
        <v>4168</v>
      </c>
      <c r="C1649" t="s">
        <v>8394</v>
      </c>
      <c r="D1649" t="s">
        <v>8401</v>
      </c>
      <c r="E1649" t="s">
        <v>8445</v>
      </c>
      <c r="F1649" t="s">
        <v>8450</v>
      </c>
      <c r="G1649" t="s">
        <v>8716</v>
      </c>
    </row>
    <row r="1650" spans="1:7">
      <c r="A1650" t="s">
        <v>4169</v>
      </c>
      <c r="C1650" t="s">
        <v>8394</v>
      </c>
      <c r="D1650" t="s">
        <v>8401</v>
      </c>
      <c r="E1650" t="s">
        <v>8445</v>
      </c>
      <c r="F1650" t="s">
        <v>8450</v>
      </c>
      <c r="G1650" t="s">
        <v>8716</v>
      </c>
    </row>
    <row r="1651" spans="1:7">
      <c r="A1651" t="s">
        <v>4170</v>
      </c>
      <c r="C1651" t="s">
        <v>8394</v>
      </c>
      <c r="D1651" t="s">
        <v>8401</v>
      </c>
      <c r="E1651" t="s">
        <v>8445</v>
      </c>
      <c r="F1651" t="s">
        <v>8450</v>
      </c>
      <c r="G1651" t="s">
        <v>8716</v>
      </c>
    </row>
    <row r="1652" spans="1:7">
      <c r="A1652" t="s">
        <v>4171</v>
      </c>
      <c r="C1652" t="s">
        <v>8394</v>
      </c>
      <c r="D1652" t="s">
        <v>8401</v>
      </c>
      <c r="E1652" t="s">
        <v>8445</v>
      </c>
      <c r="F1652" t="s">
        <v>8450</v>
      </c>
      <c r="G1652" t="s">
        <v>8716</v>
      </c>
    </row>
    <row r="1653" spans="1:7">
      <c r="A1653" t="s">
        <v>4172</v>
      </c>
      <c r="C1653" t="s">
        <v>8394</v>
      </c>
      <c r="D1653" t="s">
        <v>8401</v>
      </c>
      <c r="E1653" t="s">
        <v>8445</v>
      </c>
      <c r="F1653" t="s">
        <v>8450</v>
      </c>
      <c r="G1653" t="s">
        <v>8716</v>
      </c>
    </row>
    <row r="1654" spans="1:7">
      <c r="A1654" t="s">
        <v>4173</v>
      </c>
      <c r="C1654" t="s">
        <v>8394</v>
      </c>
      <c r="D1654" t="s">
        <v>8401</v>
      </c>
      <c r="E1654" t="s">
        <v>8445</v>
      </c>
      <c r="F1654" t="s">
        <v>8450</v>
      </c>
      <c r="G1654" t="s">
        <v>8716</v>
      </c>
    </row>
    <row r="1655" spans="1:7">
      <c r="A1655" t="s">
        <v>4174</v>
      </c>
      <c r="C1655" t="s">
        <v>8394</v>
      </c>
      <c r="D1655" t="s">
        <v>8401</v>
      </c>
      <c r="E1655" t="s">
        <v>8445</v>
      </c>
      <c r="F1655" t="s">
        <v>8450</v>
      </c>
      <c r="G1655" t="s">
        <v>8716</v>
      </c>
    </row>
    <row r="1656" spans="1:7">
      <c r="A1656" t="s">
        <v>4175</v>
      </c>
      <c r="C1656" t="s">
        <v>8394</v>
      </c>
      <c r="D1656" t="s">
        <v>8401</v>
      </c>
      <c r="E1656" t="s">
        <v>8445</v>
      </c>
      <c r="F1656" t="s">
        <v>8450</v>
      </c>
      <c r="G1656" t="s">
        <v>8716</v>
      </c>
    </row>
    <row r="1657" spans="1:7">
      <c r="A1657" t="s">
        <v>4176</v>
      </c>
      <c r="C1657" t="s">
        <v>8394</v>
      </c>
      <c r="D1657" t="s">
        <v>8401</v>
      </c>
      <c r="E1657" t="s">
        <v>8445</v>
      </c>
      <c r="F1657" t="s">
        <v>8450</v>
      </c>
      <c r="G1657" t="s">
        <v>8716</v>
      </c>
    </row>
    <row r="1658" spans="1:7">
      <c r="A1658" t="s">
        <v>4177</v>
      </c>
      <c r="C1658" t="s">
        <v>8394</v>
      </c>
      <c r="D1658" t="s">
        <v>8401</v>
      </c>
      <c r="E1658" t="s">
        <v>8445</v>
      </c>
      <c r="F1658" t="s">
        <v>8450</v>
      </c>
      <c r="G1658" t="s">
        <v>8716</v>
      </c>
    </row>
    <row r="1659" spans="1:7">
      <c r="A1659" t="s">
        <v>4178</v>
      </c>
      <c r="C1659" t="s">
        <v>8394</v>
      </c>
      <c r="D1659" t="s">
        <v>8401</v>
      </c>
      <c r="E1659" t="s">
        <v>8445</v>
      </c>
      <c r="F1659" t="s">
        <v>8450</v>
      </c>
      <c r="G1659" t="s">
        <v>8716</v>
      </c>
    </row>
    <row r="1660" spans="1:7">
      <c r="A1660" t="s">
        <v>4179</v>
      </c>
      <c r="C1660" t="s">
        <v>8394</v>
      </c>
      <c r="D1660" t="s">
        <v>8401</v>
      </c>
      <c r="E1660" t="s">
        <v>8445</v>
      </c>
      <c r="F1660" t="s">
        <v>8450</v>
      </c>
      <c r="G1660" t="s">
        <v>8716</v>
      </c>
    </row>
    <row r="1661" spans="1:7">
      <c r="A1661" t="s">
        <v>4180</v>
      </c>
      <c r="C1661" t="s">
        <v>8394</v>
      </c>
      <c r="D1661" t="s">
        <v>8401</v>
      </c>
      <c r="E1661" t="s">
        <v>8445</v>
      </c>
      <c r="F1661" t="s">
        <v>8450</v>
      </c>
      <c r="G1661" t="s">
        <v>8716</v>
      </c>
    </row>
    <row r="1662" spans="1:7">
      <c r="A1662" t="s">
        <v>4181</v>
      </c>
      <c r="C1662" t="s">
        <v>8394</v>
      </c>
      <c r="D1662" t="s">
        <v>8401</v>
      </c>
      <c r="E1662" t="s">
        <v>8445</v>
      </c>
      <c r="F1662" t="s">
        <v>8450</v>
      </c>
      <c r="G1662" t="s">
        <v>8716</v>
      </c>
    </row>
    <row r="1663" spans="1:7">
      <c r="A1663" t="s">
        <v>4182</v>
      </c>
      <c r="C1663" t="s">
        <v>8394</v>
      </c>
      <c r="D1663" t="s">
        <v>8401</v>
      </c>
      <c r="E1663" t="s">
        <v>8445</v>
      </c>
      <c r="F1663" t="s">
        <v>8450</v>
      </c>
      <c r="G1663" t="s">
        <v>8716</v>
      </c>
    </row>
    <row r="1664" spans="1:7">
      <c r="A1664" t="s">
        <v>4183</v>
      </c>
      <c r="C1664" t="s">
        <v>8394</v>
      </c>
      <c r="D1664" t="s">
        <v>8401</v>
      </c>
      <c r="E1664" t="s">
        <v>8445</v>
      </c>
      <c r="F1664" t="s">
        <v>8450</v>
      </c>
      <c r="G1664" t="s">
        <v>8716</v>
      </c>
    </row>
    <row r="1665" spans="1:7">
      <c r="A1665" t="s">
        <v>4184</v>
      </c>
      <c r="C1665" t="s">
        <v>8394</v>
      </c>
      <c r="D1665" t="s">
        <v>8401</v>
      </c>
      <c r="E1665" t="s">
        <v>8445</v>
      </c>
      <c r="F1665" t="s">
        <v>8450</v>
      </c>
      <c r="G1665" t="s">
        <v>8716</v>
      </c>
    </row>
    <row r="1666" spans="1:7">
      <c r="A1666" t="s">
        <v>4185</v>
      </c>
      <c r="C1666" t="s">
        <v>8394</v>
      </c>
      <c r="D1666" t="s">
        <v>8401</v>
      </c>
      <c r="E1666" t="s">
        <v>8445</v>
      </c>
      <c r="F1666" t="s">
        <v>8450</v>
      </c>
      <c r="G1666" t="s">
        <v>8716</v>
      </c>
    </row>
    <row r="1667" spans="1:7">
      <c r="A1667" t="s">
        <v>4186</v>
      </c>
      <c r="C1667" t="s">
        <v>8394</v>
      </c>
      <c r="D1667" t="s">
        <v>8401</v>
      </c>
      <c r="E1667" t="s">
        <v>8445</v>
      </c>
      <c r="F1667" t="s">
        <v>8450</v>
      </c>
      <c r="G1667" t="s">
        <v>8716</v>
      </c>
    </row>
    <row r="1668" spans="1:7">
      <c r="A1668" t="s">
        <v>4187</v>
      </c>
      <c r="C1668" t="s">
        <v>8394</v>
      </c>
      <c r="D1668" t="s">
        <v>8401</v>
      </c>
      <c r="E1668" t="s">
        <v>8445</v>
      </c>
      <c r="F1668" t="s">
        <v>8450</v>
      </c>
      <c r="G1668" t="s">
        <v>8716</v>
      </c>
    </row>
    <row r="1669" spans="1:7">
      <c r="A1669" t="s">
        <v>4188</v>
      </c>
      <c r="C1669" t="s">
        <v>8394</v>
      </c>
      <c r="D1669" t="s">
        <v>8401</v>
      </c>
      <c r="E1669" t="s">
        <v>8445</v>
      </c>
      <c r="F1669" t="s">
        <v>8450</v>
      </c>
      <c r="G1669" t="s">
        <v>8716</v>
      </c>
    </row>
    <row r="1670" spans="1:7">
      <c r="A1670" t="s">
        <v>4189</v>
      </c>
      <c r="C1670" t="s">
        <v>8394</v>
      </c>
      <c r="D1670" t="s">
        <v>8401</v>
      </c>
      <c r="E1670" t="s">
        <v>8445</v>
      </c>
      <c r="F1670" t="s">
        <v>8450</v>
      </c>
      <c r="G1670" t="s">
        <v>8716</v>
      </c>
    </row>
    <row r="1671" spans="1:7">
      <c r="A1671" t="s">
        <v>4190</v>
      </c>
      <c r="C1671" t="s">
        <v>8394</v>
      </c>
      <c r="D1671" t="s">
        <v>8401</v>
      </c>
      <c r="E1671" t="s">
        <v>8445</v>
      </c>
      <c r="F1671" t="s">
        <v>8450</v>
      </c>
      <c r="G1671" t="s">
        <v>8716</v>
      </c>
    </row>
    <row r="1672" spans="1:7">
      <c r="A1672" t="s">
        <v>4191</v>
      </c>
      <c r="C1672" t="s">
        <v>8394</v>
      </c>
      <c r="D1672" t="s">
        <v>8401</v>
      </c>
      <c r="E1672" t="s">
        <v>8445</v>
      </c>
      <c r="F1672" t="s">
        <v>8450</v>
      </c>
      <c r="G1672" t="s">
        <v>8716</v>
      </c>
    </row>
    <row r="1673" spans="1:7">
      <c r="A1673" t="s">
        <v>4192</v>
      </c>
      <c r="C1673" t="s">
        <v>8394</v>
      </c>
      <c r="D1673" t="s">
        <v>8401</v>
      </c>
      <c r="E1673" t="s">
        <v>8445</v>
      </c>
      <c r="F1673" t="s">
        <v>8450</v>
      </c>
      <c r="G1673" t="s">
        <v>8716</v>
      </c>
    </row>
    <row r="1674" spans="1:7">
      <c r="A1674" t="s">
        <v>4193</v>
      </c>
      <c r="C1674" t="s">
        <v>8394</v>
      </c>
      <c r="D1674" t="s">
        <v>8401</v>
      </c>
      <c r="E1674" t="s">
        <v>8445</v>
      </c>
      <c r="F1674" t="s">
        <v>8450</v>
      </c>
      <c r="G1674" t="s">
        <v>8716</v>
      </c>
    </row>
    <row r="1675" spans="1:7">
      <c r="A1675" t="s">
        <v>4194</v>
      </c>
      <c r="C1675" t="s">
        <v>8394</v>
      </c>
      <c r="D1675" t="s">
        <v>8401</v>
      </c>
      <c r="E1675" t="s">
        <v>8445</v>
      </c>
      <c r="F1675" t="s">
        <v>8450</v>
      </c>
      <c r="G1675" t="s">
        <v>8716</v>
      </c>
    </row>
    <row r="1676" spans="1:7">
      <c r="A1676" t="s">
        <v>4195</v>
      </c>
      <c r="C1676" t="s">
        <v>8394</v>
      </c>
      <c r="D1676" t="s">
        <v>8401</v>
      </c>
      <c r="E1676" t="s">
        <v>8445</v>
      </c>
      <c r="F1676" t="s">
        <v>8450</v>
      </c>
      <c r="G1676" t="s">
        <v>8716</v>
      </c>
    </row>
    <row r="1677" spans="1:7">
      <c r="A1677" t="s">
        <v>4196</v>
      </c>
      <c r="C1677" t="s">
        <v>8394</v>
      </c>
      <c r="D1677" t="s">
        <v>8401</v>
      </c>
      <c r="E1677" t="s">
        <v>8445</v>
      </c>
      <c r="F1677" t="s">
        <v>8450</v>
      </c>
      <c r="G1677" t="s">
        <v>8716</v>
      </c>
    </row>
    <row r="1678" spans="1:7">
      <c r="A1678" t="s">
        <v>4197</v>
      </c>
      <c r="C1678" t="s">
        <v>8394</v>
      </c>
      <c r="D1678" t="s">
        <v>8401</v>
      </c>
      <c r="E1678" t="s">
        <v>8445</v>
      </c>
      <c r="F1678" t="s">
        <v>8450</v>
      </c>
      <c r="G1678" t="s">
        <v>8716</v>
      </c>
    </row>
    <row r="1679" spans="1:7">
      <c r="A1679" t="s">
        <v>4058</v>
      </c>
      <c r="C1679" t="s">
        <v>8393</v>
      </c>
      <c r="D1679" t="s">
        <v>8393</v>
      </c>
      <c r="E1679" t="s">
        <v>919</v>
      </c>
      <c r="F1679" t="s">
        <v>8393</v>
      </c>
    </row>
    <row r="1680" spans="1:7">
      <c r="A1680" t="s">
        <v>4059</v>
      </c>
      <c r="C1680" t="s">
        <v>8394</v>
      </c>
      <c r="D1680" t="s">
        <v>8401</v>
      </c>
      <c r="E1680" t="s">
        <v>8445</v>
      </c>
      <c r="F1680" t="s">
        <v>8450</v>
      </c>
      <c r="G1680" t="s">
        <v>8716</v>
      </c>
    </row>
    <row r="1681" spans="1:7">
      <c r="A1681" t="s">
        <v>4060</v>
      </c>
      <c r="C1681" t="s">
        <v>8394</v>
      </c>
      <c r="D1681" t="s">
        <v>8401</v>
      </c>
      <c r="E1681" t="s">
        <v>8445</v>
      </c>
      <c r="F1681" t="s">
        <v>8450</v>
      </c>
      <c r="G1681" t="s">
        <v>8716</v>
      </c>
    </row>
    <row r="1682" spans="1:7">
      <c r="A1682" t="s">
        <v>4061</v>
      </c>
      <c r="C1682" t="s">
        <v>8394</v>
      </c>
      <c r="D1682" t="s">
        <v>8401</v>
      </c>
      <c r="E1682" t="s">
        <v>8445</v>
      </c>
      <c r="F1682" t="s">
        <v>8450</v>
      </c>
      <c r="G1682" t="s">
        <v>8716</v>
      </c>
    </row>
    <row r="1683" spans="1:7">
      <c r="A1683" t="s">
        <v>4062</v>
      </c>
      <c r="C1683" t="s">
        <v>8394</v>
      </c>
      <c r="D1683" t="s">
        <v>8401</v>
      </c>
      <c r="E1683" t="s">
        <v>8445</v>
      </c>
      <c r="F1683" t="s">
        <v>8450</v>
      </c>
      <c r="G1683" t="s">
        <v>8716</v>
      </c>
    </row>
    <row r="1684" spans="1:7">
      <c r="A1684" t="s">
        <v>4063</v>
      </c>
      <c r="C1684" t="s">
        <v>8394</v>
      </c>
      <c r="D1684" t="s">
        <v>8401</v>
      </c>
      <c r="E1684" t="s">
        <v>8445</v>
      </c>
      <c r="F1684" t="s">
        <v>8450</v>
      </c>
      <c r="G1684" t="s">
        <v>8716</v>
      </c>
    </row>
    <row r="1685" spans="1:7">
      <c r="A1685" t="s">
        <v>4064</v>
      </c>
      <c r="C1685" t="s">
        <v>8394</v>
      </c>
      <c r="D1685" t="s">
        <v>8401</v>
      </c>
      <c r="E1685" t="s">
        <v>8445</v>
      </c>
      <c r="F1685" t="s">
        <v>8450</v>
      </c>
      <c r="G1685" t="s">
        <v>8716</v>
      </c>
    </row>
    <row r="1686" spans="1:7">
      <c r="A1686" t="s">
        <v>4065</v>
      </c>
      <c r="C1686" t="s">
        <v>8394</v>
      </c>
      <c r="D1686" t="s">
        <v>8401</v>
      </c>
      <c r="E1686" t="s">
        <v>8445</v>
      </c>
      <c r="F1686" t="s">
        <v>8450</v>
      </c>
      <c r="G1686" t="s">
        <v>8716</v>
      </c>
    </row>
    <row r="1687" spans="1:7">
      <c r="A1687" t="s">
        <v>4066</v>
      </c>
      <c r="C1687" t="s">
        <v>8394</v>
      </c>
      <c r="D1687" t="s">
        <v>8401</v>
      </c>
      <c r="E1687" t="s">
        <v>8445</v>
      </c>
      <c r="F1687" t="s">
        <v>8450</v>
      </c>
      <c r="G1687" t="s">
        <v>8716</v>
      </c>
    </row>
    <row r="1688" spans="1:7">
      <c r="A1688" t="s">
        <v>4067</v>
      </c>
      <c r="C1688" t="s">
        <v>8394</v>
      </c>
      <c r="D1688" t="s">
        <v>8401</v>
      </c>
      <c r="E1688" t="s">
        <v>8445</v>
      </c>
      <c r="F1688" t="s">
        <v>8450</v>
      </c>
      <c r="G1688" t="s">
        <v>8716</v>
      </c>
    </row>
    <row r="1689" spans="1:7">
      <c r="A1689" t="s">
        <v>4068</v>
      </c>
      <c r="C1689" t="s">
        <v>8394</v>
      </c>
      <c r="D1689" t="s">
        <v>8401</v>
      </c>
      <c r="E1689" t="s">
        <v>8445</v>
      </c>
      <c r="F1689" t="s">
        <v>8450</v>
      </c>
      <c r="G1689" t="s">
        <v>8716</v>
      </c>
    </row>
    <row r="1690" spans="1:7">
      <c r="A1690" t="s">
        <v>4069</v>
      </c>
      <c r="C1690" t="s">
        <v>8394</v>
      </c>
      <c r="D1690" t="s">
        <v>8401</v>
      </c>
      <c r="E1690" t="s">
        <v>8445</v>
      </c>
      <c r="F1690" t="s">
        <v>8450</v>
      </c>
      <c r="G1690" t="s">
        <v>8716</v>
      </c>
    </row>
    <row r="1691" spans="1:7">
      <c r="A1691" t="s">
        <v>4070</v>
      </c>
      <c r="C1691" t="s">
        <v>8394</v>
      </c>
      <c r="D1691" t="s">
        <v>8401</v>
      </c>
      <c r="E1691" t="s">
        <v>8445</v>
      </c>
      <c r="F1691" t="s">
        <v>8450</v>
      </c>
      <c r="G1691" t="s">
        <v>8716</v>
      </c>
    </row>
    <row r="1692" spans="1:7">
      <c r="A1692" t="s">
        <v>4071</v>
      </c>
      <c r="C1692" t="s">
        <v>8394</v>
      </c>
      <c r="D1692" t="s">
        <v>8401</v>
      </c>
      <c r="E1692" t="s">
        <v>8445</v>
      </c>
      <c r="F1692" t="s">
        <v>8450</v>
      </c>
      <c r="G1692" t="s">
        <v>8716</v>
      </c>
    </row>
    <row r="1693" spans="1:7">
      <c r="A1693" t="s">
        <v>4072</v>
      </c>
      <c r="C1693" t="s">
        <v>8394</v>
      </c>
      <c r="D1693" t="s">
        <v>8401</v>
      </c>
      <c r="E1693" t="s">
        <v>8445</v>
      </c>
      <c r="F1693" t="s">
        <v>8450</v>
      </c>
      <c r="G1693" t="s">
        <v>8716</v>
      </c>
    </row>
    <row r="1694" spans="1:7">
      <c r="A1694" t="s">
        <v>4073</v>
      </c>
      <c r="C1694" t="s">
        <v>8394</v>
      </c>
      <c r="D1694" t="s">
        <v>8401</v>
      </c>
      <c r="E1694" t="s">
        <v>8445</v>
      </c>
      <c r="F1694" t="s">
        <v>8450</v>
      </c>
      <c r="G1694" t="s">
        <v>8716</v>
      </c>
    </row>
    <row r="1695" spans="1:7">
      <c r="A1695" t="s">
        <v>4074</v>
      </c>
      <c r="C1695" t="s">
        <v>8394</v>
      </c>
      <c r="D1695" t="s">
        <v>8401</v>
      </c>
      <c r="E1695" t="s">
        <v>8445</v>
      </c>
      <c r="F1695" t="s">
        <v>8450</v>
      </c>
      <c r="G1695" t="s">
        <v>8716</v>
      </c>
    </row>
    <row r="1696" spans="1:7">
      <c r="A1696" t="s">
        <v>4075</v>
      </c>
      <c r="C1696" t="s">
        <v>8394</v>
      </c>
      <c r="D1696" t="s">
        <v>8401</v>
      </c>
      <c r="E1696" t="s">
        <v>8445</v>
      </c>
      <c r="F1696" t="s">
        <v>8450</v>
      </c>
      <c r="G1696" t="s">
        <v>8716</v>
      </c>
    </row>
    <row r="1697" spans="1:7">
      <c r="A1697" t="s">
        <v>4076</v>
      </c>
      <c r="C1697" t="s">
        <v>8394</v>
      </c>
      <c r="D1697" t="s">
        <v>8401</v>
      </c>
      <c r="E1697" t="s">
        <v>8445</v>
      </c>
      <c r="F1697" t="s">
        <v>8450</v>
      </c>
      <c r="G1697" t="s">
        <v>8716</v>
      </c>
    </row>
    <row r="1698" spans="1:7">
      <c r="A1698" t="s">
        <v>4077</v>
      </c>
      <c r="C1698" t="s">
        <v>8394</v>
      </c>
      <c r="D1698" t="s">
        <v>8401</v>
      </c>
      <c r="E1698" t="s">
        <v>8445</v>
      </c>
      <c r="F1698" t="s">
        <v>8450</v>
      </c>
      <c r="G1698" t="s">
        <v>8716</v>
      </c>
    </row>
    <row r="1699" spans="1:7">
      <c r="A1699" t="s">
        <v>4078</v>
      </c>
      <c r="C1699" t="s">
        <v>8394</v>
      </c>
      <c r="D1699" t="s">
        <v>8401</v>
      </c>
      <c r="E1699" t="s">
        <v>8445</v>
      </c>
      <c r="F1699" t="s">
        <v>8450</v>
      </c>
      <c r="G1699" t="s">
        <v>8716</v>
      </c>
    </row>
    <row r="1700" spans="1:7">
      <c r="A1700" t="s">
        <v>4079</v>
      </c>
      <c r="C1700" t="s">
        <v>8394</v>
      </c>
      <c r="D1700" t="s">
        <v>8401</v>
      </c>
      <c r="E1700" t="s">
        <v>8445</v>
      </c>
      <c r="F1700" t="s">
        <v>8450</v>
      </c>
      <c r="G1700" t="s">
        <v>8716</v>
      </c>
    </row>
    <row r="1701" spans="1:7">
      <c r="A1701" t="s">
        <v>4080</v>
      </c>
      <c r="C1701" t="s">
        <v>8394</v>
      </c>
      <c r="D1701" t="s">
        <v>8401</v>
      </c>
      <c r="E1701" t="s">
        <v>8445</v>
      </c>
      <c r="F1701" t="s">
        <v>8450</v>
      </c>
      <c r="G1701" t="s">
        <v>8716</v>
      </c>
    </row>
    <row r="1702" spans="1:7">
      <c r="A1702" t="s">
        <v>4081</v>
      </c>
      <c r="C1702" t="s">
        <v>8394</v>
      </c>
      <c r="D1702" t="s">
        <v>8401</v>
      </c>
      <c r="E1702" t="s">
        <v>8445</v>
      </c>
      <c r="F1702" t="s">
        <v>8450</v>
      </c>
      <c r="G1702" t="s">
        <v>8716</v>
      </c>
    </row>
    <row r="1703" spans="1:7">
      <c r="A1703" t="s">
        <v>4082</v>
      </c>
      <c r="C1703" t="s">
        <v>8394</v>
      </c>
      <c r="D1703" t="s">
        <v>8401</v>
      </c>
      <c r="E1703" t="s">
        <v>8445</v>
      </c>
      <c r="F1703" t="s">
        <v>8450</v>
      </c>
      <c r="G1703" t="s">
        <v>8716</v>
      </c>
    </row>
    <row r="1704" spans="1:7">
      <c r="A1704" t="s">
        <v>4083</v>
      </c>
      <c r="C1704" t="s">
        <v>8394</v>
      </c>
      <c r="D1704" t="s">
        <v>8401</v>
      </c>
      <c r="E1704" t="s">
        <v>8445</v>
      </c>
      <c r="F1704" t="s">
        <v>8450</v>
      </c>
      <c r="G1704" t="s">
        <v>8716</v>
      </c>
    </row>
    <row r="1705" spans="1:7">
      <c r="A1705" t="s">
        <v>4084</v>
      </c>
      <c r="C1705" t="s">
        <v>8394</v>
      </c>
      <c r="D1705" t="s">
        <v>8401</v>
      </c>
      <c r="E1705" t="s">
        <v>8445</v>
      </c>
      <c r="F1705" t="s">
        <v>8450</v>
      </c>
      <c r="G1705" t="s">
        <v>8716</v>
      </c>
    </row>
    <row r="1706" spans="1:7">
      <c r="A1706" t="s">
        <v>4085</v>
      </c>
      <c r="C1706" t="s">
        <v>8394</v>
      </c>
      <c r="D1706" t="s">
        <v>8401</v>
      </c>
      <c r="E1706" t="s">
        <v>8445</v>
      </c>
      <c r="F1706" t="s">
        <v>8450</v>
      </c>
      <c r="G1706" t="s">
        <v>8716</v>
      </c>
    </row>
    <row r="1707" spans="1:7">
      <c r="A1707" t="s">
        <v>4086</v>
      </c>
      <c r="C1707" t="s">
        <v>8394</v>
      </c>
      <c r="D1707" t="s">
        <v>8401</v>
      </c>
      <c r="E1707" t="s">
        <v>8445</v>
      </c>
      <c r="F1707" t="s">
        <v>8450</v>
      </c>
      <c r="G1707" t="s">
        <v>8716</v>
      </c>
    </row>
    <row r="1708" spans="1:7">
      <c r="A1708" t="s">
        <v>4087</v>
      </c>
      <c r="C1708" t="s">
        <v>8394</v>
      </c>
      <c r="D1708" t="s">
        <v>8401</v>
      </c>
      <c r="E1708" t="s">
        <v>8445</v>
      </c>
      <c r="F1708" t="s">
        <v>8450</v>
      </c>
      <c r="G1708" t="s">
        <v>8716</v>
      </c>
    </row>
    <row r="1709" spans="1:7">
      <c r="A1709" t="s">
        <v>4088</v>
      </c>
      <c r="C1709" t="s">
        <v>8394</v>
      </c>
      <c r="D1709" t="s">
        <v>8401</v>
      </c>
      <c r="E1709" t="s">
        <v>8445</v>
      </c>
      <c r="F1709" t="s">
        <v>8450</v>
      </c>
      <c r="G1709" t="s">
        <v>8716</v>
      </c>
    </row>
    <row r="1710" spans="1:7">
      <c r="A1710" t="s">
        <v>4089</v>
      </c>
      <c r="C1710" t="s">
        <v>8394</v>
      </c>
      <c r="D1710" t="s">
        <v>8401</v>
      </c>
      <c r="E1710" t="s">
        <v>8445</v>
      </c>
      <c r="F1710" t="s">
        <v>8450</v>
      </c>
      <c r="G1710" t="s">
        <v>8716</v>
      </c>
    </row>
    <row r="1711" spans="1:7">
      <c r="A1711" t="s">
        <v>4090</v>
      </c>
      <c r="C1711" t="s">
        <v>8394</v>
      </c>
      <c r="D1711" t="s">
        <v>8401</v>
      </c>
      <c r="E1711" t="s">
        <v>8445</v>
      </c>
      <c r="F1711" t="s">
        <v>8450</v>
      </c>
      <c r="G1711" t="s">
        <v>8716</v>
      </c>
    </row>
    <row r="1712" spans="1:7">
      <c r="A1712" t="s">
        <v>4091</v>
      </c>
      <c r="C1712" t="s">
        <v>8394</v>
      </c>
      <c r="D1712" t="s">
        <v>8401</v>
      </c>
      <c r="E1712" t="s">
        <v>8445</v>
      </c>
      <c r="F1712" t="s">
        <v>8450</v>
      </c>
      <c r="G1712" t="s">
        <v>8716</v>
      </c>
    </row>
    <row r="1713" spans="1:7">
      <c r="A1713" t="s">
        <v>4092</v>
      </c>
      <c r="C1713" t="s">
        <v>8394</v>
      </c>
      <c r="D1713" t="s">
        <v>8401</v>
      </c>
      <c r="E1713" t="s">
        <v>8445</v>
      </c>
      <c r="F1713" t="s">
        <v>8450</v>
      </c>
      <c r="G1713" t="s">
        <v>8716</v>
      </c>
    </row>
    <row r="1714" spans="1:7">
      <c r="A1714" t="s">
        <v>4093</v>
      </c>
      <c r="C1714" t="s">
        <v>8394</v>
      </c>
      <c r="D1714" t="s">
        <v>8401</v>
      </c>
      <c r="E1714" t="s">
        <v>8445</v>
      </c>
      <c r="F1714" t="s">
        <v>8450</v>
      </c>
      <c r="G1714" t="s">
        <v>8716</v>
      </c>
    </row>
    <row r="1715" spans="1:7">
      <c r="A1715" t="s">
        <v>4094</v>
      </c>
      <c r="C1715" t="s">
        <v>8394</v>
      </c>
      <c r="D1715" t="s">
        <v>8401</v>
      </c>
      <c r="E1715" t="s">
        <v>8445</v>
      </c>
      <c r="F1715" t="s">
        <v>8450</v>
      </c>
      <c r="G1715" t="s">
        <v>8716</v>
      </c>
    </row>
    <row r="1716" spans="1:7">
      <c r="A1716" t="s">
        <v>4095</v>
      </c>
      <c r="C1716" t="s">
        <v>8394</v>
      </c>
      <c r="D1716" t="s">
        <v>8401</v>
      </c>
      <c r="E1716" t="s">
        <v>8445</v>
      </c>
      <c r="F1716" t="s">
        <v>8450</v>
      </c>
      <c r="G1716" t="s">
        <v>8716</v>
      </c>
    </row>
    <row r="1717" spans="1:7">
      <c r="A1717" t="s">
        <v>4096</v>
      </c>
      <c r="C1717" t="s">
        <v>8394</v>
      </c>
      <c r="D1717" t="s">
        <v>8401</v>
      </c>
      <c r="E1717" t="s">
        <v>8445</v>
      </c>
      <c r="F1717" t="s">
        <v>8450</v>
      </c>
      <c r="G1717" t="s">
        <v>8716</v>
      </c>
    </row>
    <row r="1718" spans="1:7">
      <c r="A1718" t="s">
        <v>4097</v>
      </c>
      <c r="C1718" t="s">
        <v>8394</v>
      </c>
      <c r="D1718" t="s">
        <v>8401</v>
      </c>
      <c r="E1718" t="s">
        <v>8445</v>
      </c>
      <c r="F1718" t="s">
        <v>8450</v>
      </c>
      <c r="G1718" t="s">
        <v>8716</v>
      </c>
    </row>
    <row r="1719" spans="1:7">
      <c r="A1719" t="s">
        <v>4098</v>
      </c>
      <c r="C1719" t="s">
        <v>8394</v>
      </c>
      <c r="D1719" t="s">
        <v>8401</v>
      </c>
      <c r="E1719" t="s">
        <v>8445</v>
      </c>
      <c r="F1719" t="s">
        <v>8450</v>
      </c>
      <c r="G1719" t="s">
        <v>8716</v>
      </c>
    </row>
    <row r="1720" spans="1:7">
      <c r="A1720" t="s">
        <v>4099</v>
      </c>
      <c r="C1720" t="s">
        <v>8394</v>
      </c>
      <c r="D1720" t="s">
        <v>8401</v>
      </c>
      <c r="E1720" t="s">
        <v>8445</v>
      </c>
      <c r="F1720" t="s">
        <v>8450</v>
      </c>
      <c r="G1720" t="s">
        <v>8716</v>
      </c>
    </row>
    <row r="1721" spans="1:7">
      <c r="A1721" t="s">
        <v>4100</v>
      </c>
      <c r="C1721" t="s">
        <v>8394</v>
      </c>
      <c r="D1721" t="s">
        <v>8401</v>
      </c>
      <c r="E1721" t="s">
        <v>8445</v>
      </c>
      <c r="F1721" t="s">
        <v>8450</v>
      </c>
      <c r="G1721" t="s">
        <v>8716</v>
      </c>
    </row>
    <row r="1722" spans="1:7">
      <c r="A1722" t="s">
        <v>4101</v>
      </c>
      <c r="C1722" t="s">
        <v>8394</v>
      </c>
      <c r="D1722" t="s">
        <v>8401</v>
      </c>
      <c r="E1722" t="s">
        <v>8445</v>
      </c>
      <c r="F1722" t="s">
        <v>8450</v>
      </c>
      <c r="G1722" t="s">
        <v>8716</v>
      </c>
    </row>
    <row r="1723" spans="1:7">
      <c r="A1723" t="s">
        <v>4102</v>
      </c>
      <c r="C1723" t="s">
        <v>8394</v>
      </c>
      <c r="D1723" t="s">
        <v>8401</v>
      </c>
      <c r="E1723" t="s">
        <v>8445</v>
      </c>
      <c r="F1723" t="s">
        <v>8450</v>
      </c>
      <c r="G1723" t="s">
        <v>8716</v>
      </c>
    </row>
    <row r="1724" spans="1:7">
      <c r="A1724" t="s">
        <v>4103</v>
      </c>
      <c r="C1724" t="s">
        <v>8394</v>
      </c>
      <c r="D1724" t="s">
        <v>8401</v>
      </c>
      <c r="E1724" t="s">
        <v>8445</v>
      </c>
      <c r="F1724" t="s">
        <v>8450</v>
      </c>
      <c r="G1724" t="s">
        <v>8716</v>
      </c>
    </row>
    <row r="1725" spans="1:7">
      <c r="A1725" t="s">
        <v>4104</v>
      </c>
      <c r="C1725" t="s">
        <v>8394</v>
      </c>
      <c r="D1725" t="s">
        <v>8401</v>
      </c>
      <c r="E1725" t="s">
        <v>8445</v>
      </c>
      <c r="F1725" t="s">
        <v>8450</v>
      </c>
      <c r="G1725" t="s">
        <v>8716</v>
      </c>
    </row>
    <row r="1726" spans="1:7">
      <c r="A1726" t="s">
        <v>4105</v>
      </c>
      <c r="C1726" t="s">
        <v>8394</v>
      </c>
      <c r="D1726" t="s">
        <v>8401</v>
      </c>
      <c r="E1726" t="s">
        <v>8445</v>
      </c>
      <c r="F1726" t="s">
        <v>8450</v>
      </c>
      <c r="G1726" t="s">
        <v>8716</v>
      </c>
    </row>
    <row r="1727" spans="1:7">
      <c r="A1727" t="s">
        <v>4106</v>
      </c>
      <c r="C1727" t="s">
        <v>8394</v>
      </c>
      <c r="D1727" t="s">
        <v>8401</v>
      </c>
      <c r="E1727" t="s">
        <v>8445</v>
      </c>
      <c r="F1727" t="s">
        <v>8450</v>
      </c>
      <c r="G1727" t="s">
        <v>8716</v>
      </c>
    </row>
    <row r="1728" spans="1:7">
      <c r="A1728" t="s">
        <v>4107</v>
      </c>
      <c r="C1728" t="s">
        <v>8394</v>
      </c>
      <c r="D1728" t="s">
        <v>8401</v>
      </c>
      <c r="E1728" t="s">
        <v>8445</v>
      </c>
      <c r="F1728" t="s">
        <v>8450</v>
      </c>
      <c r="G1728" t="s">
        <v>8716</v>
      </c>
    </row>
    <row r="1729" spans="1:7">
      <c r="A1729" t="s">
        <v>4108</v>
      </c>
      <c r="C1729" t="s">
        <v>8394</v>
      </c>
      <c r="D1729" t="s">
        <v>8401</v>
      </c>
      <c r="E1729" t="s">
        <v>8445</v>
      </c>
      <c r="F1729" t="s">
        <v>8450</v>
      </c>
      <c r="G1729" t="s">
        <v>8716</v>
      </c>
    </row>
    <row r="1730" spans="1:7">
      <c r="A1730" t="s">
        <v>4109</v>
      </c>
      <c r="C1730" t="s">
        <v>8394</v>
      </c>
      <c r="D1730" t="s">
        <v>8401</v>
      </c>
      <c r="E1730" t="s">
        <v>8445</v>
      </c>
      <c r="F1730" t="s">
        <v>8450</v>
      </c>
      <c r="G1730" t="s">
        <v>8716</v>
      </c>
    </row>
    <row r="1731" spans="1:7">
      <c r="A1731" t="s">
        <v>4110</v>
      </c>
      <c r="C1731" t="s">
        <v>8394</v>
      </c>
      <c r="D1731" t="s">
        <v>8401</v>
      </c>
      <c r="E1731" t="s">
        <v>8445</v>
      </c>
      <c r="F1731" t="s">
        <v>8450</v>
      </c>
      <c r="G1731" t="s">
        <v>8716</v>
      </c>
    </row>
    <row r="1732" spans="1:7">
      <c r="A1732" t="s">
        <v>4111</v>
      </c>
      <c r="C1732" t="s">
        <v>8394</v>
      </c>
      <c r="D1732" t="s">
        <v>8401</v>
      </c>
      <c r="E1732" t="s">
        <v>8445</v>
      </c>
      <c r="F1732" t="s">
        <v>8450</v>
      </c>
      <c r="G1732" t="s">
        <v>8716</v>
      </c>
    </row>
    <row r="1733" spans="1:7">
      <c r="A1733" t="s">
        <v>4112</v>
      </c>
      <c r="C1733" t="s">
        <v>8394</v>
      </c>
      <c r="D1733" t="s">
        <v>8401</v>
      </c>
      <c r="E1733" t="s">
        <v>8445</v>
      </c>
      <c r="F1733" t="s">
        <v>8450</v>
      </c>
      <c r="G1733" t="s">
        <v>8716</v>
      </c>
    </row>
    <row r="1734" spans="1:7">
      <c r="A1734" t="s">
        <v>4113</v>
      </c>
      <c r="C1734" t="s">
        <v>8394</v>
      </c>
      <c r="D1734" t="s">
        <v>8401</v>
      </c>
      <c r="E1734" t="s">
        <v>8445</v>
      </c>
      <c r="F1734" t="s">
        <v>8450</v>
      </c>
      <c r="G1734" t="s">
        <v>8716</v>
      </c>
    </row>
    <row r="1735" spans="1:7">
      <c r="A1735" t="s">
        <v>4114</v>
      </c>
      <c r="C1735" t="s">
        <v>8394</v>
      </c>
      <c r="D1735" t="s">
        <v>8401</v>
      </c>
      <c r="E1735" t="s">
        <v>8445</v>
      </c>
      <c r="F1735" t="s">
        <v>8450</v>
      </c>
      <c r="G1735" t="s">
        <v>8716</v>
      </c>
    </row>
    <row r="1736" spans="1:7">
      <c r="A1736" t="s">
        <v>4115</v>
      </c>
      <c r="C1736" t="s">
        <v>8394</v>
      </c>
      <c r="D1736" t="s">
        <v>8401</v>
      </c>
      <c r="E1736" t="s">
        <v>8445</v>
      </c>
      <c r="F1736" t="s">
        <v>8450</v>
      </c>
      <c r="G1736" t="s">
        <v>8716</v>
      </c>
    </row>
    <row r="1737" spans="1:7">
      <c r="A1737" t="s">
        <v>4116</v>
      </c>
      <c r="C1737" t="s">
        <v>8394</v>
      </c>
      <c r="D1737" t="s">
        <v>8401</v>
      </c>
      <c r="E1737" t="s">
        <v>8445</v>
      </c>
      <c r="F1737" t="s">
        <v>8450</v>
      </c>
      <c r="G1737" t="s">
        <v>8716</v>
      </c>
    </row>
    <row r="1738" spans="1:7">
      <c r="A1738" t="s">
        <v>4117</v>
      </c>
      <c r="C1738" t="s">
        <v>8394</v>
      </c>
      <c r="D1738" t="s">
        <v>8401</v>
      </c>
      <c r="E1738" t="s">
        <v>8445</v>
      </c>
      <c r="F1738" t="s">
        <v>8450</v>
      </c>
      <c r="G1738" t="s">
        <v>8716</v>
      </c>
    </row>
    <row r="1739" spans="1:7">
      <c r="A1739" t="s">
        <v>4118</v>
      </c>
      <c r="C1739" t="s">
        <v>8394</v>
      </c>
      <c r="D1739" t="s">
        <v>8401</v>
      </c>
      <c r="E1739" t="s">
        <v>8445</v>
      </c>
      <c r="F1739" t="s">
        <v>8450</v>
      </c>
      <c r="G1739" t="s">
        <v>8716</v>
      </c>
    </row>
    <row r="1740" spans="1:7">
      <c r="A1740" t="s">
        <v>4119</v>
      </c>
      <c r="C1740" t="s">
        <v>8394</v>
      </c>
      <c r="D1740" t="s">
        <v>8401</v>
      </c>
      <c r="E1740" t="s">
        <v>8445</v>
      </c>
      <c r="F1740" t="s">
        <v>8450</v>
      </c>
      <c r="G1740" t="s">
        <v>8716</v>
      </c>
    </row>
    <row r="1741" spans="1:7">
      <c r="A1741" t="s">
        <v>4120</v>
      </c>
      <c r="C1741" t="s">
        <v>8394</v>
      </c>
      <c r="D1741" t="s">
        <v>8401</v>
      </c>
      <c r="E1741" t="s">
        <v>8445</v>
      </c>
      <c r="F1741" t="s">
        <v>8450</v>
      </c>
      <c r="G1741" t="s">
        <v>8716</v>
      </c>
    </row>
    <row r="1742" spans="1:7">
      <c r="A1742" t="s">
        <v>4121</v>
      </c>
      <c r="C1742" t="s">
        <v>8394</v>
      </c>
      <c r="D1742" t="s">
        <v>8401</v>
      </c>
      <c r="E1742" t="s">
        <v>8445</v>
      </c>
      <c r="F1742" t="s">
        <v>8450</v>
      </c>
      <c r="G1742" t="s">
        <v>8716</v>
      </c>
    </row>
    <row r="1743" spans="1:7">
      <c r="A1743" t="s">
        <v>4122</v>
      </c>
      <c r="C1743" t="s">
        <v>8394</v>
      </c>
      <c r="D1743" t="s">
        <v>8401</v>
      </c>
      <c r="E1743" t="s">
        <v>8445</v>
      </c>
      <c r="F1743" t="s">
        <v>8450</v>
      </c>
      <c r="G1743" t="s">
        <v>8716</v>
      </c>
    </row>
    <row r="1744" spans="1:7">
      <c r="A1744" t="s">
        <v>4123</v>
      </c>
      <c r="C1744" t="s">
        <v>8394</v>
      </c>
      <c r="D1744" t="s">
        <v>8401</v>
      </c>
      <c r="E1744" t="s">
        <v>8445</v>
      </c>
      <c r="F1744" t="s">
        <v>8450</v>
      </c>
      <c r="G1744" t="s">
        <v>8716</v>
      </c>
    </row>
    <row r="1745" spans="1:7">
      <c r="A1745" t="s">
        <v>4124</v>
      </c>
      <c r="C1745" t="s">
        <v>8394</v>
      </c>
      <c r="D1745" t="s">
        <v>8401</v>
      </c>
      <c r="E1745" t="s">
        <v>8445</v>
      </c>
      <c r="F1745" t="s">
        <v>8450</v>
      </c>
      <c r="G1745" t="s">
        <v>8716</v>
      </c>
    </row>
    <row r="1746" spans="1:7">
      <c r="A1746" t="s">
        <v>4125</v>
      </c>
      <c r="C1746" t="s">
        <v>8394</v>
      </c>
      <c r="D1746" t="s">
        <v>8401</v>
      </c>
      <c r="E1746" t="s">
        <v>8445</v>
      </c>
      <c r="F1746" t="s">
        <v>8450</v>
      </c>
      <c r="G1746" t="s">
        <v>8716</v>
      </c>
    </row>
    <row r="1747" spans="1:7">
      <c r="A1747" t="s">
        <v>4126</v>
      </c>
      <c r="C1747" t="s">
        <v>8394</v>
      </c>
      <c r="D1747" t="s">
        <v>8401</v>
      </c>
      <c r="E1747" t="s">
        <v>8445</v>
      </c>
      <c r="F1747" t="s">
        <v>8450</v>
      </c>
      <c r="G1747" t="s">
        <v>8716</v>
      </c>
    </row>
    <row r="1748" spans="1:7">
      <c r="A1748" t="s">
        <v>4127</v>
      </c>
      <c r="C1748" t="s">
        <v>8394</v>
      </c>
      <c r="D1748" t="s">
        <v>8401</v>
      </c>
      <c r="E1748" t="s">
        <v>8445</v>
      </c>
      <c r="F1748" t="s">
        <v>8450</v>
      </c>
      <c r="G1748" t="s">
        <v>8716</v>
      </c>
    </row>
    <row r="1749" spans="1:7">
      <c r="A1749" t="s">
        <v>4128</v>
      </c>
      <c r="C1749" t="s">
        <v>8394</v>
      </c>
      <c r="D1749" t="s">
        <v>8401</v>
      </c>
      <c r="E1749" t="s">
        <v>8445</v>
      </c>
      <c r="F1749" t="s">
        <v>8450</v>
      </c>
      <c r="G1749" t="s">
        <v>8716</v>
      </c>
    </row>
    <row r="1750" spans="1:7">
      <c r="A1750" t="s">
        <v>4129</v>
      </c>
      <c r="C1750" t="s">
        <v>8394</v>
      </c>
      <c r="D1750" t="s">
        <v>8401</v>
      </c>
      <c r="E1750" t="s">
        <v>8445</v>
      </c>
      <c r="F1750" t="s">
        <v>8450</v>
      </c>
      <c r="G1750" t="s">
        <v>8716</v>
      </c>
    </row>
    <row r="1751" spans="1:7">
      <c r="A1751" t="s">
        <v>4130</v>
      </c>
      <c r="C1751" t="s">
        <v>8394</v>
      </c>
      <c r="D1751" t="s">
        <v>8401</v>
      </c>
      <c r="E1751" t="s">
        <v>8445</v>
      </c>
      <c r="F1751" t="s">
        <v>8450</v>
      </c>
      <c r="G1751" t="s">
        <v>8716</v>
      </c>
    </row>
    <row r="1752" spans="1:7">
      <c r="A1752" t="s">
        <v>4131</v>
      </c>
      <c r="C1752" t="s">
        <v>8394</v>
      </c>
      <c r="D1752" t="s">
        <v>8401</v>
      </c>
      <c r="E1752" t="s">
        <v>8445</v>
      </c>
      <c r="F1752" t="s">
        <v>8450</v>
      </c>
      <c r="G1752" t="s">
        <v>8716</v>
      </c>
    </row>
    <row r="1753" spans="1:7">
      <c r="A1753" t="s">
        <v>4132</v>
      </c>
      <c r="C1753" t="s">
        <v>8394</v>
      </c>
      <c r="D1753" t="s">
        <v>8401</v>
      </c>
      <c r="E1753" t="s">
        <v>8445</v>
      </c>
      <c r="F1753" t="s">
        <v>8450</v>
      </c>
      <c r="G1753" t="s">
        <v>8716</v>
      </c>
    </row>
    <row r="1754" spans="1:7">
      <c r="A1754" t="s">
        <v>4133</v>
      </c>
      <c r="C1754" t="s">
        <v>8394</v>
      </c>
      <c r="D1754" t="s">
        <v>8401</v>
      </c>
      <c r="E1754" t="s">
        <v>8445</v>
      </c>
      <c r="F1754" t="s">
        <v>8450</v>
      </c>
      <c r="G1754" t="s">
        <v>8716</v>
      </c>
    </row>
    <row r="1755" spans="1:7">
      <c r="A1755" t="s">
        <v>4134</v>
      </c>
      <c r="C1755" t="s">
        <v>8394</v>
      </c>
      <c r="D1755" t="s">
        <v>8401</v>
      </c>
      <c r="E1755" t="s">
        <v>8445</v>
      </c>
      <c r="F1755" t="s">
        <v>8450</v>
      </c>
      <c r="G1755" t="s">
        <v>8716</v>
      </c>
    </row>
    <row r="1756" spans="1:7">
      <c r="A1756" t="s">
        <v>4135</v>
      </c>
      <c r="C1756" t="s">
        <v>8394</v>
      </c>
      <c r="D1756" t="s">
        <v>8401</v>
      </c>
      <c r="E1756" t="s">
        <v>8445</v>
      </c>
      <c r="F1756" t="s">
        <v>8450</v>
      </c>
      <c r="G1756" t="s">
        <v>8716</v>
      </c>
    </row>
    <row r="1757" spans="1:7">
      <c r="A1757" t="s">
        <v>4136</v>
      </c>
      <c r="C1757" t="s">
        <v>8394</v>
      </c>
      <c r="D1757" t="s">
        <v>8401</v>
      </c>
      <c r="E1757" t="s">
        <v>8445</v>
      </c>
      <c r="F1757" t="s">
        <v>8450</v>
      </c>
      <c r="G1757" t="s">
        <v>8716</v>
      </c>
    </row>
    <row r="1758" spans="1:7">
      <c r="A1758" t="s">
        <v>4137</v>
      </c>
      <c r="C1758" t="s">
        <v>8394</v>
      </c>
      <c r="D1758" t="s">
        <v>8401</v>
      </c>
      <c r="E1758" t="s">
        <v>8445</v>
      </c>
      <c r="F1758" t="s">
        <v>8450</v>
      </c>
      <c r="G1758" t="s">
        <v>8716</v>
      </c>
    </row>
    <row r="1759" spans="1:7">
      <c r="A1759" t="s">
        <v>4138</v>
      </c>
      <c r="C1759" t="s">
        <v>8394</v>
      </c>
      <c r="D1759" t="s">
        <v>8401</v>
      </c>
      <c r="E1759" t="s">
        <v>8445</v>
      </c>
      <c r="F1759" t="s">
        <v>8450</v>
      </c>
      <c r="G1759" t="s">
        <v>8716</v>
      </c>
    </row>
    <row r="1760" spans="1:7">
      <c r="A1760" t="s">
        <v>4139</v>
      </c>
      <c r="C1760" t="s">
        <v>8394</v>
      </c>
      <c r="D1760" t="s">
        <v>8401</v>
      </c>
      <c r="E1760" t="s">
        <v>8445</v>
      </c>
      <c r="F1760" t="s">
        <v>8450</v>
      </c>
      <c r="G1760" t="s">
        <v>8716</v>
      </c>
    </row>
    <row r="1761" spans="1:7">
      <c r="A1761" t="s">
        <v>4140</v>
      </c>
      <c r="C1761" t="s">
        <v>8394</v>
      </c>
      <c r="D1761" t="s">
        <v>8401</v>
      </c>
      <c r="E1761" t="s">
        <v>8445</v>
      </c>
      <c r="F1761" t="s">
        <v>8450</v>
      </c>
      <c r="G1761" t="s">
        <v>8716</v>
      </c>
    </row>
    <row r="1762" spans="1:7">
      <c r="A1762" t="s">
        <v>4141</v>
      </c>
      <c r="C1762" t="s">
        <v>8394</v>
      </c>
      <c r="D1762" t="s">
        <v>8401</v>
      </c>
      <c r="E1762" t="s">
        <v>8445</v>
      </c>
      <c r="F1762" t="s">
        <v>8450</v>
      </c>
      <c r="G1762" t="s">
        <v>8716</v>
      </c>
    </row>
    <row r="1763" spans="1:7">
      <c r="A1763" t="s">
        <v>4142</v>
      </c>
      <c r="C1763" t="s">
        <v>8394</v>
      </c>
      <c r="D1763" t="s">
        <v>8401</v>
      </c>
      <c r="E1763" t="s">
        <v>8445</v>
      </c>
      <c r="F1763" t="s">
        <v>8450</v>
      </c>
      <c r="G1763" t="s">
        <v>8716</v>
      </c>
    </row>
    <row r="1764" spans="1:7">
      <c r="A1764" t="s">
        <v>4143</v>
      </c>
      <c r="C1764" t="s">
        <v>8394</v>
      </c>
      <c r="D1764" t="s">
        <v>8401</v>
      </c>
      <c r="E1764" t="s">
        <v>8445</v>
      </c>
      <c r="F1764" t="s">
        <v>8450</v>
      </c>
      <c r="G1764" t="s">
        <v>8716</v>
      </c>
    </row>
    <row r="1765" spans="1:7">
      <c r="A1765" t="s">
        <v>4144</v>
      </c>
      <c r="C1765" t="s">
        <v>8394</v>
      </c>
      <c r="D1765" t="s">
        <v>8401</v>
      </c>
      <c r="E1765" t="s">
        <v>8445</v>
      </c>
      <c r="F1765" t="s">
        <v>8450</v>
      </c>
      <c r="G1765" t="s">
        <v>8716</v>
      </c>
    </row>
    <row r="1766" spans="1:7">
      <c r="A1766" t="s">
        <v>4145</v>
      </c>
      <c r="C1766" t="s">
        <v>8394</v>
      </c>
      <c r="D1766" t="s">
        <v>8401</v>
      </c>
      <c r="E1766" t="s">
        <v>8445</v>
      </c>
      <c r="F1766" t="s">
        <v>8450</v>
      </c>
      <c r="G1766" t="s">
        <v>8716</v>
      </c>
    </row>
    <row r="1767" spans="1:7">
      <c r="A1767" t="s">
        <v>4146</v>
      </c>
      <c r="C1767" t="s">
        <v>8394</v>
      </c>
      <c r="D1767" t="s">
        <v>8401</v>
      </c>
      <c r="E1767" t="s">
        <v>8445</v>
      </c>
      <c r="F1767" t="s">
        <v>8450</v>
      </c>
      <c r="G1767" t="s">
        <v>8716</v>
      </c>
    </row>
    <row r="1768" spans="1:7">
      <c r="A1768" t="s">
        <v>4147</v>
      </c>
      <c r="C1768" t="s">
        <v>8394</v>
      </c>
      <c r="D1768" t="s">
        <v>8401</v>
      </c>
      <c r="E1768" t="s">
        <v>8445</v>
      </c>
      <c r="F1768" t="s">
        <v>8450</v>
      </c>
      <c r="G1768" t="s">
        <v>8716</v>
      </c>
    </row>
    <row r="1769" spans="1:7">
      <c r="A1769" t="s">
        <v>4148</v>
      </c>
      <c r="C1769" t="s">
        <v>8394</v>
      </c>
      <c r="D1769" t="s">
        <v>8401</v>
      </c>
      <c r="E1769" t="s">
        <v>8445</v>
      </c>
      <c r="F1769" t="s">
        <v>8450</v>
      </c>
      <c r="G1769" t="s">
        <v>8716</v>
      </c>
    </row>
    <row r="1770" spans="1:7">
      <c r="A1770" t="s">
        <v>4149</v>
      </c>
      <c r="C1770" t="s">
        <v>8394</v>
      </c>
      <c r="D1770" t="s">
        <v>8401</v>
      </c>
      <c r="E1770" t="s">
        <v>8445</v>
      </c>
      <c r="F1770" t="s">
        <v>8450</v>
      </c>
      <c r="G1770" t="s">
        <v>8716</v>
      </c>
    </row>
    <row r="1771" spans="1:7">
      <c r="A1771" t="s">
        <v>4150</v>
      </c>
      <c r="C1771" t="s">
        <v>8394</v>
      </c>
      <c r="D1771" t="s">
        <v>8401</v>
      </c>
      <c r="E1771" t="s">
        <v>8445</v>
      </c>
      <c r="F1771" t="s">
        <v>8450</v>
      </c>
      <c r="G1771" t="s">
        <v>8716</v>
      </c>
    </row>
    <row r="1772" spans="1:7">
      <c r="A1772" t="s">
        <v>4151</v>
      </c>
      <c r="C1772" t="s">
        <v>8394</v>
      </c>
      <c r="D1772" t="s">
        <v>8401</v>
      </c>
      <c r="E1772" t="s">
        <v>8445</v>
      </c>
      <c r="F1772" t="s">
        <v>8450</v>
      </c>
      <c r="G1772" t="s">
        <v>8716</v>
      </c>
    </row>
    <row r="1773" spans="1:7">
      <c r="A1773" t="s">
        <v>4152</v>
      </c>
      <c r="C1773" t="s">
        <v>8394</v>
      </c>
      <c r="D1773" t="s">
        <v>8401</v>
      </c>
      <c r="E1773" t="s">
        <v>8445</v>
      </c>
      <c r="F1773" t="s">
        <v>8450</v>
      </c>
      <c r="G1773" t="s">
        <v>8716</v>
      </c>
    </row>
    <row r="1774" spans="1:7">
      <c r="A1774" t="s">
        <v>4153</v>
      </c>
      <c r="C1774" t="s">
        <v>8394</v>
      </c>
      <c r="D1774" t="s">
        <v>8401</v>
      </c>
      <c r="E1774" t="s">
        <v>8445</v>
      </c>
      <c r="F1774" t="s">
        <v>8450</v>
      </c>
      <c r="G1774" t="s">
        <v>8716</v>
      </c>
    </row>
    <row r="1775" spans="1:7">
      <c r="A1775" t="s">
        <v>4154</v>
      </c>
      <c r="C1775" t="s">
        <v>8394</v>
      </c>
      <c r="D1775" t="s">
        <v>8401</v>
      </c>
      <c r="E1775" t="s">
        <v>8445</v>
      </c>
      <c r="F1775" t="s">
        <v>8450</v>
      </c>
      <c r="G1775" t="s">
        <v>8716</v>
      </c>
    </row>
    <row r="1776" spans="1:7">
      <c r="A1776" t="s">
        <v>4155</v>
      </c>
      <c r="C1776" t="s">
        <v>8394</v>
      </c>
      <c r="D1776" t="s">
        <v>8401</v>
      </c>
      <c r="E1776" t="s">
        <v>8445</v>
      </c>
      <c r="F1776" t="s">
        <v>8450</v>
      </c>
      <c r="G1776" t="s">
        <v>8716</v>
      </c>
    </row>
    <row r="1777" spans="1:7">
      <c r="A1777" t="s">
        <v>4156</v>
      </c>
      <c r="C1777" t="s">
        <v>8394</v>
      </c>
      <c r="D1777" t="s">
        <v>8401</v>
      </c>
      <c r="E1777" t="s">
        <v>8445</v>
      </c>
      <c r="F1777" t="s">
        <v>8450</v>
      </c>
      <c r="G1777" t="s">
        <v>8716</v>
      </c>
    </row>
    <row r="1778" spans="1:7">
      <c r="A1778" t="s">
        <v>4157</v>
      </c>
      <c r="C1778" t="s">
        <v>8394</v>
      </c>
      <c r="D1778" t="s">
        <v>8401</v>
      </c>
      <c r="E1778" t="s">
        <v>8445</v>
      </c>
      <c r="F1778" t="s">
        <v>8450</v>
      </c>
      <c r="G1778" t="s">
        <v>8716</v>
      </c>
    </row>
    <row r="1779" spans="1:7">
      <c r="A1779" t="s">
        <v>4158</v>
      </c>
      <c r="C1779" t="s">
        <v>8394</v>
      </c>
      <c r="D1779" t="s">
        <v>8401</v>
      </c>
      <c r="E1779" t="s">
        <v>8445</v>
      </c>
      <c r="F1779" t="s">
        <v>8450</v>
      </c>
      <c r="G1779" t="s">
        <v>8716</v>
      </c>
    </row>
    <row r="1780" spans="1:7">
      <c r="A1780" t="s">
        <v>4159</v>
      </c>
      <c r="C1780" t="s">
        <v>8394</v>
      </c>
      <c r="D1780" t="s">
        <v>8401</v>
      </c>
      <c r="E1780" t="s">
        <v>8445</v>
      </c>
      <c r="F1780" t="s">
        <v>8450</v>
      </c>
      <c r="G1780" t="s">
        <v>8716</v>
      </c>
    </row>
    <row r="1781" spans="1:7">
      <c r="A1781" t="s">
        <v>4160</v>
      </c>
      <c r="C1781" t="s">
        <v>8394</v>
      </c>
      <c r="D1781" t="s">
        <v>8401</v>
      </c>
      <c r="E1781" t="s">
        <v>8445</v>
      </c>
      <c r="F1781" t="s">
        <v>8450</v>
      </c>
      <c r="G1781" t="s">
        <v>8716</v>
      </c>
    </row>
    <row r="1782" spans="1:7">
      <c r="A1782" t="s">
        <v>4161</v>
      </c>
      <c r="C1782" t="s">
        <v>8394</v>
      </c>
      <c r="D1782" t="s">
        <v>8401</v>
      </c>
      <c r="E1782" t="s">
        <v>8445</v>
      </c>
      <c r="F1782" t="s">
        <v>8450</v>
      </c>
      <c r="G1782" t="s">
        <v>8716</v>
      </c>
    </row>
    <row r="1783" spans="1:7">
      <c r="A1783" t="s">
        <v>4162</v>
      </c>
      <c r="C1783" t="s">
        <v>8394</v>
      </c>
      <c r="D1783" t="s">
        <v>8401</v>
      </c>
      <c r="E1783" t="s">
        <v>8445</v>
      </c>
      <c r="F1783" t="s">
        <v>8450</v>
      </c>
      <c r="G1783" t="s">
        <v>8716</v>
      </c>
    </row>
    <row r="1784" spans="1:7">
      <c r="A1784" t="s">
        <v>4163</v>
      </c>
      <c r="C1784" t="s">
        <v>8394</v>
      </c>
      <c r="D1784" t="s">
        <v>8401</v>
      </c>
      <c r="E1784" t="s">
        <v>8445</v>
      </c>
      <c r="F1784" t="s">
        <v>8450</v>
      </c>
      <c r="G1784" t="s">
        <v>8716</v>
      </c>
    </row>
    <row r="1785" spans="1:7">
      <c r="A1785" t="s">
        <v>4164</v>
      </c>
      <c r="C1785" t="s">
        <v>8394</v>
      </c>
      <c r="D1785" t="s">
        <v>8401</v>
      </c>
      <c r="E1785" t="s">
        <v>8445</v>
      </c>
      <c r="F1785" t="s">
        <v>8450</v>
      </c>
      <c r="G1785" t="s">
        <v>8716</v>
      </c>
    </row>
    <row r="1786" spans="1:7">
      <c r="A1786" t="s">
        <v>4165</v>
      </c>
      <c r="C1786" t="s">
        <v>8394</v>
      </c>
      <c r="D1786" t="s">
        <v>8401</v>
      </c>
      <c r="E1786" t="s">
        <v>8445</v>
      </c>
      <c r="F1786" t="s">
        <v>8450</v>
      </c>
      <c r="G1786" t="s">
        <v>8716</v>
      </c>
    </row>
    <row r="1787" spans="1:7">
      <c r="A1787" t="s">
        <v>4166</v>
      </c>
      <c r="C1787" t="s">
        <v>8394</v>
      </c>
      <c r="D1787" t="s">
        <v>8401</v>
      </c>
      <c r="E1787" t="s">
        <v>8445</v>
      </c>
      <c r="F1787" t="s">
        <v>8450</v>
      </c>
      <c r="G1787" t="s">
        <v>8716</v>
      </c>
    </row>
    <row r="1788" spans="1:7">
      <c r="A1788" t="s">
        <v>4167</v>
      </c>
      <c r="C1788" t="s">
        <v>8394</v>
      </c>
      <c r="D1788" t="s">
        <v>8401</v>
      </c>
      <c r="E1788" t="s">
        <v>8445</v>
      </c>
      <c r="F1788" t="s">
        <v>8450</v>
      </c>
      <c r="G1788" t="s">
        <v>8716</v>
      </c>
    </row>
    <row r="1789" spans="1:7">
      <c r="A1789" t="s">
        <v>4168</v>
      </c>
      <c r="C1789" t="s">
        <v>8394</v>
      </c>
      <c r="D1789" t="s">
        <v>8401</v>
      </c>
      <c r="E1789" t="s">
        <v>8445</v>
      </c>
      <c r="F1789" t="s">
        <v>8450</v>
      </c>
      <c r="G1789" t="s">
        <v>8716</v>
      </c>
    </row>
    <row r="1790" spans="1:7">
      <c r="A1790" t="s">
        <v>4169</v>
      </c>
      <c r="C1790" t="s">
        <v>8394</v>
      </c>
      <c r="D1790" t="s">
        <v>8401</v>
      </c>
      <c r="E1790" t="s">
        <v>8445</v>
      </c>
      <c r="F1790" t="s">
        <v>8450</v>
      </c>
      <c r="G1790" t="s">
        <v>8716</v>
      </c>
    </row>
    <row r="1791" spans="1:7">
      <c r="A1791" t="s">
        <v>4170</v>
      </c>
      <c r="C1791" t="s">
        <v>8394</v>
      </c>
      <c r="D1791" t="s">
        <v>8401</v>
      </c>
      <c r="E1791" t="s">
        <v>8445</v>
      </c>
      <c r="F1791" t="s">
        <v>8450</v>
      </c>
      <c r="G1791" t="s">
        <v>8716</v>
      </c>
    </row>
    <row r="1792" spans="1:7">
      <c r="A1792" t="s">
        <v>4171</v>
      </c>
      <c r="C1792" t="s">
        <v>8394</v>
      </c>
      <c r="D1792" t="s">
        <v>8401</v>
      </c>
      <c r="E1792" t="s">
        <v>8445</v>
      </c>
      <c r="F1792" t="s">
        <v>8450</v>
      </c>
      <c r="G1792" t="s">
        <v>8716</v>
      </c>
    </row>
    <row r="1793" spans="1:7">
      <c r="A1793" t="s">
        <v>4172</v>
      </c>
      <c r="C1793" t="s">
        <v>8394</v>
      </c>
      <c r="D1793" t="s">
        <v>8401</v>
      </c>
      <c r="E1793" t="s">
        <v>8445</v>
      </c>
      <c r="F1793" t="s">
        <v>8450</v>
      </c>
      <c r="G1793" t="s">
        <v>8716</v>
      </c>
    </row>
    <row r="1794" spans="1:7">
      <c r="A1794" t="s">
        <v>4173</v>
      </c>
      <c r="C1794" t="s">
        <v>8394</v>
      </c>
      <c r="D1794" t="s">
        <v>8401</v>
      </c>
      <c r="E1794" t="s">
        <v>8445</v>
      </c>
      <c r="F1794" t="s">
        <v>8450</v>
      </c>
      <c r="G1794" t="s">
        <v>8716</v>
      </c>
    </row>
    <row r="1795" spans="1:7">
      <c r="A1795" t="s">
        <v>4174</v>
      </c>
      <c r="C1795" t="s">
        <v>8394</v>
      </c>
      <c r="D1795" t="s">
        <v>8401</v>
      </c>
      <c r="E1795" t="s">
        <v>8445</v>
      </c>
      <c r="F1795" t="s">
        <v>8450</v>
      </c>
      <c r="G1795" t="s">
        <v>8716</v>
      </c>
    </row>
    <row r="1796" spans="1:7">
      <c r="A1796" t="s">
        <v>4175</v>
      </c>
      <c r="C1796" t="s">
        <v>8394</v>
      </c>
      <c r="D1796" t="s">
        <v>8401</v>
      </c>
      <c r="E1796" t="s">
        <v>8445</v>
      </c>
      <c r="F1796" t="s">
        <v>8450</v>
      </c>
      <c r="G1796" t="s">
        <v>8716</v>
      </c>
    </row>
    <row r="1797" spans="1:7">
      <c r="A1797" t="s">
        <v>4176</v>
      </c>
      <c r="C1797" t="s">
        <v>8394</v>
      </c>
      <c r="D1797" t="s">
        <v>8401</v>
      </c>
      <c r="E1797" t="s">
        <v>8445</v>
      </c>
      <c r="F1797" t="s">
        <v>8450</v>
      </c>
      <c r="G1797" t="s">
        <v>8716</v>
      </c>
    </row>
    <row r="1798" spans="1:7">
      <c r="A1798" t="s">
        <v>4177</v>
      </c>
      <c r="C1798" t="s">
        <v>8394</v>
      </c>
      <c r="D1798" t="s">
        <v>8401</v>
      </c>
      <c r="E1798" t="s">
        <v>8445</v>
      </c>
      <c r="F1798" t="s">
        <v>8450</v>
      </c>
      <c r="G1798" t="s">
        <v>8716</v>
      </c>
    </row>
    <row r="1799" spans="1:7">
      <c r="A1799" t="s">
        <v>4178</v>
      </c>
      <c r="C1799" t="s">
        <v>8394</v>
      </c>
      <c r="D1799" t="s">
        <v>8401</v>
      </c>
      <c r="E1799" t="s">
        <v>8445</v>
      </c>
      <c r="F1799" t="s">
        <v>8450</v>
      </c>
      <c r="G1799" t="s">
        <v>8716</v>
      </c>
    </row>
    <row r="1800" spans="1:7">
      <c r="A1800" t="s">
        <v>4179</v>
      </c>
      <c r="C1800" t="s">
        <v>8394</v>
      </c>
      <c r="D1800" t="s">
        <v>8401</v>
      </c>
      <c r="E1800" t="s">
        <v>8445</v>
      </c>
      <c r="F1800" t="s">
        <v>8450</v>
      </c>
      <c r="G1800" t="s">
        <v>8716</v>
      </c>
    </row>
    <row r="1801" spans="1:7">
      <c r="A1801" t="s">
        <v>4180</v>
      </c>
      <c r="C1801" t="s">
        <v>8394</v>
      </c>
      <c r="D1801" t="s">
        <v>8401</v>
      </c>
      <c r="E1801" t="s">
        <v>8445</v>
      </c>
      <c r="F1801" t="s">
        <v>8450</v>
      </c>
      <c r="G1801" t="s">
        <v>8716</v>
      </c>
    </row>
    <row r="1802" spans="1:7">
      <c r="A1802" t="s">
        <v>4181</v>
      </c>
      <c r="C1802" t="s">
        <v>8394</v>
      </c>
      <c r="D1802" t="s">
        <v>8401</v>
      </c>
      <c r="E1802" t="s">
        <v>8445</v>
      </c>
      <c r="F1802" t="s">
        <v>8450</v>
      </c>
      <c r="G1802" t="s">
        <v>8716</v>
      </c>
    </row>
    <row r="1803" spans="1:7">
      <c r="A1803" t="s">
        <v>4182</v>
      </c>
      <c r="C1803" t="s">
        <v>8394</v>
      </c>
      <c r="D1803" t="s">
        <v>8401</v>
      </c>
      <c r="E1803" t="s">
        <v>8445</v>
      </c>
      <c r="F1803" t="s">
        <v>8450</v>
      </c>
      <c r="G1803" t="s">
        <v>8716</v>
      </c>
    </row>
    <row r="1804" spans="1:7">
      <c r="A1804" t="s">
        <v>4183</v>
      </c>
      <c r="C1804" t="s">
        <v>8394</v>
      </c>
      <c r="D1804" t="s">
        <v>8401</v>
      </c>
      <c r="E1804" t="s">
        <v>8445</v>
      </c>
      <c r="F1804" t="s">
        <v>8450</v>
      </c>
      <c r="G1804" t="s">
        <v>8716</v>
      </c>
    </row>
    <row r="1805" spans="1:7">
      <c r="A1805" t="s">
        <v>4184</v>
      </c>
      <c r="C1805" t="s">
        <v>8394</v>
      </c>
      <c r="D1805" t="s">
        <v>8401</v>
      </c>
      <c r="E1805" t="s">
        <v>8445</v>
      </c>
      <c r="F1805" t="s">
        <v>8450</v>
      </c>
      <c r="G1805" t="s">
        <v>8716</v>
      </c>
    </row>
    <row r="1806" spans="1:7">
      <c r="A1806" t="s">
        <v>4185</v>
      </c>
      <c r="C1806" t="s">
        <v>8394</v>
      </c>
      <c r="D1806" t="s">
        <v>8401</v>
      </c>
      <c r="E1806" t="s">
        <v>8445</v>
      </c>
      <c r="F1806" t="s">
        <v>8450</v>
      </c>
      <c r="G1806" t="s">
        <v>8716</v>
      </c>
    </row>
    <row r="1807" spans="1:7">
      <c r="A1807" t="s">
        <v>4186</v>
      </c>
      <c r="C1807" t="s">
        <v>8394</v>
      </c>
      <c r="D1807" t="s">
        <v>8401</v>
      </c>
      <c r="E1807" t="s">
        <v>8445</v>
      </c>
      <c r="F1807" t="s">
        <v>8450</v>
      </c>
      <c r="G1807" t="s">
        <v>8716</v>
      </c>
    </row>
    <row r="1808" spans="1:7">
      <c r="A1808" t="s">
        <v>4187</v>
      </c>
      <c r="C1808" t="s">
        <v>8394</v>
      </c>
      <c r="D1808" t="s">
        <v>8401</v>
      </c>
      <c r="E1808" t="s">
        <v>8445</v>
      </c>
      <c r="F1808" t="s">
        <v>8450</v>
      </c>
      <c r="G1808" t="s">
        <v>8716</v>
      </c>
    </row>
    <row r="1809" spans="1:7">
      <c r="A1809" t="s">
        <v>4188</v>
      </c>
      <c r="C1809" t="s">
        <v>8394</v>
      </c>
      <c r="D1809" t="s">
        <v>8401</v>
      </c>
      <c r="E1809" t="s">
        <v>8445</v>
      </c>
      <c r="F1809" t="s">
        <v>8450</v>
      </c>
      <c r="G1809" t="s">
        <v>8716</v>
      </c>
    </row>
    <row r="1810" spans="1:7">
      <c r="A1810" t="s">
        <v>4189</v>
      </c>
      <c r="C1810" t="s">
        <v>8394</v>
      </c>
      <c r="D1810" t="s">
        <v>8401</v>
      </c>
      <c r="E1810" t="s">
        <v>8445</v>
      </c>
      <c r="F1810" t="s">
        <v>8450</v>
      </c>
      <c r="G1810" t="s">
        <v>8716</v>
      </c>
    </row>
    <row r="1811" spans="1:7">
      <c r="A1811" t="s">
        <v>4190</v>
      </c>
      <c r="C1811" t="s">
        <v>8394</v>
      </c>
      <c r="D1811" t="s">
        <v>8401</v>
      </c>
      <c r="E1811" t="s">
        <v>8445</v>
      </c>
      <c r="F1811" t="s">
        <v>8450</v>
      </c>
      <c r="G1811" t="s">
        <v>8716</v>
      </c>
    </row>
    <row r="1812" spans="1:7">
      <c r="A1812" t="s">
        <v>4191</v>
      </c>
      <c r="C1812" t="s">
        <v>8394</v>
      </c>
      <c r="D1812" t="s">
        <v>8401</v>
      </c>
      <c r="E1812" t="s">
        <v>8445</v>
      </c>
      <c r="F1812" t="s">
        <v>8450</v>
      </c>
      <c r="G1812" t="s">
        <v>8716</v>
      </c>
    </row>
    <row r="1813" spans="1:7">
      <c r="A1813" t="s">
        <v>4192</v>
      </c>
      <c r="C1813" t="s">
        <v>8394</v>
      </c>
      <c r="D1813" t="s">
        <v>8401</v>
      </c>
      <c r="E1813" t="s">
        <v>8445</v>
      </c>
      <c r="F1813" t="s">
        <v>8450</v>
      </c>
      <c r="G1813" t="s">
        <v>8716</v>
      </c>
    </row>
    <row r="1814" spans="1:7">
      <c r="A1814" t="s">
        <v>4193</v>
      </c>
      <c r="C1814" t="s">
        <v>8394</v>
      </c>
      <c r="D1814" t="s">
        <v>8401</v>
      </c>
      <c r="E1814" t="s">
        <v>8445</v>
      </c>
      <c r="F1814" t="s">
        <v>8450</v>
      </c>
      <c r="G1814" t="s">
        <v>8716</v>
      </c>
    </row>
    <row r="1815" spans="1:7">
      <c r="A1815" t="s">
        <v>4194</v>
      </c>
      <c r="C1815" t="s">
        <v>8394</v>
      </c>
      <c r="D1815" t="s">
        <v>8401</v>
      </c>
      <c r="E1815" t="s">
        <v>8445</v>
      </c>
      <c r="F1815" t="s">
        <v>8450</v>
      </c>
      <c r="G1815" t="s">
        <v>8716</v>
      </c>
    </row>
    <row r="1816" spans="1:7">
      <c r="A1816" t="s">
        <v>4195</v>
      </c>
      <c r="C1816" t="s">
        <v>8394</v>
      </c>
      <c r="D1816" t="s">
        <v>8401</v>
      </c>
      <c r="E1816" t="s">
        <v>8445</v>
      </c>
      <c r="F1816" t="s">
        <v>8450</v>
      </c>
      <c r="G1816" t="s">
        <v>8716</v>
      </c>
    </row>
    <row r="1817" spans="1:7">
      <c r="A1817" t="s">
        <v>4196</v>
      </c>
      <c r="C1817" t="s">
        <v>8394</v>
      </c>
      <c r="D1817" t="s">
        <v>8401</v>
      </c>
      <c r="E1817" t="s">
        <v>8445</v>
      </c>
      <c r="F1817" t="s">
        <v>8450</v>
      </c>
      <c r="G1817" t="s">
        <v>8716</v>
      </c>
    </row>
    <row r="1818" spans="1:7">
      <c r="A1818" t="s">
        <v>4197</v>
      </c>
      <c r="C1818" t="s">
        <v>8394</v>
      </c>
      <c r="D1818" t="s">
        <v>8401</v>
      </c>
      <c r="E1818" t="s">
        <v>8445</v>
      </c>
      <c r="F1818" t="s">
        <v>8450</v>
      </c>
      <c r="G1818" t="s">
        <v>8716</v>
      </c>
    </row>
    <row r="1819" spans="1:7">
      <c r="A1819" t="s">
        <v>4198</v>
      </c>
      <c r="C1819" t="s">
        <v>8397</v>
      </c>
      <c r="D1819" t="s">
        <v>8421</v>
      </c>
      <c r="E1819" t="s">
        <v>8445</v>
      </c>
      <c r="F1819" t="s">
        <v>8448</v>
      </c>
      <c r="G1819" t="s">
        <v>8717</v>
      </c>
    </row>
    <row r="1820" spans="1:7">
      <c r="A1820" t="s">
        <v>4199</v>
      </c>
      <c r="C1820" t="s">
        <v>8394</v>
      </c>
      <c r="D1820" t="s">
        <v>8401</v>
      </c>
      <c r="E1820" t="s">
        <v>8445</v>
      </c>
      <c r="F1820" t="s">
        <v>8448</v>
      </c>
      <c r="G1820" t="s">
        <v>8453</v>
      </c>
    </row>
    <row r="1821" spans="1:7">
      <c r="A1821" t="s">
        <v>4200</v>
      </c>
      <c r="B1821" t="s">
        <v>8273</v>
      </c>
      <c r="C1821" t="s">
        <v>8395</v>
      </c>
      <c r="D1821" t="s">
        <v>8403</v>
      </c>
      <c r="E1821" t="s">
        <v>8446</v>
      </c>
      <c r="F1821" t="s">
        <v>8449</v>
      </c>
      <c r="G1821" t="s">
        <v>8718</v>
      </c>
    </row>
    <row r="1822" spans="1:7">
      <c r="A1822" t="s">
        <v>4201</v>
      </c>
      <c r="C1822" t="s">
        <v>8393</v>
      </c>
      <c r="D1822" t="s">
        <v>8393</v>
      </c>
      <c r="E1822" t="s">
        <v>919</v>
      </c>
      <c r="F1822" t="s">
        <v>8393</v>
      </c>
    </row>
    <row r="1823" spans="1:7">
      <c r="A1823" t="s">
        <v>4202</v>
      </c>
      <c r="C1823" t="s">
        <v>8397</v>
      </c>
      <c r="D1823" t="s">
        <v>8418</v>
      </c>
      <c r="E1823" t="s">
        <v>8445</v>
      </c>
      <c r="F1823" t="s">
        <v>8447</v>
      </c>
      <c r="G1823" t="s">
        <v>8474</v>
      </c>
    </row>
    <row r="1824" spans="1:7">
      <c r="A1824" t="s">
        <v>4203</v>
      </c>
      <c r="C1824" t="s">
        <v>8397</v>
      </c>
      <c r="D1824" t="s">
        <v>8418</v>
      </c>
      <c r="E1824" t="s">
        <v>8445</v>
      </c>
      <c r="F1824" t="s">
        <v>8447</v>
      </c>
      <c r="G1824" t="s">
        <v>8474</v>
      </c>
    </row>
    <row r="1825" spans="1:7">
      <c r="A1825" t="s">
        <v>4204</v>
      </c>
      <c r="C1825" t="s">
        <v>8397</v>
      </c>
      <c r="D1825" t="s">
        <v>8418</v>
      </c>
      <c r="E1825" t="s">
        <v>8445</v>
      </c>
      <c r="F1825" t="s">
        <v>8447</v>
      </c>
      <c r="G1825" t="s">
        <v>8474</v>
      </c>
    </row>
    <row r="1826" spans="1:7">
      <c r="A1826" t="s">
        <v>4205</v>
      </c>
      <c r="C1826" t="s">
        <v>8397</v>
      </c>
      <c r="D1826" t="s">
        <v>8418</v>
      </c>
      <c r="E1826" t="s">
        <v>8445</v>
      </c>
      <c r="F1826" t="s">
        <v>8447</v>
      </c>
      <c r="G1826" t="s">
        <v>8474</v>
      </c>
    </row>
    <row r="1827" spans="1:7">
      <c r="A1827" t="s">
        <v>4206</v>
      </c>
      <c r="C1827" t="s">
        <v>8397</v>
      </c>
      <c r="D1827" t="s">
        <v>8418</v>
      </c>
      <c r="E1827" t="s">
        <v>8445</v>
      </c>
      <c r="F1827" t="s">
        <v>8447</v>
      </c>
      <c r="G1827" t="s">
        <v>8474</v>
      </c>
    </row>
    <row r="1828" spans="1:7">
      <c r="A1828" t="s">
        <v>4207</v>
      </c>
      <c r="C1828" t="s">
        <v>8394</v>
      </c>
      <c r="D1828" t="s">
        <v>8422</v>
      </c>
      <c r="E1828" t="s">
        <v>1519</v>
      </c>
      <c r="F1828" t="s">
        <v>8449</v>
      </c>
      <c r="G1828" t="s">
        <v>8455</v>
      </c>
    </row>
    <row r="1829" spans="1:7">
      <c r="A1829" t="s">
        <v>4208</v>
      </c>
      <c r="B1829" t="s">
        <v>8273</v>
      </c>
      <c r="C1829" t="s">
        <v>8395</v>
      </c>
      <c r="D1829" t="s">
        <v>8416</v>
      </c>
      <c r="E1829" t="s">
        <v>8446</v>
      </c>
      <c r="F1829" t="s">
        <v>8448</v>
      </c>
      <c r="G1829" t="s">
        <v>8455</v>
      </c>
    </row>
    <row r="1830" spans="1:7">
      <c r="A1830" t="s">
        <v>4209</v>
      </c>
      <c r="C1830" t="s">
        <v>8394</v>
      </c>
      <c r="D1830" t="s">
        <v>8414</v>
      </c>
      <c r="E1830" t="s">
        <v>8445</v>
      </c>
      <c r="F1830" t="s">
        <v>8448</v>
      </c>
      <c r="G1830" t="s">
        <v>8719</v>
      </c>
    </row>
    <row r="1831" spans="1:7">
      <c r="A1831" t="s">
        <v>4210</v>
      </c>
      <c r="B1831" t="s">
        <v>8274</v>
      </c>
      <c r="C1831" t="s">
        <v>8396</v>
      </c>
      <c r="D1831" t="s">
        <v>8406</v>
      </c>
      <c r="E1831" t="s">
        <v>8444</v>
      </c>
      <c r="F1831" t="s">
        <v>8449</v>
      </c>
      <c r="G1831" t="s">
        <v>8455</v>
      </c>
    </row>
    <row r="1832" spans="1:7">
      <c r="A1832" t="s">
        <v>4211</v>
      </c>
      <c r="C1832" t="s">
        <v>8393</v>
      </c>
      <c r="D1832" t="s">
        <v>8393</v>
      </c>
      <c r="E1832" t="s">
        <v>919</v>
      </c>
      <c r="F1832" t="s">
        <v>8393</v>
      </c>
    </row>
    <row r="1833" spans="1:7">
      <c r="A1833" t="s">
        <v>4212</v>
      </c>
      <c r="B1833" t="s">
        <v>8273</v>
      </c>
      <c r="C1833" t="s">
        <v>8394</v>
      </c>
      <c r="D1833" t="s">
        <v>8416</v>
      </c>
      <c r="E1833" t="s">
        <v>8444</v>
      </c>
      <c r="F1833" t="s">
        <v>8449</v>
      </c>
      <c r="G1833" t="s">
        <v>8455</v>
      </c>
    </row>
    <row r="1834" spans="1:7">
      <c r="A1834" t="s">
        <v>4213</v>
      </c>
      <c r="B1834" t="s">
        <v>8273</v>
      </c>
      <c r="C1834" t="s">
        <v>8394</v>
      </c>
      <c r="D1834" t="s">
        <v>8416</v>
      </c>
      <c r="E1834" t="s">
        <v>8445</v>
      </c>
      <c r="F1834" t="s">
        <v>8449</v>
      </c>
      <c r="G1834" t="s">
        <v>8455</v>
      </c>
    </row>
    <row r="1835" spans="1:7">
      <c r="A1835" t="s">
        <v>4214</v>
      </c>
      <c r="B1835" t="s">
        <v>8273</v>
      </c>
      <c r="C1835" t="s">
        <v>8394</v>
      </c>
      <c r="D1835" t="s">
        <v>8416</v>
      </c>
      <c r="E1835" t="s">
        <v>8445</v>
      </c>
      <c r="F1835" t="s">
        <v>8449</v>
      </c>
      <c r="G1835" t="s">
        <v>8455</v>
      </c>
    </row>
    <row r="1836" spans="1:7">
      <c r="A1836" t="s">
        <v>4215</v>
      </c>
      <c r="B1836" t="s">
        <v>8300</v>
      </c>
      <c r="C1836" t="s">
        <v>8394</v>
      </c>
      <c r="D1836" t="s">
        <v>8416</v>
      </c>
      <c r="E1836" t="s">
        <v>8445</v>
      </c>
      <c r="F1836" t="s">
        <v>8449</v>
      </c>
      <c r="G1836" t="s">
        <v>8455</v>
      </c>
    </row>
    <row r="1837" spans="1:7">
      <c r="A1837" t="s">
        <v>4216</v>
      </c>
      <c r="B1837" t="s">
        <v>8285</v>
      </c>
      <c r="C1837" t="s">
        <v>8395</v>
      </c>
      <c r="D1837" t="s">
        <v>8416</v>
      </c>
      <c r="E1837" t="s">
        <v>8444</v>
      </c>
      <c r="F1837" t="s">
        <v>8449</v>
      </c>
      <c r="G1837" t="s">
        <v>796</v>
      </c>
    </row>
    <row r="1838" spans="1:7">
      <c r="A1838" t="s">
        <v>4217</v>
      </c>
      <c r="B1838" t="s">
        <v>8286</v>
      </c>
      <c r="C1838" t="s">
        <v>8394</v>
      </c>
      <c r="D1838" t="s">
        <v>8416</v>
      </c>
      <c r="E1838" t="s">
        <v>8444</v>
      </c>
      <c r="F1838" t="s">
        <v>8449</v>
      </c>
      <c r="G1838" t="s">
        <v>796</v>
      </c>
    </row>
    <row r="1839" spans="1:7">
      <c r="A1839" t="s">
        <v>4218</v>
      </c>
      <c r="B1839" t="s">
        <v>8273</v>
      </c>
      <c r="C1839" t="s">
        <v>8394</v>
      </c>
      <c r="D1839" t="s">
        <v>8416</v>
      </c>
      <c r="E1839" t="s">
        <v>8445</v>
      </c>
      <c r="F1839" t="s">
        <v>8449</v>
      </c>
      <c r="G1839" t="s">
        <v>8455</v>
      </c>
    </row>
    <row r="1840" spans="1:7">
      <c r="A1840" t="s">
        <v>4219</v>
      </c>
      <c r="B1840" t="s">
        <v>8273</v>
      </c>
      <c r="C1840" t="s">
        <v>8394</v>
      </c>
      <c r="D1840" t="s">
        <v>8416</v>
      </c>
      <c r="E1840" t="s">
        <v>8445</v>
      </c>
      <c r="F1840" t="s">
        <v>8449</v>
      </c>
      <c r="G1840" t="s">
        <v>8455</v>
      </c>
    </row>
    <row r="1841" spans="1:7">
      <c r="A1841" t="s">
        <v>4220</v>
      </c>
      <c r="B1841" t="s">
        <v>8274</v>
      </c>
      <c r="C1841" t="s">
        <v>8395</v>
      </c>
      <c r="D1841" t="s">
        <v>8416</v>
      </c>
      <c r="E1841" t="s">
        <v>8444</v>
      </c>
      <c r="F1841" t="s">
        <v>8449</v>
      </c>
      <c r="G1841" t="s">
        <v>796</v>
      </c>
    </row>
    <row r="1842" spans="1:7">
      <c r="A1842" t="s">
        <v>4221</v>
      </c>
      <c r="B1842" t="s">
        <v>8287</v>
      </c>
      <c r="C1842" t="s">
        <v>8395</v>
      </c>
      <c r="D1842" t="s">
        <v>8416</v>
      </c>
      <c r="E1842" t="s">
        <v>8444</v>
      </c>
      <c r="F1842" t="s">
        <v>8449</v>
      </c>
      <c r="G1842" t="s">
        <v>796</v>
      </c>
    </row>
    <row r="1843" spans="1:7">
      <c r="A1843" t="s">
        <v>4222</v>
      </c>
      <c r="B1843" t="s">
        <v>8277</v>
      </c>
      <c r="C1843" t="s">
        <v>8395</v>
      </c>
      <c r="D1843" t="s">
        <v>8416</v>
      </c>
      <c r="E1843" t="s">
        <v>8444</v>
      </c>
      <c r="F1843" t="s">
        <v>8449</v>
      </c>
      <c r="G1843" t="s">
        <v>796</v>
      </c>
    </row>
    <row r="1844" spans="1:7">
      <c r="A1844" t="s">
        <v>4223</v>
      </c>
      <c r="C1844" t="s">
        <v>8397</v>
      </c>
      <c r="D1844" t="s">
        <v>8412</v>
      </c>
      <c r="E1844" t="s">
        <v>8445</v>
      </c>
      <c r="F1844" t="s">
        <v>8450</v>
      </c>
    </row>
    <row r="1845" spans="1:7">
      <c r="A1845" t="s">
        <v>4224</v>
      </c>
      <c r="C1845" t="s">
        <v>8397</v>
      </c>
      <c r="D1845" t="s">
        <v>8412</v>
      </c>
      <c r="E1845" t="s">
        <v>8444</v>
      </c>
      <c r="F1845" t="s">
        <v>8450</v>
      </c>
    </row>
    <row r="1846" spans="1:7">
      <c r="A1846" t="s">
        <v>4225</v>
      </c>
      <c r="C1846" t="s">
        <v>8394</v>
      </c>
      <c r="D1846" t="s">
        <v>8402</v>
      </c>
      <c r="E1846" t="s">
        <v>8445</v>
      </c>
      <c r="F1846" t="s">
        <v>8449</v>
      </c>
      <c r="G1846" t="s">
        <v>8453</v>
      </c>
    </row>
    <row r="1847" spans="1:7">
      <c r="A1847" t="s">
        <v>4226</v>
      </c>
      <c r="C1847" t="s">
        <v>8397</v>
      </c>
      <c r="D1847" t="s">
        <v>8421</v>
      </c>
      <c r="E1847" t="s">
        <v>8444</v>
      </c>
      <c r="F1847" t="s">
        <v>8450</v>
      </c>
      <c r="G1847" t="s">
        <v>8720</v>
      </c>
    </row>
    <row r="1848" spans="1:7">
      <c r="A1848" t="s">
        <v>4227</v>
      </c>
      <c r="C1848" t="s">
        <v>8393</v>
      </c>
      <c r="D1848" t="s">
        <v>8393</v>
      </c>
      <c r="E1848" t="s">
        <v>919</v>
      </c>
      <c r="F1848" t="s">
        <v>8393</v>
      </c>
    </row>
    <row r="1849" spans="1:7">
      <c r="A1849" t="s">
        <v>4228</v>
      </c>
      <c r="B1849" t="s">
        <v>8278</v>
      </c>
      <c r="C1849" t="s">
        <v>8394</v>
      </c>
      <c r="D1849" t="s">
        <v>8423</v>
      </c>
      <c r="E1849" t="s">
        <v>8444</v>
      </c>
      <c r="F1849" t="s">
        <v>8449</v>
      </c>
      <c r="G1849" t="s">
        <v>8455</v>
      </c>
    </row>
    <row r="1850" spans="1:7">
      <c r="A1850" t="s">
        <v>4229</v>
      </c>
      <c r="B1850" t="s">
        <v>8284</v>
      </c>
      <c r="C1850" t="s">
        <v>8394</v>
      </c>
      <c r="D1850" t="s">
        <v>8423</v>
      </c>
      <c r="E1850" t="s">
        <v>8444</v>
      </c>
      <c r="F1850" t="s">
        <v>8449</v>
      </c>
      <c r="G1850" t="s">
        <v>8455</v>
      </c>
    </row>
    <row r="1851" spans="1:7">
      <c r="A1851" t="s">
        <v>4230</v>
      </c>
      <c r="B1851" t="s">
        <v>8279</v>
      </c>
      <c r="C1851" t="s">
        <v>8394</v>
      </c>
      <c r="D1851" t="s">
        <v>8423</v>
      </c>
      <c r="E1851" t="s">
        <v>8444</v>
      </c>
      <c r="F1851" t="s">
        <v>8449</v>
      </c>
      <c r="G1851" t="s">
        <v>8455</v>
      </c>
    </row>
    <row r="1852" spans="1:7">
      <c r="A1852" t="s">
        <v>4231</v>
      </c>
      <c r="B1852" t="s">
        <v>8281</v>
      </c>
      <c r="C1852" t="s">
        <v>8394</v>
      </c>
      <c r="D1852" t="s">
        <v>8423</v>
      </c>
      <c r="E1852" t="s">
        <v>8444</v>
      </c>
      <c r="F1852" t="s">
        <v>8449</v>
      </c>
      <c r="G1852" t="s">
        <v>8455</v>
      </c>
    </row>
    <row r="1853" spans="1:7">
      <c r="A1853" t="s">
        <v>4232</v>
      </c>
      <c r="B1853" t="s">
        <v>8273</v>
      </c>
      <c r="C1853" t="s">
        <v>8394</v>
      </c>
      <c r="D1853" t="s">
        <v>8402</v>
      </c>
      <c r="E1853" t="s">
        <v>8444</v>
      </c>
      <c r="F1853" t="s">
        <v>8449</v>
      </c>
      <c r="G1853" t="s">
        <v>8721</v>
      </c>
    </row>
    <row r="1854" spans="1:7">
      <c r="A1854" t="s">
        <v>4233</v>
      </c>
      <c r="C1854" t="s">
        <v>8394</v>
      </c>
      <c r="D1854" t="s">
        <v>8401</v>
      </c>
      <c r="E1854" t="s">
        <v>8445</v>
      </c>
      <c r="F1854" t="s">
        <v>8448</v>
      </c>
      <c r="G1854" t="s">
        <v>8722</v>
      </c>
    </row>
    <row r="1855" spans="1:7">
      <c r="A1855" t="s">
        <v>4234</v>
      </c>
      <c r="B1855" t="s">
        <v>8273</v>
      </c>
      <c r="C1855" t="s">
        <v>8394</v>
      </c>
      <c r="D1855" t="s">
        <v>8414</v>
      </c>
      <c r="E1855" t="s">
        <v>8445</v>
      </c>
      <c r="F1855" t="s">
        <v>8448</v>
      </c>
      <c r="G1855" t="s">
        <v>8723</v>
      </c>
    </row>
    <row r="1856" spans="1:7">
      <c r="A1856" t="s">
        <v>4235</v>
      </c>
      <c r="C1856" t="s">
        <v>8393</v>
      </c>
      <c r="D1856" t="s">
        <v>8393</v>
      </c>
      <c r="E1856" t="s">
        <v>919</v>
      </c>
      <c r="F1856" t="s">
        <v>8393</v>
      </c>
    </row>
    <row r="1857" spans="1:7">
      <c r="A1857" t="s">
        <v>4236</v>
      </c>
      <c r="B1857" t="s">
        <v>8278</v>
      </c>
      <c r="C1857" t="s">
        <v>8394</v>
      </c>
      <c r="D1857" t="s">
        <v>8423</v>
      </c>
      <c r="E1857" t="s">
        <v>8446</v>
      </c>
      <c r="F1857" t="s">
        <v>8449</v>
      </c>
      <c r="G1857" t="s">
        <v>8455</v>
      </c>
    </row>
    <row r="1858" spans="1:7">
      <c r="A1858" t="s">
        <v>4237</v>
      </c>
      <c r="B1858" t="s">
        <v>8284</v>
      </c>
      <c r="C1858" t="s">
        <v>8394</v>
      </c>
      <c r="D1858" t="s">
        <v>8423</v>
      </c>
      <c r="E1858" t="s">
        <v>8446</v>
      </c>
      <c r="F1858" t="s">
        <v>8449</v>
      </c>
      <c r="G1858" t="s">
        <v>8455</v>
      </c>
    </row>
    <row r="1859" spans="1:7">
      <c r="A1859" t="s">
        <v>4238</v>
      </c>
      <c r="B1859" t="s">
        <v>8279</v>
      </c>
      <c r="C1859" t="s">
        <v>8394</v>
      </c>
      <c r="D1859" t="s">
        <v>8423</v>
      </c>
      <c r="E1859" t="s">
        <v>8446</v>
      </c>
      <c r="F1859" t="s">
        <v>8449</v>
      </c>
      <c r="G1859" t="s">
        <v>8455</v>
      </c>
    </row>
    <row r="1860" spans="1:7">
      <c r="A1860" t="s">
        <v>4239</v>
      </c>
      <c r="B1860" t="s">
        <v>8280</v>
      </c>
      <c r="C1860" t="s">
        <v>8394</v>
      </c>
      <c r="D1860" t="s">
        <v>8423</v>
      </c>
      <c r="E1860" t="s">
        <v>8446</v>
      </c>
      <c r="F1860" t="s">
        <v>8449</v>
      </c>
      <c r="G1860" t="s">
        <v>8455</v>
      </c>
    </row>
    <row r="1861" spans="1:7">
      <c r="A1861" t="s">
        <v>4240</v>
      </c>
      <c r="B1861" t="s">
        <v>8281</v>
      </c>
      <c r="C1861" t="s">
        <v>8394</v>
      </c>
      <c r="D1861" t="s">
        <v>8423</v>
      </c>
      <c r="E1861" t="s">
        <v>8446</v>
      </c>
      <c r="F1861" t="s">
        <v>8449</v>
      </c>
      <c r="G1861" t="s">
        <v>8455</v>
      </c>
    </row>
    <row r="1862" spans="1:7">
      <c r="A1862" t="s">
        <v>4241</v>
      </c>
      <c r="C1862" t="s">
        <v>8394</v>
      </c>
      <c r="D1862" t="s">
        <v>8413</v>
      </c>
      <c r="E1862" t="s">
        <v>8445</v>
      </c>
      <c r="F1862" t="s">
        <v>8448</v>
      </c>
      <c r="G1862" t="s">
        <v>8724</v>
      </c>
    </row>
    <row r="1863" spans="1:7">
      <c r="A1863" t="s">
        <v>4242</v>
      </c>
      <c r="B1863" t="s">
        <v>8276</v>
      </c>
      <c r="C1863" t="s">
        <v>8395</v>
      </c>
      <c r="D1863" t="s">
        <v>8420</v>
      </c>
      <c r="E1863" t="s">
        <v>8446</v>
      </c>
      <c r="F1863" t="s">
        <v>8449</v>
      </c>
      <c r="G1863" t="s">
        <v>8455</v>
      </c>
    </row>
    <row r="1864" spans="1:7">
      <c r="A1864" t="s">
        <v>4243</v>
      </c>
      <c r="C1864" t="s">
        <v>8393</v>
      </c>
      <c r="D1864" t="s">
        <v>8393</v>
      </c>
      <c r="E1864" t="s">
        <v>919</v>
      </c>
      <c r="F1864" t="s">
        <v>8393</v>
      </c>
    </row>
    <row r="1865" spans="1:7">
      <c r="A1865" t="s">
        <v>4244</v>
      </c>
      <c r="B1865" t="s">
        <v>8273</v>
      </c>
      <c r="C1865" t="s">
        <v>8394</v>
      </c>
      <c r="D1865" t="s">
        <v>8414</v>
      </c>
      <c r="E1865" t="s">
        <v>8446</v>
      </c>
      <c r="F1865" t="s">
        <v>8449</v>
      </c>
      <c r="G1865" t="s">
        <v>8455</v>
      </c>
    </row>
    <row r="1866" spans="1:7">
      <c r="A1866" t="s">
        <v>4245</v>
      </c>
      <c r="B1866" t="s">
        <v>8277</v>
      </c>
      <c r="C1866" t="s">
        <v>8394</v>
      </c>
      <c r="D1866" t="s">
        <v>8414</v>
      </c>
      <c r="E1866" t="s">
        <v>8446</v>
      </c>
      <c r="F1866" t="s">
        <v>8449</v>
      </c>
      <c r="G1866" t="s">
        <v>8455</v>
      </c>
    </row>
    <row r="1867" spans="1:7">
      <c r="A1867" t="s">
        <v>4246</v>
      </c>
      <c r="C1867" t="s">
        <v>8394</v>
      </c>
      <c r="D1867" t="s">
        <v>8416</v>
      </c>
      <c r="E1867" t="s">
        <v>8444</v>
      </c>
      <c r="F1867" t="s">
        <v>8448</v>
      </c>
      <c r="G1867" t="s">
        <v>8725</v>
      </c>
    </row>
    <row r="1868" spans="1:7">
      <c r="A1868" t="s">
        <v>4247</v>
      </c>
      <c r="B1868" t="s">
        <v>8273</v>
      </c>
      <c r="C1868" t="s">
        <v>8394</v>
      </c>
      <c r="D1868" t="s">
        <v>8414</v>
      </c>
      <c r="E1868" t="s">
        <v>8444</v>
      </c>
      <c r="F1868" t="s">
        <v>8449</v>
      </c>
      <c r="G1868" t="s">
        <v>8455</v>
      </c>
    </row>
    <row r="1869" spans="1:7">
      <c r="A1869" t="s">
        <v>4248</v>
      </c>
      <c r="B1869" t="s">
        <v>8273</v>
      </c>
      <c r="C1869" t="s">
        <v>8394</v>
      </c>
      <c r="D1869" t="s">
        <v>8416</v>
      </c>
      <c r="E1869" t="s">
        <v>8446</v>
      </c>
      <c r="F1869" t="s">
        <v>8448</v>
      </c>
      <c r="G1869" t="s">
        <v>8463</v>
      </c>
    </row>
    <row r="1870" spans="1:7">
      <c r="A1870" t="s">
        <v>4249</v>
      </c>
      <c r="C1870" t="s">
        <v>8394</v>
      </c>
      <c r="D1870" t="s">
        <v>8416</v>
      </c>
      <c r="E1870" t="s">
        <v>8444</v>
      </c>
      <c r="F1870" t="s">
        <v>8448</v>
      </c>
      <c r="G1870" t="s">
        <v>8726</v>
      </c>
    </row>
    <row r="1871" spans="1:7">
      <c r="A1871" t="s">
        <v>4250</v>
      </c>
      <c r="C1871" t="s">
        <v>8394</v>
      </c>
      <c r="D1871" t="s">
        <v>8416</v>
      </c>
      <c r="E1871" t="s">
        <v>8445</v>
      </c>
      <c r="F1871" t="s">
        <v>8450</v>
      </c>
      <c r="G1871" t="s">
        <v>8727</v>
      </c>
    </row>
    <row r="1872" spans="1:7">
      <c r="A1872" t="s">
        <v>4251</v>
      </c>
      <c r="C1872" t="s">
        <v>8397</v>
      </c>
      <c r="D1872" t="s">
        <v>8408</v>
      </c>
      <c r="E1872" t="s">
        <v>8445</v>
      </c>
      <c r="F1872" t="s">
        <v>8450</v>
      </c>
    </row>
    <row r="1873" spans="1:7">
      <c r="A1873" t="s">
        <v>4252</v>
      </c>
      <c r="C1873" t="s">
        <v>8394</v>
      </c>
      <c r="D1873" t="s">
        <v>8401</v>
      </c>
      <c r="E1873" t="s">
        <v>8445</v>
      </c>
      <c r="F1873" t="s">
        <v>8448</v>
      </c>
      <c r="G1873" t="s">
        <v>8728</v>
      </c>
    </row>
    <row r="1874" spans="1:7">
      <c r="A1874" t="s">
        <v>4253</v>
      </c>
      <c r="C1874" t="s">
        <v>8393</v>
      </c>
      <c r="D1874" t="s">
        <v>8393</v>
      </c>
      <c r="E1874" t="s">
        <v>919</v>
      </c>
      <c r="F1874" t="s">
        <v>8393</v>
      </c>
    </row>
    <row r="1875" spans="1:7">
      <c r="A1875" t="s">
        <v>4254</v>
      </c>
      <c r="C1875" t="s">
        <v>8394</v>
      </c>
      <c r="D1875" t="s">
        <v>8401</v>
      </c>
      <c r="E1875" t="s">
        <v>8445</v>
      </c>
      <c r="F1875" t="s">
        <v>8450</v>
      </c>
      <c r="G1875" t="s">
        <v>8729</v>
      </c>
    </row>
    <row r="1876" spans="1:7">
      <c r="A1876" t="s">
        <v>4255</v>
      </c>
      <c r="C1876" t="s">
        <v>8394</v>
      </c>
      <c r="D1876" t="s">
        <v>8401</v>
      </c>
      <c r="E1876" t="s">
        <v>8445</v>
      </c>
      <c r="F1876" t="s">
        <v>8450</v>
      </c>
      <c r="G1876" t="s">
        <v>8729</v>
      </c>
    </row>
    <row r="1877" spans="1:7">
      <c r="A1877" t="s">
        <v>4256</v>
      </c>
      <c r="C1877" t="s">
        <v>8394</v>
      </c>
      <c r="D1877" t="s">
        <v>8401</v>
      </c>
      <c r="E1877" t="s">
        <v>8445</v>
      </c>
      <c r="F1877" t="s">
        <v>8450</v>
      </c>
      <c r="G1877" t="s">
        <v>8729</v>
      </c>
    </row>
    <row r="1878" spans="1:7">
      <c r="A1878" t="s">
        <v>4257</v>
      </c>
      <c r="C1878" t="s">
        <v>8394</v>
      </c>
      <c r="D1878" t="s">
        <v>8401</v>
      </c>
      <c r="E1878" t="s">
        <v>8445</v>
      </c>
      <c r="F1878" t="s">
        <v>8448</v>
      </c>
      <c r="G1878" t="s">
        <v>8730</v>
      </c>
    </row>
    <row r="1879" spans="1:7">
      <c r="A1879" t="s">
        <v>4258</v>
      </c>
      <c r="C1879" t="s">
        <v>8394</v>
      </c>
      <c r="D1879" t="s">
        <v>8401</v>
      </c>
      <c r="E1879" t="s">
        <v>8445</v>
      </c>
      <c r="F1879" t="s">
        <v>8448</v>
      </c>
      <c r="G1879" t="s">
        <v>8731</v>
      </c>
    </row>
    <row r="1880" spans="1:7">
      <c r="A1880" t="s">
        <v>4259</v>
      </c>
      <c r="C1880" t="s">
        <v>8392</v>
      </c>
      <c r="D1880" t="s">
        <v>8400</v>
      </c>
      <c r="E1880" t="s">
        <v>1587</v>
      </c>
      <c r="F1880" t="s">
        <v>8447</v>
      </c>
      <c r="G1880" t="s">
        <v>8463</v>
      </c>
    </row>
    <row r="1881" spans="1:7">
      <c r="A1881" t="s">
        <v>4260</v>
      </c>
      <c r="C1881" t="s">
        <v>8393</v>
      </c>
      <c r="D1881" t="s">
        <v>8393</v>
      </c>
      <c r="E1881" t="s">
        <v>919</v>
      </c>
      <c r="F1881" t="s">
        <v>8393</v>
      </c>
    </row>
    <row r="1882" spans="1:7">
      <c r="A1882" t="s">
        <v>4261</v>
      </c>
      <c r="B1882" t="s">
        <v>8273</v>
      </c>
      <c r="C1882" t="s">
        <v>8394</v>
      </c>
      <c r="D1882" t="s">
        <v>8414</v>
      </c>
      <c r="E1882" t="s">
        <v>8446</v>
      </c>
      <c r="F1882" t="s">
        <v>8449</v>
      </c>
      <c r="G1882" t="s">
        <v>8455</v>
      </c>
    </row>
    <row r="1883" spans="1:7">
      <c r="A1883" t="s">
        <v>4262</v>
      </c>
      <c r="B1883" t="s">
        <v>8277</v>
      </c>
      <c r="C1883" t="s">
        <v>8394</v>
      </c>
      <c r="D1883" t="s">
        <v>8414</v>
      </c>
      <c r="E1883" t="s">
        <v>8446</v>
      </c>
      <c r="F1883" t="s">
        <v>8449</v>
      </c>
      <c r="G1883" t="s">
        <v>8455</v>
      </c>
    </row>
    <row r="1884" spans="1:7">
      <c r="A1884" t="s">
        <v>4263</v>
      </c>
      <c r="C1884" t="s">
        <v>8397</v>
      </c>
      <c r="D1884" t="s">
        <v>8408</v>
      </c>
      <c r="E1884" t="s">
        <v>8445</v>
      </c>
      <c r="F1884" t="s">
        <v>8450</v>
      </c>
    </row>
    <row r="1885" spans="1:7">
      <c r="A1885" t="s">
        <v>4264</v>
      </c>
      <c r="B1885" t="s">
        <v>8273</v>
      </c>
      <c r="C1885" t="s">
        <v>8394</v>
      </c>
      <c r="D1885" t="s">
        <v>8414</v>
      </c>
      <c r="E1885" t="s">
        <v>8446</v>
      </c>
      <c r="F1885" t="s">
        <v>8448</v>
      </c>
      <c r="G1885" t="s">
        <v>8732</v>
      </c>
    </row>
    <row r="1886" spans="1:7">
      <c r="A1886" t="s">
        <v>4265</v>
      </c>
      <c r="B1886" t="s">
        <v>8273</v>
      </c>
      <c r="C1886" t="s">
        <v>8395</v>
      </c>
      <c r="D1886" t="s">
        <v>8427</v>
      </c>
      <c r="E1886" t="s">
        <v>8446</v>
      </c>
      <c r="F1886" t="s">
        <v>8449</v>
      </c>
      <c r="G1886" t="s">
        <v>796</v>
      </c>
    </row>
    <row r="1887" spans="1:7">
      <c r="A1887" t="s">
        <v>4266</v>
      </c>
      <c r="B1887" t="s">
        <v>8273</v>
      </c>
      <c r="C1887" t="s">
        <v>8392</v>
      </c>
      <c r="D1887" t="s">
        <v>8400</v>
      </c>
      <c r="E1887" t="s">
        <v>8444</v>
      </c>
      <c r="F1887" t="s">
        <v>8448</v>
      </c>
      <c r="G1887" t="s">
        <v>8453</v>
      </c>
    </row>
    <row r="1888" spans="1:7">
      <c r="A1888" t="s">
        <v>4267</v>
      </c>
      <c r="B1888" t="s">
        <v>8273</v>
      </c>
      <c r="C1888" t="s">
        <v>8394</v>
      </c>
      <c r="D1888" t="s">
        <v>8413</v>
      </c>
      <c r="E1888" t="s">
        <v>8445</v>
      </c>
      <c r="F1888" t="s">
        <v>8448</v>
      </c>
      <c r="G1888" t="s">
        <v>8455</v>
      </c>
    </row>
    <row r="1889" spans="1:7">
      <c r="A1889" t="s">
        <v>4268</v>
      </c>
      <c r="C1889" t="s">
        <v>8394</v>
      </c>
      <c r="D1889" t="s">
        <v>8414</v>
      </c>
      <c r="E1889" t="s">
        <v>8446</v>
      </c>
      <c r="F1889" t="s">
        <v>8449</v>
      </c>
      <c r="G1889" t="s">
        <v>796</v>
      </c>
    </row>
    <row r="1890" spans="1:7">
      <c r="A1890" t="s">
        <v>4269</v>
      </c>
      <c r="C1890" t="s">
        <v>8394</v>
      </c>
      <c r="D1890" t="s">
        <v>8413</v>
      </c>
      <c r="E1890" t="s">
        <v>8446</v>
      </c>
      <c r="F1890" t="s">
        <v>8448</v>
      </c>
      <c r="G1890" t="s">
        <v>8453</v>
      </c>
    </row>
    <row r="1891" spans="1:7">
      <c r="A1891" t="s">
        <v>4270</v>
      </c>
      <c r="C1891" t="s">
        <v>8397</v>
      </c>
      <c r="D1891" t="s">
        <v>8418</v>
      </c>
      <c r="E1891" t="s">
        <v>8445</v>
      </c>
      <c r="F1891" t="s">
        <v>8450</v>
      </c>
      <c r="G1891" t="s">
        <v>8733</v>
      </c>
    </row>
    <row r="1892" spans="1:7">
      <c r="A1892" t="s">
        <v>4271</v>
      </c>
      <c r="B1892" t="s">
        <v>8273</v>
      </c>
      <c r="C1892" t="s">
        <v>8397</v>
      </c>
      <c r="D1892" t="s">
        <v>8421</v>
      </c>
      <c r="E1892" t="s">
        <v>8445</v>
      </c>
      <c r="F1892" t="s">
        <v>8448</v>
      </c>
      <c r="G1892" t="s">
        <v>8734</v>
      </c>
    </row>
    <row r="1893" spans="1:7">
      <c r="A1893" t="s">
        <v>4272</v>
      </c>
      <c r="B1893" t="s">
        <v>8273</v>
      </c>
      <c r="C1893" t="s">
        <v>8396</v>
      </c>
      <c r="D1893" t="s">
        <v>8420</v>
      </c>
      <c r="E1893" t="s">
        <v>8446</v>
      </c>
      <c r="F1893" t="s">
        <v>8448</v>
      </c>
      <c r="G1893" t="s">
        <v>8455</v>
      </c>
    </row>
    <row r="1894" spans="1:7">
      <c r="A1894" t="s">
        <v>4273</v>
      </c>
      <c r="B1894" t="s">
        <v>8273</v>
      </c>
      <c r="C1894" t="s">
        <v>8395</v>
      </c>
      <c r="D1894" t="s">
        <v>8420</v>
      </c>
      <c r="E1894" t="s">
        <v>1519</v>
      </c>
      <c r="F1894" t="s">
        <v>8449</v>
      </c>
      <c r="G1894" t="s">
        <v>8455</v>
      </c>
    </row>
    <row r="1895" spans="1:7">
      <c r="A1895" t="s">
        <v>4274</v>
      </c>
      <c r="B1895" t="s">
        <v>8273</v>
      </c>
      <c r="C1895" t="s">
        <v>8395</v>
      </c>
      <c r="D1895" t="s">
        <v>8403</v>
      </c>
      <c r="E1895" t="s">
        <v>8446</v>
      </c>
      <c r="F1895" t="s">
        <v>8449</v>
      </c>
      <c r="G1895" t="s">
        <v>8455</v>
      </c>
    </row>
    <row r="1896" spans="1:7">
      <c r="A1896" t="s">
        <v>4275</v>
      </c>
      <c r="B1896" t="s">
        <v>8273</v>
      </c>
      <c r="C1896" t="s">
        <v>8394</v>
      </c>
      <c r="D1896" t="s">
        <v>8402</v>
      </c>
      <c r="E1896" t="s">
        <v>8445</v>
      </c>
      <c r="F1896" t="s">
        <v>8448</v>
      </c>
      <c r="G1896" t="s">
        <v>8735</v>
      </c>
    </row>
    <row r="1897" spans="1:7">
      <c r="A1897" t="s">
        <v>4276</v>
      </c>
      <c r="B1897" t="s">
        <v>8273</v>
      </c>
      <c r="C1897" t="s">
        <v>8394</v>
      </c>
      <c r="D1897" t="s">
        <v>8407</v>
      </c>
      <c r="E1897" t="s">
        <v>8445</v>
      </c>
      <c r="F1897" t="s">
        <v>8448</v>
      </c>
      <c r="G1897" t="s">
        <v>8736</v>
      </c>
    </row>
    <row r="1898" spans="1:7">
      <c r="A1898" t="s">
        <v>4277</v>
      </c>
      <c r="B1898" t="s">
        <v>8273</v>
      </c>
      <c r="C1898" t="s">
        <v>8394</v>
      </c>
      <c r="D1898" t="s">
        <v>8414</v>
      </c>
      <c r="E1898" t="s">
        <v>8445</v>
      </c>
      <c r="F1898" t="s">
        <v>8448</v>
      </c>
      <c r="G1898" t="s">
        <v>8737</v>
      </c>
    </row>
    <row r="1899" spans="1:7">
      <c r="A1899" t="s">
        <v>4278</v>
      </c>
      <c r="C1899" t="s">
        <v>8394</v>
      </c>
      <c r="D1899" t="s">
        <v>8401</v>
      </c>
      <c r="E1899" t="s">
        <v>8445</v>
      </c>
      <c r="F1899" t="s">
        <v>8448</v>
      </c>
      <c r="G1899" t="s">
        <v>8453</v>
      </c>
    </row>
    <row r="1900" spans="1:7">
      <c r="A1900" t="s">
        <v>4279</v>
      </c>
      <c r="C1900" t="s">
        <v>8392</v>
      </c>
      <c r="D1900" t="s">
        <v>8400</v>
      </c>
      <c r="E1900" t="s">
        <v>8446</v>
      </c>
      <c r="F1900" t="s">
        <v>8449</v>
      </c>
      <c r="G1900" t="s">
        <v>796</v>
      </c>
    </row>
    <row r="1901" spans="1:7">
      <c r="A1901" t="s">
        <v>4280</v>
      </c>
      <c r="B1901" t="s">
        <v>8295</v>
      </c>
      <c r="C1901" t="s">
        <v>8398</v>
      </c>
      <c r="D1901" t="s">
        <v>8419</v>
      </c>
      <c r="E1901" t="s">
        <v>8446</v>
      </c>
      <c r="F1901" t="s">
        <v>8449</v>
      </c>
      <c r="G1901" t="s">
        <v>8455</v>
      </c>
    </row>
    <row r="1902" spans="1:7">
      <c r="A1902" t="s">
        <v>4281</v>
      </c>
      <c r="C1902" t="s">
        <v>8394</v>
      </c>
      <c r="D1902" t="s">
        <v>8402</v>
      </c>
      <c r="E1902" t="s">
        <v>8445</v>
      </c>
      <c r="F1902" t="s">
        <v>8448</v>
      </c>
      <c r="G1902" t="s">
        <v>8738</v>
      </c>
    </row>
    <row r="1903" spans="1:7">
      <c r="A1903" t="s">
        <v>4282</v>
      </c>
      <c r="C1903" t="s">
        <v>8393</v>
      </c>
      <c r="D1903" t="s">
        <v>8393</v>
      </c>
      <c r="E1903" t="s">
        <v>919</v>
      </c>
      <c r="F1903" t="s">
        <v>8393</v>
      </c>
    </row>
    <row r="1904" spans="1:7">
      <c r="A1904" t="s">
        <v>4283</v>
      </c>
      <c r="B1904" t="s">
        <v>8273</v>
      </c>
      <c r="C1904" t="s">
        <v>8394</v>
      </c>
      <c r="D1904" t="s">
        <v>8414</v>
      </c>
      <c r="E1904" t="s">
        <v>1519</v>
      </c>
      <c r="F1904" t="s">
        <v>8449</v>
      </c>
      <c r="G1904" t="s">
        <v>8455</v>
      </c>
    </row>
    <row r="1905" spans="1:7">
      <c r="A1905" t="s">
        <v>4284</v>
      </c>
      <c r="B1905" t="s">
        <v>8277</v>
      </c>
      <c r="C1905" t="s">
        <v>8394</v>
      </c>
      <c r="D1905" t="s">
        <v>8414</v>
      </c>
      <c r="E1905" t="s">
        <v>1519</v>
      </c>
      <c r="F1905" t="s">
        <v>8449</v>
      </c>
      <c r="G1905" t="s">
        <v>8455</v>
      </c>
    </row>
    <row r="1906" spans="1:7">
      <c r="A1906" t="s">
        <v>4285</v>
      </c>
      <c r="C1906" t="s">
        <v>8394</v>
      </c>
      <c r="D1906" t="s">
        <v>8403</v>
      </c>
      <c r="E1906" t="s">
        <v>8445</v>
      </c>
      <c r="F1906" t="s">
        <v>8449</v>
      </c>
      <c r="G1906" t="s">
        <v>795</v>
      </c>
    </row>
    <row r="1907" spans="1:7">
      <c r="A1907" t="s">
        <v>4286</v>
      </c>
      <c r="C1907" t="s">
        <v>8394</v>
      </c>
      <c r="D1907" t="s">
        <v>8401</v>
      </c>
      <c r="E1907" t="s">
        <v>8445</v>
      </c>
      <c r="F1907" t="s">
        <v>8450</v>
      </c>
      <c r="G1907" t="s">
        <v>8739</v>
      </c>
    </row>
    <row r="1908" spans="1:7">
      <c r="A1908" t="s">
        <v>4287</v>
      </c>
      <c r="C1908" t="s">
        <v>8394</v>
      </c>
      <c r="D1908" t="s">
        <v>8401</v>
      </c>
      <c r="E1908" t="s">
        <v>8445</v>
      </c>
      <c r="F1908" t="s">
        <v>8450</v>
      </c>
      <c r="G1908" t="s">
        <v>8740</v>
      </c>
    </row>
    <row r="1909" spans="1:7">
      <c r="A1909" t="s">
        <v>4288</v>
      </c>
      <c r="C1909" t="s">
        <v>8393</v>
      </c>
      <c r="D1909" t="s">
        <v>8393</v>
      </c>
      <c r="E1909" t="s">
        <v>919</v>
      </c>
      <c r="F1909" t="s">
        <v>8393</v>
      </c>
    </row>
    <row r="1910" spans="1:7">
      <c r="A1910" t="s">
        <v>4289</v>
      </c>
      <c r="C1910" t="s">
        <v>8394</v>
      </c>
      <c r="D1910" t="s">
        <v>8401</v>
      </c>
      <c r="E1910" t="s">
        <v>8445</v>
      </c>
      <c r="F1910" t="s">
        <v>8448</v>
      </c>
      <c r="G1910" t="s">
        <v>8741</v>
      </c>
    </row>
    <row r="1911" spans="1:7">
      <c r="A1911" t="s">
        <v>4290</v>
      </c>
      <c r="C1911" t="s">
        <v>8394</v>
      </c>
      <c r="D1911" t="s">
        <v>8401</v>
      </c>
      <c r="E1911" t="s">
        <v>8445</v>
      </c>
      <c r="F1911" t="s">
        <v>8448</v>
      </c>
      <c r="G1911" t="s">
        <v>8741</v>
      </c>
    </row>
    <row r="1912" spans="1:7">
      <c r="A1912" t="s">
        <v>4291</v>
      </c>
      <c r="C1912" t="s">
        <v>8394</v>
      </c>
      <c r="D1912" t="s">
        <v>8401</v>
      </c>
      <c r="E1912" t="s">
        <v>8445</v>
      </c>
      <c r="F1912" t="s">
        <v>8448</v>
      </c>
      <c r="G1912" t="s">
        <v>8741</v>
      </c>
    </row>
    <row r="1913" spans="1:7">
      <c r="A1913" t="s">
        <v>4292</v>
      </c>
      <c r="C1913" t="s">
        <v>8394</v>
      </c>
      <c r="D1913" t="s">
        <v>8401</v>
      </c>
      <c r="E1913" t="s">
        <v>8445</v>
      </c>
      <c r="F1913" t="s">
        <v>8448</v>
      </c>
      <c r="G1913" t="s">
        <v>8741</v>
      </c>
    </row>
    <row r="1914" spans="1:7">
      <c r="A1914" t="s">
        <v>4293</v>
      </c>
      <c r="C1914" t="s">
        <v>8397</v>
      </c>
      <c r="D1914" t="s">
        <v>8408</v>
      </c>
      <c r="E1914" t="s">
        <v>8446</v>
      </c>
      <c r="F1914" t="s">
        <v>8450</v>
      </c>
    </row>
    <row r="1915" spans="1:7">
      <c r="A1915" t="s">
        <v>4294</v>
      </c>
      <c r="C1915" t="s">
        <v>8394</v>
      </c>
      <c r="D1915" t="s">
        <v>8401</v>
      </c>
      <c r="E1915" t="s">
        <v>8445</v>
      </c>
      <c r="F1915" t="s">
        <v>8448</v>
      </c>
      <c r="G1915" t="s">
        <v>8742</v>
      </c>
    </row>
    <row r="1916" spans="1:7">
      <c r="A1916" t="s">
        <v>4295</v>
      </c>
      <c r="C1916" t="s">
        <v>8393</v>
      </c>
      <c r="D1916" t="s">
        <v>8393</v>
      </c>
      <c r="E1916" t="s">
        <v>919</v>
      </c>
      <c r="F1916" t="s">
        <v>8393</v>
      </c>
    </row>
    <row r="1917" spans="1:7">
      <c r="A1917" t="s">
        <v>4296</v>
      </c>
      <c r="B1917" t="s">
        <v>8273</v>
      </c>
      <c r="C1917" t="s">
        <v>8394</v>
      </c>
      <c r="D1917" t="s">
        <v>8414</v>
      </c>
      <c r="E1917" t="s">
        <v>8446</v>
      </c>
      <c r="F1917" t="s">
        <v>8449</v>
      </c>
      <c r="G1917" t="s">
        <v>8455</v>
      </c>
    </row>
    <row r="1918" spans="1:7">
      <c r="A1918" t="s">
        <v>4297</v>
      </c>
      <c r="B1918" t="s">
        <v>8277</v>
      </c>
      <c r="C1918" t="s">
        <v>8394</v>
      </c>
      <c r="D1918" t="s">
        <v>8414</v>
      </c>
      <c r="E1918" t="s">
        <v>8446</v>
      </c>
      <c r="F1918" t="s">
        <v>8449</v>
      </c>
      <c r="G1918" t="s">
        <v>8455</v>
      </c>
    </row>
    <row r="1919" spans="1:7">
      <c r="A1919" t="s">
        <v>4298</v>
      </c>
      <c r="B1919" t="s">
        <v>8273</v>
      </c>
      <c r="C1919" t="s">
        <v>8397</v>
      </c>
      <c r="D1919" t="s">
        <v>8418</v>
      </c>
      <c r="E1919" t="s">
        <v>8445</v>
      </c>
      <c r="F1919" t="s">
        <v>8448</v>
      </c>
      <c r="G1919" t="s">
        <v>8743</v>
      </c>
    </row>
    <row r="1920" spans="1:7">
      <c r="A1920" t="s">
        <v>4299</v>
      </c>
      <c r="B1920" t="s">
        <v>8273</v>
      </c>
      <c r="C1920" t="s">
        <v>8394</v>
      </c>
      <c r="D1920" t="s">
        <v>8416</v>
      </c>
      <c r="E1920" t="s">
        <v>8444</v>
      </c>
      <c r="F1920" t="s">
        <v>8448</v>
      </c>
      <c r="G1920" t="s">
        <v>8744</v>
      </c>
    </row>
    <row r="1921" spans="1:7">
      <c r="A1921" t="s">
        <v>4300</v>
      </c>
      <c r="B1921" t="s">
        <v>8273</v>
      </c>
      <c r="C1921" t="s">
        <v>8398</v>
      </c>
      <c r="D1921" t="s">
        <v>8409</v>
      </c>
      <c r="E1921" t="s">
        <v>8444</v>
      </c>
      <c r="F1921" t="s">
        <v>8448</v>
      </c>
      <c r="G1921" t="s">
        <v>8745</v>
      </c>
    </row>
    <row r="1922" spans="1:7">
      <c r="A1922" t="s">
        <v>4301</v>
      </c>
      <c r="B1922" t="s">
        <v>8273</v>
      </c>
      <c r="C1922" t="s">
        <v>8395</v>
      </c>
      <c r="D1922" t="s">
        <v>8414</v>
      </c>
      <c r="E1922" t="s">
        <v>8446</v>
      </c>
      <c r="F1922" t="s">
        <v>8449</v>
      </c>
      <c r="G1922" t="s">
        <v>8455</v>
      </c>
    </row>
    <row r="1923" spans="1:7">
      <c r="A1923" t="s">
        <v>4302</v>
      </c>
      <c r="B1923" t="s">
        <v>8273</v>
      </c>
      <c r="C1923" t="s">
        <v>8395</v>
      </c>
      <c r="D1923" t="s">
        <v>8404</v>
      </c>
      <c r="E1923" t="s">
        <v>8446</v>
      </c>
      <c r="F1923" t="s">
        <v>8449</v>
      </c>
      <c r="G1923" t="s">
        <v>8455</v>
      </c>
    </row>
    <row r="1924" spans="1:7">
      <c r="A1924" t="s">
        <v>4303</v>
      </c>
      <c r="C1924" t="s">
        <v>8393</v>
      </c>
      <c r="D1924" t="s">
        <v>8393</v>
      </c>
      <c r="E1924" t="s">
        <v>919</v>
      </c>
      <c r="F1924" t="s">
        <v>8393</v>
      </c>
    </row>
    <row r="1925" spans="1:7">
      <c r="A1925" t="s">
        <v>4304</v>
      </c>
      <c r="B1925" t="s">
        <v>8273</v>
      </c>
      <c r="C1925" t="s">
        <v>8394</v>
      </c>
      <c r="D1925" t="s">
        <v>8422</v>
      </c>
      <c r="E1925" t="s">
        <v>8446</v>
      </c>
      <c r="F1925" t="s">
        <v>8448</v>
      </c>
      <c r="G1925" t="s">
        <v>8455</v>
      </c>
    </row>
    <row r="1926" spans="1:7">
      <c r="A1926" t="s">
        <v>4305</v>
      </c>
      <c r="B1926" t="s">
        <v>8285</v>
      </c>
      <c r="C1926" t="s">
        <v>8395</v>
      </c>
      <c r="D1926" t="s">
        <v>8422</v>
      </c>
      <c r="E1926" t="s">
        <v>8446</v>
      </c>
      <c r="F1926" t="s">
        <v>8448</v>
      </c>
      <c r="G1926" t="s">
        <v>8455</v>
      </c>
    </row>
    <row r="1927" spans="1:7">
      <c r="A1927" t="s">
        <v>4306</v>
      </c>
      <c r="B1927" t="s">
        <v>8286</v>
      </c>
      <c r="C1927" t="s">
        <v>8395</v>
      </c>
      <c r="D1927" t="s">
        <v>8422</v>
      </c>
      <c r="E1927" t="s">
        <v>8446</v>
      </c>
      <c r="F1927" t="s">
        <v>8448</v>
      </c>
      <c r="G1927" t="s">
        <v>8455</v>
      </c>
    </row>
    <row r="1928" spans="1:7">
      <c r="A1928" t="s">
        <v>4307</v>
      </c>
      <c r="B1928" t="s">
        <v>8274</v>
      </c>
      <c r="C1928" t="s">
        <v>8395</v>
      </c>
      <c r="D1928" t="s">
        <v>8422</v>
      </c>
      <c r="E1928" t="s">
        <v>8446</v>
      </c>
      <c r="F1928" t="s">
        <v>8448</v>
      </c>
      <c r="G1928" t="s">
        <v>8455</v>
      </c>
    </row>
    <row r="1929" spans="1:7">
      <c r="A1929" t="s">
        <v>4308</v>
      </c>
      <c r="B1929" t="s">
        <v>8287</v>
      </c>
      <c r="C1929" t="s">
        <v>8395</v>
      </c>
      <c r="D1929" t="s">
        <v>8422</v>
      </c>
      <c r="E1929" t="s">
        <v>8446</v>
      </c>
      <c r="F1929" t="s">
        <v>8448</v>
      </c>
      <c r="G1929" t="s">
        <v>8455</v>
      </c>
    </row>
    <row r="1930" spans="1:7">
      <c r="A1930" t="s">
        <v>4309</v>
      </c>
      <c r="B1930" t="s">
        <v>8277</v>
      </c>
      <c r="C1930" t="s">
        <v>8395</v>
      </c>
      <c r="D1930" t="s">
        <v>8422</v>
      </c>
      <c r="E1930" t="s">
        <v>8446</v>
      </c>
      <c r="F1930" t="s">
        <v>8448</v>
      </c>
      <c r="G1930" t="s">
        <v>8455</v>
      </c>
    </row>
    <row r="1931" spans="1:7">
      <c r="A1931" t="s">
        <v>4310</v>
      </c>
      <c r="B1931" t="s">
        <v>8273</v>
      </c>
      <c r="C1931" t="s">
        <v>8398</v>
      </c>
      <c r="D1931" t="s">
        <v>8409</v>
      </c>
      <c r="E1931" t="s">
        <v>8446</v>
      </c>
      <c r="F1931" t="s">
        <v>8449</v>
      </c>
      <c r="G1931" t="s">
        <v>8455</v>
      </c>
    </row>
    <row r="1932" spans="1:7">
      <c r="A1932" t="s">
        <v>4311</v>
      </c>
      <c r="C1932" t="s">
        <v>8394</v>
      </c>
      <c r="D1932" t="s">
        <v>8401</v>
      </c>
      <c r="E1932" t="s">
        <v>8445</v>
      </c>
      <c r="F1932" t="s">
        <v>8448</v>
      </c>
      <c r="G1932" t="s">
        <v>8746</v>
      </c>
    </row>
    <row r="1933" spans="1:7">
      <c r="A1933" t="s">
        <v>4312</v>
      </c>
      <c r="C1933" t="s">
        <v>8394</v>
      </c>
      <c r="D1933" t="s">
        <v>8401</v>
      </c>
      <c r="E1933" t="s">
        <v>8444</v>
      </c>
      <c r="F1933" t="s">
        <v>8448</v>
      </c>
      <c r="G1933" t="s">
        <v>8453</v>
      </c>
    </row>
    <row r="1934" spans="1:7">
      <c r="A1934" t="s">
        <v>4313</v>
      </c>
      <c r="C1934" t="s">
        <v>8394</v>
      </c>
      <c r="D1934" t="s">
        <v>8401</v>
      </c>
      <c r="E1934" t="s">
        <v>8445</v>
      </c>
      <c r="F1934" t="s">
        <v>8448</v>
      </c>
      <c r="G1934" t="s">
        <v>796</v>
      </c>
    </row>
    <row r="1935" spans="1:7">
      <c r="A1935" t="s">
        <v>4314</v>
      </c>
      <c r="B1935" t="s">
        <v>8273</v>
      </c>
      <c r="C1935" t="s">
        <v>8394</v>
      </c>
      <c r="D1935" t="s">
        <v>8401</v>
      </c>
      <c r="E1935" t="s">
        <v>8445</v>
      </c>
      <c r="F1935" t="s">
        <v>8448</v>
      </c>
      <c r="G1935" t="s">
        <v>796</v>
      </c>
    </row>
    <row r="1936" spans="1:7">
      <c r="A1936" t="s">
        <v>4315</v>
      </c>
      <c r="B1936" t="s">
        <v>8273</v>
      </c>
      <c r="C1936" t="s">
        <v>8394</v>
      </c>
      <c r="D1936" t="s">
        <v>8401</v>
      </c>
      <c r="E1936" t="s">
        <v>8445</v>
      </c>
      <c r="F1936" t="s">
        <v>8448</v>
      </c>
      <c r="G1936" t="s">
        <v>796</v>
      </c>
    </row>
    <row r="1937" spans="1:7">
      <c r="A1937" t="s">
        <v>4316</v>
      </c>
      <c r="C1937" t="s">
        <v>8394</v>
      </c>
      <c r="D1937" t="s">
        <v>8401</v>
      </c>
      <c r="E1937" t="s">
        <v>8445</v>
      </c>
      <c r="F1937" t="s">
        <v>8448</v>
      </c>
      <c r="G1937" t="s">
        <v>8747</v>
      </c>
    </row>
    <row r="1938" spans="1:7">
      <c r="A1938" t="s">
        <v>4317</v>
      </c>
      <c r="B1938" t="s">
        <v>8273</v>
      </c>
      <c r="C1938" t="s">
        <v>8394</v>
      </c>
      <c r="D1938" t="s">
        <v>8401</v>
      </c>
      <c r="E1938" t="s">
        <v>8445</v>
      </c>
      <c r="F1938" t="s">
        <v>8449</v>
      </c>
      <c r="G1938" t="s">
        <v>8455</v>
      </c>
    </row>
    <row r="1939" spans="1:7">
      <c r="A1939" t="s">
        <v>4318</v>
      </c>
      <c r="B1939" t="s">
        <v>8273</v>
      </c>
      <c r="C1939" t="s">
        <v>8398</v>
      </c>
      <c r="D1939" t="s">
        <v>8419</v>
      </c>
      <c r="E1939" t="s">
        <v>8445</v>
      </c>
      <c r="F1939" t="s">
        <v>8448</v>
      </c>
      <c r="G1939" t="s">
        <v>8748</v>
      </c>
    </row>
    <row r="1940" spans="1:7">
      <c r="A1940" t="s">
        <v>4319</v>
      </c>
      <c r="B1940" t="s">
        <v>8273</v>
      </c>
      <c r="C1940" t="s">
        <v>8395</v>
      </c>
      <c r="D1940" t="s">
        <v>8415</v>
      </c>
      <c r="E1940" t="s">
        <v>1587</v>
      </c>
      <c r="F1940" t="s">
        <v>8449</v>
      </c>
      <c r="G1940" t="s">
        <v>8455</v>
      </c>
    </row>
    <row r="1941" spans="1:7">
      <c r="A1941" t="s">
        <v>4320</v>
      </c>
      <c r="C1941" t="s">
        <v>8394</v>
      </c>
      <c r="D1941" t="s">
        <v>8401</v>
      </c>
      <c r="E1941" t="s">
        <v>8445</v>
      </c>
      <c r="F1941" t="s">
        <v>8448</v>
      </c>
      <c r="G1941" t="s">
        <v>8749</v>
      </c>
    </row>
    <row r="1942" spans="1:7">
      <c r="A1942" t="s">
        <v>4321</v>
      </c>
      <c r="B1942" t="s">
        <v>8273</v>
      </c>
      <c r="C1942" t="s">
        <v>8394</v>
      </c>
      <c r="D1942" t="s">
        <v>8401</v>
      </c>
      <c r="E1942" t="s">
        <v>8445</v>
      </c>
      <c r="F1942" t="s">
        <v>8449</v>
      </c>
      <c r="G1942" t="s">
        <v>8455</v>
      </c>
    </row>
    <row r="1943" spans="1:7">
      <c r="A1943" t="s">
        <v>4322</v>
      </c>
      <c r="C1943" t="s">
        <v>8397</v>
      </c>
      <c r="D1943" t="s">
        <v>8408</v>
      </c>
      <c r="E1943" t="s">
        <v>8445</v>
      </c>
      <c r="F1943" t="s">
        <v>8450</v>
      </c>
    </row>
    <row r="1944" spans="1:7">
      <c r="A1944" t="s">
        <v>4323</v>
      </c>
      <c r="B1944" t="s">
        <v>8273</v>
      </c>
      <c r="C1944" t="s">
        <v>8395</v>
      </c>
      <c r="D1944" t="s">
        <v>8411</v>
      </c>
      <c r="E1944" t="s">
        <v>1587</v>
      </c>
      <c r="F1944" t="s">
        <v>8449</v>
      </c>
      <c r="G1944" t="s">
        <v>8455</v>
      </c>
    </row>
    <row r="1945" spans="1:7">
      <c r="A1945" t="s">
        <v>4324</v>
      </c>
      <c r="C1945" t="s">
        <v>8393</v>
      </c>
      <c r="D1945" t="s">
        <v>8393</v>
      </c>
      <c r="E1945" t="s">
        <v>919</v>
      </c>
      <c r="F1945" t="s">
        <v>8393</v>
      </c>
    </row>
    <row r="1946" spans="1:7">
      <c r="A1946" t="s">
        <v>4325</v>
      </c>
      <c r="B1946" t="s">
        <v>8273</v>
      </c>
      <c r="C1946" t="s">
        <v>8392</v>
      </c>
      <c r="D1946" t="s">
        <v>8415</v>
      </c>
      <c r="E1946" t="s">
        <v>1519</v>
      </c>
      <c r="F1946" t="s">
        <v>8449</v>
      </c>
      <c r="G1946" t="s">
        <v>8455</v>
      </c>
    </row>
    <row r="1947" spans="1:7">
      <c r="A1947" t="s">
        <v>4326</v>
      </c>
      <c r="B1947" t="s">
        <v>8277</v>
      </c>
      <c r="C1947" t="s">
        <v>8392</v>
      </c>
      <c r="D1947" t="s">
        <v>8415</v>
      </c>
      <c r="E1947" t="s">
        <v>8444</v>
      </c>
      <c r="F1947" t="s">
        <v>8449</v>
      </c>
      <c r="G1947" t="s">
        <v>8455</v>
      </c>
    </row>
    <row r="1948" spans="1:7">
      <c r="A1948" t="s">
        <v>4327</v>
      </c>
      <c r="B1948" t="s">
        <v>8273</v>
      </c>
      <c r="C1948" t="s">
        <v>8397</v>
      </c>
      <c r="D1948" t="s">
        <v>8421</v>
      </c>
      <c r="E1948" t="s">
        <v>8444</v>
      </c>
      <c r="F1948" t="s">
        <v>8448</v>
      </c>
      <c r="G1948" t="s">
        <v>8455</v>
      </c>
    </row>
    <row r="1949" spans="1:7">
      <c r="A1949" t="s">
        <v>4328</v>
      </c>
      <c r="C1949" t="s">
        <v>8398</v>
      </c>
      <c r="D1949" t="s">
        <v>8410</v>
      </c>
      <c r="E1949" t="s">
        <v>8444</v>
      </c>
      <c r="F1949" t="s">
        <v>8449</v>
      </c>
      <c r="G1949" t="s">
        <v>8453</v>
      </c>
    </row>
    <row r="1950" spans="1:7">
      <c r="A1950" t="s">
        <v>4329</v>
      </c>
      <c r="B1950" t="s">
        <v>8273</v>
      </c>
      <c r="C1950" t="s">
        <v>8394</v>
      </c>
      <c r="D1950" t="s">
        <v>8407</v>
      </c>
      <c r="E1950" t="s">
        <v>8445</v>
      </c>
      <c r="F1950" t="s">
        <v>8448</v>
      </c>
      <c r="G1950" t="s">
        <v>795</v>
      </c>
    </row>
    <row r="1951" spans="1:7">
      <c r="A1951" t="s">
        <v>4330</v>
      </c>
      <c r="C1951" t="s">
        <v>8393</v>
      </c>
      <c r="D1951" t="s">
        <v>8393</v>
      </c>
      <c r="E1951" t="s">
        <v>919</v>
      </c>
      <c r="F1951" t="s">
        <v>8393</v>
      </c>
    </row>
    <row r="1952" spans="1:7">
      <c r="A1952" t="s">
        <v>4331</v>
      </c>
      <c r="B1952" t="s">
        <v>8273</v>
      </c>
      <c r="C1952" t="s">
        <v>8395</v>
      </c>
      <c r="D1952" t="s">
        <v>8405</v>
      </c>
      <c r="E1952" t="s">
        <v>8446</v>
      </c>
      <c r="F1952" t="s">
        <v>8449</v>
      </c>
      <c r="G1952" t="s">
        <v>8455</v>
      </c>
    </row>
    <row r="1953" spans="1:7">
      <c r="A1953" t="s">
        <v>4332</v>
      </c>
      <c r="B1953" t="s">
        <v>8273</v>
      </c>
      <c r="C1953" t="s">
        <v>8396</v>
      </c>
      <c r="D1953" t="s">
        <v>8405</v>
      </c>
      <c r="E1953" t="s">
        <v>8446</v>
      </c>
      <c r="F1953" t="s">
        <v>8449</v>
      </c>
      <c r="G1953" t="s">
        <v>8750</v>
      </c>
    </row>
    <row r="1954" spans="1:7">
      <c r="A1954" t="s">
        <v>4333</v>
      </c>
      <c r="B1954" t="s">
        <v>8273</v>
      </c>
      <c r="C1954" t="s">
        <v>8395</v>
      </c>
      <c r="D1954" t="s">
        <v>8425</v>
      </c>
      <c r="E1954" t="s">
        <v>8446</v>
      </c>
      <c r="F1954" t="s">
        <v>8449</v>
      </c>
      <c r="G1954" t="s">
        <v>8455</v>
      </c>
    </row>
    <row r="1955" spans="1:7">
      <c r="A1955" t="s">
        <v>4334</v>
      </c>
      <c r="B1955" t="s">
        <v>8273</v>
      </c>
      <c r="C1955" t="s">
        <v>8395</v>
      </c>
      <c r="D1955" t="s">
        <v>8405</v>
      </c>
      <c r="E1955" t="s">
        <v>8444</v>
      </c>
      <c r="F1955" t="s">
        <v>8449</v>
      </c>
      <c r="G1955" t="s">
        <v>8455</v>
      </c>
    </row>
    <row r="1956" spans="1:7">
      <c r="A1956" t="s">
        <v>4335</v>
      </c>
      <c r="B1956" t="s">
        <v>8300</v>
      </c>
      <c r="C1956" t="s">
        <v>8396</v>
      </c>
      <c r="D1956" t="s">
        <v>8405</v>
      </c>
      <c r="E1956" t="s">
        <v>8446</v>
      </c>
      <c r="F1956" t="s">
        <v>8449</v>
      </c>
      <c r="G1956" t="s">
        <v>8455</v>
      </c>
    </row>
    <row r="1957" spans="1:7">
      <c r="A1957" t="s">
        <v>4336</v>
      </c>
      <c r="B1957" t="s">
        <v>8285</v>
      </c>
      <c r="C1957" t="s">
        <v>8396</v>
      </c>
      <c r="D1957" t="s">
        <v>8405</v>
      </c>
      <c r="E1957" t="s">
        <v>8446</v>
      </c>
      <c r="F1957" t="s">
        <v>8449</v>
      </c>
      <c r="G1957" t="s">
        <v>8455</v>
      </c>
    </row>
    <row r="1958" spans="1:7">
      <c r="A1958" t="s">
        <v>4337</v>
      </c>
      <c r="B1958" t="s">
        <v>8287</v>
      </c>
      <c r="C1958" t="s">
        <v>8395</v>
      </c>
      <c r="D1958" t="s">
        <v>8400</v>
      </c>
      <c r="E1958" t="s">
        <v>8446</v>
      </c>
      <c r="F1958" t="s">
        <v>8449</v>
      </c>
      <c r="G1958" t="s">
        <v>8455</v>
      </c>
    </row>
    <row r="1959" spans="1:7">
      <c r="A1959" t="s">
        <v>4338</v>
      </c>
      <c r="B1959" t="s">
        <v>8273</v>
      </c>
      <c r="C1959" t="s">
        <v>8395</v>
      </c>
      <c r="D1959" t="s">
        <v>8405</v>
      </c>
      <c r="E1959" t="s">
        <v>8446</v>
      </c>
      <c r="F1959" t="s">
        <v>8449</v>
      </c>
      <c r="G1959" t="s">
        <v>8455</v>
      </c>
    </row>
    <row r="1960" spans="1:7">
      <c r="A1960" t="s">
        <v>4339</v>
      </c>
      <c r="B1960" t="s">
        <v>8273</v>
      </c>
      <c r="C1960" t="s">
        <v>8396</v>
      </c>
      <c r="D1960" t="s">
        <v>8405</v>
      </c>
      <c r="E1960" t="s">
        <v>8446</v>
      </c>
      <c r="F1960" t="s">
        <v>8449</v>
      </c>
      <c r="G1960" t="s">
        <v>8455</v>
      </c>
    </row>
    <row r="1961" spans="1:7">
      <c r="A1961" t="s">
        <v>4340</v>
      </c>
      <c r="B1961" t="s">
        <v>8274</v>
      </c>
      <c r="C1961" t="s">
        <v>8395</v>
      </c>
      <c r="D1961" t="s">
        <v>8405</v>
      </c>
      <c r="E1961" t="s">
        <v>8446</v>
      </c>
      <c r="F1961" t="s">
        <v>8449</v>
      </c>
      <c r="G1961" t="s">
        <v>8455</v>
      </c>
    </row>
    <row r="1962" spans="1:7">
      <c r="A1962" t="s">
        <v>4341</v>
      </c>
      <c r="B1962" t="s">
        <v>8273</v>
      </c>
      <c r="C1962" t="s">
        <v>8396</v>
      </c>
      <c r="D1962" t="s">
        <v>8405</v>
      </c>
      <c r="E1962" t="s">
        <v>8446</v>
      </c>
      <c r="F1962" t="s">
        <v>8449</v>
      </c>
      <c r="G1962" t="s">
        <v>8750</v>
      </c>
    </row>
    <row r="1963" spans="1:7">
      <c r="A1963" t="s">
        <v>4342</v>
      </c>
      <c r="B1963" t="s">
        <v>8273</v>
      </c>
      <c r="C1963" t="s">
        <v>8395</v>
      </c>
      <c r="D1963" t="s">
        <v>8405</v>
      </c>
      <c r="E1963" t="s">
        <v>8446</v>
      </c>
      <c r="F1963" t="s">
        <v>8449</v>
      </c>
      <c r="G1963" t="s">
        <v>8455</v>
      </c>
    </row>
    <row r="1964" spans="1:7">
      <c r="A1964" t="s">
        <v>4343</v>
      </c>
      <c r="B1964" t="s">
        <v>8273</v>
      </c>
      <c r="C1964" t="s">
        <v>8395</v>
      </c>
      <c r="D1964" t="s">
        <v>8405</v>
      </c>
      <c r="E1964" t="s">
        <v>8446</v>
      </c>
      <c r="F1964" t="s">
        <v>8449</v>
      </c>
      <c r="G1964" t="s">
        <v>8455</v>
      </c>
    </row>
    <row r="1965" spans="1:7">
      <c r="A1965" t="s">
        <v>4344</v>
      </c>
      <c r="B1965" t="s">
        <v>8277</v>
      </c>
      <c r="C1965" t="s">
        <v>8396</v>
      </c>
      <c r="D1965" t="s">
        <v>8405</v>
      </c>
      <c r="E1965" t="s">
        <v>8446</v>
      </c>
      <c r="F1965" t="s">
        <v>8449</v>
      </c>
      <c r="G1965" t="s">
        <v>8455</v>
      </c>
    </row>
    <row r="1966" spans="1:7">
      <c r="A1966" t="s">
        <v>4345</v>
      </c>
      <c r="B1966" t="s">
        <v>8273</v>
      </c>
      <c r="C1966" t="s">
        <v>8395</v>
      </c>
      <c r="D1966" t="s">
        <v>8419</v>
      </c>
      <c r="E1966" t="s">
        <v>8446</v>
      </c>
      <c r="F1966" t="s">
        <v>8449</v>
      </c>
      <c r="G1966" t="s">
        <v>796</v>
      </c>
    </row>
    <row r="1967" spans="1:7">
      <c r="A1967" t="s">
        <v>4346</v>
      </c>
      <c r="B1967" t="s">
        <v>8273</v>
      </c>
      <c r="C1967" t="s">
        <v>8395</v>
      </c>
      <c r="D1967" t="s">
        <v>8411</v>
      </c>
      <c r="E1967" t="s">
        <v>8446</v>
      </c>
      <c r="F1967" t="s">
        <v>8447</v>
      </c>
      <c r="G1967" t="s">
        <v>796</v>
      </c>
    </row>
    <row r="1968" spans="1:7">
      <c r="A1968" t="s">
        <v>4347</v>
      </c>
      <c r="C1968" t="s">
        <v>8395</v>
      </c>
      <c r="D1968" t="s">
        <v>8404</v>
      </c>
      <c r="E1968" t="s">
        <v>8446</v>
      </c>
      <c r="F1968" t="s">
        <v>8449</v>
      </c>
      <c r="G1968" t="s">
        <v>8455</v>
      </c>
    </row>
    <row r="1969" spans="1:7">
      <c r="A1969" t="s">
        <v>4348</v>
      </c>
      <c r="B1969" t="s">
        <v>8273</v>
      </c>
      <c r="C1969" t="s">
        <v>8396</v>
      </c>
      <c r="D1969" t="s">
        <v>8411</v>
      </c>
      <c r="E1969" t="s">
        <v>8444</v>
      </c>
      <c r="F1969" t="s">
        <v>8447</v>
      </c>
      <c r="G1969" t="s">
        <v>8751</v>
      </c>
    </row>
    <row r="1970" spans="1:7">
      <c r="A1970" t="s">
        <v>4349</v>
      </c>
      <c r="B1970" t="s">
        <v>8273</v>
      </c>
      <c r="C1970" t="s">
        <v>8394</v>
      </c>
      <c r="D1970" t="s">
        <v>8401</v>
      </c>
      <c r="E1970" t="s">
        <v>8445</v>
      </c>
      <c r="F1970" t="s">
        <v>8449</v>
      </c>
      <c r="G1970" t="s">
        <v>8455</v>
      </c>
    </row>
    <row r="1971" spans="1:7">
      <c r="A1971" t="s">
        <v>4350</v>
      </c>
      <c r="C1971" t="s">
        <v>8394</v>
      </c>
      <c r="D1971" t="s">
        <v>8401</v>
      </c>
      <c r="E1971" t="s">
        <v>8445</v>
      </c>
      <c r="F1971" t="s">
        <v>8448</v>
      </c>
      <c r="G1971" t="s">
        <v>8752</v>
      </c>
    </row>
    <row r="1972" spans="1:7">
      <c r="A1972" t="s">
        <v>4351</v>
      </c>
      <c r="B1972" t="s">
        <v>8273</v>
      </c>
      <c r="C1972" t="s">
        <v>8394</v>
      </c>
      <c r="D1972" t="s">
        <v>8414</v>
      </c>
      <c r="E1972" t="s">
        <v>8444</v>
      </c>
      <c r="F1972" t="s">
        <v>8448</v>
      </c>
      <c r="G1972" t="s">
        <v>8753</v>
      </c>
    </row>
    <row r="1973" spans="1:7">
      <c r="A1973" t="s">
        <v>4352</v>
      </c>
      <c r="C1973" t="s">
        <v>8393</v>
      </c>
      <c r="D1973" t="s">
        <v>8393</v>
      </c>
      <c r="E1973" t="s">
        <v>919</v>
      </c>
      <c r="F1973" t="s">
        <v>8393</v>
      </c>
    </row>
    <row r="1974" spans="1:7">
      <c r="A1974" t="s">
        <v>4353</v>
      </c>
      <c r="C1974" t="s">
        <v>8394</v>
      </c>
      <c r="D1974" t="s">
        <v>8401</v>
      </c>
      <c r="E1974" t="s">
        <v>8445</v>
      </c>
      <c r="F1974" t="s">
        <v>8450</v>
      </c>
      <c r="G1974" t="s">
        <v>8754</v>
      </c>
    </row>
    <row r="1975" spans="1:7">
      <c r="A1975" t="s">
        <v>4354</v>
      </c>
      <c r="C1975" t="s">
        <v>8394</v>
      </c>
      <c r="D1975" t="s">
        <v>8401</v>
      </c>
      <c r="E1975" t="s">
        <v>8445</v>
      </c>
      <c r="F1975" t="s">
        <v>8450</v>
      </c>
      <c r="G1975" t="s">
        <v>8754</v>
      </c>
    </row>
    <row r="1976" spans="1:7">
      <c r="A1976" t="s">
        <v>4355</v>
      </c>
      <c r="C1976" t="s">
        <v>8394</v>
      </c>
      <c r="D1976" t="s">
        <v>8401</v>
      </c>
      <c r="E1976" t="s">
        <v>8445</v>
      </c>
      <c r="F1976" t="s">
        <v>8450</v>
      </c>
      <c r="G1976" t="s">
        <v>8754</v>
      </c>
    </row>
    <row r="1977" spans="1:7">
      <c r="A1977" t="s">
        <v>4356</v>
      </c>
      <c r="C1977" t="s">
        <v>8394</v>
      </c>
      <c r="D1977" t="s">
        <v>8401</v>
      </c>
      <c r="E1977" t="s">
        <v>8445</v>
      </c>
      <c r="F1977" t="s">
        <v>8450</v>
      </c>
      <c r="G1977" t="s">
        <v>8754</v>
      </c>
    </row>
    <row r="1978" spans="1:7">
      <c r="A1978" t="s">
        <v>4357</v>
      </c>
      <c r="C1978" t="s">
        <v>8394</v>
      </c>
      <c r="D1978" t="s">
        <v>8401</v>
      </c>
      <c r="E1978" t="s">
        <v>8445</v>
      </c>
      <c r="F1978" t="s">
        <v>8450</v>
      </c>
      <c r="G1978" t="s">
        <v>8754</v>
      </c>
    </row>
    <row r="1979" spans="1:7">
      <c r="A1979" t="s">
        <v>4358</v>
      </c>
      <c r="C1979" t="s">
        <v>8394</v>
      </c>
      <c r="D1979" t="s">
        <v>8401</v>
      </c>
      <c r="E1979" t="s">
        <v>8445</v>
      </c>
      <c r="F1979" t="s">
        <v>8450</v>
      </c>
      <c r="G1979" t="s">
        <v>8754</v>
      </c>
    </row>
    <row r="1980" spans="1:7">
      <c r="A1980" t="s">
        <v>4359</v>
      </c>
      <c r="C1980" t="s">
        <v>8394</v>
      </c>
      <c r="D1980" t="s">
        <v>8401</v>
      </c>
      <c r="E1980" t="s">
        <v>8445</v>
      </c>
      <c r="F1980" t="s">
        <v>8450</v>
      </c>
      <c r="G1980" t="s">
        <v>8754</v>
      </c>
    </row>
    <row r="1981" spans="1:7">
      <c r="A1981" t="s">
        <v>4360</v>
      </c>
      <c r="C1981" t="s">
        <v>8394</v>
      </c>
      <c r="D1981" t="s">
        <v>8401</v>
      </c>
      <c r="E1981" t="s">
        <v>8445</v>
      </c>
      <c r="F1981" t="s">
        <v>8450</v>
      </c>
      <c r="G1981" t="s">
        <v>8754</v>
      </c>
    </row>
    <row r="1982" spans="1:7">
      <c r="A1982" t="s">
        <v>4361</v>
      </c>
      <c r="C1982" t="s">
        <v>8394</v>
      </c>
      <c r="D1982" t="s">
        <v>8401</v>
      </c>
      <c r="E1982" t="s">
        <v>8445</v>
      </c>
      <c r="F1982" t="s">
        <v>8450</v>
      </c>
      <c r="G1982" t="s">
        <v>8754</v>
      </c>
    </row>
    <row r="1983" spans="1:7">
      <c r="A1983" t="s">
        <v>4362</v>
      </c>
      <c r="C1983" t="s">
        <v>8394</v>
      </c>
      <c r="D1983" t="s">
        <v>8401</v>
      </c>
      <c r="E1983" t="s">
        <v>8445</v>
      </c>
      <c r="F1983" t="s">
        <v>8450</v>
      </c>
      <c r="G1983" t="s">
        <v>8754</v>
      </c>
    </row>
    <row r="1984" spans="1:7">
      <c r="A1984" t="s">
        <v>4363</v>
      </c>
      <c r="C1984" t="s">
        <v>8394</v>
      </c>
      <c r="D1984" t="s">
        <v>8401</v>
      </c>
      <c r="E1984" t="s">
        <v>8445</v>
      </c>
      <c r="F1984" t="s">
        <v>8450</v>
      </c>
      <c r="G1984" t="s">
        <v>8754</v>
      </c>
    </row>
    <row r="1985" spans="1:7">
      <c r="A1985" t="s">
        <v>4364</v>
      </c>
      <c r="C1985" t="s">
        <v>8394</v>
      </c>
      <c r="D1985" t="s">
        <v>8401</v>
      </c>
      <c r="E1985" t="s">
        <v>8445</v>
      </c>
      <c r="F1985" t="s">
        <v>8450</v>
      </c>
      <c r="G1985" t="s">
        <v>8754</v>
      </c>
    </row>
    <row r="1986" spans="1:7">
      <c r="A1986" t="s">
        <v>4365</v>
      </c>
      <c r="C1986" t="s">
        <v>8394</v>
      </c>
      <c r="D1986" t="s">
        <v>8401</v>
      </c>
      <c r="E1986" t="s">
        <v>8445</v>
      </c>
      <c r="F1986" t="s">
        <v>8450</v>
      </c>
      <c r="G1986" t="s">
        <v>8754</v>
      </c>
    </row>
    <row r="1987" spans="1:7">
      <c r="A1987" t="s">
        <v>4366</v>
      </c>
      <c r="C1987" t="s">
        <v>8394</v>
      </c>
      <c r="D1987" t="s">
        <v>8401</v>
      </c>
      <c r="E1987" t="s">
        <v>8445</v>
      </c>
      <c r="F1987" t="s">
        <v>8450</v>
      </c>
      <c r="G1987" t="s">
        <v>8754</v>
      </c>
    </row>
    <row r="1988" spans="1:7">
      <c r="A1988" t="s">
        <v>4367</v>
      </c>
      <c r="C1988" t="s">
        <v>8394</v>
      </c>
      <c r="D1988" t="s">
        <v>8401</v>
      </c>
      <c r="E1988" t="s">
        <v>8445</v>
      </c>
      <c r="F1988" t="s">
        <v>8450</v>
      </c>
      <c r="G1988" t="s">
        <v>8754</v>
      </c>
    </row>
    <row r="1989" spans="1:7">
      <c r="A1989" t="s">
        <v>4368</v>
      </c>
      <c r="C1989" t="s">
        <v>8394</v>
      </c>
      <c r="D1989" t="s">
        <v>8401</v>
      </c>
      <c r="E1989" t="s">
        <v>8445</v>
      </c>
      <c r="F1989" t="s">
        <v>8450</v>
      </c>
      <c r="G1989" t="s">
        <v>8754</v>
      </c>
    </row>
    <row r="1990" spans="1:7">
      <c r="A1990" t="s">
        <v>4369</v>
      </c>
      <c r="C1990" t="s">
        <v>8394</v>
      </c>
      <c r="D1990" t="s">
        <v>8401</v>
      </c>
      <c r="E1990" t="s">
        <v>8445</v>
      </c>
      <c r="F1990" t="s">
        <v>8450</v>
      </c>
      <c r="G1990" t="s">
        <v>8754</v>
      </c>
    </row>
    <row r="1991" spans="1:7">
      <c r="A1991" t="s">
        <v>4370</v>
      </c>
      <c r="C1991" t="s">
        <v>8394</v>
      </c>
      <c r="D1991" t="s">
        <v>8401</v>
      </c>
      <c r="E1991" t="s">
        <v>8445</v>
      </c>
      <c r="F1991" t="s">
        <v>8450</v>
      </c>
      <c r="G1991" t="s">
        <v>8754</v>
      </c>
    </row>
    <row r="1992" spans="1:7">
      <c r="A1992" t="s">
        <v>4371</v>
      </c>
      <c r="C1992" t="s">
        <v>8394</v>
      </c>
      <c r="D1992" t="s">
        <v>8401</v>
      </c>
      <c r="E1992" t="s">
        <v>8445</v>
      </c>
      <c r="F1992" t="s">
        <v>8450</v>
      </c>
      <c r="G1992" t="s">
        <v>8754</v>
      </c>
    </row>
    <row r="1993" spans="1:7">
      <c r="A1993" t="s">
        <v>4372</v>
      </c>
      <c r="C1993" t="s">
        <v>8394</v>
      </c>
      <c r="D1993" t="s">
        <v>8401</v>
      </c>
      <c r="E1993" t="s">
        <v>8445</v>
      </c>
      <c r="F1993" t="s">
        <v>8450</v>
      </c>
      <c r="G1993" t="s">
        <v>8754</v>
      </c>
    </row>
    <row r="1994" spans="1:7">
      <c r="A1994" t="s">
        <v>4373</v>
      </c>
      <c r="C1994" t="s">
        <v>8394</v>
      </c>
      <c r="D1994" t="s">
        <v>8401</v>
      </c>
      <c r="E1994" t="s">
        <v>8445</v>
      </c>
      <c r="F1994" t="s">
        <v>8450</v>
      </c>
      <c r="G1994" t="s">
        <v>8754</v>
      </c>
    </row>
    <row r="1995" spans="1:7">
      <c r="A1995" t="s">
        <v>4374</v>
      </c>
      <c r="C1995" t="s">
        <v>8394</v>
      </c>
      <c r="D1995" t="s">
        <v>8401</v>
      </c>
      <c r="E1995" t="s">
        <v>8445</v>
      </c>
      <c r="F1995" t="s">
        <v>8450</v>
      </c>
      <c r="G1995" t="s">
        <v>8754</v>
      </c>
    </row>
    <row r="1996" spans="1:7">
      <c r="A1996" t="s">
        <v>4375</v>
      </c>
      <c r="C1996" t="s">
        <v>8394</v>
      </c>
      <c r="D1996" t="s">
        <v>8401</v>
      </c>
      <c r="E1996" t="s">
        <v>8445</v>
      </c>
      <c r="F1996" t="s">
        <v>8450</v>
      </c>
      <c r="G1996" t="s">
        <v>8754</v>
      </c>
    </row>
    <row r="1997" spans="1:7">
      <c r="A1997" t="s">
        <v>4376</v>
      </c>
      <c r="C1997" t="s">
        <v>8394</v>
      </c>
      <c r="D1997" t="s">
        <v>8401</v>
      </c>
      <c r="E1997" t="s">
        <v>8445</v>
      </c>
      <c r="F1997" t="s">
        <v>8450</v>
      </c>
      <c r="G1997" t="s">
        <v>8754</v>
      </c>
    </row>
    <row r="1998" spans="1:7">
      <c r="A1998" t="s">
        <v>4377</v>
      </c>
      <c r="C1998" t="s">
        <v>8394</v>
      </c>
      <c r="D1998" t="s">
        <v>8401</v>
      </c>
      <c r="E1998" t="s">
        <v>8445</v>
      </c>
      <c r="F1998" t="s">
        <v>8450</v>
      </c>
      <c r="G1998" t="s">
        <v>8754</v>
      </c>
    </row>
    <row r="1999" spans="1:7">
      <c r="A1999" t="s">
        <v>4378</v>
      </c>
      <c r="C1999" t="s">
        <v>8394</v>
      </c>
      <c r="D1999" t="s">
        <v>8401</v>
      </c>
      <c r="E1999" t="s">
        <v>8445</v>
      </c>
      <c r="F1999" t="s">
        <v>8450</v>
      </c>
      <c r="G1999" t="s">
        <v>8754</v>
      </c>
    </row>
    <row r="2000" spans="1:7">
      <c r="A2000" t="s">
        <v>4379</v>
      </c>
      <c r="C2000" t="s">
        <v>8394</v>
      </c>
      <c r="D2000" t="s">
        <v>8401</v>
      </c>
      <c r="E2000" t="s">
        <v>8445</v>
      </c>
      <c r="F2000" t="s">
        <v>8450</v>
      </c>
      <c r="G2000" t="s">
        <v>8754</v>
      </c>
    </row>
    <row r="2001" spans="1:7">
      <c r="A2001" t="s">
        <v>4380</v>
      </c>
      <c r="C2001" t="s">
        <v>8394</v>
      </c>
      <c r="D2001" t="s">
        <v>8401</v>
      </c>
      <c r="E2001" t="s">
        <v>8445</v>
      </c>
      <c r="F2001" t="s">
        <v>8450</v>
      </c>
      <c r="G2001" t="s">
        <v>8754</v>
      </c>
    </row>
    <row r="2002" spans="1:7">
      <c r="A2002" t="s">
        <v>4381</v>
      </c>
      <c r="C2002" t="s">
        <v>8394</v>
      </c>
      <c r="D2002" t="s">
        <v>8401</v>
      </c>
      <c r="E2002" t="s">
        <v>8445</v>
      </c>
      <c r="F2002" t="s">
        <v>8450</v>
      </c>
      <c r="G2002" t="s">
        <v>8754</v>
      </c>
    </row>
    <row r="2003" spans="1:7">
      <c r="A2003" t="s">
        <v>4382</v>
      </c>
      <c r="C2003" t="s">
        <v>8394</v>
      </c>
      <c r="D2003" t="s">
        <v>8401</v>
      </c>
      <c r="E2003" t="s">
        <v>8445</v>
      </c>
      <c r="F2003" t="s">
        <v>8450</v>
      </c>
      <c r="G2003" t="s">
        <v>8754</v>
      </c>
    </row>
    <row r="2004" spans="1:7">
      <c r="A2004" t="s">
        <v>4383</v>
      </c>
      <c r="C2004" t="s">
        <v>8394</v>
      </c>
      <c r="D2004" t="s">
        <v>8401</v>
      </c>
      <c r="E2004" t="s">
        <v>8445</v>
      </c>
      <c r="F2004" t="s">
        <v>8450</v>
      </c>
      <c r="G2004" t="s">
        <v>8754</v>
      </c>
    </row>
    <row r="2005" spans="1:7">
      <c r="A2005" t="s">
        <v>4384</v>
      </c>
      <c r="C2005" t="s">
        <v>8394</v>
      </c>
      <c r="D2005" t="s">
        <v>8401</v>
      </c>
      <c r="E2005" t="s">
        <v>8445</v>
      </c>
      <c r="F2005" t="s">
        <v>8450</v>
      </c>
      <c r="G2005" t="s">
        <v>8754</v>
      </c>
    </row>
    <row r="2006" spans="1:7">
      <c r="A2006" t="s">
        <v>4385</v>
      </c>
      <c r="C2006" t="s">
        <v>8394</v>
      </c>
      <c r="D2006" t="s">
        <v>8401</v>
      </c>
      <c r="E2006" t="s">
        <v>8445</v>
      </c>
      <c r="F2006" t="s">
        <v>8450</v>
      </c>
      <c r="G2006" t="s">
        <v>8754</v>
      </c>
    </row>
    <row r="2007" spans="1:7">
      <c r="A2007" t="s">
        <v>4386</v>
      </c>
      <c r="C2007" t="s">
        <v>8394</v>
      </c>
      <c r="D2007" t="s">
        <v>8401</v>
      </c>
      <c r="E2007" t="s">
        <v>8445</v>
      </c>
      <c r="F2007" t="s">
        <v>8450</v>
      </c>
      <c r="G2007" t="s">
        <v>8754</v>
      </c>
    </row>
    <row r="2008" spans="1:7">
      <c r="A2008" t="s">
        <v>4387</v>
      </c>
      <c r="C2008" t="s">
        <v>8394</v>
      </c>
      <c r="D2008" t="s">
        <v>8401</v>
      </c>
      <c r="E2008" t="s">
        <v>8445</v>
      </c>
      <c r="F2008" t="s">
        <v>8450</v>
      </c>
      <c r="G2008" t="s">
        <v>8754</v>
      </c>
    </row>
    <row r="2009" spans="1:7">
      <c r="A2009" t="s">
        <v>4388</v>
      </c>
      <c r="C2009" t="s">
        <v>8392</v>
      </c>
      <c r="D2009" t="s">
        <v>8400</v>
      </c>
      <c r="E2009" t="s">
        <v>8444</v>
      </c>
      <c r="F2009" t="s">
        <v>8448</v>
      </c>
      <c r="G2009" t="s">
        <v>8755</v>
      </c>
    </row>
    <row r="2010" spans="1:7">
      <c r="A2010" t="s">
        <v>4389</v>
      </c>
      <c r="B2010" t="s">
        <v>8273</v>
      </c>
      <c r="C2010" t="s">
        <v>8395</v>
      </c>
      <c r="D2010" t="s">
        <v>8404</v>
      </c>
      <c r="E2010" t="s">
        <v>8446</v>
      </c>
      <c r="F2010" t="s">
        <v>8449</v>
      </c>
      <c r="G2010" t="s">
        <v>8455</v>
      </c>
    </row>
    <row r="2011" spans="1:7">
      <c r="A2011" t="s">
        <v>4390</v>
      </c>
      <c r="C2011" t="s">
        <v>8392</v>
      </c>
      <c r="D2011" t="s">
        <v>8400</v>
      </c>
      <c r="E2011" t="s">
        <v>1587</v>
      </c>
      <c r="F2011" t="s">
        <v>8447</v>
      </c>
      <c r="G2011" t="s">
        <v>8756</v>
      </c>
    </row>
    <row r="2012" spans="1:7">
      <c r="A2012" t="s">
        <v>4391</v>
      </c>
      <c r="B2012" t="s">
        <v>8273</v>
      </c>
      <c r="C2012" t="s">
        <v>8395</v>
      </c>
      <c r="D2012" t="s">
        <v>8421</v>
      </c>
      <c r="E2012" t="s">
        <v>8446</v>
      </c>
      <c r="F2012" t="s">
        <v>8448</v>
      </c>
      <c r="G2012" t="s">
        <v>8757</v>
      </c>
    </row>
    <row r="2013" spans="1:7">
      <c r="A2013" t="s">
        <v>4392</v>
      </c>
      <c r="B2013" t="s">
        <v>8274</v>
      </c>
      <c r="C2013" t="s">
        <v>8396</v>
      </c>
      <c r="D2013" t="s">
        <v>8406</v>
      </c>
      <c r="E2013" t="s">
        <v>8444</v>
      </c>
      <c r="F2013" t="s">
        <v>8449</v>
      </c>
      <c r="G2013" t="s">
        <v>8455</v>
      </c>
    </row>
    <row r="2014" spans="1:7">
      <c r="A2014" t="s">
        <v>4393</v>
      </c>
      <c r="B2014" t="s">
        <v>8273</v>
      </c>
      <c r="C2014" t="s">
        <v>8392</v>
      </c>
      <c r="D2014" t="s">
        <v>8415</v>
      </c>
      <c r="E2014" t="s">
        <v>8444</v>
      </c>
      <c r="F2014" t="s">
        <v>8449</v>
      </c>
      <c r="G2014" t="s">
        <v>8758</v>
      </c>
    </row>
    <row r="2015" spans="1:7">
      <c r="A2015" t="s">
        <v>4394</v>
      </c>
      <c r="C2015" t="s">
        <v>8397</v>
      </c>
      <c r="D2015" t="s">
        <v>8408</v>
      </c>
      <c r="E2015" t="s">
        <v>8445</v>
      </c>
      <c r="F2015" t="s">
        <v>8450</v>
      </c>
      <c r="G2015" t="s">
        <v>8759</v>
      </c>
    </row>
    <row r="2016" spans="1:7">
      <c r="A2016" t="s">
        <v>4395</v>
      </c>
      <c r="C2016" t="s">
        <v>8393</v>
      </c>
      <c r="D2016" t="s">
        <v>8393</v>
      </c>
      <c r="E2016" t="s">
        <v>919</v>
      </c>
      <c r="F2016" t="s">
        <v>8393</v>
      </c>
    </row>
    <row r="2017" spans="1:7">
      <c r="A2017" t="s">
        <v>4396</v>
      </c>
      <c r="B2017" t="s">
        <v>8273</v>
      </c>
      <c r="C2017" t="s">
        <v>8394</v>
      </c>
      <c r="D2017" t="s">
        <v>8414</v>
      </c>
      <c r="E2017" t="s">
        <v>8446</v>
      </c>
      <c r="F2017" t="s">
        <v>8449</v>
      </c>
      <c r="G2017" t="s">
        <v>8455</v>
      </c>
    </row>
    <row r="2018" spans="1:7">
      <c r="A2018" t="s">
        <v>4397</v>
      </c>
      <c r="B2018" t="s">
        <v>8277</v>
      </c>
      <c r="C2018" t="s">
        <v>8394</v>
      </c>
      <c r="D2018" t="s">
        <v>8414</v>
      </c>
      <c r="E2018" t="s">
        <v>8446</v>
      </c>
      <c r="F2018" t="s">
        <v>8449</v>
      </c>
      <c r="G2018" t="s">
        <v>8455</v>
      </c>
    </row>
    <row r="2019" spans="1:7">
      <c r="A2019" t="s">
        <v>4398</v>
      </c>
      <c r="B2019" t="s">
        <v>8273</v>
      </c>
      <c r="C2019" t="s">
        <v>8398</v>
      </c>
      <c r="D2019" t="s">
        <v>8419</v>
      </c>
      <c r="E2019" t="s">
        <v>1587</v>
      </c>
      <c r="F2019" t="s">
        <v>8447</v>
      </c>
      <c r="G2019" t="s">
        <v>8760</v>
      </c>
    </row>
    <row r="2020" spans="1:7">
      <c r="A2020" t="s">
        <v>4399</v>
      </c>
      <c r="C2020" t="s">
        <v>8394</v>
      </c>
      <c r="D2020" t="s">
        <v>8401</v>
      </c>
      <c r="E2020" t="s">
        <v>8445</v>
      </c>
      <c r="F2020" t="s">
        <v>8448</v>
      </c>
      <c r="G2020" t="s">
        <v>8761</v>
      </c>
    </row>
    <row r="2021" spans="1:7">
      <c r="A2021" t="s">
        <v>4400</v>
      </c>
      <c r="C2021" t="s">
        <v>8392</v>
      </c>
      <c r="D2021" t="s">
        <v>8400</v>
      </c>
      <c r="E2021" t="s">
        <v>1519</v>
      </c>
      <c r="F2021" t="s">
        <v>8449</v>
      </c>
      <c r="G2021" t="s">
        <v>795</v>
      </c>
    </row>
    <row r="2022" spans="1:7">
      <c r="A2022" t="s">
        <v>4401</v>
      </c>
      <c r="C2022" t="s">
        <v>8393</v>
      </c>
      <c r="D2022" t="s">
        <v>8393</v>
      </c>
      <c r="E2022" t="s">
        <v>919</v>
      </c>
      <c r="F2022" t="s">
        <v>8393</v>
      </c>
    </row>
    <row r="2023" spans="1:7">
      <c r="A2023" t="s">
        <v>4402</v>
      </c>
      <c r="B2023" t="s">
        <v>8273</v>
      </c>
      <c r="C2023" t="s">
        <v>8395</v>
      </c>
      <c r="D2023" t="s">
        <v>8411</v>
      </c>
      <c r="E2023" t="s">
        <v>8444</v>
      </c>
      <c r="F2023" t="s">
        <v>8448</v>
      </c>
      <c r="G2023" t="s">
        <v>8463</v>
      </c>
    </row>
    <row r="2024" spans="1:7">
      <c r="A2024" t="s">
        <v>4403</v>
      </c>
      <c r="B2024" t="s">
        <v>8273</v>
      </c>
      <c r="C2024" t="s">
        <v>8396</v>
      </c>
      <c r="D2024" t="s">
        <v>8425</v>
      </c>
      <c r="E2024" t="s">
        <v>8444</v>
      </c>
      <c r="F2024" t="s">
        <v>8448</v>
      </c>
      <c r="G2024" t="s">
        <v>8463</v>
      </c>
    </row>
    <row r="2025" spans="1:7">
      <c r="A2025" t="s">
        <v>4404</v>
      </c>
      <c r="B2025" t="s">
        <v>8275</v>
      </c>
      <c r="C2025" t="s">
        <v>8395</v>
      </c>
      <c r="D2025" t="s">
        <v>8400</v>
      </c>
      <c r="E2025" t="s">
        <v>8446</v>
      </c>
      <c r="F2025" t="s">
        <v>8448</v>
      </c>
      <c r="G2025" t="s">
        <v>8463</v>
      </c>
    </row>
    <row r="2026" spans="1:7">
      <c r="A2026" t="s">
        <v>4405</v>
      </c>
      <c r="C2026" t="s">
        <v>8397</v>
      </c>
      <c r="D2026" t="s">
        <v>8408</v>
      </c>
      <c r="E2026" t="s">
        <v>8444</v>
      </c>
      <c r="F2026" t="s">
        <v>8450</v>
      </c>
    </row>
    <row r="2027" spans="1:7">
      <c r="A2027" t="s">
        <v>4406</v>
      </c>
      <c r="B2027" t="s">
        <v>8273</v>
      </c>
      <c r="C2027" t="s">
        <v>8394</v>
      </c>
      <c r="D2027" t="s">
        <v>8414</v>
      </c>
      <c r="E2027" t="s">
        <v>8445</v>
      </c>
      <c r="F2027" t="s">
        <v>8448</v>
      </c>
      <c r="G2027" t="s">
        <v>8455</v>
      </c>
    </row>
    <row r="2028" spans="1:7">
      <c r="A2028" t="s">
        <v>4407</v>
      </c>
      <c r="C2028" t="s">
        <v>8393</v>
      </c>
      <c r="D2028" t="s">
        <v>8393</v>
      </c>
      <c r="E2028" t="s">
        <v>919</v>
      </c>
      <c r="F2028" t="s">
        <v>8393</v>
      </c>
    </row>
    <row r="2029" spans="1:7">
      <c r="A2029" t="s">
        <v>4408</v>
      </c>
      <c r="B2029" t="s">
        <v>8273</v>
      </c>
      <c r="C2029" t="s">
        <v>8395</v>
      </c>
      <c r="D2029" t="s">
        <v>8432</v>
      </c>
      <c r="E2029" t="s">
        <v>8446</v>
      </c>
      <c r="F2029" t="s">
        <v>8449</v>
      </c>
      <c r="G2029" t="s">
        <v>8455</v>
      </c>
    </row>
    <row r="2030" spans="1:7">
      <c r="A2030" t="s">
        <v>4409</v>
      </c>
      <c r="B2030" t="s">
        <v>8278</v>
      </c>
      <c r="C2030" t="s">
        <v>8395</v>
      </c>
      <c r="D2030" t="s">
        <v>8423</v>
      </c>
      <c r="E2030" t="s">
        <v>8444</v>
      </c>
      <c r="F2030" t="s">
        <v>8449</v>
      </c>
      <c r="G2030" t="s">
        <v>8455</v>
      </c>
    </row>
    <row r="2031" spans="1:7">
      <c r="A2031" t="s">
        <v>4410</v>
      </c>
      <c r="C2031" t="s">
        <v>8392</v>
      </c>
      <c r="D2031" t="s">
        <v>8400</v>
      </c>
      <c r="E2031" t="s">
        <v>1519</v>
      </c>
      <c r="F2031" t="s">
        <v>8449</v>
      </c>
      <c r="G2031" t="s">
        <v>795</v>
      </c>
    </row>
    <row r="2032" spans="1:7">
      <c r="A2032" t="s">
        <v>4411</v>
      </c>
      <c r="B2032" t="s">
        <v>8273</v>
      </c>
      <c r="C2032" t="s">
        <v>8392</v>
      </c>
      <c r="D2032" t="s">
        <v>8400</v>
      </c>
      <c r="E2032" t="s">
        <v>1587</v>
      </c>
      <c r="F2032" t="s">
        <v>8449</v>
      </c>
      <c r="G2032" t="s">
        <v>8455</v>
      </c>
    </row>
    <row r="2033" spans="1:7">
      <c r="A2033" t="s">
        <v>4412</v>
      </c>
      <c r="C2033" t="s">
        <v>8392</v>
      </c>
      <c r="D2033" t="s">
        <v>8400</v>
      </c>
      <c r="E2033" t="s">
        <v>8446</v>
      </c>
      <c r="F2033" t="s">
        <v>8448</v>
      </c>
      <c r="G2033" t="s">
        <v>8762</v>
      </c>
    </row>
    <row r="2034" spans="1:7">
      <c r="A2034" t="s">
        <v>4413</v>
      </c>
      <c r="B2034" t="s">
        <v>8273</v>
      </c>
      <c r="C2034" t="s">
        <v>8392</v>
      </c>
      <c r="D2034" t="s">
        <v>8400</v>
      </c>
      <c r="E2034" t="s">
        <v>8446</v>
      </c>
      <c r="F2034" t="s">
        <v>8448</v>
      </c>
      <c r="G2034" t="s">
        <v>8463</v>
      </c>
    </row>
    <row r="2035" spans="1:7">
      <c r="A2035" t="s">
        <v>4414</v>
      </c>
      <c r="B2035" t="s">
        <v>8273</v>
      </c>
      <c r="C2035" t="s">
        <v>8392</v>
      </c>
      <c r="D2035" t="s">
        <v>8400</v>
      </c>
      <c r="E2035" t="s">
        <v>1519</v>
      </c>
      <c r="F2035" t="s">
        <v>8449</v>
      </c>
      <c r="G2035" t="s">
        <v>8455</v>
      </c>
    </row>
    <row r="2036" spans="1:7">
      <c r="A2036" t="s">
        <v>4415</v>
      </c>
      <c r="C2036" t="s">
        <v>8393</v>
      </c>
      <c r="D2036" t="s">
        <v>8393</v>
      </c>
      <c r="E2036" t="s">
        <v>919</v>
      </c>
      <c r="F2036" t="s">
        <v>8393</v>
      </c>
    </row>
    <row r="2037" spans="1:7">
      <c r="A2037" t="s">
        <v>4416</v>
      </c>
      <c r="B2037" t="s">
        <v>8273</v>
      </c>
      <c r="C2037" t="s">
        <v>8394</v>
      </c>
      <c r="D2037" t="s">
        <v>8416</v>
      </c>
      <c r="E2037" t="s">
        <v>8446</v>
      </c>
      <c r="F2037" t="s">
        <v>8449</v>
      </c>
      <c r="G2037" t="s">
        <v>8455</v>
      </c>
    </row>
    <row r="2038" spans="1:7">
      <c r="A2038" t="s">
        <v>4417</v>
      </c>
      <c r="B2038" t="s">
        <v>8285</v>
      </c>
      <c r="C2038" t="s">
        <v>8394</v>
      </c>
      <c r="D2038" t="s">
        <v>8416</v>
      </c>
      <c r="E2038" t="s">
        <v>8446</v>
      </c>
      <c r="F2038" t="s">
        <v>8449</v>
      </c>
      <c r="G2038" t="s">
        <v>8455</v>
      </c>
    </row>
    <row r="2039" spans="1:7">
      <c r="A2039" t="s">
        <v>4418</v>
      </c>
      <c r="B2039" t="s">
        <v>8277</v>
      </c>
      <c r="C2039" t="s">
        <v>8394</v>
      </c>
      <c r="D2039" t="s">
        <v>8416</v>
      </c>
      <c r="E2039" t="s">
        <v>8446</v>
      </c>
      <c r="F2039" t="s">
        <v>8449</v>
      </c>
      <c r="G2039" t="s">
        <v>8455</v>
      </c>
    </row>
    <row r="2040" spans="1:7">
      <c r="A2040" t="s">
        <v>4419</v>
      </c>
      <c r="B2040" t="s">
        <v>8273</v>
      </c>
      <c r="C2040" t="s">
        <v>8392</v>
      </c>
      <c r="D2040" t="s">
        <v>8400</v>
      </c>
      <c r="E2040" t="s">
        <v>1587</v>
      </c>
      <c r="F2040" t="s">
        <v>8447</v>
      </c>
      <c r="G2040" t="s">
        <v>8463</v>
      </c>
    </row>
    <row r="2041" spans="1:7">
      <c r="A2041" t="s">
        <v>4420</v>
      </c>
      <c r="B2041" t="s">
        <v>8273</v>
      </c>
      <c r="C2041" t="s">
        <v>8395</v>
      </c>
      <c r="D2041" t="s">
        <v>8400</v>
      </c>
      <c r="E2041" t="s">
        <v>8446</v>
      </c>
      <c r="F2041" t="s">
        <v>8449</v>
      </c>
      <c r="G2041" t="s">
        <v>8455</v>
      </c>
    </row>
    <row r="2042" spans="1:7">
      <c r="A2042" t="s">
        <v>4421</v>
      </c>
      <c r="C2042" t="s">
        <v>8394</v>
      </c>
      <c r="D2042" t="s">
        <v>8424</v>
      </c>
      <c r="E2042" t="s">
        <v>8445</v>
      </c>
      <c r="F2042" t="s">
        <v>8448</v>
      </c>
      <c r="G2042" t="s">
        <v>8763</v>
      </c>
    </row>
    <row r="2043" spans="1:7">
      <c r="A2043" t="s">
        <v>4422</v>
      </c>
      <c r="C2043" t="s">
        <v>8394</v>
      </c>
      <c r="D2043" t="s">
        <v>8424</v>
      </c>
      <c r="E2043" t="s">
        <v>8445</v>
      </c>
      <c r="F2043" t="s">
        <v>8448</v>
      </c>
      <c r="G2043" t="s">
        <v>8453</v>
      </c>
    </row>
    <row r="2044" spans="1:7">
      <c r="A2044" t="s">
        <v>4423</v>
      </c>
      <c r="B2044" t="s">
        <v>8273</v>
      </c>
      <c r="C2044" t="s">
        <v>8395</v>
      </c>
      <c r="D2044" t="s">
        <v>8400</v>
      </c>
      <c r="E2044" t="s">
        <v>1519</v>
      </c>
      <c r="F2044" t="s">
        <v>8449</v>
      </c>
      <c r="G2044" t="s">
        <v>8455</v>
      </c>
    </row>
    <row r="2045" spans="1:7">
      <c r="A2045" t="s">
        <v>4424</v>
      </c>
      <c r="C2045" t="s">
        <v>8392</v>
      </c>
      <c r="D2045" t="s">
        <v>8400</v>
      </c>
      <c r="E2045" t="s">
        <v>8446</v>
      </c>
      <c r="F2045" t="s">
        <v>8449</v>
      </c>
      <c r="G2045" t="s">
        <v>795</v>
      </c>
    </row>
    <row r="2046" spans="1:7">
      <c r="A2046" t="s">
        <v>4425</v>
      </c>
      <c r="B2046" t="s">
        <v>8273</v>
      </c>
      <c r="C2046" t="s">
        <v>8395</v>
      </c>
      <c r="D2046" t="s">
        <v>8400</v>
      </c>
      <c r="E2046" t="s">
        <v>8446</v>
      </c>
      <c r="F2046" t="s">
        <v>8449</v>
      </c>
      <c r="G2046" t="s">
        <v>796</v>
      </c>
    </row>
    <row r="2047" spans="1:7">
      <c r="A2047" t="s">
        <v>4426</v>
      </c>
      <c r="C2047" t="s">
        <v>8392</v>
      </c>
      <c r="D2047" t="s">
        <v>8400</v>
      </c>
      <c r="E2047" t="s">
        <v>1587</v>
      </c>
      <c r="F2047" t="s">
        <v>8449</v>
      </c>
      <c r="G2047" t="s">
        <v>8764</v>
      </c>
    </row>
    <row r="2048" spans="1:7">
      <c r="A2048" t="s">
        <v>4427</v>
      </c>
      <c r="C2048" t="s">
        <v>8392</v>
      </c>
      <c r="D2048" t="s">
        <v>8400</v>
      </c>
      <c r="E2048" t="s">
        <v>1587</v>
      </c>
      <c r="F2048" t="s">
        <v>8449</v>
      </c>
      <c r="G2048" t="s">
        <v>8764</v>
      </c>
    </row>
    <row r="2049" spans="1:7">
      <c r="A2049" t="s">
        <v>4428</v>
      </c>
      <c r="C2049" t="s">
        <v>8393</v>
      </c>
      <c r="D2049" t="s">
        <v>8393</v>
      </c>
      <c r="E2049" t="s">
        <v>919</v>
      </c>
      <c r="F2049" t="s">
        <v>8393</v>
      </c>
    </row>
    <row r="2050" spans="1:7">
      <c r="A2050" t="s">
        <v>4429</v>
      </c>
      <c r="B2050" t="s">
        <v>8273</v>
      </c>
      <c r="C2050" t="s">
        <v>8392</v>
      </c>
      <c r="D2050" t="s">
        <v>8415</v>
      </c>
      <c r="E2050" t="s">
        <v>8446</v>
      </c>
      <c r="F2050" t="s">
        <v>8448</v>
      </c>
      <c r="G2050" t="s">
        <v>796</v>
      </c>
    </row>
    <row r="2051" spans="1:7">
      <c r="A2051" t="s">
        <v>4430</v>
      </c>
      <c r="B2051" t="s">
        <v>8285</v>
      </c>
      <c r="C2051" t="s">
        <v>8395</v>
      </c>
      <c r="D2051" t="s">
        <v>8415</v>
      </c>
      <c r="E2051" t="s">
        <v>8446</v>
      </c>
      <c r="F2051" t="s">
        <v>8448</v>
      </c>
      <c r="G2051" t="s">
        <v>796</v>
      </c>
    </row>
    <row r="2052" spans="1:7">
      <c r="A2052" t="s">
        <v>4431</v>
      </c>
      <c r="B2052" t="s">
        <v>8277</v>
      </c>
      <c r="C2052" t="s">
        <v>8395</v>
      </c>
      <c r="D2052" t="s">
        <v>8415</v>
      </c>
      <c r="E2052" t="s">
        <v>8446</v>
      </c>
      <c r="F2052" t="s">
        <v>8448</v>
      </c>
      <c r="G2052" t="s">
        <v>796</v>
      </c>
    </row>
    <row r="2053" spans="1:7">
      <c r="A2053" t="s">
        <v>4432</v>
      </c>
      <c r="B2053" t="s">
        <v>8273</v>
      </c>
      <c r="C2053" t="s">
        <v>8392</v>
      </c>
      <c r="D2053" t="s">
        <v>8400</v>
      </c>
      <c r="E2053" t="s">
        <v>8446</v>
      </c>
      <c r="F2053" t="s">
        <v>8449</v>
      </c>
      <c r="G2053" t="s">
        <v>8455</v>
      </c>
    </row>
    <row r="2054" spans="1:7">
      <c r="A2054" t="s">
        <v>4433</v>
      </c>
      <c r="B2054" t="s">
        <v>8273</v>
      </c>
      <c r="C2054" t="s">
        <v>8392</v>
      </c>
      <c r="D2054" t="s">
        <v>8400</v>
      </c>
      <c r="E2054" t="s">
        <v>1587</v>
      </c>
      <c r="F2054" t="s">
        <v>8447</v>
      </c>
      <c r="G2054" t="s">
        <v>8463</v>
      </c>
    </row>
    <row r="2055" spans="1:7">
      <c r="A2055" t="s">
        <v>4434</v>
      </c>
      <c r="C2055" t="s">
        <v>8393</v>
      </c>
      <c r="D2055" t="s">
        <v>8393</v>
      </c>
      <c r="E2055" t="s">
        <v>919</v>
      </c>
      <c r="F2055" t="s">
        <v>8393</v>
      </c>
    </row>
    <row r="2056" spans="1:7">
      <c r="A2056" t="s">
        <v>4435</v>
      </c>
      <c r="B2056" t="s">
        <v>8278</v>
      </c>
      <c r="C2056" t="s">
        <v>8394</v>
      </c>
      <c r="D2056" t="s">
        <v>8423</v>
      </c>
      <c r="E2056" t="s">
        <v>8446</v>
      </c>
      <c r="F2056" t="s">
        <v>8449</v>
      </c>
      <c r="G2056" t="s">
        <v>8455</v>
      </c>
    </row>
    <row r="2057" spans="1:7">
      <c r="A2057" t="s">
        <v>4436</v>
      </c>
      <c r="B2057" t="s">
        <v>8278</v>
      </c>
      <c r="C2057" t="s">
        <v>8394</v>
      </c>
      <c r="D2057" t="s">
        <v>8423</v>
      </c>
      <c r="E2057" t="s">
        <v>8446</v>
      </c>
      <c r="F2057" t="s">
        <v>8449</v>
      </c>
      <c r="G2057" t="s">
        <v>8455</v>
      </c>
    </row>
    <row r="2058" spans="1:7">
      <c r="A2058" t="s">
        <v>4437</v>
      </c>
      <c r="B2058" t="s">
        <v>8278</v>
      </c>
      <c r="C2058" t="s">
        <v>8394</v>
      </c>
      <c r="D2058" t="s">
        <v>8423</v>
      </c>
      <c r="E2058" t="s">
        <v>8446</v>
      </c>
      <c r="F2058" t="s">
        <v>8449</v>
      </c>
      <c r="G2058" t="s">
        <v>8455</v>
      </c>
    </row>
    <row r="2059" spans="1:7">
      <c r="A2059" t="s">
        <v>4438</v>
      </c>
      <c r="B2059" t="s">
        <v>8284</v>
      </c>
      <c r="C2059" t="s">
        <v>8394</v>
      </c>
      <c r="D2059" t="s">
        <v>8423</v>
      </c>
      <c r="E2059" t="s">
        <v>8446</v>
      </c>
      <c r="F2059" t="s">
        <v>8449</v>
      </c>
      <c r="G2059" t="s">
        <v>8455</v>
      </c>
    </row>
    <row r="2060" spans="1:7">
      <c r="A2060" t="s">
        <v>4439</v>
      </c>
      <c r="B2060" t="s">
        <v>8279</v>
      </c>
      <c r="C2060" t="s">
        <v>8394</v>
      </c>
      <c r="D2060" t="s">
        <v>8423</v>
      </c>
      <c r="E2060" t="s">
        <v>8446</v>
      </c>
      <c r="F2060" t="s">
        <v>8449</v>
      </c>
      <c r="G2060" t="s">
        <v>8455</v>
      </c>
    </row>
    <row r="2061" spans="1:7">
      <c r="A2061" t="s">
        <v>4440</v>
      </c>
      <c r="B2061" t="s">
        <v>8311</v>
      </c>
      <c r="C2061" t="s">
        <v>8394</v>
      </c>
      <c r="D2061" t="s">
        <v>8423</v>
      </c>
      <c r="E2061" t="s">
        <v>8446</v>
      </c>
      <c r="F2061" t="s">
        <v>8449</v>
      </c>
      <c r="G2061" t="s">
        <v>8455</v>
      </c>
    </row>
    <row r="2062" spans="1:7">
      <c r="A2062" t="s">
        <v>4441</v>
      </c>
      <c r="B2062" t="s">
        <v>8278</v>
      </c>
      <c r="C2062" t="s">
        <v>8394</v>
      </c>
      <c r="D2062" t="s">
        <v>8423</v>
      </c>
      <c r="E2062" t="s">
        <v>8446</v>
      </c>
      <c r="F2062" t="s">
        <v>8449</v>
      </c>
      <c r="G2062" t="s">
        <v>8455</v>
      </c>
    </row>
    <row r="2063" spans="1:7">
      <c r="A2063" t="s">
        <v>4442</v>
      </c>
      <c r="B2063" t="s">
        <v>8281</v>
      </c>
      <c r="C2063" t="s">
        <v>8394</v>
      </c>
      <c r="D2063" t="s">
        <v>8423</v>
      </c>
      <c r="E2063" t="s">
        <v>8446</v>
      </c>
      <c r="F2063" t="s">
        <v>8449</v>
      </c>
      <c r="G2063" t="s">
        <v>8455</v>
      </c>
    </row>
    <row r="2064" spans="1:7">
      <c r="A2064" t="s">
        <v>4443</v>
      </c>
      <c r="B2064" t="s">
        <v>8273</v>
      </c>
      <c r="C2064" t="s">
        <v>8392</v>
      </c>
      <c r="D2064" t="s">
        <v>8415</v>
      </c>
      <c r="E2064" t="s">
        <v>8446</v>
      </c>
      <c r="F2064" t="s">
        <v>8449</v>
      </c>
      <c r="G2064" t="s">
        <v>796</v>
      </c>
    </row>
    <row r="2065" spans="1:7">
      <c r="A2065" t="s">
        <v>4444</v>
      </c>
      <c r="B2065" t="s">
        <v>8278</v>
      </c>
      <c r="C2065" t="s">
        <v>8394</v>
      </c>
      <c r="D2065" t="s">
        <v>8423</v>
      </c>
      <c r="E2065" t="s">
        <v>8446</v>
      </c>
      <c r="F2065" t="s">
        <v>8449</v>
      </c>
      <c r="G2065" t="s">
        <v>8455</v>
      </c>
    </row>
    <row r="2066" spans="1:7">
      <c r="A2066" t="s">
        <v>4445</v>
      </c>
      <c r="C2066" t="s">
        <v>8392</v>
      </c>
      <c r="D2066" t="s">
        <v>8415</v>
      </c>
      <c r="E2066" t="s">
        <v>8444</v>
      </c>
      <c r="F2066" t="s">
        <v>8448</v>
      </c>
      <c r="G2066" t="s">
        <v>8765</v>
      </c>
    </row>
    <row r="2067" spans="1:7">
      <c r="A2067" t="s">
        <v>4446</v>
      </c>
      <c r="C2067" t="s">
        <v>8397</v>
      </c>
      <c r="D2067" t="s">
        <v>8408</v>
      </c>
      <c r="E2067" t="s">
        <v>8445</v>
      </c>
      <c r="F2067" t="s">
        <v>8450</v>
      </c>
    </row>
    <row r="2068" spans="1:7">
      <c r="A2068" t="s">
        <v>4447</v>
      </c>
      <c r="B2068" t="s">
        <v>8273</v>
      </c>
      <c r="C2068" t="s">
        <v>8392</v>
      </c>
      <c r="D2068" t="s">
        <v>8415</v>
      </c>
      <c r="E2068" t="s">
        <v>8445</v>
      </c>
      <c r="F2068" t="s">
        <v>8448</v>
      </c>
      <c r="G2068" t="s">
        <v>8455</v>
      </c>
    </row>
    <row r="2069" spans="1:7">
      <c r="A2069" t="s">
        <v>4448</v>
      </c>
      <c r="C2069" t="s">
        <v>8393</v>
      </c>
      <c r="D2069" t="s">
        <v>8393</v>
      </c>
      <c r="E2069" t="s">
        <v>919</v>
      </c>
      <c r="F2069" t="s">
        <v>8393</v>
      </c>
    </row>
    <row r="2070" spans="1:7">
      <c r="A2070" t="s">
        <v>4449</v>
      </c>
      <c r="B2070" t="s">
        <v>8278</v>
      </c>
      <c r="C2070" t="s">
        <v>8394</v>
      </c>
      <c r="D2070" t="s">
        <v>8423</v>
      </c>
      <c r="E2070" t="s">
        <v>8444</v>
      </c>
      <c r="F2070" t="s">
        <v>8449</v>
      </c>
      <c r="G2070" t="s">
        <v>8455</v>
      </c>
    </row>
    <row r="2071" spans="1:7">
      <c r="A2071" t="s">
        <v>4450</v>
      </c>
      <c r="B2071" t="s">
        <v>8284</v>
      </c>
      <c r="C2071" t="s">
        <v>8394</v>
      </c>
      <c r="D2071" t="s">
        <v>8423</v>
      </c>
      <c r="E2071" t="s">
        <v>8444</v>
      </c>
      <c r="F2071" t="s">
        <v>8449</v>
      </c>
      <c r="G2071" t="s">
        <v>8455</v>
      </c>
    </row>
    <row r="2072" spans="1:7">
      <c r="A2072" t="s">
        <v>4451</v>
      </c>
      <c r="B2072" t="s">
        <v>8279</v>
      </c>
      <c r="C2072" t="s">
        <v>8394</v>
      </c>
      <c r="D2072" t="s">
        <v>8423</v>
      </c>
      <c r="E2072" t="s">
        <v>8444</v>
      </c>
      <c r="F2072" t="s">
        <v>8449</v>
      </c>
      <c r="G2072" t="s">
        <v>8455</v>
      </c>
    </row>
    <row r="2073" spans="1:7">
      <c r="A2073" t="s">
        <v>4452</v>
      </c>
      <c r="B2073" t="s">
        <v>8281</v>
      </c>
      <c r="C2073" t="s">
        <v>8394</v>
      </c>
      <c r="D2073" t="s">
        <v>8423</v>
      </c>
      <c r="E2073" t="s">
        <v>8444</v>
      </c>
      <c r="F2073" t="s">
        <v>8449</v>
      </c>
      <c r="G2073" t="s">
        <v>8455</v>
      </c>
    </row>
    <row r="2074" spans="1:7">
      <c r="A2074" t="s">
        <v>4453</v>
      </c>
      <c r="B2074" t="s">
        <v>8273</v>
      </c>
      <c r="C2074" t="s">
        <v>8396</v>
      </c>
      <c r="D2074" t="s">
        <v>8425</v>
      </c>
      <c r="E2074" t="s">
        <v>8445</v>
      </c>
      <c r="F2074" t="s">
        <v>8449</v>
      </c>
      <c r="G2074" t="s">
        <v>8494</v>
      </c>
    </row>
    <row r="2075" spans="1:7">
      <c r="A2075" t="s">
        <v>4454</v>
      </c>
      <c r="B2075" t="s">
        <v>8273</v>
      </c>
      <c r="C2075" t="s">
        <v>8395</v>
      </c>
      <c r="D2075" t="s">
        <v>8400</v>
      </c>
      <c r="E2075" t="s">
        <v>8446</v>
      </c>
      <c r="F2075" t="s">
        <v>8449</v>
      </c>
      <c r="G2075" t="s">
        <v>8455</v>
      </c>
    </row>
    <row r="2076" spans="1:7">
      <c r="A2076" t="s">
        <v>4455</v>
      </c>
      <c r="B2076" t="s">
        <v>8273</v>
      </c>
      <c r="C2076" t="s">
        <v>8394</v>
      </c>
      <c r="D2076" t="s">
        <v>8407</v>
      </c>
      <c r="E2076" t="s">
        <v>8446</v>
      </c>
      <c r="F2076" t="s">
        <v>8449</v>
      </c>
      <c r="G2076" t="s">
        <v>795</v>
      </c>
    </row>
    <row r="2077" spans="1:7">
      <c r="A2077" t="s">
        <v>4456</v>
      </c>
      <c r="B2077" t="s">
        <v>8299</v>
      </c>
      <c r="C2077" t="s">
        <v>8397</v>
      </c>
      <c r="D2077" t="s">
        <v>8431</v>
      </c>
      <c r="E2077" t="s">
        <v>1587</v>
      </c>
      <c r="F2077" t="s">
        <v>8448</v>
      </c>
      <c r="G2077" t="s">
        <v>8766</v>
      </c>
    </row>
    <row r="2078" spans="1:7">
      <c r="A2078" t="s">
        <v>4457</v>
      </c>
      <c r="B2078" t="s">
        <v>8273</v>
      </c>
      <c r="C2078" t="s">
        <v>8392</v>
      </c>
      <c r="D2078" t="s">
        <v>8400</v>
      </c>
      <c r="E2078" t="s">
        <v>1519</v>
      </c>
      <c r="F2078" t="s">
        <v>8449</v>
      </c>
      <c r="G2078" t="s">
        <v>8455</v>
      </c>
    </row>
    <row r="2079" spans="1:7">
      <c r="A2079" t="s">
        <v>4458</v>
      </c>
      <c r="C2079" t="s">
        <v>8393</v>
      </c>
      <c r="D2079" t="s">
        <v>8393</v>
      </c>
      <c r="E2079" t="s">
        <v>919</v>
      </c>
      <c r="F2079" t="s">
        <v>8393</v>
      </c>
    </row>
    <row r="2080" spans="1:7">
      <c r="A2080" t="s">
        <v>4459</v>
      </c>
      <c r="B2080" t="s">
        <v>8273</v>
      </c>
      <c r="C2080" t="s">
        <v>8394</v>
      </c>
      <c r="D2080" t="s">
        <v>8414</v>
      </c>
      <c r="E2080" t="s">
        <v>8445</v>
      </c>
      <c r="F2080" t="s">
        <v>8449</v>
      </c>
      <c r="G2080" t="s">
        <v>8455</v>
      </c>
    </row>
    <row r="2081" spans="1:7">
      <c r="A2081" t="s">
        <v>4460</v>
      </c>
      <c r="B2081" t="s">
        <v>8285</v>
      </c>
      <c r="C2081" t="s">
        <v>8394</v>
      </c>
      <c r="D2081" t="s">
        <v>8414</v>
      </c>
      <c r="E2081" t="s">
        <v>8444</v>
      </c>
      <c r="F2081" t="s">
        <v>8449</v>
      </c>
      <c r="G2081" t="s">
        <v>8455</v>
      </c>
    </row>
    <row r="2082" spans="1:7">
      <c r="A2082" t="s">
        <v>4461</v>
      </c>
      <c r="B2082" t="s">
        <v>8277</v>
      </c>
      <c r="C2082" t="s">
        <v>8394</v>
      </c>
      <c r="D2082" t="s">
        <v>8414</v>
      </c>
      <c r="E2082" t="s">
        <v>8444</v>
      </c>
      <c r="F2082" t="s">
        <v>8449</v>
      </c>
      <c r="G2082" t="s">
        <v>8455</v>
      </c>
    </row>
    <row r="2083" spans="1:7">
      <c r="A2083" t="s">
        <v>4462</v>
      </c>
      <c r="B2083" t="s">
        <v>8273</v>
      </c>
      <c r="C2083" t="s">
        <v>8395</v>
      </c>
      <c r="D2083" t="s">
        <v>8426</v>
      </c>
      <c r="E2083" t="s">
        <v>8446</v>
      </c>
      <c r="F2083" t="s">
        <v>8448</v>
      </c>
      <c r="G2083" t="s">
        <v>8767</v>
      </c>
    </row>
    <row r="2084" spans="1:7">
      <c r="A2084" t="s">
        <v>4463</v>
      </c>
      <c r="C2084" t="s">
        <v>8394</v>
      </c>
      <c r="D2084" t="s">
        <v>8414</v>
      </c>
      <c r="E2084" t="s">
        <v>8445</v>
      </c>
      <c r="F2084" t="s">
        <v>8448</v>
      </c>
      <c r="G2084" t="s">
        <v>795</v>
      </c>
    </row>
    <row r="2085" spans="1:7">
      <c r="A2085" t="s">
        <v>4464</v>
      </c>
      <c r="B2085" t="s">
        <v>8273</v>
      </c>
      <c r="C2085" t="s">
        <v>8395</v>
      </c>
      <c r="D2085" t="s">
        <v>8405</v>
      </c>
      <c r="E2085" t="s">
        <v>8446</v>
      </c>
      <c r="F2085" t="s">
        <v>8448</v>
      </c>
      <c r="G2085" t="s">
        <v>796</v>
      </c>
    </row>
    <row r="2086" spans="1:7">
      <c r="A2086" t="s">
        <v>4465</v>
      </c>
      <c r="C2086" t="s">
        <v>8393</v>
      </c>
      <c r="D2086" t="s">
        <v>8393</v>
      </c>
      <c r="E2086" t="s">
        <v>919</v>
      </c>
      <c r="F2086" t="s">
        <v>8393</v>
      </c>
    </row>
    <row r="2087" spans="1:7">
      <c r="A2087" t="s">
        <v>4466</v>
      </c>
      <c r="C2087" t="s">
        <v>8394</v>
      </c>
      <c r="D2087" t="s">
        <v>8401</v>
      </c>
      <c r="E2087" t="s">
        <v>8445</v>
      </c>
      <c r="F2087" t="s">
        <v>8448</v>
      </c>
      <c r="G2087" t="s">
        <v>8768</v>
      </c>
    </row>
    <row r="2088" spans="1:7">
      <c r="A2088" t="s">
        <v>4467</v>
      </c>
      <c r="C2088" t="s">
        <v>8394</v>
      </c>
      <c r="D2088" t="s">
        <v>8401</v>
      </c>
      <c r="E2088" t="s">
        <v>8445</v>
      </c>
      <c r="F2088" t="s">
        <v>8448</v>
      </c>
      <c r="G2088" t="s">
        <v>8768</v>
      </c>
    </row>
    <row r="2089" spans="1:7">
      <c r="A2089" t="s">
        <v>4468</v>
      </c>
      <c r="C2089" t="s">
        <v>8394</v>
      </c>
      <c r="D2089" t="s">
        <v>8401</v>
      </c>
      <c r="E2089" t="s">
        <v>8445</v>
      </c>
      <c r="F2089" t="s">
        <v>8448</v>
      </c>
      <c r="G2089" t="s">
        <v>8768</v>
      </c>
    </row>
    <row r="2090" spans="1:7">
      <c r="A2090" t="s">
        <v>4469</v>
      </c>
      <c r="C2090" t="s">
        <v>8394</v>
      </c>
      <c r="D2090" t="s">
        <v>8401</v>
      </c>
      <c r="E2090" t="s">
        <v>8445</v>
      </c>
      <c r="F2090" t="s">
        <v>8448</v>
      </c>
      <c r="G2090" t="s">
        <v>8768</v>
      </c>
    </row>
    <row r="2091" spans="1:7">
      <c r="A2091" t="s">
        <v>4470</v>
      </c>
      <c r="C2091" t="s">
        <v>8394</v>
      </c>
      <c r="D2091" t="s">
        <v>8401</v>
      </c>
      <c r="E2091" t="s">
        <v>8445</v>
      </c>
      <c r="F2091" t="s">
        <v>8448</v>
      </c>
      <c r="G2091" t="s">
        <v>8768</v>
      </c>
    </row>
    <row r="2092" spans="1:7">
      <c r="A2092" t="s">
        <v>4471</v>
      </c>
      <c r="C2092" t="s">
        <v>8394</v>
      </c>
      <c r="D2092" t="s">
        <v>8401</v>
      </c>
      <c r="E2092" t="s">
        <v>8445</v>
      </c>
      <c r="F2092" t="s">
        <v>8448</v>
      </c>
      <c r="G2092" t="s">
        <v>8768</v>
      </c>
    </row>
    <row r="2093" spans="1:7">
      <c r="A2093" t="s">
        <v>4472</v>
      </c>
      <c r="C2093" t="s">
        <v>8394</v>
      </c>
      <c r="D2093" t="s">
        <v>8401</v>
      </c>
      <c r="E2093" t="s">
        <v>8445</v>
      </c>
      <c r="F2093" t="s">
        <v>8448</v>
      </c>
      <c r="G2093" t="s">
        <v>8768</v>
      </c>
    </row>
    <row r="2094" spans="1:7">
      <c r="A2094" t="s">
        <v>4473</v>
      </c>
      <c r="C2094" t="s">
        <v>8394</v>
      </c>
      <c r="D2094" t="s">
        <v>8401</v>
      </c>
      <c r="E2094" t="s">
        <v>8445</v>
      </c>
      <c r="F2094" t="s">
        <v>8448</v>
      </c>
      <c r="G2094" t="s">
        <v>8768</v>
      </c>
    </row>
    <row r="2095" spans="1:7">
      <c r="A2095" t="s">
        <v>4474</v>
      </c>
      <c r="C2095" t="s">
        <v>8394</v>
      </c>
      <c r="D2095" t="s">
        <v>8401</v>
      </c>
      <c r="E2095" t="s">
        <v>8445</v>
      </c>
      <c r="F2095" t="s">
        <v>8448</v>
      </c>
      <c r="G2095" t="s">
        <v>8768</v>
      </c>
    </row>
    <row r="2096" spans="1:7">
      <c r="A2096" t="s">
        <v>4475</v>
      </c>
      <c r="C2096" t="s">
        <v>8394</v>
      </c>
      <c r="D2096" t="s">
        <v>8401</v>
      </c>
      <c r="E2096" t="s">
        <v>8445</v>
      </c>
      <c r="F2096" t="s">
        <v>8448</v>
      </c>
      <c r="G2096" t="s">
        <v>8768</v>
      </c>
    </row>
    <row r="2097" spans="1:7">
      <c r="A2097" t="s">
        <v>4476</v>
      </c>
      <c r="C2097" t="s">
        <v>8394</v>
      </c>
      <c r="D2097" t="s">
        <v>8401</v>
      </c>
      <c r="E2097" t="s">
        <v>8445</v>
      </c>
      <c r="F2097" t="s">
        <v>8448</v>
      </c>
      <c r="G2097" t="s">
        <v>8768</v>
      </c>
    </row>
    <row r="2098" spans="1:7">
      <c r="A2098" t="s">
        <v>4477</v>
      </c>
      <c r="C2098" t="s">
        <v>8394</v>
      </c>
      <c r="D2098" t="s">
        <v>8401</v>
      </c>
      <c r="E2098" t="s">
        <v>8445</v>
      </c>
      <c r="F2098" t="s">
        <v>8448</v>
      </c>
      <c r="G2098" t="s">
        <v>8768</v>
      </c>
    </row>
    <row r="2099" spans="1:7">
      <c r="A2099" t="s">
        <v>4478</v>
      </c>
      <c r="C2099" t="s">
        <v>8394</v>
      </c>
      <c r="D2099" t="s">
        <v>8401</v>
      </c>
      <c r="E2099" t="s">
        <v>8445</v>
      </c>
      <c r="F2099" t="s">
        <v>8448</v>
      </c>
      <c r="G2099" t="s">
        <v>8768</v>
      </c>
    </row>
    <row r="2100" spans="1:7">
      <c r="A2100" t="s">
        <v>4479</v>
      </c>
      <c r="C2100" t="s">
        <v>8394</v>
      </c>
      <c r="D2100" t="s">
        <v>8401</v>
      </c>
      <c r="E2100" t="s">
        <v>8445</v>
      </c>
      <c r="F2100" t="s">
        <v>8448</v>
      </c>
      <c r="G2100" t="s">
        <v>8768</v>
      </c>
    </row>
    <row r="2101" spans="1:7">
      <c r="A2101" t="s">
        <v>4480</v>
      </c>
      <c r="C2101" t="s">
        <v>8394</v>
      </c>
      <c r="D2101" t="s">
        <v>8401</v>
      </c>
      <c r="E2101" t="s">
        <v>8445</v>
      </c>
      <c r="F2101" t="s">
        <v>8448</v>
      </c>
      <c r="G2101" t="s">
        <v>8768</v>
      </c>
    </row>
    <row r="2102" spans="1:7">
      <c r="A2102" t="s">
        <v>4481</v>
      </c>
      <c r="C2102" t="s">
        <v>8394</v>
      </c>
      <c r="D2102" t="s">
        <v>8401</v>
      </c>
      <c r="E2102" t="s">
        <v>8445</v>
      </c>
      <c r="F2102" t="s">
        <v>8448</v>
      </c>
      <c r="G2102" t="s">
        <v>8768</v>
      </c>
    </row>
    <row r="2103" spans="1:7">
      <c r="A2103" t="s">
        <v>4482</v>
      </c>
      <c r="C2103" t="s">
        <v>8394</v>
      </c>
      <c r="D2103" t="s">
        <v>8401</v>
      </c>
      <c r="E2103" t="s">
        <v>8445</v>
      </c>
      <c r="F2103" t="s">
        <v>8448</v>
      </c>
      <c r="G2103" t="s">
        <v>8768</v>
      </c>
    </row>
    <row r="2104" spans="1:7">
      <c r="A2104" t="s">
        <v>4483</v>
      </c>
      <c r="C2104" t="s">
        <v>8394</v>
      </c>
      <c r="D2104" t="s">
        <v>8401</v>
      </c>
      <c r="E2104" t="s">
        <v>8445</v>
      </c>
      <c r="F2104" t="s">
        <v>8448</v>
      </c>
      <c r="G2104" t="s">
        <v>8768</v>
      </c>
    </row>
    <row r="2105" spans="1:7">
      <c r="A2105" t="s">
        <v>4484</v>
      </c>
      <c r="C2105" t="s">
        <v>8394</v>
      </c>
      <c r="D2105" t="s">
        <v>8401</v>
      </c>
      <c r="E2105" t="s">
        <v>8445</v>
      </c>
      <c r="F2105" t="s">
        <v>8448</v>
      </c>
      <c r="G2105" t="s">
        <v>8768</v>
      </c>
    </row>
    <row r="2106" spans="1:7">
      <c r="A2106" t="s">
        <v>4485</v>
      </c>
      <c r="C2106" t="s">
        <v>8394</v>
      </c>
      <c r="D2106" t="s">
        <v>8401</v>
      </c>
      <c r="E2106" t="s">
        <v>8445</v>
      </c>
      <c r="F2106" t="s">
        <v>8448</v>
      </c>
      <c r="G2106" t="s">
        <v>8768</v>
      </c>
    </row>
    <row r="2107" spans="1:7">
      <c r="A2107" t="s">
        <v>4486</v>
      </c>
      <c r="C2107" t="s">
        <v>8394</v>
      </c>
      <c r="D2107" t="s">
        <v>8401</v>
      </c>
      <c r="E2107" t="s">
        <v>8445</v>
      </c>
      <c r="F2107" t="s">
        <v>8448</v>
      </c>
      <c r="G2107" t="s">
        <v>8768</v>
      </c>
    </row>
    <row r="2108" spans="1:7">
      <c r="A2108" t="s">
        <v>4487</v>
      </c>
      <c r="C2108" t="s">
        <v>8394</v>
      </c>
      <c r="D2108" t="s">
        <v>8401</v>
      </c>
      <c r="E2108" t="s">
        <v>8445</v>
      </c>
      <c r="F2108" t="s">
        <v>8448</v>
      </c>
      <c r="G2108" t="s">
        <v>8768</v>
      </c>
    </row>
    <row r="2109" spans="1:7">
      <c r="A2109" t="s">
        <v>4488</v>
      </c>
      <c r="C2109" t="s">
        <v>8394</v>
      </c>
      <c r="D2109" t="s">
        <v>8401</v>
      </c>
      <c r="E2109" t="s">
        <v>8445</v>
      </c>
      <c r="F2109" t="s">
        <v>8448</v>
      </c>
      <c r="G2109" t="s">
        <v>8768</v>
      </c>
    </row>
    <row r="2110" spans="1:7">
      <c r="A2110" t="s">
        <v>4489</v>
      </c>
      <c r="C2110" t="s">
        <v>8394</v>
      </c>
      <c r="D2110" t="s">
        <v>8401</v>
      </c>
      <c r="E2110" t="s">
        <v>8445</v>
      </c>
      <c r="F2110" t="s">
        <v>8448</v>
      </c>
      <c r="G2110" t="s">
        <v>8768</v>
      </c>
    </row>
    <row r="2111" spans="1:7">
      <c r="A2111" t="s">
        <v>4490</v>
      </c>
      <c r="C2111" t="s">
        <v>8394</v>
      </c>
      <c r="D2111" t="s">
        <v>8401</v>
      </c>
      <c r="E2111" t="s">
        <v>8445</v>
      </c>
      <c r="F2111" t="s">
        <v>8448</v>
      </c>
      <c r="G2111" t="s">
        <v>8768</v>
      </c>
    </row>
    <row r="2112" spans="1:7">
      <c r="A2112" t="s">
        <v>4491</v>
      </c>
      <c r="C2112" t="s">
        <v>8394</v>
      </c>
      <c r="D2112" t="s">
        <v>8401</v>
      </c>
      <c r="E2112" t="s">
        <v>8445</v>
      </c>
      <c r="F2112" t="s">
        <v>8448</v>
      </c>
      <c r="G2112" t="s">
        <v>8768</v>
      </c>
    </row>
    <row r="2113" spans="1:7">
      <c r="A2113" t="s">
        <v>4492</v>
      </c>
      <c r="C2113" t="s">
        <v>8394</v>
      </c>
      <c r="D2113" t="s">
        <v>8401</v>
      </c>
      <c r="E2113" t="s">
        <v>8445</v>
      </c>
      <c r="F2113" t="s">
        <v>8448</v>
      </c>
      <c r="G2113" t="s">
        <v>8768</v>
      </c>
    </row>
    <row r="2114" spans="1:7">
      <c r="A2114" t="s">
        <v>4493</v>
      </c>
      <c r="C2114" t="s">
        <v>8394</v>
      </c>
      <c r="D2114" t="s">
        <v>8401</v>
      </c>
      <c r="E2114" t="s">
        <v>8445</v>
      </c>
      <c r="F2114" t="s">
        <v>8448</v>
      </c>
      <c r="G2114" t="s">
        <v>8768</v>
      </c>
    </row>
    <row r="2115" spans="1:7">
      <c r="A2115" t="s">
        <v>4494</v>
      </c>
      <c r="C2115" t="s">
        <v>8394</v>
      </c>
      <c r="D2115" t="s">
        <v>8401</v>
      </c>
      <c r="E2115" t="s">
        <v>8445</v>
      </c>
      <c r="F2115" t="s">
        <v>8448</v>
      </c>
      <c r="G2115" t="s">
        <v>8768</v>
      </c>
    </row>
    <row r="2116" spans="1:7">
      <c r="A2116" t="s">
        <v>4495</v>
      </c>
      <c r="C2116" t="s">
        <v>8394</v>
      </c>
      <c r="D2116" t="s">
        <v>8401</v>
      </c>
      <c r="E2116" t="s">
        <v>8445</v>
      </c>
      <c r="F2116" t="s">
        <v>8448</v>
      </c>
      <c r="G2116" t="s">
        <v>8768</v>
      </c>
    </row>
    <row r="2117" spans="1:7">
      <c r="A2117" t="s">
        <v>4496</v>
      </c>
      <c r="C2117" t="s">
        <v>8394</v>
      </c>
      <c r="D2117" t="s">
        <v>8401</v>
      </c>
      <c r="E2117" t="s">
        <v>8445</v>
      </c>
      <c r="F2117" t="s">
        <v>8448</v>
      </c>
      <c r="G2117" t="s">
        <v>8768</v>
      </c>
    </row>
    <row r="2118" spans="1:7">
      <c r="A2118" t="s">
        <v>4497</v>
      </c>
      <c r="B2118" t="s">
        <v>8273</v>
      </c>
      <c r="C2118" t="s">
        <v>8392</v>
      </c>
      <c r="D2118" t="s">
        <v>8415</v>
      </c>
      <c r="E2118" t="s">
        <v>1519</v>
      </c>
      <c r="F2118" t="s">
        <v>8449</v>
      </c>
      <c r="G2118" t="s">
        <v>8455</v>
      </c>
    </row>
    <row r="2119" spans="1:7">
      <c r="A2119" t="s">
        <v>4498</v>
      </c>
      <c r="B2119" t="s">
        <v>8273</v>
      </c>
      <c r="C2119" t="s">
        <v>8392</v>
      </c>
      <c r="D2119" t="s">
        <v>8400</v>
      </c>
      <c r="E2119" t="s">
        <v>1587</v>
      </c>
      <c r="F2119" t="s">
        <v>8447</v>
      </c>
      <c r="G2119" t="s">
        <v>8519</v>
      </c>
    </row>
    <row r="2120" spans="1:7">
      <c r="A2120" t="s">
        <v>4499</v>
      </c>
      <c r="C2120" t="s">
        <v>8397</v>
      </c>
      <c r="D2120" t="s">
        <v>8421</v>
      </c>
      <c r="E2120" t="s">
        <v>8446</v>
      </c>
      <c r="F2120" t="s">
        <v>8448</v>
      </c>
      <c r="G2120" t="s">
        <v>8769</v>
      </c>
    </row>
    <row r="2121" spans="1:7">
      <c r="A2121" t="s">
        <v>4500</v>
      </c>
      <c r="B2121" t="s">
        <v>8273</v>
      </c>
      <c r="C2121" t="s">
        <v>8394</v>
      </c>
      <c r="D2121" t="s">
        <v>8407</v>
      </c>
      <c r="E2121" t="s">
        <v>8445</v>
      </c>
      <c r="F2121" t="s">
        <v>8448</v>
      </c>
      <c r="G2121" t="s">
        <v>8770</v>
      </c>
    </row>
    <row r="2122" spans="1:7">
      <c r="A2122" t="s">
        <v>4501</v>
      </c>
      <c r="B2122" t="s">
        <v>8273</v>
      </c>
      <c r="C2122" t="s">
        <v>8394</v>
      </c>
      <c r="D2122" t="s">
        <v>8407</v>
      </c>
      <c r="E2122" t="s">
        <v>8446</v>
      </c>
      <c r="F2122" t="s">
        <v>8448</v>
      </c>
      <c r="G2122" t="s">
        <v>8771</v>
      </c>
    </row>
    <row r="2123" spans="1:7">
      <c r="A2123" t="s">
        <v>4502</v>
      </c>
      <c r="C2123" t="s">
        <v>8393</v>
      </c>
      <c r="D2123" t="s">
        <v>8393</v>
      </c>
      <c r="E2123" t="s">
        <v>919</v>
      </c>
      <c r="F2123" t="s">
        <v>8393</v>
      </c>
    </row>
    <row r="2124" spans="1:7">
      <c r="A2124" t="s">
        <v>4503</v>
      </c>
      <c r="B2124" t="s">
        <v>8273</v>
      </c>
      <c r="C2124" t="s">
        <v>8398</v>
      </c>
      <c r="D2124" t="s">
        <v>8419</v>
      </c>
      <c r="E2124" t="s">
        <v>8446</v>
      </c>
      <c r="F2124" t="s">
        <v>8449</v>
      </c>
      <c r="G2124" t="s">
        <v>8455</v>
      </c>
    </row>
    <row r="2125" spans="1:7">
      <c r="A2125" t="s">
        <v>4504</v>
      </c>
      <c r="B2125" t="s">
        <v>8277</v>
      </c>
      <c r="C2125" t="s">
        <v>8398</v>
      </c>
      <c r="D2125" t="s">
        <v>8419</v>
      </c>
      <c r="E2125" t="s">
        <v>8446</v>
      </c>
      <c r="F2125" t="s">
        <v>8449</v>
      </c>
      <c r="G2125" t="s">
        <v>8455</v>
      </c>
    </row>
    <row r="2126" spans="1:7">
      <c r="A2126" t="s">
        <v>4505</v>
      </c>
      <c r="B2126" t="s">
        <v>8273</v>
      </c>
      <c r="C2126" t="s">
        <v>8395</v>
      </c>
      <c r="D2126" t="s">
        <v>8426</v>
      </c>
      <c r="E2126" t="s">
        <v>8446</v>
      </c>
      <c r="F2126" t="s">
        <v>8449</v>
      </c>
      <c r="G2126" t="s">
        <v>8455</v>
      </c>
    </row>
    <row r="2127" spans="1:7">
      <c r="A2127" t="s">
        <v>4506</v>
      </c>
      <c r="B2127" t="s">
        <v>8273</v>
      </c>
      <c r="C2127" t="s">
        <v>8396</v>
      </c>
      <c r="D2127" t="s">
        <v>8405</v>
      </c>
      <c r="E2127" t="s">
        <v>8444</v>
      </c>
      <c r="F2127" t="s">
        <v>8449</v>
      </c>
      <c r="G2127" t="s">
        <v>8455</v>
      </c>
    </row>
    <row r="2128" spans="1:7">
      <c r="A2128" t="s">
        <v>4507</v>
      </c>
      <c r="C2128" t="s">
        <v>8393</v>
      </c>
      <c r="D2128" t="s">
        <v>8393</v>
      </c>
      <c r="E2128" t="s">
        <v>919</v>
      </c>
      <c r="F2128" t="s">
        <v>8393</v>
      </c>
    </row>
    <row r="2129" spans="1:7">
      <c r="A2129" t="s">
        <v>4508</v>
      </c>
      <c r="B2129" t="s">
        <v>8273</v>
      </c>
      <c r="C2129" t="s">
        <v>8398</v>
      </c>
      <c r="D2129" t="s">
        <v>8419</v>
      </c>
      <c r="E2129" t="s">
        <v>8445</v>
      </c>
      <c r="F2129" t="s">
        <v>8448</v>
      </c>
      <c r="G2129" t="s">
        <v>795</v>
      </c>
    </row>
    <row r="2130" spans="1:7">
      <c r="A2130" t="s">
        <v>4509</v>
      </c>
      <c r="B2130" t="s">
        <v>8273</v>
      </c>
      <c r="C2130" t="s">
        <v>8398</v>
      </c>
      <c r="D2130" t="s">
        <v>8419</v>
      </c>
      <c r="E2130" t="s">
        <v>8444</v>
      </c>
      <c r="F2130" t="s">
        <v>8448</v>
      </c>
      <c r="G2130" t="s">
        <v>8772</v>
      </c>
    </row>
    <row r="2131" spans="1:7">
      <c r="A2131" t="s">
        <v>4510</v>
      </c>
      <c r="B2131" t="s">
        <v>8285</v>
      </c>
      <c r="C2131" t="s">
        <v>8398</v>
      </c>
      <c r="D2131" t="s">
        <v>8419</v>
      </c>
      <c r="E2131" t="s">
        <v>8446</v>
      </c>
      <c r="F2131" t="s">
        <v>8448</v>
      </c>
      <c r="G2131" t="s">
        <v>8455</v>
      </c>
    </row>
    <row r="2132" spans="1:7">
      <c r="A2132" t="s">
        <v>4511</v>
      </c>
      <c r="B2132" t="s">
        <v>8274</v>
      </c>
      <c r="C2132" t="s">
        <v>8396</v>
      </c>
      <c r="D2132" t="s">
        <v>8405</v>
      </c>
      <c r="E2132" t="s">
        <v>8445</v>
      </c>
      <c r="F2132" t="s">
        <v>8448</v>
      </c>
      <c r="G2132" t="s">
        <v>8455</v>
      </c>
    </row>
    <row r="2133" spans="1:7">
      <c r="A2133" t="s">
        <v>4512</v>
      </c>
      <c r="B2133" t="s">
        <v>8287</v>
      </c>
      <c r="C2133" t="s">
        <v>8396</v>
      </c>
      <c r="D2133" t="s">
        <v>8405</v>
      </c>
      <c r="E2133" t="s">
        <v>8445</v>
      </c>
      <c r="F2133" t="s">
        <v>8448</v>
      </c>
      <c r="G2133" t="s">
        <v>8455</v>
      </c>
    </row>
    <row r="2134" spans="1:7">
      <c r="A2134" t="s">
        <v>4513</v>
      </c>
      <c r="B2134" t="s">
        <v>8273</v>
      </c>
      <c r="C2134" t="s">
        <v>8395</v>
      </c>
      <c r="D2134" t="s">
        <v>8425</v>
      </c>
      <c r="E2134" t="s">
        <v>8446</v>
      </c>
      <c r="F2134" t="s">
        <v>8449</v>
      </c>
      <c r="G2134" t="s">
        <v>8773</v>
      </c>
    </row>
    <row r="2135" spans="1:7">
      <c r="A2135" t="s">
        <v>4514</v>
      </c>
      <c r="B2135" t="s">
        <v>8278</v>
      </c>
      <c r="C2135" t="s">
        <v>8394</v>
      </c>
      <c r="D2135" t="s">
        <v>8423</v>
      </c>
      <c r="E2135" t="s">
        <v>8446</v>
      </c>
      <c r="F2135" t="s">
        <v>8449</v>
      </c>
      <c r="G2135" t="s">
        <v>8455</v>
      </c>
    </row>
    <row r="2136" spans="1:7">
      <c r="A2136" t="s">
        <v>4515</v>
      </c>
      <c r="B2136" t="s">
        <v>8273</v>
      </c>
      <c r="C2136" t="s">
        <v>8395</v>
      </c>
      <c r="D2136" t="s">
        <v>8411</v>
      </c>
      <c r="E2136" t="s">
        <v>8446</v>
      </c>
      <c r="F2136" t="s">
        <v>8448</v>
      </c>
      <c r="G2136" t="s">
        <v>8774</v>
      </c>
    </row>
    <row r="2137" spans="1:7">
      <c r="A2137" t="s">
        <v>4516</v>
      </c>
      <c r="B2137" t="s">
        <v>8273</v>
      </c>
      <c r="C2137" t="s">
        <v>8398</v>
      </c>
      <c r="D2137" t="s">
        <v>8419</v>
      </c>
      <c r="E2137" t="s">
        <v>8446</v>
      </c>
      <c r="F2137" t="s">
        <v>8449</v>
      </c>
      <c r="G2137" t="s">
        <v>8455</v>
      </c>
    </row>
    <row r="2138" spans="1:7">
      <c r="A2138" t="s">
        <v>4517</v>
      </c>
      <c r="B2138" t="s">
        <v>8273</v>
      </c>
      <c r="C2138" t="s">
        <v>8395</v>
      </c>
      <c r="D2138" t="s">
        <v>8400</v>
      </c>
      <c r="E2138" t="s">
        <v>8446</v>
      </c>
      <c r="F2138" t="s">
        <v>8449</v>
      </c>
      <c r="G2138" t="s">
        <v>8455</v>
      </c>
    </row>
    <row r="2139" spans="1:7">
      <c r="A2139" t="s">
        <v>4518</v>
      </c>
      <c r="C2139" t="s">
        <v>8397</v>
      </c>
      <c r="D2139" t="s">
        <v>8430</v>
      </c>
      <c r="E2139" t="s">
        <v>1519</v>
      </c>
      <c r="F2139" t="s">
        <v>8449</v>
      </c>
      <c r="G2139" t="s">
        <v>8455</v>
      </c>
    </row>
    <row r="2140" spans="1:7">
      <c r="A2140" t="s">
        <v>4519</v>
      </c>
      <c r="C2140" t="s">
        <v>8397</v>
      </c>
      <c r="D2140" t="s">
        <v>8408</v>
      </c>
      <c r="E2140" t="s">
        <v>8445</v>
      </c>
      <c r="F2140" t="s">
        <v>8450</v>
      </c>
      <c r="G2140" t="s">
        <v>8453</v>
      </c>
    </row>
    <row r="2141" spans="1:7">
      <c r="A2141" t="s">
        <v>4520</v>
      </c>
      <c r="B2141" t="s">
        <v>8273</v>
      </c>
      <c r="C2141" t="s">
        <v>8395</v>
      </c>
      <c r="D2141" t="s">
        <v>8414</v>
      </c>
      <c r="E2141" t="s">
        <v>8446</v>
      </c>
      <c r="F2141" t="s">
        <v>8449</v>
      </c>
      <c r="G2141" t="s">
        <v>8455</v>
      </c>
    </row>
    <row r="2142" spans="1:7">
      <c r="A2142" t="s">
        <v>4521</v>
      </c>
      <c r="C2142" t="s">
        <v>8397</v>
      </c>
      <c r="D2142" t="s">
        <v>8421</v>
      </c>
      <c r="E2142" t="s">
        <v>1587</v>
      </c>
      <c r="F2142" t="s">
        <v>8448</v>
      </c>
      <c r="G2142" t="s">
        <v>795</v>
      </c>
    </row>
    <row r="2143" spans="1:7">
      <c r="A2143" t="s">
        <v>4522</v>
      </c>
      <c r="B2143" t="s">
        <v>8273</v>
      </c>
      <c r="C2143" t="s">
        <v>8392</v>
      </c>
      <c r="D2143" t="s">
        <v>8400</v>
      </c>
      <c r="E2143" t="s">
        <v>8446</v>
      </c>
      <c r="F2143" t="s">
        <v>8449</v>
      </c>
      <c r="G2143" t="s">
        <v>8455</v>
      </c>
    </row>
    <row r="2144" spans="1:7">
      <c r="A2144" t="s">
        <v>4523</v>
      </c>
      <c r="C2144" t="s">
        <v>8392</v>
      </c>
      <c r="D2144" t="s">
        <v>8400</v>
      </c>
      <c r="E2144" t="s">
        <v>8446</v>
      </c>
      <c r="F2144" t="s">
        <v>8449</v>
      </c>
      <c r="G2144" t="s">
        <v>796</v>
      </c>
    </row>
    <row r="2145" spans="1:7">
      <c r="A2145" t="s">
        <v>4524</v>
      </c>
      <c r="B2145" t="s">
        <v>8273</v>
      </c>
      <c r="C2145" t="s">
        <v>8392</v>
      </c>
      <c r="D2145" t="s">
        <v>8415</v>
      </c>
      <c r="E2145" t="s">
        <v>8445</v>
      </c>
      <c r="F2145" t="s">
        <v>8448</v>
      </c>
      <c r="G2145" t="s">
        <v>8775</v>
      </c>
    </row>
    <row r="2146" spans="1:7">
      <c r="A2146" t="s">
        <v>4525</v>
      </c>
      <c r="C2146" t="s">
        <v>8396</v>
      </c>
      <c r="D2146" t="s">
        <v>8411</v>
      </c>
      <c r="E2146" t="s">
        <v>8445</v>
      </c>
      <c r="F2146" t="s">
        <v>8449</v>
      </c>
      <c r="G2146" t="s">
        <v>795</v>
      </c>
    </row>
    <row r="2147" spans="1:7">
      <c r="A2147" t="s">
        <v>4526</v>
      </c>
      <c r="B2147" t="s">
        <v>8273</v>
      </c>
      <c r="C2147" t="s">
        <v>8394</v>
      </c>
      <c r="D2147" t="s">
        <v>8407</v>
      </c>
      <c r="E2147" t="s">
        <v>8444</v>
      </c>
      <c r="F2147" t="s">
        <v>8448</v>
      </c>
      <c r="G2147" t="s">
        <v>795</v>
      </c>
    </row>
    <row r="2148" spans="1:7">
      <c r="A2148" t="s">
        <v>4527</v>
      </c>
      <c r="C2148" t="s">
        <v>8397</v>
      </c>
      <c r="D2148" t="s">
        <v>8418</v>
      </c>
      <c r="E2148" t="s">
        <v>8444</v>
      </c>
      <c r="F2148" t="s">
        <v>8450</v>
      </c>
      <c r="G2148" t="s">
        <v>8776</v>
      </c>
    </row>
    <row r="2149" spans="1:7">
      <c r="A2149" t="s">
        <v>4528</v>
      </c>
      <c r="C2149" t="s">
        <v>8398</v>
      </c>
      <c r="D2149" t="s">
        <v>8409</v>
      </c>
      <c r="E2149" t="s">
        <v>8444</v>
      </c>
      <c r="F2149" t="s">
        <v>8448</v>
      </c>
      <c r="G2149" t="s">
        <v>8494</v>
      </c>
    </row>
    <row r="2150" spans="1:7">
      <c r="A2150" t="s">
        <v>4529</v>
      </c>
      <c r="B2150" t="s">
        <v>8299</v>
      </c>
      <c r="C2150" t="s">
        <v>8397</v>
      </c>
      <c r="D2150" t="s">
        <v>8431</v>
      </c>
      <c r="E2150" t="s">
        <v>1519</v>
      </c>
      <c r="F2150" t="s">
        <v>8448</v>
      </c>
      <c r="G2150" t="s">
        <v>8455</v>
      </c>
    </row>
    <row r="2151" spans="1:7">
      <c r="A2151" t="s">
        <v>4530</v>
      </c>
      <c r="B2151" t="s">
        <v>8273</v>
      </c>
      <c r="C2151" t="s">
        <v>8398</v>
      </c>
      <c r="D2151" t="s">
        <v>8419</v>
      </c>
      <c r="E2151" t="s">
        <v>1519</v>
      </c>
      <c r="F2151" t="s">
        <v>8449</v>
      </c>
      <c r="G2151" t="s">
        <v>8455</v>
      </c>
    </row>
    <row r="2152" spans="1:7">
      <c r="A2152" t="s">
        <v>4531</v>
      </c>
      <c r="B2152" t="s">
        <v>8273</v>
      </c>
      <c r="C2152" t="s">
        <v>8398</v>
      </c>
      <c r="D2152" t="s">
        <v>8419</v>
      </c>
      <c r="E2152" t="s">
        <v>8446</v>
      </c>
      <c r="F2152" t="s">
        <v>8449</v>
      </c>
      <c r="G2152" t="s">
        <v>8455</v>
      </c>
    </row>
    <row r="2153" spans="1:7">
      <c r="A2153" t="s">
        <v>4532</v>
      </c>
      <c r="C2153" t="s">
        <v>8394</v>
      </c>
      <c r="D2153" t="s">
        <v>8401</v>
      </c>
      <c r="E2153" t="s">
        <v>8445</v>
      </c>
      <c r="F2153" t="s">
        <v>8450</v>
      </c>
      <c r="G2153" t="s">
        <v>8777</v>
      </c>
    </row>
    <row r="2154" spans="1:7">
      <c r="A2154" t="s">
        <v>4533</v>
      </c>
      <c r="B2154" t="s">
        <v>8273</v>
      </c>
      <c r="C2154" t="s">
        <v>8396</v>
      </c>
      <c r="D2154" t="s">
        <v>8405</v>
      </c>
      <c r="E2154" t="s">
        <v>8446</v>
      </c>
      <c r="F2154" t="s">
        <v>8449</v>
      </c>
      <c r="G2154" t="s">
        <v>8455</v>
      </c>
    </row>
    <row r="2155" spans="1:7">
      <c r="A2155" t="s">
        <v>4534</v>
      </c>
      <c r="C2155" t="s">
        <v>8392</v>
      </c>
      <c r="D2155" t="s">
        <v>8415</v>
      </c>
      <c r="E2155" t="s">
        <v>8445</v>
      </c>
      <c r="F2155" t="s">
        <v>8448</v>
      </c>
      <c r="G2155" t="s">
        <v>8778</v>
      </c>
    </row>
    <row r="2156" spans="1:7">
      <c r="A2156" t="s">
        <v>4535</v>
      </c>
      <c r="C2156" t="s">
        <v>8392</v>
      </c>
      <c r="D2156" t="s">
        <v>8400</v>
      </c>
      <c r="E2156" t="s">
        <v>1587</v>
      </c>
      <c r="F2156" t="s">
        <v>8447</v>
      </c>
      <c r="G2156" t="s">
        <v>8493</v>
      </c>
    </row>
    <row r="2157" spans="1:7">
      <c r="A2157" t="s">
        <v>4536</v>
      </c>
      <c r="B2157" t="s">
        <v>8273</v>
      </c>
      <c r="C2157" t="s">
        <v>8394</v>
      </c>
      <c r="D2157" t="s">
        <v>8401</v>
      </c>
      <c r="E2157" t="s">
        <v>8445</v>
      </c>
      <c r="F2157" t="s">
        <v>8448</v>
      </c>
      <c r="G2157" t="s">
        <v>8455</v>
      </c>
    </row>
    <row r="2158" spans="1:7">
      <c r="A2158" t="s">
        <v>4537</v>
      </c>
      <c r="C2158" t="s">
        <v>8393</v>
      </c>
      <c r="D2158" t="s">
        <v>8393</v>
      </c>
      <c r="E2158" t="s">
        <v>919</v>
      </c>
      <c r="F2158" t="s">
        <v>8393</v>
      </c>
    </row>
    <row r="2159" spans="1:7">
      <c r="A2159" t="s">
        <v>4538</v>
      </c>
      <c r="B2159" t="s">
        <v>8273</v>
      </c>
      <c r="C2159" t="s">
        <v>8396</v>
      </c>
      <c r="D2159" t="s">
        <v>8420</v>
      </c>
      <c r="E2159" t="s">
        <v>8446</v>
      </c>
      <c r="F2159" t="s">
        <v>8449</v>
      </c>
      <c r="G2159" t="s">
        <v>8455</v>
      </c>
    </row>
    <row r="2160" spans="1:7">
      <c r="A2160" t="s">
        <v>4539</v>
      </c>
      <c r="B2160" t="s">
        <v>8287</v>
      </c>
      <c r="C2160" t="s">
        <v>8392</v>
      </c>
      <c r="D2160" t="s">
        <v>8400</v>
      </c>
      <c r="E2160" t="s">
        <v>8446</v>
      </c>
      <c r="F2160" t="s">
        <v>8449</v>
      </c>
      <c r="G2160" t="s">
        <v>8455</v>
      </c>
    </row>
    <row r="2161" spans="1:7">
      <c r="A2161" t="s">
        <v>4540</v>
      </c>
      <c r="C2161" t="s">
        <v>8393</v>
      </c>
      <c r="D2161" t="s">
        <v>8393</v>
      </c>
      <c r="E2161" t="s">
        <v>919</v>
      </c>
      <c r="F2161" t="s">
        <v>8393</v>
      </c>
    </row>
    <row r="2162" spans="1:7">
      <c r="A2162" t="s">
        <v>4541</v>
      </c>
      <c r="B2162" t="s">
        <v>8273</v>
      </c>
      <c r="C2162" t="s">
        <v>8396</v>
      </c>
      <c r="D2162" t="s">
        <v>8420</v>
      </c>
      <c r="E2162" t="s">
        <v>8446</v>
      </c>
      <c r="F2162" t="s">
        <v>8449</v>
      </c>
      <c r="G2162" t="s">
        <v>8779</v>
      </c>
    </row>
    <row r="2163" spans="1:7">
      <c r="A2163" t="s">
        <v>4542</v>
      </c>
      <c r="B2163" t="s">
        <v>8277</v>
      </c>
      <c r="C2163" t="s">
        <v>8396</v>
      </c>
      <c r="D2163" t="s">
        <v>8420</v>
      </c>
      <c r="E2163" t="s">
        <v>8446</v>
      </c>
      <c r="F2163" t="s">
        <v>8449</v>
      </c>
      <c r="G2163" t="s">
        <v>8455</v>
      </c>
    </row>
    <row r="2164" spans="1:7">
      <c r="A2164" t="s">
        <v>4543</v>
      </c>
      <c r="B2164" t="s">
        <v>8273</v>
      </c>
      <c r="C2164" t="s">
        <v>8398</v>
      </c>
      <c r="D2164" t="s">
        <v>8410</v>
      </c>
      <c r="E2164" t="s">
        <v>8444</v>
      </c>
      <c r="F2164" t="s">
        <v>8449</v>
      </c>
      <c r="G2164" t="s">
        <v>8780</v>
      </c>
    </row>
    <row r="2165" spans="1:7">
      <c r="A2165" t="s">
        <v>4544</v>
      </c>
      <c r="B2165" t="s">
        <v>8299</v>
      </c>
      <c r="C2165" t="s">
        <v>8397</v>
      </c>
      <c r="D2165" t="s">
        <v>8431</v>
      </c>
      <c r="E2165" t="s">
        <v>1519</v>
      </c>
      <c r="F2165" t="s">
        <v>8448</v>
      </c>
      <c r="G2165" t="s">
        <v>8494</v>
      </c>
    </row>
    <row r="2166" spans="1:7">
      <c r="A2166" t="s">
        <v>4545</v>
      </c>
      <c r="B2166" t="s">
        <v>8295</v>
      </c>
      <c r="C2166" t="s">
        <v>8398</v>
      </c>
      <c r="D2166" t="s">
        <v>8419</v>
      </c>
      <c r="E2166" t="s">
        <v>8446</v>
      </c>
      <c r="F2166" t="s">
        <v>8449</v>
      </c>
      <c r="G2166" t="s">
        <v>8453</v>
      </c>
    </row>
    <row r="2167" spans="1:7">
      <c r="A2167" t="s">
        <v>4546</v>
      </c>
      <c r="B2167" t="s">
        <v>8299</v>
      </c>
      <c r="C2167" t="s">
        <v>8397</v>
      </c>
      <c r="D2167" t="s">
        <v>8430</v>
      </c>
      <c r="E2167" t="s">
        <v>1519</v>
      </c>
      <c r="F2167" t="s">
        <v>8448</v>
      </c>
      <c r="G2167" t="s">
        <v>8463</v>
      </c>
    </row>
    <row r="2168" spans="1:7">
      <c r="A2168" t="s">
        <v>4547</v>
      </c>
      <c r="B2168" t="s">
        <v>8299</v>
      </c>
      <c r="C2168" t="s">
        <v>8397</v>
      </c>
      <c r="D2168" t="s">
        <v>8431</v>
      </c>
      <c r="E2168" t="s">
        <v>1587</v>
      </c>
      <c r="F2168" t="s">
        <v>8447</v>
      </c>
      <c r="G2168" t="s">
        <v>8474</v>
      </c>
    </row>
    <row r="2169" spans="1:7">
      <c r="A2169" t="s">
        <v>4548</v>
      </c>
      <c r="B2169" t="s">
        <v>8273</v>
      </c>
      <c r="C2169" t="s">
        <v>8395</v>
      </c>
      <c r="D2169" t="s">
        <v>8411</v>
      </c>
      <c r="E2169" t="s">
        <v>8446</v>
      </c>
      <c r="F2169" t="s">
        <v>8448</v>
      </c>
      <c r="G2169" t="s">
        <v>8519</v>
      </c>
    </row>
    <row r="2170" spans="1:7">
      <c r="A2170" t="s">
        <v>4549</v>
      </c>
      <c r="B2170" t="s">
        <v>8273</v>
      </c>
      <c r="C2170" t="s">
        <v>8395</v>
      </c>
      <c r="D2170" t="s">
        <v>8414</v>
      </c>
      <c r="E2170" t="s">
        <v>8446</v>
      </c>
      <c r="F2170" t="s">
        <v>8449</v>
      </c>
      <c r="G2170" t="s">
        <v>8455</v>
      </c>
    </row>
    <row r="2171" spans="1:7">
      <c r="A2171" t="s">
        <v>4550</v>
      </c>
      <c r="B2171" t="s">
        <v>8273</v>
      </c>
      <c r="C2171" t="s">
        <v>8395</v>
      </c>
      <c r="D2171" t="s">
        <v>8402</v>
      </c>
      <c r="E2171" t="s">
        <v>8446</v>
      </c>
      <c r="F2171" t="s">
        <v>8449</v>
      </c>
      <c r="G2171" t="s">
        <v>8455</v>
      </c>
    </row>
    <row r="2172" spans="1:7">
      <c r="A2172" t="s">
        <v>4551</v>
      </c>
      <c r="B2172" t="s">
        <v>8273</v>
      </c>
      <c r="C2172" t="s">
        <v>8395</v>
      </c>
      <c r="D2172" t="s">
        <v>8403</v>
      </c>
      <c r="E2172" t="s">
        <v>8446</v>
      </c>
      <c r="F2172" t="s">
        <v>8449</v>
      </c>
      <c r="G2172" t="s">
        <v>8455</v>
      </c>
    </row>
    <row r="2173" spans="1:7">
      <c r="A2173" t="s">
        <v>4552</v>
      </c>
      <c r="B2173" t="s">
        <v>8273</v>
      </c>
      <c r="C2173" t="s">
        <v>8396</v>
      </c>
      <c r="D2173" t="s">
        <v>8405</v>
      </c>
      <c r="E2173" t="s">
        <v>8444</v>
      </c>
      <c r="F2173" t="s">
        <v>8449</v>
      </c>
      <c r="G2173" t="s">
        <v>8455</v>
      </c>
    </row>
    <row r="2174" spans="1:7">
      <c r="A2174" t="s">
        <v>4553</v>
      </c>
      <c r="B2174" t="s">
        <v>8273</v>
      </c>
      <c r="C2174" t="s">
        <v>8396</v>
      </c>
      <c r="D2174" t="s">
        <v>8405</v>
      </c>
      <c r="E2174" t="s">
        <v>8446</v>
      </c>
      <c r="F2174" t="s">
        <v>8449</v>
      </c>
      <c r="G2174" t="s">
        <v>8455</v>
      </c>
    </row>
    <row r="2175" spans="1:7">
      <c r="A2175" t="s">
        <v>4554</v>
      </c>
      <c r="B2175" t="s">
        <v>8273</v>
      </c>
      <c r="C2175" t="s">
        <v>8396</v>
      </c>
      <c r="D2175" t="s">
        <v>8425</v>
      </c>
      <c r="E2175" t="s">
        <v>1519</v>
      </c>
      <c r="F2175" t="s">
        <v>8449</v>
      </c>
      <c r="G2175" t="s">
        <v>8455</v>
      </c>
    </row>
    <row r="2176" spans="1:7">
      <c r="A2176" t="s">
        <v>4555</v>
      </c>
      <c r="B2176" t="s">
        <v>8273</v>
      </c>
      <c r="C2176" t="s">
        <v>8395</v>
      </c>
      <c r="D2176" t="s">
        <v>8411</v>
      </c>
      <c r="E2176" t="s">
        <v>8445</v>
      </c>
      <c r="F2176" t="s">
        <v>8448</v>
      </c>
      <c r="G2176" t="s">
        <v>8463</v>
      </c>
    </row>
    <row r="2177" spans="1:7">
      <c r="A2177" t="s">
        <v>4556</v>
      </c>
      <c r="B2177" t="s">
        <v>8273</v>
      </c>
      <c r="C2177" t="s">
        <v>8395</v>
      </c>
      <c r="D2177" t="s">
        <v>8404</v>
      </c>
      <c r="E2177" t="s">
        <v>8446</v>
      </c>
      <c r="F2177" t="s">
        <v>8449</v>
      </c>
      <c r="G2177" t="s">
        <v>796</v>
      </c>
    </row>
    <row r="2178" spans="1:7">
      <c r="A2178" t="s">
        <v>4557</v>
      </c>
      <c r="B2178" t="s">
        <v>8299</v>
      </c>
      <c r="C2178" t="s">
        <v>8397</v>
      </c>
      <c r="D2178" t="s">
        <v>8431</v>
      </c>
      <c r="E2178" t="s">
        <v>1519</v>
      </c>
      <c r="F2178" t="s">
        <v>8448</v>
      </c>
      <c r="G2178" t="s">
        <v>8455</v>
      </c>
    </row>
    <row r="2179" spans="1:7">
      <c r="A2179" t="s">
        <v>4558</v>
      </c>
      <c r="B2179" t="s">
        <v>8299</v>
      </c>
      <c r="C2179" t="s">
        <v>8397</v>
      </c>
      <c r="D2179" t="s">
        <v>8430</v>
      </c>
      <c r="E2179" t="s">
        <v>1519</v>
      </c>
      <c r="F2179" t="s">
        <v>8448</v>
      </c>
      <c r="G2179" t="s">
        <v>8781</v>
      </c>
    </row>
    <row r="2180" spans="1:7">
      <c r="A2180" t="s">
        <v>4559</v>
      </c>
      <c r="C2180" t="s">
        <v>8392</v>
      </c>
      <c r="D2180" t="s">
        <v>8400</v>
      </c>
      <c r="E2180" t="s">
        <v>1519</v>
      </c>
      <c r="F2180" t="s">
        <v>8449</v>
      </c>
      <c r="G2180" t="s">
        <v>8782</v>
      </c>
    </row>
    <row r="2181" spans="1:7">
      <c r="A2181" t="s">
        <v>783</v>
      </c>
      <c r="C2181" t="s">
        <v>8392</v>
      </c>
      <c r="D2181" t="s">
        <v>8400</v>
      </c>
      <c r="E2181" t="s">
        <v>1587</v>
      </c>
      <c r="F2181" t="s">
        <v>8448</v>
      </c>
      <c r="G2181" t="s">
        <v>799</v>
      </c>
    </row>
    <row r="2182" spans="1:7">
      <c r="A2182" t="s">
        <v>4560</v>
      </c>
      <c r="C2182" t="s">
        <v>8392</v>
      </c>
      <c r="D2182" t="s">
        <v>8400</v>
      </c>
      <c r="E2182" t="s">
        <v>1587</v>
      </c>
      <c r="F2182" t="s">
        <v>8449</v>
      </c>
      <c r="G2182" t="s">
        <v>795</v>
      </c>
    </row>
    <row r="2183" spans="1:7">
      <c r="A2183" t="s">
        <v>4561</v>
      </c>
      <c r="B2183" t="s">
        <v>8273</v>
      </c>
      <c r="C2183" t="s">
        <v>8395</v>
      </c>
      <c r="D2183" t="s">
        <v>8402</v>
      </c>
      <c r="E2183" t="s">
        <v>1519</v>
      </c>
      <c r="F2183" t="s">
        <v>8449</v>
      </c>
      <c r="G2183" t="s">
        <v>8455</v>
      </c>
    </row>
    <row r="2184" spans="1:7">
      <c r="A2184" t="s">
        <v>4562</v>
      </c>
      <c r="B2184" t="s">
        <v>8273</v>
      </c>
      <c r="C2184" t="s">
        <v>8398</v>
      </c>
      <c r="D2184" t="s">
        <v>8419</v>
      </c>
      <c r="E2184" t="s">
        <v>1587</v>
      </c>
      <c r="F2184" t="s">
        <v>8448</v>
      </c>
      <c r="G2184" t="s">
        <v>8463</v>
      </c>
    </row>
    <row r="2185" spans="1:7">
      <c r="A2185" t="s">
        <v>4563</v>
      </c>
      <c r="C2185" t="s">
        <v>8393</v>
      </c>
      <c r="D2185" t="s">
        <v>8393</v>
      </c>
      <c r="E2185" t="s">
        <v>919</v>
      </c>
      <c r="F2185" t="s">
        <v>8393</v>
      </c>
    </row>
    <row r="2186" spans="1:7">
      <c r="A2186" t="s">
        <v>4564</v>
      </c>
      <c r="B2186" t="s">
        <v>8273</v>
      </c>
      <c r="C2186" t="s">
        <v>8392</v>
      </c>
      <c r="D2186" t="s">
        <v>8415</v>
      </c>
      <c r="E2186" t="s">
        <v>1519</v>
      </c>
      <c r="F2186" t="s">
        <v>8449</v>
      </c>
      <c r="G2186" t="s">
        <v>8455</v>
      </c>
    </row>
    <row r="2187" spans="1:7">
      <c r="A2187" t="s">
        <v>4565</v>
      </c>
      <c r="B2187" t="s">
        <v>8277</v>
      </c>
      <c r="C2187" t="s">
        <v>8392</v>
      </c>
      <c r="D2187" t="s">
        <v>8415</v>
      </c>
      <c r="E2187" t="s">
        <v>8444</v>
      </c>
      <c r="F2187" t="s">
        <v>8449</v>
      </c>
      <c r="G2187" t="s">
        <v>8455</v>
      </c>
    </row>
    <row r="2188" spans="1:7">
      <c r="A2188" t="s">
        <v>4566</v>
      </c>
      <c r="C2188" t="s">
        <v>8393</v>
      </c>
      <c r="D2188" t="s">
        <v>8393</v>
      </c>
      <c r="E2188" t="s">
        <v>919</v>
      </c>
      <c r="F2188" t="s">
        <v>8393</v>
      </c>
    </row>
    <row r="2189" spans="1:7">
      <c r="A2189" t="s">
        <v>4567</v>
      </c>
      <c r="B2189" t="s">
        <v>8275</v>
      </c>
      <c r="C2189" t="s">
        <v>8395</v>
      </c>
      <c r="D2189" t="s">
        <v>8420</v>
      </c>
      <c r="E2189" t="s">
        <v>8445</v>
      </c>
      <c r="F2189" t="s">
        <v>8449</v>
      </c>
      <c r="G2189" t="s">
        <v>8783</v>
      </c>
    </row>
    <row r="2190" spans="1:7">
      <c r="A2190" t="s">
        <v>4568</v>
      </c>
      <c r="B2190" t="s">
        <v>8282</v>
      </c>
      <c r="C2190" t="s">
        <v>8395</v>
      </c>
      <c r="D2190" t="s">
        <v>8420</v>
      </c>
      <c r="E2190" t="s">
        <v>8445</v>
      </c>
      <c r="F2190" t="s">
        <v>8449</v>
      </c>
      <c r="G2190" t="s">
        <v>8453</v>
      </c>
    </row>
    <row r="2191" spans="1:7">
      <c r="A2191" t="s">
        <v>4569</v>
      </c>
      <c r="B2191" t="s">
        <v>8282</v>
      </c>
      <c r="C2191" t="s">
        <v>8395</v>
      </c>
      <c r="D2191" t="s">
        <v>8400</v>
      </c>
      <c r="E2191" t="s">
        <v>1519</v>
      </c>
      <c r="F2191" t="s">
        <v>8449</v>
      </c>
      <c r="G2191" t="s">
        <v>796</v>
      </c>
    </row>
    <row r="2192" spans="1:7">
      <c r="A2192" t="s">
        <v>4570</v>
      </c>
      <c r="B2192" t="s">
        <v>8275</v>
      </c>
      <c r="C2192" t="s">
        <v>8396</v>
      </c>
      <c r="D2192" t="s">
        <v>8420</v>
      </c>
      <c r="E2192" t="s">
        <v>8445</v>
      </c>
      <c r="F2192" t="s">
        <v>8449</v>
      </c>
      <c r="G2192" t="s">
        <v>8750</v>
      </c>
    </row>
    <row r="2193" spans="1:7">
      <c r="A2193" t="s">
        <v>4571</v>
      </c>
      <c r="B2193" t="s">
        <v>8273</v>
      </c>
      <c r="C2193" t="s">
        <v>8392</v>
      </c>
      <c r="D2193" t="s">
        <v>8415</v>
      </c>
      <c r="E2193" t="s">
        <v>1519</v>
      </c>
      <c r="F2193" t="s">
        <v>8449</v>
      </c>
      <c r="G2193" t="s">
        <v>8453</v>
      </c>
    </row>
    <row r="2194" spans="1:7">
      <c r="A2194" t="s">
        <v>4572</v>
      </c>
      <c r="B2194" t="s">
        <v>8273</v>
      </c>
      <c r="C2194" t="s">
        <v>8396</v>
      </c>
      <c r="D2194" t="s">
        <v>8425</v>
      </c>
      <c r="E2194" t="s">
        <v>1519</v>
      </c>
      <c r="F2194" t="s">
        <v>8448</v>
      </c>
      <c r="G2194" t="s">
        <v>8463</v>
      </c>
    </row>
    <row r="2195" spans="1:7">
      <c r="A2195" t="s">
        <v>4573</v>
      </c>
      <c r="C2195" t="s">
        <v>8394</v>
      </c>
      <c r="D2195" t="s">
        <v>8402</v>
      </c>
      <c r="E2195" t="s">
        <v>8445</v>
      </c>
      <c r="F2195" t="s">
        <v>8448</v>
      </c>
      <c r="G2195" t="s">
        <v>8784</v>
      </c>
    </row>
    <row r="2196" spans="1:7">
      <c r="A2196" t="s">
        <v>4574</v>
      </c>
      <c r="B2196" t="s">
        <v>8273</v>
      </c>
      <c r="C2196" t="s">
        <v>8398</v>
      </c>
      <c r="D2196" t="s">
        <v>8409</v>
      </c>
      <c r="E2196" t="s">
        <v>8444</v>
      </c>
      <c r="F2196" t="s">
        <v>8448</v>
      </c>
      <c r="G2196" t="s">
        <v>8785</v>
      </c>
    </row>
    <row r="2197" spans="1:7">
      <c r="A2197" t="s">
        <v>4575</v>
      </c>
      <c r="B2197" t="s">
        <v>8273</v>
      </c>
      <c r="C2197" t="s">
        <v>8397</v>
      </c>
      <c r="D2197" t="s">
        <v>8421</v>
      </c>
      <c r="E2197" t="s">
        <v>1587</v>
      </c>
      <c r="F2197" t="s">
        <v>8448</v>
      </c>
      <c r="G2197" t="s">
        <v>796</v>
      </c>
    </row>
    <row r="2198" spans="1:7">
      <c r="A2198" t="s">
        <v>4576</v>
      </c>
      <c r="B2198" t="s">
        <v>8273</v>
      </c>
      <c r="C2198" t="s">
        <v>8398</v>
      </c>
      <c r="D2198" t="s">
        <v>8409</v>
      </c>
      <c r="E2198" t="s">
        <v>8445</v>
      </c>
      <c r="F2198" t="s">
        <v>8448</v>
      </c>
      <c r="G2198" t="s">
        <v>8786</v>
      </c>
    </row>
    <row r="2199" spans="1:7">
      <c r="A2199" t="s">
        <v>4577</v>
      </c>
      <c r="C2199" t="s">
        <v>8394</v>
      </c>
      <c r="D2199" t="s">
        <v>8401</v>
      </c>
      <c r="E2199" t="s">
        <v>8445</v>
      </c>
      <c r="F2199" t="s">
        <v>8448</v>
      </c>
      <c r="G2199" t="s">
        <v>8463</v>
      </c>
    </row>
    <row r="2200" spans="1:7">
      <c r="A2200" t="s">
        <v>4578</v>
      </c>
      <c r="B2200" t="s">
        <v>8273</v>
      </c>
      <c r="C2200" t="s">
        <v>8395</v>
      </c>
      <c r="D2200" t="s">
        <v>8402</v>
      </c>
      <c r="E2200" t="s">
        <v>8446</v>
      </c>
      <c r="F2200" t="s">
        <v>8449</v>
      </c>
      <c r="G2200" t="s">
        <v>8455</v>
      </c>
    </row>
    <row r="2201" spans="1:7">
      <c r="A2201" t="s">
        <v>4579</v>
      </c>
      <c r="C2201" t="s">
        <v>8393</v>
      </c>
      <c r="D2201" t="s">
        <v>8393</v>
      </c>
      <c r="E2201" t="s">
        <v>919</v>
      </c>
      <c r="F2201" t="s">
        <v>8393</v>
      </c>
    </row>
    <row r="2202" spans="1:7">
      <c r="A2202" t="s">
        <v>4580</v>
      </c>
      <c r="B2202" t="s">
        <v>8273</v>
      </c>
      <c r="C2202" t="s">
        <v>8395</v>
      </c>
      <c r="D2202" t="s">
        <v>8420</v>
      </c>
      <c r="E2202" t="s">
        <v>8446</v>
      </c>
      <c r="F2202" t="s">
        <v>8448</v>
      </c>
      <c r="G2202" t="s">
        <v>8787</v>
      </c>
    </row>
    <row r="2203" spans="1:7">
      <c r="A2203" t="s">
        <v>4581</v>
      </c>
      <c r="B2203" t="s">
        <v>8287</v>
      </c>
      <c r="C2203" t="s">
        <v>8395</v>
      </c>
      <c r="D2203" t="s">
        <v>8420</v>
      </c>
      <c r="E2203" t="s">
        <v>8446</v>
      </c>
      <c r="F2203" t="s">
        <v>8448</v>
      </c>
      <c r="G2203" t="s">
        <v>796</v>
      </c>
    </row>
    <row r="2204" spans="1:7">
      <c r="A2204" t="s">
        <v>4582</v>
      </c>
      <c r="C2204" t="s">
        <v>8393</v>
      </c>
      <c r="D2204" t="s">
        <v>8393</v>
      </c>
      <c r="E2204" t="s">
        <v>919</v>
      </c>
      <c r="F2204" t="s">
        <v>8393</v>
      </c>
    </row>
    <row r="2205" spans="1:7">
      <c r="A2205" t="s">
        <v>4583</v>
      </c>
      <c r="C2205" t="s">
        <v>8397</v>
      </c>
      <c r="D2205" t="s">
        <v>8418</v>
      </c>
      <c r="E2205" t="s">
        <v>8445</v>
      </c>
      <c r="F2205" t="s">
        <v>8447</v>
      </c>
      <c r="G2205" t="s">
        <v>8788</v>
      </c>
    </row>
    <row r="2206" spans="1:7">
      <c r="A2206" t="s">
        <v>4584</v>
      </c>
      <c r="C2206" t="s">
        <v>8397</v>
      </c>
      <c r="D2206" t="s">
        <v>8418</v>
      </c>
      <c r="E2206" t="s">
        <v>8445</v>
      </c>
      <c r="F2206" t="s">
        <v>8447</v>
      </c>
      <c r="G2206" t="s">
        <v>8788</v>
      </c>
    </row>
    <row r="2207" spans="1:7">
      <c r="A2207" t="s">
        <v>4585</v>
      </c>
      <c r="C2207" t="s">
        <v>8397</v>
      </c>
      <c r="D2207" t="s">
        <v>8418</v>
      </c>
      <c r="E2207" t="s">
        <v>8445</v>
      </c>
      <c r="F2207" t="s">
        <v>8447</v>
      </c>
      <c r="G2207" t="s">
        <v>8788</v>
      </c>
    </row>
    <row r="2208" spans="1:7">
      <c r="A2208" t="s">
        <v>4586</v>
      </c>
      <c r="C2208" t="s">
        <v>8397</v>
      </c>
      <c r="D2208" t="s">
        <v>8418</v>
      </c>
      <c r="E2208" t="s">
        <v>8445</v>
      </c>
      <c r="F2208" t="s">
        <v>8447</v>
      </c>
      <c r="G2208" t="s">
        <v>8788</v>
      </c>
    </row>
    <row r="2209" spans="1:7">
      <c r="A2209" t="s">
        <v>4587</v>
      </c>
      <c r="C2209" t="s">
        <v>8397</v>
      </c>
      <c r="D2209" t="s">
        <v>8418</v>
      </c>
      <c r="E2209" t="s">
        <v>8445</v>
      </c>
      <c r="F2209" t="s">
        <v>8447</v>
      </c>
      <c r="G2209" t="s">
        <v>8788</v>
      </c>
    </row>
    <row r="2210" spans="1:7">
      <c r="A2210" t="s">
        <v>4588</v>
      </c>
      <c r="C2210" t="s">
        <v>8397</v>
      </c>
      <c r="D2210" t="s">
        <v>8431</v>
      </c>
      <c r="E2210" t="s">
        <v>1587</v>
      </c>
      <c r="F2210" t="s">
        <v>8448</v>
      </c>
      <c r="G2210" t="s">
        <v>8463</v>
      </c>
    </row>
    <row r="2211" spans="1:7">
      <c r="A2211" t="s">
        <v>4589</v>
      </c>
      <c r="C2211" t="s">
        <v>8397</v>
      </c>
      <c r="D2211" t="s">
        <v>8421</v>
      </c>
      <c r="E2211" t="s">
        <v>8445</v>
      </c>
      <c r="F2211" t="s">
        <v>8448</v>
      </c>
      <c r="G2211" t="s">
        <v>8789</v>
      </c>
    </row>
    <row r="2212" spans="1:7">
      <c r="A2212" t="s">
        <v>4590</v>
      </c>
      <c r="C2212" t="s">
        <v>8394</v>
      </c>
      <c r="D2212" t="s">
        <v>8424</v>
      </c>
      <c r="E2212" t="s">
        <v>8445</v>
      </c>
      <c r="F2212" t="s">
        <v>8448</v>
      </c>
      <c r="G2212" t="s">
        <v>8790</v>
      </c>
    </row>
    <row r="2213" spans="1:7">
      <c r="A2213" t="s">
        <v>4591</v>
      </c>
      <c r="C2213" t="s">
        <v>8394</v>
      </c>
      <c r="D2213" t="s">
        <v>8413</v>
      </c>
      <c r="E2213" t="s">
        <v>8445</v>
      </c>
      <c r="F2213" t="s">
        <v>8448</v>
      </c>
      <c r="G2213" t="s">
        <v>8791</v>
      </c>
    </row>
    <row r="2214" spans="1:7">
      <c r="A2214" t="s">
        <v>4592</v>
      </c>
      <c r="C2214" t="s">
        <v>8394</v>
      </c>
      <c r="D2214" t="s">
        <v>8413</v>
      </c>
      <c r="E2214" t="s">
        <v>8445</v>
      </c>
      <c r="F2214" t="s">
        <v>8448</v>
      </c>
      <c r="G2214" t="s">
        <v>8792</v>
      </c>
    </row>
    <row r="2215" spans="1:7">
      <c r="A2215" t="s">
        <v>4593</v>
      </c>
      <c r="C2215" t="s">
        <v>8394</v>
      </c>
      <c r="D2215" t="s">
        <v>8413</v>
      </c>
      <c r="E2215" t="s">
        <v>8445</v>
      </c>
      <c r="F2215" t="s">
        <v>8448</v>
      </c>
      <c r="G2215" t="s">
        <v>8793</v>
      </c>
    </row>
    <row r="2216" spans="1:7">
      <c r="A2216" t="s">
        <v>4594</v>
      </c>
      <c r="B2216" t="s">
        <v>8273</v>
      </c>
      <c r="C2216" t="s">
        <v>8394</v>
      </c>
      <c r="D2216" t="s">
        <v>8413</v>
      </c>
      <c r="E2216" t="s">
        <v>8445</v>
      </c>
      <c r="F2216" t="s">
        <v>8448</v>
      </c>
      <c r="G2216" t="s">
        <v>8794</v>
      </c>
    </row>
    <row r="2217" spans="1:7">
      <c r="A2217" t="s">
        <v>4595</v>
      </c>
      <c r="C2217" t="s">
        <v>8394</v>
      </c>
      <c r="D2217" t="s">
        <v>8413</v>
      </c>
      <c r="E2217" t="s">
        <v>8445</v>
      </c>
      <c r="F2217" t="s">
        <v>8448</v>
      </c>
      <c r="G2217" t="s">
        <v>8453</v>
      </c>
    </row>
    <row r="2218" spans="1:7">
      <c r="A2218" t="s">
        <v>4596</v>
      </c>
      <c r="C2218" t="s">
        <v>8394</v>
      </c>
      <c r="D2218" t="s">
        <v>8401</v>
      </c>
      <c r="E2218" t="s">
        <v>8445</v>
      </c>
      <c r="F2218" t="s">
        <v>8448</v>
      </c>
      <c r="G2218" t="s">
        <v>8795</v>
      </c>
    </row>
    <row r="2219" spans="1:7">
      <c r="A2219" t="s">
        <v>4597</v>
      </c>
      <c r="C2219" t="s">
        <v>8394</v>
      </c>
      <c r="D2219" t="s">
        <v>8401</v>
      </c>
      <c r="E2219" t="s">
        <v>8445</v>
      </c>
      <c r="F2219" t="s">
        <v>8448</v>
      </c>
      <c r="G2219" t="s">
        <v>8796</v>
      </c>
    </row>
    <row r="2220" spans="1:7">
      <c r="A2220" t="s">
        <v>4598</v>
      </c>
      <c r="C2220" t="s">
        <v>8394</v>
      </c>
      <c r="D2220" t="s">
        <v>8401</v>
      </c>
      <c r="E2220" t="s">
        <v>8445</v>
      </c>
      <c r="F2220" t="s">
        <v>8448</v>
      </c>
      <c r="G2220" t="s">
        <v>8797</v>
      </c>
    </row>
    <row r="2221" spans="1:7">
      <c r="A2221" t="s">
        <v>4599</v>
      </c>
      <c r="C2221" t="s">
        <v>8394</v>
      </c>
      <c r="D2221" t="s">
        <v>8413</v>
      </c>
      <c r="E2221" t="s">
        <v>8445</v>
      </c>
      <c r="F2221" t="s">
        <v>8448</v>
      </c>
      <c r="G2221" t="s">
        <v>8453</v>
      </c>
    </row>
    <row r="2222" spans="1:7">
      <c r="A2222" t="s">
        <v>4600</v>
      </c>
      <c r="C2222" t="s">
        <v>8394</v>
      </c>
      <c r="D2222" t="s">
        <v>8401</v>
      </c>
      <c r="E2222" t="s">
        <v>8445</v>
      </c>
      <c r="F2222" t="s">
        <v>8450</v>
      </c>
      <c r="G2222" t="s">
        <v>8798</v>
      </c>
    </row>
    <row r="2223" spans="1:7">
      <c r="A2223" t="s">
        <v>4601</v>
      </c>
      <c r="B2223" t="s">
        <v>8273</v>
      </c>
      <c r="C2223" t="s">
        <v>8394</v>
      </c>
      <c r="D2223" t="s">
        <v>8413</v>
      </c>
      <c r="E2223" t="s">
        <v>8445</v>
      </c>
      <c r="F2223" t="s">
        <v>8448</v>
      </c>
      <c r="G2223" t="s">
        <v>8799</v>
      </c>
    </row>
    <row r="2224" spans="1:7">
      <c r="A2224" t="s">
        <v>4602</v>
      </c>
      <c r="C2224" t="s">
        <v>8394</v>
      </c>
      <c r="D2224" t="s">
        <v>8413</v>
      </c>
      <c r="E2224" t="s">
        <v>8445</v>
      </c>
      <c r="F2224" t="s">
        <v>8448</v>
      </c>
      <c r="G2224" t="s">
        <v>8800</v>
      </c>
    </row>
    <row r="2225" spans="1:7">
      <c r="A2225" t="s">
        <v>4603</v>
      </c>
      <c r="C2225" t="s">
        <v>8394</v>
      </c>
      <c r="D2225" t="s">
        <v>8413</v>
      </c>
      <c r="E2225" t="s">
        <v>8445</v>
      </c>
      <c r="F2225" t="s">
        <v>8448</v>
      </c>
      <c r="G2225" t="s">
        <v>8801</v>
      </c>
    </row>
    <row r="2226" spans="1:7">
      <c r="A2226" t="s">
        <v>4604</v>
      </c>
      <c r="C2226" t="s">
        <v>8393</v>
      </c>
      <c r="D2226" t="s">
        <v>8393</v>
      </c>
      <c r="E2226" t="s">
        <v>919</v>
      </c>
      <c r="F2226" t="s">
        <v>8393</v>
      </c>
    </row>
    <row r="2227" spans="1:7">
      <c r="A2227" t="s">
        <v>4605</v>
      </c>
      <c r="C2227" t="s">
        <v>8394</v>
      </c>
      <c r="D2227" t="s">
        <v>8401</v>
      </c>
      <c r="E2227" t="s">
        <v>8445</v>
      </c>
      <c r="F2227" t="s">
        <v>8448</v>
      </c>
      <c r="G2227" t="s">
        <v>8802</v>
      </c>
    </row>
    <row r="2228" spans="1:7">
      <c r="A2228" t="s">
        <v>4606</v>
      </c>
      <c r="C2228" t="s">
        <v>8394</v>
      </c>
      <c r="D2228" t="s">
        <v>8401</v>
      </c>
      <c r="E2228" t="s">
        <v>8445</v>
      </c>
      <c r="F2228" t="s">
        <v>8448</v>
      </c>
      <c r="G2228" t="s">
        <v>8802</v>
      </c>
    </row>
    <row r="2229" spans="1:7">
      <c r="A2229" t="s">
        <v>4607</v>
      </c>
      <c r="C2229" t="s">
        <v>8394</v>
      </c>
      <c r="D2229" t="s">
        <v>8401</v>
      </c>
      <c r="E2229" t="s">
        <v>8445</v>
      </c>
      <c r="F2229" t="s">
        <v>8448</v>
      </c>
      <c r="G2229" t="s">
        <v>8802</v>
      </c>
    </row>
    <row r="2230" spans="1:7">
      <c r="A2230" t="s">
        <v>4608</v>
      </c>
      <c r="C2230" t="s">
        <v>8394</v>
      </c>
      <c r="D2230" t="s">
        <v>8401</v>
      </c>
      <c r="E2230" t="s">
        <v>8445</v>
      </c>
      <c r="F2230" t="s">
        <v>8448</v>
      </c>
      <c r="G2230" t="s">
        <v>8802</v>
      </c>
    </row>
    <row r="2231" spans="1:7">
      <c r="A2231" t="s">
        <v>4609</v>
      </c>
      <c r="C2231" t="s">
        <v>8394</v>
      </c>
      <c r="D2231" t="s">
        <v>8401</v>
      </c>
      <c r="E2231" t="s">
        <v>8445</v>
      </c>
      <c r="F2231" t="s">
        <v>8448</v>
      </c>
      <c r="G2231" t="s">
        <v>8802</v>
      </c>
    </row>
    <row r="2232" spans="1:7">
      <c r="A2232" t="s">
        <v>4610</v>
      </c>
      <c r="C2232" t="s">
        <v>8394</v>
      </c>
      <c r="D2232" t="s">
        <v>8401</v>
      </c>
      <c r="E2232" t="s">
        <v>8445</v>
      </c>
      <c r="F2232" t="s">
        <v>8448</v>
      </c>
      <c r="G2232" t="s">
        <v>8802</v>
      </c>
    </row>
    <row r="2233" spans="1:7">
      <c r="A2233" t="s">
        <v>4611</v>
      </c>
      <c r="C2233" t="s">
        <v>8394</v>
      </c>
      <c r="D2233" t="s">
        <v>8401</v>
      </c>
      <c r="E2233" t="s">
        <v>8445</v>
      </c>
      <c r="F2233" t="s">
        <v>8448</v>
      </c>
      <c r="G2233" t="s">
        <v>8802</v>
      </c>
    </row>
    <row r="2234" spans="1:7">
      <c r="A2234" t="s">
        <v>4612</v>
      </c>
      <c r="C2234" t="s">
        <v>8394</v>
      </c>
      <c r="D2234" t="s">
        <v>8401</v>
      </c>
      <c r="E2234" t="s">
        <v>8445</v>
      </c>
      <c r="F2234" t="s">
        <v>8448</v>
      </c>
      <c r="G2234" t="s">
        <v>8802</v>
      </c>
    </row>
    <row r="2235" spans="1:7">
      <c r="A2235" t="s">
        <v>4613</v>
      </c>
      <c r="C2235" t="s">
        <v>8394</v>
      </c>
      <c r="D2235" t="s">
        <v>8401</v>
      </c>
      <c r="E2235" t="s">
        <v>8445</v>
      </c>
      <c r="F2235" t="s">
        <v>8448</v>
      </c>
      <c r="G2235" t="s">
        <v>8802</v>
      </c>
    </row>
    <row r="2236" spans="1:7">
      <c r="A2236" t="s">
        <v>4614</v>
      </c>
      <c r="C2236" t="s">
        <v>8394</v>
      </c>
      <c r="D2236" t="s">
        <v>8401</v>
      </c>
      <c r="E2236" t="s">
        <v>8445</v>
      </c>
      <c r="F2236" t="s">
        <v>8448</v>
      </c>
      <c r="G2236" t="s">
        <v>8802</v>
      </c>
    </row>
    <row r="2237" spans="1:7">
      <c r="A2237" t="s">
        <v>4615</v>
      </c>
      <c r="C2237" t="s">
        <v>8394</v>
      </c>
      <c r="D2237" t="s">
        <v>8401</v>
      </c>
      <c r="E2237" t="s">
        <v>8445</v>
      </c>
      <c r="F2237" t="s">
        <v>8448</v>
      </c>
      <c r="G2237" t="s">
        <v>8802</v>
      </c>
    </row>
    <row r="2238" spans="1:7">
      <c r="A2238" t="s">
        <v>4616</v>
      </c>
      <c r="C2238" t="s">
        <v>8394</v>
      </c>
      <c r="D2238" t="s">
        <v>8401</v>
      </c>
      <c r="E2238" t="s">
        <v>8445</v>
      </c>
      <c r="F2238" t="s">
        <v>8448</v>
      </c>
      <c r="G2238" t="s">
        <v>8802</v>
      </c>
    </row>
    <row r="2239" spans="1:7">
      <c r="A2239" t="s">
        <v>4617</v>
      </c>
      <c r="C2239" t="s">
        <v>8394</v>
      </c>
      <c r="D2239" t="s">
        <v>8401</v>
      </c>
      <c r="E2239" t="s">
        <v>8445</v>
      </c>
      <c r="F2239" t="s">
        <v>8448</v>
      </c>
      <c r="G2239" t="s">
        <v>8802</v>
      </c>
    </row>
    <row r="2240" spans="1:7">
      <c r="A2240" t="s">
        <v>4618</v>
      </c>
      <c r="C2240" t="s">
        <v>8394</v>
      </c>
      <c r="D2240" t="s">
        <v>8401</v>
      </c>
      <c r="E2240" t="s">
        <v>8445</v>
      </c>
      <c r="F2240" t="s">
        <v>8448</v>
      </c>
      <c r="G2240" t="s">
        <v>8802</v>
      </c>
    </row>
    <row r="2241" spans="1:7">
      <c r="A2241" t="s">
        <v>4619</v>
      </c>
      <c r="C2241" t="s">
        <v>8394</v>
      </c>
      <c r="D2241" t="s">
        <v>8401</v>
      </c>
      <c r="E2241" t="s">
        <v>8445</v>
      </c>
      <c r="F2241" t="s">
        <v>8448</v>
      </c>
      <c r="G2241" t="s">
        <v>8802</v>
      </c>
    </row>
    <row r="2242" spans="1:7">
      <c r="A2242" t="s">
        <v>4620</v>
      </c>
      <c r="C2242" t="s">
        <v>8394</v>
      </c>
      <c r="D2242" t="s">
        <v>8401</v>
      </c>
      <c r="E2242" t="s">
        <v>8445</v>
      </c>
      <c r="F2242" t="s">
        <v>8448</v>
      </c>
      <c r="G2242" t="s">
        <v>8802</v>
      </c>
    </row>
    <row r="2243" spans="1:7">
      <c r="A2243" t="s">
        <v>4621</v>
      </c>
      <c r="C2243" t="s">
        <v>8394</v>
      </c>
      <c r="D2243" t="s">
        <v>8401</v>
      </c>
      <c r="E2243" t="s">
        <v>8445</v>
      </c>
      <c r="F2243" t="s">
        <v>8448</v>
      </c>
      <c r="G2243" t="s">
        <v>8802</v>
      </c>
    </row>
    <row r="2244" spans="1:7">
      <c r="A2244" t="s">
        <v>4622</v>
      </c>
      <c r="C2244" t="s">
        <v>8394</v>
      </c>
      <c r="D2244" t="s">
        <v>8401</v>
      </c>
      <c r="E2244" t="s">
        <v>8445</v>
      </c>
      <c r="F2244" t="s">
        <v>8448</v>
      </c>
      <c r="G2244" t="s">
        <v>8802</v>
      </c>
    </row>
    <row r="2245" spans="1:7">
      <c r="A2245" t="s">
        <v>4623</v>
      </c>
      <c r="C2245" t="s">
        <v>8394</v>
      </c>
      <c r="D2245" t="s">
        <v>8401</v>
      </c>
      <c r="E2245" t="s">
        <v>8445</v>
      </c>
      <c r="F2245" t="s">
        <v>8448</v>
      </c>
      <c r="G2245" t="s">
        <v>8802</v>
      </c>
    </row>
    <row r="2246" spans="1:7">
      <c r="A2246" t="s">
        <v>4624</v>
      </c>
      <c r="C2246" t="s">
        <v>8394</v>
      </c>
      <c r="D2246" t="s">
        <v>8401</v>
      </c>
      <c r="E2246" t="s">
        <v>8445</v>
      </c>
      <c r="F2246" t="s">
        <v>8448</v>
      </c>
      <c r="G2246" t="s">
        <v>8802</v>
      </c>
    </row>
    <row r="2247" spans="1:7">
      <c r="A2247" t="s">
        <v>4625</v>
      </c>
      <c r="C2247" t="s">
        <v>8394</v>
      </c>
      <c r="D2247" t="s">
        <v>8401</v>
      </c>
      <c r="E2247" t="s">
        <v>8445</v>
      </c>
      <c r="F2247" t="s">
        <v>8448</v>
      </c>
      <c r="G2247" t="s">
        <v>8802</v>
      </c>
    </row>
    <row r="2248" spans="1:7">
      <c r="A2248" t="s">
        <v>4626</v>
      </c>
      <c r="C2248" t="s">
        <v>8394</v>
      </c>
      <c r="D2248" t="s">
        <v>8401</v>
      </c>
      <c r="E2248" t="s">
        <v>8445</v>
      </c>
      <c r="F2248" t="s">
        <v>8448</v>
      </c>
      <c r="G2248" t="s">
        <v>8802</v>
      </c>
    </row>
    <row r="2249" spans="1:7">
      <c r="A2249" t="s">
        <v>4627</v>
      </c>
      <c r="C2249" t="s">
        <v>8394</v>
      </c>
      <c r="D2249" t="s">
        <v>8401</v>
      </c>
      <c r="E2249" t="s">
        <v>8445</v>
      </c>
      <c r="F2249" t="s">
        <v>8448</v>
      </c>
      <c r="G2249" t="s">
        <v>8802</v>
      </c>
    </row>
    <row r="2250" spans="1:7">
      <c r="A2250" t="s">
        <v>4628</v>
      </c>
      <c r="C2250" t="s">
        <v>8394</v>
      </c>
      <c r="D2250" t="s">
        <v>8413</v>
      </c>
      <c r="E2250" t="s">
        <v>8445</v>
      </c>
      <c r="F2250" t="s">
        <v>8448</v>
      </c>
      <c r="G2250" t="s">
        <v>8803</v>
      </c>
    </row>
    <row r="2251" spans="1:7">
      <c r="A2251" t="s">
        <v>4629</v>
      </c>
      <c r="B2251" t="s">
        <v>8273</v>
      </c>
      <c r="C2251" t="s">
        <v>8398</v>
      </c>
      <c r="D2251" t="s">
        <v>8409</v>
      </c>
      <c r="E2251" t="s">
        <v>8445</v>
      </c>
      <c r="F2251" t="s">
        <v>8448</v>
      </c>
      <c r="G2251" t="s">
        <v>8455</v>
      </c>
    </row>
    <row r="2252" spans="1:7">
      <c r="A2252" t="s">
        <v>4630</v>
      </c>
      <c r="C2252" t="s">
        <v>8394</v>
      </c>
      <c r="D2252" t="s">
        <v>8413</v>
      </c>
      <c r="E2252" t="s">
        <v>8445</v>
      </c>
      <c r="F2252" t="s">
        <v>8448</v>
      </c>
      <c r="G2252" t="s">
        <v>8453</v>
      </c>
    </row>
    <row r="2253" spans="1:7">
      <c r="A2253" t="s">
        <v>4631</v>
      </c>
      <c r="C2253" t="s">
        <v>8394</v>
      </c>
      <c r="D2253" t="s">
        <v>8413</v>
      </c>
      <c r="E2253" t="s">
        <v>8445</v>
      </c>
      <c r="F2253" t="s">
        <v>8448</v>
      </c>
      <c r="G2253" t="s">
        <v>8804</v>
      </c>
    </row>
    <row r="2254" spans="1:7">
      <c r="A2254" t="s">
        <v>4632</v>
      </c>
      <c r="C2254" t="s">
        <v>8392</v>
      </c>
      <c r="D2254" t="s">
        <v>8400</v>
      </c>
      <c r="E2254" t="s">
        <v>1587</v>
      </c>
      <c r="F2254" t="s">
        <v>8447</v>
      </c>
      <c r="G2254" t="s">
        <v>8474</v>
      </c>
    </row>
    <row r="2255" spans="1:7">
      <c r="A2255" t="s">
        <v>4633</v>
      </c>
      <c r="C2255" t="s">
        <v>8393</v>
      </c>
      <c r="D2255" t="s">
        <v>8393</v>
      </c>
      <c r="E2255" t="s">
        <v>919</v>
      </c>
      <c r="F2255" t="s">
        <v>8393</v>
      </c>
    </row>
    <row r="2256" spans="1:7">
      <c r="A2256" t="s">
        <v>4634</v>
      </c>
      <c r="B2256" t="s">
        <v>8273</v>
      </c>
      <c r="C2256" t="s">
        <v>8396</v>
      </c>
      <c r="D2256" t="s">
        <v>8420</v>
      </c>
      <c r="E2256" t="s">
        <v>8444</v>
      </c>
      <c r="F2256" t="s">
        <v>8448</v>
      </c>
      <c r="G2256" t="s">
        <v>8455</v>
      </c>
    </row>
    <row r="2257" spans="1:7">
      <c r="A2257" t="s">
        <v>4635</v>
      </c>
      <c r="B2257" t="s">
        <v>8287</v>
      </c>
      <c r="C2257" t="s">
        <v>8395</v>
      </c>
      <c r="D2257" t="s">
        <v>8420</v>
      </c>
      <c r="E2257" t="s">
        <v>8444</v>
      </c>
      <c r="F2257" t="s">
        <v>8448</v>
      </c>
      <c r="G2257" t="s">
        <v>796</v>
      </c>
    </row>
    <row r="2258" spans="1:7">
      <c r="A2258" t="s">
        <v>4636</v>
      </c>
      <c r="B2258" t="s">
        <v>8273</v>
      </c>
      <c r="C2258" t="s">
        <v>8396</v>
      </c>
      <c r="D2258" t="s">
        <v>8420</v>
      </c>
      <c r="E2258" t="s">
        <v>8444</v>
      </c>
      <c r="F2258" t="s">
        <v>8448</v>
      </c>
      <c r="G2258" t="s">
        <v>8805</v>
      </c>
    </row>
    <row r="2259" spans="1:7">
      <c r="A2259" t="s">
        <v>4637</v>
      </c>
      <c r="C2259" t="s">
        <v>8397</v>
      </c>
      <c r="D2259" t="s">
        <v>8431</v>
      </c>
      <c r="E2259" t="s">
        <v>8445</v>
      </c>
      <c r="F2259" t="s">
        <v>8450</v>
      </c>
      <c r="G2259" t="s">
        <v>8806</v>
      </c>
    </row>
    <row r="2260" spans="1:7">
      <c r="A2260" t="s">
        <v>4638</v>
      </c>
      <c r="C2260" t="s">
        <v>8397</v>
      </c>
      <c r="D2260" t="s">
        <v>8408</v>
      </c>
      <c r="E2260" t="s">
        <v>8445</v>
      </c>
      <c r="F2260" t="s">
        <v>8450</v>
      </c>
    </row>
    <row r="2261" spans="1:7">
      <c r="A2261" t="s">
        <v>4639</v>
      </c>
      <c r="B2261" t="s">
        <v>8299</v>
      </c>
      <c r="C2261" t="s">
        <v>8397</v>
      </c>
      <c r="D2261" t="s">
        <v>8430</v>
      </c>
      <c r="E2261" t="s">
        <v>1519</v>
      </c>
      <c r="F2261" t="s">
        <v>8448</v>
      </c>
      <c r="G2261" t="s">
        <v>8807</v>
      </c>
    </row>
    <row r="2262" spans="1:7">
      <c r="A2262" t="s">
        <v>4640</v>
      </c>
      <c r="B2262" t="s">
        <v>8278</v>
      </c>
      <c r="C2262" t="s">
        <v>8395</v>
      </c>
      <c r="D2262" t="s">
        <v>8423</v>
      </c>
      <c r="E2262" t="s">
        <v>8446</v>
      </c>
      <c r="F2262" t="s">
        <v>8448</v>
      </c>
      <c r="G2262" t="s">
        <v>8455</v>
      </c>
    </row>
    <row r="2263" spans="1:7">
      <c r="A2263" t="s">
        <v>4641</v>
      </c>
      <c r="B2263" t="s">
        <v>8273</v>
      </c>
      <c r="C2263" t="s">
        <v>8396</v>
      </c>
      <c r="D2263" t="s">
        <v>8405</v>
      </c>
      <c r="E2263" t="s">
        <v>8446</v>
      </c>
      <c r="F2263" t="s">
        <v>8449</v>
      </c>
      <c r="G2263" t="s">
        <v>8455</v>
      </c>
    </row>
    <row r="2264" spans="1:7">
      <c r="A2264" t="s">
        <v>4642</v>
      </c>
      <c r="B2264" t="s">
        <v>8273</v>
      </c>
      <c r="C2264" t="s">
        <v>8392</v>
      </c>
      <c r="D2264" t="s">
        <v>8400</v>
      </c>
      <c r="E2264" t="s">
        <v>1519</v>
      </c>
      <c r="F2264" t="s">
        <v>8449</v>
      </c>
      <c r="G2264" t="s">
        <v>8455</v>
      </c>
    </row>
    <row r="2265" spans="1:7">
      <c r="A2265" t="s">
        <v>4643</v>
      </c>
      <c r="C2265" t="s">
        <v>8392</v>
      </c>
      <c r="D2265" t="s">
        <v>8400</v>
      </c>
      <c r="E2265" t="s">
        <v>8446</v>
      </c>
      <c r="F2265" t="s">
        <v>8449</v>
      </c>
      <c r="G2265" t="s">
        <v>8682</v>
      </c>
    </row>
    <row r="2266" spans="1:7">
      <c r="A2266" t="s">
        <v>4644</v>
      </c>
      <c r="C2266" t="s">
        <v>8393</v>
      </c>
      <c r="D2266" t="s">
        <v>8393</v>
      </c>
      <c r="E2266" t="s">
        <v>919</v>
      </c>
      <c r="F2266" t="s">
        <v>8393</v>
      </c>
    </row>
    <row r="2267" spans="1:7">
      <c r="A2267" t="s">
        <v>4645</v>
      </c>
      <c r="B2267" t="s">
        <v>8273</v>
      </c>
      <c r="C2267" t="s">
        <v>8395</v>
      </c>
      <c r="D2267" t="s">
        <v>8419</v>
      </c>
      <c r="E2267" t="s">
        <v>8446</v>
      </c>
      <c r="F2267" t="s">
        <v>8449</v>
      </c>
      <c r="G2267" t="s">
        <v>8455</v>
      </c>
    </row>
    <row r="2268" spans="1:7">
      <c r="A2268" t="s">
        <v>4646</v>
      </c>
      <c r="B2268" t="s">
        <v>8273</v>
      </c>
      <c r="C2268" t="s">
        <v>8395</v>
      </c>
      <c r="D2268" t="s">
        <v>8419</v>
      </c>
      <c r="E2268" t="s">
        <v>8446</v>
      </c>
      <c r="F2268" t="s">
        <v>8449</v>
      </c>
      <c r="G2268" t="s">
        <v>8455</v>
      </c>
    </row>
    <row r="2269" spans="1:7">
      <c r="A2269" t="s">
        <v>4647</v>
      </c>
      <c r="B2269" t="s">
        <v>8285</v>
      </c>
      <c r="C2269" t="s">
        <v>8395</v>
      </c>
      <c r="D2269" t="s">
        <v>8419</v>
      </c>
      <c r="E2269" t="s">
        <v>8446</v>
      </c>
      <c r="F2269" t="s">
        <v>8449</v>
      </c>
      <c r="G2269" t="s">
        <v>8455</v>
      </c>
    </row>
    <row r="2270" spans="1:7">
      <c r="A2270" t="s">
        <v>4648</v>
      </c>
      <c r="B2270" t="s">
        <v>8277</v>
      </c>
      <c r="C2270" t="s">
        <v>8395</v>
      </c>
      <c r="D2270" t="s">
        <v>8419</v>
      </c>
      <c r="E2270" t="s">
        <v>8446</v>
      </c>
      <c r="F2270" t="s">
        <v>8449</v>
      </c>
      <c r="G2270" t="s">
        <v>8455</v>
      </c>
    </row>
    <row r="2271" spans="1:7">
      <c r="A2271" t="s">
        <v>4644</v>
      </c>
      <c r="C2271" t="s">
        <v>8393</v>
      </c>
      <c r="D2271" t="s">
        <v>8393</v>
      </c>
      <c r="E2271" t="s">
        <v>919</v>
      </c>
      <c r="F2271" t="s">
        <v>8393</v>
      </c>
    </row>
    <row r="2272" spans="1:7">
      <c r="A2272" t="s">
        <v>4645</v>
      </c>
      <c r="B2272" t="s">
        <v>8273</v>
      </c>
      <c r="C2272" t="s">
        <v>8395</v>
      </c>
      <c r="D2272" t="s">
        <v>8419</v>
      </c>
      <c r="E2272" t="s">
        <v>8446</v>
      </c>
      <c r="F2272" t="s">
        <v>8449</v>
      </c>
      <c r="G2272" t="s">
        <v>8455</v>
      </c>
    </row>
    <row r="2273" spans="1:7">
      <c r="A2273" t="s">
        <v>4646</v>
      </c>
      <c r="B2273" t="s">
        <v>8273</v>
      </c>
      <c r="C2273" t="s">
        <v>8395</v>
      </c>
      <c r="D2273" t="s">
        <v>8419</v>
      </c>
      <c r="E2273" t="s">
        <v>8446</v>
      </c>
      <c r="F2273" t="s">
        <v>8449</v>
      </c>
      <c r="G2273" t="s">
        <v>8455</v>
      </c>
    </row>
    <row r="2274" spans="1:7">
      <c r="A2274" t="s">
        <v>4647</v>
      </c>
      <c r="B2274" t="s">
        <v>8285</v>
      </c>
      <c r="C2274" t="s">
        <v>8395</v>
      </c>
      <c r="D2274" t="s">
        <v>8419</v>
      </c>
      <c r="E2274" t="s">
        <v>8446</v>
      </c>
      <c r="F2274" t="s">
        <v>8449</v>
      </c>
      <c r="G2274" t="s">
        <v>8455</v>
      </c>
    </row>
    <row r="2275" spans="1:7">
      <c r="A2275" t="s">
        <v>4648</v>
      </c>
      <c r="B2275" t="s">
        <v>8277</v>
      </c>
      <c r="C2275" t="s">
        <v>8395</v>
      </c>
      <c r="D2275" t="s">
        <v>8419</v>
      </c>
      <c r="E2275" t="s">
        <v>8446</v>
      </c>
      <c r="F2275" t="s">
        <v>8449</v>
      </c>
      <c r="G2275" t="s">
        <v>8455</v>
      </c>
    </row>
    <row r="2276" spans="1:7">
      <c r="A2276" t="s">
        <v>785</v>
      </c>
      <c r="C2276" t="s">
        <v>8393</v>
      </c>
      <c r="D2276" t="s">
        <v>8393</v>
      </c>
      <c r="E2276" t="s">
        <v>919</v>
      </c>
      <c r="F2276" t="s">
        <v>8393</v>
      </c>
    </row>
    <row r="2277" spans="1:7">
      <c r="A2277" t="s">
        <v>4649</v>
      </c>
      <c r="B2277" t="s">
        <v>8273</v>
      </c>
      <c r="C2277" t="s">
        <v>8395</v>
      </c>
      <c r="D2277" t="s">
        <v>8402</v>
      </c>
      <c r="E2277" t="s">
        <v>8446</v>
      </c>
      <c r="F2277" t="s">
        <v>8448</v>
      </c>
      <c r="G2277" t="s">
        <v>8455</v>
      </c>
    </row>
    <row r="2278" spans="1:7">
      <c r="A2278" t="s">
        <v>4650</v>
      </c>
      <c r="B2278" t="s">
        <v>8285</v>
      </c>
      <c r="C2278" t="s">
        <v>8395</v>
      </c>
      <c r="D2278" t="s">
        <v>8402</v>
      </c>
      <c r="E2278" t="s">
        <v>8444</v>
      </c>
      <c r="F2278" t="s">
        <v>8448</v>
      </c>
      <c r="G2278" t="s">
        <v>8455</v>
      </c>
    </row>
    <row r="2279" spans="1:7">
      <c r="A2279" t="s">
        <v>4651</v>
      </c>
      <c r="B2279" t="s">
        <v>8286</v>
      </c>
      <c r="C2279" t="s">
        <v>8394</v>
      </c>
      <c r="D2279" t="s">
        <v>8402</v>
      </c>
      <c r="E2279" t="s">
        <v>8444</v>
      </c>
      <c r="F2279" t="s">
        <v>8448</v>
      </c>
      <c r="G2279" t="s">
        <v>8455</v>
      </c>
    </row>
    <row r="2280" spans="1:7">
      <c r="A2280" t="s">
        <v>4652</v>
      </c>
      <c r="B2280" t="s">
        <v>8274</v>
      </c>
      <c r="C2280" t="s">
        <v>8395</v>
      </c>
      <c r="D2280" t="s">
        <v>8402</v>
      </c>
      <c r="E2280" t="s">
        <v>8444</v>
      </c>
      <c r="F2280" t="s">
        <v>8448</v>
      </c>
      <c r="G2280" t="s">
        <v>8455</v>
      </c>
    </row>
    <row r="2281" spans="1:7">
      <c r="A2281" t="s">
        <v>4653</v>
      </c>
      <c r="B2281" t="s">
        <v>8277</v>
      </c>
      <c r="C2281" t="s">
        <v>8395</v>
      </c>
      <c r="D2281" t="s">
        <v>8402</v>
      </c>
      <c r="E2281" t="s">
        <v>8444</v>
      </c>
      <c r="F2281" t="s">
        <v>8448</v>
      </c>
      <c r="G2281" t="s">
        <v>8455</v>
      </c>
    </row>
    <row r="2282" spans="1:7">
      <c r="A2282" t="s">
        <v>4654</v>
      </c>
      <c r="B2282" t="s">
        <v>8273</v>
      </c>
      <c r="C2282" t="s">
        <v>8395</v>
      </c>
      <c r="D2282" t="s">
        <v>8402</v>
      </c>
      <c r="E2282" t="s">
        <v>8444</v>
      </c>
      <c r="F2282" t="s">
        <v>8448</v>
      </c>
      <c r="G2282" t="s">
        <v>8808</v>
      </c>
    </row>
    <row r="2283" spans="1:7">
      <c r="A2283" t="s">
        <v>4655</v>
      </c>
      <c r="B2283" t="s">
        <v>8278</v>
      </c>
      <c r="C2283" t="s">
        <v>8395</v>
      </c>
      <c r="D2283" t="s">
        <v>8423</v>
      </c>
      <c r="E2283" t="s">
        <v>8446</v>
      </c>
      <c r="F2283" t="s">
        <v>8448</v>
      </c>
      <c r="G2283" t="s">
        <v>8455</v>
      </c>
    </row>
    <row r="2284" spans="1:7">
      <c r="A2284" t="s">
        <v>4656</v>
      </c>
      <c r="B2284" t="s">
        <v>8278</v>
      </c>
      <c r="C2284" t="s">
        <v>8395</v>
      </c>
      <c r="D2284" t="s">
        <v>8423</v>
      </c>
      <c r="E2284" t="s">
        <v>8445</v>
      </c>
      <c r="F2284" t="s">
        <v>8448</v>
      </c>
      <c r="G2284" t="s">
        <v>8455</v>
      </c>
    </row>
    <row r="2285" spans="1:7">
      <c r="A2285" t="s">
        <v>4657</v>
      </c>
      <c r="B2285" t="s">
        <v>8278</v>
      </c>
      <c r="C2285" t="s">
        <v>8395</v>
      </c>
      <c r="D2285" t="s">
        <v>8423</v>
      </c>
      <c r="E2285" t="s">
        <v>8446</v>
      </c>
      <c r="F2285" t="s">
        <v>8448</v>
      </c>
      <c r="G2285" t="s">
        <v>8455</v>
      </c>
    </row>
    <row r="2286" spans="1:7">
      <c r="A2286" t="s">
        <v>4658</v>
      </c>
      <c r="B2286" t="s">
        <v>8278</v>
      </c>
      <c r="C2286" t="s">
        <v>8395</v>
      </c>
      <c r="D2286" t="s">
        <v>8423</v>
      </c>
      <c r="E2286" t="s">
        <v>8445</v>
      </c>
      <c r="F2286" t="s">
        <v>8448</v>
      </c>
      <c r="G2286" t="s">
        <v>8455</v>
      </c>
    </row>
    <row r="2287" spans="1:7">
      <c r="A2287" t="s">
        <v>4659</v>
      </c>
      <c r="B2287" t="s">
        <v>8285</v>
      </c>
      <c r="C2287" t="s">
        <v>8395</v>
      </c>
      <c r="D2287" t="s">
        <v>8402</v>
      </c>
      <c r="E2287" t="s">
        <v>8444</v>
      </c>
      <c r="F2287" t="s">
        <v>8448</v>
      </c>
      <c r="G2287" t="s">
        <v>796</v>
      </c>
    </row>
    <row r="2288" spans="1:7">
      <c r="A2288" t="s">
        <v>4660</v>
      </c>
      <c r="B2288" t="s">
        <v>8286</v>
      </c>
      <c r="C2288" t="s">
        <v>8395</v>
      </c>
      <c r="D2288" t="s">
        <v>8402</v>
      </c>
      <c r="E2288" t="s">
        <v>8444</v>
      </c>
      <c r="F2288" t="s">
        <v>8448</v>
      </c>
      <c r="G2288" t="s">
        <v>796</v>
      </c>
    </row>
    <row r="2289" spans="1:7">
      <c r="A2289" t="s">
        <v>4661</v>
      </c>
      <c r="B2289" t="s">
        <v>8273</v>
      </c>
      <c r="C2289" t="s">
        <v>8394</v>
      </c>
      <c r="D2289" t="s">
        <v>8435</v>
      </c>
      <c r="E2289" t="s">
        <v>8444</v>
      </c>
      <c r="F2289" t="s">
        <v>8448</v>
      </c>
      <c r="G2289" t="s">
        <v>8455</v>
      </c>
    </row>
    <row r="2290" spans="1:7">
      <c r="A2290" t="s">
        <v>4662</v>
      </c>
      <c r="B2290" t="s">
        <v>8274</v>
      </c>
      <c r="C2290" t="s">
        <v>8395</v>
      </c>
      <c r="D2290" t="s">
        <v>8402</v>
      </c>
      <c r="E2290" t="s">
        <v>8444</v>
      </c>
      <c r="F2290" t="s">
        <v>8448</v>
      </c>
      <c r="G2290" t="s">
        <v>796</v>
      </c>
    </row>
    <row r="2291" spans="1:7">
      <c r="A2291" t="s">
        <v>4663</v>
      </c>
      <c r="B2291" t="s">
        <v>8277</v>
      </c>
      <c r="C2291" t="s">
        <v>8395</v>
      </c>
      <c r="D2291" t="s">
        <v>8402</v>
      </c>
      <c r="E2291" t="s">
        <v>8444</v>
      </c>
      <c r="F2291" t="s">
        <v>8448</v>
      </c>
      <c r="G2291" t="s">
        <v>796</v>
      </c>
    </row>
    <row r="2292" spans="1:7">
      <c r="A2292" t="s">
        <v>4664</v>
      </c>
      <c r="C2292" t="s">
        <v>8393</v>
      </c>
      <c r="D2292" t="s">
        <v>8393</v>
      </c>
      <c r="E2292" t="s">
        <v>919</v>
      </c>
      <c r="F2292" t="s">
        <v>8393</v>
      </c>
    </row>
    <row r="2293" spans="1:7">
      <c r="A2293" t="s">
        <v>4665</v>
      </c>
      <c r="B2293" t="s">
        <v>8273</v>
      </c>
      <c r="C2293" t="s">
        <v>8395</v>
      </c>
      <c r="D2293" t="s">
        <v>8414</v>
      </c>
      <c r="E2293" t="s">
        <v>8446</v>
      </c>
      <c r="F2293" t="s">
        <v>8448</v>
      </c>
      <c r="G2293" t="s">
        <v>8809</v>
      </c>
    </row>
    <row r="2294" spans="1:7">
      <c r="A2294" t="s">
        <v>4666</v>
      </c>
      <c r="B2294" t="s">
        <v>8277</v>
      </c>
      <c r="C2294" t="s">
        <v>8395</v>
      </c>
      <c r="D2294" t="s">
        <v>8414</v>
      </c>
      <c r="E2294" t="s">
        <v>8446</v>
      </c>
      <c r="F2294" t="s">
        <v>8448</v>
      </c>
      <c r="G2294" t="s">
        <v>8455</v>
      </c>
    </row>
    <row r="2295" spans="1:7">
      <c r="A2295" t="s">
        <v>4667</v>
      </c>
      <c r="C2295" t="s">
        <v>8393</v>
      </c>
      <c r="D2295" t="s">
        <v>8393</v>
      </c>
      <c r="E2295" t="s">
        <v>919</v>
      </c>
      <c r="F2295" t="s">
        <v>8393</v>
      </c>
    </row>
    <row r="2296" spans="1:7">
      <c r="A2296" t="s">
        <v>4668</v>
      </c>
      <c r="B2296" t="s">
        <v>8273</v>
      </c>
      <c r="C2296" t="s">
        <v>8396</v>
      </c>
      <c r="D2296" t="s">
        <v>8426</v>
      </c>
      <c r="E2296" t="s">
        <v>8446</v>
      </c>
      <c r="F2296" t="s">
        <v>8449</v>
      </c>
      <c r="G2296" t="s">
        <v>8455</v>
      </c>
    </row>
    <row r="2297" spans="1:7">
      <c r="A2297" t="s">
        <v>4669</v>
      </c>
      <c r="B2297" t="s">
        <v>8285</v>
      </c>
      <c r="C2297" t="s">
        <v>8396</v>
      </c>
      <c r="D2297" t="s">
        <v>8426</v>
      </c>
      <c r="E2297" t="s">
        <v>8446</v>
      </c>
      <c r="F2297" t="s">
        <v>8449</v>
      </c>
      <c r="G2297" t="s">
        <v>8455</v>
      </c>
    </row>
    <row r="2298" spans="1:7">
      <c r="A2298" t="s">
        <v>4670</v>
      </c>
      <c r="B2298" t="s">
        <v>8277</v>
      </c>
      <c r="C2298" t="s">
        <v>8396</v>
      </c>
      <c r="D2298" t="s">
        <v>8426</v>
      </c>
      <c r="E2298" t="s">
        <v>8446</v>
      </c>
      <c r="F2298" t="s">
        <v>8449</v>
      </c>
      <c r="G2298" t="s">
        <v>8455</v>
      </c>
    </row>
    <row r="2299" spans="1:7">
      <c r="A2299" t="s">
        <v>4671</v>
      </c>
      <c r="C2299" t="s">
        <v>8393</v>
      </c>
      <c r="D2299" t="s">
        <v>8393</v>
      </c>
      <c r="E2299" t="s">
        <v>919</v>
      </c>
      <c r="F2299" t="s">
        <v>8393</v>
      </c>
    </row>
    <row r="2300" spans="1:7">
      <c r="A2300" t="s">
        <v>4672</v>
      </c>
      <c r="B2300" t="s">
        <v>8273</v>
      </c>
      <c r="C2300" t="s">
        <v>8394</v>
      </c>
      <c r="D2300" t="s">
        <v>8402</v>
      </c>
      <c r="E2300" t="s">
        <v>8444</v>
      </c>
      <c r="F2300" t="s">
        <v>8448</v>
      </c>
      <c r="G2300" t="s">
        <v>8455</v>
      </c>
    </row>
    <row r="2301" spans="1:7">
      <c r="A2301" t="s">
        <v>4673</v>
      </c>
      <c r="B2301" t="s">
        <v>8278</v>
      </c>
      <c r="C2301" t="s">
        <v>8394</v>
      </c>
      <c r="D2301" t="s">
        <v>8402</v>
      </c>
      <c r="E2301" t="s">
        <v>8444</v>
      </c>
      <c r="F2301" t="s">
        <v>8448</v>
      </c>
      <c r="G2301" t="s">
        <v>8455</v>
      </c>
    </row>
    <row r="2302" spans="1:7">
      <c r="A2302" t="s">
        <v>4674</v>
      </c>
      <c r="B2302" t="s">
        <v>8277</v>
      </c>
      <c r="C2302" t="s">
        <v>8394</v>
      </c>
      <c r="D2302" t="s">
        <v>8402</v>
      </c>
      <c r="E2302" t="s">
        <v>8444</v>
      </c>
      <c r="F2302" t="s">
        <v>8448</v>
      </c>
      <c r="G2302" t="s">
        <v>8455</v>
      </c>
    </row>
    <row r="2303" spans="1:7">
      <c r="A2303" t="s">
        <v>4675</v>
      </c>
      <c r="B2303" t="s">
        <v>8273</v>
      </c>
      <c r="C2303" t="s">
        <v>8395</v>
      </c>
      <c r="D2303" t="s">
        <v>8427</v>
      </c>
      <c r="E2303" t="s">
        <v>8446</v>
      </c>
      <c r="F2303" t="s">
        <v>8449</v>
      </c>
      <c r="G2303" t="s">
        <v>8810</v>
      </c>
    </row>
    <row r="2304" spans="1:7">
      <c r="A2304" t="s">
        <v>4676</v>
      </c>
      <c r="C2304" t="s">
        <v>8396</v>
      </c>
      <c r="D2304" t="s">
        <v>8411</v>
      </c>
      <c r="E2304" t="s">
        <v>1587</v>
      </c>
      <c r="F2304" t="s">
        <v>8447</v>
      </c>
      <c r="G2304" t="s">
        <v>8463</v>
      </c>
    </row>
    <row r="2305" spans="1:7">
      <c r="A2305" t="s">
        <v>4677</v>
      </c>
      <c r="C2305" t="s">
        <v>8394</v>
      </c>
      <c r="D2305" t="s">
        <v>8402</v>
      </c>
      <c r="E2305" t="s">
        <v>8445</v>
      </c>
      <c r="F2305" t="s">
        <v>8448</v>
      </c>
      <c r="G2305" t="s">
        <v>8811</v>
      </c>
    </row>
    <row r="2306" spans="1:7">
      <c r="A2306" t="s">
        <v>4678</v>
      </c>
      <c r="C2306" t="s">
        <v>8393</v>
      </c>
      <c r="D2306" t="s">
        <v>8393</v>
      </c>
      <c r="E2306" t="s">
        <v>919</v>
      </c>
      <c r="F2306" t="s">
        <v>8393</v>
      </c>
    </row>
    <row r="2307" spans="1:7">
      <c r="A2307" t="s">
        <v>4679</v>
      </c>
      <c r="B2307" t="s">
        <v>8273</v>
      </c>
      <c r="C2307" t="s">
        <v>8395</v>
      </c>
      <c r="D2307" t="s">
        <v>8414</v>
      </c>
      <c r="E2307" t="s">
        <v>8446</v>
      </c>
      <c r="F2307" t="s">
        <v>8449</v>
      </c>
      <c r="G2307" t="s">
        <v>8455</v>
      </c>
    </row>
    <row r="2308" spans="1:7">
      <c r="A2308" t="s">
        <v>4680</v>
      </c>
      <c r="B2308" t="s">
        <v>8285</v>
      </c>
      <c r="C2308" t="s">
        <v>8395</v>
      </c>
      <c r="D2308" t="s">
        <v>8414</v>
      </c>
      <c r="E2308" t="s">
        <v>8446</v>
      </c>
      <c r="F2308" t="s">
        <v>8449</v>
      </c>
      <c r="G2308" t="s">
        <v>796</v>
      </c>
    </row>
    <row r="2309" spans="1:7">
      <c r="A2309" t="s">
        <v>4681</v>
      </c>
      <c r="B2309" t="s">
        <v>8286</v>
      </c>
      <c r="C2309" t="s">
        <v>8395</v>
      </c>
      <c r="D2309" t="s">
        <v>8414</v>
      </c>
      <c r="E2309" t="s">
        <v>8446</v>
      </c>
      <c r="F2309" t="s">
        <v>8449</v>
      </c>
      <c r="G2309" t="s">
        <v>796</v>
      </c>
    </row>
    <row r="2310" spans="1:7">
      <c r="A2310" t="s">
        <v>4682</v>
      </c>
      <c r="B2310" t="s">
        <v>8274</v>
      </c>
      <c r="C2310" t="s">
        <v>8395</v>
      </c>
      <c r="D2310" t="s">
        <v>8414</v>
      </c>
      <c r="E2310" t="s">
        <v>8446</v>
      </c>
      <c r="F2310" t="s">
        <v>8449</v>
      </c>
      <c r="G2310" t="s">
        <v>796</v>
      </c>
    </row>
    <row r="2311" spans="1:7">
      <c r="A2311" t="s">
        <v>4683</v>
      </c>
      <c r="B2311" t="s">
        <v>8277</v>
      </c>
      <c r="C2311" t="s">
        <v>8395</v>
      </c>
      <c r="D2311" t="s">
        <v>8414</v>
      </c>
      <c r="E2311" t="s">
        <v>8446</v>
      </c>
      <c r="F2311" t="s">
        <v>8449</v>
      </c>
      <c r="G2311" t="s">
        <v>796</v>
      </c>
    </row>
    <row r="2312" spans="1:7">
      <c r="A2312" t="s">
        <v>4684</v>
      </c>
      <c r="C2312" t="s">
        <v>8397</v>
      </c>
      <c r="D2312" t="s">
        <v>8421</v>
      </c>
      <c r="E2312" t="s">
        <v>1519</v>
      </c>
      <c r="F2312" t="s">
        <v>8449</v>
      </c>
      <c r="G2312" t="s">
        <v>8453</v>
      </c>
    </row>
    <row r="2313" spans="1:7">
      <c r="A2313" t="s">
        <v>4685</v>
      </c>
      <c r="B2313" t="s">
        <v>8273</v>
      </c>
      <c r="C2313" t="s">
        <v>8395</v>
      </c>
      <c r="D2313" t="s">
        <v>8426</v>
      </c>
      <c r="E2313" t="s">
        <v>8444</v>
      </c>
      <c r="F2313" t="s">
        <v>8449</v>
      </c>
      <c r="G2313" t="s">
        <v>8455</v>
      </c>
    </row>
    <row r="2314" spans="1:7">
      <c r="A2314" t="s">
        <v>4686</v>
      </c>
      <c r="C2314" t="s">
        <v>8393</v>
      </c>
      <c r="D2314" t="s">
        <v>8393</v>
      </c>
      <c r="E2314" t="s">
        <v>919</v>
      </c>
      <c r="F2314" t="s">
        <v>8393</v>
      </c>
    </row>
    <row r="2315" spans="1:7">
      <c r="A2315" t="s">
        <v>4687</v>
      </c>
      <c r="B2315" t="s">
        <v>8273</v>
      </c>
      <c r="C2315" t="s">
        <v>8395</v>
      </c>
      <c r="D2315" t="s">
        <v>8420</v>
      </c>
      <c r="E2315" t="s">
        <v>8446</v>
      </c>
      <c r="F2315" t="s">
        <v>8448</v>
      </c>
      <c r="G2315" t="s">
        <v>8455</v>
      </c>
    </row>
    <row r="2316" spans="1:7">
      <c r="A2316" t="s">
        <v>4688</v>
      </c>
      <c r="B2316" t="s">
        <v>8273</v>
      </c>
      <c r="C2316" t="s">
        <v>8395</v>
      </c>
      <c r="D2316" t="s">
        <v>8420</v>
      </c>
      <c r="E2316" t="s">
        <v>8446</v>
      </c>
      <c r="F2316" t="s">
        <v>8448</v>
      </c>
      <c r="G2316" t="s">
        <v>796</v>
      </c>
    </row>
    <row r="2317" spans="1:7">
      <c r="A2317" t="s">
        <v>4689</v>
      </c>
      <c r="B2317" t="s">
        <v>8295</v>
      </c>
      <c r="C2317" t="s">
        <v>8398</v>
      </c>
      <c r="D2317" t="s">
        <v>8419</v>
      </c>
      <c r="E2317" t="s">
        <v>8446</v>
      </c>
      <c r="F2317" t="s">
        <v>8449</v>
      </c>
      <c r="G2317" t="s">
        <v>8455</v>
      </c>
    </row>
    <row r="2318" spans="1:7">
      <c r="A2318" t="s">
        <v>4690</v>
      </c>
      <c r="B2318" t="s">
        <v>8273</v>
      </c>
      <c r="C2318" t="s">
        <v>8395</v>
      </c>
      <c r="D2318" t="s">
        <v>8400</v>
      </c>
      <c r="E2318" t="s">
        <v>8446</v>
      </c>
      <c r="F2318" t="s">
        <v>8447</v>
      </c>
      <c r="G2318" t="s">
        <v>8812</v>
      </c>
    </row>
    <row r="2319" spans="1:7">
      <c r="A2319" t="s">
        <v>4691</v>
      </c>
      <c r="C2319" t="s">
        <v>8394</v>
      </c>
      <c r="D2319" t="s">
        <v>8416</v>
      </c>
      <c r="E2319" t="s">
        <v>8445</v>
      </c>
      <c r="F2319" t="s">
        <v>8448</v>
      </c>
      <c r="G2319" t="s">
        <v>8813</v>
      </c>
    </row>
    <row r="2320" spans="1:7">
      <c r="A2320" t="s">
        <v>4692</v>
      </c>
      <c r="B2320" t="s">
        <v>8299</v>
      </c>
      <c r="C2320" t="s">
        <v>8397</v>
      </c>
      <c r="D2320" t="s">
        <v>8430</v>
      </c>
      <c r="E2320" t="s">
        <v>1587</v>
      </c>
      <c r="F2320" t="s">
        <v>8449</v>
      </c>
      <c r="G2320" t="s">
        <v>8455</v>
      </c>
    </row>
    <row r="2321" spans="1:7">
      <c r="A2321" t="s">
        <v>4693</v>
      </c>
      <c r="C2321" t="s">
        <v>8393</v>
      </c>
      <c r="D2321" t="s">
        <v>8393</v>
      </c>
      <c r="E2321" t="s">
        <v>919</v>
      </c>
      <c r="F2321" t="s">
        <v>8393</v>
      </c>
    </row>
    <row r="2322" spans="1:7">
      <c r="A2322" t="s">
        <v>4694</v>
      </c>
      <c r="B2322" t="s">
        <v>8318</v>
      </c>
      <c r="C2322" t="s">
        <v>8395</v>
      </c>
      <c r="D2322" t="s">
        <v>8404</v>
      </c>
      <c r="E2322" t="s">
        <v>8445</v>
      </c>
      <c r="F2322" t="s">
        <v>8449</v>
      </c>
      <c r="G2322" t="s">
        <v>8814</v>
      </c>
    </row>
    <row r="2323" spans="1:7">
      <c r="A2323" t="s">
        <v>4695</v>
      </c>
      <c r="C2323" t="s">
        <v>8396</v>
      </c>
      <c r="D2323" t="s">
        <v>8411</v>
      </c>
      <c r="E2323" t="s">
        <v>8445</v>
      </c>
      <c r="F2323" t="s">
        <v>8449</v>
      </c>
      <c r="G2323" t="s">
        <v>8815</v>
      </c>
    </row>
    <row r="2324" spans="1:7">
      <c r="A2324" t="s">
        <v>4696</v>
      </c>
      <c r="C2324" t="s">
        <v>8396</v>
      </c>
      <c r="D2324" t="s">
        <v>8425</v>
      </c>
      <c r="E2324" t="s">
        <v>8445</v>
      </c>
      <c r="F2324" t="s">
        <v>8449</v>
      </c>
      <c r="G2324" t="s">
        <v>8455</v>
      </c>
    </row>
    <row r="2325" spans="1:7">
      <c r="A2325" t="s">
        <v>4697</v>
      </c>
      <c r="B2325" t="s">
        <v>8319</v>
      </c>
      <c r="C2325" t="s">
        <v>8395</v>
      </c>
      <c r="D2325" t="s">
        <v>8404</v>
      </c>
      <c r="E2325" t="s">
        <v>8445</v>
      </c>
      <c r="F2325" t="s">
        <v>8449</v>
      </c>
      <c r="G2325" t="s">
        <v>796</v>
      </c>
    </row>
    <row r="2326" spans="1:7">
      <c r="A2326" t="s">
        <v>4698</v>
      </c>
      <c r="B2326" t="s">
        <v>8318</v>
      </c>
      <c r="C2326" t="s">
        <v>8395</v>
      </c>
      <c r="D2326" t="s">
        <v>8404</v>
      </c>
      <c r="E2326" t="s">
        <v>8445</v>
      </c>
      <c r="F2326" t="s">
        <v>8449</v>
      </c>
      <c r="G2326" t="s">
        <v>8455</v>
      </c>
    </row>
    <row r="2327" spans="1:7">
      <c r="A2327" t="s">
        <v>4699</v>
      </c>
      <c r="B2327" t="s">
        <v>8320</v>
      </c>
      <c r="C2327" t="s">
        <v>8395</v>
      </c>
      <c r="D2327" t="s">
        <v>8404</v>
      </c>
      <c r="E2327" t="s">
        <v>8445</v>
      </c>
      <c r="F2327" t="s">
        <v>8449</v>
      </c>
      <c r="G2327" t="s">
        <v>796</v>
      </c>
    </row>
    <row r="2328" spans="1:7">
      <c r="A2328" t="s">
        <v>4700</v>
      </c>
      <c r="B2328" t="s">
        <v>8318</v>
      </c>
      <c r="C2328" t="s">
        <v>8395</v>
      </c>
      <c r="D2328" t="s">
        <v>8404</v>
      </c>
      <c r="E2328" t="s">
        <v>8445</v>
      </c>
      <c r="F2328" t="s">
        <v>8449</v>
      </c>
      <c r="G2328" t="s">
        <v>8814</v>
      </c>
    </row>
    <row r="2329" spans="1:7">
      <c r="A2329" t="s">
        <v>4701</v>
      </c>
      <c r="B2329" t="s">
        <v>8321</v>
      </c>
      <c r="C2329" t="s">
        <v>8395</v>
      </c>
      <c r="D2329" t="s">
        <v>8404</v>
      </c>
      <c r="E2329" t="s">
        <v>8445</v>
      </c>
      <c r="F2329" t="s">
        <v>8449</v>
      </c>
      <c r="G2329" t="s">
        <v>796</v>
      </c>
    </row>
    <row r="2330" spans="1:7">
      <c r="A2330" t="s">
        <v>4702</v>
      </c>
      <c r="C2330" t="s">
        <v>8396</v>
      </c>
      <c r="D2330" t="s">
        <v>8411</v>
      </c>
      <c r="E2330" t="s">
        <v>8445</v>
      </c>
      <c r="F2330" t="s">
        <v>8449</v>
      </c>
      <c r="G2330" t="s">
        <v>8816</v>
      </c>
    </row>
    <row r="2331" spans="1:7">
      <c r="A2331" t="s">
        <v>4703</v>
      </c>
      <c r="B2331" t="s">
        <v>8273</v>
      </c>
      <c r="C2331" t="s">
        <v>8395</v>
      </c>
      <c r="D2331" t="s">
        <v>8400</v>
      </c>
      <c r="E2331" t="s">
        <v>8446</v>
      </c>
      <c r="F2331" t="s">
        <v>8448</v>
      </c>
      <c r="G2331" t="s">
        <v>8455</v>
      </c>
    </row>
    <row r="2332" spans="1:7">
      <c r="A2332" t="s">
        <v>4704</v>
      </c>
      <c r="C2332" t="s">
        <v>8397</v>
      </c>
      <c r="D2332" t="s">
        <v>8408</v>
      </c>
      <c r="E2332" t="s">
        <v>8445</v>
      </c>
      <c r="F2332" t="s">
        <v>8450</v>
      </c>
    </row>
    <row r="2333" spans="1:7">
      <c r="A2333" t="s">
        <v>4705</v>
      </c>
      <c r="B2333" t="s">
        <v>8273</v>
      </c>
      <c r="C2333" t="s">
        <v>8395</v>
      </c>
      <c r="D2333" t="s">
        <v>8404</v>
      </c>
      <c r="E2333" t="s">
        <v>8445</v>
      </c>
      <c r="F2333" t="s">
        <v>8449</v>
      </c>
      <c r="G2333" t="s">
        <v>8814</v>
      </c>
    </row>
    <row r="2334" spans="1:7">
      <c r="A2334" t="s">
        <v>4706</v>
      </c>
      <c r="B2334" t="s">
        <v>8299</v>
      </c>
      <c r="C2334" t="s">
        <v>8397</v>
      </c>
      <c r="D2334" t="s">
        <v>8430</v>
      </c>
      <c r="E2334" t="s">
        <v>1587</v>
      </c>
      <c r="F2334" t="s">
        <v>8448</v>
      </c>
      <c r="G2334" t="s">
        <v>795</v>
      </c>
    </row>
    <row r="2335" spans="1:7">
      <c r="A2335" t="s">
        <v>4707</v>
      </c>
      <c r="C2335" t="s">
        <v>8392</v>
      </c>
      <c r="D2335" t="s">
        <v>8400</v>
      </c>
      <c r="E2335" t="s">
        <v>1587</v>
      </c>
      <c r="F2335" t="s">
        <v>8447</v>
      </c>
      <c r="G2335" t="s">
        <v>8817</v>
      </c>
    </row>
    <row r="2336" spans="1:7">
      <c r="A2336" t="s">
        <v>4708</v>
      </c>
      <c r="B2336" t="s">
        <v>8273</v>
      </c>
      <c r="C2336" t="s">
        <v>8392</v>
      </c>
      <c r="D2336" t="s">
        <v>8400</v>
      </c>
      <c r="E2336" t="s">
        <v>1587</v>
      </c>
      <c r="F2336" t="s">
        <v>8447</v>
      </c>
      <c r="G2336" t="s">
        <v>8463</v>
      </c>
    </row>
    <row r="2337" spans="1:7">
      <c r="A2337" t="s">
        <v>4709</v>
      </c>
      <c r="B2337" t="s">
        <v>8299</v>
      </c>
      <c r="C2337" t="s">
        <v>8397</v>
      </c>
      <c r="D2337" t="s">
        <v>8430</v>
      </c>
      <c r="E2337" t="s">
        <v>1519</v>
      </c>
      <c r="F2337" t="s">
        <v>8448</v>
      </c>
      <c r="G2337" t="s">
        <v>8455</v>
      </c>
    </row>
    <row r="2338" spans="1:7">
      <c r="A2338" t="s">
        <v>4710</v>
      </c>
      <c r="B2338" t="s">
        <v>8273</v>
      </c>
      <c r="C2338" t="s">
        <v>8394</v>
      </c>
      <c r="D2338" t="s">
        <v>8402</v>
      </c>
      <c r="E2338" t="s">
        <v>8446</v>
      </c>
      <c r="F2338" t="s">
        <v>8449</v>
      </c>
      <c r="G2338" t="s">
        <v>8818</v>
      </c>
    </row>
    <row r="2339" spans="1:7">
      <c r="A2339" t="s">
        <v>4711</v>
      </c>
      <c r="C2339" t="s">
        <v>8392</v>
      </c>
      <c r="D2339" t="s">
        <v>8400</v>
      </c>
      <c r="E2339" t="s">
        <v>1587</v>
      </c>
      <c r="F2339" t="s">
        <v>8447</v>
      </c>
      <c r="G2339" t="s">
        <v>8819</v>
      </c>
    </row>
    <row r="2340" spans="1:7">
      <c r="A2340" t="s">
        <v>4712</v>
      </c>
      <c r="B2340" t="s">
        <v>8273</v>
      </c>
      <c r="C2340" t="s">
        <v>8397</v>
      </c>
      <c r="D2340" t="s">
        <v>8434</v>
      </c>
      <c r="E2340" t="s">
        <v>8446</v>
      </c>
      <c r="F2340" t="s">
        <v>8449</v>
      </c>
      <c r="G2340" t="s">
        <v>8455</v>
      </c>
    </row>
    <row r="2341" spans="1:7">
      <c r="A2341" t="s">
        <v>4713</v>
      </c>
      <c r="B2341" t="s">
        <v>8273</v>
      </c>
      <c r="C2341" t="s">
        <v>8396</v>
      </c>
      <c r="D2341" t="s">
        <v>8405</v>
      </c>
      <c r="E2341" t="s">
        <v>1519</v>
      </c>
      <c r="F2341" t="s">
        <v>8449</v>
      </c>
      <c r="G2341" t="s">
        <v>8820</v>
      </c>
    </row>
    <row r="2342" spans="1:7">
      <c r="A2342" t="s">
        <v>4714</v>
      </c>
      <c r="B2342" t="s">
        <v>8273</v>
      </c>
      <c r="C2342" t="s">
        <v>8395</v>
      </c>
      <c r="D2342" t="s">
        <v>8420</v>
      </c>
      <c r="E2342" t="s">
        <v>1519</v>
      </c>
      <c r="F2342" t="s">
        <v>8448</v>
      </c>
      <c r="G2342" t="s">
        <v>8821</v>
      </c>
    </row>
    <row r="2343" spans="1:7">
      <c r="A2343" t="s">
        <v>4715</v>
      </c>
      <c r="B2343" t="s">
        <v>8273</v>
      </c>
      <c r="C2343" t="s">
        <v>8394</v>
      </c>
      <c r="D2343" t="s">
        <v>8422</v>
      </c>
      <c r="E2343" t="s">
        <v>8445</v>
      </c>
      <c r="F2343" t="s">
        <v>8448</v>
      </c>
      <c r="G2343" t="s">
        <v>8822</v>
      </c>
    </row>
    <row r="2344" spans="1:7">
      <c r="A2344" t="s">
        <v>4716</v>
      </c>
      <c r="B2344" t="s">
        <v>8273</v>
      </c>
      <c r="C2344" t="s">
        <v>8394</v>
      </c>
      <c r="D2344" t="s">
        <v>8422</v>
      </c>
      <c r="E2344" t="s">
        <v>8445</v>
      </c>
      <c r="F2344" t="s">
        <v>8448</v>
      </c>
      <c r="G2344" t="s">
        <v>8823</v>
      </c>
    </row>
    <row r="2345" spans="1:7">
      <c r="A2345" t="s">
        <v>4717</v>
      </c>
      <c r="B2345" t="s">
        <v>8273</v>
      </c>
      <c r="C2345" t="s">
        <v>8395</v>
      </c>
      <c r="D2345" t="s">
        <v>8414</v>
      </c>
      <c r="E2345" t="s">
        <v>8446</v>
      </c>
      <c r="F2345" t="s">
        <v>8449</v>
      </c>
      <c r="G2345" t="s">
        <v>8455</v>
      </c>
    </row>
    <row r="2346" spans="1:7">
      <c r="A2346" t="s">
        <v>4718</v>
      </c>
      <c r="B2346" t="s">
        <v>8273</v>
      </c>
      <c r="C2346" t="s">
        <v>8392</v>
      </c>
      <c r="D2346" t="s">
        <v>8400</v>
      </c>
      <c r="E2346" t="s">
        <v>8446</v>
      </c>
      <c r="F2346" t="s">
        <v>8448</v>
      </c>
      <c r="G2346" t="s">
        <v>8824</v>
      </c>
    </row>
    <row r="2347" spans="1:7">
      <c r="A2347" t="s">
        <v>4719</v>
      </c>
      <c r="C2347" t="s">
        <v>8393</v>
      </c>
      <c r="D2347" t="s">
        <v>8393</v>
      </c>
      <c r="E2347" t="s">
        <v>919</v>
      </c>
      <c r="F2347" t="s">
        <v>8393</v>
      </c>
    </row>
    <row r="2348" spans="1:7">
      <c r="A2348" t="s">
        <v>4720</v>
      </c>
      <c r="B2348" t="s">
        <v>8318</v>
      </c>
      <c r="C2348" t="s">
        <v>8394</v>
      </c>
      <c r="D2348" t="s">
        <v>8402</v>
      </c>
      <c r="E2348" t="s">
        <v>8445</v>
      </c>
      <c r="F2348" t="s">
        <v>8449</v>
      </c>
      <c r="G2348" t="s">
        <v>8455</v>
      </c>
    </row>
    <row r="2349" spans="1:7">
      <c r="A2349" t="s">
        <v>4721</v>
      </c>
      <c r="B2349" t="s">
        <v>8318</v>
      </c>
      <c r="C2349" t="s">
        <v>8394</v>
      </c>
      <c r="D2349" t="s">
        <v>8402</v>
      </c>
      <c r="E2349" t="s">
        <v>8445</v>
      </c>
      <c r="F2349" t="s">
        <v>8449</v>
      </c>
      <c r="G2349" t="s">
        <v>8455</v>
      </c>
    </row>
    <row r="2350" spans="1:7">
      <c r="A2350" t="s">
        <v>4722</v>
      </c>
      <c r="B2350" t="s">
        <v>8322</v>
      </c>
      <c r="C2350" t="s">
        <v>8394</v>
      </c>
      <c r="D2350" t="s">
        <v>8402</v>
      </c>
      <c r="E2350" t="s">
        <v>8445</v>
      </c>
      <c r="F2350" t="s">
        <v>8449</v>
      </c>
      <c r="G2350" t="s">
        <v>8455</v>
      </c>
    </row>
    <row r="2351" spans="1:7">
      <c r="A2351" t="s">
        <v>4723</v>
      </c>
      <c r="B2351" t="s">
        <v>8319</v>
      </c>
      <c r="C2351" t="s">
        <v>8394</v>
      </c>
      <c r="D2351" t="s">
        <v>8402</v>
      </c>
      <c r="E2351" t="s">
        <v>8445</v>
      </c>
      <c r="F2351" t="s">
        <v>8449</v>
      </c>
      <c r="G2351" t="s">
        <v>8455</v>
      </c>
    </row>
    <row r="2352" spans="1:7">
      <c r="A2352" t="s">
        <v>4724</v>
      </c>
      <c r="B2352" t="s">
        <v>8321</v>
      </c>
      <c r="C2352" t="s">
        <v>8394</v>
      </c>
      <c r="D2352" t="s">
        <v>8402</v>
      </c>
      <c r="E2352" t="s">
        <v>8445</v>
      </c>
      <c r="F2352" t="s">
        <v>8449</v>
      </c>
      <c r="G2352" t="s">
        <v>8455</v>
      </c>
    </row>
    <row r="2353" spans="1:7">
      <c r="A2353" t="s">
        <v>4725</v>
      </c>
      <c r="B2353" t="s">
        <v>8323</v>
      </c>
      <c r="C2353" t="s">
        <v>8392</v>
      </c>
      <c r="D2353" t="s">
        <v>8415</v>
      </c>
      <c r="E2353" t="s">
        <v>8445</v>
      </c>
      <c r="F2353" t="s">
        <v>8449</v>
      </c>
      <c r="G2353" t="s">
        <v>8455</v>
      </c>
    </row>
    <row r="2354" spans="1:7">
      <c r="A2354" t="s">
        <v>4726</v>
      </c>
      <c r="B2354" t="s">
        <v>8324</v>
      </c>
      <c r="C2354" t="s">
        <v>8392</v>
      </c>
      <c r="D2354" t="s">
        <v>8415</v>
      </c>
      <c r="E2354" t="s">
        <v>8444</v>
      </c>
      <c r="F2354" t="s">
        <v>8449</v>
      </c>
      <c r="G2354" t="s">
        <v>8455</v>
      </c>
    </row>
    <row r="2355" spans="1:7">
      <c r="A2355" t="s">
        <v>4727</v>
      </c>
      <c r="B2355" t="s">
        <v>8325</v>
      </c>
      <c r="C2355" t="s">
        <v>8395</v>
      </c>
      <c r="D2355" t="s">
        <v>8415</v>
      </c>
      <c r="E2355" t="s">
        <v>8444</v>
      </c>
      <c r="F2355" t="s">
        <v>8449</v>
      </c>
      <c r="G2355" t="s">
        <v>796</v>
      </c>
    </row>
    <row r="2356" spans="1:7">
      <c r="A2356" t="s">
        <v>4728</v>
      </c>
      <c r="C2356" t="s">
        <v>8393</v>
      </c>
      <c r="D2356" t="s">
        <v>8393</v>
      </c>
      <c r="E2356" t="s">
        <v>919</v>
      </c>
      <c r="F2356" t="s">
        <v>8393</v>
      </c>
    </row>
    <row r="2357" spans="1:7">
      <c r="A2357" t="s">
        <v>4729</v>
      </c>
      <c r="B2357" t="s">
        <v>8318</v>
      </c>
      <c r="C2357" t="s">
        <v>8395</v>
      </c>
      <c r="D2357" t="s">
        <v>8427</v>
      </c>
      <c r="E2357" t="s">
        <v>8446</v>
      </c>
      <c r="F2357" t="s">
        <v>8449</v>
      </c>
      <c r="G2357" t="s">
        <v>8455</v>
      </c>
    </row>
    <row r="2358" spans="1:7">
      <c r="A2358" t="s">
        <v>4730</v>
      </c>
      <c r="B2358" t="s">
        <v>8318</v>
      </c>
      <c r="C2358" t="s">
        <v>8395</v>
      </c>
      <c r="D2358" t="s">
        <v>8427</v>
      </c>
      <c r="E2358" t="s">
        <v>8446</v>
      </c>
      <c r="F2358" t="s">
        <v>8449</v>
      </c>
      <c r="G2358" t="s">
        <v>8455</v>
      </c>
    </row>
    <row r="2359" spans="1:7">
      <c r="A2359" t="s">
        <v>4731</v>
      </c>
      <c r="B2359" t="s">
        <v>8322</v>
      </c>
      <c r="C2359" t="s">
        <v>8395</v>
      </c>
      <c r="D2359" t="s">
        <v>8427</v>
      </c>
      <c r="E2359" t="s">
        <v>8446</v>
      </c>
      <c r="F2359" t="s">
        <v>8449</v>
      </c>
      <c r="G2359" t="s">
        <v>8455</v>
      </c>
    </row>
    <row r="2360" spans="1:7">
      <c r="A2360" t="s">
        <v>4732</v>
      </c>
      <c r="B2360" t="s">
        <v>8318</v>
      </c>
      <c r="C2360" t="s">
        <v>8395</v>
      </c>
      <c r="D2360" t="s">
        <v>8427</v>
      </c>
      <c r="E2360" t="s">
        <v>8446</v>
      </c>
      <c r="F2360" t="s">
        <v>8449</v>
      </c>
      <c r="G2360" t="s">
        <v>8455</v>
      </c>
    </row>
    <row r="2361" spans="1:7">
      <c r="A2361" t="s">
        <v>4733</v>
      </c>
      <c r="B2361" t="s">
        <v>8326</v>
      </c>
      <c r="C2361" t="s">
        <v>8395</v>
      </c>
      <c r="D2361" t="s">
        <v>8427</v>
      </c>
      <c r="E2361" t="s">
        <v>8446</v>
      </c>
      <c r="F2361" t="s">
        <v>8449</v>
      </c>
      <c r="G2361" t="s">
        <v>8455</v>
      </c>
    </row>
    <row r="2362" spans="1:7">
      <c r="A2362" t="s">
        <v>4734</v>
      </c>
      <c r="C2362" t="s">
        <v>8393</v>
      </c>
      <c r="D2362" t="s">
        <v>8393</v>
      </c>
      <c r="E2362" t="s">
        <v>919</v>
      </c>
      <c r="F2362" t="s">
        <v>8393</v>
      </c>
    </row>
    <row r="2363" spans="1:7">
      <c r="A2363" t="s">
        <v>4735</v>
      </c>
      <c r="B2363" t="s">
        <v>8278</v>
      </c>
      <c r="C2363" t="s">
        <v>8395</v>
      </c>
      <c r="D2363" t="s">
        <v>8423</v>
      </c>
      <c r="E2363" t="s">
        <v>8446</v>
      </c>
      <c r="F2363" t="s">
        <v>8449</v>
      </c>
      <c r="G2363" t="s">
        <v>8455</v>
      </c>
    </row>
    <row r="2364" spans="1:7">
      <c r="A2364" t="s">
        <v>4736</v>
      </c>
      <c r="B2364" t="s">
        <v>8281</v>
      </c>
      <c r="C2364" t="s">
        <v>8395</v>
      </c>
      <c r="D2364" t="s">
        <v>8423</v>
      </c>
      <c r="E2364" t="s">
        <v>8446</v>
      </c>
      <c r="F2364" t="s">
        <v>8449</v>
      </c>
      <c r="G2364" t="s">
        <v>8455</v>
      </c>
    </row>
    <row r="2365" spans="1:7">
      <c r="A2365" t="s">
        <v>4737</v>
      </c>
      <c r="B2365" t="s">
        <v>8327</v>
      </c>
      <c r="C2365" t="s">
        <v>8395</v>
      </c>
      <c r="D2365" t="s">
        <v>8423</v>
      </c>
      <c r="E2365" t="s">
        <v>1519</v>
      </c>
      <c r="F2365" t="s">
        <v>8449</v>
      </c>
      <c r="G2365" t="s">
        <v>8455</v>
      </c>
    </row>
    <row r="2366" spans="1:7">
      <c r="A2366" t="s">
        <v>4738</v>
      </c>
      <c r="B2366" t="s">
        <v>8328</v>
      </c>
      <c r="C2366" t="s">
        <v>8395</v>
      </c>
      <c r="D2366" t="s">
        <v>8423</v>
      </c>
      <c r="E2366" t="s">
        <v>1519</v>
      </c>
      <c r="F2366" t="s">
        <v>8449</v>
      </c>
      <c r="G2366" t="s">
        <v>8455</v>
      </c>
    </row>
    <row r="2367" spans="1:7">
      <c r="A2367" t="s">
        <v>4739</v>
      </c>
      <c r="B2367" t="s">
        <v>8329</v>
      </c>
      <c r="C2367" t="s">
        <v>8395</v>
      </c>
      <c r="D2367" t="s">
        <v>8423</v>
      </c>
      <c r="E2367" t="s">
        <v>1519</v>
      </c>
      <c r="F2367" t="s">
        <v>8449</v>
      </c>
      <c r="G2367" t="s">
        <v>8455</v>
      </c>
    </row>
    <row r="2368" spans="1:7">
      <c r="A2368" t="s">
        <v>4740</v>
      </c>
      <c r="B2368" t="s">
        <v>8330</v>
      </c>
      <c r="C2368" t="s">
        <v>8395</v>
      </c>
      <c r="D2368" t="s">
        <v>8423</v>
      </c>
      <c r="E2368" t="s">
        <v>1519</v>
      </c>
      <c r="F2368" t="s">
        <v>8449</v>
      </c>
      <c r="G2368" t="s">
        <v>8455</v>
      </c>
    </row>
    <row r="2369" spans="1:7">
      <c r="A2369" t="s">
        <v>4741</v>
      </c>
      <c r="B2369" t="s">
        <v>8331</v>
      </c>
      <c r="C2369" t="s">
        <v>8395</v>
      </c>
      <c r="D2369" t="s">
        <v>8423</v>
      </c>
      <c r="E2369" t="s">
        <v>1519</v>
      </c>
      <c r="F2369" t="s">
        <v>8449</v>
      </c>
      <c r="G2369" t="s">
        <v>8455</v>
      </c>
    </row>
    <row r="2370" spans="1:7">
      <c r="A2370" t="s">
        <v>4742</v>
      </c>
      <c r="B2370" t="s">
        <v>8332</v>
      </c>
      <c r="C2370" t="s">
        <v>8395</v>
      </c>
      <c r="D2370" t="s">
        <v>8423</v>
      </c>
      <c r="E2370" t="s">
        <v>1519</v>
      </c>
      <c r="F2370" t="s">
        <v>8449</v>
      </c>
      <c r="G2370" t="s">
        <v>8455</v>
      </c>
    </row>
    <row r="2371" spans="1:7">
      <c r="A2371" t="s">
        <v>4743</v>
      </c>
      <c r="B2371" t="s">
        <v>8333</v>
      </c>
      <c r="C2371" t="s">
        <v>8392</v>
      </c>
      <c r="D2371" t="s">
        <v>8415</v>
      </c>
      <c r="E2371" t="s">
        <v>1519</v>
      </c>
      <c r="F2371" t="s">
        <v>8449</v>
      </c>
      <c r="G2371" t="s">
        <v>8825</v>
      </c>
    </row>
    <row r="2372" spans="1:7">
      <c r="A2372" t="s">
        <v>4744</v>
      </c>
      <c r="C2372" t="s">
        <v>8396</v>
      </c>
      <c r="D2372" t="s">
        <v>8425</v>
      </c>
      <c r="E2372" t="s">
        <v>1519</v>
      </c>
      <c r="F2372" t="s">
        <v>8449</v>
      </c>
      <c r="G2372" t="s">
        <v>795</v>
      </c>
    </row>
    <row r="2373" spans="1:7">
      <c r="A2373" t="s">
        <v>4745</v>
      </c>
      <c r="C2373" t="s">
        <v>8393</v>
      </c>
      <c r="D2373" t="s">
        <v>8393</v>
      </c>
      <c r="E2373" t="s">
        <v>919</v>
      </c>
      <c r="F2373" t="s">
        <v>8393</v>
      </c>
    </row>
    <row r="2374" spans="1:7">
      <c r="A2374" t="s">
        <v>4746</v>
      </c>
      <c r="B2374" t="s">
        <v>8324</v>
      </c>
      <c r="C2374" t="s">
        <v>8397</v>
      </c>
      <c r="D2374" t="s">
        <v>8434</v>
      </c>
      <c r="E2374" t="s">
        <v>8444</v>
      </c>
      <c r="F2374" t="s">
        <v>8449</v>
      </c>
      <c r="G2374" t="s">
        <v>8455</v>
      </c>
    </row>
    <row r="2375" spans="1:7">
      <c r="A2375" t="s">
        <v>4747</v>
      </c>
      <c r="B2375" t="s">
        <v>8324</v>
      </c>
      <c r="C2375" t="s">
        <v>8397</v>
      </c>
      <c r="D2375" t="s">
        <v>8434</v>
      </c>
      <c r="E2375" t="s">
        <v>8444</v>
      </c>
      <c r="F2375" t="s">
        <v>8449</v>
      </c>
      <c r="G2375" t="s">
        <v>8455</v>
      </c>
    </row>
    <row r="2376" spans="1:7">
      <c r="A2376" t="s">
        <v>4748</v>
      </c>
      <c r="B2376" t="s">
        <v>8334</v>
      </c>
      <c r="C2376" t="s">
        <v>8397</v>
      </c>
      <c r="D2376" t="s">
        <v>8434</v>
      </c>
      <c r="E2376" t="s">
        <v>8444</v>
      </c>
      <c r="F2376" t="s">
        <v>8449</v>
      </c>
      <c r="G2376" t="s">
        <v>8455</v>
      </c>
    </row>
    <row r="2377" spans="1:7">
      <c r="A2377" t="s">
        <v>4749</v>
      </c>
      <c r="B2377" t="s">
        <v>8335</v>
      </c>
      <c r="C2377" t="s">
        <v>8397</v>
      </c>
      <c r="D2377" t="s">
        <v>8434</v>
      </c>
      <c r="E2377" t="s">
        <v>8444</v>
      </c>
      <c r="F2377" t="s">
        <v>8449</v>
      </c>
      <c r="G2377" t="s">
        <v>8455</v>
      </c>
    </row>
    <row r="2378" spans="1:7">
      <c r="A2378" t="s">
        <v>4750</v>
      </c>
      <c r="B2378" t="s">
        <v>8273</v>
      </c>
      <c r="C2378" t="s">
        <v>8392</v>
      </c>
      <c r="D2378" t="s">
        <v>8415</v>
      </c>
      <c r="E2378" t="s">
        <v>8446</v>
      </c>
      <c r="F2378" t="s">
        <v>8449</v>
      </c>
      <c r="G2378" t="s">
        <v>8455</v>
      </c>
    </row>
    <row r="2379" spans="1:7">
      <c r="A2379" t="s">
        <v>4751</v>
      </c>
      <c r="C2379" t="s">
        <v>8393</v>
      </c>
      <c r="D2379" t="s">
        <v>8393</v>
      </c>
      <c r="E2379" t="s">
        <v>919</v>
      </c>
      <c r="F2379" t="s">
        <v>8393</v>
      </c>
    </row>
    <row r="2380" spans="1:7">
      <c r="A2380" t="s">
        <v>4752</v>
      </c>
      <c r="B2380" t="s">
        <v>8318</v>
      </c>
      <c r="C2380" t="s">
        <v>8395</v>
      </c>
      <c r="D2380" t="s">
        <v>8422</v>
      </c>
      <c r="E2380" t="s">
        <v>8445</v>
      </c>
      <c r="F2380" t="s">
        <v>8449</v>
      </c>
      <c r="G2380" t="s">
        <v>8455</v>
      </c>
    </row>
    <row r="2381" spans="1:7">
      <c r="A2381" t="s">
        <v>4753</v>
      </c>
      <c r="B2381" t="s">
        <v>8318</v>
      </c>
      <c r="C2381" t="s">
        <v>8395</v>
      </c>
      <c r="D2381" t="s">
        <v>8422</v>
      </c>
      <c r="E2381" t="s">
        <v>8445</v>
      </c>
      <c r="F2381" t="s">
        <v>8449</v>
      </c>
      <c r="G2381" t="s">
        <v>8455</v>
      </c>
    </row>
    <row r="2382" spans="1:7">
      <c r="A2382" t="s">
        <v>4754</v>
      </c>
      <c r="B2382" t="s">
        <v>8320</v>
      </c>
      <c r="C2382" t="s">
        <v>8395</v>
      </c>
      <c r="D2382" t="s">
        <v>8422</v>
      </c>
      <c r="E2382" t="s">
        <v>8445</v>
      </c>
      <c r="F2382" t="s">
        <v>8449</v>
      </c>
      <c r="G2382" t="s">
        <v>8455</v>
      </c>
    </row>
    <row r="2383" spans="1:7">
      <c r="A2383" t="s">
        <v>4755</v>
      </c>
      <c r="C2383" t="s">
        <v>8393</v>
      </c>
      <c r="D2383" t="s">
        <v>8393</v>
      </c>
      <c r="E2383" t="s">
        <v>919</v>
      </c>
      <c r="F2383" t="s">
        <v>8393</v>
      </c>
    </row>
    <row r="2384" spans="1:7">
      <c r="A2384" t="s">
        <v>4756</v>
      </c>
      <c r="B2384" t="s">
        <v>8318</v>
      </c>
      <c r="C2384" t="s">
        <v>8395</v>
      </c>
      <c r="D2384" t="s">
        <v>8425</v>
      </c>
      <c r="E2384" t="s">
        <v>8445</v>
      </c>
      <c r="F2384" t="s">
        <v>8449</v>
      </c>
      <c r="G2384" t="s">
        <v>8455</v>
      </c>
    </row>
    <row r="2385" spans="1:7">
      <c r="A2385" t="s">
        <v>4757</v>
      </c>
      <c r="B2385" t="s">
        <v>8318</v>
      </c>
      <c r="C2385" t="s">
        <v>8395</v>
      </c>
      <c r="D2385" t="s">
        <v>8425</v>
      </c>
      <c r="E2385" t="s">
        <v>8445</v>
      </c>
      <c r="F2385" t="s">
        <v>8449</v>
      </c>
      <c r="G2385" t="s">
        <v>8455</v>
      </c>
    </row>
    <row r="2386" spans="1:7">
      <c r="A2386" t="s">
        <v>4758</v>
      </c>
      <c r="B2386" t="s">
        <v>8322</v>
      </c>
      <c r="C2386" t="s">
        <v>8395</v>
      </c>
      <c r="D2386" t="s">
        <v>8425</v>
      </c>
      <c r="E2386" t="s">
        <v>8445</v>
      </c>
      <c r="F2386" t="s">
        <v>8449</v>
      </c>
      <c r="G2386" t="s">
        <v>8455</v>
      </c>
    </row>
    <row r="2387" spans="1:7">
      <c r="A2387" t="s">
        <v>4759</v>
      </c>
      <c r="B2387" t="s">
        <v>8319</v>
      </c>
      <c r="C2387" t="s">
        <v>8395</v>
      </c>
      <c r="D2387" t="s">
        <v>8425</v>
      </c>
      <c r="E2387" t="s">
        <v>8445</v>
      </c>
      <c r="F2387" t="s">
        <v>8449</v>
      </c>
      <c r="G2387" t="s">
        <v>8455</v>
      </c>
    </row>
    <row r="2388" spans="1:7">
      <c r="A2388" t="s">
        <v>4760</v>
      </c>
      <c r="B2388" t="s">
        <v>8336</v>
      </c>
      <c r="C2388" t="s">
        <v>8395</v>
      </c>
      <c r="D2388" t="s">
        <v>8425</v>
      </c>
      <c r="E2388" t="s">
        <v>8445</v>
      </c>
      <c r="F2388" t="s">
        <v>8449</v>
      </c>
      <c r="G2388" t="s">
        <v>8455</v>
      </c>
    </row>
    <row r="2389" spans="1:7">
      <c r="A2389" t="s">
        <v>4761</v>
      </c>
      <c r="B2389" t="s">
        <v>8318</v>
      </c>
      <c r="C2389" t="s">
        <v>8395</v>
      </c>
      <c r="D2389" t="s">
        <v>8425</v>
      </c>
      <c r="E2389" t="s">
        <v>8445</v>
      </c>
      <c r="F2389" t="s">
        <v>8449</v>
      </c>
      <c r="G2389" t="s">
        <v>8455</v>
      </c>
    </row>
    <row r="2390" spans="1:7">
      <c r="A2390" t="s">
        <v>4762</v>
      </c>
      <c r="B2390" t="s">
        <v>8320</v>
      </c>
      <c r="C2390" t="s">
        <v>8395</v>
      </c>
      <c r="D2390" t="s">
        <v>8425</v>
      </c>
      <c r="E2390" t="s">
        <v>8445</v>
      </c>
      <c r="F2390" t="s">
        <v>8449</v>
      </c>
      <c r="G2390" t="s">
        <v>8455</v>
      </c>
    </row>
    <row r="2391" spans="1:7">
      <c r="A2391" t="s">
        <v>4763</v>
      </c>
      <c r="B2391" t="s">
        <v>8321</v>
      </c>
      <c r="C2391" t="s">
        <v>8395</v>
      </c>
      <c r="D2391" t="s">
        <v>8425</v>
      </c>
      <c r="E2391" t="s">
        <v>8445</v>
      </c>
      <c r="F2391" t="s">
        <v>8449</v>
      </c>
      <c r="G2391" t="s">
        <v>8455</v>
      </c>
    </row>
    <row r="2392" spans="1:7">
      <c r="A2392" t="s">
        <v>4764</v>
      </c>
      <c r="B2392" t="s">
        <v>8276</v>
      </c>
      <c r="C2392" t="s">
        <v>8395</v>
      </c>
      <c r="D2392" t="s">
        <v>8405</v>
      </c>
      <c r="E2392" t="s">
        <v>8446</v>
      </c>
      <c r="F2392" t="s">
        <v>8449</v>
      </c>
      <c r="G2392" t="s">
        <v>8455</v>
      </c>
    </row>
    <row r="2393" spans="1:7">
      <c r="A2393" t="s">
        <v>4765</v>
      </c>
      <c r="B2393" t="s">
        <v>8324</v>
      </c>
      <c r="C2393" t="s">
        <v>8394</v>
      </c>
      <c r="D2393" t="s">
        <v>8414</v>
      </c>
      <c r="E2393" t="s">
        <v>8445</v>
      </c>
      <c r="F2393" t="s">
        <v>8449</v>
      </c>
      <c r="G2393" t="s">
        <v>8455</v>
      </c>
    </row>
    <row r="2394" spans="1:7">
      <c r="A2394" t="s">
        <v>4766</v>
      </c>
      <c r="C2394" t="s">
        <v>8392</v>
      </c>
      <c r="D2394" t="s">
        <v>8415</v>
      </c>
      <c r="E2394" t="s">
        <v>8445</v>
      </c>
      <c r="F2394" t="s">
        <v>8448</v>
      </c>
      <c r="G2394" t="s">
        <v>8826</v>
      </c>
    </row>
    <row r="2395" spans="1:7">
      <c r="A2395" t="s">
        <v>4767</v>
      </c>
      <c r="B2395" t="s">
        <v>8273</v>
      </c>
      <c r="C2395" t="s">
        <v>8395</v>
      </c>
      <c r="D2395" t="s">
        <v>8415</v>
      </c>
      <c r="E2395" t="s">
        <v>8446</v>
      </c>
      <c r="F2395" t="s">
        <v>8449</v>
      </c>
      <c r="G2395" t="s">
        <v>8662</v>
      </c>
    </row>
    <row r="2396" spans="1:7">
      <c r="A2396" t="s">
        <v>4768</v>
      </c>
      <c r="B2396" t="s">
        <v>8318</v>
      </c>
      <c r="C2396" t="s">
        <v>8392</v>
      </c>
      <c r="D2396" t="s">
        <v>8415</v>
      </c>
      <c r="E2396" t="s">
        <v>8444</v>
      </c>
      <c r="F2396" t="s">
        <v>8449</v>
      </c>
      <c r="G2396" t="s">
        <v>8455</v>
      </c>
    </row>
    <row r="2397" spans="1:7">
      <c r="A2397" t="s">
        <v>4769</v>
      </c>
      <c r="B2397" t="s">
        <v>8324</v>
      </c>
      <c r="C2397" t="s">
        <v>8392</v>
      </c>
      <c r="D2397" t="s">
        <v>8415</v>
      </c>
      <c r="E2397" t="s">
        <v>8444</v>
      </c>
      <c r="F2397" t="s">
        <v>8449</v>
      </c>
      <c r="G2397" t="s">
        <v>8455</v>
      </c>
    </row>
    <row r="2398" spans="1:7">
      <c r="A2398" t="s">
        <v>4770</v>
      </c>
      <c r="C2398" t="s">
        <v>8393</v>
      </c>
      <c r="D2398" t="s">
        <v>8393</v>
      </c>
      <c r="E2398" t="s">
        <v>919</v>
      </c>
      <c r="F2398" t="s">
        <v>8393</v>
      </c>
    </row>
    <row r="2399" spans="1:7">
      <c r="A2399" t="s">
        <v>4771</v>
      </c>
      <c r="B2399" t="s">
        <v>8324</v>
      </c>
      <c r="C2399" t="s">
        <v>8395</v>
      </c>
      <c r="D2399" t="s">
        <v>8400</v>
      </c>
      <c r="E2399" t="s">
        <v>8445</v>
      </c>
      <c r="F2399" t="s">
        <v>8449</v>
      </c>
      <c r="G2399" t="s">
        <v>8455</v>
      </c>
    </row>
    <row r="2400" spans="1:7">
      <c r="A2400" t="s">
        <v>4772</v>
      </c>
      <c r="B2400" t="s">
        <v>8337</v>
      </c>
      <c r="C2400" t="s">
        <v>8395</v>
      </c>
      <c r="D2400" t="s">
        <v>8400</v>
      </c>
      <c r="E2400" t="s">
        <v>8445</v>
      </c>
      <c r="F2400" t="s">
        <v>8449</v>
      </c>
      <c r="G2400" t="s">
        <v>8455</v>
      </c>
    </row>
    <row r="2401" spans="1:7">
      <c r="A2401" t="s">
        <v>4773</v>
      </c>
      <c r="B2401" t="s">
        <v>8335</v>
      </c>
      <c r="C2401" t="s">
        <v>8395</v>
      </c>
      <c r="D2401" t="s">
        <v>8400</v>
      </c>
      <c r="E2401" t="s">
        <v>8445</v>
      </c>
      <c r="F2401" t="s">
        <v>8449</v>
      </c>
      <c r="G2401" t="s">
        <v>8455</v>
      </c>
    </row>
    <row r="2402" spans="1:7">
      <c r="A2402" t="s">
        <v>4774</v>
      </c>
      <c r="B2402" t="s">
        <v>8338</v>
      </c>
      <c r="C2402" t="s">
        <v>8395</v>
      </c>
      <c r="D2402" t="s">
        <v>8400</v>
      </c>
      <c r="E2402" t="s">
        <v>8445</v>
      </c>
      <c r="F2402" t="s">
        <v>8449</v>
      </c>
      <c r="G2402" t="s">
        <v>8455</v>
      </c>
    </row>
    <row r="2403" spans="1:7">
      <c r="A2403" t="s">
        <v>4775</v>
      </c>
      <c r="B2403" t="s">
        <v>8325</v>
      </c>
      <c r="C2403" t="s">
        <v>8395</v>
      </c>
      <c r="D2403" t="s">
        <v>8400</v>
      </c>
      <c r="E2403" t="s">
        <v>8445</v>
      </c>
      <c r="F2403" t="s">
        <v>8449</v>
      </c>
      <c r="G2403" t="s">
        <v>8455</v>
      </c>
    </row>
    <row r="2404" spans="1:7">
      <c r="A2404" t="s">
        <v>4776</v>
      </c>
      <c r="C2404" t="s">
        <v>8393</v>
      </c>
      <c r="D2404" t="s">
        <v>8393</v>
      </c>
      <c r="E2404" t="s">
        <v>919</v>
      </c>
      <c r="F2404" t="s">
        <v>8393</v>
      </c>
    </row>
    <row r="2405" spans="1:7">
      <c r="A2405" t="s">
        <v>4777</v>
      </c>
      <c r="B2405" t="s">
        <v>8318</v>
      </c>
      <c r="C2405" t="s">
        <v>8394</v>
      </c>
      <c r="D2405" t="s">
        <v>8414</v>
      </c>
      <c r="E2405" t="s">
        <v>1519</v>
      </c>
      <c r="F2405" t="s">
        <v>8449</v>
      </c>
      <c r="G2405" t="s">
        <v>8455</v>
      </c>
    </row>
    <row r="2406" spans="1:7">
      <c r="A2406" t="s">
        <v>4778</v>
      </c>
      <c r="B2406" t="s">
        <v>8318</v>
      </c>
      <c r="C2406" t="s">
        <v>8394</v>
      </c>
      <c r="D2406" t="s">
        <v>8414</v>
      </c>
      <c r="E2406" t="s">
        <v>1519</v>
      </c>
      <c r="F2406" t="s">
        <v>8449</v>
      </c>
      <c r="G2406" t="s">
        <v>8455</v>
      </c>
    </row>
    <row r="2407" spans="1:7">
      <c r="A2407" t="s">
        <v>4779</v>
      </c>
      <c r="B2407" t="s">
        <v>8322</v>
      </c>
      <c r="C2407" t="s">
        <v>8394</v>
      </c>
      <c r="D2407" t="s">
        <v>8414</v>
      </c>
      <c r="E2407" t="s">
        <v>1519</v>
      </c>
      <c r="F2407" t="s">
        <v>8449</v>
      </c>
      <c r="G2407" t="s">
        <v>8455</v>
      </c>
    </row>
    <row r="2408" spans="1:7">
      <c r="A2408" t="s">
        <v>4780</v>
      </c>
      <c r="B2408" t="s">
        <v>8319</v>
      </c>
      <c r="C2408" t="s">
        <v>8394</v>
      </c>
      <c r="D2408" t="s">
        <v>8414</v>
      </c>
      <c r="E2408" t="s">
        <v>1519</v>
      </c>
      <c r="F2408" t="s">
        <v>8449</v>
      </c>
      <c r="G2408" t="s">
        <v>8455</v>
      </c>
    </row>
    <row r="2409" spans="1:7">
      <c r="A2409" t="s">
        <v>4781</v>
      </c>
      <c r="B2409" t="s">
        <v>8336</v>
      </c>
      <c r="C2409" t="s">
        <v>8394</v>
      </c>
      <c r="D2409" t="s">
        <v>8414</v>
      </c>
      <c r="E2409" t="s">
        <v>1519</v>
      </c>
      <c r="F2409" t="s">
        <v>8449</v>
      </c>
      <c r="G2409" t="s">
        <v>8455</v>
      </c>
    </row>
    <row r="2410" spans="1:7">
      <c r="A2410" t="s">
        <v>4782</v>
      </c>
      <c r="B2410" t="s">
        <v>8321</v>
      </c>
      <c r="C2410" t="s">
        <v>8394</v>
      </c>
      <c r="D2410" t="s">
        <v>8414</v>
      </c>
      <c r="E2410" t="s">
        <v>1519</v>
      </c>
      <c r="F2410" t="s">
        <v>8449</v>
      </c>
      <c r="G2410" t="s">
        <v>8455</v>
      </c>
    </row>
    <row r="2411" spans="1:7">
      <c r="A2411" t="s">
        <v>4783</v>
      </c>
      <c r="C2411" t="s">
        <v>8392</v>
      </c>
      <c r="D2411" t="s">
        <v>8415</v>
      </c>
      <c r="E2411" t="s">
        <v>1519</v>
      </c>
      <c r="F2411" t="s">
        <v>8448</v>
      </c>
      <c r="G2411" t="s">
        <v>795</v>
      </c>
    </row>
    <row r="2412" spans="1:7">
      <c r="A2412" t="s">
        <v>4784</v>
      </c>
      <c r="C2412" t="s">
        <v>8393</v>
      </c>
      <c r="D2412" t="s">
        <v>8393</v>
      </c>
      <c r="E2412" t="s">
        <v>919</v>
      </c>
      <c r="F2412" t="s">
        <v>8393</v>
      </c>
    </row>
    <row r="2413" spans="1:7">
      <c r="A2413" t="s">
        <v>4785</v>
      </c>
      <c r="B2413" t="s">
        <v>8318</v>
      </c>
      <c r="C2413" t="s">
        <v>8394</v>
      </c>
      <c r="D2413" t="s">
        <v>8422</v>
      </c>
      <c r="E2413" t="s">
        <v>8445</v>
      </c>
      <c r="F2413" t="s">
        <v>8449</v>
      </c>
      <c r="G2413" t="s">
        <v>8455</v>
      </c>
    </row>
    <row r="2414" spans="1:7">
      <c r="A2414" t="s">
        <v>4786</v>
      </c>
      <c r="B2414" t="s">
        <v>8318</v>
      </c>
      <c r="C2414" t="s">
        <v>8395</v>
      </c>
      <c r="D2414" t="s">
        <v>8422</v>
      </c>
      <c r="E2414" t="s">
        <v>8445</v>
      </c>
      <c r="F2414" t="s">
        <v>8449</v>
      </c>
      <c r="G2414" t="s">
        <v>8455</v>
      </c>
    </row>
    <row r="2415" spans="1:7">
      <c r="A2415" t="s">
        <v>4787</v>
      </c>
      <c r="B2415" t="s">
        <v>8318</v>
      </c>
      <c r="C2415" t="s">
        <v>8395</v>
      </c>
      <c r="D2415" t="s">
        <v>8422</v>
      </c>
      <c r="E2415" t="s">
        <v>8445</v>
      </c>
      <c r="F2415" t="s">
        <v>8449</v>
      </c>
      <c r="G2415" t="s">
        <v>8455</v>
      </c>
    </row>
    <row r="2416" spans="1:7">
      <c r="A2416" t="s">
        <v>4788</v>
      </c>
      <c r="B2416" t="s">
        <v>8322</v>
      </c>
      <c r="C2416" t="s">
        <v>8395</v>
      </c>
      <c r="D2416" t="s">
        <v>8422</v>
      </c>
      <c r="E2416" t="s">
        <v>8445</v>
      </c>
      <c r="F2416" t="s">
        <v>8449</v>
      </c>
      <c r="G2416" t="s">
        <v>8455</v>
      </c>
    </row>
    <row r="2417" spans="1:7">
      <c r="A2417" t="s">
        <v>4789</v>
      </c>
      <c r="B2417" t="s">
        <v>8319</v>
      </c>
      <c r="C2417" t="s">
        <v>8395</v>
      </c>
      <c r="D2417" t="s">
        <v>8422</v>
      </c>
      <c r="E2417" t="s">
        <v>8445</v>
      </c>
      <c r="F2417" t="s">
        <v>8449</v>
      </c>
      <c r="G2417" t="s">
        <v>8455</v>
      </c>
    </row>
    <row r="2418" spans="1:7">
      <c r="A2418" t="s">
        <v>4790</v>
      </c>
      <c r="B2418" t="s">
        <v>8336</v>
      </c>
      <c r="C2418" t="s">
        <v>8395</v>
      </c>
      <c r="D2418" t="s">
        <v>8422</v>
      </c>
      <c r="E2418" t="s">
        <v>8445</v>
      </c>
      <c r="F2418" t="s">
        <v>8449</v>
      </c>
      <c r="G2418" t="s">
        <v>8455</v>
      </c>
    </row>
    <row r="2419" spans="1:7">
      <c r="A2419" t="s">
        <v>4791</v>
      </c>
      <c r="B2419" t="s">
        <v>8318</v>
      </c>
      <c r="C2419" t="s">
        <v>8395</v>
      </c>
      <c r="D2419" t="s">
        <v>8422</v>
      </c>
      <c r="E2419" t="s">
        <v>8445</v>
      </c>
      <c r="F2419" t="s">
        <v>8449</v>
      </c>
      <c r="G2419" t="s">
        <v>8455</v>
      </c>
    </row>
    <row r="2420" spans="1:7">
      <c r="A2420" t="s">
        <v>4792</v>
      </c>
      <c r="B2420" t="s">
        <v>8320</v>
      </c>
      <c r="C2420" t="s">
        <v>8395</v>
      </c>
      <c r="D2420" t="s">
        <v>8422</v>
      </c>
      <c r="E2420" t="s">
        <v>8445</v>
      </c>
      <c r="F2420" t="s">
        <v>8449</v>
      </c>
      <c r="G2420" t="s">
        <v>8455</v>
      </c>
    </row>
    <row r="2421" spans="1:7">
      <c r="A2421" t="s">
        <v>4793</v>
      </c>
      <c r="B2421" t="s">
        <v>8318</v>
      </c>
      <c r="C2421" t="s">
        <v>8394</v>
      </c>
      <c r="D2421" t="s">
        <v>8422</v>
      </c>
      <c r="E2421" t="s">
        <v>8445</v>
      </c>
      <c r="F2421" t="s">
        <v>8449</v>
      </c>
      <c r="G2421" t="s">
        <v>8455</v>
      </c>
    </row>
    <row r="2422" spans="1:7">
      <c r="A2422" t="s">
        <v>4794</v>
      </c>
      <c r="B2422" t="s">
        <v>8318</v>
      </c>
      <c r="C2422" t="s">
        <v>8395</v>
      </c>
      <c r="D2422" t="s">
        <v>8422</v>
      </c>
      <c r="E2422" t="s">
        <v>8445</v>
      </c>
      <c r="F2422" t="s">
        <v>8449</v>
      </c>
      <c r="G2422" t="s">
        <v>8455</v>
      </c>
    </row>
    <row r="2423" spans="1:7">
      <c r="A2423" t="s">
        <v>4795</v>
      </c>
      <c r="B2423" t="s">
        <v>8326</v>
      </c>
      <c r="C2423" t="s">
        <v>8395</v>
      </c>
      <c r="D2423" t="s">
        <v>8422</v>
      </c>
      <c r="E2423" t="s">
        <v>8445</v>
      </c>
      <c r="F2423" t="s">
        <v>8449</v>
      </c>
      <c r="G2423" t="s">
        <v>8455</v>
      </c>
    </row>
    <row r="2424" spans="1:7">
      <c r="A2424" t="s">
        <v>4796</v>
      </c>
      <c r="B2424" t="s">
        <v>8321</v>
      </c>
      <c r="C2424" t="s">
        <v>8395</v>
      </c>
      <c r="D2424" t="s">
        <v>8422</v>
      </c>
      <c r="E2424" t="s">
        <v>8445</v>
      </c>
      <c r="F2424" t="s">
        <v>8449</v>
      </c>
      <c r="G2424" t="s">
        <v>8455</v>
      </c>
    </row>
    <row r="2425" spans="1:7">
      <c r="A2425" t="s">
        <v>4797</v>
      </c>
      <c r="B2425" t="s">
        <v>8273</v>
      </c>
      <c r="C2425" t="s">
        <v>8398</v>
      </c>
      <c r="D2425" t="s">
        <v>8409</v>
      </c>
      <c r="E2425" t="s">
        <v>1519</v>
      </c>
      <c r="F2425" t="s">
        <v>8449</v>
      </c>
      <c r="G2425" t="s">
        <v>8455</v>
      </c>
    </row>
    <row r="2426" spans="1:7">
      <c r="A2426" t="s">
        <v>4798</v>
      </c>
      <c r="C2426" t="s">
        <v>8393</v>
      </c>
      <c r="D2426" t="s">
        <v>8393</v>
      </c>
      <c r="E2426" t="s">
        <v>919</v>
      </c>
      <c r="F2426" t="s">
        <v>8393</v>
      </c>
    </row>
    <row r="2427" spans="1:7">
      <c r="A2427" t="s">
        <v>4799</v>
      </c>
      <c r="B2427" t="s">
        <v>8318</v>
      </c>
      <c r="C2427" t="s">
        <v>8392</v>
      </c>
      <c r="D2427" t="s">
        <v>8400</v>
      </c>
      <c r="E2427" t="s">
        <v>8445</v>
      </c>
      <c r="F2427" t="s">
        <v>8449</v>
      </c>
      <c r="G2427" t="s">
        <v>8455</v>
      </c>
    </row>
    <row r="2428" spans="1:7">
      <c r="A2428" t="s">
        <v>4800</v>
      </c>
      <c r="B2428" t="s">
        <v>8318</v>
      </c>
      <c r="C2428" t="s">
        <v>8392</v>
      </c>
      <c r="D2428" t="s">
        <v>8400</v>
      </c>
      <c r="E2428" t="s">
        <v>8445</v>
      </c>
      <c r="F2428" t="s">
        <v>8449</v>
      </c>
      <c r="G2428" t="s">
        <v>8455</v>
      </c>
    </row>
    <row r="2429" spans="1:7">
      <c r="A2429" t="s">
        <v>4801</v>
      </c>
      <c r="B2429" t="s">
        <v>8318</v>
      </c>
      <c r="C2429" t="s">
        <v>8395</v>
      </c>
      <c r="D2429" t="s">
        <v>8400</v>
      </c>
      <c r="E2429" t="s">
        <v>8445</v>
      </c>
      <c r="F2429" t="s">
        <v>8449</v>
      </c>
      <c r="G2429" t="s">
        <v>8455</v>
      </c>
    </row>
    <row r="2430" spans="1:7">
      <c r="A2430" t="s">
        <v>4802</v>
      </c>
      <c r="B2430" t="s">
        <v>8322</v>
      </c>
      <c r="C2430" t="s">
        <v>8392</v>
      </c>
      <c r="D2430" t="s">
        <v>8400</v>
      </c>
      <c r="E2430" t="s">
        <v>8445</v>
      </c>
      <c r="F2430" t="s">
        <v>8449</v>
      </c>
      <c r="G2430" t="s">
        <v>8455</v>
      </c>
    </row>
    <row r="2431" spans="1:7">
      <c r="A2431" t="s">
        <v>4803</v>
      </c>
      <c r="B2431" t="s">
        <v>8319</v>
      </c>
      <c r="C2431" t="s">
        <v>8395</v>
      </c>
      <c r="D2431" t="s">
        <v>8400</v>
      </c>
      <c r="E2431" t="s">
        <v>8445</v>
      </c>
      <c r="F2431" t="s">
        <v>8449</v>
      </c>
      <c r="G2431" t="s">
        <v>8455</v>
      </c>
    </row>
    <row r="2432" spans="1:7">
      <c r="A2432" t="s">
        <v>4804</v>
      </c>
      <c r="B2432" t="s">
        <v>8336</v>
      </c>
      <c r="C2432" t="s">
        <v>8395</v>
      </c>
      <c r="D2432" t="s">
        <v>8400</v>
      </c>
      <c r="E2432" t="s">
        <v>8445</v>
      </c>
      <c r="F2432" t="s">
        <v>8449</v>
      </c>
      <c r="G2432" t="s">
        <v>8455</v>
      </c>
    </row>
    <row r="2433" spans="1:7">
      <c r="A2433" t="s">
        <v>4805</v>
      </c>
      <c r="B2433" t="s">
        <v>8318</v>
      </c>
      <c r="C2433" t="s">
        <v>8395</v>
      </c>
      <c r="D2433" t="s">
        <v>8400</v>
      </c>
      <c r="E2433" t="s">
        <v>8445</v>
      </c>
      <c r="F2433" t="s">
        <v>8449</v>
      </c>
      <c r="G2433" t="s">
        <v>8455</v>
      </c>
    </row>
    <row r="2434" spans="1:7">
      <c r="A2434" t="s">
        <v>4806</v>
      </c>
      <c r="B2434" t="s">
        <v>8318</v>
      </c>
      <c r="C2434" t="s">
        <v>8392</v>
      </c>
      <c r="D2434" t="s">
        <v>8400</v>
      </c>
      <c r="E2434" t="s">
        <v>8445</v>
      </c>
      <c r="F2434" t="s">
        <v>8449</v>
      </c>
      <c r="G2434" t="s">
        <v>8455</v>
      </c>
    </row>
    <row r="2435" spans="1:7">
      <c r="A2435" t="s">
        <v>4807</v>
      </c>
      <c r="B2435" t="s">
        <v>8318</v>
      </c>
      <c r="C2435" t="s">
        <v>8392</v>
      </c>
      <c r="D2435" t="s">
        <v>8400</v>
      </c>
      <c r="E2435" t="s">
        <v>8445</v>
      </c>
      <c r="F2435" t="s">
        <v>8449</v>
      </c>
      <c r="G2435" t="s">
        <v>8455</v>
      </c>
    </row>
    <row r="2436" spans="1:7">
      <c r="A2436" t="s">
        <v>4808</v>
      </c>
      <c r="B2436" t="s">
        <v>8326</v>
      </c>
      <c r="C2436" t="s">
        <v>8395</v>
      </c>
      <c r="D2436" t="s">
        <v>8400</v>
      </c>
      <c r="E2436" t="s">
        <v>8445</v>
      </c>
      <c r="F2436" t="s">
        <v>8449</v>
      </c>
      <c r="G2436" t="s">
        <v>8455</v>
      </c>
    </row>
    <row r="2437" spans="1:7">
      <c r="A2437" t="s">
        <v>4809</v>
      </c>
      <c r="B2437" t="s">
        <v>8318</v>
      </c>
      <c r="C2437" t="s">
        <v>8392</v>
      </c>
      <c r="D2437" t="s">
        <v>8400</v>
      </c>
      <c r="E2437" t="s">
        <v>8445</v>
      </c>
      <c r="F2437" t="s">
        <v>8449</v>
      </c>
      <c r="G2437" t="s">
        <v>8455</v>
      </c>
    </row>
    <row r="2438" spans="1:7">
      <c r="A2438" t="s">
        <v>4810</v>
      </c>
      <c r="B2438" t="s">
        <v>8318</v>
      </c>
      <c r="C2438" t="s">
        <v>8392</v>
      </c>
      <c r="D2438" t="s">
        <v>8400</v>
      </c>
      <c r="E2438" t="s">
        <v>8445</v>
      </c>
      <c r="F2438" t="s">
        <v>8449</v>
      </c>
      <c r="G2438" t="s">
        <v>8455</v>
      </c>
    </row>
    <row r="2439" spans="1:7">
      <c r="A2439" t="s">
        <v>4811</v>
      </c>
      <c r="B2439" t="s">
        <v>8321</v>
      </c>
      <c r="C2439" t="s">
        <v>8395</v>
      </c>
      <c r="D2439" t="s">
        <v>8400</v>
      </c>
      <c r="E2439" t="s">
        <v>8445</v>
      </c>
      <c r="F2439" t="s">
        <v>8449</v>
      </c>
      <c r="G2439" t="s">
        <v>8455</v>
      </c>
    </row>
    <row r="2440" spans="1:7">
      <c r="A2440" t="s">
        <v>4812</v>
      </c>
      <c r="B2440" t="s">
        <v>8273</v>
      </c>
      <c r="C2440" t="s">
        <v>8396</v>
      </c>
      <c r="D2440" t="s">
        <v>8411</v>
      </c>
      <c r="E2440" t="s">
        <v>8445</v>
      </c>
      <c r="F2440" t="s">
        <v>8447</v>
      </c>
      <c r="G2440" t="s">
        <v>8827</v>
      </c>
    </row>
    <row r="2441" spans="1:7">
      <c r="A2441" t="s">
        <v>4813</v>
      </c>
      <c r="B2441" t="s">
        <v>8273</v>
      </c>
      <c r="C2441" t="s">
        <v>8392</v>
      </c>
      <c r="D2441" t="s">
        <v>8415</v>
      </c>
      <c r="E2441" t="s">
        <v>8445</v>
      </c>
      <c r="F2441" t="s">
        <v>8448</v>
      </c>
      <c r="G2441" t="s">
        <v>8455</v>
      </c>
    </row>
    <row r="2442" spans="1:7">
      <c r="A2442" t="s">
        <v>4814</v>
      </c>
      <c r="B2442" t="s">
        <v>8276</v>
      </c>
      <c r="C2442" t="s">
        <v>8398</v>
      </c>
      <c r="D2442" t="s">
        <v>8419</v>
      </c>
      <c r="E2442" t="s">
        <v>8445</v>
      </c>
      <c r="F2442" t="s">
        <v>8448</v>
      </c>
      <c r="G2442" t="s">
        <v>8455</v>
      </c>
    </row>
    <row r="2443" spans="1:7">
      <c r="A2443" t="s">
        <v>4815</v>
      </c>
      <c r="B2443" t="s">
        <v>8274</v>
      </c>
      <c r="C2443" t="s">
        <v>8396</v>
      </c>
      <c r="D2443" t="s">
        <v>8406</v>
      </c>
      <c r="E2443" t="s">
        <v>8444</v>
      </c>
      <c r="F2443" t="s">
        <v>8449</v>
      </c>
      <c r="G2443" t="s">
        <v>8455</v>
      </c>
    </row>
    <row r="2444" spans="1:7">
      <c r="A2444" t="s">
        <v>4816</v>
      </c>
      <c r="C2444" t="s">
        <v>8393</v>
      </c>
      <c r="D2444" t="s">
        <v>8393</v>
      </c>
      <c r="E2444" t="s">
        <v>919</v>
      </c>
      <c r="F2444" t="s">
        <v>8393</v>
      </c>
    </row>
    <row r="2445" spans="1:7">
      <c r="A2445" t="s">
        <v>4817</v>
      </c>
      <c r="B2445" t="s">
        <v>8318</v>
      </c>
      <c r="C2445" t="s">
        <v>8395</v>
      </c>
      <c r="D2445" t="s">
        <v>8422</v>
      </c>
      <c r="E2445" t="s">
        <v>8445</v>
      </c>
      <c r="F2445" t="s">
        <v>8449</v>
      </c>
      <c r="G2445" t="s">
        <v>8455</v>
      </c>
    </row>
    <row r="2446" spans="1:7">
      <c r="A2446" t="s">
        <v>4818</v>
      </c>
      <c r="B2446" t="s">
        <v>8318</v>
      </c>
      <c r="C2446" t="s">
        <v>8395</v>
      </c>
      <c r="D2446" t="s">
        <v>8422</v>
      </c>
      <c r="E2446" t="s">
        <v>8445</v>
      </c>
      <c r="F2446" t="s">
        <v>8449</v>
      </c>
      <c r="G2446" t="s">
        <v>8455</v>
      </c>
    </row>
    <row r="2447" spans="1:7">
      <c r="A2447" t="s">
        <v>4819</v>
      </c>
      <c r="B2447" t="s">
        <v>8322</v>
      </c>
      <c r="C2447" t="s">
        <v>8395</v>
      </c>
      <c r="D2447" t="s">
        <v>8422</v>
      </c>
      <c r="E2447" t="s">
        <v>8445</v>
      </c>
      <c r="F2447" t="s">
        <v>8449</v>
      </c>
      <c r="G2447" t="s">
        <v>8455</v>
      </c>
    </row>
    <row r="2448" spans="1:7">
      <c r="A2448" t="s">
        <v>4820</v>
      </c>
      <c r="B2448" t="s">
        <v>8319</v>
      </c>
      <c r="C2448" t="s">
        <v>8395</v>
      </c>
      <c r="D2448" t="s">
        <v>8422</v>
      </c>
      <c r="E2448" t="s">
        <v>8445</v>
      </c>
      <c r="F2448" t="s">
        <v>8449</v>
      </c>
      <c r="G2448" t="s">
        <v>8455</v>
      </c>
    </row>
    <row r="2449" spans="1:7">
      <c r="A2449" t="s">
        <v>4821</v>
      </c>
      <c r="B2449" t="s">
        <v>8336</v>
      </c>
      <c r="C2449" t="s">
        <v>8395</v>
      </c>
      <c r="D2449" t="s">
        <v>8422</v>
      </c>
      <c r="E2449" t="s">
        <v>8445</v>
      </c>
      <c r="F2449" t="s">
        <v>8449</v>
      </c>
      <c r="G2449" t="s">
        <v>8455</v>
      </c>
    </row>
    <row r="2450" spans="1:7">
      <c r="A2450" t="s">
        <v>4822</v>
      </c>
      <c r="B2450" t="s">
        <v>8326</v>
      </c>
      <c r="C2450" t="s">
        <v>8395</v>
      </c>
      <c r="D2450" t="s">
        <v>8422</v>
      </c>
      <c r="E2450" t="s">
        <v>8445</v>
      </c>
      <c r="F2450" t="s">
        <v>8449</v>
      </c>
      <c r="G2450" t="s">
        <v>8455</v>
      </c>
    </row>
    <row r="2451" spans="1:7">
      <c r="A2451" t="s">
        <v>4823</v>
      </c>
      <c r="B2451" t="s">
        <v>8321</v>
      </c>
      <c r="C2451" t="s">
        <v>8395</v>
      </c>
      <c r="D2451" t="s">
        <v>8422</v>
      </c>
      <c r="E2451" t="s">
        <v>8445</v>
      </c>
      <c r="F2451" t="s">
        <v>8449</v>
      </c>
      <c r="G2451" t="s">
        <v>8455</v>
      </c>
    </row>
    <row r="2452" spans="1:7">
      <c r="A2452" t="s">
        <v>4824</v>
      </c>
      <c r="B2452" t="s">
        <v>8278</v>
      </c>
      <c r="C2452" t="s">
        <v>8395</v>
      </c>
      <c r="D2452" t="s">
        <v>8423</v>
      </c>
      <c r="E2452" t="s">
        <v>1519</v>
      </c>
      <c r="F2452" t="s">
        <v>8448</v>
      </c>
      <c r="G2452" t="s">
        <v>8455</v>
      </c>
    </row>
    <row r="2453" spans="1:7">
      <c r="A2453" t="s">
        <v>4825</v>
      </c>
      <c r="B2453" t="s">
        <v>8318</v>
      </c>
      <c r="C2453" t="s">
        <v>8394</v>
      </c>
      <c r="D2453" t="s">
        <v>8414</v>
      </c>
      <c r="E2453" t="s">
        <v>8445</v>
      </c>
      <c r="F2453" t="s">
        <v>8449</v>
      </c>
      <c r="G2453" t="s">
        <v>8455</v>
      </c>
    </row>
    <row r="2454" spans="1:7">
      <c r="A2454" t="s">
        <v>4826</v>
      </c>
      <c r="C2454" t="s">
        <v>8393</v>
      </c>
      <c r="D2454" t="s">
        <v>8393</v>
      </c>
      <c r="E2454" t="s">
        <v>919</v>
      </c>
      <c r="F2454" t="s">
        <v>8393</v>
      </c>
    </row>
    <row r="2455" spans="1:7">
      <c r="A2455" t="s">
        <v>4827</v>
      </c>
      <c r="B2455" t="s">
        <v>8273</v>
      </c>
      <c r="C2455" t="s">
        <v>8395</v>
      </c>
      <c r="D2455" t="s">
        <v>8411</v>
      </c>
      <c r="E2455" t="s">
        <v>8445</v>
      </c>
      <c r="F2455" t="s">
        <v>8449</v>
      </c>
      <c r="G2455" t="s">
        <v>8828</v>
      </c>
    </row>
    <row r="2456" spans="1:7">
      <c r="A2456" t="s">
        <v>4828</v>
      </c>
      <c r="B2456" t="s">
        <v>8273</v>
      </c>
      <c r="C2456" t="s">
        <v>8395</v>
      </c>
      <c r="D2456" t="s">
        <v>8411</v>
      </c>
      <c r="E2456" t="s">
        <v>8445</v>
      </c>
      <c r="F2456" t="s">
        <v>8449</v>
      </c>
      <c r="G2456" t="s">
        <v>8687</v>
      </c>
    </row>
    <row r="2457" spans="1:7">
      <c r="A2457" t="s">
        <v>4829</v>
      </c>
      <c r="B2457" t="s">
        <v>8273</v>
      </c>
      <c r="C2457" t="s">
        <v>8396</v>
      </c>
      <c r="D2457" t="s">
        <v>8425</v>
      </c>
      <c r="E2457" t="s">
        <v>8445</v>
      </c>
      <c r="F2457" t="s">
        <v>8449</v>
      </c>
      <c r="G2457" t="s">
        <v>8455</v>
      </c>
    </row>
    <row r="2458" spans="1:7">
      <c r="A2458" t="s">
        <v>4830</v>
      </c>
      <c r="C2458" t="s">
        <v>8393</v>
      </c>
      <c r="D2458" t="s">
        <v>8393</v>
      </c>
      <c r="E2458" t="s">
        <v>919</v>
      </c>
      <c r="F2458" t="s">
        <v>8393</v>
      </c>
    </row>
    <row r="2459" spans="1:7">
      <c r="A2459" t="s">
        <v>4831</v>
      </c>
      <c r="B2459" t="s">
        <v>8318</v>
      </c>
      <c r="C2459" t="s">
        <v>8395</v>
      </c>
      <c r="D2459" t="s">
        <v>8415</v>
      </c>
      <c r="E2459" t="s">
        <v>8444</v>
      </c>
      <c r="F2459" t="s">
        <v>8448</v>
      </c>
      <c r="G2459" t="s">
        <v>8455</v>
      </c>
    </row>
    <row r="2460" spans="1:7">
      <c r="A2460" t="s">
        <v>4832</v>
      </c>
      <c r="B2460" t="s">
        <v>8318</v>
      </c>
      <c r="C2460" t="s">
        <v>8392</v>
      </c>
      <c r="D2460" t="s">
        <v>8415</v>
      </c>
      <c r="E2460" t="s">
        <v>8444</v>
      </c>
      <c r="F2460" t="s">
        <v>8448</v>
      </c>
      <c r="G2460" t="s">
        <v>8455</v>
      </c>
    </row>
    <row r="2461" spans="1:7">
      <c r="A2461" t="s">
        <v>4833</v>
      </c>
      <c r="B2461" t="s">
        <v>8322</v>
      </c>
      <c r="C2461" t="s">
        <v>8392</v>
      </c>
      <c r="D2461" t="s">
        <v>8415</v>
      </c>
      <c r="E2461" t="s">
        <v>8444</v>
      </c>
      <c r="F2461" t="s">
        <v>8448</v>
      </c>
      <c r="G2461" t="s">
        <v>8455</v>
      </c>
    </row>
    <row r="2462" spans="1:7">
      <c r="A2462" t="s">
        <v>4834</v>
      </c>
      <c r="B2462" t="s">
        <v>8336</v>
      </c>
      <c r="C2462" t="s">
        <v>8392</v>
      </c>
      <c r="D2462" t="s">
        <v>8415</v>
      </c>
      <c r="E2462" t="s">
        <v>8444</v>
      </c>
      <c r="F2462" t="s">
        <v>8448</v>
      </c>
      <c r="G2462" t="s">
        <v>8455</v>
      </c>
    </row>
    <row r="2463" spans="1:7">
      <c r="A2463" t="s">
        <v>4835</v>
      </c>
      <c r="B2463" t="s">
        <v>8326</v>
      </c>
      <c r="C2463" t="s">
        <v>8392</v>
      </c>
      <c r="D2463" t="s">
        <v>8415</v>
      </c>
      <c r="E2463" t="s">
        <v>8444</v>
      </c>
      <c r="F2463" t="s">
        <v>8448</v>
      </c>
      <c r="G2463" t="s">
        <v>8455</v>
      </c>
    </row>
    <row r="2464" spans="1:7">
      <c r="A2464" t="s">
        <v>4836</v>
      </c>
      <c r="B2464" t="s">
        <v>8321</v>
      </c>
      <c r="C2464" t="s">
        <v>8392</v>
      </c>
      <c r="D2464" t="s">
        <v>8415</v>
      </c>
      <c r="E2464" t="s">
        <v>8444</v>
      </c>
      <c r="F2464" t="s">
        <v>8448</v>
      </c>
      <c r="G2464" t="s">
        <v>8455</v>
      </c>
    </row>
    <row r="2465" spans="1:7">
      <c r="A2465" t="s">
        <v>4837</v>
      </c>
      <c r="C2465" t="s">
        <v>8396</v>
      </c>
      <c r="D2465" t="s">
        <v>8425</v>
      </c>
      <c r="E2465" t="s">
        <v>8446</v>
      </c>
      <c r="F2465" t="s">
        <v>8449</v>
      </c>
      <c r="G2465" t="s">
        <v>8829</v>
      </c>
    </row>
    <row r="2466" spans="1:7">
      <c r="A2466" t="s">
        <v>4838</v>
      </c>
      <c r="B2466" t="s">
        <v>8273</v>
      </c>
      <c r="C2466" t="s">
        <v>8392</v>
      </c>
      <c r="D2466" t="s">
        <v>8415</v>
      </c>
      <c r="E2466" t="s">
        <v>8444</v>
      </c>
      <c r="F2466" t="s">
        <v>8449</v>
      </c>
      <c r="G2466" t="s">
        <v>796</v>
      </c>
    </row>
    <row r="2467" spans="1:7">
      <c r="A2467" t="s">
        <v>4839</v>
      </c>
      <c r="B2467" t="s">
        <v>8273</v>
      </c>
      <c r="C2467" t="s">
        <v>8392</v>
      </c>
      <c r="D2467" t="s">
        <v>8415</v>
      </c>
      <c r="E2467" t="s">
        <v>8445</v>
      </c>
      <c r="F2467" t="s">
        <v>8449</v>
      </c>
      <c r="G2467" t="s">
        <v>8455</v>
      </c>
    </row>
    <row r="2468" spans="1:7">
      <c r="A2468" t="s">
        <v>4840</v>
      </c>
      <c r="C2468" t="s">
        <v>8393</v>
      </c>
      <c r="D2468" t="s">
        <v>8393</v>
      </c>
      <c r="E2468" t="s">
        <v>919</v>
      </c>
      <c r="F2468" t="s">
        <v>8393</v>
      </c>
    </row>
    <row r="2469" spans="1:7">
      <c r="A2469" t="s">
        <v>4841</v>
      </c>
      <c r="B2469" t="s">
        <v>8339</v>
      </c>
      <c r="C2469" t="s">
        <v>8396</v>
      </c>
      <c r="D2469" t="s">
        <v>8420</v>
      </c>
      <c r="E2469" t="s">
        <v>8446</v>
      </c>
      <c r="F2469" t="s">
        <v>8449</v>
      </c>
      <c r="G2469" t="s">
        <v>8830</v>
      </c>
    </row>
    <row r="2470" spans="1:7">
      <c r="A2470" t="s">
        <v>4842</v>
      </c>
      <c r="B2470" t="s">
        <v>8339</v>
      </c>
      <c r="C2470" t="s">
        <v>8396</v>
      </c>
      <c r="D2470" t="s">
        <v>8420</v>
      </c>
      <c r="E2470" t="s">
        <v>8444</v>
      </c>
      <c r="F2470" t="s">
        <v>8449</v>
      </c>
      <c r="G2470" t="s">
        <v>8455</v>
      </c>
    </row>
    <row r="2471" spans="1:7">
      <c r="A2471" t="s">
        <v>4843</v>
      </c>
      <c r="B2471" t="s">
        <v>8339</v>
      </c>
      <c r="C2471" t="s">
        <v>8396</v>
      </c>
      <c r="D2471" t="s">
        <v>8420</v>
      </c>
      <c r="E2471" t="s">
        <v>8444</v>
      </c>
      <c r="F2471" t="s">
        <v>8449</v>
      </c>
      <c r="G2471" t="s">
        <v>8455</v>
      </c>
    </row>
    <row r="2472" spans="1:7">
      <c r="A2472" t="s">
        <v>4844</v>
      </c>
      <c r="B2472" t="s">
        <v>8339</v>
      </c>
      <c r="C2472" t="s">
        <v>8396</v>
      </c>
      <c r="D2472" t="s">
        <v>8420</v>
      </c>
      <c r="E2472" t="s">
        <v>8446</v>
      </c>
      <c r="F2472" t="s">
        <v>8449</v>
      </c>
      <c r="G2472" t="s">
        <v>8455</v>
      </c>
    </row>
    <row r="2473" spans="1:7">
      <c r="A2473" t="s">
        <v>4845</v>
      </c>
      <c r="B2473" t="s">
        <v>8340</v>
      </c>
      <c r="C2473" t="s">
        <v>8396</v>
      </c>
      <c r="D2473" t="s">
        <v>8420</v>
      </c>
      <c r="E2473" t="s">
        <v>8444</v>
      </c>
      <c r="F2473" t="s">
        <v>8449</v>
      </c>
      <c r="G2473" t="s">
        <v>8455</v>
      </c>
    </row>
    <row r="2474" spans="1:7">
      <c r="A2474" t="s">
        <v>4846</v>
      </c>
      <c r="B2474" t="s">
        <v>8339</v>
      </c>
      <c r="C2474" t="s">
        <v>8396</v>
      </c>
      <c r="D2474" t="s">
        <v>8420</v>
      </c>
      <c r="E2474" t="s">
        <v>8446</v>
      </c>
      <c r="F2474" t="s">
        <v>8449</v>
      </c>
      <c r="G2474" t="s">
        <v>8455</v>
      </c>
    </row>
    <row r="2475" spans="1:7">
      <c r="A2475" t="s">
        <v>4847</v>
      </c>
      <c r="B2475" t="s">
        <v>8273</v>
      </c>
      <c r="C2475" t="s">
        <v>8396</v>
      </c>
      <c r="D2475" t="s">
        <v>8425</v>
      </c>
      <c r="E2475" t="s">
        <v>8446</v>
      </c>
      <c r="F2475" t="s">
        <v>8449</v>
      </c>
      <c r="G2475" t="s">
        <v>8455</v>
      </c>
    </row>
    <row r="2476" spans="1:7">
      <c r="A2476" t="s">
        <v>4848</v>
      </c>
      <c r="C2476" t="s">
        <v>8398</v>
      </c>
      <c r="D2476" t="s">
        <v>8410</v>
      </c>
      <c r="E2476" t="s">
        <v>8446</v>
      </c>
      <c r="F2476" t="s">
        <v>8448</v>
      </c>
      <c r="G2476" t="s">
        <v>8455</v>
      </c>
    </row>
    <row r="2477" spans="1:7">
      <c r="A2477" t="s">
        <v>4849</v>
      </c>
      <c r="B2477" t="s">
        <v>8278</v>
      </c>
      <c r="C2477" t="s">
        <v>8395</v>
      </c>
      <c r="D2477" t="s">
        <v>8423</v>
      </c>
      <c r="E2477" t="s">
        <v>8446</v>
      </c>
      <c r="F2477" t="s">
        <v>8448</v>
      </c>
      <c r="G2477" t="s">
        <v>8455</v>
      </c>
    </row>
    <row r="2478" spans="1:7">
      <c r="A2478" t="s">
        <v>4850</v>
      </c>
      <c r="C2478" t="s">
        <v>8393</v>
      </c>
      <c r="D2478" t="s">
        <v>8393</v>
      </c>
      <c r="E2478" t="s">
        <v>919</v>
      </c>
      <c r="F2478" t="s">
        <v>8393</v>
      </c>
    </row>
    <row r="2479" spans="1:7">
      <c r="A2479" t="s">
        <v>4851</v>
      </c>
      <c r="B2479" t="s">
        <v>8273</v>
      </c>
      <c r="C2479" t="s">
        <v>8395</v>
      </c>
      <c r="D2479" t="s">
        <v>8419</v>
      </c>
      <c r="E2479" t="s">
        <v>8445</v>
      </c>
      <c r="F2479" t="s">
        <v>8449</v>
      </c>
      <c r="G2479" t="s">
        <v>8455</v>
      </c>
    </row>
    <row r="2480" spans="1:7">
      <c r="A2480" t="s">
        <v>4852</v>
      </c>
      <c r="B2480" t="s">
        <v>8285</v>
      </c>
      <c r="C2480" t="s">
        <v>8395</v>
      </c>
      <c r="D2480" t="s">
        <v>8419</v>
      </c>
      <c r="E2480" t="s">
        <v>8445</v>
      </c>
      <c r="F2480" t="s">
        <v>8448</v>
      </c>
      <c r="G2480" t="s">
        <v>8455</v>
      </c>
    </row>
    <row r="2481" spans="1:7">
      <c r="A2481" t="s">
        <v>4853</v>
      </c>
      <c r="B2481" t="s">
        <v>8287</v>
      </c>
      <c r="C2481" t="s">
        <v>8395</v>
      </c>
      <c r="D2481" t="s">
        <v>8419</v>
      </c>
      <c r="E2481" t="s">
        <v>8445</v>
      </c>
      <c r="F2481" t="s">
        <v>8448</v>
      </c>
      <c r="G2481" t="s">
        <v>8455</v>
      </c>
    </row>
    <row r="2482" spans="1:7">
      <c r="A2482" t="s">
        <v>4854</v>
      </c>
      <c r="B2482" t="s">
        <v>8277</v>
      </c>
      <c r="C2482" t="s">
        <v>8395</v>
      </c>
      <c r="D2482" t="s">
        <v>8419</v>
      </c>
      <c r="E2482" t="s">
        <v>8445</v>
      </c>
      <c r="F2482" t="s">
        <v>8448</v>
      </c>
      <c r="G2482" t="s">
        <v>8455</v>
      </c>
    </row>
    <row r="2483" spans="1:7">
      <c r="A2483" t="s">
        <v>4855</v>
      </c>
      <c r="C2483" t="s">
        <v>8398</v>
      </c>
      <c r="D2483" t="s">
        <v>8419</v>
      </c>
      <c r="E2483" t="s">
        <v>8446</v>
      </c>
      <c r="F2483" t="s">
        <v>8448</v>
      </c>
      <c r="G2483" t="s">
        <v>8455</v>
      </c>
    </row>
    <row r="2484" spans="1:7">
      <c r="A2484" t="s">
        <v>4856</v>
      </c>
      <c r="B2484" t="s">
        <v>8323</v>
      </c>
      <c r="C2484" t="s">
        <v>8392</v>
      </c>
      <c r="D2484" t="s">
        <v>8415</v>
      </c>
      <c r="E2484" t="s">
        <v>8445</v>
      </c>
      <c r="F2484" t="s">
        <v>8449</v>
      </c>
      <c r="G2484" t="s">
        <v>8831</v>
      </c>
    </row>
    <row r="2485" spans="1:7">
      <c r="A2485" t="s">
        <v>4857</v>
      </c>
      <c r="C2485" t="s">
        <v>8393</v>
      </c>
      <c r="D2485" t="s">
        <v>8393</v>
      </c>
      <c r="E2485" t="s">
        <v>919</v>
      </c>
      <c r="F2485" t="s">
        <v>8393</v>
      </c>
    </row>
    <row r="2486" spans="1:7">
      <c r="A2486" t="s">
        <v>4858</v>
      </c>
      <c r="B2486" t="s">
        <v>8273</v>
      </c>
      <c r="C2486" t="s">
        <v>8396</v>
      </c>
      <c r="D2486" t="s">
        <v>8405</v>
      </c>
      <c r="E2486" t="s">
        <v>8444</v>
      </c>
      <c r="F2486" t="s">
        <v>8449</v>
      </c>
      <c r="G2486" t="s">
        <v>796</v>
      </c>
    </row>
    <row r="2487" spans="1:7">
      <c r="A2487" t="s">
        <v>4859</v>
      </c>
      <c r="B2487" t="s">
        <v>8274</v>
      </c>
      <c r="C2487" t="s">
        <v>8396</v>
      </c>
      <c r="D2487" t="s">
        <v>8405</v>
      </c>
      <c r="E2487" t="s">
        <v>8446</v>
      </c>
      <c r="F2487" t="s">
        <v>8449</v>
      </c>
      <c r="G2487" t="s">
        <v>796</v>
      </c>
    </row>
    <row r="2488" spans="1:7">
      <c r="A2488" t="s">
        <v>4860</v>
      </c>
      <c r="C2488" t="s">
        <v>8395</v>
      </c>
      <c r="D2488" t="s">
        <v>8404</v>
      </c>
      <c r="E2488" t="s">
        <v>8444</v>
      </c>
      <c r="F2488" t="s">
        <v>8449</v>
      </c>
      <c r="G2488" t="s">
        <v>796</v>
      </c>
    </row>
    <row r="2489" spans="1:7">
      <c r="A2489" t="s">
        <v>4861</v>
      </c>
      <c r="B2489" t="s">
        <v>8273</v>
      </c>
      <c r="C2489" t="s">
        <v>8392</v>
      </c>
      <c r="D2489" t="s">
        <v>8415</v>
      </c>
      <c r="E2489" t="s">
        <v>8444</v>
      </c>
      <c r="F2489" t="s">
        <v>8449</v>
      </c>
      <c r="G2489" t="s">
        <v>8455</v>
      </c>
    </row>
    <row r="2490" spans="1:7">
      <c r="A2490" t="s">
        <v>4862</v>
      </c>
      <c r="C2490" t="s">
        <v>8393</v>
      </c>
      <c r="D2490" t="s">
        <v>8393</v>
      </c>
      <c r="E2490" t="s">
        <v>919</v>
      </c>
      <c r="F2490" t="s">
        <v>8393</v>
      </c>
    </row>
    <row r="2491" spans="1:7">
      <c r="A2491" t="s">
        <v>4863</v>
      </c>
      <c r="B2491" t="s">
        <v>8318</v>
      </c>
      <c r="C2491" t="s">
        <v>8394</v>
      </c>
      <c r="D2491" t="s">
        <v>8422</v>
      </c>
      <c r="E2491" t="s">
        <v>8445</v>
      </c>
      <c r="F2491" t="s">
        <v>8449</v>
      </c>
      <c r="G2491" t="s">
        <v>8455</v>
      </c>
    </row>
    <row r="2492" spans="1:7">
      <c r="A2492" t="s">
        <v>4864</v>
      </c>
      <c r="B2492" t="s">
        <v>8318</v>
      </c>
      <c r="C2492" t="s">
        <v>8395</v>
      </c>
      <c r="D2492" t="s">
        <v>8422</v>
      </c>
      <c r="E2492" t="s">
        <v>8445</v>
      </c>
      <c r="F2492" t="s">
        <v>8449</v>
      </c>
      <c r="G2492" t="s">
        <v>8455</v>
      </c>
    </row>
    <row r="2493" spans="1:7">
      <c r="A2493" t="s">
        <v>4865</v>
      </c>
      <c r="B2493" t="s">
        <v>8318</v>
      </c>
      <c r="C2493" t="s">
        <v>8395</v>
      </c>
      <c r="D2493" t="s">
        <v>8422</v>
      </c>
      <c r="E2493" t="s">
        <v>8445</v>
      </c>
      <c r="F2493" t="s">
        <v>8449</v>
      </c>
      <c r="G2493" t="s">
        <v>8455</v>
      </c>
    </row>
    <row r="2494" spans="1:7">
      <c r="A2494" t="s">
        <v>4866</v>
      </c>
      <c r="B2494" t="s">
        <v>8322</v>
      </c>
      <c r="C2494" t="s">
        <v>8395</v>
      </c>
      <c r="D2494" t="s">
        <v>8422</v>
      </c>
      <c r="E2494" t="s">
        <v>8445</v>
      </c>
      <c r="F2494" t="s">
        <v>8449</v>
      </c>
      <c r="G2494" t="s">
        <v>8455</v>
      </c>
    </row>
    <row r="2495" spans="1:7">
      <c r="A2495" t="s">
        <v>4867</v>
      </c>
      <c r="B2495" t="s">
        <v>8319</v>
      </c>
      <c r="C2495" t="s">
        <v>8395</v>
      </c>
      <c r="D2495" t="s">
        <v>8422</v>
      </c>
      <c r="E2495" t="s">
        <v>8445</v>
      </c>
      <c r="F2495" t="s">
        <v>8449</v>
      </c>
      <c r="G2495" t="s">
        <v>8455</v>
      </c>
    </row>
    <row r="2496" spans="1:7">
      <c r="A2496" t="s">
        <v>4868</v>
      </c>
      <c r="B2496" t="s">
        <v>8336</v>
      </c>
      <c r="C2496" t="s">
        <v>8395</v>
      </c>
      <c r="D2496" t="s">
        <v>8422</v>
      </c>
      <c r="E2496" t="s">
        <v>8445</v>
      </c>
      <c r="F2496" t="s">
        <v>8449</v>
      </c>
      <c r="G2496" t="s">
        <v>8455</v>
      </c>
    </row>
    <row r="2497" spans="1:7">
      <c r="A2497" t="s">
        <v>4869</v>
      </c>
      <c r="B2497" t="s">
        <v>8318</v>
      </c>
      <c r="C2497" t="s">
        <v>8394</v>
      </c>
      <c r="D2497" t="s">
        <v>8422</v>
      </c>
      <c r="E2497" t="s">
        <v>8445</v>
      </c>
      <c r="F2497" t="s">
        <v>8449</v>
      </c>
      <c r="G2497" t="s">
        <v>8455</v>
      </c>
    </row>
    <row r="2498" spans="1:7">
      <c r="A2498" t="s">
        <v>4870</v>
      </c>
      <c r="B2498" t="s">
        <v>8326</v>
      </c>
      <c r="C2498" t="s">
        <v>8395</v>
      </c>
      <c r="D2498" t="s">
        <v>8422</v>
      </c>
      <c r="E2498" t="s">
        <v>8445</v>
      </c>
      <c r="F2498" t="s">
        <v>8449</v>
      </c>
      <c r="G2498" t="s">
        <v>8455</v>
      </c>
    </row>
    <row r="2499" spans="1:7">
      <c r="A2499" t="s">
        <v>4871</v>
      </c>
      <c r="B2499" t="s">
        <v>8321</v>
      </c>
      <c r="C2499" t="s">
        <v>8395</v>
      </c>
      <c r="D2499" t="s">
        <v>8422</v>
      </c>
      <c r="E2499" t="s">
        <v>8445</v>
      </c>
      <c r="F2499" t="s">
        <v>8449</v>
      </c>
      <c r="G2499" t="s">
        <v>8455</v>
      </c>
    </row>
    <row r="2500" spans="1:7">
      <c r="A2500" t="s">
        <v>4872</v>
      </c>
      <c r="C2500" t="s">
        <v>8393</v>
      </c>
      <c r="D2500" t="s">
        <v>8393</v>
      </c>
      <c r="E2500" t="s">
        <v>919</v>
      </c>
      <c r="F2500" t="s">
        <v>8393</v>
      </c>
    </row>
    <row r="2501" spans="1:7">
      <c r="A2501" t="s">
        <v>4873</v>
      </c>
      <c r="B2501" t="s">
        <v>8318</v>
      </c>
      <c r="C2501" t="s">
        <v>8394</v>
      </c>
      <c r="D2501" t="s">
        <v>8435</v>
      </c>
      <c r="E2501" t="s">
        <v>8446</v>
      </c>
      <c r="F2501" t="s">
        <v>8449</v>
      </c>
      <c r="G2501" t="s">
        <v>8455</v>
      </c>
    </row>
    <row r="2502" spans="1:7">
      <c r="A2502" t="s">
        <v>4874</v>
      </c>
      <c r="B2502" t="s">
        <v>8318</v>
      </c>
      <c r="C2502" t="s">
        <v>8394</v>
      </c>
      <c r="D2502" t="s">
        <v>8435</v>
      </c>
      <c r="E2502" t="s">
        <v>8446</v>
      </c>
      <c r="F2502" t="s">
        <v>8449</v>
      </c>
      <c r="G2502" t="s">
        <v>8455</v>
      </c>
    </row>
    <row r="2503" spans="1:7">
      <c r="A2503" t="s">
        <v>4875</v>
      </c>
      <c r="B2503" t="s">
        <v>8322</v>
      </c>
      <c r="C2503" t="s">
        <v>8394</v>
      </c>
      <c r="D2503" t="s">
        <v>8435</v>
      </c>
      <c r="E2503" t="s">
        <v>8446</v>
      </c>
      <c r="F2503" t="s">
        <v>8449</v>
      </c>
      <c r="G2503" t="s">
        <v>8455</v>
      </c>
    </row>
    <row r="2504" spans="1:7">
      <c r="A2504" t="s">
        <v>4876</v>
      </c>
      <c r="B2504" t="s">
        <v>8336</v>
      </c>
      <c r="C2504" t="s">
        <v>8394</v>
      </c>
      <c r="D2504" t="s">
        <v>8435</v>
      </c>
      <c r="E2504" t="s">
        <v>8446</v>
      </c>
      <c r="F2504" t="s">
        <v>8449</v>
      </c>
      <c r="G2504" t="s">
        <v>8455</v>
      </c>
    </row>
    <row r="2505" spans="1:7">
      <c r="A2505" t="s">
        <v>4877</v>
      </c>
      <c r="B2505" t="s">
        <v>8318</v>
      </c>
      <c r="C2505" t="s">
        <v>8394</v>
      </c>
      <c r="D2505" t="s">
        <v>8435</v>
      </c>
      <c r="E2505" t="s">
        <v>8446</v>
      </c>
      <c r="F2505" t="s">
        <v>8449</v>
      </c>
      <c r="G2505" t="s">
        <v>8455</v>
      </c>
    </row>
    <row r="2506" spans="1:7">
      <c r="A2506" t="s">
        <v>4878</v>
      </c>
      <c r="B2506" t="s">
        <v>8326</v>
      </c>
      <c r="C2506" t="s">
        <v>8394</v>
      </c>
      <c r="D2506" t="s">
        <v>8435</v>
      </c>
      <c r="E2506" t="s">
        <v>8446</v>
      </c>
      <c r="F2506" t="s">
        <v>8449</v>
      </c>
      <c r="G2506" t="s">
        <v>8455</v>
      </c>
    </row>
    <row r="2507" spans="1:7">
      <c r="A2507" t="s">
        <v>4879</v>
      </c>
      <c r="C2507" t="s">
        <v>8393</v>
      </c>
      <c r="D2507" t="s">
        <v>8393</v>
      </c>
      <c r="E2507" t="s">
        <v>919</v>
      </c>
      <c r="F2507" t="s">
        <v>8393</v>
      </c>
    </row>
    <row r="2508" spans="1:7">
      <c r="A2508" t="s">
        <v>4880</v>
      </c>
      <c r="B2508" t="s">
        <v>8318</v>
      </c>
      <c r="C2508" t="s">
        <v>8394</v>
      </c>
      <c r="D2508" t="s">
        <v>8422</v>
      </c>
      <c r="E2508" t="s">
        <v>8445</v>
      </c>
      <c r="F2508" t="s">
        <v>8449</v>
      </c>
      <c r="G2508" t="s">
        <v>8455</v>
      </c>
    </row>
    <row r="2509" spans="1:7">
      <c r="A2509" t="s">
        <v>4881</v>
      </c>
      <c r="B2509" t="s">
        <v>8318</v>
      </c>
      <c r="C2509" t="s">
        <v>8394</v>
      </c>
      <c r="D2509" t="s">
        <v>8422</v>
      </c>
      <c r="E2509" t="s">
        <v>8445</v>
      </c>
      <c r="F2509" t="s">
        <v>8449</v>
      </c>
      <c r="G2509" t="s">
        <v>8455</v>
      </c>
    </row>
    <row r="2510" spans="1:7">
      <c r="A2510" t="s">
        <v>4882</v>
      </c>
      <c r="B2510" t="s">
        <v>8318</v>
      </c>
      <c r="C2510" t="s">
        <v>8394</v>
      </c>
      <c r="D2510" t="s">
        <v>8422</v>
      </c>
      <c r="E2510" t="s">
        <v>8445</v>
      </c>
      <c r="F2510" t="s">
        <v>8449</v>
      </c>
      <c r="G2510" t="s">
        <v>8455</v>
      </c>
    </row>
    <row r="2511" spans="1:7">
      <c r="A2511" t="s">
        <v>4883</v>
      </c>
      <c r="B2511" t="s">
        <v>8322</v>
      </c>
      <c r="C2511" t="s">
        <v>8394</v>
      </c>
      <c r="D2511" t="s">
        <v>8422</v>
      </c>
      <c r="E2511" t="s">
        <v>8445</v>
      </c>
      <c r="F2511" t="s">
        <v>8449</v>
      </c>
      <c r="G2511" t="s">
        <v>8455</v>
      </c>
    </row>
    <row r="2512" spans="1:7">
      <c r="A2512" t="s">
        <v>4884</v>
      </c>
      <c r="B2512" t="s">
        <v>8319</v>
      </c>
      <c r="C2512" t="s">
        <v>8394</v>
      </c>
      <c r="D2512" t="s">
        <v>8422</v>
      </c>
      <c r="E2512" t="s">
        <v>8445</v>
      </c>
      <c r="F2512" t="s">
        <v>8449</v>
      </c>
      <c r="G2512" t="s">
        <v>8455</v>
      </c>
    </row>
    <row r="2513" spans="1:7">
      <c r="A2513" t="s">
        <v>4885</v>
      </c>
      <c r="B2513" t="s">
        <v>8336</v>
      </c>
      <c r="C2513" t="s">
        <v>8394</v>
      </c>
      <c r="D2513" t="s">
        <v>8422</v>
      </c>
      <c r="E2513" t="s">
        <v>8445</v>
      </c>
      <c r="F2513" t="s">
        <v>8449</v>
      </c>
      <c r="G2513" t="s">
        <v>8455</v>
      </c>
    </row>
    <row r="2514" spans="1:7">
      <c r="A2514" t="s">
        <v>4886</v>
      </c>
      <c r="B2514" t="s">
        <v>8320</v>
      </c>
      <c r="C2514" t="s">
        <v>8394</v>
      </c>
      <c r="D2514" t="s">
        <v>8422</v>
      </c>
      <c r="E2514" t="s">
        <v>8445</v>
      </c>
      <c r="F2514" t="s">
        <v>8449</v>
      </c>
      <c r="G2514" t="s">
        <v>8455</v>
      </c>
    </row>
    <row r="2515" spans="1:7">
      <c r="A2515" t="s">
        <v>4887</v>
      </c>
      <c r="B2515" t="s">
        <v>8318</v>
      </c>
      <c r="C2515" t="s">
        <v>8394</v>
      </c>
      <c r="D2515" t="s">
        <v>8422</v>
      </c>
      <c r="E2515" t="s">
        <v>8445</v>
      </c>
      <c r="F2515" t="s">
        <v>8449</v>
      </c>
      <c r="G2515" t="s">
        <v>8455</v>
      </c>
    </row>
    <row r="2516" spans="1:7">
      <c r="A2516" t="s">
        <v>4888</v>
      </c>
      <c r="B2516" t="s">
        <v>8326</v>
      </c>
      <c r="C2516" t="s">
        <v>8394</v>
      </c>
      <c r="D2516" t="s">
        <v>8422</v>
      </c>
      <c r="E2516" t="s">
        <v>8445</v>
      </c>
      <c r="F2516" t="s">
        <v>8449</v>
      </c>
      <c r="G2516" t="s">
        <v>8455</v>
      </c>
    </row>
    <row r="2517" spans="1:7">
      <c r="A2517" t="s">
        <v>4889</v>
      </c>
      <c r="B2517" t="s">
        <v>8321</v>
      </c>
      <c r="C2517" t="s">
        <v>8394</v>
      </c>
      <c r="D2517" t="s">
        <v>8422</v>
      </c>
      <c r="E2517" t="s">
        <v>8445</v>
      </c>
      <c r="F2517" t="s">
        <v>8449</v>
      </c>
      <c r="G2517" t="s">
        <v>8455</v>
      </c>
    </row>
    <row r="2518" spans="1:7">
      <c r="A2518" t="s">
        <v>4890</v>
      </c>
      <c r="C2518" t="s">
        <v>8393</v>
      </c>
      <c r="D2518" t="s">
        <v>8393</v>
      </c>
      <c r="E2518" t="s">
        <v>919</v>
      </c>
      <c r="F2518" t="s">
        <v>8393</v>
      </c>
    </row>
    <row r="2519" spans="1:7">
      <c r="A2519" t="s">
        <v>4891</v>
      </c>
      <c r="C2519" t="s">
        <v>8396</v>
      </c>
      <c r="D2519" t="s">
        <v>8405</v>
      </c>
      <c r="E2519" t="s">
        <v>8444</v>
      </c>
      <c r="F2519" t="s">
        <v>8449</v>
      </c>
      <c r="G2519" t="s">
        <v>8832</v>
      </c>
    </row>
    <row r="2520" spans="1:7">
      <c r="A2520" t="s">
        <v>4892</v>
      </c>
      <c r="C2520" t="s">
        <v>8396</v>
      </c>
      <c r="D2520" t="s">
        <v>8405</v>
      </c>
      <c r="E2520" t="s">
        <v>8444</v>
      </c>
      <c r="F2520" t="s">
        <v>8449</v>
      </c>
      <c r="G2520" t="s">
        <v>796</v>
      </c>
    </row>
    <row r="2521" spans="1:7">
      <c r="A2521" t="s">
        <v>4893</v>
      </c>
      <c r="C2521" t="s">
        <v>8393</v>
      </c>
      <c r="D2521" t="s">
        <v>8393</v>
      </c>
      <c r="E2521" t="s">
        <v>919</v>
      </c>
      <c r="F2521" t="s">
        <v>8393</v>
      </c>
    </row>
    <row r="2522" spans="1:7">
      <c r="A2522" t="s">
        <v>4894</v>
      </c>
      <c r="B2522" t="s">
        <v>8273</v>
      </c>
      <c r="C2522" t="s">
        <v>8392</v>
      </c>
      <c r="D2522" t="s">
        <v>8415</v>
      </c>
      <c r="E2522" t="s">
        <v>8446</v>
      </c>
      <c r="F2522" t="s">
        <v>8449</v>
      </c>
      <c r="G2522" t="s">
        <v>8455</v>
      </c>
    </row>
    <row r="2523" spans="1:7">
      <c r="A2523" t="s">
        <v>4895</v>
      </c>
      <c r="B2523" t="s">
        <v>8277</v>
      </c>
      <c r="C2523" t="s">
        <v>8392</v>
      </c>
      <c r="D2523" t="s">
        <v>8415</v>
      </c>
      <c r="E2523" t="s">
        <v>8446</v>
      </c>
      <c r="F2523" t="s">
        <v>8449</v>
      </c>
      <c r="G2523" t="s">
        <v>8455</v>
      </c>
    </row>
    <row r="2524" spans="1:7">
      <c r="A2524" t="s">
        <v>4896</v>
      </c>
      <c r="C2524" t="s">
        <v>8393</v>
      </c>
      <c r="D2524" t="s">
        <v>8393</v>
      </c>
      <c r="E2524" t="s">
        <v>919</v>
      </c>
      <c r="F2524" t="s">
        <v>8393</v>
      </c>
    </row>
    <row r="2525" spans="1:7">
      <c r="A2525" t="s">
        <v>4897</v>
      </c>
      <c r="C2525" t="s">
        <v>8396</v>
      </c>
      <c r="D2525" t="s">
        <v>8425</v>
      </c>
      <c r="E2525" t="s">
        <v>8445</v>
      </c>
      <c r="F2525" t="s">
        <v>8448</v>
      </c>
      <c r="G2525" t="s">
        <v>8833</v>
      </c>
    </row>
    <row r="2526" spans="1:7">
      <c r="A2526" t="s">
        <v>4898</v>
      </c>
      <c r="C2526" t="s">
        <v>8392</v>
      </c>
      <c r="D2526" t="s">
        <v>8400</v>
      </c>
      <c r="E2526" t="s">
        <v>1587</v>
      </c>
      <c r="F2526" t="s">
        <v>8447</v>
      </c>
      <c r="G2526" t="s">
        <v>8463</v>
      </c>
    </row>
    <row r="2527" spans="1:7">
      <c r="A2527" t="s">
        <v>4899</v>
      </c>
      <c r="C2527" t="s">
        <v>8396</v>
      </c>
      <c r="D2527" t="s">
        <v>8411</v>
      </c>
      <c r="E2527" t="s">
        <v>1519</v>
      </c>
      <c r="F2527" t="s">
        <v>8447</v>
      </c>
      <c r="G2527" t="s">
        <v>8463</v>
      </c>
    </row>
    <row r="2528" spans="1:7">
      <c r="A2528" t="s">
        <v>4900</v>
      </c>
      <c r="C2528" t="s">
        <v>8396</v>
      </c>
      <c r="D2528" t="s">
        <v>8425</v>
      </c>
      <c r="E2528" t="s">
        <v>8446</v>
      </c>
      <c r="F2528" t="s">
        <v>8449</v>
      </c>
      <c r="G2528" t="s">
        <v>8455</v>
      </c>
    </row>
    <row r="2529" spans="1:7">
      <c r="A2529" t="s">
        <v>4901</v>
      </c>
      <c r="B2529" t="s">
        <v>8273</v>
      </c>
      <c r="C2529" t="s">
        <v>8392</v>
      </c>
      <c r="D2529" t="s">
        <v>8415</v>
      </c>
      <c r="E2529" t="s">
        <v>8444</v>
      </c>
      <c r="F2529" t="s">
        <v>8448</v>
      </c>
      <c r="G2529" t="s">
        <v>8455</v>
      </c>
    </row>
    <row r="2530" spans="1:7">
      <c r="A2530" t="s">
        <v>4902</v>
      </c>
      <c r="C2530" t="s">
        <v>8393</v>
      </c>
      <c r="D2530" t="s">
        <v>8393</v>
      </c>
      <c r="E2530" t="s">
        <v>919</v>
      </c>
      <c r="F2530" t="s">
        <v>8393</v>
      </c>
    </row>
    <row r="2531" spans="1:7">
      <c r="A2531" t="s">
        <v>4903</v>
      </c>
      <c r="B2531" t="s">
        <v>8273</v>
      </c>
      <c r="C2531" t="s">
        <v>8392</v>
      </c>
      <c r="D2531" t="s">
        <v>8415</v>
      </c>
      <c r="E2531" t="s">
        <v>8445</v>
      </c>
      <c r="F2531" t="s">
        <v>8449</v>
      </c>
      <c r="G2531" t="s">
        <v>8455</v>
      </c>
    </row>
    <row r="2532" spans="1:7">
      <c r="A2532" t="s">
        <v>4904</v>
      </c>
      <c r="B2532" t="s">
        <v>8273</v>
      </c>
      <c r="C2532" t="s">
        <v>8392</v>
      </c>
      <c r="D2532" t="s">
        <v>8415</v>
      </c>
      <c r="E2532" t="s">
        <v>8445</v>
      </c>
      <c r="F2532" t="s">
        <v>8449</v>
      </c>
      <c r="G2532" t="s">
        <v>8455</v>
      </c>
    </row>
    <row r="2533" spans="1:7">
      <c r="A2533" t="s">
        <v>4905</v>
      </c>
      <c r="B2533" t="s">
        <v>8273</v>
      </c>
      <c r="C2533" t="s">
        <v>8392</v>
      </c>
      <c r="D2533" t="s">
        <v>8415</v>
      </c>
      <c r="E2533" t="s">
        <v>8445</v>
      </c>
      <c r="F2533" t="s">
        <v>8449</v>
      </c>
      <c r="G2533" t="s">
        <v>8455</v>
      </c>
    </row>
    <row r="2534" spans="1:7">
      <c r="A2534" t="s">
        <v>4906</v>
      </c>
      <c r="B2534" t="s">
        <v>8323</v>
      </c>
      <c r="C2534" t="s">
        <v>8394</v>
      </c>
      <c r="D2534" t="s">
        <v>8407</v>
      </c>
      <c r="E2534" t="s">
        <v>8446</v>
      </c>
      <c r="F2534" t="s">
        <v>8449</v>
      </c>
      <c r="G2534" t="s">
        <v>8455</v>
      </c>
    </row>
    <row r="2535" spans="1:7">
      <c r="A2535" t="s">
        <v>4907</v>
      </c>
      <c r="B2535" t="s">
        <v>8318</v>
      </c>
      <c r="C2535" t="s">
        <v>8394</v>
      </c>
      <c r="D2535" t="s">
        <v>8402</v>
      </c>
      <c r="E2535" t="s">
        <v>8444</v>
      </c>
      <c r="F2535" t="s">
        <v>8449</v>
      </c>
      <c r="G2535" t="s">
        <v>8455</v>
      </c>
    </row>
    <row r="2536" spans="1:7">
      <c r="A2536" t="s">
        <v>4908</v>
      </c>
      <c r="C2536" t="s">
        <v>8393</v>
      </c>
      <c r="D2536" t="s">
        <v>8393</v>
      </c>
      <c r="E2536" t="s">
        <v>919</v>
      </c>
      <c r="F2536" t="s">
        <v>8393</v>
      </c>
    </row>
    <row r="2537" spans="1:7">
      <c r="A2537" t="s">
        <v>4909</v>
      </c>
      <c r="B2537" t="s">
        <v>8341</v>
      </c>
      <c r="C2537" t="s">
        <v>8395</v>
      </c>
      <c r="D2537" t="s">
        <v>8423</v>
      </c>
      <c r="E2537" t="s">
        <v>8444</v>
      </c>
      <c r="F2537" t="s">
        <v>8449</v>
      </c>
      <c r="G2537" t="s">
        <v>8455</v>
      </c>
    </row>
    <row r="2538" spans="1:7">
      <c r="A2538" t="s">
        <v>4910</v>
      </c>
      <c r="B2538" t="s">
        <v>8341</v>
      </c>
      <c r="C2538" t="s">
        <v>8395</v>
      </c>
      <c r="D2538" t="s">
        <v>8423</v>
      </c>
      <c r="E2538" t="s">
        <v>8444</v>
      </c>
      <c r="F2538" t="s">
        <v>8449</v>
      </c>
      <c r="G2538" t="s">
        <v>8455</v>
      </c>
    </row>
    <row r="2539" spans="1:7">
      <c r="A2539" t="s">
        <v>4911</v>
      </c>
      <c r="B2539" t="s">
        <v>8341</v>
      </c>
      <c r="C2539" t="s">
        <v>8395</v>
      </c>
      <c r="D2539" t="s">
        <v>8423</v>
      </c>
      <c r="E2539" t="s">
        <v>8444</v>
      </c>
      <c r="F2539" t="s">
        <v>8449</v>
      </c>
      <c r="G2539" t="s">
        <v>8455</v>
      </c>
    </row>
    <row r="2540" spans="1:7">
      <c r="A2540" t="s">
        <v>4912</v>
      </c>
      <c r="B2540" t="s">
        <v>8342</v>
      </c>
      <c r="C2540" t="s">
        <v>8395</v>
      </c>
      <c r="D2540" t="s">
        <v>8423</v>
      </c>
      <c r="E2540" t="s">
        <v>8444</v>
      </c>
      <c r="F2540" t="s">
        <v>8449</v>
      </c>
      <c r="G2540" t="s">
        <v>8455</v>
      </c>
    </row>
    <row r="2541" spans="1:7">
      <c r="A2541" t="s">
        <v>4913</v>
      </c>
      <c r="B2541" t="s">
        <v>8343</v>
      </c>
      <c r="C2541" t="s">
        <v>8395</v>
      </c>
      <c r="D2541" t="s">
        <v>8423</v>
      </c>
      <c r="E2541" t="s">
        <v>8444</v>
      </c>
      <c r="F2541" t="s">
        <v>8449</v>
      </c>
      <c r="G2541" t="s">
        <v>8455</v>
      </c>
    </row>
    <row r="2542" spans="1:7">
      <c r="A2542" t="s">
        <v>4914</v>
      </c>
      <c r="C2542" t="s">
        <v>8393</v>
      </c>
      <c r="D2542" t="s">
        <v>8393</v>
      </c>
      <c r="E2542" t="s">
        <v>919</v>
      </c>
      <c r="F2542" t="s">
        <v>8393</v>
      </c>
    </row>
    <row r="2543" spans="1:7">
      <c r="A2543" t="s">
        <v>4915</v>
      </c>
      <c r="B2543" t="s">
        <v>8273</v>
      </c>
      <c r="C2543" t="s">
        <v>8398</v>
      </c>
      <c r="D2543" t="s">
        <v>8419</v>
      </c>
      <c r="E2543" t="s">
        <v>8446</v>
      </c>
      <c r="F2543" t="s">
        <v>8449</v>
      </c>
      <c r="G2543" t="s">
        <v>8455</v>
      </c>
    </row>
    <row r="2544" spans="1:7">
      <c r="A2544" t="s">
        <v>4916</v>
      </c>
      <c r="C2544" t="s">
        <v>8398</v>
      </c>
      <c r="D2544" t="s">
        <v>8419</v>
      </c>
      <c r="E2544" t="s">
        <v>8446</v>
      </c>
      <c r="F2544" t="s">
        <v>8449</v>
      </c>
      <c r="G2544" t="s">
        <v>8455</v>
      </c>
    </row>
    <row r="2545" spans="1:7">
      <c r="A2545" t="s">
        <v>4917</v>
      </c>
      <c r="B2545" t="s">
        <v>8273</v>
      </c>
      <c r="C2545" t="s">
        <v>8392</v>
      </c>
      <c r="D2545" t="s">
        <v>8415</v>
      </c>
      <c r="E2545" t="s">
        <v>8445</v>
      </c>
      <c r="F2545" t="s">
        <v>8448</v>
      </c>
      <c r="G2545" t="s">
        <v>8834</v>
      </c>
    </row>
    <row r="2546" spans="1:7">
      <c r="A2546" t="s">
        <v>4918</v>
      </c>
      <c r="C2546" t="s">
        <v>8396</v>
      </c>
      <c r="D2546" t="s">
        <v>8420</v>
      </c>
      <c r="E2546" t="s">
        <v>8446</v>
      </c>
      <c r="F2546" t="s">
        <v>8449</v>
      </c>
      <c r="G2546" t="s">
        <v>8455</v>
      </c>
    </row>
    <row r="2547" spans="1:7">
      <c r="A2547" t="s">
        <v>4919</v>
      </c>
      <c r="B2547" t="s">
        <v>8341</v>
      </c>
      <c r="C2547" t="s">
        <v>8395</v>
      </c>
      <c r="D2547" t="s">
        <v>8423</v>
      </c>
      <c r="E2547" t="s">
        <v>8445</v>
      </c>
      <c r="F2547" t="s">
        <v>8449</v>
      </c>
      <c r="G2547" t="s">
        <v>8455</v>
      </c>
    </row>
    <row r="2548" spans="1:7">
      <c r="A2548" t="s">
        <v>4920</v>
      </c>
      <c r="C2548" t="s">
        <v>8392</v>
      </c>
      <c r="D2548" t="s">
        <v>8415</v>
      </c>
      <c r="E2548" t="s">
        <v>8445</v>
      </c>
      <c r="F2548" t="s">
        <v>8448</v>
      </c>
      <c r="G2548" t="s">
        <v>8835</v>
      </c>
    </row>
    <row r="2549" spans="1:7">
      <c r="A2549" t="s">
        <v>4921</v>
      </c>
      <c r="B2549" t="s">
        <v>8273</v>
      </c>
      <c r="C2549" t="s">
        <v>8395</v>
      </c>
      <c r="D2549" t="s">
        <v>8421</v>
      </c>
      <c r="E2549" t="s">
        <v>8446</v>
      </c>
      <c r="F2549" t="s">
        <v>8449</v>
      </c>
      <c r="G2549" t="s">
        <v>8836</v>
      </c>
    </row>
    <row r="2550" spans="1:7">
      <c r="A2550" t="s">
        <v>4922</v>
      </c>
      <c r="C2550" t="s">
        <v>8397</v>
      </c>
      <c r="D2550" t="s">
        <v>8421</v>
      </c>
      <c r="E2550" t="s">
        <v>8446</v>
      </c>
      <c r="F2550" t="s">
        <v>8448</v>
      </c>
      <c r="G2550" t="s">
        <v>8837</v>
      </c>
    </row>
    <row r="2551" spans="1:7">
      <c r="A2551" t="s">
        <v>4923</v>
      </c>
      <c r="B2551" t="s">
        <v>8273</v>
      </c>
      <c r="C2551" t="s">
        <v>8397</v>
      </c>
      <c r="D2551" t="s">
        <v>8421</v>
      </c>
      <c r="E2551" t="s">
        <v>1519</v>
      </c>
      <c r="F2551" t="s">
        <v>8449</v>
      </c>
      <c r="G2551" t="s">
        <v>8455</v>
      </c>
    </row>
    <row r="2552" spans="1:7">
      <c r="A2552" t="s">
        <v>4924</v>
      </c>
      <c r="C2552" t="s">
        <v>8393</v>
      </c>
      <c r="D2552" t="s">
        <v>8393</v>
      </c>
      <c r="E2552" t="s">
        <v>919</v>
      </c>
      <c r="F2552" t="s">
        <v>8393</v>
      </c>
    </row>
    <row r="2553" spans="1:7">
      <c r="A2553" t="s">
        <v>4925</v>
      </c>
      <c r="B2553" t="s">
        <v>8275</v>
      </c>
      <c r="C2553" t="s">
        <v>8395</v>
      </c>
      <c r="D2553" t="s">
        <v>8420</v>
      </c>
      <c r="E2553" t="s">
        <v>8446</v>
      </c>
      <c r="F2553" t="s">
        <v>8448</v>
      </c>
      <c r="G2553" t="s">
        <v>8838</v>
      </c>
    </row>
    <row r="2554" spans="1:7">
      <c r="A2554" t="s">
        <v>4926</v>
      </c>
      <c r="B2554" t="s">
        <v>8282</v>
      </c>
      <c r="C2554" t="s">
        <v>8395</v>
      </c>
      <c r="D2554" t="s">
        <v>8420</v>
      </c>
      <c r="E2554" t="s">
        <v>8446</v>
      </c>
      <c r="F2554" t="s">
        <v>8449</v>
      </c>
      <c r="G2554" t="s">
        <v>8455</v>
      </c>
    </row>
    <row r="2555" spans="1:7">
      <c r="A2555" t="s">
        <v>4927</v>
      </c>
      <c r="C2555" t="s">
        <v>8393</v>
      </c>
      <c r="D2555" t="s">
        <v>8393</v>
      </c>
      <c r="E2555" t="s">
        <v>919</v>
      </c>
      <c r="F2555" t="s">
        <v>8393</v>
      </c>
    </row>
    <row r="2556" spans="1:7">
      <c r="A2556" t="s">
        <v>4928</v>
      </c>
      <c r="B2556" t="s">
        <v>8273</v>
      </c>
      <c r="C2556" t="s">
        <v>8395</v>
      </c>
      <c r="D2556" t="s">
        <v>8421</v>
      </c>
      <c r="E2556" t="s">
        <v>8446</v>
      </c>
      <c r="F2556" t="s">
        <v>8448</v>
      </c>
      <c r="G2556" t="s">
        <v>8453</v>
      </c>
    </row>
    <row r="2557" spans="1:7">
      <c r="A2557" t="s">
        <v>4929</v>
      </c>
      <c r="B2557" t="s">
        <v>8287</v>
      </c>
      <c r="C2557" t="s">
        <v>8395</v>
      </c>
      <c r="D2557" t="s">
        <v>8421</v>
      </c>
      <c r="E2557" t="s">
        <v>8446</v>
      </c>
      <c r="F2557" t="s">
        <v>8448</v>
      </c>
      <c r="G2557" t="s">
        <v>796</v>
      </c>
    </row>
    <row r="2558" spans="1:7">
      <c r="A2558" t="s">
        <v>4930</v>
      </c>
      <c r="B2558" t="s">
        <v>8273</v>
      </c>
      <c r="C2558" t="s">
        <v>8395</v>
      </c>
      <c r="D2558" t="s">
        <v>8400</v>
      </c>
      <c r="E2558" t="s">
        <v>8446</v>
      </c>
      <c r="F2558" t="s">
        <v>8448</v>
      </c>
      <c r="G2558" t="s">
        <v>8839</v>
      </c>
    </row>
    <row r="2559" spans="1:7">
      <c r="A2559" t="s">
        <v>4931</v>
      </c>
      <c r="B2559" t="s">
        <v>8273</v>
      </c>
      <c r="C2559" t="s">
        <v>8395</v>
      </c>
      <c r="D2559" t="s">
        <v>8421</v>
      </c>
      <c r="E2559" t="s">
        <v>8446</v>
      </c>
      <c r="F2559" t="s">
        <v>8448</v>
      </c>
      <c r="G2559" t="s">
        <v>8839</v>
      </c>
    </row>
    <row r="2560" spans="1:7">
      <c r="A2560" t="s">
        <v>4932</v>
      </c>
      <c r="B2560" t="s">
        <v>8273</v>
      </c>
      <c r="C2560" t="s">
        <v>8395</v>
      </c>
      <c r="D2560" t="s">
        <v>8421</v>
      </c>
      <c r="E2560" t="s">
        <v>8446</v>
      </c>
      <c r="F2560" t="s">
        <v>8448</v>
      </c>
      <c r="G2560" t="s">
        <v>8839</v>
      </c>
    </row>
    <row r="2561" spans="1:7">
      <c r="A2561" t="s">
        <v>4933</v>
      </c>
      <c r="C2561" t="s">
        <v>8393</v>
      </c>
      <c r="D2561" t="s">
        <v>8393</v>
      </c>
      <c r="E2561" t="s">
        <v>919</v>
      </c>
      <c r="F2561" t="s">
        <v>8393</v>
      </c>
    </row>
    <row r="2562" spans="1:7">
      <c r="A2562" t="s">
        <v>4934</v>
      </c>
      <c r="B2562" t="s">
        <v>8275</v>
      </c>
      <c r="C2562" t="s">
        <v>8395</v>
      </c>
      <c r="D2562" t="s">
        <v>8420</v>
      </c>
      <c r="E2562" t="s">
        <v>8444</v>
      </c>
      <c r="F2562" t="s">
        <v>8448</v>
      </c>
      <c r="G2562" t="s">
        <v>8838</v>
      </c>
    </row>
    <row r="2563" spans="1:7">
      <c r="A2563" t="s">
        <v>4935</v>
      </c>
      <c r="B2563" t="s">
        <v>8310</v>
      </c>
      <c r="C2563" t="s">
        <v>8395</v>
      </c>
      <c r="D2563" t="s">
        <v>8400</v>
      </c>
      <c r="E2563" t="s">
        <v>8444</v>
      </c>
      <c r="F2563" t="s">
        <v>8448</v>
      </c>
      <c r="G2563" t="s">
        <v>796</v>
      </c>
    </row>
    <row r="2564" spans="1:7">
      <c r="A2564" t="s">
        <v>4936</v>
      </c>
      <c r="B2564" t="s">
        <v>8283</v>
      </c>
      <c r="C2564" t="s">
        <v>8395</v>
      </c>
      <c r="D2564" t="s">
        <v>8400</v>
      </c>
      <c r="E2564" t="s">
        <v>8444</v>
      </c>
      <c r="F2564" t="s">
        <v>8448</v>
      </c>
      <c r="G2564" t="s">
        <v>796</v>
      </c>
    </row>
    <row r="2565" spans="1:7">
      <c r="A2565" t="s">
        <v>4937</v>
      </c>
      <c r="B2565" t="s">
        <v>8273</v>
      </c>
      <c r="C2565" t="s">
        <v>8397</v>
      </c>
      <c r="D2565" t="s">
        <v>8421</v>
      </c>
      <c r="E2565" t="s">
        <v>8446</v>
      </c>
      <c r="F2565" t="s">
        <v>8448</v>
      </c>
      <c r="G2565" t="s">
        <v>8840</v>
      </c>
    </row>
    <row r="2566" spans="1:7">
      <c r="A2566" t="s">
        <v>4938</v>
      </c>
      <c r="B2566" t="s">
        <v>8299</v>
      </c>
      <c r="C2566" t="s">
        <v>8397</v>
      </c>
      <c r="D2566" t="s">
        <v>8431</v>
      </c>
      <c r="E2566" t="s">
        <v>8446</v>
      </c>
      <c r="F2566" t="s">
        <v>8448</v>
      </c>
      <c r="G2566" t="s">
        <v>8841</v>
      </c>
    </row>
    <row r="2567" spans="1:7">
      <c r="A2567" t="s">
        <v>4939</v>
      </c>
      <c r="B2567" t="s">
        <v>8299</v>
      </c>
      <c r="C2567" t="s">
        <v>8397</v>
      </c>
      <c r="D2567" t="s">
        <v>8430</v>
      </c>
      <c r="E2567" t="s">
        <v>1519</v>
      </c>
      <c r="F2567" t="s">
        <v>8449</v>
      </c>
      <c r="G2567" t="s">
        <v>795</v>
      </c>
    </row>
    <row r="2568" spans="1:7">
      <c r="A2568" t="s">
        <v>4940</v>
      </c>
      <c r="B2568" t="s">
        <v>8273</v>
      </c>
      <c r="C2568" t="s">
        <v>8394</v>
      </c>
      <c r="D2568" t="s">
        <v>8401</v>
      </c>
      <c r="E2568" t="s">
        <v>1519</v>
      </c>
      <c r="F2568" t="s">
        <v>8448</v>
      </c>
      <c r="G2568" t="s">
        <v>8842</v>
      </c>
    </row>
    <row r="2569" spans="1:7">
      <c r="A2569" t="s">
        <v>4941</v>
      </c>
      <c r="B2569" t="s">
        <v>8273</v>
      </c>
      <c r="C2569" t="s">
        <v>8395</v>
      </c>
      <c r="D2569" t="s">
        <v>8426</v>
      </c>
      <c r="E2569" t="s">
        <v>8446</v>
      </c>
      <c r="F2569" t="s">
        <v>8449</v>
      </c>
      <c r="G2569" t="s">
        <v>796</v>
      </c>
    </row>
    <row r="2570" spans="1:7">
      <c r="A2570" t="s">
        <v>4942</v>
      </c>
      <c r="C2570" t="s">
        <v>8393</v>
      </c>
      <c r="D2570" t="s">
        <v>8393</v>
      </c>
      <c r="E2570" t="s">
        <v>919</v>
      </c>
      <c r="F2570" t="s">
        <v>8393</v>
      </c>
    </row>
    <row r="2571" spans="1:7">
      <c r="A2571" t="s">
        <v>4943</v>
      </c>
      <c r="C2571" t="s">
        <v>8397</v>
      </c>
      <c r="D2571" t="s">
        <v>8418</v>
      </c>
      <c r="E2571" t="s">
        <v>8445</v>
      </c>
      <c r="F2571" t="s">
        <v>8449</v>
      </c>
      <c r="G2571" t="s">
        <v>8843</v>
      </c>
    </row>
    <row r="2572" spans="1:7">
      <c r="A2572" t="s">
        <v>4944</v>
      </c>
      <c r="C2572" t="s">
        <v>8397</v>
      </c>
      <c r="D2572" t="s">
        <v>8418</v>
      </c>
      <c r="E2572" t="s">
        <v>8445</v>
      </c>
      <c r="F2572" t="s">
        <v>8449</v>
      </c>
      <c r="G2572" t="s">
        <v>8843</v>
      </c>
    </row>
    <row r="2573" spans="1:7">
      <c r="A2573" t="s">
        <v>4945</v>
      </c>
      <c r="B2573" t="s">
        <v>8273</v>
      </c>
      <c r="C2573" t="s">
        <v>8398</v>
      </c>
      <c r="D2573" t="s">
        <v>8419</v>
      </c>
      <c r="E2573" t="s">
        <v>1519</v>
      </c>
      <c r="F2573" t="s">
        <v>8448</v>
      </c>
      <c r="G2573" t="s">
        <v>8844</v>
      </c>
    </row>
    <row r="2574" spans="1:7">
      <c r="A2574" t="s">
        <v>4946</v>
      </c>
      <c r="B2574" t="s">
        <v>8278</v>
      </c>
      <c r="C2574" t="s">
        <v>8395</v>
      </c>
      <c r="D2574" t="s">
        <v>8415</v>
      </c>
      <c r="E2574" t="s">
        <v>8446</v>
      </c>
      <c r="F2574" t="s">
        <v>8449</v>
      </c>
      <c r="G2574" t="s">
        <v>8455</v>
      </c>
    </row>
    <row r="2575" spans="1:7">
      <c r="A2575" t="s">
        <v>4947</v>
      </c>
      <c r="B2575" t="s">
        <v>8273</v>
      </c>
      <c r="C2575" t="s">
        <v>8394</v>
      </c>
      <c r="D2575" t="s">
        <v>8414</v>
      </c>
      <c r="E2575" t="s">
        <v>8446</v>
      </c>
      <c r="F2575" t="s">
        <v>8448</v>
      </c>
      <c r="G2575" t="s">
        <v>8455</v>
      </c>
    </row>
    <row r="2576" spans="1:7">
      <c r="A2576" t="s">
        <v>4948</v>
      </c>
      <c r="C2576" t="s">
        <v>8394</v>
      </c>
      <c r="D2576" t="s">
        <v>8401</v>
      </c>
      <c r="E2576" t="s">
        <v>8445</v>
      </c>
      <c r="F2576" t="s">
        <v>8448</v>
      </c>
      <c r="G2576" t="s">
        <v>8845</v>
      </c>
    </row>
    <row r="2577" spans="1:7">
      <c r="A2577" t="s">
        <v>4949</v>
      </c>
      <c r="C2577" t="s">
        <v>8397</v>
      </c>
      <c r="D2577" t="s">
        <v>8412</v>
      </c>
      <c r="E2577" t="s">
        <v>8444</v>
      </c>
      <c r="F2577" t="s">
        <v>8450</v>
      </c>
    </row>
    <row r="2578" spans="1:7">
      <c r="A2578" t="s">
        <v>4950</v>
      </c>
      <c r="C2578" t="s">
        <v>8392</v>
      </c>
      <c r="D2578" t="s">
        <v>8400</v>
      </c>
      <c r="E2578" t="s">
        <v>8446</v>
      </c>
      <c r="F2578" t="s">
        <v>8448</v>
      </c>
      <c r="G2578" t="s">
        <v>8453</v>
      </c>
    </row>
    <row r="2579" spans="1:7">
      <c r="A2579" t="s">
        <v>4951</v>
      </c>
      <c r="B2579" t="s">
        <v>8273</v>
      </c>
      <c r="C2579" t="s">
        <v>8398</v>
      </c>
      <c r="D2579" t="s">
        <v>8410</v>
      </c>
      <c r="E2579" t="s">
        <v>8444</v>
      </c>
      <c r="F2579" t="s">
        <v>8448</v>
      </c>
      <c r="G2579" t="s">
        <v>8455</v>
      </c>
    </row>
    <row r="2580" spans="1:7">
      <c r="A2580" t="s">
        <v>4952</v>
      </c>
      <c r="C2580" t="s">
        <v>8398</v>
      </c>
      <c r="D2580" t="s">
        <v>8410</v>
      </c>
      <c r="E2580" t="s">
        <v>8446</v>
      </c>
      <c r="F2580" t="s">
        <v>8449</v>
      </c>
      <c r="G2580" t="s">
        <v>8455</v>
      </c>
    </row>
    <row r="2581" spans="1:7">
      <c r="A2581" t="s">
        <v>4953</v>
      </c>
      <c r="C2581" t="s">
        <v>8394</v>
      </c>
      <c r="D2581" t="s">
        <v>8414</v>
      </c>
      <c r="E2581" t="s">
        <v>8446</v>
      </c>
      <c r="F2581" t="s">
        <v>8448</v>
      </c>
      <c r="G2581" t="s">
        <v>8453</v>
      </c>
    </row>
    <row r="2582" spans="1:7">
      <c r="A2582" t="s">
        <v>4954</v>
      </c>
      <c r="B2582" t="s">
        <v>8273</v>
      </c>
      <c r="C2582" t="s">
        <v>8396</v>
      </c>
      <c r="D2582" t="s">
        <v>8404</v>
      </c>
      <c r="E2582" t="s">
        <v>8446</v>
      </c>
      <c r="F2582" t="s">
        <v>8448</v>
      </c>
      <c r="G2582" t="s">
        <v>8846</v>
      </c>
    </row>
    <row r="2583" spans="1:7">
      <c r="A2583" t="s">
        <v>4955</v>
      </c>
      <c r="B2583" t="s">
        <v>8273</v>
      </c>
      <c r="C2583" t="s">
        <v>8397</v>
      </c>
      <c r="D2583" t="s">
        <v>8418</v>
      </c>
      <c r="E2583" t="s">
        <v>8445</v>
      </c>
      <c r="F2583" t="s">
        <v>8450</v>
      </c>
      <c r="G2583" t="s">
        <v>8453</v>
      </c>
    </row>
    <row r="2584" spans="1:7">
      <c r="A2584" t="s">
        <v>4956</v>
      </c>
      <c r="C2584" t="s">
        <v>8393</v>
      </c>
      <c r="D2584" t="s">
        <v>8393</v>
      </c>
      <c r="E2584" t="s">
        <v>919</v>
      </c>
      <c r="F2584" t="s">
        <v>8393</v>
      </c>
    </row>
    <row r="2585" spans="1:7">
      <c r="A2585" t="s">
        <v>4957</v>
      </c>
      <c r="C2585" t="s">
        <v>8397</v>
      </c>
      <c r="D2585" t="s">
        <v>8418</v>
      </c>
      <c r="E2585" t="s">
        <v>8445</v>
      </c>
      <c r="F2585" t="s">
        <v>8450</v>
      </c>
      <c r="G2585" t="s">
        <v>8847</v>
      </c>
    </row>
    <row r="2586" spans="1:7">
      <c r="A2586" t="s">
        <v>4958</v>
      </c>
      <c r="C2586" t="s">
        <v>8397</v>
      </c>
      <c r="D2586" t="s">
        <v>8418</v>
      </c>
      <c r="E2586" t="s">
        <v>8445</v>
      </c>
      <c r="F2586" t="s">
        <v>8450</v>
      </c>
      <c r="G2586" t="s">
        <v>8848</v>
      </c>
    </row>
    <row r="2587" spans="1:7">
      <c r="A2587" t="s">
        <v>4959</v>
      </c>
      <c r="C2587" t="s">
        <v>8397</v>
      </c>
      <c r="D2587" t="s">
        <v>8418</v>
      </c>
      <c r="E2587" t="s">
        <v>8445</v>
      </c>
      <c r="F2587" t="s">
        <v>8450</v>
      </c>
      <c r="G2587" t="s">
        <v>8849</v>
      </c>
    </row>
    <row r="2588" spans="1:7">
      <c r="A2588" t="s">
        <v>4960</v>
      </c>
      <c r="C2588" t="s">
        <v>8397</v>
      </c>
      <c r="D2588" t="s">
        <v>8418</v>
      </c>
      <c r="E2588" t="s">
        <v>8445</v>
      </c>
      <c r="F2588" t="s">
        <v>8450</v>
      </c>
      <c r="G2588" t="s">
        <v>8848</v>
      </c>
    </row>
    <row r="2589" spans="1:7">
      <c r="A2589" t="s">
        <v>4961</v>
      </c>
      <c r="C2589" t="s">
        <v>8397</v>
      </c>
      <c r="D2589" t="s">
        <v>8418</v>
      </c>
      <c r="E2589" t="s">
        <v>8445</v>
      </c>
      <c r="F2589" t="s">
        <v>8450</v>
      </c>
      <c r="G2589" t="s">
        <v>8850</v>
      </c>
    </row>
    <row r="2590" spans="1:7">
      <c r="A2590" t="s">
        <v>4962</v>
      </c>
      <c r="C2590" t="s">
        <v>8397</v>
      </c>
      <c r="D2590" t="s">
        <v>8418</v>
      </c>
      <c r="E2590" t="s">
        <v>8445</v>
      </c>
      <c r="F2590" t="s">
        <v>8450</v>
      </c>
      <c r="G2590" t="s">
        <v>8850</v>
      </c>
    </row>
    <row r="2591" spans="1:7">
      <c r="A2591" t="s">
        <v>4963</v>
      </c>
      <c r="B2591" t="s">
        <v>8299</v>
      </c>
      <c r="C2591" t="s">
        <v>8397</v>
      </c>
      <c r="D2591" t="s">
        <v>8431</v>
      </c>
      <c r="E2591" t="s">
        <v>1587</v>
      </c>
      <c r="F2591" t="s">
        <v>8448</v>
      </c>
      <c r="G2591" t="s">
        <v>8851</v>
      </c>
    </row>
    <row r="2592" spans="1:7">
      <c r="A2592" t="s">
        <v>4964</v>
      </c>
      <c r="B2592" t="s">
        <v>8299</v>
      </c>
      <c r="C2592" t="s">
        <v>8397</v>
      </c>
      <c r="D2592" t="s">
        <v>8430</v>
      </c>
      <c r="E2592" t="s">
        <v>1587</v>
      </c>
      <c r="F2592" t="s">
        <v>8449</v>
      </c>
      <c r="G2592" t="s">
        <v>8810</v>
      </c>
    </row>
    <row r="2593" spans="1:7">
      <c r="A2593" t="s">
        <v>4965</v>
      </c>
      <c r="C2593" t="s">
        <v>8398</v>
      </c>
      <c r="D2593" t="s">
        <v>8409</v>
      </c>
      <c r="E2593" t="s">
        <v>8445</v>
      </c>
      <c r="F2593" t="s">
        <v>8448</v>
      </c>
      <c r="G2593" t="s">
        <v>8852</v>
      </c>
    </row>
    <row r="2594" spans="1:7">
      <c r="A2594" t="s">
        <v>4966</v>
      </c>
      <c r="C2594" t="s">
        <v>8394</v>
      </c>
      <c r="D2594" t="s">
        <v>8413</v>
      </c>
      <c r="E2594" t="s">
        <v>8445</v>
      </c>
      <c r="F2594" t="s">
        <v>8448</v>
      </c>
      <c r="G2594" t="s">
        <v>8491</v>
      </c>
    </row>
    <row r="2595" spans="1:7">
      <c r="A2595" t="s">
        <v>4967</v>
      </c>
      <c r="C2595" t="s">
        <v>8398</v>
      </c>
      <c r="D2595" t="s">
        <v>8419</v>
      </c>
      <c r="E2595" t="s">
        <v>8445</v>
      </c>
      <c r="F2595" t="s">
        <v>8448</v>
      </c>
      <c r="G2595" t="s">
        <v>8853</v>
      </c>
    </row>
    <row r="2596" spans="1:7">
      <c r="A2596" t="s">
        <v>4968</v>
      </c>
      <c r="B2596" t="s">
        <v>8295</v>
      </c>
      <c r="C2596" t="s">
        <v>8398</v>
      </c>
      <c r="D2596" t="s">
        <v>8419</v>
      </c>
      <c r="E2596" t="s">
        <v>1519</v>
      </c>
      <c r="F2596" t="s">
        <v>8449</v>
      </c>
      <c r="G2596" t="s">
        <v>8521</v>
      </c>
    </row>
    <row r="2597" spans="1:7">
      <c r="A2597" t="s">
        <v>4969</v>
      </c>
      <c r="B2597" t="s">
        <v>8301</v>
      </c>
      <c r="C2597" t="s">
        <v>8396</v>
      </c>
      <c r="D2597" t="s">
        <v>8411</v>
      </c>
      <c r="E2597" t="s">
        <v>8444</v>
      </c>
      <c r="F2597" t="s">
        <v>8448</v>
      </c>
      <c r="G2597" t="s">
        <v>8854</v>
      </c>
    </row>
    <row r="2598" spans="1:7">
      <c r="A2598" t="s">
        <v>4970</v>
      </c>
      <c r="B2598" t="s">
        <v>8301</v>
      </c>
      <c r="C2598" t="s">
        <v>8396</v>
      </c>
      <c r="D2598" t="s">
        <v>8411</v>
      </c>
      <c r="E2598" t="s">
        <v>8446</v>
      </c>
      <c r="F2598" t="s">
        <v>8448</v>
      </c>
      <c r="G2598" t="s">
        <v>8453</v>
      </c>
    </row>
    <row r="2599" spans="1:7">
      <c r="A2599" t="s">
        <v>4971</v>
      </c>
      <c r="B2599" t="s">
        <v>8301</v>
      </c>
      <c r="C2599" t="s">
        <v>8396</v>
      </c>
      <c r="D2599" t="s">
        <v>8411</v>
      </c>
      <c r="E2599" t="s">
        <v>8446</v>
      </c>
      <c r="F2599" t="s">
        <v>8447</v>
      </c>
      <c r="G2599" t="s">
        <v>8474</v>
      </c>
    </row>
    <row r="2600" spans="1:7">
      <c r="A2600" t="s">
        <v>4972</v>
      </c>
      <c r="B2600" t="s">
        <v>8301</v>
      </c>
      <c r="C2600" t="s">
        <v>8396</v>
      </c>
      <c r="D2600" t="s">
        <v>8411</v>
      </c>
      <c r="E2600" t="s">
        <v>1519</v>
      </c>
      <c r="F2600" t="s">
        <v>8448</v>
      </c>
      <c r="G2600" t="s">
        <v>8855</v>
      </c>
    </row>
    <row r="2601" spans="1:7">
      <c r="A2601" t="s">
        <v>4973</v>
      </c>
      <c r="B2601" t="s">
        <v>8273</v>
      </c>
      <c r="C2601" t="s">
        <v>8397</v>
      </c>
      <c r="D2601" t="s">
        <v>8431</v>
      </c>
      <c r="E2601" t="s">
        <v>8445</v>
      </c>
      <c r="F2601" t="s">
        <v>8448</v>
      </c>
      <c r="G2601" t="s">
        <v>8856</v>
      </c>
    </row>
    <row r="2602" spans="1:7">
      <c r="A2602" t="s">
        <v>4974</v>
      </c>
      <c r="C2602" t="s">
        <v>8393</v>
      </c>
      <c r="D2602" t="s">
        <v>8393</v>
      </c>
      <c r="E2602" t="s">
        <v>919</v>
      </c>
      <c r="F2602" t="s">
        <v>8393</v>
      </c>
    </row>
    <row r="2603" spans="1:7">
      <c r="A2603" t="s">
        <v>4975</v>
      </c>
      <c r="B2603" t="s">
        <v>8273</v>
      </c>
      <c r="C2603" t="s">
        <v>8394</v>
      </c>
      <c r="D2603" t="s">
        <v>8402</v>
      </c>
      <c r="E2603" t="s">
        <v>8444</v>
      </c>
      <c r="F2603" t="s">
        <v>8448</v>
      </c>
      <c r="G2603" t="s">
        <v>8857</v>
      </c>
    </row>
    <row r="2604" spans="1:7">
      <c r="A2604" t="s">
        <v>4976</v>
      </c>
      <c r="C2604" t="s">
        <v>8394</v>
      </c>
      <c r="D2604" t="s">
        <v>8424</v>
      </c>
      <c r="E2604" t="s">
        <v>8445</v>
      </c>
      <c r="F2604" t="s">
        <v>8448</v>
      </c>
      <c r="G2604" t="s">
        <v>8858</v>
      </c>
    </row>
    <row r="2605" spans="1:7">
      <c r="A2605" t="s">
        <v>4977</v>
      </c>
      <c r="B2605" t="s">
        <v>8273</v>
      </c>
      <c r="C2605" t="s">
        <v>8394</v>
      </c>
      <c r="D2605" t="s">
        <v>8416</v>
      </c>
      <c r="E2605" t="s">
        <v>1519</v>
      </c>
      <c r="F2605" t="s">
        <v>8448</v>
      </c>
      <c r="G2605" t="s">
        <v>8859</v>
      </c>
    </row>
    <row r="2606" spans="1:7">
      <c r="A2606" t="s">
        <v>4978</v>
      </c>
      <c r="C2606" t="s">
        <v>8397</v>
      </c>
      <c r="D2606" t="s">
        <v>8418</v>
      </c>
      <c r="E2606" t="s">
        <v>8445</v>
      </c>
      <c r="F2606" t="s">
        <v>8450</v>
      </c>
      <c r="G2606" t="s">
        <v>8474</v>
      </c>
    </row>
    <row r="2607" spans="1:7">
      <c r="A2607" t="s">
        <v>4979</v>
      </c>
      <c r="B2607" t="s">
        <v>8299</v>
      </c>
      <c r="C2607" t="s">
        <v>8397</v>
      </c>
      <c r="D2607" t="s">
        <v>8431</v>
      </c>
      <c r="E2607" t="s">
        <v>1587</v>
      </c>
      <c r="F2607" t="s">
        <v>8447</v>
      </c>
      <c r="G2607" t="s">
        <v>8860</v>
      </c>
    </row>
    <row r="2608" spans="1:7">
      <c r="A2608" t="s">
        <v>4980</v>
      </c>
      <c r="B2608" t="s">
        <v>8273</v>
      </c>
      <c r="C2608" t="s">
        <v>8395</v>
      </c>
      <c r="D2608" t="s">
        <v>8415</v>
      </c>
      <c r="E2608" t="s">
        <v>8446</v>
      </c>
      <c r="F2608" t="s">
        <v>8449</v>
      </c>
      <c r="G2608" t="s">
        <v>8455</v>
      </c>
    </row>
    <row r="2609" spans="1:7">
      <c r="A2609" t="s">
        <v>4981</v>
      </c>
      <c r="B2609" t="s">
        <v>8273</v>
      </c>
      <c r="C2609" t="s">
        <v>8398</v>
      </c>
      <c r="D2609" t="s">
        <v>8409</v>
      </c>
      <c r="E2609" t="s">
        <v>1519</v>
      </c>
      <c r="F2609" t="s">
        <v>8449</v>
      </c>
      <c r="G2609" t="s">
        <v>8455</v>
      </c>
    </row>
    <row r="2610" spans="1:7">
      <c r="A2610" t="s">
        <v>4982</v>
      </c>
      <c r="C2610" t="s">
        <v>8393</v>
      </c>
      <c r="D2610" t="s">
        <v>8393</v>
      </c>
      <c r="E2610" t="s">
        <v>919</v>
      </c>
      <c r="F2610" t="s">
        <v>8393</v>
      </c>
    </row>
    <row r="2611" spans="1:7">
      <c r="A2611" t="s">
        <v>4983</v>
      </c>
      <c r="C2611" t="s">
        <v>8394</v>
      </c>
      <c r="D2611" t="s">
        <v>8401</v>
      </c>
      <c r="E2611" t="s">
        <v>8445</v>
      </c>
      <c r="F2611" t="s">
        <v>8448</v>
      </c>
      <c r="G2611" t="s">
        <v>8861</v>
      </c>
    </row>
    <row r="2612" spans="1:7">
      <c r="A2612" t="s">
        <v>4984</v>
      </c>
      <c r="C2612" t="s">
        <v>8394</v>
      </c>
      <c r="D2612" t="s">
        <v>8401</v>
      </c>
      <c r="E2612" t="s">
        <v>8445</v>
      </c>
      <c r="F2612" t="s">
        <v>8448</v>
      </c>
      <c r="G2612" t="s">
        <v>8861</v>
      </c>
    </row>
    <row r="2613" spans="1:7">
      <c r="A2613" t="s">
        <v>4985</v>
      </c>
      <c r="C2613" t="s">
        <v>8394</v>
      </c>
      <c r="D2613" t="s">
        <v>8401</v>
      </c>
      <c r="E2613" t="s">
        <v>8445</v>
      </c>
      <c r="F2613" t="s">
        <v>8448</v>
      </c>
      <c r="G2613" t="s">
        <v>8861</v>
      </c>
    </row>
    <row r="2614" spans="1:7">
      <c r="A2614" t="s">
        <v>4986</v>
      </c>
      <c r="C2614" t="s">
        <v>8394</v>
      </c>
      <c r="D2614" t="s">
        <v>8401</v>
      </c>
      <c r="E2614" t="s">
        <v>8445</v>
      </c>
      <c r="F2614" t="s">
        <v>8448</v>
      </c>
      <c r="G2614" t="s">
        <v>8861</v>
      </c>
    </row>
    <row r="2615" spans="1:7">
      <c r="A2615" t="s">
        <v>4987</v>
      </c>
      <c r="C2615" t="s">
        <v>8394</v>
      </c>
      <c r="D2615" t="s">
        <v>8401</v>
      </c>
      <c r="E2615" t="s">
        <v>8445</v>
      </c>
      <c r="F2615" t="s">
        <v>8448</v>
      </c>
      <c r="G2615" t="s">
        <v>8861</v>
      </c>
    </row>
    <row r="2616" spans="1:7">
      <c r="A2616" t="s">
        <v>4988</v>
      </c>
      <c r="C2616" t="s">
        <v>8394</v>
      </c>
      <c r="D2616" t="s">
        <v>8401</v>
      </c>
      <c r="E2616" t="s">
        <v>8445</v>
      </c>
      <c r="F2616" t="s">
        <v>8448</v>
      </c>
      <c r="G2616" t="s">
        <v>8861</v>
      </c>
    </row>
    <row r="2617" spans="1:7">
      <c r="A2617" t="s">
        <v>4989</v>
      </c>
      <c r="C2617" t="s">
        <v>8394</v>
      </c>
      <c r="D2617" t="s">
        <v>8401</v>
      </c>
      <c r="E2617" t="s">
        <v>8445</v>
      </c>
      <c r="F2617" t="s">
        <v>8448</v>
      </c>
      <c r="G2617" t="s">
        <v>8861</v>
      </c>
    </row>
    <row r="2618" spans="1:7">
      <c r="A2618" t="s">
        <v>4990</v>
      </c>
      <c r="C2618" t="s">
        <v>8394</v>
      </c>
      <c r="D2618" t="s">
        <v>8401</v>
      </c>
      <c r="E2618" t="s">
        <v>8445</v>
      </c>
      <c r="F2618" t="s">
        <v>8448</v>
      </c>
      <c r="G2618" t="s">
        <v>8861</v>
      </c>
    </row>
    <row r="2619" spans="1:7">
      <c r="A2619" t="s">
        <v>4991</v>
      </c>
      <c r="C2619" t="s">
        <v>8394</v>
      </c>
      <c r="D2619" t="s">
        <v>8401</v>
      </c>
      <c r="E2619" t="s">
        <v>8445</v>
      </c>
      <c r="F2619" t="s">
        <v>8448</v>
      </c>
      <c r="G2619" t="s">
        <v>8861</v>
      </c>
    </row>
    <row r="2620" spans="1:7">
      <c r="A2620" t="s">
        <v>4992</v>
      </c>
      <c r="C2620" t="s">
        <v>8394</v>
      </c>
      <c r="D2620" t="s">
        <v>8401</v>
      </c>
      <c r="E2620" t="s">
        <v>8445</v>
      </c>
      <c r="F2620" t="s">
        <v>8448</v>
      </c>
      <c r="G2620" t="s">
        <v>8861</v>
      </c>
    </row>
    <row r="2621" spans="1:7">
      <c r="A2621" t="s">
        <v>4993</v>
      </c>
      <c r="C2621" t="s">
        <v>8394</v>
      </c>
      <c r="D2621" t="s">
        <v>8401</v>
      </c>
      <c r="E2621" t="s">
        <v>8445</v>
      </c>
      <c r="F2621" t="s">
        <v>8448</v>
      </c>
      <c r="G2621" t="s">
        <v>8861</v>
      </c>
    </row>
    <row r="2622" spans="1:7">
      <c r="A2622" t="s">
        <v>4994</v>
      </c>
      <c r="C2622" t="s">
        <v>8394</v>
      </c>
      <c r="D2622" t="s">
        <v>8401</v>
      </c>
      <c r="E2622" t="s">
        <v>8445</v>
      </c>
      <c r="F2622" t="s">
        <v>8448</v>
      </c>
      <c r="G2622" t="s">
        <v>8861</v>
      </c>
    </row>
    <row r="2623" spans="1:7">
      <c r="A2623" t="s">
        <v>4995</v>
      </c>
      <c r="C2623" t="s">
        <v>8394</v>
      </c>
      <c r="D2623" t="s">
        <v>8401</v>
      </c>
      <c r="E2623" t="s">
        <v>8445</v>
      </c>
      <c r="F2623" t="s">
        <v>8448</v>
      </c>
      <c r="G2623" t="s">
        <v>8861</v>
      </c>
    </row>
    <row r="2624" spans="1:7">
      <c r="A2624" t="s">
        <v>4996</v>
      </c>
      <c r="C2624" t="s">
        <v>8394</v>
      </c>
      <c r="D2624" t="s">
        <v>8401</v>
      </c>
      <c r="E2624" t="s">
        <v>8445</v>
      </c>
      <c r="F2624" t="s">
        <v>8448</v>
      </c>
      <c r="G2624" t="s">
        <v>8861</v>
      </c>
    </row>
    <row r="2625" spans="1:7">
      <c r="A2625" t="s">
        <v>4997</v>
      </c>
      <c r="C2625" t="s">
        <v>8394</v>
      </c>
      <c r="D2625" t="s">
        <v>8401</v>
      </c>
      <c r="E2625" t="s">
        <v>8445</v>
      </c>
      <c r="F2625" t="s">
        <v>8448</v>
      </c>
      <c r="G2625" t="s">
        <v>8861</v>
      </c>
    </row>
    <row r="2626" spans="1:7">
      <c r="A2626" t="s">
        <v>4998</v>
      </c>
      <c r="C2626" t="s">
        <v>8394</v>
      </c>
      <c r="D2626" t="s">
        <v>8401</v>
      </c>
      <c r="E2626" t="s">
        <v>8445</v>
      </c>
      <c r="F2626" t="s">
        <v>8448</v>
      </c>
      <c r="G2626" t="s">
        <v>8861</v>
      </c>
    </row>
    <row r="2627" spans="1:7">
      <c r="A2627" t="s">
        <v>4999</v>
      </c>
      <c r="C2627" t="s">
        <v>8394</v>
      </c>
      <c r="D2627" t="s">
        <v>8401</v>
      </c>
      <c r="E2627" t="s">
        <v>8445</v>
      </c>
      <c r="F2627" t="s">
        <v>8448</v>
      </c>
      <c r="G2627" t="s">
        <v>8861</v>
      </c>
    </row>
    <row r="2628" spans="1:7">
      <c r="A2628" t="s">
        <v>5000</v>
      </c>
      <c r="C2628" t="s">
        <v>8394</v>
      </c>
      <c r="D2628" t="s">
        <v>8401</v>
      </c>
      <c r="E2628" t="s">
        <v>8445</v>
      </c>
      <c r="F2628" t="s">
        <v>8448</v>
      </c>
      <c r="G2628" t="s">
        <v>8861</v>
      </c>
    </row>
    <row r="2629" spans="1:7">
      <c r="A2629" t="s">
        <v>5001</v>
      </c>
      <c r="C2629" t="s">
        <v>8394</v>
      </c>
      <c r="D2629" t="s">
        <v>8401</v>
      </c>
      <c r="E2629" t="s">
        <v>8445</v>
      </c>
      <c r="F2629" t="s">
        <v>8448</v>
      </c>
      <c r="G2629" t="s">
        <v>8861</v>
      </c>
    </row>
    <row r="2630" spans="1:7">
      <c r="A2630" t="s">
        <v>5002</v>
      </c>
      <c r="C2630" t="s">
        <v>8394</v>
      </c>
      <c r="D2630" t="s">
        <v>8401</v>
      </c>
      <c r="E2630" t="s">
        <v>8445</v>
      </c>
      <c r="F2630" t="s">
        <v>8448</v>
      </c>
      <c r="G2630" t="s">
        <v>8861</v>
      </c>
    </row>
    <row r="2631" spans="1:7">
      <c r="A2631" t="s">
        <v>5003</v>
      </c>
      <c r="C2631" t="s">
        <v>8394</v>
      </c>
      <c r="D2631" t="s">
        <v>8401</v>
      </c>
      <c r="E2631" t="s">
        <v>8445</v>
      </c>
      <c r="F2631" t="s">
        <v>8448</v>
      </c>
      <c r="G2631" t="s">
        <v>8861</v>
      </c>
    </row>
    <row r="2632" spans="1:7">
      <c r="A2632" t="s">
        <v>5004</v>
      </c>
      <c r="C2632" t="s">
        <v>8394</v>
      </c>
      <c r="D2632" t="s">
        <v>8401</v>
      </c>
      <c r="E2632" t="s">
        <v>8445</v>
      </c>
      <c r="F2632" t="s">
        <v>8448</v>
      </c>
      <c r="G2632" t="s">
        <v>8861</v>
      </c>
    </row>
    <row r="2633" spans="1:7">
      <c r="A2633" t="s">
        <v>5005</v>
      </c>
      <c r="C2633" t="s">
        <v>8394</v>
      </c>
      <c r="D2633" t="s">
        <v>8401</v>
      </c>
      <c r="E2633" t="s">
        <v>8445</v>
      </c>
      <c r="F2633" t="s">
        <v>8448</v>
      </c>
      <c r="G2633" t="s">
        <v>8861</v>
      </c>
    </row>
    <row r="2634" spans="1:7">
      <c r="A2634" t="s">
        <v>5006</v>
      </c>
      <c r="B2634" t="s">
        <v>8273</v>
      </c>
      <c r="C2634" t="s">
        <v>8395</v>
      </c>
      <c r="D2634" t="s">
        <v>8402</v>
      </c>
      <c r="E2634" t="s">
        <v>8446</v>
      </c>
      <c r="F2634" t="s">
        <v>8449</v>
      </c>
      <c r="G2634" t="s">
        <v>8455</v>
      </c>
    </row>
    <row r="2635" spans="1:7">
      <c r="A2635" t="s">
        <v>5007</v>
      </c>
      <c r="B2635" t="s">
        <v>8273</v>
      </c>
      <c r="C2635" t="s">
        <v>8394</v>
      </c>
      <c r="D2635" t="s">
        <v>8402</v>
      </c>
      <c r="E2635" t="s">
        <v>8445</v>
      </c>
      <c r="F2635" t="s">
        <v>8448</v>
      </c>
      <c r="G2635" t="s">
        <v>8862</v>
      </c>
    </row>
    <row r="2636" spans="1:7">
      <c r="A2636" t="s">
        <v>5008</v>
      </c>
      <c r="B2636" t="s">
        <v>8273</v>
      </c>
      <c r="C2636" t="s">
        <v>8394</v>
      </c>
      <c r="D2636" t="s">
        <v>8402</v>
      </c>
      <c r="E2636" t="s">
        <v>8445</v>
      </c>
      <c r="F2636" t="s">
        <v>8448</v>
      </c>
      <c r="G2636" t="s">
        <v>8863</v>
      </c>
    </row>
    <row r="2637" spans="1:7">
      <c r="A2637" t="s">
        <v>5009</v>
      </c>
      <c r="B2637" t="s">
        <v>8295</v>
      </c>
      <c r="C2637" t="s">
        <v>8398</v>
      </c>
      <c r="D2637" t="s">
        <v>8419</v>
      </c>
      <c r="E2637" t="s">
        <v>8446</v>
      </c>
      <c r="F2637" t="s">
        <v>8448</v>
      </c>
      <c r="G2637" t="s">
        <v>8475</v>
      </c>
    </row>
    <row r="2638" spans="1:7">
      <c r="A2638" t="s">
        <v>5010</v>
      </c>
      <c r="C2638" t="s">
        <v>8397</v>
      </c>
      <c r="D2638" t="s">
        <v>8418</v>
      </c>
      <c r="E2638" t="s">
        <v>8445</v>
      </c>
      <c r="F2638" t="s">
        <v>8450</v>
      </c>
      <c r="G2638" t="s">
        <v>8453</v>
      </c>
    </row>
    <row r="2639" spans="1:7">
      <c r="A2639" t="s">
        <v>5011</v>
      </c>
      <c r="B2639" t="s">
        <v>8273</v>
      </c>
      <c r="C2639" t="s">
        <v>8395</v>
      </c>
      <c r="D2639" t="s">
        <v>8402</v>
      </c>
      <c r="E2639" t="s">
        <v>8446</v>
      </c>
      <c r="F2639" t="s">
        <v>8449</v>
      </c>
      <c r="G2639" t="s">
        <v>8455</v>
      </c>
    </row>
    <row r="2640" spans="1:7">
      <c r="A2640" t="s">
        <v>5012</v>
      </c>
      <c r="B2640" t="s">
        <v>8273</v>
      </c>
      <c r="C2640" t="s">
        <v>8395</v>
      </c>
      <c r="D2640" t="s">
        <v>8402</v>
      </c>
      <c r="E2640" t="s">
        <v>8446</v>
      </c>
      <c r="F2640" t="s">
        <v>8449</v>
      </c>
      <c r="G2640" t="s">
        <v>8455</v>
      </c>
    </row>
    <row r="2641" spans="1:7">
      <c r="A2641" t="s">
        <v>5013</v>
      </c>
      <c r="B2641" t="s">
        <v>8273</v>
      </c>
      <c r="C2641" t="s">
        <v>8395</v>
      </c>
      <c r="D2641" t="s">
        <v>8421</v>
      </c>
      <c r="E2641" t="s">
        <v>8446</v>
      </c>
      <c r="F2641" t="s">
        <v>8448</v>
      </c>
      <c r="G2641" t="s">
        <v>8455</v>
      </c>
    </row>
    <row r="2642" spans="1:7">
      <c r="A2642" t="s">
        <v>5014</v>
      </c>
      <c r="B2642" t="s">
        <v>8273</v>
      </c>
      <c r="C2642" t="s">
        <v>8394</v>
      </c>
      <c r="D2642" t="s">
        <v>8436</v>
      </c>
      <c r="E2642" t="s">
        <v>8446</v>
      </c>
      <c r="F2642" t="s">
        <v>8449</v>
      </c>
      <c r="G2642" t="s">
        <v>8864</v>
      </c>
    </row>
    <row r="2643" spans="1:7">
      <c r="A2643" t="s">
        <v>5015</v>
      </c>
      <c r="C2643" t="s">
        <v>8394</v>
      </c>
      <c r="D2643" t="s">
        <v>8402</v>
      </c>
      <c r="E2643" t="s">
        <v>1519</v>
      </c>
      <c r="F2643" t="s">
        <v>8448</v>
      </c>
      <c r="G2643" t="s">
        <v>8865</v>
      </c>
    </row>
    <row r="2644" spans="1:7">
      <c r="A2644" t="s">
        <v>5016</v>
      </c>
      <c r="B2644" t="s">
        <v>8299</v>
      </c>
      <c r="C2644" t="s">
        <v>8397</v>
      </c>
      <c r="D2644" t="s">
        <v>8431</v>
      </c>
      <c r="E2644" t="s">
        <v>8445</v>
      </c>
      <c r="F2644" t="s">
        <v>8448</v>
      </c>
      <c r="G2644" t="s">
        <v>8866</v>
      </c>
    </row>
    <row r="2645" spans="1:7">
      <c r="A2645" t="s">
        <v>5017</v>
      </c>
      <c r="B2645" t="s">
        <v>8273</v>
      </c>
      <c r="C2645" t="s">
        <v>8396</v>
      </c>
      <c r="D2645" t="s">
        <v>8405</v>
      </c>
      <c r="E2645" t="s">
        <v>1587</v>
      </c>
      <c r="F2645" t="s">
        <v>8449</v>
      </c>
      <c r="G2645" t="s">
        <v>8455</v>
      </c>
    </row>
    <row r="2646" spans="1:7">
      <c r="A2646" t="s">
        <v>5018</v>
      </c>
      <c r="B2646" t="s">
        <v>8273</v>
      </c>
      <c r="C2646" t="s">
        <v>8395</v>
      </c>
      <c r="D2646" t="s">
        <v>8403</v>
      </c>
      <c r="E2646" t="s">
        <v>8446</v>
      </c>
      <c r="F2646" t="s">
        <v>8449</v>
      </c>
      <c r="G2646" t="s">
        <v>8455</v>
      </c>
    </row>
    <row r="2647" spans="1:7">
      <c r="A2647" t="s">
        <v>5019</v>
      </c>
      <c r="C2647" t="s">
        <v>8393</v>
      </c>
      <c r="D2647" t="s">
        <v>8393</v>
      </c>
      <c r="E2647" t="s">
        <v>919</v>
      </c>
      <c r="F2647" t="s">
        <v>8393</v>
      </c>
    </row>
    <row r="2648" spans="1:7">
      <c r="A2648" t="s">
        <v>5020</v>
      </c>
      <c r="B2648" t="s">
        <v>8273</v>
      </c>
      <c r="C2648" t="s">
        <v>8392</v>
      </c>
      <c r="D2648" t="s">
        <v>8400</v>
      </c>
      <c r="E2648" t="s">
        <v>8446</v>
      </c>
      <c r="F2648" t="s">
        <v>8449</v>
      </c>
      <c r="G2648" t="s">
        <v>8455</v>
      </c>
    </row>
    <row r="2649" spans="1:7">
      <c r="A2649" t="s">
        <v>5021</v>
      </c>
      <c r="B2649" t="s">
        <v>8273</v>
      </c>
      <c r="C2649" t="s">
        <v>8392</v>
      </c>
      <c r="D2649" t="s">
        <v>8400</v>
      </c>
      <c r="E2649" t="s">
        <v>8446</v>
      </c>
      <c r="F2649" t="s">
        <v>8449</v>
      </c>
      <c r="G2649" t="s">
        <v>8455</v>
      </c>
    </row>
    <row r="2650" spans="1:7">
      <c r="A2650" t="s">
        <v>5022</v>
      </c>
      <c r="B2650" t="s">
        <v>8273</v>
      </c>
      <c r="C2650" t="s">
        <v>8392</v>
      </c>
      <c r="D2650" t="s">
        <v>8400</v>
      </c>
      <c r="E2650" t="s">
        <v>8446</v>
      </c>
      <c r="F2650" t="s">
        <v>8449</v>
      </c>
      <c r="G2650" t="s">
        <v>8455</v>
      </c>
    </row>
    <row r="2651" spans="1:7">
      <c r="A2651" t="s">
        <v>5023</v>
      </c>
      <c r="B2651" t="s">
        <v>8300</v>
      </c>
      <c r="C2651" t="s">
        <v>8392</v>
      </c>
      <c r="D2651" t="s">
        <v>8400</v>
      </c>
      <c r="E2651" t="s">
        <v>8446</v>
      </c>
      <c r="F2651" t="s">
        <v>8449</v>
      </c>
      <c r="G2651" t="s">
        <v>8455</v>
      </c>
    </row>
    <row r="2652" spans="1:7">
      <c r="A2652" t="s">
        <v>5024</v>
      </c>
      <c r="B2652" t="s">
        <v>8285</v>
      </c>
      <c r="C2652" t="s">
        <v>8392</v>
      </c>
      <c r="D2652" t="s">
        <v>8400</v>
      </c>
      <c r="E2652" t="s">
        <v>8446</v>
      </c>
      <c r="F2652" t="s">
        <v>8449</v>
      </c>
      <c r="G2652" t="s">
        <v>8455</v>
      </c>
    </row>
    <row r="2653" spans="1:7">
      <c r="A2653" t="s">
        <v>5025</v>
      </c>
      <c r="B2653" t="s">
        <v>8273</v>
      </c>
      <c r="C2653" t="s">
        <v>8392</v>
      </c>
      <c r="D2653" t="s">
        <v>8400</v>
      </c>
      <c r="E2653" t="s">
        <v>8446</v>
      </c>
      <c r="F2653" t="s">
        <v>8449</v>
      </c>
      <c r="G2653" t="s">
        <v>8455</v>
      </c>
    </row>
    <row r="2654" spans="1:7">
      <c r="A2654" t="s">
        <v>5026</v>
      </c>
      <c r="B2654" t="s">
        <v>8274</v>
      </c>
      <c r="C2654" t="s">
        <v>8392</v>
      </c>
      <c r="D2654" t="s">
        <v>8400</v>
      </c>
      <c r="E2654" t="s">
        <v>8446</v>
      </c>
      <c r="F2654" t="s">
        <v>8449</v>
      </c>
      <c r="G2654" t="s">
        <v>8455</v>
      </c>
    </row>
    <row r="2655" spans="1:7">
      <c r="A2655" t="s">
        <v>5027</v>
      </c>
      <c r="B2655" t="s">
        <v>8273</v>
      </c>
      <c r="C2655" t="s">
        <v>8392</v>
      </c>
      <c r="D2655" t="s">
        <v>8400</v>
      </c>
      <c r="E2655" t="s">
        <v>8446</v>
      </c>
      <c r="F2655" t="s">
        <v>8449</v>
      </c>
      <c r="G2655" t="s">
        <v>8455</v>
      </c>
    </row>
    <row r="2656" spans="1:7">
      <c r="A2656" t="s">
        <v>5028</v>
      </c>
      <c r="B2656" t="s">
        <v>8277</v>
      </c>
      <c r="C2656" t="s">
        <v>8395</v>
      </c>
      <c r="D2656" t="s">
        <v>8400</v>
      </c>
      <c r="E2656" t="s">
        <v>8446</v>
      </c>
      <c r="F2656" t="s">
        <v>8449</v>
      </c>
      <c r="G2656" t="s">
        <v>796</v>
      </c>
    </row>
    <row r="2657" spans="1:7">
      <c r="A2657" t="s">
        <v>5029</v>
      </c>
      <c r="C2657" t="s">
        <v>8394</v>
      </c>
      <c r="D2657" t="s">
        <v>8414</v>
      </c>
      <c r="E2657" t="s">
        <v>8445</v>
      </c>
      <c r="F2657" t="s">
        <v>8448</v>
      </c>
      <c r="G2657" t="s">
        <v>8455</v>
      </c>
    </row>
    <row r="2658" spans="1:7">
      <c r="A2658" t="s">
        <v>5030</v>
      </c>
      <c r="C2658" t="s">
        <v>8394</v>
      </c>
      <c r="D2658" t="s">
        <v>8414</v>
      </c>
      <c r="E2658" t="s">
        <v>8445</v>
      </c>
      <c r="F2658" t="s">
        <v>8448</v>
      </c>
      <c r="G2658" t="s">
        <v>8867</v>
      </c>
    </row>
    <row r="2659" spans="1:7">
      <c r="A2659" t="s">
        <v>5031</v>
      </c>
      <c r="C2659" t="s">
        <v>8394</v>
      </c>
      <c r="D2659" t="s">
        <v>8413</v>
      </c>
      <c r="E2659" t="s">
        <v>8445</v>
      </c>
      <c r="F2659" t="s">
        <v>8448</v>
      </c>
      <c r="G2659" t="s">
        <v>8868</v>
      </c>
    </row>
    <row r="2660" spans="1:7">
      <c r="A2660" t="s">
        <v>5032</v>
      </c>
      <c r="B2660" t="s">
        <v>8273</v>
      </c>
      <c r="C2660" t="s">
        <v>8395</v>
      </c>
      <c r="D2660" t="s">
        <v>8404</v>
      </c>
      <c r="E2660" t="s">
        <v>8446</v>
      </c>
      <c r="F2660" t="s">
        <v>8449</v>
      </c>
      <c r="G2660" t="s">
        <v>8455</v>
      </c>
    </row>
    <row r="2661" spans="1:7">
      <c r="A2661" t="s">
        <v>5033</v>
      </c>
      <c r="C2661" t="s">
        <v>8397</v>
      </c>
      <c r="D2661" t="s">
        <v>8408</v>
      </c>
      <c r="E2661" t="s">
        <v>8445</v>
      </c>
      <c r="F2661" t="s">
        <v>8450</v>
      </c>
      <c r="G2661" t="s">
        <v>8869</v>
      </c>
    </row>
    <row r="2662" spans="1:7">
      <c r="A2662" t="s">
        <v>5034</v>
      </c>
      <c r="C2662" t="s">
        <v>8393</v>
      </c>
      <c r="D2662" t="s">
        <v>8393</v>
      </c>
      <c r="E2662" t="s">
        <v>919</v>
      </c>
      <c r="F2662" t="s">
        <v>8393</v>
      </c>
    </row>
    <row r="2663" spans="1:7">
      <c r="A2663" t="s">
        <v>5035</v>
      </c>
      <c r="B2663" t="s">
        <v>8273</v>
      </c>
      <c r="C2663" t="s">
        <v>8396</v>
      </c>
      <c r="D2663" t="s">
        <v>8411</v>
      </c>
      <c r="E2663" t="s">
        <v>8445</v>
      </c>
      <c r="F2663" t="s">
        <v>8447</v>
      </c>
      <c r="G2663" t="s">
        <v>8870</v>
      </c>
    </row>
    <row r="2664" spans="1:7">
      <c r="A2664" t="s">
        <v>5036</v>
      </c>
      <c r="B2664" t="s">
        <v>8273</v>
      </c>
      <c r="C2664" t="s">
        <v>8395</v>
      </c>
      <c r="D2664" t="s">
        <v>8425</v>
      </c>
      <c r="E2664" t="s">
        <v>8444</v>
      </c>
      <c r="F2664" t="s">
        <v>8448</v>
      </c>
      <c r="G2664" t="s">
        <v>8871</v>
      </c>
    </row>
    <row r="2665" spans="1:7">
      <c r="A2665" t="s">
        <v>5037</v>
      </c>
      <c r="B2665" t="s">
        <v>8273</v>
      </c>
      <c r="C2665" t="s">
        <v>8395</v>
      </c>
      <c r="D2665" t="s">
        <v>8425</v>
      </c>
      <c r="E2665" t="s">
        <v>8444</v>
      </c>
      <c r="F2665" t="s">
        <v>8448</v>
      </c>
      <c r="G2665" t="s">
        <v>8455</v>
      </c>
    </row>
    <row r="2666" spans="1:7">
      <c r="A2666" t="s">
        <v>5038</v>
      </c>
      <c r="B2666" t="s">
        <v>8273</v>
      </c>
      <c r="C2666" t="s">
        <v>8395</v>
      </c>
      <c r="D2666" t="s">
        <v>8425</v>
      </c>
      <c r="E2666" t="s">
        <v>8445</v>
      </c>
      <c r="F2666" t="s">
        <v>8448</v>
      </c>
      <c r="G2666" t="s">
        <v>8455</v>
      </c>
    </row>
    <row r="2667" spans="1:7">
      <c r="A2667" t="s">
        <v>5039</v>
      </c>
      <c r="B2667" t="s">
        <v>8273</v>
      </c>
      <c r="C2667" t="s">
        <v>8396</v>
      </c>
      <c r="D2667" t="s">
        <v>8425</v>
      </c>
      <c r="E2667" t="s">
        <v>8445</v>
      </c>
      <c r="F2667" t="s">
        <v>8448</v>
      </c>
      <c r="G2667" t="s">
        <v>8455</v>
      </c>
    </row>
    <row r="2668" spans="1:7">
      <c r="A2668" t="s">
        <v>5040</v>
      </c>
      <c r="B2668" t="s">
        <v>8273</v>
      </c>
      <c r="C2668" t="s">
        <v>8395</v>
      </c>
      <c r="D2668" t="s">
        <v>8425</v>
      </c>
      <c r="E2668" t="s">
        <v>8445</v>
      </c>
      <c r="F2668" t="s">
        <v>8448</v>
      </c>
      <c r="G2668" t="s">
        <v>8455</v>
      </c>
    </row>
    <row r="2669" spans="1:7">
      <c r="A2669" t="s">
        <v>5041</v>
      </c>
      <c r="B2669" t="s">
        <v>8273</v>
      </c>
      <c r="C2669" t="s">
        <v>8395</v>
      </c>
      <c r="D2669" t="s">
        <v>8425</v>
      </c>
      <c r="E2669" t="s">
        <v>8445</v>
      </c>
      <c r="F2669" t="s">
        <v>8448</v>
      </c>
      <c r="G2669" t="s">
        <v>8455</v>
      </c>
    </row>
    <row r="2670" spans="1:7">
      <c r="A2670" t="s">
        <v>5042</v>
      </c>
      <c r="B2670" t="s">
        <v>8273</v>
      </c>
      <c r="C2670" t="s">
        <v>8395</v>
      </c>
      <c r="D2670" t="s">
        <v>8425</v>
      </c>
      <c r="E2670" t="s">
        <v>8444</v>
      </c>
      <c r="F2670" t="s">
        <v>8448</v>
      </c>
      <c r="G2670" t="s">
        <v>8455</v>
      </c>
    </row>
    <row r="2671" spans="1:7">
      <c r="A2671" t="s">
        <v>5043</v>
      </c>
      <c r="C2671" t="s">
        <v>8393</v>
      </c>
      <c r="D2671" t="s">
        <v>8393</v>
      </c>
      <c r="E2671" t="s">
        <v>919</v>
      </c>
      <c r="F2671" t="s">
        <v>8393</v>
      </c>
    </row>
    <row r="2672" spans="1:7">
      <c r="A2672" t="s">
        <v>5044</v>
      </c>
      <c r="B2672" t="s">
        <v>8273</v>
      </c>
      <c r="C2672" t="s">
        <v>8395</v>
      </c>
      <c r="D2672" t="s">
        <v>8437</v>
      </c>
      <c r="E2672" t="s">
        <v>8446</v>
      </c>
      <c r="F2672" t="s">
        <v>8449</v>
      </c>
      <c r="G2672" t="s">
        <v>8455</v>
      </c>
    </row>
    <row r="2673" spans="1:7">
      <c r="A2673" t="s">
        <v>5045</v>
      </c>
      <c r="B2673" t="s">
        <v>8273</v>
      </c>
      <c r="C2673" t="s">
        <v>8395</v>
      </c>
      <c r="D2673" t="s">
        <v>8437</v>
      </c>
      <c r="E2673" t="s">
        <v>8446</v>
      </c>
      <c r="F2673" t="s">
        <v>8449</v>
      </c>
      <c r="G2673" t="s">
        <v>8455</v>
      </c>
    </row>
    <row r="2674" spans="1:7">
      <c r="A2674" t="s">
        <v>5046</v>
      </c>
      <c r="B2674" t="s">
        <v>8287</v>
      </c>
      <c r="C2674" t="s">
        <v>8395</v>
      </c>
      <c r="D2674" t="s">
        <v>8437</v>
      </c>
      <c r="E2674" t="s">
        <v>8446</v>
      </c>
      <c r="F2674" t="s">
        <v>8449</v>
      </c>
      <c r="G2674" t="s">
        <v>8455</v>
      </c>
    </row>
    <row r="2675" spans="1:7">
      <c r="A2675" t="s">
        <v>5047</v>
      </c>
      <c r="B2675" t="s">
        <v>8277</v>
      </c>
      <c r="C2675" t="s">
        <v>8395</v>
      </c>
      <c r="D2675" t="s">
        <v>8437</v>
      </c>
      <c r="E2675" t="s">
        <v>8446</v>
      </c>
      <c r="F2675" t="s">
        <v>8449</v>
      </c>
      <c r="G2675" t="s">
        <v>8455</v>
      </c>
    </row>
    <row r="2676" spans="1:7">
      <c r="A2676" t="s">
        <v>5048</v>
      </c>
      <c r="C2676" t="s">
        <v>8394</v>
      </c>
      <c r="D2676" t="s">
        <v>8414</v>
      </c>
      <c r="E2676" t="s">
        <v>8445</v>
      </c>
      <c r="F2676" t="s">
        <v>8448</v>
      </c>
      <c r="G2676" t="s">
        <v>8872</v>
      </c>
    </row>
    <row r="2677" spans="1:7">
      <c r="A2677" t="s">
        <v>5049</v>
      </c>
      <c r="C2677" t="s">
        <v>8394</v>
      </c>
      <c r="D2677" t="s">
        <v>8413</v>
      </c>
      <c r="E2677" t="s">
        <v>8445</v>
      </c>
      <c r="F2677" t="s">
        <v>8448</v>
      </c>
      <c r="G2677" t="s">
        <v>8463</v>
      </c>
    </row>
    <row r="2678" spans="1:7">
      <c r="A2678" t="s">
        <v>5050</v>
      </c>
      <c r="C2678" t="s">
        <v>8394</v>
      </c>
      <c r="D2678" t="s">
        <v>8401</v>
      </c>
      <c r="E2678" t="s">
        <v>8445</v>
      </c>
      <c r="F2678" t="s">
        <v>8448</v>
      </c>
      <c r="G2678" t="s">
        <v>8873</v>
      </c>
    </row>
    <row r="2679" spans="1:7">
      <c r="A2679" t="s">
        <v>5051</v>
      </c>
      <c r="C2679" t="s">
        <v>8397</v>
      </c>
      <c r="D2679" t="s">
        <v>8408</v>
      </c>
      <c r="E2679" t="s">
        <v>8445</v>
      </c>
      <c r="F2679" t="s">
        <v>8450</v>
      </c>
    </row>
    <row r="2680" spans="1:7">
      <c r="A2680" t="s">
        <v>5052</v>
      </c>
      <c r="B2680" t="s">
        <v>8273</v>
      </c>
      <c r="C2680" t="s">
        <v>8394</v>
      </c>
      <c r="D2680" t="s">
        <v>8401</v>
      </c>
      <c r="E2680" t="s">
        <v>8445</v>
      </c>
      <c r="F2680" t="s">
        <v>8448</v>
      </c>
      <c r="G2680" t="s">
        <v>8455</v>
      </c>
    </row>
    <row r="2681" spans="1:7">
      <c r="A2681" t="s">
        <v>5053</v>
      </c>
      <c r="B2681" t="s">
        <v>8299</v>
      </c>
      <c r="C2681" t="s">
        <v>8397</v>
      </c>
      <c r="D2681" t="s">
        <v>8431</v>
      </c>
      <c r="E2681" t="s">
        <v>1587</v>
      </c>
      <c r="F2681" t="s">
        <v>8448</v>
      </c>
      <c r="G2681" t="s">
        <v>8874</v>
      </c>
    </row>
    <row r="2682" spans="1:7">
      <c r="A2682" t="s">
        <v>5054</v>
      </c>
      <c r="C2682" t="s">
        <v>8395</v>
      </c>
      <c r="D2682" t="s">
        <v>8415</v>
      </c>
      <c r="E2682" t="s">
        <v>8445</v>
      </c>
      <c r="F2682" t="s">
        <v>8448</v>
      </c>
      <c r="G2682" t="s">
        <v>796</v>
      </c>
    </row>
    <row r="2683" spans="1:7">
      <c r="A2683" t="s">
        <v>5055</v>
      </c>
      <c r="C2683" t="s">
        <v>8392</v>
      </c>
      <c r="D2683" t="s">
        <v>8400</v>
      </c>
      <c r="E2683" t="s">
        <v>1519</v>
      </c>
      <c r="F2683" t="s">
        <v>8448</v>
      </c>
      <c r="G2683" t="s">
        <v>796</v>
      </c>
    </row>
    <row r="2684" spans="1:7">
      <c r="A2684" t="s">
        <v>5056</v>
      </c>
      <c r="C2684" t="s">
        <v>8394</v>
      </c>
      <c r="D2684" t="s">
        <v>8401</v>
      </c>
      <c r="E2684" t="s">
        <v>8445</v>
      </c>
      <c r="F2684" t="s">
        <v>8448</v>
      </c>
      <c r="G2684" t="s">
        <v>8875</v>
      </c>
    </row>
    <row r="2685" spans="1:7">
      <c r="A2685" t="s">
        <v>5057</v>
      </c>
      <c r="C2685" t="s">
        <v>8394</v>
      </c>
      <c r="D2685" t="s">
        <v>8401</v>
      </c>
      <c r="E2685" t="s">
        <v>8445</v>
      </c>
      <c r="F2685" t="s">
        <v>8448</v>
      </c>
      <c r="G2685" t="s">
        <v>8876</v>
      </c>
    </row>
    <row r="2686" spans="1:7">
      <c r="A2686" t="s">
        <v>5058</v>
      </c>
      <c r="C2686" t="s">
        <v>8394</v>
      </c>
      <c r="D2686" t="s">
        <v>8401</v>
      </c>
      <c r="E2686" t="s">
        <v>8445</v>
      </c>
      <c r="F2686" t="s">
        <v>8448</v>
      </c>
      <c r="G2686" t="s">
        <v>8877</v>
      </c>
    </row>
    <row r="2687" spans="1:7">
      <c r="A2687" t="s">
        <v>5059</v>
      </c>
      <c r="C2687" t="s">
        <v>8394</v>
      </c>
      <c r="D2687" t="s">
        <v>8401</v>
      </c>
      <c r="E2687" t="s">
        <v>8445</v>
      </c>
      <c r="F2687" t="s">
        <v>8450</v>
      </c>
      <c r="G2687" t="s">
        <v>8878</v>
      </c>
    </row>
    <row r="2688" spans="1:7">
      <c r="A2688" t="s">
        <v>5060</v>
      </c>
      <c r="C2688" t="s">
        <v>8394</v>
      </c>
      <c r="D2688" t="s">
        <v>8401</v>
      </c>
      <c r="E2688" t="s">
        <v>8445</v>
      </c>
      <c r="F2688" t="s">
        <v>8448</v>
      </c>
      <c r="G2688" t="s">
        <v>8879</v>
      </c>
    </row>
    <row r="2689" spans="1:7">
      <c r="A2689" t="s">
        <v>5061</v>
      </c>
      <c r="C2689" t="s">
        <v>8393</v>
      </c>
      <c r="D2689" t="s">
        <v>8393</v>
      </c>
      <c r="E2689" t="s">
        <v>919</v>
      </c>
      <c r="F2689" t="s">
        <v>8393</v>
      </c>
    </row>
    <row r="2690" spans="1:7">
      <c r="A2690" t="s">
        <v>5062</v>
      </c>
      <c r="C2690" t="s">
        <v>8394</v>
      </c>
      <c r="D2690" t="s">
        <v>8401</v>
      </c>
      <c r="E2690" t="s">
        <v>8445</v>
      </c>
      <c r="F2690" t="s">
        <v>8448</v>
      </c>
      <c r="G2690" t="s">
        <v>8880</v>
      </c>
    </row>
    <row r="2691" spans="1:7">
      <c r="A2691" t="s">
        <v>5063</v>
      </c>
      <c r="C2691" t="s">
        <v>8394</v>
      </c>
      <c r="D2691" t="s">
        <v>8401</v>
      </c>
      <c r="E2691" t="s">
        <v>8445</v>
      </c>
      <c r="F2691" t="s">
        <v>8448</v>
      </c>
      <c r="G2691" t="s">
        <v>8880</v>
      </c>
    </row>
    <row r="2692" spans="1:7">
      <c r="A2692" t="s">
        <v>5064</v>
      </c>
      <c r="C2692" t="s">
        <v>8394</v>
      </c>
      <c r="D2692" t="s">
        <v>8401</v>
      </c>
      <c r="E2692" t="s">
        <v>8445</v>
      </c>
      <c r="F2692" t="s">
        <v>8448</v>
      </c>
      <c r="G2692" t="s">
        <v>8880</v>
      </c>
    </row>
    <row r="2693" spans="1:7">
      <c r="A2693" t="s">
        <v>5065</v>
      </c>
      <c r="C2693" t="s">
        <v>8394</v>
      </c>
      <c r="D2693" t="s">
        <v>8401</v>
      </c>
      <c r="E2693" t="s">
        <v>8445</v>
      </c>
      <c r="F2693" t="s">
        <v>8448</v>
      </c>
      <c r="G2693" t="s">
        <v>8880</v>
      </c>
    </row>
    <row r="2694" spans="1:7">
      <c r="A2694" t="s">
        <v>5066</v>
      </c>
      <c r="C2694" t="s">
        <v>8394</v>
      </c>
      <c r="D2694" t="s">
        <v>8401</v>
      </c>
      <c r="E2694" t="s">
        <v>8445</v>
      </c>
      <c r="F2694" t="s">
        <v>8448</v>
      </c>
      <c r="G2694" t="s">
        <v>8880</v>
      </c>
    </row>
    <row r="2695" spans="1:7">
      <c r="A2695" t="s">
        <v>5067</v>
      </c>
      <c r="C2695" t="s">
        <v>8394</v>
      </c>
      <c r="D2695" t="s">
        <v>8401</v>
      </c>
      <c r="E2695" t="s">
        <v>8445</v>
      </c>
      <c r="F2695" t="s">
        <v>8448</v>
      </c>
      <c r="G2695" t="s">
        <v>8881</v>
      </c>
    </row>
    <row r="2696" spans="1:7">
      <c r="A2696" t="s">
        <v>5068</v>
      </c>
      <c r="B2696" t="s">
        <v>8273</v>
      </c>
      <c r="C2696" t="s">
        <v>8398</v>
      </c>
      <c r="D2696" t="s">
        <v>8410</v>
      </c>
      <c r="E2696" t="s">
        <v>8446</v>
      </c>
      <c r="F2696" t="s">
        <v>8448</v>
      </c>
      <c r="G2696" t="s">
        <v>8882</v>
      </c>
    </row>
    <row r="2697" spans="1:7">
      <c r="A2697" t="s">
        <v>5069</v>
      </c>
      <c r="C2697" t="s">
        <v>8393</v>
      </c>
      <c r="D2697" t="s">
        <v>8393</v>
      </c>
      <c r="E2697" t="s">
        <v>919</v>
      </c>
      <c r="F2697" t="s">
        <v>8393</v>
      </c>
    </row>
    <row r="2698" spans="1:7">
      <c r="A2698" t="s">
        <v>5070</v>
      </c>
      <c r="B2698" t="s">
        <v>8273</v>
      </c>
      <c r="C2698" t="s">
        <v>8395</v>
      </c>
      <c r="D2698" t="s">
        <v>8405</v>
      </c>
      <c r="E2698" t="s">
        <v>8444</v>
      </c>
      <c r="F2698" t="s">
        <v>8449</v>
      </c>
      <c r="G2698" t="s">
        <v>8455</v>
      </c>
    </row>
    <row r="2699" spans="1:7">
      <c r="A2699" t="s">
        <v>5071</v>
      </c>
      <c r="B2699" t="s">
        <v>8274</v>
      </c>
      <c r="C2699" t="s">
        <v>8395</v>
      </c>
      <c r="D2699" t="s">
        <v>8405</v>
      </c>
      <c r="E2699" t="s">
        <v>8444</v>
      </c>
      <c r="F2699" t="s">
        <v>8449</v>
      </c>
      <c r="G2699" t="s">
        <v>8455</v>
      </c>
    </row>
    <row r="2700" spans="1:7">
      <c r="A2700" t="s">
        <v>5072</v>
      </c>
      <c r="B2700" t="s">
        <v>8287</v>
      </c>
      <c r="C2700" t="s">
        <v>8395</v>
      </c>
      <c r="D2700" t="s">
        <v>8405</v>
      </c>
      <c r="E2700" t="s">
        <v>8444</v>
      </c>
      <c r="F2700" t="s">
        <v>8449</v>
      </c>
      <c r="G2700" t="s">
        <v>8455</v>
      </c>
    </row>
    <row r="2701" spans="1:7">
      <c r="A2701" t="s">
        <v>5073</v>
      </c>
      <c r="B2701" t="s">
        <v>8277</v>
      </c>
      <c r="C2701" t="s">
        <v>8395</v>
      </c>
      <c r="D2701" t="s">
        <v>8405</v>
      </c>
      <c r="E2701" t="s">
        <v>8444</v>
      </c>
      <c r="F2701" t="s">
        <v>8449</v>
      </c>
      <c r="G2701" t="s">
        <v>8455</v>
      </c>
    </row>
    <row r="2702" spans="1:7">
      <c r="A2702" t="s">
        <v>5074</v>
      </c>
      <c r="C2702" t="s">
        <v>8397</v>
      </c>
      <c r="D2702" t="s">
        <v>8412</v>
      </c>
      <c r="E2702" t="s">
        <v>8445</v>
      </c>
      <c r="F2702" t="s">
        <v>8450</v>
      </c>
    </row>
    <row r="2703" spans="1:7">
      <c r="A2703" t="s">
        <v>5075</v>
      </c>
      <c r="C2703" t="s">
        <v>8397</v>
      </c>
      <c r="D2703" t="s">
        <v>8430</v>
      </c>
      <c r="E2703" t="s">
        <v>1587</v>
      </c>
      <c r="F2703" t="s">
        <v>8448</v>
      </c>
      <c r="G2703" t="s">
        <v>796</v>
      </c>
    </row>
    <row r="2704" spans="1:7">
      <c r="A2704" t="s">
        <v>5076</v>
      </c>
      <c r="B2704" t="s">
        <v>8273</v>
      </c>
      <c r="C2704" t="s">
        <v>8396</v>
      </c>
      <c r="D2704" t="s">
        <v>8404</v>
      </c>
      <c r="E2704" t="s">
        <v>1587</v>
      </c>
      <c r="F2704" t="s">
        <v>8449</v>
      </c>
      <c r="G2704" t="s">
        <v>8455</v>
      </c>
    </row>
    <row r="2705" spans="1:7">
      <c r="A2705" t="s">
        <v>5077</v>
      </c>
      <c r="C2705" t="s">
        <v>8394</v>
      </c>
      <c r="D2705" t="s">
        <v>8413</v>
      </c>
      <c r="E2705" t="s">
        <v>8445</v>
      </c>
      <c r="F2705" t="s">
        <v>8449</v>
      </c>
      <c r="G2705" t="s">
        <v>8453</v>
      </c>
    </row>
    <row r="2706" spans="1:7">
      <c r="A2706" t="s">
        <v>5078</v>
      </c>
      <c r="B2706" t="s">
        <v>8299</v>
      </c>
      <c r="C2706" t="s">
        <v>8397</v>
      </c>
      <c r="D2706" t="s">
        <v>8430</v>
      </c>
      <c r="E2706" t="s">
        <v>8445</v>
      </c>
      <c r="F2706" t="s">
        <v>8448</v>
      </c>
      <c r="G2706" t="s">
        <v>8883</v>
      </c>
    </row>
    <row r="2707" spans="1:7">
      <c r="A2707" t="s">
        <v>5079</v>
      </c>
      <c r="C2707" t="s">
        <v>8397</v>
      </c>
      <c r="D2707" t="s">
        <v>8408</v>
      </c>
      <c r="E2707" t="s">
        <v>8445</v>
      </c>
      <c r="F2707" t="s">
        <v>8450</v>
      </c>
    </row>
    <row r="2708" spans="1:7">
      <c r="A2708" t="s">
        <v>5080</v>
      </c>
      <c r="C2708" t="s">
        <v>8392</v>
      </c>
      <c r="D2708" t="s">
        <v>8400</v>
      </c>
      <c r="E2708" t="s">
        <v>1587</v>
      </c>
      <c r="F2708" t="s">
        <v>8449</v>
      </c>
      <c r="G2708" t="s">
        <v>795</v>
      </c>
    </row>
    <row r="2709" spans="1:7">
      <c r="A2709" t="s">
        <v>5081</v>
      </c>
      <c r="C2709" t="s">
        <v>8392</v>
      </c>
      <c r="D2709" t="s">
        <v>8400</v>
      </c>
      <c r="E2709" t="s">
        <v>8444</v>
      </c>
      <c r="F2709" t="s">
        <v>8448</v>
      </c>
      <c r="G2709" t="s">
        <v>8884</v>
      </c>
    </row>
    <row r="2710" spans="1:7">
      <c r="A2710" t="s">
        <v>5082</v>
      </c>
      <c r="B2710" t="s">
        <v>8344</v>
      </c>
      <c r="C2710" t="s">
        <v>8396</v>
      </c>
      <c r="D2710" t="s">
        <v>8404</v>
      </c>
      <c r="E2710" t="s">
        <v>1519</v>
      </c>
      <c r="F2710" t="s">
        <v>8449</v>
      </c>
      <c r="G2710" t="s">
        <v>8885</v>
      </c>
    </row>
    <row r="2711" spans="1:7">
      <c r="A2711" t="s">
        <v>5083</v>
      </c>
      <c r="B2711" t="s">
        <v>8299</v>
      </c>
      <c r="C2711" t="s">
        <v>8397</v>
      </c>
      <c r="D2711" t="s">
        <v>8431</v>
      </c>
      <c r="E2711" t="s">
        <v>8446</v>
      </c>
      <c r="F2711" t="s">
        <v>8448</v>
      </c>
      <c r="G2711" t="s">
        <v>8463</v>
      </c>
    </row>
    <row r="2712" spans="1:7">
      <c r="A2712" t="s">
        <v>5084</v>
      </c>
      <c r="B2712" t="s">
        <v>8273</v>
      </c>
      <c r="C2712" t="s">
        <v>8396</v>
      </c>
      <c r="D2712" t="s">
        <v>8405</v>
      </c>
      <c r="E2712" t="s">
        <v>8445</v>
      </c>
      <c r="F2712" t="s">
        <v>8448</v>
      </c>
      <c r="G2712" t="s">
        <v>8519</v>
      </c>
    </row>
    <row r="2713" spans="1:7">
      <c r="A2713" t="s">
        <v>5085</v>
      </c>
      <c r="B2713" t="s">
        <v>8273</v>
      </c>
      <c r="C2713" t="s">
        <v>8396</v>
      </c>
      <c r="D2713" t="s">
        <v>8425</v>
      </c>
      <c r="E2713" t="s">
        <v>8445</v>
      </c>
      <c r="F2713" t="s">
        <v>8448</v>
      </c>
      <c r="G2713" t="s">
        <v>8886</v>
      </c>
    </row>
    <row r="2714" spans="1:7">
      <c r="A2714" t="s">
        <v>5086</v>
      </c>
      <c r="B2714" t="s">
        <v>8274</v>
      </c>
      <c r="C2714" t="s">
        <v>8396</v>
      </c>
      <c r="D2714" t="s">
        <v>8406</v>
      </c>
      <c r="E2714" t="s">
        <v>8446</v>
      </c>
      <c r="F2714" t="s">
        <v>8449</v>
      </c>
      <c r="G2714" t="s">
        <v>8455</v>
      </c>
    </row>
    <row r="2715" spans="1:7">
      <c r="A2715" t="s">
        <v>5087</v>
      </c>
      <c r="C2715" t="s">
        <v>8394</v>
      </c>
      <c r="D2715" t="s">
        <v>8416</v>
      </c>
      <c r="E2715" t="s">
        <v>8445</v>
      </c>
      <c r="F2715" t="s">
        <v>8448</v>
      </c>
      <c r="G2715" t="s">
        <v>8453</v>
      </c>
    </row>
    <row r="2716" spans="1:7">
      <c r="A2716" t="s">
        <v>5088</v>
      </c>
      <c r="B2716" t="s">
        <v>8273</v>
      </c>
      <c r="C2716" t="s">
        <v>8392</v>
      </c>
      <c r="D2716" t="s">
        <v>8415</v>
      </c>
      <c r="E2716" t="s">
        <v>8445</v>
      </c>
      <c r="F2716" t="s">
        <v>8448</v>
      </c>
      <c r="G2716" t="s">
        <v>796</v>
      </c>
    </row>
    <row r="2717" spans="1:7">
      <c r="A2717" t="s">
        <v>5089</v>
      </c>
      <c r="C2717" t="s">
        <v>8394</v>
      </c>
      <c r="D2717" t="s">
        <v>8402</v>
      </c>
      <c r="E2717" t="s">
        <v>8445</v>
      </c>
      <c r="F2717" t="s">
        <v>8448</v>
      </c>
      <c r="G2717" t="s">
        <v>8887</v>
      </c>
    </row>
    <row r="2718" spans="1:7">
      <c r="A2718" t="s">
        <v>5090</v>
      </c>
      <c r="C2718" t="s">
        <v>8394</v>
      </c>
      <c r="D2718" t="s">
        <v>8402</v>
      </c>
      <c r="E2718" t="s">
        <v>8446</v>
      </c>
      <c r="F2718" t="s">
        <v>8448</v>
      </c>
      <c r="G2718" t="s">
        <v>8888</v>
      </c>
    </row>
    <row r="2719" spans="1:7">
      <c r="A2719" t="s">
        <v>5091</v>
      </c>
      <c r="C2719" t="s">
        <v>8394</v>
      </c>
      <c r="D2719" t="s">
        <v>8414</v>
      </c>
      <c r="E2719" t="s">
        <v>8445</v>
      </c>
      <c r="F2719" t="s">
        <v>8448</v>
      </c>
      <c r="G2719" t="s">
        <v>8889</v>
      </c>
    </row>
    <row r="2720" spans="1:7">
      <c r="A2720" t="s">
        <v>5092</v>
      </c>
      <c r="B2720" t="s">
        <v>8273</v>
      </c>
      <c r="C2720" t="s">
        <v>8392</v>
      </c>
      <c r="D2720" t="s">
        <v>8400</v>
      </c>
      <c r="E2720" t="s">
        <v>8446</v>
      </c>
      <c r="F2720" t="s">
        <v>8448</v>
      </c>
      <c r="G2720" t="s">
        <v>8455</v>
      </c>
    </row>
    <row r="2721" spans="1:7">
      <c r="A2721" t="s">
        <v>5093</v>
      </c>
      <c r="B2721" t="s">
        <v>8273</v>
      </c>
      <c r="C2721" t="s">
        <v>8397</v>
      </c>
      <c r="D2721" t="s">
        <v>8421</v>
      </c>
      <c r="E2721" t="s">
        <v>8445</v>
      </c>
      <c r="F2721" t="s">
        <v>8448</v>
      </c>
      <c r="G2721" t="s">
        <v>8890</v>
      </c>
    </row>
    <row r="2722" spans="1:7">
      <c r="A2722" t="s">
        <v>5094</v>
      </c>
      <c r="B2722" t="s">
        <v>8273</v>
      </c>
      <c r="C2722" t="s">
        <v>8394</v>
      </c>
      <c r="D2722" t="s">
        <v>8407</v>
      </c>
      <c r="E2722" t="s">
        <v>8445</v>
      </c>
      <c r="F2722" t="s">
        <v>8448</v>
      </c>
      <c r="G2722" t="s">
        <v>795</v>
      </c>
    </row>
    <row r="2723" spans="1:7">
      <c r="A2723" t="s">
        <v>5095</v>
      </c>
      <c r="B2723" t="s">
        <v>8273</v>
      </c>
      <c r="C2723" t="s">
        <v>8395</v>
      </c>
      <c r="D2723" t="s">
        <v>8420</v>
      </c>
      <c r="E2723" t="s">
        <v>8444</v>
      </c>
      <c r="F2723" t="s">
        <v>8448</v>
      </c>
      <c r="G2723" t="s">
        <v>8891</v>
      </c>
    </row>
    <row r="2724" spans="1:7">
      <c r="A2724" t="s">
        <v>5096</v>
      </c>
      <c r="C2724" t="s">
        <v>8394</v>
      </c>
      <c r="D2724" t="s">
        <v>8402</v>
      </c>
      <c r="E2724" t="s">
        <v>8445</v>
      </c>
      <c r="F2724" t="s">
        <v>8448</v>
      </c>
      <c r="G2724" t="s">
        <v>8892</v>
      </c>
    </row>
    <row r="2725" spans="1:7">
      <c r="A2725" t="s">
        <v>5097</v>
      </c>
      <c r="C2725" t="s">
        <v>8397</v>
      </c>
      <c r="D2725" t="s">
        <v>8412</v>
      </c>
      <c r="E2725" t="s">
        <v>8445</v>
      </c>
      <c r="F2725" t="s">
        <v>8450</v>
      </c>
      <c r="G2725" t="s">
        <v>8893</v>
      </c>
    </row>
    <row r="2726" spans="1:7">
      <c r="A2726" t="s">
        <v>5098</v>
      </c>
      <c r="B2726" t="s">
        <v>8273</v>
      </c>
      <c r="C2726" t="s">
        <v>8398</v>
      </c>
      <c r="D2726" t="s">
        <v>8410</v>
      </c>
      <c r="E2726" t="s">
        <v>1519</v>
      </c>
      <c r="F2726" t="s">
        <v>8449</v>
      </c>
      <c r="G2726" t="s">
        <v>8455</v>
      </c>
    </row>
    <row r="2727" spans="1:7">
      <c r="A2727" t="s">
        <v>5099</v>
      </c>
      <c r="B2727" t="s">
        <v>8273</v>
      </c>
      <c r="C2727" t="s">
        <v>8392</v>
      </c>
      <c r="D2727" t="s">
        <v>8415</v>
      </c>
      <c r="E2727" t="s">
        <v>1519</v>
      </c>
      <c r="F2727" t="s">
        <v>8449</v>
      </c>
      <c r="G2727" t="s">
        <v>795</v>
      </c>
    </row>
    <row r="2728" spans="1:7">
      <c r="A2728" t="s">
        <v>5100</v>
      </c>
      <c r="B2728" t="s">
        <v>8273</v>
      </c>
      <c r="C2728" t="s">
        <v>8397</v>
      </c>
      <c r="D2728" t="s">
        <v>8430</v>
      </c>
      <c r="E2728" t="s">
        <v>1587</v>
      </c>
      <c r="F2728" t="s">
        <v>8449</v>
      </c>
      <c r="G2728" t="s">
        <v>8894</v>
      </c>
    </row>
    <row r="2729" spans="1:7">
      <c r="A2729" t="s">
        <v>5101</v>
      </c>
      <c r="B2729" t="s">
        <v>8299</v>
      </c>
      <c r="C2729" t="s">
        <v>8397</v>
      </c>
      <c r="D2729" t="s">
        <v>8430</v>
      </c>
      <c r="E2729" t="s">
        <v>1587</v>
      </c>
      <c r="F2729" t="s">
        <v>8448</v>
      </c>
      <c r="G2729" t="s">
        <v>795</v>
      </c>
    </row>
    <row r="2730" spans="1:7">
      <c r="A2730" t="s">
        <v>5102</v>
      </c>
      <c r="B2730" t="s">
        <v>8273</v>
      </c>
      <c r="C2730" t="s">
        <v>8398</v>
      </c>
      <c r="D2730" t="s">
        <v>8419</v>
      </c>
      <c r="E2730" t="s">
        <v>1519</v>
      </c>
      <c r="F2730" t="s">
        <v>8449</v>
      </c>
      <c r="G2730" t="s">
        <v>8455</v>
      </c>
    </row>
    <row r="2731" spans="1:7">
      <c r="A2731" t="s">
        <v>5103</v>
      </c>
      <c r="C2731" t="s">
        <v>8397</v>
      </c>
      <c r="D2731" t="s">
        <v>8418</v>
      </c>
      <c r="E2731" t="s">
        <v>8445</v>
      </c>
      <c r="F2731" t="s">
        <v>8450</v>
      </c>
      <c r="G2731" t="s">
        <v>8455</v>
      </c>
    </row>
    <row r="2732" spans="1:7">
      <c r="A2732" t="s">
        <v>5104</v>
      </c>
      <c r="B2732" t="s">
        <v>8299</v>
      </c>
      <c r="C2732" t="s">
        <v>8397</v>
      </c>
      <c r="D2732" t="s">
        <v>8430</v>
      </c>
      <c r="E2732" t="s">
        <v>1587</v>
      </c>
      <c r="F2732" t="s">
        <v>8448</v>
      </c>
      <c r="G2732" t="s">
        <v>8895</v>
      </c>
    </row>
    <row r="2733" spans="1:7">
      <c r="A2733" t="s">
        <v>5105</v>
      </c>
      <c r="B2733" t="s">
        <v>8273</v>
      </c>
      <c r="C2733" t="s">
        <v>8395</v>
      </c>
      <c r="D2733" t="s">
        <v>8415</v>
      </c>
      <c r="E2733" t="s">
        <v>8446</v>
      </c>
      <c r="F2733" t="s">
        <v>8448</v>
      </c>
      <c r="G2733" t="s">
        <v>8455</v>
      </c>
    </row>
    <row r="2734" spans="1:7">
      <c r="A2734" t="s">
        <v>5106</v>
      </c>
      <c r="C2734" t="s">
        <v>8393</v>
      </c>
      <c r="D2734" t="s">
        <v>8393</v>
      </c>
      <c r="E2734" t="s">
        <v>919</v>
      </c>
      <c r="F2734" t="s">
        <v>8393</v>
      </c>
    </row>
    <row r="2735" spans="1:7">
      <c r="A2735" t="s">
        <v>5107</v>
      </c>
      <c r="B2735" t="s">
        <v>8278</v>
      </c>
      <c r="C2735" t="s">
        <v>8395</v>
      </c>
      <c r="D2735" t="s">
        <v>8423</v>
      </c>
      <c r="E2735" t="s">
        <v>8446</v>
      </c>
      <c r="F2735" t="s">
        <v>8449</v>
      </c>
      <c r="G2735" t="s">
        <v>8455</v>
      </c>
    </row>
    <row r="2736" spans="1:7">
      <c r="A2736" t="s">
        <v>5108</v>
      </c>
      <c r="B2736" t="s">
        <v>8273</v>
      </c>
      <c r="C2736" t="s">
        <v>8395</v>
      </c>
      <c r="D2736" t="s">
        <v>8438</v>
      </c>
      <c r="E2736" t="s">
        <v>8446</v>
      </c>
      <c r="F2736" t="s">
        <v>8449</v>
      </c>
      <c r="G2736" t="s">
        <v>8455</v>
      </c>
    </row>
    <row r="2737" spans="1:7">
      <c r="A2737" t="s">
        <v>5109</v>
      </c>
      <c r="B2737" t="s">
        <v>8278</v>
      </c>
      <c r="C2737" t="s">
        <v>8395</v>
      </c>
      <c r="D2737" t="s">
        <v>8423</v>
      </c>
      <c r="E2737" t="s">
        <v>8446</v>
      </c>
      <c r="F2737" t="s">
        <v>8449</v>
      </c>
      <c r="G2737" t="s">
        <v>8455</v>
      </c>
    </row>
    <row r="2738" spans="1:7">
      <c r="A2738" t="s">
        <v>5110</v>
      </c>
      <c r="C2738" t="s">
        <v>8393</v>
      </c>
      <c r="D2738" t="s">
        <v>8393</v>
      </c>
      <c r="E2738" t="s">
        <v>919</v>
      </c>
      <c r="F2738" t="s">
        <v>8393</v>
      </c>
    </row>
    <row r="2739" spans="1:7">
      <c r="A2739" t="s">
        <v>5111</v>
      </c>
      <c r="B2739" t="s">
        <v>8273</v>
      </c>
      <c r="C2739" t="s">
        <v>8395</v>
      </c>
      <c r="D2739" t="s">
        <v>8402</v>
      </c>
      <c r="E2739" t="s">
        <v>8446</v>
      </c>
      <c r="F2739" t="s">
        <v>8449</v>
      </c>
      <c r="G2739" t="s">
        <v>8455</v>
      </c>
    </row>
    <row r="2740" spans="1:7">
      <c r="A2740" t="s">
        <v>5112</v>
      </c>
      <c r="B2740" t="s">
        <v>8277</v>
      </c>
      <c r="C2740" t="s">
        <v>8395</v>
      </c>
      <c r="D2740" t="s">
        <v>8400</v>
      </c>
      <c r="E2740" t="s">
        <v>8446</v>
      </c>
      <c r="F2740" t="s">
        <v>8449</v>
      </c>
      <c r="G2740" t="s">
        <v>8455</v>
      </c>
    </row>
    <row r="2741" spans="1:7">
      <c r="A2741" t="s">
        <v>5113</v>
      </c>
      <c r="C2741" t="s">
        <v>8393</v>
      </c>
      <c r="D2741" t="s">
        <v>8393</v>
      </c>
      <c r="E2741" t="s">
        <v>919</v>
      </c>
      <c r="F2741" t="s">
        <v>8393</v>
      </c>
    </row>
    <row r="2742" spans="1:7">
      <c r="A2742" t="s">
        <v>5114</v>
      </c>
      <c r="B2742" t="s">
        <v>8278</v>
      </c>
      <c r="C2742" t="s">
        <v>8394</v>
      </c>
      <c r="D2742" t="s">
        <v>8423</v>
      </c>
      <c r="E2742" t="s">
        <v>8446</v>
      </c>
      <c r="F2742" t="s">
        <v>8449</v>
      </c>
      <c r="G2742" t="s">
        <v>8455</v>
      </c>
    </row>
    <row r="2743" spans="1:7">
      <c r="A2743" t="s">
        <v>5115</v>
      </c>
      <c r="B2743" t="s">
        <v>8278</v>
      </c>
      <c r="C2743" t="s">
        <v>8394</v>
      </c>
      <c r="D2743" t="s">
        <v>8423</v>
      </c>
      <c r="E2743" t="s">
        <v>8446</v>
      </c>
      <c r="F2743" t="s">
        <v>8449</v>
      </c>
      <c r="G2743" t="s">
        <v>8455</v>
      </c>
    </row>
    <row r="2744" spans="1:7">
      <c r="A2744" t="s">
        <v>5116</v>
      </c>
      <c r="B2744" t="s">
        <v>8284</v>
      </c>
      <c r="C2744" t="s">
        <v>8394</v>
      </c>
      <c r="D2744" t="s">
        <v>8423</v>
      </c>
      <c r="E2744" t="s">
        <v>8446</v>
      </c>
      <c r="F2744" t="s">
        <v>8449</v>
      </c>
      <c r="G2744" t="s">
        <v>8455</v>
      </c>
    </row>
    <row r="2745" spans="1:7">
      <c r="A2745" t="s">
        <v>5117</v>
      </c>
      <c r="B2745" t="s">
        <v>8278</v>
      </c>
      <c r="C2745" t="s">
        <v>8394</v>
      </c>
      <c r="D2745" t="s">
        <v>8423</v>
      </c>
      <c r="E2745" t="s">
        <v>8446</v>
      </c>
      <c r="F2745" t="s">
        <v>8449</v>
      </c>
      <c r="G2745" t="s">
        <v>8455</v>
      </c>
    </row>
    <row r="2746" spans="1:7">
      <c r="A2746" t="s">
        <v>5118</v>
      </c>
      <c r="B2746" t="s">
        <v>8279</v>
      </c>
      <c r="C2746" t="s">
        <v>8394</v>
      </c>
      <c r="D2746" t="s">
        <v>8423</v>
      </c>
      <c r="E2746" t="s">
        <v>8446</v>
      </c>
      <c r="F2746" t="s">
        <v>8449</v>
      </c>
      <c r="G2746" t="s">
        <v>8455</v>
      </c>
    </row>
    <row r="2747" spans="1:7">
      <c r="A2747" t="s">
        <v>5119</v>
      </c>
      <c r="B2747" t="s">
        <v>8278</v>
      </c>
      <c r="C2747" t="s">
        <v>8394</v>
      </c>
      <c r="D2747" t="s">
        <v>8423</v>
      </c>
      <c r="E2747" t="s">
        <v>8446</v>
      </c>
      <c r="F2747" t="s">
        <v>8449</v>
      </c>
      <c r="G2747" t="s">
        <v>8455</v>
      </c>
    </row>
    <row r="2748" spans="1:7">
      <c r="A2748" t="s">
        <v>5120</v>
      </c>
      <c r="B2748" t="s">
        <v>8281</v>
      </c>
      <c r="C2748" t="s">
        <v>8394</v>
      </c>
      <c r="D2748" t="s">
        <v>8423</v>
      </c>
      <c r="E2748" t="s">
        <v>8446</v>
      </c>
      <c r="F2748" t="s">
        <v>8449</v>
      </c>
      <c r="G2748" t="s">
        <v>8455</v>
      </c>
    </row>
    <row r="2749" spans="1:7">
      <c r="A2749" t="s">
        <v>5121</v>
      </c>
      <c r="C2749" t="s">
        <v>8394</v>
      </c>
      <c r="D2749" t="s">
        <v>8402</v>
      </c>
      <c r="E2749" t="s">
        <v>8446</v>
      </c>
      <c r="F2749" t="s">
        <v>8448</v>
      </c>
      <c r="G2749" t="s">
        <v>8453</v>
      </c>
    </row>
    <row r="2750" spans="1:7">
      <c r="A2750" t="s">
        <v>5122</v>
      </c>
      <c r="C2750" t="s">
        <v>8393</v>
      </c>
      <c r="D2750" t="s">
        <v>8393</v>
      </c>
      <c r="E2750" t="s">
        <v>919</v>
      </c>
      <c r="F2750" t="s">
        <v>8393</v>
      </c>
    </row>
    <row r="2751" spans="1:7">
      <c r="A2751" t="s">
        <v>5123</v>
      </c>
      <c r="B2751" t="s">
        <v>8295</v>
      </c>
      <c r="C2751" t="s">
        <v>8398</v>
      </c>
      <c r="D2751" t="s">
        <v>8419</v>
      </c>
      <c r="E2751" t="s">
        <v>8446</v>
      </c>
      <c r="F2751" t="s">
        <v>8449</v>
      </c>
      <c r="G2751" t="s">
        <v>8475</v>
      </c>
    </row>
    <row r="2752" spans="1:7">
      <c r="A2752" t="s">
        <v>5124</v>
      </c>
      <c r="B2752" t="s">
        <v>8274</v>
      </c>
      <c r="C2752" t="s">
        <v>8396</v>
      </c>
      <c r="D2752" t="s">
        <v>8406</v>
      </c>
      <c r="E2752" t="s">
        <v>8446</v>
      </c>
      <c r="F2752" t="s">
        <v>8449</v>
      </c>
      <c r="G2752" t="s">
        <v>8475</v>
      </c>
    </row>
    <row r="2753" spans="1:7">
      <c r="A2753" t="s">
        <v>5125</v>
      </c>
      <c r="C2753" t="s">
        <v>8393</v>
      </c>
      <c r="D2753" t="s">
        <v>8393</v>
      </c>
      <c r="E2753" t="s">
        <v>919</v>
      </c>
      <c r="F2753" t="s">
        <v>8393</v>
      </c>
    </row>
    <row r="2754" spans="1:7">
      <c r="A2754" t="s">
        <v>5126</v>
      </c>
      <c r="B2754" t="s">
        <v>8278</v>
      </c>
      <c r="C2754" t="s">
        <v>8394</v>
      </c>
      <c r="D2754" t="s">
        <v>8423</v>
      </c>
      <c r="E2754" t="s">
        <v>8444</v>
      </c>
      <c r="F2754" t="s">
        <v>8449</v>
      </c>
      <c r="G2754" t="s">
        <v>8455</v>
      </c>
    </row>
    <row r="2755" spans="1:7">
      <c r="A2755" t="s">
        <v>5127</v>
      </c>
      <c r="B2755" t="s">
        <v>8284</v>
      </c>
      <c r="C2755" t="s">
        <v>8394</v>
      </c>
      <c r="D2755" t="s">
        <v>8423</v>
      </c>
      <c r="E2755" t="s">
        <v>8444</v>
      </c>
      <c r="F2755" t="s">
        <v>8449</v>
      </c>
      <c r="G2755" t="s">
        <v>8455</v>
      </c>
    </row>
    <row r="2756" spans="1:7">
      <c r="A2756" t="s">
        <v>5128</v>
      </c>
      <c r="B2756" t="s">
        <v>8279</v>
      </c>
      <c r="C2756" t="s">
        <v>8394</v>
      </c>
      <c r="D2756" t="s">
        <v>8423</v>
      </c>
      <c r="E2756" t="s">
        <v>8444</v>
      </c>
      <c r="F2756" t="s">
        <v>8449</v>
      </c>
      <c r="G2756" t="s">
        <v>8455</v>
      </c>
    </row>
    <row r="2757" spans="1:7">
      <c r="A2757" t="s">
        <v>5129</v>
      </c>
      <c r="B2757" t="s">
        <v>8281</v>
      </c>
      <c r="C2757" t="s">
        <v>8394</v>
      </c>
      <c r="D2757" t="s">
        <v>8423</v>
      </c>
      <c r="E2757" t="s">
        <v>8444</v>
      </c>
      <c r="F2757" t="s">
        <v>8449</v>
      </c>
      <c r="G2757" t="s">
        <v>8455</v>
      </c>
    </row>
    <row r="2758" spans="1:7">
      <c r="A2758" t="s">
        <v>5130</v>
      </c>
      <c r="B2758" t="s">
        <v>8273</v>
      </c>
      <c r="C2758" t="s">
        <v>8395</v>
      </c>
      <c r="D2758" t="s">
        <v>8404</v>
      </c>
      <c r="E2758" t="s">
        <v>8446</v>
      </c>
      <c r="F2758" t="s">
        <v>8449</v>
      </c>
      <c r="G2758" t="s">
        <v>796</v>
      </c>
    </row>
    <row r="2759" spans="1:7">
      <c r="A2759" t="s">
        <v>5131</v>
      </c>
      <c r="C2759" t="s">
        <v>8393</v>
      </c>
      <c r="D2759" t="s">
        <v>8393</v>
      </c>
      <c r="E2759" t="s">
        <v>919</v>
      </c>
      <c r="F2759" t="s">
        <v>8393</v>
      </c>
    </row>
    <row r="2760" spans="1:7">
      <c r="A2760" t="s">
        <v>5132</v>
      </c>
      <c r="B2760" t="s">
        <v>8278</v>
      </c>
      <c r="C2760" t="s">
        <v>8394</v>
      </c>
      <c r="D2760" t="s">
        <v>8435</v>
      </c>
      <c r="E2760" t="s">
        <v>8446</v>
      </c>
      <c r="F2760" t="s">
        <v>8449</v>
      </c>
      <c r="G2760" t="s">
        <v>8455</v>
      </c>
    </row>
    <row r="2761" spans="1:7">
      <c r="A2761" t="s">
        <v>5133</v>
      </c>
      <c r="B2761" t="s">
        <v>8284</v>
      </c>
      <c r="C2761" t="s">
        <v>8394</v>
      </c>
      <c r="D2761" t="s">
        <v>8435</v>
      </c>
      <c r="E2761" t="s">
        <v>8446</v>
      </c>
      <c r="F2761" t="s">
        <v>8449</v>
      </c>
      <c r="G2761" t="s">
        <v>8455</v>
      </c>
    </row>
    <row r="2762" spans="1:7">
      <c r="A2762" t="s">
        <v>5134</v>
      </c>
      <c r="B2762" t="s">
        <v>8279</v>
      </c>
      <c r="C2762" t="s">
        <v>8394</v>
      </c>
      <c r="D2762" t="s">
        <v>8435</v>
      </c>
      <c r="E2762" t="s">
        <v>8446</v>
      </c>
      <c r="F2762" t="s">
        <v>8449</v>
      </c>
      <c r="G2762" t="s">
        <v>8455</v>
      </c>
    </row>
    <row r="2763" spans="1:7">
      <c r="A2763" t="s">
        <v>5135</v>
      </c>
      <c r="B2763" t="s">
        <v>8281</v>
      </c>
      <c r="C2763" t="s">
        <v>8394</v>
      </c>
      <c r="D2763" t="s">
        <v>8435</v>
      </c>
      <c r="E2763" t="s">
        <v>8446</v>
      </c>
      <c r="F2763" t="s">
        <v>8449</v>
      </c>
      <c r="G2763" t="s">
        <v>8455</v>
      </c>
    </row>
    <row r="2764" spans="1:7">
      <c r="A2764" t="s">
        <v>5136</v>
      </c>
      <c r="C2764" t="s">
        <v>8393</v>
      </c>
      <c r="D2764" t="s">
        <v>8393</v>
      </c>
      <c r="E2764" t="s">
        <v>919</v>
      </c>
      <c r="F2764" t="s">
        <v>8393</v>
      </c>
    </row>
    <row r="2765" spans="1:7">
      <c r="A2765" t="s">
        <v>5137</v>
      </c>
      <c r="B2765" t="s">
        <v>8273</v>
      </c>
      <c r="C2765" t="s">
        <v>8396</v>
      </c>
      <c r="D2765" t="s">
        <v>8405</v>
      </c>
      <c r="E2765" t="s">
        <v>8446</v>
      </c>
      <c r="F2765" t="s">
        <v>8449</v>
      </c>
      <c r="G2765" t="s">
        <v>8455</v>
      </c>
    </row>
    <row r="2766" spans="1:7">
      <c r="A2766" t="s">
        <v>5138</v>
      </c>
      <c r="B2766" t="s">
        <v>8273</v>
      </c>
      <c r="C2766" t="s">
        <v>8396</v>
      </c>
      <c r="D2766" t="s">
        <v>8425</v>
      </c>
      <c r="E2766" t="s">
        <v>8444</v>
      </c>
      <c r="F2766" t="s">
        <v>8448</v>
      </c>
      <c r="G2766" t="s">
        <v>8687</v>
      </c>
    </row>
    <row r="2767" spans="1:7">
      <c r="A2767" t="s">
        <v>5139</v>
      </c>
      <c r="B2767" t="s">
        <v>8273</v>
      </c>
      <c r="C2767" t="s">
        <v>8398</v>
      </c>
      <c r="D2767" t="s">
        <v>8409</v>
      </c>
      <c r="E2767" t="s">
        <v>8444</v>
      </c>
      <c r="F2767" t="s">
        <v>8449</v>
      </c>
      <c r="G2767" t="s">
        <v>795</v>
      </c>
    </row>
    <row r="2768" spans="1:7">
      <c r="A2768" t="s">
        <v>5140</v>
      </c>
      <c r="B2768" t="s">
        <v>8273</v>
      </c>
      <c r="C2768" t="s">
        <v>8395</v>
      </c>
      <c r="D2768" t="s">
        <v>8404</v>
      </c>
      <c r="E2768" t="s">
        <v>8446</v>
      </c>
      <c r="F2768" t="s">
        <v>8449</v>
      </c>
      <c r="G2768" t="s">
        <v>8455</v>
      </c>
    </row>
    <row r="2769" spans="1:7">
      <c r="A2769" t="s">
        <v>5141</v>
      </c>
      <c r="B2769" t="s">
        <v>8273</v>
      </c>
      <c r="C2769" t="s">
        <v>8398</v>
      </c>
      <c r="D2769" t="s">
        <v>8410</v>
      </c>
      <c r="E2769" t="s">
        <v>8444</v>
      </c>
      <c r="F2769" t="s">
        <v>8449</v>
      </c>
      <c r="G2769" t="s">
        <v>8455</v>
      </c>
    </row>
    <row r="2770" spans="1:7">
      <c r="A2770" t="s">
        <v>5142</v>
      </c>
      <c r="C2770" t="s">
        <v>8397</v>
      </c>
      <c r="D2770" t="s">
        <v>8408</v>
      </c>
      <c r="E2770" t="s">
        <v>8445</v>
      </c>
      <c r="F2770" t="s">
        <v>8450</v>
      </c>
    </row>
    <row r="2771" spans="1:7">
      <c r="A2771" t="s">
        <v>5143</v>
      </c>
      <c r="B2771" t="s">
        <v>8299</v>
      </c>
      <c r="C2771" t="s">
        <v>8397</v>
      </c>
      <c r="D2771" t="s">
        <v>8431</v>
      </c>
      <c r="E2771" t="s">
        <v>1519</v>
      </c>
      <c r="F2771" t="s">
        <v>8448</v>
      </c>
      <c r="G2771" t="s">
        <v>8463</v>
      </c>
    </row>
    <row r="2772" spans="1:7">
      <c r="A2772" t="s">
        <v>5144</v>
      </c>
      <c r="B2772" t="s">
        <v>8273</v>
      </c>
      <c r="C2772" t="s">
        <v>8397</v>
      </c>
      <c r="D2772" t="s">
        <v>8421</v>
      </c>
      <c r="E2772" t="s">
        <v>8445</v>
      </c>
      <c r="F2772" t="s">
        <v>8448</v>
      </c>
      <c r="G2772" t="s">
        <v>8455</v>
      </c>
    </row>
    <row r="2773" spans="1:7">
      <c r="A2773" t="s">
        <v>5145</v>
      </c>
      <c r="C2773" t="s">
        <v>8397</v>
      </c>
      <c r="D2773" t="s">
        <v>8408</v>
      </c>
      <c r="E2773" t="s">
        <v>8445</v>
      </c>
      <c r="F2773" t="s">
        <v>8450</v>
      </c>
    </row>
    <row r="2774" spans="1:7">
      <c r="A2774" t="s">
        <v>5146</v>
      </c>
      <c r="B2774" t="s">
        <v>8273</v>
      </c>
      <c r="C2774" t="s">
        <v>8395</v>
      </c>
      <c r="D2774" t="s">
        <v>8416</v>
      </c>
      <c r="E2774" t="s">
        <v>8446</v>
      </c>
      <c r="F2774" t="s">
        <v>8448</v>
      </c>
      <c r="G2774" t="s">
        <v>8455</v>
      </c>
    </row>
    <row r="2775" spans="1:7">
      <c r="A2775" t="s">
        <v>5147</v>
      </c>
      <c r="B2775" t="s">
        <v>8273</v>
      </c>
      <c r="C2775" t="s">
        <v>8394</v>
      </c>
      <c r="D2775" t="s">
        <v>8402</v>
      </c>
      <c r="E2775" t="s">
        <v>8444</v>
      </c>
      <c r="F2775" t="s">
        <v>8448</v>
      </c>
      <c r="G2775" t="s">
        <v>8896</v>
      </c>
    </row>
    <row r="2776" spans="1:7">
      <c r="A2776" t="s">
        <v>5148</v>
      </c>
      <c r="C2776" t="s">
        <v>8394</v>
      </c>
      <c r="D2776" t="s">
        <v>8414</v>
      </c>
      <c r="E2776" t="s">
        <v>8444</v>
      </c>
      <c r="F2776" t="s">
        <v>8448</v>
      </c>
      <c r="G2776" t="s">
        <v>8897</v>
      </c>
    </row>
    <row r="2777" spans="1:7">
      <c r="A2777" t="s">
        <v>5149</v>
      </c>
      <c r="C2777" t="s">
        <v>8394</v>
      </c>
      <c r="D2777" t="s">
        <v>8402</v>
      </c>
      <c r="E2777" t="s">
        <v>8445</v>
      </c>
      <c r="F2777" t="s">
        <v>8448</v>
      </c>
      <c r="G2777" t="s">
        <v>8453</v>
      </c>
    </row>
    <row r="2778" spans="1:7">
      <c r="A2778" t="s">
        <v>5150</v>
      </c>
      <c r="C2778" t="s">
        <v>8392</v>
      </c>
      <c r="D2778" t="s">
        <v>8400</v>
      </c>
      <c r="E2778" t="s">
        <v>8445</v>
      </c>
      <c r="F2778" t="s">
        <v>8448</v>
      </c>
      <c r="G2778" t="s">
        <v>8898</v>
      </c>
    </row>
    <row r="2779" spans="1:7">
      <c r="A2779" t="s">
        <v>5151</v>
      </c>
      <c r="C2779" t="s">
        <v>8394</v>
      </c>
      <c r="D2779" t="s">
        <v>8402</v>
      </c>
      <c r="E2779" t="s">
        <v>8445</v>
      </c>
      <c r="F2779" t="s">
        <v>8448</v>
      </c>
      <c r="G2779" t="s">
        <v>8899</v>
      </c>
    </row>
    <row r="2780" spans="1:7">
      <c r="A2780" t="s">
        <v>5152</v>
      </c>
      <c r="C2780" t="s">
        <v>8394</v>
      </c>
      <c r="D2780" t="s">
        <v>8402</v>
      </c>
      <c r="E2780" t="s">
        <v>8445</v>
      </c>
      <c r="F2780" t="s">
        <v>8448</v>
      </c>
      <c r="G2780" t="s">
        <v>8900</v>
      </c>
    </row>
    <row r="2781" spans="1:7">
      <c r="A2781" t="s">
        <v>5153</v>
      </c>
      <c r="C2781" t="s">
        <v>8397</v>
      </c>
      <c r="D2781" t="s">
        <v>8431</v>
      </c>
      <c r="E2781" t="s">
        <v>8444</v>
      </c>
      <c r="F2781" t="s">
        <v>8448</v>
      </c>
      <c r="G2781" t="s">
        <v>8901</v>
      </c>
    </row>
    <row r="2782" spans="1:7">
      <c r="A2782" t="s">
        <v>5154</v>
      </c>
      <c r="C2782" t="s">
        <v>8394</v>
      </c>
      <c r="D2782" t="s">
        <v>8402</v>
      </c>
      <c r="E2782" t="s">
        <v>8445</v>
      </c>
      <c r="F2782" t="s">
        <v>8448</v>
      </c>
      <c r="G2782" t="s">
        <v>8902</v>
      </c>
    </row>
    <row r="2783" spans="1:7">
      <c r="A2783" t="s">
        <v>5155</v>
      </c>
      <c r="C2783" t="s">
        <v>8394</v>
      </c>
      <c r="D2783" t="s">
        <v>8424</v>
      </c>
      <c r="E2783" t="s">
        <v>8445</v>
      </c>
      <c r="F2783" t="s">
        <v>8448</v>
      </c>
      <c r="G2783" t="s">
        <v>8453</v>
      </c>
    </row>
    <row r="2784" spans="1:7">
      <c r="A2784" t="s">
        <v>5156</v>
      </c>
      <c r="C2784" t="s">
        <v>8394</v>
      </c>
      <c r="D2784" t="s">
        <v>8402</v>
      </c>
      <c r="E2784" t="s">
        <v>8445</v>
      </c>
      <c r="F2784" t="s">
        <v>8448</v>
      </c>
      <c r="G2784" t="s">
        <v>8903</v>
      </c>
    </row>
    <row r="2785" spans="1:7">
      <c r="A2785" t="s">
        <v>5157</v>
      </c>
      <c r="C2785" t="s">
        <v>8394</v>
      </c>
      <c r="D2785" t="s">
        <v>8402</v>
      </c>
      <c r="E2785" t="s">
        <v>8445</v>
      </c>
      <c r="F2785" t="s">
        <v>8448</v>
      </c>
      <c r="G2785" t="s">
        <v>8904</v>
      </c>
    </row>
    <row r="2786" spans="1:7">
      <c r="A2786" t="s">
        <v>5158</v>
      </c>
      <c r="C2786" t="s">
        <v>8394</v>
      </c>
      <c r="D2786" t="s">
        <v>8414</v>
      </c>
      <c r="E2786" t="s">
        <v>8445</v>
      </c>
      <c r="F2786" t="s">
        <v>8448</v>
      </c>
      <c r="G2786" t="s">
        <v>8453</v>
      </c>
    </row>
    <row r="2787" spans="1:7">
      <c r="A2787" t="s">
        <v>5159</v>
      </c>
      <c r="C2787" t="s">
        <v>8392</v>
      </c>
      <c r="D2787" t="s">
        <v>8415</v>
      </c>
      <c r="E2787" t="s">
        <v>8445</v>
      </c>
      <c r="F2787" t="s">
        <v>8450</v>
      </c>
      <c r="G2787" t="s">
        <v>8453</v>
      </c>
    </row>
    <row r="2788" spans="1:7">
      <c r="A2788" t="s">
        <v>5160</v>
      </c>
      <c r="C2788" t="s">
        <v>8393</v>
      </c>
      <c r="D2788" t="s">
        <v>8393</v>
      </c>
      <c r="E2788" t="s">
        <v>919</v>
      </c>
      <c r="F2788" t="s">
        <v>8393</v>
      </c>
    </row>
    <row r="2789" spans="1:7">
      <c r="A2789" t="s">
        <v>5161</v>
      </c>
      <c r="C2789" t="s">
        <v>8394</v>
      </c>
      <c r="D2789" t="s">
        <v>8401</v>
      </c>
      <c r="E2789" t="s">
        <v>8445</v>
      </c>
      <c r="F2789" t="s">
        <v>8450</v>
      </c>
      <c r="G2789" t="s">
        <v>8905</v>
      </c>
    </row>
    <row r="2790" spans="1:7">
      <c r="A2790" t="s">
        <v>5162</v>
      </c>
      <c r="C2790" t="s">
        <v>8394</v>
      </c>
      <c r="D2790" t="s">
        <v>8401</v>
      </c>
      <c r="E2790" t="s">
        <v>8445</v>
      </c>
      <c r="F2790" t="s">
        <v>8450</v>
      </c>
      <c r="G2790" t="s">
        <v>8905</v>
      </c>
    </row>
    <row r="2791" spans="1:7">
      <c r="A2791" t="s">
        <v>5163</v>
      </c>
      <c r="C2791" t="s">
        <v>8394</v>
      </c>
      <c r="D2791" t="s">
        <v>8401</v>
      </c>
      <c r="E2791" t="s">
        <v>8445</v>
      </c>
      <c r="F2791" t="s">
        <v>8450</v>
      </c>
      <c r="G2791" t="s">
        <v>8905</v>
      </c>
    </row>
    <row r="2792" spans="1:7">
      <c r="A2792" t="s">
        <v>5164</v>
      </c>
      <c r="C2792" t="s">
        <v>8394</v>
      </c>
      <c r="D2792" t="s">
        <v>8401</v>
      </c>
      <c r="E2792" t="s">
        <v>8445</v>
      </c>
      <c r="F2792" t="s">
        <v>8450</v>
      </c>
      <c r="G2792" t="s">
        <v>8905</v>
      </c>
    </row>
    <row r="2793" spans="1:7">
      <c r="A2793" t="s">
        <v>5165</v>
      </c>
      <c r="C2793" t="s">
        <v>8394</v>
      </c>
      <c r="D2793" t="s">
        <v>8401</v>
      </c>
      <c r="E2793" t="s">
        <v>8445</v>
      </c>
      <c r="F2793" t="s">
        <v>8450</v>
      </c>
      <c r="G2793" t="s">
        <v>8905</v>
      </c>
    </row>
    <row r="2794" spans="1:7">
      <c r="A2794" t="s">
        <v>5166</v>
      </c>
      <c r="C2794" t="s">
        <v>8394</v>
      </c>
      <c r="D2794" t="s">
        <v>8401</v>
      </c>
      <c r="E2794" t="s">
        <v>8445</v>
      </c>
      <c r="F2794" t="s">
        <v>8450</v>
      </c>
      <c r="G2794" t="s">
        <v>8905</v>
      </c>
    </row>
    <row r="2795" spans="1:7">
      <c r="A2795" t="s">
        <v>5167</v>
      </c>
      <c r="C2795" t="s">
        <v>8394</v>
      </c>
      <c r="D2795" t="s">
        <v>8401</v>
      </c>
      <c r="E2795" t="s">
        <v>8445</v>
      </c>
      <c r="F2795" t="s">
        <v>8450</v>
      </c>
      <c r="G2795" t="s">
        <v>8905</v>
      </c>
    </row>
    <row r="2796" spans="1:7">
      <c r="A2796" t="s">
        <v>5168</v>
      </c>
      <c r="C2796" t="s">
        <v>8394</v>
      </c>
      <c r="D2796" t="s">
        <v>8401</v>
      </c>
      <c r="E2796" t="s">
        <v>8445</v>
      </c>
      <c r="F2796" t="s">
        <v>8450</v>
      </c>
      <c r="G2796" t="s">
        <v>8905</v>
      </c>
    </row>
    <row r="2797" spans="1:7">
      <c r="A2797" t="s">
        <v>5169</v>
      </c>
      <c r="C2797" t="s">
        <v>8394</v>
      </c>
      <c r="D2797" t="s">
        <v>8401</v>
      </c>
      <c r="E2797" t="s">
        <v>8445</v>
      </c>
      <c r="F2797" t="s">
        <v>8450</v>
      </c>
      <c r="G2797" t="s">
        <v>8905</v>
      </c>
    </row>
    <row r="2798" spans="1:7">
      <c r="A2798" t="s">
        <v>5170</v>
      </c>
      <c r="C2798" t="s">
        <v>8394</v>
      </c>
      <c r="D2798" t="s">
        <v>8401</v>
      </c>
      <c r="E2798" t="s">
        <v>8445</v>
      </c>
      <c r="F2798" t="s">
        <v>8450</v>
      </c>
      <c r="G2798" t="s">
        <v>8905</v>
      </c>
    </row>
    <row r="2799" spans="1:7">
      <c r="A2799" t="s">
        <v>5171</v>
      </c>
      <c r="C2799" t="s">
        <v>8394</v>
      </c>
      <c r="D2799" t="s">
        <v>8401</v>
      </c>
      <c r="E2799" t="s">
        <v>8445</v>
      </c>
      <c r="F2799" t="s">
        <v>8450</v>
      </c>
      <c r="G2799" t="s">
        <v>8905</v>
      </c>
    </row>
    <row r="2800" spans="1:7">
      <c r="A2800" t="s">
        <v>5172</v>
      </c>
      <c r="C2800" t="s">
        <v>8394</v>
      </c>
      <c r="D2800" t="s">
        <v>8401</v>
      </c>
      <c r="E2800" t="s">
        <v>8445</v>
      </c>
      <c r="F2800" t="s">
        <v>8450</v>
      </c>
      <c r="G2800" t="s">
        <v>8905</v>
      </c>
    </row>
    <row r="2801" spans="1:7">
      <c r="A2801" t="s">
        <v>5173</v>
      </c>
      <c r="C2801" t="s">
        <v>8394</v>
      </c>
      <c r="D2801" t="s">
        <v>8401</v>
      </c>
      <c r="E2801" t="s">
        <v>8445</v>
      </c>
      <c r="F2801" t="s">
        <v>8450</v>
      </c>
      <c r="G2801" t="s">
        <v>8905</v>
      </c>
    </row>
    <row r="2802" spans="1:7">
      <c r="A2802" t="s">
        <v>5174</v>
      </c>
      <c r="C2802" t="s">
        <v>8394</v>
      </c>
      <c r="D2802" t="s">
        <v>8401</v>
      </c>
      <c r="E2802" t="s">
        <v>8445</v>
      </c>
      <c r="F2802" t="s">
        <v>8450</v>
      </c>
      <c r="G2802" t="s">
        <v>8905</v>
      </c>
    </row>
    <row r="2803" spans="1:7">
      <c r="A2803" t="s">
        <v>5175</v>
      </c>
      <c r="C2803" t="s">
        <v>8394</v>
      </c>
      <c r="D2803" t="s">
        <v>8401</v>
      </c>
      <c r="E2803" t="s">
        <v>8445</v>
      </c>
      <c r="F2803" t="s">
        <v>8450</v>
      </c>
      <c r="G2803" t="s">
        <v>8905</v>
      </c>
    </row>
    <row r="2804" spans="1:7">
      <c r="A2804" t="s">
        <v>5176</v>
      </c>
      <c r="C2804" t="s">
        <v>8394</v>
      </c>
      <c r="D2804" t="s">
        <v>8401</v>
      </c>
      <c r="E2804" t="s">
        <v>8445</v>
      </c>
      <c r="F2804" t="s">
        <v>8450</v>
      </c>
      <c r="G2804" t="s">
        <v>8905</v>
      </c>
    </row>
    <row r="2805" spans="1:7">
      <c r="A2805" t="s">
        <v>5177</v>
      </c>
      <c r="C2805" t="s">
        <v>8394</v>
      </c>
      <c r="D2805" t="s">
        <v>8401</v>
      </c>
      <c r="E2805" t="s">
        <v>8445</v>
      </c>
      <c r="F2805" t="s">
        <v>8450</v>
      </c>
      <c r="G2805" t="s">
        <v>8905</v>
      </c>
    </row>
    <row r="2806" spans="1:7">
      <c r="A2806" t="s">
        <v>5178</v>
      </c>
      <c r="C2806" t="s">
        <v>8394</v>
      </c>
      <c r="D2806" t="s">
        <v>8401</v>
      </c>
      <c r="E2806" t="s">
        <v>8445</v>
      </c>
      <c r="F2806" t="s">
        <v>8450</v>
      </c>
      <c r="G2806" t="s">
        <v>8905</v>
      </c>
    </row>
    <row r="2807" spans="1:7">
      <c r="A2807" t="s">
        <v>5179</v>
      </c>
      <c r="C2807" t="s">
        <v>8394</v>
      </c>
      <c r="D2807" t="s">
        <v>8401</v>
      </c>
      <c r="E2807" t="s">
        <v>8445</v>
      </c>
      <c r="F2807" t="s">
        <v>8450</v>
      </c>
      <c r="G2807" t="s">
        <v>8905</v>
      </c>
    </row>
    <row r="2808" spans="1:7">
      <c r="A2808" t="s">
        <v>5180</v>
      </c>
      <c r="C2808" t="s">
        <v>8394</v>
      </c>
      <c r="D2808" t="s">
        <v>8401</v>
      </c>
      <c r="E2808" t="s">
        <v>8445</v>
      </c>
      <c r="F2808" t="s">
        <v>8450</v>
      </c>
      <c r="G2808" t="s">
        <v>8905</v>
      </c>
    </row>
    <row r="2809" spans="1:7">
      <c r="A2809" t="s">
        <v>5181</v>
      </c>
      <c r="C2809" t="s">
        <v>8394</v>
      </c>
      <c r="D2809" t="s">
        <v>8401</v>
      </c>
      <c r="E2809" t="s">
        <v>8445</v>
      </c>
      <c r="F2809" t="s">
        <v>8450</v>
      </c>
      <c r="G2809" t="s">
        <v>8905</v>
      </c>
    </row>
    <row r="2810" spans="1:7">
      <c r="A2810" t="s">
        <v>5182</v>
      </c>
      <c r="C2810" t="s">
        <v>8394</v>
      </c>
      <c r="D2810" t="s">
        <v>8401</v>
      </c>
      <c r="E2810" t="s">
        <v>8445</v>
      </c>
      <c r="F2810" t="s">
        <v>8450</v>
      </c>
      <c r="G2810" t="s">
        <v>8905</v>
      </c>
    </row>
    <row r="2811" spans="1:7">
      <c r="A2811" t="s">
        <v>5183</v>
      </c>
      <c r="C2811" t="s">
        <v>8394</v>
      </c>
      <c r="D2811" t="s">
        <v>8401</v>
      </c>
      <c r="E2811" t="s">
        <v>8445</v>
      </c>
      <c r="F2811" t="s">
        <v>8450</v>
      </c>
      <c r="G2811" t="s">
        <v>8905</v>
      </c>
    </row>
    <row r="2812" spans="1:7">
      <c r="A2812" t="s">
        <v>5184</v>
      </c>
      <c r="C2812" t="s">
        <v>8394</v>
      </c>
      <c r="D2812" t="s">
        <v>8401</v>
      </c>
      <c r="E2812" t="s">
        <v>8445</v>
      </c>
      <c r="F2812" t="s">
        <v>8450</v>
      </c>
      <c r="G2812" t="s">
        <v>8905</v>
      </c>
    </row>
    <row r="2813" spans="1:7">
      <c r="A2813" t="s">
        <v>5185</v>
      </c>
      <c r="C2813" t="s">
        <v>8394</v>
      </c>
      <c r="D2813" t="s">
        <v>8401</v>
      </c>
      <c r="E2813" t="s">
        <v>8445</v>
      </c>
      <c r="F2813" t="s">
        <v>8450</v>
      </c>
      <c r="G2813" t="s">
        <v>8905</v>
      </c>
    </row>
    <row r="2814" spans="1:7">
      <c r="A2814" t="s">
        <v>5186</v>
      </c>
      <c r="C2814" t="s">
        <v>8394</v>
      </c>
      <c r="D2814" t="s">
        <v>8401</v>
      </c>
      <c r="E2814" t="s">
        <v>8445</v>
      </c>
      <c r="F2814" t="s">
        <v>8450</v>
      </c>
      <c r="G2814" t="s">
        <v>8905</v>
      </c>
    </row>
    <row r="2815" spans="1:7">
      <c r="A2815" t="s">
        <v>5187</v>
      </c>
      <c r="C2815" t="s">
        <v>8394</v>
      </c>
      <c r="D2815" t="s">
        <v>8401</v>
      </c>
      <c r="E2815" t="s">
        <v>8445</v>
      </c>
      <c r="F2815" t="s">
        <v>8450</v>
      </c>
      <c r="G2815" t="s">
        <v>8905</v>
      </c>
    </row>
    <row r="2816" spans="1:7">
      <c r="A2816" t="s">
        <v>5188</v>
      </c>
      <c r="C2816" t="s">
        <v>8394</v>
      </c>
      <c r="D2816" t="s">
        <v>8401</v>
      </c>
      <c r="E2816" t="s">
        <v>8445</v>
      </c>
      <c r="F2816" t="s">
        <v>8450</v>
      </c>
      <c r="G2816" t="s">
        <v>8905</v>
      </c>
    </row>
    <row r="2817" spans="1:7">
      <c r="A2817" t="s">
        <v>5189</v>
      </c>
      <c r="C2817" t="s">
        <v>8394</v>
      </c>
      <c r="D2817" t="s">
        <v>8401</v>
      </c>
      <c r="E2817" t="s">
        <v>8445</v>
      </c>
      <c r="F2817" t="s">
        <v>8450</v>
      </c>
      <c r="G2817" t="s">
        <v>8905</v>
      </c>
    </row>
    <row r="2818" spans="1:7">
      <c r="A2818" t="s">
        <v>5190</v>
      </c>
      <c r="C2818" t="s">
        <v>8394</v>
      </c>
      <c r="D2818" t="s">
        <v>8401</v>
      </c>
      <c r="E2818" t="s">
        <v>8445</v>
      </c>
      <c r="F2818" t="s">
        <v>8450</v>
      </c>
      <c r="G2818" t="s">
        <v>8905</v>
      </c>
    </row>
    <row r="2819" spans="1:7">
      <c r="A2819" t="s">
        <v>5191</v>
      </c>
      <c r="C2819" t="s">
        <v>8394</v>
      </c>
      <c r="D2819" t="s">
        <v>8401</v>
      </c>
      <c r="E2819" t="s">
        <v>8445</v>
      </c>
      <c r="F2819" t="s">
        <v>8450</v>
      </c>
      <c r="G2819" t="s">
        <v>8905</v>
      </c>
    </row>
    <row r="2820" spans="1:7">
      <c r="A2820" t="s">
        <v>5192</v>
      </c>
      <c r="B2820" t="s">
        <v>8273</v>
      </c>
      <c r="C2820" t="s">
        <v>8398</v>
      </c>
      <c r="D2820" t="s">
        <v>8410</v>
      </c>
      <c r="E2820" t="s">
        <v>8445</v>
      </c>
      <c r="F2820" t="s">
        <v>8448</v>
      </c>
      <c r="G2820" t="s">
        <v>8906</v>
      </c>
    </row>
    <row r="2821" spans="1:7">
      <c r="A2821" t="s">
        <v>5193</v>
      </c>
      <c r="B2821" t="s">
        <v>8273</v>
      </c>
      <c r="C2821" t="s">
        <v>8396</v>
      </c>
      <c r="D2821" t="s">
        <v>8411</v>
      </c>
      <c r="E2821" t="s">
        <v>8446</v>
      </c>
      <c r="F2821" t="s">
        <v>8447</v>
      </c>
      <c r="G2821" t="s">
        <v>8474</v>
      </c>
    </row>
    <row r="2822" spans="1:7">
      <c r="A2822" t="s">
        <v>5194</v>
      </c>
      <c r="C2822" t="s">
        <v>8393</v>
      </c>
      <c r="D2822" t="s">
        <v>8393</v>
      </c>
      <c r="E2822" t="s">
        <v>919</v>
      </c>
      <c r="F2822" t="s">
        <v>8393</v>
      </c>
    </row>
    <row r="2823" spans="1:7">
      <c r="A2823" t="s">
        <v>5195</v>
      </c>
      <c r="B2823" t="s">
        <v>8273</v>
      </c>
      <c r="C2823" t="s">
        <v>8395</v>
      </c>
      <c r="D2823" t="s">
        <v>8415</v>
      </c>
      <c r="E2823" t="s">
        <v>8446</v>
      </c>
      <c r="F2823" t="s">
        <v>8448</v>
      </c>
      <c r="G2823" t="s">
        <v>8455</v>
      </c>
    </row>
    <row r="2824" spans="1:7">
      <c r="A2824" t="s">
        <v>5196</v>
      </c>
      <c r="B2824" t="s">
        <v>8285</v>
      </c>
      <c r="C2824" t="s">
        <v>8392</v>
      </c>
      <c r="D2824" t="s">
        <v>8400</v>
      </c>
      <c r="E2824" t="s">
        <v>8446</v>
      </c>
      <c r="F2824" t="s">
        <v>8448</v>
      </c>
      <c r="G2824" t="s">
        <v>8455</v>
      </c>
    </row>
    <row r="2825" spans="1:7">
      <c r="A2825" t="s">
        <v>5197</v>
      </c>
      <c r="B2825" t="s">
        <v>8273</v>
      </c>
      <c r="C2825" t="s">
        <v>8395</v>
      </c>
      <c r="D2825" t="s">
        <v>8404</v>
      </c>
      <c r="E2825" t="s">
        <v>8446</v>
      </c>
      <c r="F2825" t="s">
        <v>8448</v>
      </c>
      <c r="G2825" t="s">
        <v>8907</v>
      </c>
    </row>
    <row r="2826" spans="1:7">
      <c r="A2826" t="s">
        <v>5198</v>
      </c>
      <c r="B2826" t="s">
        <v>8277</v>
      </c>
      <c r="C2826" t="s">
        <v>8392</v>
      </c>
      <c r="D2826" t="s">
        <v>8400</v>
      </c>
      <c r="E2826" t="s">
        <v>8446</v>
      </c>
      <c r="F2826" t="s">
        <v>8448</v>
      </c>
      <c r="G2826" t="s">
        <v>8455</v>
      </c>
    </row>
    <row r="2827" spans="1:7">
      <c r="A2827" t="s">
        <v>5199</v>
      </c>
      <c r="C2827" t="s">
        <v>8397</v>
      </c>
      <c r="D2827" t="s">
        <v>8408</v>
      </c>
      <c r="E2827" t="s">
        <v>1519</v>
      </c>
      <c r="F2827" t="s">
        <v>8450</v>
      </c>
    </row>
    <row r="2828" spans="1:7">
      <c r="A2828" t="s">
        <v>5200</v>
      </c>
      <c r="B2828" t="s">
        <v>8299</v>
      </c>
      <c r="C2828" t="s">
        <v>8397</v>
      </c>
      <c r="D2828" t="s">
        <v>8431</v>
      </c>
      <c r="E2828" t="s">
        <v>1519</v>
      </c>
      <c r="F2828" t="s">
        <v>8448</v>
      </c>
    </row>
    <row r="2829" spans="1:7">
      <c r="A2829" t="s">
        <v>5201</v>
      </c>
      <c r="B2829" t="s">
        <v>8273</v>
      </c>
      <c r="C2829" t="s">
        <v>8396</v>
      </c>
      <c r="D2829" t="s">
        <v>8425</v>
      </c>
      <c r="E2829" t="s">
        <v>1519</v>
      </c>
      <c r="F2829" t="s">
        <v>8448</v>
      </c>
      <c r="G2829" t="s">
        <v>8908</v>
      </c>
    </row>
    <row r="2830" spans="1:7">
      <c r="A2830" t="s">
        <v>5202</v>
      </c>
      <c r="B2830" t="s">
        <v>8273</v>
      </c>
      <c r="C2830" t="s">
        <v>8396</v>
      </c>
      <c r="D2830" t="s">
        <v>8425</v>
      </c>
      <c r="E2830" t="s">
        <v>8446</v>
      </c>
      <c r="F2830" t="s">
        <v>8449</v>
      </c>
      <c r="G2830" t="s">
        <v>8455</v>
      </c>
    </row>
    <row r="2831" spans="1:7">
      <c r="A2831" t="s">
        <v>5203</v>
      </c>
      <c r="C2831" t="s">
        <v>8394</v>
      </c>
      <c r="D2831" t="s">
        <v>8439</v>
      </c>
      <c r="E2831" t="s">
        <v>8444</v>
      </c>
      <c r="F2831" t="s">
        <v>8448</v>
      </c>
      <c r="G2831" t="s">
        <v>799</v>
      </c>
    </row>
    <row r="2832" spans="1:7">
      <c r="A2832" t="s">
        <v>5204</v>
      </c>
      <c r="B2832" t="s">
        <v>8273</v>
      </c>
      <c r="C2832" t="s">
        <v>8394</v>
      </c>
      <c r="D2832" t="s">
        <v>8439</v>
      </c>
      <c r="E2832" t="s">
        <v>8445</v>
      </c>
      <c r="F2832" t="s">
        <v>8448</v>
      </c>
      <c r="G2832" t="s">
        <v>8455</v>
      </c>
    </row>
    <row r="2833" spans="1:7">
      <c r="A2833" t="s">
        <v>5205</v>
      </c>
      <c r="C2833" t="s">
        <v>8397</v>
      </c>
      <c r="D2833" t="s">
        <v>8412</v>
      </c>
      <c r="E2833" t="s">
        <v>8445</v>
      </c>
      <c r="F2833" t="s">
        <v>8450</v>
      </c>
    </row>
    <row r="2834" spans="1:7">
      <c r="A2834" t="s">
        <v>5206</v>
      </c>
      <c r="C2834" t="s">
        <v>8397</v>
      </c>
      <c r="D2834" t="s">
        <v>8412</v>
      </c>
      <c r="E2834" t="s">
        <v>8445</v>
      </c>
      <c r="F2834" t="s">
        <v>8450</v>
      </c>
    </row>
    <row r="2835" spans="1:7">
      <c r="A2835" t="s">
        <v>5207</v>
      </c>
      <c r="C2835" t="s">
        <v>8397</v>
      </c>
      <c r="D2835" t="s">
        <v>8412</v>
      </c>
      <c r="E2835" t="s">
        <v>8445</v>
      </c>
      <c r="F2835" t="s">
        <v>8450</v>
      </c>
    </row>
    <row r="2836" spans="1:7">
      <c r="A2836" t="s">
        <v>5208</v>
      </c>
      <c r="C2836" t="s">
        <v>8393</v>
      </c>
      <c r="D2836" t="s">
        <v>8393</v>
      </c>
      <c r="E2836" t="s">
        <v>919</v>
      </c>
      <c r="F2836" t="s">
        <v>8393</v>
      </c>
    </row>
    <row r="2837" spans="1:7">
      <c r="A2837" t="s">
        <v>5209</v>
      </c>
      <c r="C2837" t="s">
        <v>8394</v>
      </c>
      <c r="D2837" t="s">
        <v>8401</v>
      </c>
      <c r="E2837" t="s">
        <v>8445</v>
      </c>
      <c r="F2837" t="s">
        <v>8450</v>
      </c>
      <c r="G2837" t="s">
        <v>8905</v>
      </c>
    </row>
    <row r="2838" spans="1:7">
      <c r="A2838" t="s">
        <v>5210</v>
      </c>
      <c r="C2838" t="s">
        <v>8394</v>
      </c>
      <c r="D2838" t="s">
        <v>8401</v>
      </c>
      <c r="E2838" t="s">
        <v>8445</v>
      </c>
      <c r="F2838" t="s">
        <v>8450</v>
      </c>
      <c r="G2838" t="s">
        <v>8905</v>
      </c>
    </row>
    <row r="2839" spans="1:7">
      <c r="A2839" t="s">
        <v>5211</v>
      </c>
      <c r="C2839" t="s">
        <v>8394</v>
      </c>
      <c r="D2839" t="s">
        <v>8401</v>
      </c>
      <c r="E2839" t="s">
        <v>8445</v>
      </c>
      <c r="F2839" t="s">
        <v>8450</v>
      </c>
      <c r="G2839" t="s">
        <v>8905</v>
      </c>
    </row>
    <row r="2840" spans="1:7">
      <c r="A2840" t="s">
        <v>5212</v>
      </c>
      <c r="C2840" t="s">
        <v>8392</v>
      </c>
      <c r="D2840" t="s">
        <v>8415</v>
      </c>
      <c r="E2840" t="s">
        <v>8445</v>
      </c>
      <c r="F2840" t="s">
        <v>8448</v>
      </c>
      <c r="G2840" t="s">
        <v>8909</v>
      </c>
    </row>
    <row r="2841" spans="1:7">
      <c r="A2841" t="s">
        <v>5213</v>
      </c>
      <c r="C2841" t="s">
        <v>8392</v>
      </c>
      <c r="D2841" t="s">
        <v>8400</v>
      </c>
      <c r="E2841" t="s">
        <v>1519</v>
      </c>
      <c r="F2841" t="s">
        <v>8449</v>
      </c>
      <c r="G2841" t="s">
        <v>8455</v>
      </c>
    </row>
    <row r="2842" spans="1:7">
      <c r="A2842" t="s">
        <v>5214</v>
      </c>
      <c r="C2842" t="s">
        <v>8394</v>
      </c>
      <c r="D2842" t="s">
        <v>8401</v>
      </c>
      <c r="E2842" t="s">
        <v>8445</v>
      </c>
      <c r="F2842" t="s">
        <v>8448</v>
      </c>
      <c r="G2842" t="s">
        <v>8910</v>
      </c>
    </row>
    <row r="2843" spans="1:7">
      <c r="A2843" t="s">
        <v>5215</v>
      </c>
      <c r="B2843" t="s">
        <v>8273</v>
      </c>
      <c r="C2843" t="s">
        <v>8394</v>
      </c>
      <c r="D2843" t="s">
        <v>8401</v>
      </c>
      <c r="E2843" t="s">
        <v>8445</v>
      </c>
      <c r="F2843" t="s">
        <v>8449</v>
      </c>
      <c r="G2843" t="s">
        <v>8455</v>
      </c>
    </row>
    <row r="2844" spans="1:7">
      <c r="A2844" t="s">
        <v>5216</v>
      </c>
      <c r="C2844" t="s">
        <v>8394</v>
      </c>
      <c r="D2844" t="s">
        <v>8401</v>
      </c>
      <c r="E2844" t="s">
        <v>8445</v>
      </c>
      <c r="F2844" t="s">
        <v>8448</v>
      </c>
      <c r="G2844" t="s">
        <v>8911</v>
      </c>
    </row>
    <row r="2845" spans="1:7">
      <c r="A2845" t="s">
        <v>5217</v>
      </c>
      <c r="C2845" t="s">
        <v>8397</v>
      </c>
      <c r="D2845" t="s">
        <v>8408</v>
      </c>
      <c r="E2845" t="s">
        <v>8445</v>
      </c>
      <c r="F2845" t="s">
        <v>8450</v>
      </c>
    </row>
    <row r="2846" spans="1:7">
      <c r="A2846" t="s">
        <v>5218</v>
      </c>
      <c r="B2846" t="s">
        <v>8273</v>
      </c>
      <c r="C2846" t="s">
        <v>8392</v>
      </c>
      <c r="D2846" t="s">
        <v>8400</v>
      </c>
      <c r="E2846" t="s">
        <v>1519</v>
      </c>
      <c r="F2846" t="s">
        <v>8448</v>
      </c>
      <c r="G2846" t="s">
        <v>8455</v>
      </c>
    </row>
    <row r="2847" spans="1:7">
      <c r="A2847" t="s">
        <v>5219</v>
      </c>
      <c r="C2847" t="s">
        <v>8393</v>
      </c>
      <c r="D2847" t="s">
        <v>8393</v>
      </c>
      <c r="E2847" t="s">
        <v>919</v>
      </c>
      <c r="F2847" t="s">
        <v>8393</v>
      </c>
    </row>
    <row r="2848" spans="1:7">
      <c r="A2848" t="s">
        <v>5220</v>
      </c>
      <c r="B2848" t="s">
        <v>8273</v>
      </c>
      <c r="C2848" t="s">
        <v>8394</v>
      </c>
      <c r="D2848" t="s">
        <v>8402</v>
      </c>
      <c r="E2848" t="s">
        <v>8445</v>
      </c>
      <c r="F2848" t="s">
        <v>8448</v>
      </c>
      <c r="G2848" t="s">
        <v>8912</v>
      </c>
    </row>
    <row r="2849" spans="1:7">
      <c r="A2849" t="s">
        <v>5221</v>
      </c>
      <c r="C2849" t="s">
        <v>8394</v>
      </c>
      <c r="D2849" t="s">
        <v>8401</v>
      </c>
      <c r="E2849" t="s">
        <v>8445</v>
      </c>
      <c r="F2849" t="s">
        <v>8448</v>
      </c>
      <c r="G2849" t="s">
        <v>8913</v>
      </c>
    </row>
    <row r="2850" spans="1:7">
      <c r="A2850" t="s">
        <v>5222</v>
      </c>
      <c r="B2850" t="s">
        <v>8273</v>
      </c>
      <c r="C2850" t="s">
        <v>8395</v>
      </c>
      <c r="D2850" t="s">
        <v>8426</v>
      </c>
      <c r="E2850" t="s">
        <v>8446</v>
      </c>
      <c r="F2850" t="s">
        <v>8449</v>
      </c>
      <c r="G2850" t="s">
        <v>8455</v>
      </c>
    </row>
    <row r="2851" spans="1:7">
      <c r="A2851" t="s">
        <v>5223</v>
      </c>
      <c r="C2851" t="s">
        <v>8397</v>
      </c>
      <c r="D2851" t="s">
        <v>8412</v>
      </c>
      <c r="E2851" t="s">
        <v>8445</v>
      </c>
      <c r="F2851" t="s">
        <v>8450</v>
      </c>
    </row>
    <row r="2852" spans="1:7">
      <c r="A2852" t="s">
        <v>5224</v>
      </c>
      <c r="C2852" t="s">
        <v>8394</v>
      </c>
      <c r="D2852" t="s">
        <v>8401</v>
      </c>
      <c r="E2852" t="s">
        <v>8445</v>
      </c>
      <c r="F2852" t="s">
        <v>8448</v>
      </c>
      <c r="G2852" t="s">
        <v>8914</v>
      </c>
    </row>
    <row r="2853" spans="1:7">
      <c r="A2853" t="s">
        <v>5225</v>
      </c>
      <c r="C2853" t="s">
        <v>8397</v>
      </c>
      <c r="D2853" t="s">
        <v>8412</v>
      </c>
      <c r="E2853" t="s">
        <v>8445</v>
      </c>
      <c r="F2853" t="s">
        <v>8450</v>
      </c>
    </row>
    <row r="2854" spans="1:7">
      <c r="A2854" t="s">
        <v>5226</v>
      </c>
      <c r="B2854" t="s">
        <v>8273</v>
      </c>
      <c r="C2854" t="s">
        <v>8398</v>
      </c>
      <c r="D2854" t="s">
        <v>8410</v>
      </c>
      <c r="E2854" t="s">
        <v>8446</v>
      </c>
      <c r="F2854" t="s">
        <v>8449</v>
      </c>
      <c r="G2854" t="s">
        <v>8915</v>
      </c>
    </row>
    <row r="2855" spans="1:7">
      <c r="A2855" t="s">
        <v>5227</v>
      </c>
      <c r="C2855" t="s">
        <v>8393</v>
      </c>
      <c r="D2855" t="s">
        <v>8393</v>
      </c>
      <c r="E2855" t="s">
        <v>919</v>
      </c>
      <c r="F2855" t="s">
        <v>8393</v>
      </c>
    </row>
    <row r="2856" spans="1:7">
      <c r="A2856" t="s">
        <v>5228</v>
      </c>
      <c r="C2856" t="s">
        <v>8397</v>
      </c>
      <c r="D2856" t="s">
        <v>8431</v>
      </c>
      <c r="E2856" t="s">
        <v>8444</v>
      </c>
      <c r="F2856" t="s">
        <v>8448</v>
      </c>
      <c r="G2856" t="s">
        <v>8916</v>
      </c>
    </row>
    <row r="2857" spans="1:7">
      <c r="A2857" t="s">
        <v>5229</v>
      </c>
      <c r="C2857" t="s">
        <v>8397</v>
      </c>
      <c r="D2857" t="s">
        <v>8431</v>
      </c>
      <c r="E2857" t="s">
        <v>8445</v>
      </c>
      <c r="F2857" t="s">
        <v>8448</v>
      </c>
    </row>
    <row r="2858" spans="1:7">
      <c r="A2858" t="s">
        <v>5230</v>
      </c>
      <c r="C2858" t="s">
        <v>8397</v>
      </c>
      <c r="D2858" t="s">
        <v>8431</v>
      </c>
      <c r="E2858" t="s">
        <v>8444</v>
      </c>
      <c r="F2858" t="s">
        <v>8448</v>
      </c>
    </row>
    <row r="2859" spans="1:7">
      <c r="A2859" t="s">
        <v>5231</v>
      </c>
      <c r="C2859" t="s">
        <v>8397</v>
      </c>
      <c r="D2859" t="s">
        <v>8431</v>
      </c>
      <c r="E2859" t="s">
        <v>8444</v>
      </c>
      <c r="F2859" t="s">
        <v>8448</v>
      </c>
      <c r="G2859" t="s">
        <v>8917</v>
      </c>
    </row>
    <row r="2860" spans="1:7">
      <c r="A2860" t="s">
        <v>5232</v>
      </c>
      <c r="C2860" t="s">
        <v>8397</v>
      </c>
      <c r="D2860" t="s">
        <v>8408</v>
      </c>
      <c r="E2860" t="s">
        <v>8445</v>
      </c>
      <c r="F2860" t="s">
        <v>8450</v>
      </c>
    </row>
    <row r="2861" spans="1:7">
      <c r="A2861" t="s">
        <v>5233</v>
      </c>
      <c r="B2861" t="s">
        <v>8273</v>
      </c>
      <c r="C2861" t="s">
        <v>8396</v>
      </c>
      <c r="D2861" t="s">
        <v>8404</v>
      </c>
      <c r="E2861" t="s">
        <v>1519</v>
      </c>
      <c r="F2861" t="s">
        <v>8449</v>
      </c>
      <c r="G2861" t="s">
        <v>8455</v>
      </c>
    </row>
    <row r="2862" spans="1:7">
      <c r="A2862" t="s">
        <v>5234</v>
      </c>
      <c r="B2862" t="s">
        <v>8273</v>
      </c>
      <c r="C2862" t="s">
        <v>8396</v>
      </c>
      <c r="D2862" t="s">
        <v>8425</v>
      </c>
      <c r="E2862" t="s">
        <v>8446</v>
      </c>
      <c r="F2862" t="s">
        <v>8449</v>
      </c>
      <c r="G2862" t="s">
        <v>8455</v>
      </c>
    </row>
    <row r="2863" spans="1:7">
      <c r="A2863" t="s">
        <v>5235</v>
      </c>
      <c r="B2863" t="s">
        <v>8273</v>
      </c>
      <c r="C2863" t="s">
        <v>8396</v>
      </c>
      <c r="D2863" t="s">
        <v>8425</v>
      </c>
      <c r="E2863" t="s">
        <v>1519</v>
      </c>
      <c r="F2863" t="s">
        <v>8449</v>
      </c>
      <c r="G2863" t="s">
        <v>796</v>
      </c>
    </row>
    <row r="2864" spans="1:7">
      <c r="A2864" t="s">
        <v>5236</v>
      </c>
      <c r="C2864" t="s">
        <v>8394</v>
      </c>
      <c r="D2864" t="s">
        <v>8402</v>
      </c>
      <c r="E2864" t="s">
        <v>8445</v>
      </c>
      <c r="F2864" t="s">
        <v>8448</v>
      </c>
      <c r="G2864" t="s">
        <v>8918</v>
      </c>
    </row>
    <row r="2865" spans="1:7">
      <c r="A2865" t="s">
        <v>769</v>
      </c>
      <c r="B2865" t="s">
        <v>8273</v>
      </c>
      <c r="C2865" t="s">
        <v>8396</v>
      </c>
      <c r="D2865" t="s">
        <v>8404</v>
      </c>
      <c r="E2865" t="s">
        <v>1519</v>
      </c>
      <c r="F2865" t="s">
        <v>8448</v>
      </c>
      <c r="G2865" t="s">
        <v>792</v>
      </c>
    </row>
    <row r="2866" spans="1:7">
      <c r="A2866" t="s">
        <v>5237</v>
      </c>
      <c r="B2866" t="s">
        <v>8273</v>
      </c>
      <c r="C2866" t="s">
        <v>8394</v>
      </c>
      <c r="D2866" t="s">
        <v>8401</v>
      </c>
      <c r="E2866" t="s">
        <v>8445</v>
      </c>
      <c r="F2866" t="s">
        <v>8448</v>
      </c>
      <c r="G2866" t="s">
        <v>8455</v>
      </c>
    </row>
    <row r="2867" spans="1:7">
      <c r="A2867" t="s">
        <v>5238</v>
      </c>
      <c r="C2867" t="s">
        <v>8396</v>
      </c>
      <c r="D2867" t="s">
        <v>8405</v>
      </c>
      <c r="E2867" t="s">
        <v>8446</v>
      </c>
      <c r="F2867" t="s">
        <v>8449</v>
      </c>
      <c r="G2867" t="s">
        <v>795</v>
      </c>
    </row>
    <row r="2868" spans="1:7">
      <c r="A2868" t="s">
        <v>5239</v>
      </c>
      <c r="C2868" t="s">
        <v>8393</v>
      </c>
      <c r="D2868" t="s">
        <v>8393</v>
      </c>
      <c r="E2868" t="s">
        <v>919</v>
      </c>
      <c r="F2868" t="s">
        <v>8393</v>
      </c>
    </row>
    <row r="2869" spans="1:7">
      <c r="A2869" t="s">
        <v>5240</v>
      </c>
      <c r="B2869" t="s">
        <v>8273</v>
      </c>
      <c r="C2869" t="s">
        <v>8395</v>
      </c>
      <c r="D2869" t="s">
        <v>8420</v>
      </c>
      <c r="E2869" t="s">
        <v>8446</v>
      </c>
      <c r="F2869" t="s">
        <v>8449</v>
      </c>
      <c r="G2869" t="s">
        <v>8455</v>
      </c>
    </row>
    <row r="2870" spans="1:7">
      <c r="A2870" t="s">
        <v>5241</v>
      </c>
      <c r="B2870" t="s">
        <v>8273</v>
      </c>
      <c r="C2870" t="s">
        <v>8395</v>
      </c>
      <c r="D2870" t="s">
        <v>8400</v>
      </c>
      <c r="E2870" t="s">
        <v>8446</v>
      </c>
      <c r="F2870" t="s">
        <v>8449</v>
      </c>
      <c r="G2870" t="s">
        <v>8455</v>
      </c>
    </row>
    <row r="2871" spans="1:7">
      <c r="A2871" t="s">
        <v>5242</v>
      </c>
      <c r="C2871" t="s">
        <v>8392</v>
      </c>
      <c r="D2871" t="s">
        <v>8400</v>
      </c>
      <c r="E2871" t="s">
        <v>1587</v>
      </c>
      <c r="F2871" t="s">
        <v>8447</v>
      </c>
      <c r="G2871" t="s">
        <v>8919</v>
      </c>
    </row>
    <row r="2872" spans="1:7">
      <c r="A2872" t="s">
        <v>5243</v>
      </c>
      <c r="C2872" t="s">
        <v>8393</v>
      </c>
      <c r="D2872" t="s">
        <v>8393</v>
      </c>
      <c r="E2872" t="s">
        <v>919</v>
      </c>
      <c r="F2872" t="s">
        <v>8393</v>
      </c>
    </row>
    <row r="2873" spans="1:7">
      <c r="A2873" t="s">
        <v>5244</v>
      </c>
      <c r="B2873" t="s">
        <v>8273</v>
      </c>
      <c r="C2873" t="s">
        <v>8398</v>
      </c>
      <c r="D2873" t="s">
        <v>8419</v>
      </c>
      <c r="E2873" t="s">
        <v>8446</v>
      </c>
      <c r="F2873" t="s">
        <v>8449</v>
      </c>
      <c r="G2873" t="s">
        <v>8455</v>
      </c>
    </row>
    <row r="2874" spans="1:7">
      <c r="A2874" t="s">
        <v>5245</v>
      </c>
      <c r="B2874" t="s">
        <v>8277</v>
      </c>
      <c r="C2874" t="s">
        <v>8398</v>
      </c>
      <c r="D2874" t="s">
        <v>8419</v>
      </c>
      <c r="E2874" t="s">
        <v>8446</v>
      </c>
      <c r="F2874" t="s">
        <v>8449</v>
      </c>
      <c r="G2874" t="s">
        <v>8455</v>
      </c>
    </row>
    <row r="2875" spans="1:7">
      <c r="A2875" t="s">
        <v>5246</v>
      </c>
      <c r="B2875" t="s">
        <v>8273</v>
      </c>
      <c r="C2875" t="s">
        <v>8396</v>
      </c>
      <c r="D2875" t="s">
        <v>8425</v>
      </c>
      <c r="E2875" t="s">
        <v>1519</v>
      </c>
      <c r="F2875" t="s">
        <v>8449</v>
      </c>
      <c r="G2875" t="s">
        <v>8455</v>
      </c>
    </row>
    <row r="2876" spans="1:7">
      <c r="A2876" t="s">
        <v>5247</v>
      </c>
      <c r="B2876" t="s">
        <v>8273</v>
      </c>
      <c r="C2876" t="s">
        <v>8396</v>
      </c>
      <c r="D2876" t="s">
        <v>8425</v>
      </c>
      <c r="E2876" t="s">
        <v>8446</v>
      </c>
      <c r="F2876" t="s">
        <v>8449</v>
      </c>
      <c r="G2876" t="s">
        <v>8920</v>
      </c>
    </row>
    <row r="2877" spans="1:7">
      <c r="A2877" t="s">
        <v>5248</v>
      </c>
      <c r="B2877" t="s">
        <v>8273</v>
      </c>
      <c r="C2877" t="s">
        <v>8396</v>
      </c>
      <c r="D2877" t="s">
        <v>8425</v>
      </c>
      <c r="E2877" t="s">
        <v>8446</v>
      </c>
      <c r="F2877" t="s">
        <v>8448</v>
      </c>
      <c r="G2877" t="s">
        <v>8455</v>
      </c>
    </row>
    <row r="2878" spans="1:7">
      <c r="A2878" t="s">
        <v>5249</v>
      </c>
      <c r="C2878" t="s">
        <v>8394</v>
      </c>
      <c r="D2878" t="s">
        <v>8402</v>
      </c>
      <c r="E2878" t="s">
        <v>8445</v>
      </c>
      <c r="F2878" t="s">
        <v>8448</v>
      </c>
      <c r="G2878" t="s">
        <v>8921</v>
      </c>
    </row>
    <row r="2879" spans="1:7">
      <c r="A2879" t="s">
        <v>5250</v>
      </c>
      <c r="C2879" t="s">
        <v>8394</v>
      </c>
      <c r="D2879" t="s">
        <v>8402</v>
      </c>
      <c r="E2879" t="s">
        <v>8445</v>
      </c>
      <c r="F2879" t="s">
        <v>8448</v>
      </c>
      <c r="G2879" t="s">
        <v>8888</v>
      </c>
    </row>
    <row r="2880" spans="1:7">
      <c r="A2880" t="s">
        <v>5251</v>
      </c>
      <c r="C2880" t="s">
        <v>8394</v>
      </c>
      <c r="D2880" t="s">
        <v>8403</v>
      </c>
      <c r="E2880" t="s">
        <v>8445</v>
      </c>
      <c r="F2880" t="s">
        <v>8448</v>
      </c>
      <c r="G2880" t="s">
        <v>8922</v>
      </c>
    </row>
    <row r="2881" spans="1:7">
      <c r="A2881" t="s">
        <v>5252</v>
      </c>
      <c r="C2881" t="s">
        <v>8394</v>
      </c>
      <c r="D2881" t="s">
        <v>8403</v>
      </c>
      <c r="E2881" t="s">
        <v>8445</v>
      </c>
      <c r="F2881" t="s">
        <v>8448</v>
      </c>
      <c r="G2881" t="s">
        <v>8453</v>
      </c>
    </row>
    <row r="2882" spans="1:7">
      <c r="A2882" t="s">
        <v>5253</v>
      </c>
      <c r="B2882" t="s">
        <v>8273</v>
      </c>
      <c r="C2882" t="s">
        <v>8395</v>
      </c>
      <c r="D2882" t="s">
        <v>8414</v>
      </c>
      <c r="E2882" t="s">
        <v>8446</v>
      </c>
      <c r="F2882" t="s">
        <v>8449</v>
      </c>
      <c r="G2882" t="s">
        <v>796</v>
      </c>
    </row>
    <row r="2883" spans="1:7">
      <c r="A2883" t="s">
        <v>5254</v>
      </c>
      <c r="C2883" t="s">
        <v>8394</v>
      </c>
      <c r="D2883" t="s">
        <v>8424</v>
      </c>
      <c r="E2883" t="s">
        <v>8444</v>
      </c>
      <c r="F2883" t="s">
        <v>8448</v>
      </c>
      <c r="G2883" t="s">
        <v>8453</v>
      </c>
    </row>
    <row r="2884" spans="1:7">
      <c r="A2884" t="s">
        <v>5255</v>
      </c>
      <c r="B2884" t="s">
        <v>8273</v>
      </c>
      <c r="C2884" t="s">
        <v>8394</v>
      </c>
      <c r="D2884" t="s">
        <v>8414</v>
      </c>
      <c r="E2884" t="s">
        <v>8445</v>
      </c>
      <c r="F2884" t="s">
        <v>8448</v>
      </c>
      <c r="G2884" t="s">
        <v>8923</v>
      </c>
    </row>
    <row r="2885" spans="1:7">
      <c r="A2885" t="s">
        <v>5256</v>
      </c>
      <c r="B2885" t="s">
        <v>8273</v>
      </c>
      <c r="C2885" t="s">
        <v>8395</v>
      </c>
      <c r="D2885" t="s">
        <v>8402</v>
      </c>
      <c r="E2885" t="s">
        <v>8446</v>
      </c>
      <c r="F2885" t="s">
        <v>8449</v>
      </c>
      <c r="G2885" t="s">
        <v>8455</v>
      </c>
    </row>
    <row r="2886" spans="1:7">
      <c r="A2886" t="s">
        <v>5257</v>
      </c>
      <c r="B2886" t="s">
        <v>8273</v>
      </c>
      <c r="C2886" t="s">
        <v>8394</v>
      </c>
      <c r="D2886" t="s">
        <v>8401</v>
      </c>
      <c r="E2886" t="s">
        <v>8445</v>
      </c>
      <c r="F2886" t="s">
        <v>8448</v>
      </c>
      <c r="G2886" t="s">
        <v>8455</v>
      </c>
    </row>
    <row r="2887" spans="1:7">
      <c r="A2887" t="s">
        <v>5258</v>
      </c>
      <c r="C2887" t="s">
        <v>8394</v>
      </c>
      <c r="D2887" t="s">
        <v>8403</v>
      </c>
      <c r="E2887" t="s">
        <v>8445</v>
      </c>
      <c r="F2887" t="s">
        <v>8448</v>
      </c>
      <c r="G2887" t="s">
        <v>8453</v>
      </c>
    </row>
    <row r="2888" spans="1:7">
      <c r="A2888" t="s">
        <v>5259</v>
      </c>
      <c r="B2888" t="s">
        <v>8273</v>
      </c>
      <c r="C2888" t="s">
        <v>8395</v>
      </c>
      <c r="D2888" t="s">
        <v>8403</v>
      </c>
      <c r="E2888" t="s">
        <v>8446</v>
      </c>
      <c r="F2888" t="s">
        <v>8449</v>
      </c>
      <c r="G2888" t="s">
        <v>8455</v>
      </c>
    </row>
    <row r="2889" spans="1:7">
      <c r="A2889" t="s">
        <v>5260</v>
      </c>
      <c r="C2889" t="s">
        <v>8393</v>
      </c>
      <c r="D2889" t="s">
        <v>8393</v>
      </c>
      <c r="E2889" t="s">
        <v>919</v>
      </c>
      <c r="F2889" t="s">
        <v>8393</v>
      </c>
    </row>
    <row r="2890" spans="1:7">
      <c r="A2890" t="s">
        <v>5261</v>
      </c>
      <c r="B2890" t="s">
        <v>8273</v>
      </c>
      <c r="C2890" t="s">
        <v>8398</v>
      </c>
      <c r="D2890" t="s">
        <v>8419</v>
      </c>
      <c r="E2890" t="s">
        <v>8446</v>
      </c>
      <c r="F2890" t="s">
        <v>8449</v>
      </c>
      <c r="G2890" t="s">
        <v>8455</v>
      </c>
    </row>
    <row r="2891" spans="1:7">
      <c r="A2891" t="s">
        <v>5262</v>
      </c>
      <c r="B2891" t="s">
        <v>8273</v>
      </c>
      <c r="C2891" t="s">
        <v>8398</v>
      </c>
      <c r="D2891" t="s">
        <v>8419</v>
      </c>
      <c r="E2891" t="s">
        <v>8446</v>
      </c>
      <c r="F2891" t="s">
        <v>8449</v>
      </c>
      <c r="G2891" t="s">
        <v>8455</v>
      </c>
    </row>
    <row r="2892" spans="1:7">
      <c r="A2892" t="s">
        <v>5263</v>
      </c>
      <c r="B2892" t="s">
        <v>8300</v>
      </c>
      <c r="C2892" t="s">
        <v>8398</v>
      </c>
      <c r="D2892" t="s">
        <v>8419</v>
      </c>
      <c r="E2892" t="s">
        <v>8446</v>
      </c>
      <c r="F2892" t="s">
        <v>8449</v>
      </c>
      <c r="G2892" t="s">
        <v>8455</v>
      </c>
    </row>
    <row r="2893" spans="1:7">
      <c r="A2893" t="s">
        <v>5264</v>
      </c>
      <c r="B2893" t="s">
        <v>8286</v>
      </c>
      <c r="C2893" t="s">
        <v>8398</v>
      </c>
      <c r="D2893" t="s">
        <v>8419</v>
      </c>
      <c r="E2893" t="s">
        <v>8446</v>
      </c>
      <c r="F2893" t="s">
        <v>8449</v>
      </c>
      <c r="G2893" t="s">
        <v>8455</v>
      </c>
    </row>
    <row r="2894" spans="1:7">
      <c r="A2894" t="s">
        <v>5265</v>
      </c>
      <c r="B2894" t="s">
        <v>8274</v>
      </c>
      <c r="C2894" t="s">
        <v>8398</v>
      </c>
      <c r="D2894" t="s">
        <v>8419</v>
      </c>
      <c r="E2894" t="s">
        <v>8446</v>
      </c>
      <c r="F2894" t="s">
        <v>8449</v>
      </c>
      <c r="G2894" t="s">
        <v>8455</v>
      </c>
    </row>
    <row r="2895" spans="1:7">
      <c r="A2895" t="s">
        <v>5266</v>
      </c>
      <c r="B2895" t="s">
        <v>8277</v>
      </c>
      <c r="C2895" t="s">
        <v>8398</v>
      </c>
      <c r="D2895" t="s">
        <v>8419</v>
      </c>
      <c r="E2895" t="s">
        <v>8446</v>
      </c>
      <c r="F2895" t="s">
        <v>8449</v>
      </c>
      <c r="G2895" t="s">
        <v>8455</v>
      </c>
    </row>
    <row r="2896" spans="1:7">
      <c r="A2896" t="s">
        <v>5267</v>
      </c>
      <c r="C2896" t="s">
        <v>8393</v>
      </c>
      <c r="D2896" t="s">
        <v>8393</v>
      </c>
      <c r="E2896" t="s">
        <v>919</v>
      </c>
      <c r="F2896" t="s">
        <v>8393</v>
      </c>
    </row>
    <row r="2897" spans="1:7">
      <c r="A2897" t="s">
        <v>5268</v>
      </c>
      <c r="B2897" t="s">
        <v>8273</v>
      </c>
      <c r="C2897" t="s">
        <v>8396</v>
      </c>
      <c r="D2897" t="s">
        <v>8425</v>
      </c>
      <c r="E2897" t="s">
        <v>8446</v>
      </c>
      <c r="F2897" t="s">
        <v>8448</v>
      </c>
      <c r="G2897" t="s">
        <v>8924</v>
      </c>
    </row>
    <row r="2898" spans="1:7">
      <c r="A2898" t="s">
        <v>5269</v>
      </c>
      <c r="C2898" t="s">
        <v>8392</v>
      </c>
      <c r="D2898" t="s">
        <v>8400</v>
      </c>
      <c r="E2898" t="s">
        <v>1519</v>
      </c>
      <c r="F2898" t="s">
        <v>8448</v>
      </c>
      <c r="G2898" t="s">
        <v>8925</v>
      </c>
    </row>
    <row r="2899" spans="1:7">
      <c r="A2899" t="s">
        <v>5270</v>
      </c>
      <c r="B2899" t="s">
        <v>8273</v>
      </c>
      <c r="C2899" t="s">
        <v>8396</v>
      </c>
      <c r="D2899" t="s">
        <v>8425</v>
      </c>
      <c r="E2899" t="s">
        <v>8446</v>
      </c>
      <c r="F2899" t="s">
        <v>8449</v>
      </c>
      <c r="G2899" t="s">
        <v>8455</v>
      </c>
    </row>
    <row r="2900" spans="1:7">
      <c r="A2900" t="s">
        <v>5271</v>
      </c>
      <c r="B2900" t="s">
        <v>8273</v>
      </c>
      <c r="C2900" t="s">
        <v>8395</v>
      </c>
      <c r="D2900" t="s">
        <v>8403</v>
      </c>
      <c r="E2900" t="s">
        <v>8444</v>
      </c>
      <c r="F2900" t="s">
        <v>8449</v>
      </c>
      <c r="G2900" t="s">
        <v>796</v>
      </c>
    </row>
    <row r="2901" spans="1:7">
      <c r="A2901" t="s">
        <v>5272</v>
      </c>
      <c r="B2901" t="s">
        <v>8273</v>
      </c>
      <c r="C2901" t="s">
        <v>8394</v>
      </c>
      <c r="D2901" t="s">
        <v>8414</v>
      </c>
      <c r="E2901" t="s">
        <v>8445</v>
      </c>
      <c r="F2901" t="s">
        <v>8449</v>
      </c>
      <c r="G2901" t="s">
        <v>8926</v>
      </c>
    </row>
    <row r="2902" spans="1:7">
      <c r="A2902" t="s">
        <v>5273</v>
      </c>
      <c r="B2902" t="s">
        <v>8273</v>
      </c>
      <c r="C2902" t="s">
        <v>8395</v>
      </c>
      <c r="D2902" t="s">
        <v>8420</v>
      </c>
      <c r="E2902" t="s">
        <v>1519</v>
      </c>
      <c r="F2902" t="s">
        <v>8449</v>
      </c>
      <c r="G2902" t="s">
        <v>8455</v>
      </c>
    </row>
    <row r="2903" spans="1:7">
      <c r="A2903" t="s">
        <v>5274</v>
      </c>
      <c r="B2903" t="s">
        <v>8273</v>
      </c>
      <c r="C2903" t="s">
        <v>8394</v>
      </c>
      <c r="D2903" t="s">
        <v>8424</v>
      </c>
      <c r="E2903" t="s">
        <v>8444</v>
      </c>
      <c r="F2903" t="s">
        <v>8448</v>
      </c>
      <c r="G2903" t="s">
        <v>8927</v>
      </c>
    </row>
    <row r="2904" spans="1:7">
      <c r="A2904" t="s">
        <v>5275</v>
      </c>
      <c r="B2904" t="s">
        <v>8273</v>
      </c>
      <c r="C2904" t="s">
        <v>8395</v>
      </c>
      <c r="D2904" t="s">
        <v>8402</v>
      </c>
      <c r="E2904" t="s">
        <v>8446</v>
      </c>
      <c r="F2904" t="s">
        <v>8449</v>
      </c>
      <c r="G2904" t="s">
        <v>8455</v>
      </c>
    </row>
    <row r="2905" spans="1:7">
      <c r="A2905" t="s">
        <v>5276</v>
      </c>
      <c r="B2905" t="s">
        <v>8273</v>
      </c>
      <c r="C2905" t="s">
        <v>8395</v>
      </c>
      <c r="D2905" t="s">
        <v>8424</v>
      </c>
      <c r="E2905" t="s">
        <v>8446</v>
      </c>
      <c r="F2905" t="s">
        <v>8449</v>
      </c>
      <c r="G2905" t="s">
        <v>8455</v>
      </c>
    </row>
    <row r="2906" spans="1:7">
      <c r="A2906" t="s">
        <v>5277</v>
      </c>
      <c r="B2906" t="s">
        <v>8273</v>
      </c>
      <c r="C2906" t="s">
        <v>8394</v>
      </c>
      <c r="D2906" t="s">
        <v>8413</v>
      </c>
      <c r="E2906" t="s">
        <v>8445</v>
      </c>
      <c r="F2906" t="s">
        <v>8448</v>
      </c>
      <c r="G2906" t="s">
        <v>8455</v>
      </c>
    </row>
    <row r="2907" spans="1:7">
      <c r="A2907" t="s">
        <v>5278</v>
      </c>
      <c r="B2907" t="s">
        <v>8273</v>
      </c>
      <c r="C2907" t="s">
        <v>8396</v>
      </c>
      <c r="D2907" t="s">
        <v>8425</v>
      </c>
      <c r="E2907" t="s">
        <v>8444</v>
      </c>
      <c r="F2907" t="s">
        <v>8448</v>
      </c>
      <c r="G2907" t="s">
        <v>8928</v>
      </c>
    </row>
    <row r="2908" spans="1:7">
      <c r="A2908" t="s">
        <v>5279</v>
      </c>
      <c r="C2908" t="s">
        <v>8397</v>
      </c>
      <c r="D2908" t="s">
        <v>8408</v>
      </c>
      <c r="E2908" t="s">
        <v>1587</v>
      </c>
      <c r="F2908" t="s">
        <v>8450</v>
      </c>
    </row>
    <row r="2909" spans="1:7">
      <c r="A2909" t="s">
        <v>5280</v>
      </c>
      <c r="C2909" t="s">
        <v>8393</v>
      </c>
      <c r="D2909" t="s">
        <v>8393</v>
      </c>
      <c r="E2909" t="s">
        <v>919</v>
      </c>
      <c r="F2909" t="s">
        <v>8393</v>
      </c>
    </row>
    <row r="2910" spans="1:7">
      <c r="A2910" t="s">
        <v>5281</v>
      </c>
      <c r="B2910" t="s">
        <v>8273</v>
      </c>
      <c r="C2910" t="s">
        <v>8396</v>
      </c>
      <c r="D2910" t="s">
        <v>8425</v>
      </c>
      <c r="E2910" t="s">
        <v>8445</v>
      </c>
      <c r="F2910" t="s">
        <v>8447</v>
      </c>
      <c r="G2910" t="s">
        <v>8463</v>
      </c>
    </row>
    <row r="2911" spans="1:7">
      <c r="A2911" t="s">
        <v>5282</v>
      </c>
      <c r="B2911" t="s">
        <v>8273</v>
      </c>
      <c r="C2911" t="s">
        <v>8392</v>
      </c>
      <c r="D2911" t="s">
        <v>8400</v>
      </c>
      <c r="E2911" t="s">
        <v>8445</v>
      </c>
      <c r="F2911" t="s">
        <v>8447</v>
      </c>
      <c r="G2911" t="s">
        <v>8453</v>
      </c>
    </row>
    <row r="2912" spans="1:7">
      <c r="A2912" t="s">
        <v>5283</v>
      </c>
      <c r="B2912" t="s">
        <v>8273</v>
      </c>
      <c r="C2912" t="s">
        <v>8394</v>
      </c>
      <c r="D2912" t="s">
        <v>8413</v>
      </c>
      <c r="E2912" t="s">
        <v>1519</v>
      </c>
      <c r="F2912" t="s">
        <v>8449</v>
      </c>
      <c r="G2912" t="s">
        <v>8455</v>
      </c>
    </row>
    <row r="2913" spans="1:7">
      <c r="A2913" t="s">
        <v>5284</v>
      </c>
      <c r="B2913" t="s">
        <v>8273</v>
      </c>
      <c r="C2913" t="s">
        <v>8394</v>
      </c>
      <c r="D2913" t="s">
        <v>8413</v>
      </c>
      <c r="E2913" t="s">
        <v>8445</v>
      </c>
      <c r="F2913" t="s">
        <v>8448</v>
      </c>
      <c r="G2913" t="s">
        <v>795</v>
      </c>
    </row>
    <row r="2914" spans="1:7">
      <c r="A2914" t="s">
        <v>5285</v>
      </c>
      <c r="C2914" t="s">
        <v>8397</v>
      </c>
      <c r="D2914" t="s">
        <v>8408</v>
      </c>
      <c r="E2914" t="s">
        <v>8445</v>
      </c>
      <c r="F2914" t="s">
        <v>8450</v>
      </c>
    </row>
    <row r="2915" spans="1:7">
      <c r="A2915" t="s">
        <v>5286</v>
      </c>
      <c r="C2915" t="s">
        <v>8397</v>
      </c>
      <c r="D2915" t="s">
        <v>8408</v>
      </c>
      <c r="E2915" t="s">
        <v>8445</v>
      </c>
      <c r="F2915" t="s">
        <v>8450</v>
      </c>
    </row>
    <row r="2916" spans="1:7">
      <c r="A2916" t="s">
        <v>5287</v>
      </c>
      <c r="C2916" t="s">
        <v>8397</v>
      </c>
      <c r="D2916" t="s">
        <v>8418</v>
      </c>
      <c r="E2916" t="s">
        <v>8445</v>
      </c>
      <c r="F2916" t="s">
        <v>8448</v>
      </c>
      <c r="G2916" t="s">
        <v>8929</v>
      </c>
    </row>
    <row r="2917" spans="1:7">
      <c r="A2917" t="s">
        <v>5288</v>
      </c>
      <c r="B2917" t="s">
        <v>8273</v>
      </c>
      <c r="C2917" t="s">
        <v>8392</v>
      </c>
      <c r="D2917" t="s">
        <v>8415</v>
      </c>
      <c r="E2917" t="s">
        <v>8446</v>
      </c>
      <c r="F2917" t="s">
        <v>8447</v>
      </c>
      <c r="G2917" t="s">
        <v>8453</v>
      </c>
    </row>
    <row r="2918" spans="1:7">
      <c r="A2918" t="s">
        <v>5289</v>
      </c>
      <c r="C2918" t="s">
        <v>8397</v>
      </c>
      <c r="D2918" t="s">
        <v>8408</v>
      </c>
      <c r="E2918" t="s">
        <v>8445</v>
      </c>
      <c r="F2918" t="s">
        <v>8450</v>
      </c>
    </row>
    <row r="2919" spans="1:7">
      <c r="A2919" t="s">
        <v>5290</v>
      </c>
      <c r="C2919" t="s">
        <v>8394</v>
      </c>
      <c r="D2919" t="s">
        <v>8402</v>
      </c>
      <c r="E2919" t="s">
        <v>8445</v>
      </c>
      <c r="F2919" t="s">
        <v>8448</v>
      </c>
      <c r="G2919" t="s">
        <v>8888</v>
      </c>
    </row>
    <row r="2920" spans="1:7">
      <c r="A2920" t="s">
        <v>5291</v>
      </c>
      <c r="C2920" t="s">
        <v>8397</v>
      </c>
      <c r="D2920" t="s">
        <v>8408</v>
      </c>
      <c r="E2920" t="s">
        <v>8445</v>
      </c>
      <c r="F2920" t="s">
        <v>8450</v>
      </c>
    </row>
    <row r="2921" spans="1:7">
      <c r="A2921" t="s">
        <v>5292</v>
      </c>
      <c r="B2921" t="s">
        <v>8273</v>
      </c>
      <c r="C2921" t="s">
        <v>8394</v>
      </c>
      <c r="D2921" t="s">
        <v>8402</v>
      </c>
      <c r="E2921" t="s">
        <v>8444</v>
      </c>
      <c r="F2921" t="s">
        <v>8448</v>
      </c>
      <c r="G2921" t="s">
        <v>8930</v>
      </c>
    </row>
    <row r="2922" spans="1:7">
      <c r="A2922" t="s">
        <v>5293</v>
      </c>
      <c r="C2922" t="s">
        <v>8397</v>
      </c>
      <c r="D2922" t="s">
        <v>8408</v>
      </c>
      <c r="E2922" t="s">
        <v>8445</v>
      </c>
      <c r="F2922" t="s">
        <v>8450</v>
      </c>
    </row>
    <row r="2923" spans="1:7">
      <c r="A2923" t="s">
        <v>5294</v>
      </c>
      <c r="C2923" t="s">
        <v>8397</v>
      </c>
      <c r="D2923" t="s">
        <v>8408</v>
      </c>
      <c r="E2923" t="s">
        <v>8445</v>
      </c>
      <c r="F2923" t="s">
        <v>8450</v>
      </c>
    </row>
    <row r="2924" spans="1:7">
      <c r="A2924" t="s">
        <v>5295</v>
      </c>
      <c r="C2924" t="s">
        <v>8397</v>
      </c>
      <c r="D2924" t="s">
        <v>8408</v>
      </c>
      <c r="E2924" t="s">
        <v>8445</v>
      </c>
      <c r="F2924" t="s">
        <v>8450</v>
      </c>
    </row>
    <row r="2925" spans="1:7">
      <c r="A2925" t="s">
        <v>5296</v>
      </c>
      <c r="C2925" t="s">
        <v>8393</v>
      </c>
      <c r="D2925" t="s">
        <v>8393</v>
      </c>
      <c r="E2925" t="s">
        <v>919</v>
      </c>
      <c r="F2925" t="s">
        <v>8393</v>
      </c>
    </row>
    <row r="2926" spans="1:7">
      <c r="A2926" t="s">
        <v>5297</v>
      </c>
      <c r="C2926" t="s">
        <v>8397</v>
      </c>
      <c r="D2926" t="s">
        <v>8408</v>
      </c>
      <c r="E2926" t="s">
        <v>8445</v>
      </c>
      <c r="F2926" t="s">
        <v>8450</v>
      </c>
    </row>
    <row r="2927" spans="1:7">
      <c r="A2927" t="s">
        <v>5298</v>
      </c>
      <c r="C2927" t="s">
        <v>8392</v>
      </c>
      <c r="D2927" t="s">
        <v>8415</v>
      </c>
      <c r="E2927" t="s">
        <v>8444</v>
      </c>
      <c r="F2927" t="s">
        <v>8450</v>
      </c>
    </row>
    <row r="2928" spans="1:7">
      <c r="A2928" t="s">
        <v>5299</v>
      </c>
      <c r="C2928" t="s">
        <v>8397</v>
      </c>
      <c r="D2928" t="s">
        <v>8408</v>
      </c>
      <c r="E2928" t="s">
        <v>8445</v>
      </c>
      <c r="F2928" t="s">
        <v>8450</v>
      </c>
    </row>
    <row r="2929" spans="1:7">
      <c r="A2929" t="s">
        <v>5300</v>
      </c>
      <c r="C2929" t="s">
        <v>8397</v>
      </c>
      <c r="D2929" t="s">
        <v>8408</v>
      </c>
      <c r="E2929" t="s">
        <v>8445</v>
      </c>
      <c r="F2929" t="s">
        <v>8450</v>
      </c>
    </row>
    <row r="2930" spans="1:7">
      <c r="A2930" t="s">
        <v>5301</v>
      </c>
      <c r="C2930" t="s">
        <v>8397</v>
      </c>
      <c r="D2930" t="s">
        <v>8408</v>
      </c>
      <c r="E2930" t="s">
        <v>8445</v>
      </c>
      <c r="F2930" t="s">
        <v>8450</v>
      </c>
    </row>
    <row r="2931" spans="1:7">
      <c r="A2931" t="s">
        <v>5302</v>
      </c>
      <c r="B2931" t="s">
        <v>8299</v>
      </c>
      <c r="C2931" t="s">
        <v>8397</v>
      </c>
      <c r="D2931" t="s">
        <v>8431</v>
      </c>
      <c r="E2931" t="s">
        <v>8446</v>
      </c>
      <c r="F2931" t="s">
        <v>8448</v>
      </c>
      <c r="G2931" t="s">
        <v>8931</v>
      </c>
    </row>
    <row r="2932" spans="1:7">
      <c r="A2932" t="s">
        <v>5303</v>
      </c>
      <c r="C2932" t="s">
        <v>8397</v>
      </c>
      <c r="D2932" t="s">
        <v>8408</v>
      </c>
      <c r="E2932" t="s">
        <v>8445</v>
      </c>
      <c r="F2932" t="s">
        <v>8450</v>
      </c>
    </row>
    <row r="2933" spans="1:7">
      <c r="A2933" t="s">
        <v>5304</v>
      </c>
      <c r="B2933" t="s">
        <v>8273</v>
      </c>
      <c r="C2933" t="s">
        <v>8398</v>
      </c>
      <c r="D2933" t="s">
        <v>8419</v>
      </c>
      <c r="E2933" t="s">
        <v>8446</v>
      </c>
      <c r="F2933" t="s">
        <v>8449</v>
      </c>
      <c r="G2933" t="s">
        <v>8932</v>
      </c>
    </row>
    <row r="2934" spans="1:7">
      <c r="A2934" t="s">
        <v>5305</v>
      </c>
      <c r="C2934" t="s">
        <v>8393</v>
      </c>
      <c r="D2934" t="s">
        <v>8393</v>
      </c>
      <c r="E2934" t="s">
        <v>919</v>
      </c>
      <c r="F2934" t="s">
        <v>8393</v>
      </c>
    </row>
    <row r="2935" spans="1:7">
      <c r="A2935" t="s">
        <v>5306</v>
      </c>
      <c r="B2935" t="s">
        <v>8273</v>
      </c>
      <c r="C2935" t="s">
        <v>8396</v>
      </c>
      <c r="D2935" t="s">
        <v>8425</v>
      </c>
      <c r="E2935" t="s">
        <v>1587</v>
      </c>
      <c r="F2935" t="s">
        <v>8448</v>
      </c>
      <c r="G2935" t="s">
        <v>8933</v>
      </c>
    </row>
    <row r="2936" spans="1:7">
      <c r="A2936" t="s">
        <v>5307</v>
      </c>
      <c r="B2936" t="s">
        <v>8273</v>
      </c>
      <c r="C2936" t="s">
        <v>8396</v>
      </c>
      <c r="D2936" t="s">
        <v>8425</v>
      </c>
      <c r="E2936" t="s">
        <v>8444</v>
      </c>
      <c r="F2936" t="s">
        <v>8448</v>
      </c>
      <c r="G2936" t="s">
        <v>8453</v>
      </c>
    </row>
    <row r="2937" spans="1:7">
      <c r="A2937" t="s">
        <v>5308</v>
      </c>
      <c r="B2937" t="s">
        <v>8273</v>
      </c>
      <c r="C2937" t="s">
        <v>8392</v>
      </c>
      <c r="D2937" t="s">
        <v>8400</v>
      </c>
      <c r="E2937" t="s">
        <v>1587</v>
      </c>
      <c r="F2937" t="s">
        <v>8448</v>
      </c>
      <c r="G2937" t="s">
        <v>8453</v>
      </c>
    </row>
    <row r="2938" spans="1:7">
      <c r="A2938" t="s">
        <v>5309</v>
      </c>
      <c r="B2938" t="s">
        <v>8273</v>
      </c>
      <c r="C2938" t="s">
        <v>8396</v>
      </c>
      <c r="D2938" t="s">
        <v>8425</v>
      </c>
      <c r="E2938" t="s">
        <v>8444</v>
      </c>
      <c r="F2938" t="s">
        <v>8448</v>
      </c>
      <c r="G2938" t="s">
        <v>8453</v>
      </c>
    </row>
    <row r="2939" spans="1:7">
      <c r="A2939" t="s">
        <v>5310</v>
      </c>
      <c r="C2939" t="s">
        <v>8394</v>
      </c>
      <c r="D2939" t="s">
        <v>8401</v>
      </c>
      <c r="E2939" t="s">
        <v>8445</v>
      </c>
      <c r="F2939" t="s">
        <v>8450</v>
      </c>
      <c r="G2939" t="s">
        <v>8474</v>
      </c>
    </row>
    <row r="2940" spans="1:7">
      <c r="A2940" t="s">
        <v>5311</v>
      </c>
      <c r="C2940" t="s">
        <v>8394</v>
      </c>
      <c r="D2940" t="s">
        <v>8402</v>
      </c>
      <c r="E2940" t="s">
        <v>8444</v>
      </c>
      <c r="F2940" t="s">
        <v>8448</v>
      </c>
      <c r="G2940" t="s">
        <v>8934</v>
      </c>
    </row>
    <row r="2941" spans="1:7">
      <c r="A2941" t="s">
        <v>5312</v>
      </c>
      <c r="C2941" t="s">
        <v>8394</v>
      </c>
      <c r="D2941" t="s">
        <v>8416</v>
      </c>
      <c r="E2941" t="s">
        <v>8444</v>
      </c>
      <c r="F2941" t="s">
        <v>8448</v>
      </c>
      <c r="G2941" t="s">
        <v>8935</v>
      </c>
    </row>
    <row r="2942" spans="1:7">
      <c r="A2942" t="s">
        <v>5313</v>
      </c>
      <c r="C2942" t="s">
        <v>8397</v>
      </c>
      <c r="D2942" t="s">
        <v>8408</v>
      </c>
      <c r="E2942" t="s">
        <v>8445</v>
      </c>
      <c r="F2942" t="s">
        <v>8450</v>
      </c>
    </row>
    <row r="2943" spans="1:7">
      <c r="A2943" t="s">
        <v>5314</v>
      </c>
      <c r="C2943" t="s">
        <v>8397</v>
      </c>
      <c r="D2943" t="s">
        <v>8408</v>
      </c>
      <c r="E2943" t="s">
        <v>8445</v>
      </c>
      <c r="F2943" t="s">
        <v>8450</v>
      </c>
    </row>
    <row r="2944" spans="1:7">
      <c r="A2944" t="s">
        <v>5315</v>
      </c>
      <c r="C2944" t="s">
        <v>8394</v>
      </c>
      <c r="D2944" t="s">
        <v>8416</v>
      </c>
      <c r="E2944" t="s">
        <v>8446</v>
      </c>
      <c r="F2944" t="s">
        <v>8448</v>
      </c>
      <c r="G2944" t="s">
        <v>8936</v>
      </c>
    </row>
    <row r="2945" spans="1:7">
      <c r="A2945" t="s">
        <v>5316</v>
      </c>
      <c r="C2945" t="s">
        <v>8394</v>
      </c>
      <c r="D2945" t="s">
        <v>8416</v>
      </c>
      <c r="E2945" t="s">
        <v>8445</v>
      </c>
      <c r="F2945" t="s">
        <v>8448</v>
      </c>
      <c r="G2945" t="s">
        <v>8937</v>
      </c>
    </row>
    <row r="2946" spans="1:7">
      <c r="A2946" t="s">
        <v>5317</v>
      </c>
      <c r="C2946" t="s">
        <v>8397</v>
      </c>
      <c r="D2946" t="s">
        <v>8412</v>
      </c>
      <c r="E2946" t="s">
        <v>8445</v>
      </c>
      <c r="F2946" t="s">
        <v>8450</v>
      </c>
    </row>
    <row r="2947" spans="1:7">
      <c r="A2947" t="s">
        <v>5318</v>
      </c>
      <c r="B2947" t="s">
        <v>8273</v>
      </c>
      <c r="C2947" t="s">
        <v>8397</v>
      </c>
      <c r="D2947" t="s">
        <v>8421</v>
      </c>
      <c r="E2947" t="s">
        <v>8446</v>
      </c>
      <c r="F2947" t="s">
        <v>8448</v>
      </c>
      <c r="G2947" t="s">
        <v>8938</v>
      </c>
    </row>
    <row r="2948" spans="1:7">
      <c r="A2948" t="s">
        <v>5319</v>
      </c>
      <c r="C2948" t="s">
        <v>8394</v>
      </c>
      <c r="D2948" t="s">
        <v>8402</v>
      </c>
      <c r="E2948" t="s">
        <v>8445</v>
      </c>
      <c r="F2948" t="s">
        <v>8448</v>
      </c>
      <c r="G2948" t="s">
        <v>8939</v>
      </c>
    </row>
    <row r="2949" spans="1:7">
      <c r="A2949" t="s">
        <v>5320</v>
      </c>
      <c r="C2949" t="s">
        <v>8397</v>
      </c>
      <c r="D2949" t="s">
        <v>8408</v>
      </c>
      <c r="E2949" t="s">
        <v>8445</v>
      </c>
      <c r="F2949" t="s">
        <v>8450</v>
      </c>
    </row>
    <row r="2950" spans="1:7">
      <c r="A2950" t="s">
        <v>5321</v>
      </c>
      <c r="C2950" t="s">
        <v>8397</v>
      </c>
      <c r="D2950" t="s">
        <v>8408</v>
      </c>
      <c r="E2950" t="s">
        <v>8445</v>
      </c>
      <c r="F2950" t="s">
        <v>8450</v>
      </c>
    </row>
    <row r="2951" spans="1:7">
      <c r="A2951" t="s">
        <v>5322</v>
      </c>
      <c r="C2951" t="s">
        <v>8393</v>
      </c>
      <c r="D2951" t="s">
        <v>8393</v>
      </c>
      <c r="E2951" t="s">
        <v>919</v>
      </c>
      <c r="F2951" t="s">
        <v>8393</v>
      </c>
    </row>
    <row r="2952" spans="1:7">
      <c r="A2952" t="s">
        <v>5323</v>
      </c>
      <c r="B2952" t="s">
        <v>8273</v>
      </c>
      <c r="C2952" t="s">
        <v>8392</v>
      </c>
      <c r="D2952" t="s">
        <v>8400</v>
      </c>
      <c r="E2952" t="s">
        <v>8445</v>
      </c>
      <c r="F2952" t="s">
        <v>8449</v>
      </c>
      <c r="G2952" t="s">
        <v>8455</v>
      </c>
    </row>
    <row r="2953" spans="1:7">
      <c r="A2953" t="s">
        <v>5324</v>
      </c>
      <c r="B2953" t="s">
        <v>8277</v>
      </c>
      <c r="C2953" t="s">
        <v>8392</v>
      </c>
      <c r="D2953" t="s">
        <v>8400</v>
      </c>
      <c r="E2953" t="s">
        <v>8445</v>
      </c>
      <c r="F2953" t="s">
        <v>8449</v>
      </c>
      <c r="G2953" t="s">
        <v>8455</v>
      </c>
    </row>
    <row r="2954" spans="1:7">
      <c r="A2954" t="s">
        <v>5325</v>
      </c>
      <c r="B2954" t="s">
        <v>8273</v>
      </c>
      <c r="C2954" t="s">
        <v>8398</v>
      </c>
      <c r="D2954" t="s">
        <v>8419</v>
      </c>
      <c r="E2954" t="s">
        <v>8445</v>
      </c>
      <c r="F2954" t="s">
        <v>8448</v>
      </c>
      <c r="G2954" t="s">
        <v>8474</v>
      </c>
    </row>
    <row r="2955" spans="1:7">
      <c r="A2955" t="s">
        <v>5326</v>
      </c>
      <c r="B2955" t="s">
        <v>8273</v>
      </c>
      <c r="C2955" t="s">
        <v>8394</v>
      </c>
      <c r="D2955" t="s">
        <v>8402</v>
      </c>
      <c r="E2955" t="s">
        <v>8446</v>
      </c>
      <c r="F2955" t="s">
        <v>8449</v>
      </c>
      <c r="G2955" t="s">
        <v>8455</v>
      </c>
    </row>
    <row r="2956" spans="1:7">
      <c r="A2956" t="s">
        <v>5327</v>
      </c>
      <c r="C2956" t="s">
        <v>8393</v>
      </c>
      <c r="D2956" t="s">
        <v>8393</v>
      </c>
      <c r="E2956" t="s">
        <v>919</v>
      </c>
      <c r="F2956" t="s">
        <v>8393</v>
      </c>
    </row>
    <row r="2957" spans="1:7">
      <c r="A2957" t="s">
        <v>5328</v>
      </c>
      <c r="B2957" t="s">
        <v>8273</v>
      </c>
      <c r="C2957" t="s">
        <v>8392</v>
      </c>
      <c r="D2957" t="s">
        <v>8415</v>
      </c>
      <c r="E2957" t="s">
        <v>8444</v>
      </c>
      <c r="F2957" t="s">
        <v>8448</v>
      </c>
      <c r="G2957" t="s">
        <v>8455</v>
      </c>
    </row>
    <row r="2958" spans="1:7">
      <c r="A2958" t="s">
        <v>5329</v>
      </c>
      <c r="B2958" t="s">
        <v>8273</v>
      </c>
      <c r="C2958" t="s">
        <v>8398</v>
      </c>
      <c r="D2958" t="s">
        <v>8410</v>
      </c>
      <c r="E2958" t="s">
        <v>8446</v>
      </c>
      <c r="F2958" t="s">
        <v>8448</v>
      </c>
      <c r="G2958" t="s">
        <v>8455</v>
      </c>
    </row>
    <row r="2959" spans="1:7">
      <c r="A2959" t="s">
        <v>5330</v>
      </c>
      <c r="B2959" t="s">
        <v>8273</v>
      </c>
      <c r="C2959" t="s">
        <v>8398</v>
      </c>
      <c r="D2959" t="s">
        <v>8410</v>
      </c>
      <c r="E2959" t="s">
        <v>8446</v>
      </c>
      <c r="F2959" t="s">
        <v>8448</v>
      </c>
      <c r="G2959" t="s">
        <v>8455</v>
      </c>
    </row>
    <row r="2960" spans="1:7">
      <c r="A2960" t="s">
        <v>5331</v>
      </c>
      <c r="B2960" t="s">
        <v>8295</v>
      </c>
      <c r="C2960" t="s">
        <v>8398</v>
      </c>
      <c r="D2960" t="s">
        <v>8419</v>
      </c>
      <c r="E2960" t="s">
        <v>8446</v>
      </c>
      <c r="F2960" t="s">
        <v>8449</v>
      </c>
      <c r="G2960" t="s">
        <v>8455</v>
      </c>
    </row>
    <row r="2961" spans="1:7">
      <c r="A2961" t="s">
        <v>5332</v>
      </c>
      <c r="B2961" t="s">
        <v>8273</v>
      </c>
      <c r="C2961" t="s">
        <v>8392</v>
      </c>
      <c r="D2961" t="s">
        <v>8400</v>
      </c>
      <c r="E2961" t="s">
        <v>8444</v>
      </c>
      <c r="F2961" t="s">
        <v>8448</v>
      </c>
      <c r="G2961" t="s">
        <v>8940</v>
      </c>
    </row>
    <row r="2962" spans="1:7">
      <c r="A2962" t="s">
        <v>5333</v>
      </c>
      <c r="C2962" t="s">
        <v>8397</v>
      </c>
      <c r="D2962" t="s">
        <v>8418</v>
      </c>
      <c r="E2962" t="s">
        <v>8445</v>
      </c>
      <c r="F2962" t="s">
        <v>8450</v>
      </c>
      <c r="G2962" t="s">
        <v>8941</v>
      </c>
    </row>
    <row r="2963" spans="1:7">
      <c r="A2963" t="s">
        <v>5334</v>
      </c>
      <c r="C2963" t="s">
        <v>8397</v>
      </c>
      <c r="D2963" t="s">
        <v>8418</v>
      </c>
      <c r="E2963" t="s">
        <v>8445</v>
      </c>
      <c r="F2963" t="s">
        <v>8448</v>
      </c>
      <c r="G2963" t="s">
        <v>8453</v>
      </c>
    </row>
    <row r="2964" spans="1:7">
      <c r="A2964" t="s">
        <v>5335</v>
      </c>
      <c r="B2964" t="s">
        <v>8275</v>
      </c>
      <c r="C2964" t="s">
        <v>8396</v>
      </c>
      <c r="D2964" t="s">
        <v>8425</v>
      </c>
      <c r="E2964" t="s">
        <v>1587</v>
      </c>
      <c r="F2964" t="s">
        <v>8448</v>
      </c>
      <c r="G2964" t="s">
        <v>8942</v>
      </c>
    </row>
    <row r="2965" spans="1:7">
      <c r="A2965" t="s">
        <v>5336</v>
      </c>
      <c r="B2965" t="s">
        <v>8273</v>
      </c>
      <c r="C2965" t="s">
        <v>8395</v>
      </c>
      <c r="D2965" t="s">
        <v>8402</v>
      </c>
      <c r="E2965" t="s">
        <v>8446</v>
      </c>
      <c r="F2965" t="s">
        <v>8449</v>
      </c>
      <c r="G2965" t="s">
        <v>8455</v>
      </c>
    </row>
    <row r="2966" spans="1:7">
      <c r="A2966" t="s">
        <v>5337</v>
      </c>
      <c r="C2966" t="s">
        <v>8394</v>
      </c>
      <c r="D2966" t="s">
        <v>8402</v>
      </c>
      <c r="E2966" t="s">
        <v>8445</v>
      </c>
      <c r="F2966" t="s">
        <v>8448</v>
      </c>
      <c r="G2966" t="s">
        <v>8943</v>
      </c>
    </row>
    <row r="2967" spans="1:7">
      <c r="A2967" t="s">
        <v>5338</v>
      </c>
      <c r="B2967" t="s">
        <v>8273</v>
      </c>
      <c r="C2967" t="s">
        <v>8396</v>
      </c>
      <c r="D2967" t="s">
        <v>8425</v>
      </c>
      <c r="E2967" t="s">
        <v>1519</v>
      </c>
      <c r="F2967" t="s">
        <v>8449</v>
      </c>
      <c r="G2967" t="s">
        <v>8455</v>
      </c>
    </row>
    <row r="2968" spans="1:7">
      <c r="A2968" t="s">
        <v>5339</v>
      </c>
      <c r="B2968" t="s">
        <v>8273</v>
      </c>
      <c r="C2968" t="s">
        <v>8398</v>
      </c>
      <c r="D2968" t="s">
        <v>8410</v>
      </c>
      <c r="E2968" t="s">
        <v>8446</v>
      </c>
      <c r="F2968" t="s">
        <v>8449</v>
      </c>
      <c r="G2968" t="s">
        <v>8455</v>
      </c>
    </row>
    <row r="2969" spans="1:7">
      <c r="A2969" t="s">
        <v>5340</v>
      </c>
      <c r="B2969" t="s">
        <v>8299</v>
      </c>
      <c r="C2969" t="s">
        <v>8397</v>
      </c>
      <c r="D2969" t="s">
        <v>8430</v>
      </c>
      <c r="E2969" t="s">
        <v>1587</v>
      </c>
      <c r="F2969" t="s">
        <v>8448</v>
      </c>
      <c r="G2969" t="s">
        <v>8944</v>
      </c>
    </row>
    <row r="2970" spans="1:7">
      <c r="A2970" t="s">
        <v>5341</v>
      </c>
      <c r="C2970" t="s">
        <v>8393</v>
      </c>
      <c r="D2970" t="s">
        <v>8393</v>
      </c>
      <c r="E2970" t="s">
        <v>919</v>
      </c>
      <c r="F2970" t="s">
        <v>8393</v>
      </c>
    </row>
    <row r="2971" spans="1:7">
      <c r="A2971" t="s">
        <v>5342</v>
      </c>
      <c r="B2971" t="s">
        <v>8278</v>
      </c>
      <c r="C2971" t="s">
        <v>8394</v>
      </c>
      <c r="D2971" t="s">
        <v>8423</v>
      </c>
      <c r="E2971" t="s">
        <v>8444</v>
      </c>
      <c r="F2971" t="s">
        <v>8449</v>
      </c>
      <c r="G2971" t="s">
        <v>8455</v>
      </c>
    </row>
    <row r="2972" spans="1:7">
      <c r="A2972" t="s">
        <v>5343</v>
      </c>
      <c r="B2972" t="s">
        <v>8278</v>
      </c>
      <c r="C2972" t="s">
        <v>8394</v>
      </c>
      <c r="D2972" t="s">
        <v>8423</v>
      </c>
      <c r="E2972" t="s">
        <v>8444</v>
      </c>
      <c r="F2972" t="s">
        <v>8449</v>
      </c>
      <c r="G2972" t="s">
        <v>8455</v>
      </c>
    </row>
    <row r="2973" spans="1:7">
      <c r="A2973" t="s">
        <v>5344</v>
      </c>
      <c r="B2973" t="s">
        <v>8284</v>
      </c>
      <c r="C2973" t="s">
        <v>8394</v>
      </c>
      <c r="D2973" t="s">
        <v>8423</v>
      </c>
      <c r="E2973" t="s">
        <v>8444</v>
      </c>
      <c r="F2973" t="s">
        <v>8449</v>
      </c>
      <c r="G2973" t="s">
        <v>8455</v>
      </c>
    </row>
    <row r="2974" spans="1:7">
      <c r="A2974" t="s">
        <v>5345</v>
      </c>
      <c r="B2974" t="s">
        <v>8279</v>
      </c>
      <c r="C2974" t="s">
        <v>8394</v>
      </c>
      <c r="D2974" t="s">
        <v>8423</v>
      </c>
      <c r="E2974" t="s">
        <v>8444</v>
      </c>
      <c r="F2974" t="s">
        <v>8449</v>
      </c>
      <c r="G2974" t="s">
        <v>8455</v>
      </c>
    </row>
    <row r="2975" spans="1:7">
      <c r="A2975" t="s">
        <v>5346</v>
      </c>
      <c r="B2975" t="s">
        <v>8281</v>
      </c>
      <c r="C2975" t="s">
        <v>8394</v>
      </c>
      <c r="D2975" t="s">
        <v>8423</v>
      </c>
      <c r="E2975" t="s">
        <v>8444</v>
      </c>
      <c r="F2975" t="s">
        <v>8449</v>
      </c>
      <c r="G2975" t="s">
        <v>8455</v>
      </c>
    </row>
    <row r="2976" spans="1:7">
      <c r="A2976" t="s">
        <v>5347</v>
      </c>
      <c r="B2976" t="s">
        <v>8273</v>
      </c>
      <c r="C2976" t="s">
        <v>8394</v>
      </c>
      <c r="D2976" t="s">
        <v>8402</v>
      </c>
      <c r="E2976" t="s">
        <v>8446</v>
      </c>
      <c r="F2976" t="s">
        <v>8449</v>
      </c>
      <c r="G2976" t="s">
        <v>8455</v>
      </c>
    </row>
    <row r="2977" spans="1:7">
      <c r="A2977" t="s">
        <v>5348</v>
      </c>
      <c r="B2977" t="s">
        <v>8273</v>
      </c>
      <c r="C2977" t="s">
        <v>8394</v>
      </c>
      <c r="D2977" t="s">
        <v>8407</v>
      </c>
      <c r="E2977" t="s">
        <v>8446</v>
      </c>
      <c r="F2977" t="s">
        <v>8448</v>
      </c>
      <c r="G2977" t="s">
        <v>8455</v>
      </c>
    </row>
    <row r="2978" spans="1:7">
      <c r="A2978" t="s">
        <v>5349</v>
      </c>
      <c r="B2978" t="s">
        <v>8273</v>
      </c>
      <c r="C2978" t="s">
        <v>8395</v>
      </c>
      <c r="D2978" t="s">
        <v>8416</v>
      </c>
      <c r="E2978" t="s">
        <v>8446</v>
      </c>
      <c r="F2978" t="s">
        <v>8448</v>
      </c>
      <c r="G2978" t="s">
        <v>8455</v>
      </c>
    </row>
    <row r="2979" spans="1:7">
      <c r="A2979" t="s">
        <v>5350</v>
      </c>
      <c r="B2979" t="s">
        <v>8273</v>
      </c>
      <c r="C2979" t="s">
        <v>8394</v>
      </c>
      <c r="D2979" t="s">
        <v>8402</v>
      </c>
      <c r="E2979" t="s">
        <v>8445</v>
      </c>
      <c r="F2979" t="s">
        <v>8448</v>
      </c>
      <c r="G2979" t="s">
        <v>8453</v>
      </c>
    </row>
    <row r="2980" spans="1:7">
      <c r="A2980" t="s">
        <v>5351</v>
      </c>
      <c r="B2980" t="s">
        <v>8273</v>
      </c>
      <c r="C2980" t="s">
        <v>8394</v>
      </c>
      <c r="D2980" t="s">
        <v>8407</v>
      </c>
      <c r="E2980" t="s">
        <v>8445</v>
      </c>
      <c r="F2980" t="s">
        <v>8448</v>
      </c>
      <c r="G2980" t="s">
        <v>8945</v>
      </c>
    </row>
    <row r="2981" spans="1:7">
      <c r="A2981" t="s">
        <v>5352</v>
      </c>
      <c r="B2981" t="s">
        <v>8273</v>
      </c>
      <c r="C2981" t="s">
        <v>8395</v>
      </c>
      <c r="D2981" t="s">
        <v>8427</v>
      </c>
      <c r="E2981" t="s">
        <v>8444</v>
      </c>
      <c r="F2981" t="s">
        <v>8449</v>
      </c>
      <c r="G2981" t="s">
        <v>8946</v>
      </c>
    </row>
    <row r="2982" spans="1:7">
      <c r="A2982" t="s">
        <v>5353</v>
      </c>
      <c r="C2982" t="s">
        <v>8393</v>
      </c>
      <c r="D2982" t="s">
        <v>8393</v>
      </c>
      <c r="E2982" t="s">
        <v>919</v>
      </c>
      <c r="F2982" t="s">
        <v>8393</v>
      </c>
    </row>
    <row r="2983" spans="1:7">
      <c r="A2983" t="s">
        <v>5354</v>
      </c>
      <c r="B2983" t="s">
        <v>8273</v>
      </c>
      <c r="C2983" t="s">
        <v>8395</v>
      </c>
      <c r="D2983" t="s">
        <v>8420</v>
      </c>
      <c r="E2983" t="s">
        <v>1519</v>
      </c>
      <c r="F2983" t="s">
        <v>8448</v>
      </c>
      <c r="G2983" t="s">
        <v>8455</v>
      </c>
    </row>
    <row r="2984" spans="1:7">
      <c r="A2984" t="s">
        <v>5355</v>
      </c>
      <c r="B2984" t="s">
        <v>8273</v>
      </c>
      <c r="C2984" t="s">
        <v>8395</v>
      </c>
      <c r="D2984" t="s">
        <v>8420</v>
      </c>
      <c r="E2984" t="s">
        <v>1519</v>
      </c>
      <c r="F2984" t="s">
        <v>8448</v>
      </c>
      <c r="G2984" t="s">
        <v>8455</v>
      </c>
    </row>
    <row r="2985" spans="1:7">
      <c r="A2985" t="s">
        <v>5356</v>
      </c>
      <c r="B2985" t="s">
        <v>8285</v>
      </c>
      <c r="C2985" t="s">
        <v>8395</v>
      </c>
      <c r="D2985" t="s">
        <v>8420</v>
      </c>
      <c r="E2985" t="s">
        <v>1519</v>
      </c>
      <c r="F2985" t="s">
        <v>8448</v>
      </c>
      <c r="G2985" t="s">
        <v>8455</v>
      </c>
    </row>
    <row r="2986" spans="1:7">
      <c r="A2986" t="s">
        <v>5357</v>
      </c>
      <c r="B2986" t="s">
        <v>8287</v>
      </c>
      <c r="C2986" t="s">
        <v>8395</v>
      </c>
      <c r="D2986" t="s">
        <v>8420</v>
      </c>
      <c r="E2986" t="s">
        <v>1519</v>
      </c>
      <c r="F2986" t="s">
        <v>8448</v>
      </c>
      <c r="G2986" t="s">
        <v>8455</v>
      </c>
    </row>
    <row r="2987" spans="1:7">
      <c r="A2987" t="s">
        <v>5358</v>
      </c>
      <c r="B2987" t="s">
        <v>8277</v>
      </c>
      <c r="C2987" t="s">
        <v>8395</v>
      </c>
      <c r="D2987" t="s">
        <v>8420</v>
      </c>
      <c r="E2987" t="s">
        <v>1519</v>
      </c>
      <c r="F2987" t="s">
        <v>8448</v>
      </c>
      <c r="G2987" t="s">
        <v>8455</v>
      </c>
    </row>
    <row r="2988" spans="1:7">
      <c r="A2988" t="s">
        <v>5359</v>
      </c>
      <c r="C2988" t="s">
        <v>8393</v>
      </c>
      <c r="D2988" t="s">
        <v>8393</v>
      </c>
      <c r="E2988" t="s">
        <v>919</v>
      </c>
      <c r="F2988" t="s">
        <v>8393</v>
      </c>
    </row>
    <row r="2989" spans="1:7">
      <c r="A2989" t="s">
        <v>5360</v>
      </c>
      <c r="B2989" t="s">
        <v>8278</v>
      </c>
      <c r="C2989" t="s">
        <v>8395</v>
      </c>
      <c r="D2989" t="s">
        <v>8414</v>
      </c>
      <c r="E2989" t="s">
        <v>8446</v>
      </c>
      <c r="F2989" t="s">
        <v>8449</v>
      </c>
      <c r="G2989" t="s">
        <v>8455</v>
      </c>
    </row>
    <row r="2990" spans="1:7">
      <c r="A2990" t="s">
        <v>5361</v>
      </c>
      <c r="B2990" t="s">
        <v>8273</v>
      </c>
      <c r="C2990" t="s">
        <v>8395</v>
      </c>
      <c r="D2990" t="s">
        <v>8414</v>
      </c>
      <c r="E2990" t="s">
        <v>8445</v>
      </c>
      <c r="F2990" t="s">
        <v>8449</v>
      </c>
      <c r="G2990" t="s">
        <v>8455</v>
      </c>
    </row>
    <row r="2991" spans="1:7">
      <c r="A2991" t="s">
        <v>5362</v>
      </c>
      <c r="B2991" t="s">
        <v>8273</v>
      </c>
      <c r="C2991" t="s">
        <v>8394</v>
      </c>
      <c r="D2991" t="s">
        <v>8414</v>
      </c>
      <c r="E2991" t="s">
        <v>8445</v>
      </c>
      <c r="F2991" t="s">
        <v>8449</v>
      </c>
      <c r="G2991" t="s">
        <v>8455</v>
      </c>
    </row>
    <row r="2992" spans="1:7">
      <c r="A2992" t="s">
        <v>5363</v>
      </c>
      <c r="B2992" t="s">
        <v>8300</v>
      </c>
      <c r="C2992" t="s">
        <v>8394</v>
      </c>
      <c r="D2992" t="s">
        <v>8414</v>
      </c>
      <c r="E2992" t="s">
        <v>8445</v>
      </c>
      <c r="F2992" t="s">
        <v>8449</v>
      </c>
      <c r="G2992" t="s">
        <v>8455</v>
      </c>
    </row>
    <row r="2993" spans="1:7">
      <c r="A2993" t="s">
        <v>5364</v>
      </c>
      <c r="B2993" t="s">
        <v>8285</v>
      </c>
      <c r="C2993" t="s">
        <v>8395</v>
      </c>
      <c r="D2993" t="s">
        <v>8414</v>
      </c>
      <c r="E2993" t="s">
        <v>8445</v>
      </c>
      <c r="F2993" t="s">
        <v>8449</v>
      </c>
      <c r="G2993" t="s">
        <v>8455</v>
      </c>
    </row>
    <row r="2994" spans="1:7">
      <c r="A2994" t="s">
        <v>5365</v>
      </c>
      <c r="B2994" t="s">
        <v>8286</v>
      </c>
      <c r="C2994" t="s">
        <v>8395</v>
      </c>
      <c r="D2994" t="s">
        <v>8414</v>
      </c>
      <c r="E2994" t="s">
        <v>8445</v>
      </c>
      <c r="F2994" t="s">
        <v>8449</v>
      </c>
      <c r="G2994" t="s">
        <v>8455</v>
      </c>
    </row>
    <row r="2995" spans="1:7">
      <c r="A2995" t="s">
        <v>5366</v>
      </c>
      <c r="B2995" t="s">
        <v>8274</v>
      </c>
      <c r="C2995" t="s">
        <v>8395</v>
      </c>
      <c r="D2995" t="s">
        <v>8414</v>
      </c>
      <c r="E2995" t="s">
        <v>8445</v>
      </c>
      <c r="F2995" t="s">
        <v>8449</v>
      </c>
      <c r="G2995" t="s">
        <v>8455</v>
      </c>
    </row>
    <row r="2996" spans="1:7">
      <c r="A2996" t="s">
        <v>5367</v>
      </c>
      <c r="B2996" t="s">
        <v>8287</v>
      </c>
      <c r="C2996" t="s">
        <v>8394</v>
      </c>
      <c r="D2996" t="s">
        <v>8414</v>
      </c>
      <c r="E2996" t="s">
        <v>8445</v>
      </c>
      <c r="F2996" t="s">
        <v>8449</v>
      </c>
      <c r="G2996" t="s">
        <v>8455</v>
      </c>
    </row>
    <row r="2997" spans="1:7">
      <c r="A2997" t="s">
        <v>5368</v>
      </c>
      <c r="B2997" t="s">
        <v>8277</v>
      </c>
      <c r="C2997" t="s">
        <v>8395</v>
      </c>
      <c r="D2997" t="s">
        <v>8414</v>
      </c>
      <c r="E2997" t="s">
        <v>8445</v>
      </c>
      <c r="F2997" t="s">
        <v>8449</v>
      </c>
      <c r="G2997" t="s">
        <v>8455</v>
      </c>
    </row>
    <row r="2998" spans="1:7">
      <c r="A2998" t="s">
        <v>5369</v>
      </c>
      <c r="C2998" t="s">
        <v>8394</v>
      </c>
      <c r="D2998" t="s">
        <v>8402</v>
      </c>
      <c r="E2998" t="s">
        <v>8445</v>
      </c>
      <c r="F2998" t="s">
        <v>8448</v>
      </c>
      <c r="G2998" t="s">
        <v>8453</v>
      </c>
    </row>
    <row r="2999" spans="1:7">
      <c r="A2999" t="s">
        <v>5370</v>
      </c>
      <c r="C2999" t="s">
        <v>8394</v>
      </c>
      <c r="D2999" t="s">
        <v>8414</v>
      </c>
      <c r="E2999" t="s">
        <v>8445</v>
      </c>
      <c r="F2999" t="s">
        <v>8449</v>
      </c>
      <c r="G2999" t="s">
        <v>795</v>
      </c>
    </row>
    <row r="3000" spans="1:7">
      <c r="A3000" t="s">
        <v>5371</v>
      </c>
      <c r="B3000" t="s">
        <v>8273</v>
      </c>
      <c r="C3000" t="s">
        <v>8395</v>
      </c>
      <c r="D3000" t="s">
        <v>8414</v>
      </c>
      <c r="E3000" t="s">
        <v>8446</v>
      </c>
      <c r="F3000" t="s">
        <v>8449</v>
      </c>
      <c r="G3000" t="s">
        <v>8455</v>
      </c>
    </row>
    <row r="3001" spans="1:7">
      <c r="A3001" t="s">
        <v>5372</v>
      </c>
      <c r="B3001" t="s">
        <v>8273</v>
      </c>
      <c r="C3001" t="s">
        <v>8394</v>
      </c>
      <c r="D3001" t="s">
        <v>8401</v>
      </c>
      <c r="E3001" t="s">
        <v>8445</v>
      </c>
      <c r="F3001" t="s">
        <v>8448</v>
      </c>
      <c r="G3001" t="s">
        <v>8455</v>
      </c>
    </row>
    <row r="3002" spans="1:7">
      <c r="A3002" t="s">
        <v>5373</v>
      </c>
      <c r="C3002" t="s">
        <v>8393</v>
      </c>
      <c r="D3002" t="s">
        <v>8393</v>
      </c>
      <c r="E3002" t="s">
        <v>919</v>
      </c>
      <c r="F3002" t="s">
        <v>8393</v>
      </c>
    </row>
    <row r="3003" spans="1:7">
      <c r="A3003" t="s">
        <v>5374</v>
      </c>
      <c r="B3003" t="s">
        <v>8273</v>
      </c>
      <c r="C3003" t="s">
        <v>8395</v>
      </c>
      <c r="D3003" t="s">
        <v>8420</v>
      </c>
      <c r="E3003" t="s">
        <v>8446</v>
      </c>
      <c r="F3003" t="s">
        <v>8449</v>
      </c>
      <c r="G3003" t="s">
        <v>8519</v>
      </c>
    </row>
    <row r="3004" spans="1:7">
      <c r="A3004" t="s">
        <v>5375</v>
      </c>
      <c r="B3004" t="s">
        <v>8273</v>
      </c>
      <c r="C3004" t="s">
        <v>8395</v>
      </c>
      <c r="D3004" t="s">
        <v>8400</v>
      </c>
      <c r="E3004" t="s">
        <v>8446</v>
      </c>
      <c r="F3004" t="s">
        <v>8449</v>
      </c>
      <c r="G3004" t="s">
        <v>796</v>
      </c>
    </row>
    <row r="3005" spans="1:7">
      <c r="A3005" t="s">
        <v>5376</v>
      </c>
      <c r="B3005" t="s">
        <v>8273</v>
      </c>
      <c r="C3005" t="s">
        <v>8398</v>
      </c>
      <c r="D3005" t="s">
        <v>8419</v>
      </c>
      <c r="E3005" t="s">
        <v>8444</v>
      </c>
      <c r="F3005" t="s">
        <v>8447</v>
      </c>
      <c r="G3005" t="s">
        <v>8455</v>
      </c>
    </row>
    <row r="3006" spans="1:7">
      <c r="A3006" t="s">
        <v>5377</v>
      </c>
      <c r="B3006" t="s">
        <v>8286</v>
      </c>
      <c r="C3006" t="s">
        <v>8396</v>
      </c>
      <c r="D3006" t="s">
        <v>8406</v>
      </c>
      <c r="E3006" t="s">
        <v>8444</v>
      </c>
      <c r="F3006" t="s">
        <v>8449</v>
      </c>
      <c r="G3006" t="s">
        <v>8455</v>
      </c>
    </row>
    <row r="3007" spans="1:7">
      <c r="A3007" t="s">
        <v>5378</v>
      </c>
      <c r="B3007" t="s">
        <v>8273</v>
      </c>
      <c r="C3007" t="s">
        <v>8392</v>
      </c>
      <c r="D3007" t="s">
        <v>8415</v>
      </c>
      <c r="E3007" t="s">
        <v>8446</v>
      </c>
      <c r="F3007" t="s">
        <v>8449</v>
      </c>
      <c r="G3007" t="s">
        <v>796</v>
      </c>
    </row>
    <row r="3008" spans="1:7">
      <c r="A3008" t="s">
        <v>5379</v>
      </c>
      <c r="C3008" t="s">
        <v>8397</v>
      </c>
      <c r="D3008" t="s">
        <v>8408</v>
      </c>
      <c r="E3008" t="s">
        <v>8445</v>
      </c>
      <c r="F3008" t="s">
        <v>8450</v>
      </c>
      <c r="G3008" t="s">
        <v>8453</v>
      </c>
    </row>
    <row r="3009" spans="1:7">
      <c r="A3009" t="s">
        <v>5380</v>
      </c>
      <c r="C3009" t="s">
        <v>8392</v>
      </c>
      <c r="D3009" t="s">
        <v>8400</v>
      </c>
      <c r="E3009" t="s">
        <v>1519</v>
      </c>
      <c r="F3009" t="s">
        <v>8449</v>
      </c>
      <c r="G3009" t="s">
        <v>795</v>
      </c>
    </row>
    <row r="3010" spans="1:7">
      <c r="A3010" t="s">
        <v>5381</v>
      </c>
      <c r="B3010" t="s">
        <v>8273</v>
      </c>
      <c r="C3010" t="s">
        <v>8397</v>
      </c>
      <c r="D3010" t="s">
        <v>8421</v>
      </c>
      <c r="E3010" t="s">
        <v>8446</v>
      </c>
      <c r="F3010" t="s">
        <v>8448</v>
      </c>
      <c r="G3010" t="s">
        <v>8519</v>
      </c>
    </row>
    <row r="3011" spans="1:7">
      <c r="A3011" t="s">
        <v>5382</v>
      </c>
      <c r="C3011" t="s">
        <v>8393</v>
      </c>
      <c r="D3011" t="s">
        <v>8393</v>
      </c>
      <c r="E3011" t="s">
        <v>919</v>
      </c>
      <c r="F3011" t="s">
        <v>8393</v>
      </c>
    </row>
    <row r="3012" spans="1:7">
      <c r="A3012" t="s">
        <v>5383</v>
      </c>
      <c r="B3012" t="s">
        <v>8273</v>
      </c>
      <c r="C3012" t="s">
        <v>8392</v>
      </c>
      <c r="D3012" t="s">
        <v>8400</v>
      </c>
      <c r="E3012" t="s">
        <v>8446</v>
      </c>
      <c r="F3012" t="s">
        <v>8448</v>
      </c>
      <c r="G3012" t="s">
        <v>8947</v>
      </c>
    </row>
    <row r="3013" spans="1:7">
      <c r="A3013" t="s">
        <v>5384</v>
      </c>
      <c r="B3013" t="s">
        <v>8277</v>
      </c>
      <c r="C3013" t="s">
        <v>8392</v>
      </c>
      <c r="D3013" t="s">
        <v>8400</v>
      </c>
      <c r="E3013" t="s">
        <v>8446</v>
      </c>
      <c r="F3013" t="s">
        <v>8448</v>
      </c>
      <c r="G3013" t="s">
        <v>8455</v>
      </c>
    </row>
    <row r="3014" spans="1:7">
      <c r="A3014" t="s">
        <v>5385</v>
      </c>
      <c r="B3014" t="s">
        <v>8273</v>
      </c>
      <c r="C3014" t="s">
        <v>8395</v>
      </c>
      <c r="D3014" t="s">
        <v>8416</v>
      </c>
      <c r="E3014" t="s">
        <v>8446</v>
      </c>
      <c r="F3014" t="s">
        <v>8448</v>
      </c>
      <c r="G3014" t="s">
        <v>8455</v>
      </c>
    </row>
    <row r="3015" spans="1:7">
      <c r="A3015" t="s">
        <v>5386</v>
      </c>
      <c r="C3015" t="s">
        <v>8394</v>
      </c>
      <c r="D3015" t="s">
        <v>8402</v>
      </c>
      <c r="E3015" t="s">
        <v>8445</v>
      </c>
      <c r="F3015" t="s">
        <v>8448</v>
      </c>
      <c r="G3015" t="s">
        <v>8723</v>
      </c>
    </row>
    <row r="3016" spans="1:7">
      <c r="A3016" t="s">
        <v>5387</v>
      </c>
      <c r="C3016" t="s">
        <v>8398</v>
      </c>
      <c r="D3016" t="s">
        <v>8419</v>
      </c>
      <c r="E3016" t="s">
        <v>1519</v>
      </c>
      <c r="F3016" t="s">
        <v>8449</v>
      </c>
      <c r="G3016" t="s">
        <v>8453</v>
      </c>
    </row>
    <row r="3017" spans="1:7">
      <c r="A3017" t="s">
        <v>5388</v>
      </c>
      <c r="B3017" t="s">
        <v>8273</v>
      </c>
      <c r="C3017" t="s">
        <v>8397</v>
      </c>
      <c r="D3017" t="s">
        <v>8418</v>
      </c>
      <c r="E3017" t="s">
        <v>1519</v>
      </c>
      <c r="F3017" t="s">
        <v>8447</v>
      </c>
      <c r="G3017" t="s">
        <v>8463</v>
      </c>
    </row>
    <row r="3018" spans="1:7">
      <c r="A3018" t="s">
        <v>5389</v>
      </c>
      <c r="B3018" t="s">
        <v>8273</v>
      </c>
      <c r="C3018" t="s">
        <v>8394</v>
      </c>
      <c r="D3018" t="s">
        <v>8402</v>
      </c>
      <c r="E3018" t="s">
        <v>8445</v>
      </c>
      <c r="F3018" t="s">
        <v>8448</v>
      </c>
      <c r="G3018" t="s">
        <v>8948</v>
      </c>
    </row>
    <row r="3019" spans="1:7">
      <c r="A3019" t="s">
        <v>5390</v>
      </c>
      <c r="C3019" t="s">
        <v>8392</v>
      </c>
      <c r="D3019" t="s">
        <v>8415</v>
      </c>
      <c r="E3019" t="s">
        <v>8445</v>
      </c>
      <c r="F3019" t="s">
        <v>8448</v>
      </c>
      <c r="G3019" t="s">
        <v>8949</v>
      </c>
    </row>
    <row r="3020" spans="1:7">
      <c r="A3020" t="s">
        <v>5391</v>
      </c>
      <c r="B3020" t="s">
        <v>8273</v>
      </c>
      <c r="C3020" t="s">
        <v>8394</v>
      </c>
      <c r="D3020" t="s">
        <v>8414</v>
      </c>
      <c r="E3020" t="s">
        <v>8446</v>
      </c>
      <c r="F3020" t="s">
        <v>8449</v>
      </c>
      <c r="G3020" t="s">
        <v>8455</v>
      </c>
    </row>
    <row r="3021" spans="1:7">
      <c r="A3021" t="s">
        <v>5392</v>
      </c>
      <c r="C3021" t="s">
        <v>8393</v>
      </c>
      <c r="D3021" t="s">
        <v>8393</v>
      </c>
      <c r="E3021" t="s">
        <v>919</v>
      </c>
      <c r="F3021" t="s">
        <v>8393</v>
      </c>
    </row>
    <row r="3022" spans="1:7">
      <c r="A3022" t="s">
        <v>5393</v>
      </c>
      <c r="B3022" t="s">
        <v>8273</v>
      </c>
      <c r="C3022" t="s">
        <v>8396</v>
      </c>
      <c r="D3022" t="s">
        <v>8405</v>
      </c>
      <c r="E3022" t="s">
        <v>8446</v>
      </c>
      <c r="F3022" t="s">
        <v>8449</v>
      </c>
      <c r="G3022" t="s">
        <v>8455</v>
      </c>
    </row>
    <row r="3023" spans="1:7">
      <c r="A3023" t="s">
        <v>5394</v>
      </c>
      <c r="B3023" t="s">
        <v>8273</v>
      </c>
      <c r="C3023" t="s">
        <v>8396</v>
      </c>
      <c r="D3023" t="s">
        <v>8425</v>
      </c>
      <c r="E3023" t="s">
        <v>8446</v>
      </c>
      <c r="F3023" t="s">
        <v>8449</v>
      </c>
      <c r="G3023" t="s">
        <v>8455</v>
      </c>
    </row>
    <row r="3024" spans="1:7">
      <c r="A3024" t="s">
        <v>5395</v>
      </c>
      <c r="B3024" t="s">
        <v>8273</v>
      </c>
      <c r="C3024" t="s">
        <v>8395</v>
      </c>
      <c r="D3024" t="s">
        <v>8404</v>
      </c>
      <c r="E3024" t="s">
        <v>1587</v>
      </c>
      <c r="F3024" t="s">
        <v>8449</v>
      </c>
      <c r="G3024" t="s">
        <v>8455</v>
      </c>
    </row>
    <row r="3025" spans="1:7">
      <c r="A3025" t="s">
        <v>5396</v>
      </c>
      <c r="C3025" t="s">
        <v>8393</v>
      </c>
      <c r="D3025" t="s">
        <v>8393</v>
      </c>
      <c r="E3025" t="s">
        <v>919</v>
      </c>
      <c r="F3025" t="s">
        <v>8393</v>
      </c>
    </row>
    <row r="3026" spans="1:7">
      <c r="A3026" t="s">
        <v>5397</v>
      </c>
      <c r="B3026" t="s">
        <v>8273</v>
      </c>
      <c r="C3026" t="s">
        <v>8396</v>
      </c>
      <c r="D3026" t="s">
        <v>8405</v>
      </c>
      <c r="E3026" t="s">
        <v>8446</v>
      </c>
      <c r="F3026" t="s">
        <v>8449</v>
      </c>
      <c r="G3026" t="s">
        <v>8455</v>
      </c>
    </row>
    <row r="3027" spans="1:7">
      <c r="A3027" t="s">
        <v>5398</v>
      </c>
      <c r="B3027" t="s">
        <v>8273</v>
      </c>
      <c r="C3027" t="s">
        <v>8395</v>
      </c>
      <c r="D3027" t="s">
        <v>8405</v>
      </c>
      <c r="E3027" t="s">
        <v>8446</v>
      </c>
      <c r="F3027" t="s">
        <v>8449</v>
      </c>
      <c r="G3027" t="s">
        <v>8455</v>
      </c>
    </row>
    <row r="3028" spans="1:7">
      <c r="A3028" t="s">
        <v>5399</v>
      </c>
      <c r="B3028" t="s">
        <v>8273</v>
      </c>
      <c r="C3028" t="s">
        <v>8392</v>
      </c>
      <c r="D3028" t="s">
        <v>8415</v>
      </c>
      <c r="E3028" t="s">
        <v>8446</v>
      </c>
      <c r="F3028" t="s">
        <v>8449</v>
      </c>
      <c r="G3028" t="s">
        <v>8455</v>
      </c>
    </row>
    <row r="3029" spans="1:7">
      <c r="A3029" t="s">
        <v>5400</v>
      </c>
      <c r="C3029" t="s">
        <v>8393</v>
      </c>
      <c r="D3029" t="s">
        <v>8393</v>
      </c>
      <c r="E3029" t="s">
        <v>919</v>
      </c>
      <c r="F3029" t="s">
        <v>8393</v>
      </c>
    </row>
    <row r="3030" spans="1:7">
      <c r="A3030" t="s">
        <v>5401</v>
      </c>
      <c r="B3030" t="s">
        <v>8273</v>
      </c>
      <c r="C3030" t="s">
        <v>8395</v>
      </c>
      <c r="D3030" t="s">
        <v>8425</v>
      </c>
      <c r="E3030" t="s">
        <v>8446</v>
      </c>
      <c r="F3030" t="s">
        <v>8448</v>
      </c>
      <c r="G3030" t="s">
        <v>8463</v>
      </c>
    </row>
    <row r="3031" spans="1:7">
      <c r="A3031" t="s">
        <v>5402</v>
      </c>
      <c r="B3031" t="s">
        <v>8273</v>
      </c>
      <c r="C3031" t="s">
        <v>8396</v>
      </c>
      <c r="D3031" t="s">
        <v>8425</v>
      </c>
      <c r="E3031" t="s">
        <v>8446</v>
      </c>
      <c r="F3031" t="s">
        <v>8448</v>
      </c>
      <c r="G3031" t="s">
        <v>8453</v>
      </c>
    </row>
    <row r="3032" spans="1:7">
      <c r="A3032" t="s">
        <v>5403</v>
      </c>
      <c r="B3032" t="s">
        <v>8273</v>
      </c>
      <c r="C3032" t="s">
        <v>8392</v>
      </c>
      <c r="D3032" t="s">
        <v>8400</v>
      </c>
      <c r="E3032" t="s">
        <v>8446</v>
      </c>
      <c r="F3032" t="s">
        <v>8448</v>
      </c>
      <c r="G3032" t="s">
        <v>8453</v>
      </c>
    </row>
    <row r="3033" spans="1:7">
      <c r="A3033" t="s">
        <v>5404</v>
      </c>
      <c r="B3033" t="s">
        <v>8273</v>
      </c>
      <c r="C3033" t="s">
        <v>8398</v>
      </c>
      <c r="D3033" t="s">
        <v>8419</v>
      </c>
      <c r="E3033" t="s">
        <v>8446</v>
      </c>
      <c r="F3033" t="s">
        <v>8449</v>
      </c>
      <c r="G3033" t="s">
        <v>8453</v>
      </c>
    </row>
    <row r="3034" spans="1:7">
      <c r="A3034" t="s">
        <v>5405</v>
      </c>
      <c r="C3034" t="s">
        <v>8393</v>
      </c>
      <c r="D3034" t="s">
        <v>8393</v>
      </c>
      <c r="E3034" t="s">
        <v>919</v>
      </c>
      <c r="F3034" t="s">
        <v>8393</v>
      </c>
    </row>
    <row r="3035" spans="1:7">
      <c r="A3035" t="s">
        <v>5406</v>
      </c>
      <c r="B3035" t="s">
        <v>8273</v>
      </c>
      <c r="C3035" t="s">
        <v>8398</v>
      </c>
      <c r="D3035" t="s">
        <v>8419</v>
      </c>
      <c r="E3035" t="s">
        <v>8446</v>
      </c>
      <c r="F3035" t="s">
        <v>8449</v>
      </c>
      <c r="G3035" t="s">
        <v>8455</v>
      </c>
    </row>
    <row r="3036" spans="1:7">
      <c r="A3036" t="s">
        <v>5407</v>
      </c>
      <c r="B3036" t="s">
        <v>8285</v>
      </c>
      <c r="C3036" t="s">
        <v>8398</v>
      </c>
      <c r="D3036" t="s">
        <v>8419</v>
      </c>
      <c r="E3036" t="s">
        <v>8446</v>
      </c>
      <c r="F3036" t="s">
        <v>8449</v>
      </c>
      <c r="G3036" t="s">
        <v>8455</v>
      </c>
    </row>
    <row r="3037" spans="1:7">
      <c r="A3037" t="s">
        <v>5408</v>
      </c>
      <c r="B3037" t="s">
        <v>8274</v>
      </c>
      <c r="C3037" t="s">
        <v>8398</v>
      </c>
      <c r="D3037" t="s">
        <v>8419</v>
      </c>
      <c r="E3037" t="s">
        <v>8446</v>
      </c>
      <c r="F3037" t="s">
        <v>8449</v>
      </c>
      <c r="G3037" t="s">
        <v>8455</v>
      </c>
    </row>
    <row r="3038" spans="1:7">
      <c r="A3038" t="s">
        <v>5409</v>
      </c>
      <c r="B3038" t="s">
        <v>8287</v>
      </c>
      <c r="C3038" t="s">
        <v>8398</v>
      </c>
      <c r="D3038" t="s">
        <v>8419</v>
      </c>
      <c r="E3038" t="s">
        <v>8446</v>
      </c>
      <c r="F3038" t="s">
        <v>8449</v>
      </c>
      <c r="G3038" t="s">
        <v>8455</v>
      </c>
    </row>
    <row r="3039" spans="1:7">
      <c r="A3039" t="s">
        <v>5410</v>
      </c>
      <c r="B3039" t="s">
        <v>8277</v>
      </c>
      <c r="C3039" t="s">
        <v>8398</v>
      </c>
      <c r="D3039" t="s">
        <v>8419</v>
      </c>
      <c r="E3039" t="s">
        <v>8446</v>
      </c>
      <c r="F3039" t="s">
        <v>8449</v>
      </c>
      <c r="G3039" t="s">
        <v>8455</v>
      </c>
    </row>
    <row r="3040" spans="1:7">
      <c r="A3040" t="s">
        <v>5411</v>
      </c>
      <c r="B3040" t="s">
        <v>8276</v>
      </c>
      <c r="C3040" t="s">
        <v>8395</v>
      </c>
      <c r="D3040" t="s">
        <v>8415</v>
      </c>
      <c r="E3040" t="s">
        <v>8446</v>
      </c>
      <c r="F3040" t="s">
        <v>8449</v>
      </c>
      <c r="G3040" t="s">
        <v>8455</v>
      </c>
    </row>
    <row r="3041" spans="1:7">
      <c r="A3041" t="s">
        <v>5412</v>
      </c>
      <c r="B3041" t="s">
        <v>8273</v>
      </c>
      <c r="C3041" t="s">
        <v>8395</v>
      </c>
      <c r="D3041" t="s">
        <v>8426</v>
      </c>
      <c r="E3041" t="s">
        <v>8446</v>
      </c>
      <c r="F3041" t="s">
        <v>8449</v>
      </c>
      <c r="G3041" t="s">
        <v>8455</v>
      </c>
    </row>
    <row r="3042" spans="1:7">
      <c r="A3042" t="s">
        <v>5413</v>
      </c>
      <c r="B3042" t="s">
        <v>8273</v>
      </c>
      <c r="C3042" t="s">
        <v>8394</v>
      </c>
      <c r="D3042" t="s">
        <v>8402</v>
      </c>
      <c r="E3042" t="s">
        <v>8446</v>
      </c>
      <c r="F3042" t="s">
        <v>8449</v>
      </c>
      <c r="G3042" t="s">
        <v>8950</v>
      </c>
    </row>
    <row r="3043" spans="1:7">
      <c r="A3043" t="s">
        <v>5414</v>
      </c>
      <c r="B3043" t="s">
        <v>8273</v>
      </c>
      <c r="C3043" t="s">
        <v>8394</v>
      </c>
      <c r="D3043" t="s">
        <v>8402</v>
      </c>
      <c r="E3043" t="s">
        <v>8446</v>
      </c>
      <c r="F3043" t="s">
        <v>8448</v>
      </c>
      <c r="G3043" t="s">
        <v>8951</v>
      </c>
    </row>
    <row r="3044" spans="1:7">
      <c r="A3044" t="s">
        <v>5415</v>
      </c>
      <c r="B3044" t="s">
        <v>8273</v>
      </c>
      <c r="C3044" t="s">
        <v>8394</v>
      </c>
      <c r="D3044" t="s">
        <v>8407</v>
      </c>
      <c r="E3044" t="s">
        <v>8445</v>
      </c>
      <c r="F3044" t="s">
        <v>8448</v>
      </c>
      <c r="G3044" t="s">
        <v>8455</v>
      </c>
    </row>
    <row r="3045" spans="1:7">
      <c r="A3045" t="s">
        <v>5416</v>
      </c>
      <c r="C3045" t="s">
        <v>8394</v>
      </c>
      <c r="D3045" t="s">
        <v>8407</v>
      </c>
      <c r="E3045" t="s">
        <v>8445</v>
      </c>
      <c r="F3045" t="s">
        <v>8448</v>
      </c>
      <c r="G3045" t="s">
        <v>796</v>
      </c>
    </row>
    <row r="3046" spans="1:7">
      <c r="A3046" t="s">
        <v>5417</v>
      </c>
      <c r="C3046" t="s">
        <v>8394</v>
      </c>
      <c r="D3046" t="s">
        <v>8402</v>
      </c>
      <c r="E3046" t="s">
        <v>8445</v>
      </c>
      <c r="F3046" t="s">
        <v>8448</v>
      </c>
      <c r="G3046" t="s">
        <v>8952</v>
      </c>
    </row>
    <row r="3047" spans="1:7">
      <c r="A3047" t="s">
        <v>5418</v>
      </c>
      <c r="B3047" t="s">
        <v>8273</v>
      </c>
      <c r="C3047" t="s">
        <v>8395</v>
      </c>
      <c r="D3047" t="s">
        <v>8402</v>
      </c>
      <c r="E3047" t="s">
        <v>8446</v>
      </c>
      <c r="F3047" t="s">
        <v>8449</v>
      </c>
      <c r="G3047" t="s">
        <v>8455</v>
      </c>
    </row>
    <row r="3048" spans="1:7">
      <c r="A3048" t="s">
        <v>5419</v>
      </c>
      <c r="B3048" t="s">
        <v>8273</v>
      </c>
      <c r="C3048" t="s">
        <v>8392</v>
      </c>
      <c r="D3048" t="s">
        <v>8400</v>
      </c>
      <c r="E3048" t="s">
        <v>1587</v>
      </c>
      <c r="F3048" t="s">
        <v>8447</v>
      </c>
      <c r="G3048" t="s">
        <v>8953</v>
      </c>
    </row>
    <row r="3049" spans="1:7">
      <c r="A3049" t="s">
        <v>5420</v>
      </c>
      <c r="B3049" t="s">
        <v>8273</v>
      </c>
      <c r="C3049" t="s">
        <v>8396</v>
      </c>
      <c r="D3049" t="s">
        <v>8405</v>
      </c>
      <c r="E3049" t="s">
        <v>8444</v>
      </c>
      <c r="F3049" t="s">
        <v>8448</v>
      </c>
      <c r="G3049" t="s">
        <v>8455</v>
      </c>
    </row>
    <row r="3050" spans="1:7">
      <c r="A3050" t="s">
        <v>5421</v>
      </c>
      <c r="C3050" t="s">
        <v>8394</v>
      </c>
      <c r="D3050" t="s">
        <v>8417</v>
      </c>
      <c r="E3050" t="s">
        <v>8444</v>
      </c>
      <c r="F3050" t="s">
        <v>8448</v>
      </c>
      <c r="G3050" t="s">
        <v>8954</v>
      </c>
    </row>
    <row r="3051" spans="1:7">
      <c r="A3051" t="s">
        <v>5422</v>
      </c>
      <c r="C3051" t="s">
        <v>8397</v>
      </c>
      <c r="D3051" t="s">
        <v>8431</v>
      </c>
      <c r="E3051" t="s">
        <v>1519</v>
      </c>
      <c r="F3051" t="s">
        <v>8448</v>
      </c>
      <c r="G3051" t="s">
        <v>8955</v>
      </c>
    </row>
    <row r="3052" spans="1:7">
      <c r="A3052" t="s">
        <v>5423</v>
      </c>
      <c r="B3052" t="s">
        <v>8273</v>
      </c>
      <c r="C3052" t="s">
        <v>8392</v>
      </c>
      <c r="D3052" t="s">
        <v>8415</v>
      </c>
      <c r="E3052" t="s">
        <v>8446</v>
      </c>
      <c r="F3052" t="s">
        <v>8448</v>
      </c>
      <c r="G3052" t="s">
        <v>796</v>
      </c>
    </row>
    <row r="3053" spans="1:7">
      <c r="A3053" t="s">
        <v>5424</v>
      </c>
      <c r="C3053" t="s">
        <v>8394</v>
      </c>
      <c r="D3053" t="s">
        <v>8401</v>
      </c>
      <c r="E3053" t="s">
        <v>8445</v>
      </c>
      <c r="F3053" t="s">
        <v>8448</v>
      </c>
      <c r="G3053" t="s">
        <v>8956</v>
      </c>
    </row>
    <row r="3054" spans="1:7">
      <c r="A3054" t="s">
        <v>5425</v>
      </c>
      <c r="C3054" t="s">
        <v>8394</v>
      </c>
      <c r="D3054" t="s">
        <v>8401</v>
      </c>
      <c r="E3054" t="s">
        <v>8445</v>
      </c>
      <c r="F3054" t="s">
        <v>8448</v>
      </c>
      <c r="G3054" t="s">
        <v>8957</v>
      </c>
    </row>
    <row r="3055" spans="1:7">
      <c r="A3055" t="s">
        <v>5426</v>
      </c>
      <c r="C3055" t="s">
        <v>8394</v>
      </c>
      <c r="D3055" t="s">
        <v>8401</v>
      </c>
      <c r="E3055" t="s">
        <v>8445</v>
      </c>
      <c r="F3055" t="s">
        <v>8448</v>
      </c>
      <c r="G3055" t="s">
        <v>8958</v>
      </c>
    </row>
    <row r="3056" spans="1:7">
      <c r="A3056" t="s">
        <v>5427</v>
      </c>
      <c r="C3056" t="s">
        <v>8394</v>
      </c>
      <c r="D3056" t="s">
        <v>8401</v>
      </c>
      <c r="E3056" t="s">
        <v>8445</v>
      </c>
      <c r="F3056" t="s">
        <v>8448</v>
      </c>
      <c r="G3056" t="s">
        <v>8959</v>
      </c>
    </row>
    <row r="3057" spans="1:7">
      <c r="A3057" t="s">
        <v>5428</v>
      </c>
      <c r="C3057" t="s">
        <v>8394</v>
      </c>
      <c r="D3057" t="s">
        <v>8401</v>
      </c>
      <c r="E3057" t="s">
        <v>8445</v>
      </c>
      <c r="F3057" t="s">
        <v>8448</v>
      </c>
      <c r="G3057" t="s">
        <v>8960</v>
      </c>
    </row>
    <row r="3058" spans="1:7">
      <c r="A3058" t="s">
        <v>5429</v>
      </c>
      <c r="B3058" t="s">
        <v>8273</v>
      </c>
      <c r="C3058" t="s">
        <v>8398</v>
      </c>
      <c r="D3058" t="s">
        <v>8419</v>
      </c>
      <c r="E3058" t="s">
        <v>8445</v>
      </c>
      <c r="F3058" t="s">
        <v>8448</v>
      </c>
      <c r="G3058" t="s">
        <v>8474</v>
      </c>
    </row>
    <row r="3059" spans="1:7">
      <c r="A3059" t="s">
        <v>5430</v>
      </c>
      <c r="C3059" t="s">
        <v>8393</v>
      </c>
      <c r="D3059" t="s">
        <v>8393</v>
      </c>
      <c r="E3059" t="s">
        <v>919</v>
      </c>
      <c r="F3059" t="s">
        <v>8393</v>
      </c>
    </row>
    <row r="3060" spans="1:7">
      <c r="A3060" t="s">
        <v>5431</v>
      </c>
      <c r="B3060" t="s">
        <v>8273</v>
      </c>
      <c r="C3060" t="s">
        <v>8395</v>
      </c>
      <c r="D3060" t="s">
        <v>8415</v>
      </c>
      <c r="E3060" t="s">
        <v>8446</v>
      </c>
      <c r="F3060" t="s">
        <v>8449</v>
      </c>
      <c r="G3060" t="s">
        <v>8455</v>
      </c>
    </row>
    <row r="3061" spans="1:7">
      <c r="A3061" t="s">
        <v>5432</v>
      </c>
      <c r="B3061" t="s">
        <v>8277</v>
      </c>
      <c r="C3061" t="s">
        <v>8395</v>
      </c>
      <c r="D3061" t="s">
        <v>8415</v>
      </c>
      <c r="E3061" t="s">
        <v>8446</v>
      </c>
      <c r="F3061" t="s">
        <v>8449</v>
      </c>
      <c r="G3061" t="s">
        <v>8455</v>
      </c>
    </row>
    <row r="3062" spans="1:7">
      <c r="A3062" t="s">
        <v>5433</v>
      </c>
      <c r="B3062" t="s">
        <v>8276</v>
      </c>
      <c r="C3062" t="s">
        <v>8398</v>
      </c>
      <c r="D3062" t="s">
        <v>8419</v>
      </c>
      <c r="E3062" t="s">
        <v>8446</v>
      </c>
      <c r="F3062" t="s">
        <v>8449</v>
      </c>
      <c r="G3062" t="s">
        <v>8750</v>
      </c>
    </row>
    <row r="3063" spans="1:7">
      <c r="A3063" t="s">
        <v>5434</v>
      </c>
      <c r="B3063" t="s">
        <v>8273</v>
      </c>
      <c r="C3063" t="s">
        <v>8397</v>
      </c>
      <c r="D3063" t="s">
        <v>8421</v>
      </c>
      <c r="E3063" t="s">
        <v>8444</v>
      </c>
      <c r="F3063" t="s">
        <v>8448</v>
      </c>
      <c r="G3063" t="s">
        <v>8463</v>
      </c>
    </row>
    <row r="3064" spans="1:7">
      <c r="A3064" t="s">
        <v>5435</v>
      </c>
      <c r="B3064" t="s">
        <v>8273</v>
      </c>
      <c r="C3064" t="s">
        <v>8396</v>
      </c>
      <c r="D3064" t="s">
        <v>8425</v>
      </c>
      <c r="E3064" t="s">
        <v>8444</v>
      </c>
      <c r="F3064" t="s">
        <v>8448</v>
      </c>
      <c r="G3064" t="s">
        <v>8961</v>
      </c>
    </row>
    <row r="3065" spans="1:7">
      <c r="A3065" t="s">
        <v>5436</v>
      </c>
      <c r="B3065" t="s">
        <v>8273</v>
      </c>
      <c r="C3065" t="s">
        <v>8398</v>
      </c>
      <c r="D3065" t="s">
        <v>8419</v>
      </c>
      <c r="E3065" t="s">
        <v>1587</v>
      </c>
      <c r="F3065" t="s">
        <v>8449</v>
      </c>
      <c r="G3065" t="s">
        <v>8455</v>
      </c>
    </row>
    <row r="3066" spans="1:7">
      <c r="A3066" t="s">
        <v>5437</v>
      </c>
      <c r="B3066" t="s">
        <v>8273</v>
      </c>
      <c r="C3066" t="s">
        <v>8395</v>
      </c>
      <c r="D3066" t="s">
        <v>8402</v>
      </c>
      <c r="E3066" t="s">
        <v>8446</v>
      </c>
      <c r="F3066" t="s">
        <v>8449</v>
      </c>
      <c r="G3066" t="s">
        <v>8455</v>
      </c>
    </row>
    <row r="3067" spans="1:7">
      <c r="A3067" t="s">
        <v>5438</v>
      </c>
      <c r="B3067" t="s">
        <v>8273</v>
      </c>
      <c r="C3067" t="s">
        <v>8395</v>
      </c>
      <c r="D3067" t="s">
        <v>8402</v>
      </c>
      <c r="E3067" t="s">
        <v>8446</v>
      </c>
      <c r="F3067" t="s">
        <v>8449</v>
      </c>
      <c r="G3067" t="s">
        <v>8455</v>
      </c>
    </row>
    <row r="3068" spans="1:7">
      <c r="A3068" t="s">
        <v>5439</v>
      </c>
      <c r="B3068" t="s">
        <v>8273</v>
      </c>
      <c r="C3068" t="s">
        <v>8394</v>
      </c>
      <c r="D3068" t="s">
        <v>8414</v>
      </c>
      <c r="E3068" t="s">
        <v>8445</v>
      </c>
      <c r="F3068" t="s">
        <v>8448</v>
      </c>
      <c r="G3068" t="s">
        <v>8962</v>
      </c>
    </row>
    <row r="3069" spans="1:7">
      <c r="A3069" t="s">
        <v>5440</v>
      </c>
      <c r="B3069" t="s">
        <v>8273</v>
      </c>
      <c r="C3069" t="s">
        <v>8395</v>
      </c>
      <c r="D3069" t="s">
        <v>8420</v>
      </c>
      <c r="E3069" t="s">
        <v>8446</v>
      </c>
      <c r="F3069" t="s">
        <v>8448</v>
      </c>
      <c r="G3069" t="s">
        <v>8455</v>
      </c>
    </row>
    <row r="3070" spans="1:7">
      <c r="A3070" t="s">
        <v>5441</v>
      </c>
      <c r="B3070" t="s">
        <v>8273</v>
      </c>
      <c r="C3070" t="s">
        <v>8398</v>
      </c>
      <c r="D3070" t="s">
        <v>8410</v>
      </c>
      <c r="E3070" t="s">
        <v>8446</v>
      </c>
      <c r="F3070" t="s">
        <v>8448</v>
      </c>
      <c r="G3070" t="s">
        <v>8455</v>
      </c>
    </row>
    <row r="3071" spans="1:7">
      <c r="A3071" t="s">
        <v>5442</v>
      </c>
      <c r="C3071" t="s">
        <v>8397</v>
      </c>
      <c r="D3071" t="s">
        <v>8421</v>
      </c>
      <c r="E3071" t="s">
        <v>8444</v>
      </c>
      <c r="F3071" t="s">
        <v>8450</v>
      </c>
      <c r="G3071" t="s">
        <v>8963</v>
      </c>
    </row>
    <row r="3072" spans="1:7">
      <c r="A3072" t="s">
        <v>5443</v>
      </c>
      <c r="B3072" t="s">
        <v>8273</v>
      </c>
      <c r="C3072" t="s">
        <v>8398</v>
      </c>
      <c r="D3072" t="s">
        <v>8409</v>
      </c>
      <c r="E3072" t="s">
        <v>8446</v>
      </c>
      <c r="F3072" t="s">
        <v>8448</v>
      </c>
      <c r="G3072" t="s">
        <v>8964</v>
      </c>
    </row>
    <row r="3073" spans="1:7">
      <c r="A3073" t="s">
        <v>5444</v>
      </c>
      <c r="C3073" t="s">
        <v>8393</v>
      </c>
      <c r="D3073" t="s">
        <v>8393</v>
      </c>
      <c r="E3073" t="s">
        <v>919</v>
      </c>
      <c r="F3073" t="s">
        <v>8393</v>
      </c>
    </row>
    <row r="3074" spans="1:7">
      <c r="A3074" t="s">
        <v>5445</v>
      </c>
      <c r="C3074" t="s">
        <v>8394</v>
      </c>
      <c r="D3074" t="s">
        <v>8401</v>
      </c>
      <c r="E3074" t="s">
        <v>8445</v>
      </c>
      <c r="F3074" t="s">
        <v>8448</v>
      </c>
      <c r="G3074" t="s">
        <v>8965</v>
      </c>
    </row>
    <row r="3075" spans="1:7">
      <c r="A3075" t="s">
        <v>5446</v>
      </c>
      <c r="C3075" t="s">
        <v>8394</v>
      </c>
      <c r="D3075" t="s">
        <v>8401</v>
      </c>
      <c r="E3075" t="s">
        <v>8445</v>
      </c>
      <c r="F3075" t="s">
        <v>8448</v>
      </c>
      <c r="G3075" t="s">
        <v>8965</v>
      </c>
    </row>
    <row r="3076" spans="1:7">
      <c r="A3076" t="s">
        <v>5447</v>
      </c>
      <c r="C3076" t="s">
        <v>8394</v>
      </c>
      <c r="D3076" t="s">
        <v>8401</v>
      </c>
      <c r="E3076" t="s">
        <v>8445</v>
      </c>
      <c r="F3076" t="s">
        <v>8448</v>
      </c>
      <c r="G3076" t="s">
        <v>8965</v>
      </c>
    </row>
    <row r="3077" spans="1:7">
      <c r="A3077" t="s">
        <v>5448</v>
      </c>
      <c r="C3077" t="s">
        <v>8394</v>
      </c>
      <c r="D3077" t="s">
        <v>8401</v>
      </c>
      <c r="E3077" t="s">
        <v>8445</v>
      </c>
      <c r="F3077" t="s">
        <v>8448</v>
      </c>
      <c r="G3077" t="s">
        <v>8965</v>
      </c>
    </row>
    <row r="3078" spans="1:7">
      <c r="A3078" t="s">
        <v>5449</v>
      </c>
      <c r="C3078" t="s">
        <v>8394</v>
      </c>
      <c r="D3078" t="s">
        <v>8401</v>
      </c>
      <c r="E3078" t="s">
        <v>8445</v>
      </c>
      <c r="F3078" t="s">
        <v>8448</v>
      </c>
      <c r="G3078" t="s">
        <v>8965</v>
      </c>
    </row>
    <row r="3079" spans="1:7">
      <c r="A3079" t="s">
        <v>5450</v>
      </c>
      <c r="C3079" t="s">
        <v>8394</v>
      </c>
      <c r="D3079" t="s">
        <v>8401</v>
      </c>
      <c r="E3079" t="s">
        <v>8445</v>
      </c>
      <c r="F3079" t="s">
        <v>8448</v>
      </c>
      <c r="G3079" t="s">
        <v>8965</v>
      </c>
    </row>
    <row r="3080" spans="1:7">
      <c r="A3080" t="s">
        <v>5451</v>
      </c>
      <c r="C3080" t="s">
        <v>8394</v>
      </c>
      <c r="D3080" t="s">
        <v>8401</v>
      </c>
      <c r="E3080" t="s">
        <v>8445</v>
      </c>
      <c r="F3080" t="s">
        <v>8448</v>
      </c>
      <c r="G3080" t="s">
        <v>8965</v>
      </c>
    </row>
    <row r="3081" spans="1:7">
      <c r="A3081" t="s">
        <v>5452</v>
      </c>
      <c r="C3081" t="s">
        <v>8394</v>
      </c>
      <c r="D3081" t="s">
        <v>8401</v>
      </c>
      <c r="E3081" t="s">
        <v>8445</v>
      </c>
      <c r="F3081" t="s">
        <v>8448</v>
      </c>
      <c r="G3081" t="s">
        <v>8965</v>
      </c>
    </row>
    <row r="3082" spans="1:7">
      <c r="A3082" t="s">
        <v>5453</v>
      </c>
      <c r="B3082" t="s">
        <v>8273</v>
      </c>
      <c r="C3082" t="s">
        <v>8398</v>
      </c>
      <c r="D3082" t="s">
        <v>8419</v>
      </c>
      <c r="E3082" t="s">
        <v>8446</v>
      </c>
      <c r="F3082" t="s">
        <v>8447</v>
      </c>
      <c r="G3082" t="s">
        <v>8463</v>
      </c>
    </row>
    <row r="3083" spans="1:7">
      <c r="A3083" t="s">
        <v>5454</v>
      </c>
      <c r="B3083" t="s">
        <v>8273</v>
      </c>
      <c r="C3083" t="s">
        <v>8396</v>
      </c>
      <c r="D3083" t="s">
        <v>8425</v>
      </c>
      <c r="E3083" t="s">
        <v>8446</v>
      </c>
      <c r="F3083" t="s">
        <v>8449</v>
      </c>
      <c r="G3083" t="s">
        <v>8455</v>
      </c>
    </row>
    <row r="3084" spans="1:7">
      <c r="A3084" t="s">
        <v>5455</v>
      </c>
      <c r="B3084" t="s">
        <v>8273</v>
      </c>
      <c r="C3084" t="s">
        <v>8395</v>
      </c>
      <c r="D3084" t="s">
        <v>8404</v>
      </c>
      <c r="E3084" t="s">
        <v>1519</v>
      </c>
      <c r="F3084" t="s">
        <v>8449</v>
      </c>
      <c r="G3084" t="s">
        <v>8455</v>
      </c>
    </row>
    <row r="3085" spans="1:7">
      <c r="A3085" t="s">
        <v>5456</v>
      </c>
      <c r="B3085" t="s">
        <v>8299</v>
      </c>
      <c r="C3085" t="s">
        <v>8397</v>
      </c>
      <c r="D3085" t="s">
        <v>8430</v>
      </c>
      <c r="E3085" t="s">
        <v>1587</v>
      </c>
      <c r="F3085" t="s">
        <v>8449</v>
      </c>
      <c r="G3085" t="s">
        <v>8455</v>
      </c>
    </row>
    <row r="3086" spans="1:7">
      <c r="A3086" t="s">
        <v>5457</v>
      </c>
      <c r="C3086" t="s">
        <v>8393</v>
      </c>
      <c r="D3086" t="s">
        <v>8393</v>
      </c>
      <c r="E3086" t="s">
        <v>919</v>
      </c>
      <c r="F3086" t="s">
        <v>8393</v>
      </c>
    </row>
    <row r="3087" spans="1:7">
      <c r="A3087" t="s">
        <v>5458</v>
      </c>
      <c r="B3087" t="s">
        <v>8278</v>
      </c>
      <c r="C3087" t="s">
        <v>8394</v>
      </c>
      <c r="D3087" t="s">
        <v>8423</v>
      </c>
      <c r="E3087" t="s">
        <v>8446</v>
      </c>
      <c r="F3087" t="s">
        <v>8449</v>
      </c>
      <c r="G3087" t="s">
        <v>8455</v>
      </c>
    </row>
    <row r="3088" spans="1:7">
      <c r="A3088" t="s">
        <v>5459</v>
      </c>
      <c r="B3088" t="s">
        <v>8284</v>
      </c>
      <c r="C3088" t="s">
        <v>8394</v>
      </c>
      <c r="D3088" t="s">
        <v>8423</v>
      </c>
      <c r="E3088" t="s">
        <v>8446</v>
      </c>
      <c r="F3088" t="s">
        <v>8449</v>
      </c>
      <c r="G3088" t="s">
        <v>8455</v>
      </c>
    </row>
    <row r="3089" spans="1:7">
      <c r="A3089" t="s">
        <v>5460</v>
      </c>
      <c r="B3089" t="s">
        <v>8309</v>
      </c>
      <c r="C3089" t="s">
        <v>8394</v>
      </c>
      <c r="D3089" t="s">
        <v>8423</v>
      </c>
      <c r="E3089" t="s">
        <v>8446</v>
      </c>
      <c r="F3089" t="s">
        <v>8449</v>
      </c>
      <c r="G3089" t="s">
        <v>8455</v>
      </c>
    </row>
    <row r="3090" spans="1:7">
      <c r="A3090" t="s">
        <v>5461</v>
      </c>
      <c r="C3090" t="s">
        <v>8397</v>
      </c>
      <c r="D3090" t="s">
        <v>8408</v>
      </c>
      <c r="E3090" t="s">
        <v>8445</v>
      </c>
      <c r="F3090" t="s">
        <v>8450</v>
      </c>
    </row>
    <row r="3091" spans="1:7">
      <c r="A3091" t="s">
        <v>5462</v>
      </c>
      <c r="B3091" t="s">
        <v>8273</v>
      </c>
      <c r="C3091" t="s">
        <v>8395</v>
      </c>
      <c r="D3091" t="s">
        <v>8400</v>
      </c>
      <c r="E3091" t="s">
        <v>8446</v>
      </c>
      <c r="F3091" t="s">
        <v>8448</v>
      </c>
      <c r="G3091" t="s">
        <v>8455</v>
      </c>
    </row>
    <row r="3092" spans="1:7">
      <c r="A3092" t="s">
        <v>5463</v>
      </c>
      <c r="B3092" t="s">
        <v>8273</v>
      </c>
      <c r="C3092" t="s">
        <v>8398</v>
      </c>
      <c r="D3092" t="s">
        <v>8419</v>
      </c>
      <c r="E3092" t="s">
        <v>8446</v>
      </c>
      <c r="F3092" t="s">
        <v>8449</v>
      </c>
      <c r="G3092" t="s">
        <v>8455</v>
      </c>
    </row>
    <row r="3093" spans="1:7">
      <c r="A3093" t="s">
        <v>5464</v>
      </c>
      <c r="B3093" t="s">
        <v>8273</v>
      </c>
      <c r="C3093" t="s">
        <v>8398</v>
      </c>
      <c r="D3093" t="s">
        <v>8419</v>
      </c>
      <c r="E3093" t="s">
        <v>8446</v>
      </c>
      <c r="F3093" t="s">
        <v>8448</v>
      </c>
      <c r="G3093" t="s">
        <v>8455</v>
      </c>
    </row>
    <row r="3094" spans="1:7">
      <c r="A3094" t="s">
        <v>5465</v>
      </c>
      <c r="B3094" t="s">
        <v>8273</v>
      </c>
      <c r="C3094" t="s">
        <v>8392</v>
      </c>
      <c r="D3094" t="s">
        <v>8400</v>
      </c>
      <c r="E3094" t="s">
        <v>1587</v>
      </c>
      <c r="F3094" t="s">
        <v>8447</v>
      </c>
      <c r="G3094" t="s">
        <v>8463</v>
      </c>
    </row>
    <row r="3095" spans="1:7">
      <c r="A3095" t="s">
        <v>5466</v>
      </c>
      <c r="B3095" t="s">
        <v>8273</v>
      </c>
      <c r="C3095" t="s">
        <v>8398</v>
      </c>
      <c r="D3095" t="s">
        <v>8410</v>
      </c>
      <c r="E3095" t="s">
        <v>1519</v>
      </c>
      <c r="F3095" t="s">
        <v>8448</v>
      </c>
      <c r="G3095" t="s">
        <v>8463</v>
      </c>
    </row>
    <row r="3096" spans="1:7">
      <c r="A3096" t="s">
        <v>5467</v>
      </c>
      <c r="C3096" t="s">
        <v>8394</v>
      </c>
      <c r="D3096" t="s">
        <v>8401</v>
      </c>
      <c r="E3096" t="s">
        <v>8445</v>
      </c>
      <c r="F3096" t="s">
        <v>8448</v>
      </c>
      <c r="G3096" t="s">
        <v>8966</v>
      </c>
    </row>
    <row r="3097" spans="1:7">
      <c r="A3097" t="s">
        <v>5468</v>
      </c>
      <c r="C3097" t="s">
        <v>8393</v>
      </c>
      <c r="D3097" t="s">
        <v>8393</v>
      </c>
      <c r="E3097" t="s">
        <v>919</v>
      </c>
      <c r="F3097" t="s">
        <v>8393</v>
      </c>
    </row>
    <row r="3098" spans="1:7">
      <c r="A3098" t="s">
        <v>5469</v>
      </c>
      <c r="B3098" t="s">
        <v>8273</v>
      </c>
      <c r="C3098" t="s">
        <v>8394</v>
      </c>
      <c r="D3098" t="s">
        <v>8414</v>
      </c>
      <c r="E3098" t="s">
        <v>8446</v>
      </c>
      <c r="F3098" t="s">
        <v>8449</v>
      </c>
      <c r="G3098" t="s">
        <v>8455</v>
      </c>
    </row>
    <row r="3099" spans="1:7">
      <c r="A3099" t="s">
        <v>5470</v>
      </c>
      <c r="B3099" t="s">
        <v>8277</v>
      </c>
      <c r="C3099" t="s">
        <v>8394</v>
      </c>
      <c r="D3099" t="s">
        <v>8414</v>
      </c>
      <c r="E3099" t="s">
        <v>8446</v>
      </c>
      <c r="F3099" t="s">
        <v>8449</v>
      </c>
      <c r="G3099" t="s">
        <v>8455</v>
      </c>
    </row>
    <row r="3100" spans="1:7">
      <c r="A3100" t="s">
        <v>5471</v>
      </c>
      <c r="C3100" t="s">
        <v>8397</v>
      </c>
      <c r="D3100" t="s">
        <v>8408</v>
      </c>
      <c r="E3100" t="s">
        <v>8444</v>
      </c>
      <c r="F3100" t="s">
        <v>8448</v>
      </c>
    </row>
    <row r="3101" spans="1:7">
      <c r="A3101" t="s">
        <v>5472</v>
      </c>
      <c r="B3101" t="s">
        <v>8299</v>
      </c>
      <c r="C3101" t="s">
        <v>8397</v>
      </c>
      <c r="D3101" t="s">
        <v>8430</v>
      </c>
      <c r="E3101" t="s">
        <v>1519</v>
      </c>
      <c r="F3101" t="s">
        <v>8449</v>
      </c>
      <c r="G3101" t="s">
        <v>8841</v>
      </c>
    </row>
    <row r="3102" spans="1:7">
      <c r="A3102" t="s">
        <v>5473</v>
      </c>
      <c r="B3102" t="s">
        <v>8273</v>
      </c>
      <c r="C3102" t="s">
        <v>8396</v>
      </c>
      <c r="D3102" t="s">
        <v>8425</v>
      </c>
      <c r="E3102" t="s">
        <v>1519</v>
      </c>
      <c r="F3102" t="s">
        <v>8449</v>
      </c>
      <c r="G3102" t="s">
        <v>8455</v>
      </c>
    </row>
    <row r="3103" spans="1:7">
      <c r="A3103" t="s">
        <v>5474</v>
      </c>
      <c r="C3103" t="s">
        <v>8393</v>
      </c>
      <c r="D3103" t="s">
        <v>8393</v>
      </c>
      <c r="E3103" t="s">
        <v>919</v>
      </c>
      <c r="F3103" t="s">
        <v>8393</v>
      </c>
    </row>
    <row r="3104" spans="1:7">
      <c r="A3104" t="s">
        <v>5475</v>
      </c>
      <c r="B3104" t="s">
        <v>8273</v>
      </c>
      <c r="C3104" t="s">
        <v>8396</v>
      </c>
      <c r="D3104" t="s">
        <v>8425</v>
      </c>
      <c r="E3104" t="s">
        <v>8444</v>
      </c>
      <c r="F3104" t="s">
        <v>8448</v>
      </c>
      <c r="G3104" t="s">
        <v>8509</v>
      </c>
    </row>
    <row r="3105" spans="1:7">
      <c r="A3105" t="s">
        <v>5476</v>
      </c>
      <c r="B3105" t="s">
        <v>8273</v>
      </c>
      <c r="C3105" t="s">
        <v>8392</v>
      </c>
      <c r="D3105" t="s">
        <v>8400</v>
      </c>
      <c r="E3105" t="s">
        <v>8444</v>
      </c>
      <c r="F3105" t="s">
        <v>8448</v>
      </c>
      <c r="G3105" t="s">
        <v>8509</v>
      </c>
    </row>
    <row r="3106" spans="1:7">
      <c r="A3106" t="s">
        <v>5477</v>
      </c>
      <c r="C3106" t="s">
        <v>8397</v>
      </c>
      <c r="D3106" t="s">
        <v>8408</v>
      </c>
      <c r="E3106" t="s">
        <v>8445</v>
      </c>
      <c r="F3106" t="s">
        <v>8450</v>
      </c>
    </row>
    <row r="3107" spans="1:7">
      <c r="A3107" t="s">
        <v>5478</v>
      </c>
      <c r="C3107" t="s">
        <v>8393</v>
      </c>
      <c r="D3107" t="s">
        <v>8393</v>
      </c>
      <c r="E3107" t="s">
        <v>919</v>
      </c>
      <c r="F3107" t="s">
        <v>8393</v>
      </c>
    </row>
    <row r="3108" spans="1:7">
      <c r="A3108" t="s">
        <v>5479</v>
      </c>
      <c r="B3108" t="s">
        <v>8273</v>
      </c>
      <c r="C3108" t="s">
        <v>8394</v>
      </c>
      <c r="D3108" t="s">
        <v>8402</v>
      </c>
      <c r="E3108" t="s">
        <v>8445</v>
      </c>
      <c r="F3108" t="s">
        <v>8448</v>
      </c>
      <c r="G3108" t="s">
        <v>8967</v>
      </c>
    </row>
    <row r="3109" spans="1:7">
      <c r="A3109" t="s">
        <v>5480</v>
      </c>
      <c r="B3109" t="s">
        <v>8273</v>
      </c>
      <c r="C3109" t="s">
        <v>8394</v>
      </c>
      <c r="D3109" t="s">
        <v>8402</v>
      </c>
      <c r="E3109" t="s">
        <v>8445</v>
      </c>
      <c r="F3109" t="s">
        <v>8448</v>
      </c>
      <c r="G3109" t="s">
        <v>8968</v>
      </c>
    </row>
    <row r="3110" spans="1:7">
      <c r="A3110" t="s">
        <v>5481</v>
      </c>
      <c r="B3110" t="s">
        <v>8345</v>
      </c>
      <c r="C3110" t="s">
        <v>8396</v>
      </c>
      <c r="D3110" t="s">
        <v>8420</v>
      </c>
      <c r="E3110" t="s">
        <v>1519</v>
      </c>
      <c r="F3110" t="s">
        <v>8448</v>
      </c>
      <c r="G3110" t="s">
        <v>8463</v>
      </c>
    </row>
    <row r="3111" spans="1:7">
      <c r="A3111" t="s">
        <v>5482</v>
      </c>
      <c r="B3111" t="s">
        <v>8299</v>
      </c>
      <c r="C3111" t="s">
        <v>8397</v>
      </c>
      <c r="D3111" t="s">
        <v>8430</v>
      </c>
      <c r="E3111" t="s">
        <v>8445</v>
      </c>
      <c r="F3111" t="s">
        <v>8447</v>
      </c>
      <c r="G3111" t="s">
        <v>796</v>
      </c>
    </row>
    <row r="3112" spans="1:7">
      <c r="A3112" t="s">
        <v>5483</v>
      </c>
      <c r="C3112" t="s">
        <v>8397</v>
      </c>
      <c r="D3112" t="s">
        <v>8408</v>
      </c>
      <c r="E3112" t="s">
        <v>8445</v>
      </c>
      <c r="F3112" t="s">
        <v>8450</v>
      </c>
    </row>
    <row r="3113" spans="1:7">
      <c r="A3113" t="s">
        <v>5484</v>
      </c>
      <c r="B3113" t="s">
        <v>8273</v>
      </c>
      <c r="C3113" t="s">
        <v>8398</v>
      </c>
      <c r="D3113" t="s">
        <v>8410</v>
      </c>
      <c r="E3113" t="s">
        <v>8446</v>
      </c>
      <c r="F3113" t="s">
        <v>8449</v>
      </c>
      <c r="G3113" t="s">
        <v>8455</v>
      </c>
    </row>
    <row r="3114" spans="1:7">
      <c r="A3114" t="s">
        <v>5485</v>
      </c>
      <c r="B3114" t="s">
        <v>8273</v>
      </c>
      <c r="C3114" t="s">
        <v>8392</v>
      </c>
      <c r="D3114" t="s">
        <v>8415</v>
      </c>
      <c r="E3114" t="s">
        <v>8444</v>
      </c>
      <c r="F3114" t="s">
        <v>8449</v>
      </c>
      <c r="G3114" t="s">
        <v>8455</v>
      </c>
    </row>
    <row r="3115" spans="1:7">
      <c r="A3115" t="s">
        <v>5486</v>
      </c>
      <c r="C3115" t="s">
        <v>8394</v>
      </c>
      <c r="D3115" t="s">
        <v>8403</v>
      </c>
      <c r="E3115" t="s">
        <v>8445</v>
      </c>
      <c r="F3115" t="s">
        <v>8448</v>
      </c>
      <c r="G3115" t="s">
        <v>8453</v>
      </c>
    </row>
    <row r="3116" spans="1:7">
      <c r="A3116" t="s">
        <v>5487</v>
      </c>
      <c r="C3116" t="s">
        <v>8394</v>
      </c>
      <c r="D3116" t="s">
        <v>8417</v>
      </c>
      <c r="E3116" t="s">
        <v>8444</v>
      </c>
      <c r="F3116" t="s">
        <v>8448</v>
      </c>
      <c r="G3116" t="s">
        <v>8969</v>
      </c>
    </row>
    <row r="3117" spans="1:7">
      <c r="A3117" t="s">
        <v>5488</v>
      </c>
      <c r="C3117" t="s">
        <v>8397</v>
      </c>
      <c r="D3117" t="s">
        <v>8408</v>
      </c>
      <c r="E3117" t="s">
        <v>8445</v>
      </c>
      <c r="F3117" t="s">
        <v>8450</v>
      </c>
    </row>
    <row r="3118" spans="1:7">
      <c r="A3118" t="s">
        <v>5489</v>
      </c>
      <c r="C3118" t="s">
        <v>8397</v>
      </c>
      <c r="D3118" t="s">
        <v>8408</v>
      </c>
      <c r="E3118" t="s">
        <v>8445</v>
      </c>
      <c r="F3118" t="s">
        <v>8450</v>
      </c>
    </row>
    <row r="3119" spans="1:7">
      <c r="A3119" t="s">
        <v>5490</v>
      </c>
      <c r="B3119" t="s">
        <v>8273</v>
      </c>
      <c r="C3119" t="s">
        <v>8398</v>
      </c>
      <c r="D3119" t="s">
        <v>8409</v>
      </c>
      <c r="E3119" t="s">
        <v>8446</v>
      </c>
      <c r="F3119" t="s">
        <v>8448</v>
      </c>
      <c r="G3119" t="s">
        <v>8463</v>
      </c>
    </row>
    <row r="3120" spans="1:7">
      <c r="A3120" t="s">
        <v>5491</v>
      </c>
      <c r="B3120" t="s">
        <v>8273</v>
      </c>
      <c r="C3120" t="s">
        <v>8395</v>
      </c>
      <c r="D3120" t="s">
        <v>8402</v>
      </c>
      <c r="E3120" t="s">
        <v>8446</v>
      </c>
      <c r="F3120" t="s">
        <v>8449</v>
      </c>
      <c r="G3120" t="s">
        <v>8455</v>
      </c>
    </row>
    <row r="3121" spans="1:7">
      <c r="A3121" t="s">
        <v>5492</v>
      </c>
      <c r="B3121" t="s">
        <v>8273</v>
      </c>
      <c r="C3121" t="s">
        <v>8395</v>
      </c>
      <c r="D3121" t="s">
        <v>8400</v>
      </c>
      <c r="E3121" t="s">
        <v>8446</v>
      </c>
      <c r="F3121" t="s">
        <v>8449</v>
      </c>
      <c r="G3121" t="s">
        <v>8455</v>
      </c>
    </row>
    <row r="3122" spans="1:7">
      <c r="A3122" t="s">
        <v>5493</v>
      </c>
      <c r="B3122" t="s">
        <v>8273</v>
      </c>
      <c r="C3122" t="s">
        <v>8395</v>
      </c>
      <c r="D3122" t="s">
        <v>8415</v>
      </c>
      <c r="E3122" t="s">
        <v>8446</v>
      </c>
      <c r="F3122" t="s">
        <v>8449</v>
      </c>
      <c r="G3122" t="s">
        <v>8455</v>
      </c>
    </row>
    <row r="3123" spans="1:7">
      <c r="A3123" t="s">
        <v>5494</v>
      </c>
      <c r="B3123" t="s">
        <v>8273</v>
      </c>
      <c r="C3123" t="s">
        <v>8398</v>
      </c>
      <c r="D3123" t="s">
        <v>8419</v>
      </c>
      <c r="E3123" t="s">
        <v>8445</v>
      </c>
      <c r="F3123" t="s">
        <v>8448</v>
      </c>
      <c r="G3123" t="s">
        <v>796</v>
      </c>
    </row>
    <row r="3124" spans="1:7">
      <c r="A3124" t="s">
        <v>5495</v>
      </c>
      <c r="C3124" t="s">
        <v>8394</v>
      </c>
      <c r="D3124" t="s">
        <v>8401</v>
      </c>
      <c r="E3124" t="s">
        <v>8445</v>
      </c>
      <c r="F3124" t="s">
        <v>8448</v>
      </c>
      <c r="G3124" t="s">
        <v>8879</v>
      </c>
    </row>
    <row r="3125" spans="1:7">
      <c r="A3125" t="s">
        <v>5496</v>
      </c>
      <c r="B3125" t="s">
        <v>8273</v>
      </c>
      <c r="C3125" t="s">
        <v>8398</v>
      </c>
      <c r="D3125" t="s">
        <v>8419</v>
      </c>
      <c r="E3125" t="s">
        <v>8446</v>
      </c>
      <c r="F3125" t="s">
        <v>8449</v>
      </c>
      <c r="G3125" t="s">
        <v>8455</v>
      </c>
    </row>
    <row r="3126" spans="1:7">
      <c r="A3126" t="s">
        <v>5497</v>
      </c>
      <c r="B3126" t="s">
        <v>8273</v>
      </c>
      <c r="C3126" t="s">
        <v>8397</v>
      </c>
      <c r="D3126" t="s">
        <v>8421</v>
      </c>
      <c r="E3126" t="s">
        <v>8446</v>
      </c>
      <c r="F3126" t="s">
        <v>8449</v>
      </c>
      <c r="G3126" t="s">
        <v>8455</v>
      </c>
    </row>
    <row r="3127" spans="1:7">
      <c r="A3127" t="s">
        <v>5498</v>
      </c>
      <c r="C3127" t="s">
        <v>8394</v>
      </c>
      <c r="D3127" t="s">
        <v>8402</v>
      </c>
      <c r="E3127" t="s">
        <v>8444</v>
      </c>
      <c r="F3127" t="s">
        <v>8448</v>
      </c>
      <c r="G3127" t="s">
        <v>8970</v>
      </c>
    </row>
    <row r="3128" spans="1:7">
      <c r="A3128" t="s">
        <v>5499</v>
      </c>
      <c r="B3128" t="s">
        <v>8273</v>
      </c>
      <c r="C3128" t="s">
        <v>8397</v>
      </c>
      <c r="D3128" t="s">
        <v>8421</v>
      </c>
      <c r="E3128" t="s">
        <v>8445</v>
      </c>
      <c r="F3128" t="s">
        <v>8448</v>
      </c>
      <c r="G3128" t="s">
        <v>8455</v>
      </c>
    </row>
    <row r="3129" spans="1:7">
      <c r="A3129" t="s">
        <v>5500</v>
      </c>
      <c r="B3129" t="s">
        <v>8273</v>
      </c>
      <c r="C3129" t="s">
        <v>8398</v>
      </c>
      <c r="D3129" t="s">
        <v>8419</v>
      </c>
      <c r="E3129" t="s">
        <v>1587</v>
      </c>
      <c r="F3129" t="s">
        <v>8449</v>
      </c>
      <c r="G3129" t="s">
        <v>8455</v>
      </c>
    </row>
    <row r="3130" spans="1:7">
      <c r="A3130" t="s">
        <v>5501</v>
      </c>
      <c r="B3130" t="s">
        <v>8273</v>
      </c>
      <c r="C3130" t="s">
        <v>8396</v>
      </c>
      <c r="D3130" t="s">
        <v>8411</v>
      </c>
      <c r="E3130" t="s">
        <v>8444</v>
      </c>
      <c r="F3130" t="s">
        <v>8448</v>
      </c>
      <c r="G3130" t="s">
        <v>8455</v>
      </c>
    </row>
    <row r="3131" spans="1:7">
      <c r="A3131" t="s">
        <v>5502</v>
      </c>
      <c r="B3131" t="s">
        <v>8273</v>
      </c>
      <c r="C3131" t="s">
        <v>8395</v>
      </c>
      <c r="D3131" t="s">
        <v>8411</v>
      </c>
      <c r="E3131" t="s">
        <v>8446</v>
      </c>
      <c r="F3131" t="s">
        <v>8448</v>
      </c>
      <c r="G3131" t="s">
        <v>8453</v>
      </c>
    </row>
    <row r="3132" spans="1:7">
      <c r="A3132" t="s">
        <v>5503</v>
      </c>
      <c r="C3132" t="s">
        <v>8393</v>
      </c>
      <c r="D3132" t="s">
        <v>8393</v>
      </c>
      <c r="E3132" t="s">
        <v>919</v>
      </c>
      <c r="F3132" t="s">
        <v>8393</v>
      </c>
    </row>
    <row r="3133" spans="1:7">
      <c r="A3133" t="s">
        <v>5504</v>
      </c>
      <c r="B3133" t="s">
        <v>8278</v>
      </c>
      <c r="C3133" t="s">
        <v>8395</v>
      </c>
      <c r="D3133" t="s">
        <v>8423</v>
      </c>
      <c r="E3133" t="s">
        <v>8446</v>
      </c>
      <c r="F3133" t="s">
        <v>8449</v>
      </c>
      <c r="G3133" t="s">
        <v>8455</v>
      </c>
    </row>
    <row r="3134" spans="1:7">
      <c r="A3134" t="s">
        <v>5505</v>
      </c>
      <c r="B3134" t="s">
        <v>8284</v>
      </c>
      <c r="C3134" t="s">
        <v>8395</v>
      </c>
      <c r="D3134" t="s">
        <v>8423</v>
      </c>
      <c r="E3134" t="s">
        <v>8446</v>
      </c>
      <c r="F3134" t="s">
        <v>8449</v>
      </c>
      <c r="G3134" t="s">
        <v>8455</v>
      </c>
    </row>
    <row r="3135" spans="1:7">
      <c r="A3135" t="s">
        <v>5506</v>
      </c>
      <c r="B3135" t="s">
        <v>8279</v>
      </c>
      <c r="C3135" t="s">
        <v>8395</v>
      </c>
      <c r="D3135" t="s">
        <v>8423</v>
      </c>
      <c r="E3135" t="s">
        <v>8446</v>
      </c>
      <c r="F3135" t="s">
        <v>8449</v>
      </c>
      <c r="G3135" t="s">
        <v>8455</v>
      </c>
    </row>
    <row r="3136" spans="1:7">
      <c r="A3136" t="s">
        <v>5507</v>
      </c>
      <c r="B3136" t="s">
        <v>8281</v>
      </c>
      <c r="C3136" t="s">
        <v>8395</v>
      </c>
      <c r="D3136" t="s">
        <v>8423</v>
      </c>
      <c r="E3136" t="s">
        <v>8446</v>
      </c>
      <c r="F3136" t="s">
        <v>8449</v>
      </c>
      <c r="G3136" t="s">
        <v>8455</v>
      </c>
    </row>
    <row r="3137" spans="1:7">
      <c r="A3137" t="s">
        <v>5508</v>
      </c>
      <c r="B3137" t="s">
        <v>8273</v>
      </c>
      <c r="C3137" t="s">
        <v>8398</v>
      </c>
      <c r="D3137" t="s">
        <v>8419</v>
      </c>
      <c r="E3137" t="s">
        <v>8446</v>
      </c>
      <c r="F3137" t="s">
        <v>8449</v>
      </c>
      <c r="G3137" t="s">
        <v>8509</v>
      </c>
    </row>
    <row r="3138" spans="1:7">
      <c r="A3138" t="s">
        <v>5509</v>
      </c>
      <c r="C3138" t="s">
        <v>8393</v>
      </c>
      <c r="D3138" t="s">
        <v>8393</v>
      </c>
      <c r="E3138" t="s">
        <v>919</v>
      </c>
      <c r="F3138" t="s">
        <v>8393</v>
      </c>
    </row>
    <row r="3139" spans="1:7">
      <c r="A3139" t="s">
        <v>5510</v>
      </c>
      <c r="B3139" t="s">
        <v>8273</v>
      </c>
      <c r="C3139" t="s">
        <v>8394</v>
      </c>
      <c r="D3139" t="s">
        <v>8414</v>
      </c>
      <c r="E3139" t="s">
        <v>8446</v>
      </c>
      <c r="F3139" t="s">
        <v>8449</v>
      </c>
      <c r="G3139" t="s">
        <v>8455</v>
      </c>
    </row>
    <row r="3140" spans="1:7">
      <c r="A3140" t="s">
        <v>5511</v>
      </c>
      <c r="B3140" t="s">
        <v>8277</v>
      </c>
      <c r="C3140" t="s">
        <v>8394</v>
      </c>
      <c r="D3140" t="s">
        <v>8414</v>
      </c>
      <c r="E3140" t="s">
        <v>8446</v>
      </c>
      <c r="F3140" t="s">
        <v>8449</v>
      </c>
      <c r="G3140" t="s">
        <v>8455</v>
      </c>
    </row>
    <row r="3141" spans="1:7">
      <c r="A3141" t="s">
        <v>5512</v>
      </c>
      <c r="B3141" t="s">
        <v>8273</v>
      </c>
      <c r="C3141" t="s">
        <v>8398</v>
      </c>
      <c r="D3141" t="s">
        <v>8409</v>
      </c>
      <c r="E3141" t="s">
        <v>8444</v>
      </c>
      <c r="F3141" t="s">
        <v>8448</v>
      </c>
      <c r="G3141" t="s">
        <v>8971</v>
      </c>
    </row>
    <row r="3142" spans="1:7">
      <c r="A3142" t="s">
        <v>5513</v>
      </c>
      <c r="C3142" t="s">
        <v>8393</v>
      </c>
      <c r="D3142" t="s">
        <v>8393</v>
      </c>
      <c r="E3142" t="s">
        <v>919</v>
      </c>
      <c r="F3142" t="s">
        <v>8393</v>
      </c>
    </row>
    <row r="3143" spans="1:7">
      <c r="A3143" t="s">
        <v>5514</v>
      </c>
      <c r="B3143" t="s">
        <v>8273</v>
      </c>
      <c r="C3143" t="s">
        <v>8396</v>
      </c>
      <c r="D3143" t="s">
        <v>8405</v>
      </c>
      <c r="E3143" t="s">
        <v>8445</v>
      </c>
      <c r="F3143" t="s">
        <v>8449</v>
      </c>
      <c r="G3143" t="s">
        <v>8455</v>
      </c>
    </row>
    <row r="3144" spans="1:7">
      <c r="A3144" t="s">
        <v>5515</v>
      </c>
      <c r="B3144" t="s">
        <v>8273</v>
      </c>
      <c r="C3144" t="s">
        <v>8396</v>
      </c>
      <c r="D3144" t="s">
        <v>8405</v>
      </c>
      <c r="E3144" t="s">
        <v>8445</v>
      </c>
      <c r="F3144" t="s">
        <v>8449</v>
      </c>
      <c r="G3144" t="s">
        <v>8455</v>
      </c>
    </row>
    <row r="3145" spans="1:7">
      <c r="A3145" t="s">
        <v>5516</v>
      </c>
      <c r="B3145" t="s">
        <v>8300</v>
      </c>
      <c r="C3145" t="s">
        <v>8396</v>
      </c>
      <c r="D3145" t="s">
        <v>8405</v>
      </c>
      <c r="E3145" t="s">
        <v>8445</v>
      </c>
      <c r="F3145" t="s">
        <v>8449</v>
      </c>
      <c r="G3145" t="s">
        <v>8455</v>
      </c>
    </row>
    <row r="3146" spans="1:7">
      <c r="A3146" t="s">
        <v>5517</v>
      </c>
      <c r="B3146" t="s">
        <v>8285</v>
      </c>
      <c r="C3146" t="s">
        <v>8396</v>
      </c>
      <c r="D3146" t="s">
        <v>8405</v>
      </c>
      <c r="E3146" t="s">
        <v>8445</v>
      </c>
      <c r="F3146" t="s">
        <v>8449</v>
      </c>
      <c r="G3146" t="s">
        <v>8455</v>
      </c>
    </row>
    <row r="3147" spans="1:7">
      <c r="A3147" t="s">
        <v>5518</v>
      </c>
      <c r="B3147" t="s">
        <v>8286</v>
      </c>
      <c r="C3147" t="s">
        <v>8396</v>
      </c>
      <c r="D3147" t="s">
        <v>8405</v>
      </c>
      <c r="E3147" t="s">
        <v>8445</v>
      </c>
      <c r="F3147" t="s">
        <v>8449</v>
      </c>
      <c r="G3147" t="s">
        <v>8455</v>
      </c>
    </row>
    <row r="3148" spans="1:7">
      <c r="A3148" t="s">
        <v>5519</v>
      </c>
      <c r="B3148" t="s">
        <v>8273</v>
      </c>
      <c r="C3148" t="s">
        <v>8395</v>
      </c>
      <c r="D3148" t="s">
        <v>8404</v>
      </c>
      <c r="E3148" t="s">
        <v>8445</v>
      </c>
      <c r="F3148" t="s">
        <v>8449</v>
      </c>
      <c r="G3148" t="s">
        <v>8972</v>
      </c>
    </row>
    <row r="3149" spans="1:7">
      <c r="A3149" t="s">
        <v>5520</v>
      </c>
      <c r="B3149" t="s">
        <v>8276</v>
      </c>
      <c r="C3149" t="s">
        <v>8398</v>
      </c>
      <c r="D3149" t="s">
        <v>8419</v>
      </c>
      <c r="E3149" t="s">
        <v>8446</v>
      </c>
      <c r="F3149" t="s">
        <v>8449</v>
      </c>
      <c r="G3149" t="s">
        <v>8455</v>
      </c>
    </row>
    <row r="3150" spans="1:7">
      <c r="A3150" t="s">
        <v>5521</v>
      </c>
      <c r="B3150" t="s">
        <v>8346</v>
      </c>
      <c r="C3150" t="s">
        <v>8398</v>
      </c>
      <c r="D3150" t="s">
        <v>8419</v>
      </c>
      <c r="E3150" t="s">
        <v>8445</v>
      </c>
      <c r="F3150" t="s">
        <v>8449</v>
      </c>
      <c r="G3150" t="s">
        <v>8455</v>
      </c>
    </row>
    <row r="3151" spans="1:7">
      <c r="A3151" t="s">
        <v>5522</v>
      </c>
      <c r="B3151" t="s">
        <v>8347</v>
      </c>
      <c r="C3151" t="s">
        <v>8398</v>
      </c>
      <c r="D3151" t="s">
        <v>8419</v>
      </c>
      <c r="E3151" t="s">
        <v>8445</v>
      </c>
      <c r="F3151" t="s">
        <v>8449</v>
      </c>
      <c r="G3151" t="s">
        <v>8455</v>
      </c>
    </row>
    <row r="3152" spans="1:7">
      <c r="A3152" t="s">
        <v>5523</v>
      </c>
      <c r="B3152" t="s">
        <v>8348</v>
      </c>
      <c r="C3152" t="s">
        <v>8398</v>
      </c>
      <c r="D3152" t="s">
        <v>8419</v>
      </c>
      <c r="E3152" t="s">
        <v>8445</v>
      </c>
      <c r="F3152" t="s">
        <v>8449</v>
      </c>
      <c r="G3152" t="s">
        <v>8455</v>
      </c>
    </row>
    <row r="3153" spans="1:7">
      <c r="A3153" t="s">
        <v>5524</v>
      </c>
      <c r="B3153" t="s">
        <v>8276</v>
      </c>
      <c r="C3153" t="s">
        <v>8398</v>
      </c>
      <c r="D3153" t="s">
        <v>8419</v>
      </c>
      <c r="E3153" t="s">
        <v>8445</v>
      </c>
      <c r="F3153" t="s">
        <v>8449</v>
      </c>
      <c r="G3153" t="s">
        <v>8455</v>
      </c>
    </row>
    <row r="3154" spans="1:7">
      <c r="A3154" t="s">
        <v>5525</v>
      </c>
      <c r="B3154" t="s">
        <v>8273</v>
      </c>
      <c r="C3154" t="s">
        <v>8395</v>
      </c>
      <c r="D3154" t="s">
        <v>8404</v>
      </c>
      <c r="E3154" t="s">
        <v>8445</v>
      </c>
      <c r="F3154" t="s">
        <v>8449</v>
      </c>
      <c r="G3154" t="s">
        <v>8455</v>
      </c>
    </row>
    <row r="3155" spans="1:7">
      <c r="A3155" t="s">
        <v>5526</v>
      </c>
      <c r="B3155" t="s">
        <v>8274</v>
      </c>
      <c r="C3155" t="s">
        <v>8396</v>
      </c>
      <c r="D3155" t="s">
        <v>8405</v>
      </c>
      <c r="E3155" t="s">
        <v>8445</v>
      </c>
      <c r="F3155" t="s">
        <v>8449</v>
      </c>
      <c r="G3155" t="s">
        <v>8455</v>
      </c>
    </row>
    <row r="3156" spans="1:7">
      <c r="A3156" t="s">
        <v>5527</v>
      </c>
      <c r="B3156" t="s">
        <v>8273</v>
      </c>
      <c r="C3156" t="s">
        <v>8396</v>
      </c>
      <c r="D3156" t="s">
        <v>8405</v>
      </c>
      <c r="E3156" t="s">
        <v>8445</v>
      </c>
      <c r="F3156" t="s">
        <v>8449</v>
      </c>
      <c r="G3156" t="s">
        <v>8455</v>
      </c>
    </row>
    <row r="3157" spans="1:7">
      <c r="A3157" t="s">
        <v>5528</v>
      </c>
      <c r="B3157" t="s">
        <v>8277</v>
      </c>
      <c r="C3157" t="s">
        <v>8396</v>
      </c>
      <c r="D3157" t="s">
        <v>8405</v>
      </c>
      <c r="E3157" t="s">
        <v>8445</v>
      </c>
      <c r="F3157" t="s">
        <v>8449</v>
      </c>
      <c r="G3157" t="s">
        <v>8455</v>
      </c>
    </row>
    <row r="3158" spans="1:7">
      <c r="A3158" t="s">
        <v>5529</v>
      </c>
      <c r="B3158" t="s">
        <v>8273</v>
      </c>
      <c r="C3158" t="s">
        <v>8396</v>
      </c>
      <c r="D3158" t="s">
        <v>8405</v>
      </c>
      <c r="E3158" t="s">
        <v>8444</v>
      </c>
      <c r="F3158" t="s">
        <v>8448</v>
      </c>
      <c r="G3158" t="s">
        <v>8906</v>
      </c>
    </row>
    <row r="3159" spans="1:7">
      <c r="A3159" t="s">
        <v>5530</v>
      </c>
      <c r="C3159" t="s">
        <v>8394</v>
      </c>
      <c r="D3159" t="s">
        <v>8413</v>
      </c>
      <c r="E3159" t="s">
        <v>8445</v>
      </c>
      <c r="F3159" t="s">
        <v>8448</v>
      </c>
      <c r="G3159" t="s">
        <v>8453</v>
      </c>
    </row>
    <row r="3160" spans="1:7">
      <c r="A3160" t="s">
        <v>5531</v>
      </c>
      <c r="C3160" t="s">
        <v>8392</v>
      </c>
      <c r="D3160" t="s">
        <v>8415</v>
      </c>
      <c r="E3160" t="s">
        <v>8445</v>
      </c>
      <c r="F3160" t="s">
        <v>8447</v>
      </c>
      <c r="G3160" t="s">
        <v>8973</v>
      </c>
    </row>
    <row r="3161" spans="1:7">
      <c r="A3161" t="s">
        <v>5532</v>
      </c>
      <c r="C3161" t="s">
        <v>8397</v>
      </c>
      <c r="D3161" t="s">
        <v>8421</v>
      </c>
      <c r="E3161" t="s">
        <v>8445</v>
      </c>
      <c r="F3161" t="s">
        <v>8448</v>
      </c>
      <c r="G3161" t="s">
        <v>8974</v>
      </c>
    </row>
    <row r="3162" spans="1:7">
      <c r="A3162" t="s">
        <v>5533</v>
      </c>
      <c r="C3162" t="s">
        <v>8398</v>
      </c>
      <c r="D3162" t="s">
        <v>8409</v>
      </c>
      <c r="E3162" t="s">
        <v>8445</v>
      </c>
      <c r="F3162" t="s">
        <v>8448</v>
      </c>
      <c r="G3162" t="s">
        <v>8975</v>
      </c>
    </row>
    <row r="3163" spans="1:7">
      <c r="A3163" t="s">
        <v>5534</v>
      </c>
      <c r="B3163" t="s">
        <v>8273</v>
      </c>
      <c r="C3163" t="s">
        <v>8395</v>
      </c>
      <c r="D3163" t="s">
        <v>8420</v>
      </c>
      <c r="E3163" t="s">
        <v>1519</v>
      </c>
      <c r="F3163" t="s">
        <v>8448</v>
      </c>
      <c r="G3163" t="s">
        <v>8976</v>
      </c>
    </row>
    <row r="3164" spans="1:7">
      <c r="A3164" t="s">
        <v>5535</v>
      </c>
      <c r="C3164" t="s">
        <v>8393</v>
      </c>
      <c r="D3164" t="s">
        <v>8393</v>
      </c>
      <c r="E3164" t="s">
        <v>919</v>
      </c>
      <c r="F3164" t="s">
        <v>8393</v>
      </c>
    </row>
    <row r="3165" spans="1:7">
      <c r="A3165" t="s">
        <v>5536</v>
      </c>
      <c r="B3165" t="s">
        <v>8273</v>
      </c>
      <c r="C3165" t="s">
        <v>8392</v>
      </c>
      <c r="D3165" t="s">
        <v>8400</v>
      </c>
      <c r="E3165" t="s">
        <v>1519</v>
      </c>
      <c r="F3165" t="s">
        <v>8448</v>
      </c>
      <c r="G3165" t="s">
        <v>8455</v>
      </c>
    </row>
    <row r="3166" spans="1:7">
      <c r="A3166" t="s">
        <v>5537</v>
      </c>
      <c r="B3166" t="s">
        <v>8273</v>
      </c>
      <c r="C3166" t="s">
        <v>8395</v>
      </c>
      <c r="D3166" t="s">
        <v>8421</v>
      </c>
      <c r="E3166" t="s">
        <v>8446</v>
      </c>
      <c r="F3166" t="s">
        <v>8448</v>
      </c>
      <c r="G3166" t="s">
        <v>8977</v>
      </c>
    </row>
    <row r="3167" spans="1:7">
      <c r="A3167" t="s">
        <v>5538</v>
      </c>
      <c r="B3167" t="s">
        <v>8273</v>
      </c>
      <c r="C3167" t="s">
        <v>8395</v>
      </c>
      <c r="D3167" t="s">
        <v>8400</v>
      </c>
      <c r="E3167" t="s">
        <v>1519</v>
      </c>
      <c r="F3167" t="s">
        <v>8448</v>
      </c>
      <c r="G3167" t="s">
        <v>8453</v>
      </c>
    </row>
    <row r="3168" spans="1:7">
      <c r="A3168" t="s">
        <v>5539</v>
      </c>
      <c r="B3168" t="s">
        <v>8273</v>
      </c>
      <c r="C3168" t="s">
        <v>8398</v>
      </c>
      <c r="D3168" t="s">
        <v>8410</v>
      </c>
      <c r="E3168" t="s">
        <v>8444</v>
      </c>
      <c r="F3168" t="s">
        <v>8449</v>
      </c>
      <c r="G3168" t="s">
        <v>8455</v>
      </c>
    </row>
    <row r="3169" spans="1:7">
      <c r="A3169" t="s">
        <v>5540</v>
      </c>
      <c r="B3169" t="s">
        <v>8273</v>
      </c>
      <c r="C3169" t="s">
        <v>8396</v>
      </c>
      <c r="D3169" t="s">
        <v>8405</v>
      </c>
      <c r="E3169" t="s">
        <v>8446</v>
      </c>
      <c r="F3169" t="s">
        <v>8449</v>
      </c>
      <c r="G3169" t="s">
        <v>8455</v>
      </c>
    </row>
    <row r="3170" spans="1:7">
      <c r="A3170" t="s">
        <v>5541</v>
      </c>
      <c r="B3170" t="s">
        <v>8273</v>
      </c>
      <c r="C3170" t="s">
        <v>8394</v>
      </c>
      <c r="D3170" t="s">
        <v>8414</v>
      </c>
      <c r="E3170" t="s">
        <v>8444</v>
      </c>
      <c r="F3170" t="s">
        <v>8449</v>
      </c>
      <c r="G3170" t="s">
        <v>8455</v>
      </c>
    </row>
    <row r="3171" spans="1:7">
      <c r="A3171" t="s">
        <v>5542</v>
      </c>
      <c r="B3171" t="s">
        <v>8273</v>
      </c>
      <c r="C3171" t="s">
        <v>8398</v>
      </c>
      <c r="D3171" t="s">
        <v>8410</v>
      </c>
      <c r="E3171" t="s">
        <v>8445</v>
      </c>
      <c r="F3171" t="s">
        <v>8449</v>
      </c>
      <c r="G3171" t="s">
        <v>8978</v>
      </c>
    </row>
    <row r="3172" spans="1:7">
      <c r="A3172" t="s">
        <v>5543</v>
      </c>
      <c r="B3172" t="s">
        <v>8273</v>
      </c>
      <c r="C3172" t="s">
        <v>8395</v>
      </c>
      <c r="D3172" t="s">
        <v>8414</v>
      </c>
      <c r="E3172" t="s">
        <v>8444</v>
      </c>
      <c r="F3172" t="s">
        <v>8449</v>
      </c>
      <c r="G3172" t="s">
        <v>8455</v>
      </c>
    </row>
    <row r="3173" spans="1:7">
      <c r="A3173" t="s">
        <v>5544</v>
      </c>
      <c r="B3173" t="s">
        <v>8273</v>
      </c>
      <c r="C3173" t="s">
        <v>8398</v>
      </c>
      <c r="D3173" t="s">
        <v>8410</v>
      </c>
      <c r="E3173" t="s">
        <v>8444</v>
      </c>
      <c r="F3173" t="s">
        <v>8448</v>
      </c>
      <c r="G3173" t="s">
        <v>8475</v>
      </c>
    </row>
    <row r="3174" spans="1:7">
      <c r="A3174" t="s">
        <v>5545</v>
      </c>
      <c r="B3174" t="s">
        <v>8273</v>
      </c>
      <c r="C3174" t="s">
        <v>8398</v>
      </c>
      <c r="D3174" t="s">
        <v>8419</v>
      </c>
      <c r="E3174" t="s">
        <v>8446</v>
      </c>
      <c r="F3174" t="s">
        <v>8449</v>
      </c>
      <c r="G3174" t="s">
        <v>8475</v>
      </c>
    </row>
    <row r="3175" spans="1:7">
      <c r="A3175" t="s">
        <v>5546</v>
      </c>
      <c r="C3175" t="s">
        <v>8397</v>
      </c>
      <c r="D3175" t="s">
        <v>8418</v>
      </c>
      <c r="E3175" t="s">
        <v>8444</v>
      </c>
      <c r="F3175" t="s">
        <v>8450</v>
      </c>
      <c r="G3175" t="s">
        <v>8979</v>
      </c>
    </row>
    <row r="3176" spans="1:7">
      <c r="A3176" t="s">
        <v>5547</v>
      </c>
      <c r="B3176" t="s">
        <v>8273</v>
      </c>
      <c r="C3176" t="s">
        <v>8392</v>
      </c>
      <c r="D3176" t="s">
        <v>8415</v>
      </c>
      <c r="E3176" t="s">
        <v>8444</v>
      </c>
      <c r="F3176" t="s">
        <v>8448</v>
      </c>
      <c r="G3176" t="s">
        <v>8453</v>
      </c>
    </row>
    <row r="3177" spans="1:7">
      <c r="A3177" t="s">
        <v>5548</v>
      </c>
      <c r="C3177" t="s">
        <v>8395</v>
      </c>
      <c r="D3177" t="s">
        <v>8402</v>
      </c>
      <c r="E3177" t="s">
        <v>8446</v>
      </c>
      <c r="F3177" t="s">
        <v>8449</v>
      </c>
      <c r="G3177" t="s">
        <v>796</v>
      </c>
    </row>
    <row r="3178" spans="1:7">
      <c r="A3178" t="s">
        <v>5549</v>
      </c>
      <c r="B3178" t="s">
        <v>8273</v>
      </c>
      <c r="C3178" t="s">
        <v>8396</v>
      </c>
      <c r="D3178" t="s">
        <v>8411</v>
      </c>
      <c r="E3178" t="s">
        <v>8444</v>
      </c>
      <c r="F3178" t="s">
        <v>8448</v>
      </c>
      <c r="G3178" t="s">
        <v>8455</v>
      </c>
    </row>
    <row r="3179" spans="1:7">
      <c r="A3179" t="s">
        <v>5550</v>
      </c>
      <c r="C3179" t="s">
        <v>8394</v>
      </c>
      <c r="D3179" t="s">
        <v>8402</v>
      </c>
      <c r="E3179" t="s">
        <v>8444</v>
      </c>
      <c r="F3179" t="s">
        <v>8448</v>
      </c>
      <c r="G3179" t="s">
        <v>8980</v>
      </c>
    </row>
    <row r="3180" spans="1:7">
      <c r="A3180" t="s">
        <v>5551</v>
      </c>
      <c r="B3180" t="s">
        <v>8275</v>
      </c>
      <c r="C3180" t="s">
        <v>8395</v>
      </c>
      <c r="D3180" t="s">
        <v>8421</v>
      </c>
      <c r="E3180" t="s">
        <v>8446</v>
      </c>
      <c r="F3180" t="s">
        <v>8448</v>
      </c>
      <c r="G3180" t="s">
        <v>8981</v>
      </c>
    </row>
    <row r="3181" spans="1:7">
      <c r="A3181" t="s">
        <v>5552</v>
      </c>
      <c r="B3181" t="s">
        <v>8273</v>
      </c>
      <c r="C3181" t="s">
        <v>8395</v>
      </c>
      <c r="D3181" t="s">
        <v>8421</v>
      </c>
      <c r="E3181" t="s">
        <v>8444</v>
      </c>
      <c r="F3181" t="s">
        <v>8448</v>
      </c>
      <c r="G3181" t="s">
        <v>8982</v>
      </c>
    </row>
    <row r="3182" spans="1:7">
      <c r="A3182" t="s">
        <v>5553</v>
      </c>
      <c r="B3182" t="s">
        <v>8273</v>
      </c>
      <c r="C3182" t="s">
        <v>8396</v>
      </c>
      <c r="D3182" t="s">
        <v>8405</v>
      </c>
      <c r="E3182" t="s">
        <v>8446</v>
      </c>
      <c r="F3182" t="s">
        <v>8449</v>
      </c>
      <c r="G3182" t="s">
        <v>8455</v>
      </c>
    </row>
    <row r="3183" spans="1:7">
      <c r="A3183" t="s">
        <v>5554</v>
      </c>
      <c r="C3183" t="s">
        <v>8393</v>
      </c>
      <c r="D3183" t="s">
        <v>8393</v>
      </c>
      <c r="E3183" t="s">
        <v>919</v>
      </c>
      <c r="F3183" t="s">
        <v>8393</v>
      </c>
    </row>
    <row r="3184" spans="1:7">
      <c r="A3184" t="s">
        <v>5555</v>
      </c>
      <c r="C3184" t="s">
        <v>8394</v>
      </c>
      <c r="D3184" t="s">
        <v>8401</v>
      </c>
      <c r="E3184" t="s">
        <v>8445</v>
      </c>
      <c r="F3184" t="s">
        <v>8448</v>
      </c>
      <c r="G3184" t="s">
        <v>8983</v>
      </c>
    </row>
    <row r="3185" spans="1:7">
      <c r="A3185" t="s">
        <v>5556</v>
      </c>
      <c r="C3185" t="s">
        <v>8394</v>
      </c>
      <c r="D3185" t="s">
        <v>8401</v>
      </c>
      <c r="E3185" t="s">
        <v>8445</v>
      </c>
      <c r="F3185" t="s">
        <v>8448</v>
      </c>
      <c r="G3185" t="s">
        <v>8983</v>
      </c>
    </row>
    <row r="3186" spans="1:7">
      <c r="A3186" t="s">
        <v>5557</v>
      </c>
      <c r="C3186" t="s">
        <v>8394</v>
      </c>
      <c r="D3186" t="s">
        <v>8401</v>
      </c>
      <c r="E3186" t="s">
        <v>8445</v>
      </c>
      <c r="F3186" t="s">
        <v>8448</v>
      </c>
      <c r="G3186" t="s">
        <v>8983</v>
      </c>
    </row>
    <row r="3187" spans="1:7">
      <c r="A3187" t="s">
        <v>5558</v>
      </c>
      <c r="C3187" t="s">
        <v>8394</v>
      </c>
      <c r="D3187" t="s">
        <v>8401</v>
      </c>
      <c r="E3187" t="s">
        <v>8445</v>
      </c>
      <c r="F3187" t="s">
        <v>8448</v>
      </c>
      <c r="G3187" t="s">
        <v>8983</v>
      </c>
    </row>
    <row r="3188" spans="1:7">
      <c r="A3188" t="s">
        <v>5559</v>
      </c>
      <c r="C3188" t="s">
        <v>8394</v>
      </c>
      <c r="D3188" t="s">
        <v>8401</v>
      </c>
      <c r="E3188" t="s">
        <v>8445</v>
      </c>
      <c r="F3188" t="s">
        <v>8448</v>
      </c>
      <c r="G3188" t="s">
        <v>8983</v>
      </c>
    </row>
    <row r="3189" spans="1:7">
      <c r="A3189" t="s">
        <v>5560</v>
      </c>
      <c r="B3189" t="s">
        <v>8273</v>
      </c>
      <c r="C3189" t="s">
        <v>8394</v>
      </c>
      <c r="D3189" t="s">
        <v>8402</v>
      </c>
      <c r="E3189" t="s">
        <v>8446</v>
      </c>
      <c r="F3189" t="s">
        <v>8449</v>
      </c>
      <c r="G3189" t="s">
        <v>8455</v>
      </c>
    </row>
    <row r="3190" spans="1:7">
      <c r="A3190" t="s">
        <v>5561</v>
      </c>
      <c r="B3190" t="s">
        <v>8273</v>
      </c>
      <c r="C3190" t="s">
        <v>8395</v>
      </c>
      <c r="D3190" t="s">
        <v>8426</v>
      </c>
      <c r="E3190" t="s">
        <v>8446</v>
      </c>
      <c r="F3190" t="s">
        <v>8449</v>
      </c>
      <c r="G3190" t="s">
        <v>8455</v>
      </c>
    </row>
    <row r="3191" spans="1:7">
      <c r="A3191" t="s">
        <v>5562</v>
      </c>
      <c r="C3191" t="s">
        <v>8393</v>
      </c>
      <c r="D3191" t="s">
        <v>8393</v>
      </c>
      <c r="E3191" t="s">
        <v>919</v>
      </c>
      <c r="F3191" t="s">
        <v>8393</v>
      </c>
    </row>
    <row r="3192" spans="1:7">
      <c r="A3192" t="s">
        <v>5563</v>
      </c>
      <c r="B3192" t="s">
        <v>8273</v>
      </c>
      <c r="C3192" t="s">
        <v>8396</v>
      </c>
      <c r="D3192" t="s">
        <v>8404</v>
      </c>
      <c r="E3192" t="s">
        <v>8444</v>
      </c>
      <c r="F3192" t="s">
        <v>8448</v>
      </c>
      <c r="G3192" t="s">
        <v>8455</v>
      </c>
    </row>
    <row r="3193" spans="1:7">
      <c r="A3193" t="s">
        <v>5564</v>
      </c>
      <c r="B3193" t="s">
        <v>8273</v>
      </c>
      <c r="C3193" t="s">
        <v>8396</v>
      </c>
      <c r="D3193" t="s">
        <v>8404</v>
      </c>
      <c r="E3193" t="s">
        <v>1587</v>
      </c>
      <c r="F3193" t="s">
        <v>8448</v>
      </c>
      <c r="G3193" t="s">
        <v>8984</v>
      </c>
    </row>
    <row r="3194" spans="1:7">
      <c r="A3194" t="s">
        <v>5565</v>
      </c>
      <c r="B3194" t="s">
        <v>8273</v>
      </c>
      <c r="C3194" t="s">
        <v>8396</v>
      </c>
      <c r="D3194" t="s">
        <v>8425</v>
      </c>
      <c r="E3194" t="s">
        <v>1519</v>
      </c>
      <c r="F3194" t="s">
        <v>8448</v>
      </c>
      <c r="G3194" t="s">
        <v>8985</v>
      </c>
    </row>
    <row r="3195" spans="1:7">
      <c r="A3195" t="s">
        <v>5566</v>
      </c>
      <c r="C3195" t="s">
        <v>8393</v>
      </c>
      <c r="D3195" t="s">
        <v>8393</v>
      </c>
      <c r="E3195" t="s">
        <v>919</v>
      </c>
      <c r="F3195" t="s">
        <v>8393</v>
      </c>
    </row>
    <row r="3196" spans="1:7">
      <c r="A3196" t="s">
        <v>5567</v>
      </c>
      <c r="B3196" t="s">
        <v>8273</v>
      </c>
      <c r="C3196" t="s">
        <v>8395</v>
      </c>
      <c r="D3196" t="s">
        <v>8426</v>
      </c>
      <c r="E3196" t="s">
        <v>8444</v>
      </c>
      <c r="F3196" t="s">
        <v>8449</v>
      </c>
      <c r="G3196" t="s">
        <v>8455</v>
      </c>
    </row>
    <row r="3197" spans="1:7">
      <c r="A3197" t="s">
        <v>5568</v>
      </c>
      <c r="B3197" t="s">
        <v>8287</v>
      </c>
      <c r="C3197" t="s">
        <v>8395</v>
      </c>
      <c r="D3197" t="s">
        <v>8400</v>
      </c>
      <c r="E3197" t="s">
        <v>1519</v>
      </c>
      <c r="F3197" t="s">
        <v>8449</v>
      </c>
      <c r="G3197" t="s">
        <v>8455</v>
      </c>
    </row>
    <row r="3198" spans="1:7">
      <c r="A3198" t="s">
        <v>5569</v>
      </c>
      <c r="B3198" t="s">
        <v>8273</v>
      </c>
      <c r="C3198" t="s">
        <v>8395</v>
      </c>
      <c r="D3198" t="s">
        <v>8404</v>
      </c>
      <c r="E3198" t="s">
        <v>8444</v>
      </c>
      <c r="F3198" t="s">
        <v>8449</v>
      </c>
      <c r="G3198" t="s">
        <v>796</v>
      </c>
    </row>
    <row r="3199" spans="1:7">
      <c r="A3199" t="s">
        <v>5570</v>
      </c>
      <c r="B3199" t="s">
        <v>8273</v>
      </c>
      <c r="C3199" t="s">
        <v>8395</v>
      </c>
      <c r="D3199" t="s">
        <v>8420</v>
      </c>
      <c r="E3199" t="s">
        <v>8446</v>
      </c>
      <c r="F3199" t="s">
        <v>8449</v>
      </c>
      <c r="G3199" t="s">
        <v>796</v>
      </c>
    </row>
    <row r="3200" spans="1:7">
      <c r="A3200" t="s">
        <v>5571</v>
      </c>
      <c r="B3200" t="s">
        <v>8287</v>
      </c>
      <c r="C3200" t="s">
        <v>8395</v>
      </c>
      <c r="D3200" t="s">
        <v>8420</v>
      </c>
      <c r="E3200" t="s">
        <v>8446</v>
      </c>
      <c r="F3200" t="s">
        <v>8449</v>
      </c>
      <c r="G3200" t="s">
        <v>796</v>
      </c>
    </row>
    <row r="3201" spans="1:7">
      <c r="A3201" t="s">
        <v>5572</v>
      </c>
      <c r="B3201" t="s">
        <v>8287</v>
      </c>
      <c r="C3201" t="s">
        <v>8395</v>
      </c>
      <c r="D3201" t="s">
        <v>8400</v>
      </c>
      <c r="E3201" t="s">
        <v>1519</v>
      </c>
      <c r="F3201" t="s">
        <v>8449</v>
      </c>
      <c r="G3201" t="s">
        <v>796</v>
      </c>
    </row>
    <row r="3202" spans="1:7">
      <c r="A3202" t="s">
        <v>5573</v>
      </c>
      <c r="B3202" t="s">
        <v>8278</v>
      </c>
      <c r="C3202" t="s">
        <v>8394</v>
      </c>
      <c r="D3202" t="s">
        <v>8423</v>
      </c>
      <c r="E3202" t="s">
        <v>8446</v>
      </c>
      <c r="F3202" t="s">
        <v>8449</v>
      </c>
      <c r="G3202" t="s">
        <v>8455</v>
      </c>
    </row>
    <row r="3203" spans="1:7">
      <c r="A3203" t="s">
        <v>5574</v>
      </c>
      <c r="C3203" t="s">
        <v>8394</v>
      </c>
      <c r="D3203" t="s">
        <v>8402</v>
      </c>
      <c r="E3203" t="s">
        <v>8446</v>
      </c>
      <c r="F3203" t="s">
        <v>8448</v>
      </c>
      <c r="G3203" t="s">
        <v>8986</v>
      </c>
    </row>
    <row r="3204" spans="1:7">
      <c r="A3204" t="s">
        <v>5575</v>
      </c>
      <c r="C3204" t="s">
        <v>8394</v>
      </c>
      <c r="D3204" t="s">
        <v>8402</v>
      </c>
      <c r="E3204" t="s">
        <v>8445</v>
      </c>
      <c r="F3204" t="s">
        <v>8448</v>
      </c>
      <c r="G3204" t="s">
        <v>8987</v>
      </c>
    </row>
    <row r="3205" spans="1:7">
      <c r="A3205" t="s">
        <v>5576</v>
      </c>
      <c r="C3205" t="s">
        <v>8392</v>
      </c>
      <c r="D3205" t="s">
        <v>8415</v>
      </c>
      <c r="E3205" t="s">
        <v>8445</v>
      </c>
      <c r="F3205" t="s">
        <v>8448</v>
      </c>
      <c r="G3205" t="s">
        <v>8988</v>
      </c>
    </row>
    <row r="3206" spans="1:7">
      <c r="A3206" t="s">
        <v>5577</v>
      </c>
      <c r="B3206" t="s">
        <v>8273</v>
      </c>
      <c r="C3206" t="s">
        <v>8395</v>
      </c>
      <c r="D3206" t="s">
        <v>8422</v>
      </c>
      <c r="E3206" t="s">
        <v>8444</v>
      </c>
      <c r="F3206" t="s">
        <v>8449</v>
      </c>
      <c r="G3206" t="s">
        <v>8455</v>
      </c>
    </row>
    <row r="3207" spans="1:7">
      <c r="A3207" t="s">
        <v>5578</v>
      </c>
      <c r="C3207" t="s">
        <v>8393</v>
      </c>
      <c r="D3207" t="s">
        <v>8393</v>
      </c>
      <c r="E3207" t="s">
        <v>919</v>
      </c>
      <c r="F3207" t="s">
        <v>8393</v>
      </c>
    </row>
    <row r="3208" spans="1:7">
      <c r="A3208" t="s">
        <v>5579</v>
      </c>
      <c r="B3208" t="s">
        <v>8273</v>
      </c>
      <c r="C3208" t="s">
        <v>8395</v>
      </c>
      <c r="D3208" t="s">
        <v>8422</v>
      </c>
      <c r="E3208" t="s">
        <v>8446</v>
      </c>
      <c r="F3208" t="s">
        <v>8449</v>
      </c>
      <c r="G3208" t="s">
        <v>8455</v>
      </c>
    </row>
    <row r="3209" spans="1:7">
      <c r="A3209" t="s">
        <v>5580</v>
      </c>
      <c r="B3209" t="s">
        <v>8286</v>
      </c>
      <c r="C3209" t="s">
        <v>8395</v>
      </c>
      <c r="D3209" t="s">
        <v>8422</v>
      </c>
      <c r="E3209" t="s">
        <v>8446</v>
      </c>
      <c r="F3209" t="s">
        <v>8449</v>
      </c>
      <c r="G3209" t="s">
        <v>8455</v>
      </c>
    </row>
    <row r="3210" spans="1:7">
      <c r="A3210" t="s">
        <v>5581</v>
      </c>
      <c r="B3210" t="s">
        <v>8273</v>
      </c>
      <c r="C3210" t="s">
        <v>8394</v>
      </c>
      <c r="D3210" t="s">
        <v>8402</v>
      </c>
      <c r="E3210" t="s">
        <v>8445</v>
      </c>
      <c r="F3210" t="s">
        <v>8448</v>
      </c>
      <c r="G3210" t="s">
        <v>8989</v>
      </c>
    </row>
    <row r="3211" spans="1:7">
      <c r="A3211" t="s">
        <v>5582</v>
      </c>
      <c r="C3211" t="s">
        <v>8397</v>
      </c>
      <c r="D3211" t="s">
        <v>8418</v>
      </c>
      <c r="E3211" t="s">
        <v>8445</v>
      </c>
      <c r="F3211" t="s">
        <v>8450</v>
      </c>
      <c r="G3211" t="s">
        <v>8990</v>
      </c>
    </row>
    <row r="3212" spans="1:7">
      <c r="A3212" t="s">
        <v>5583</v>
      </c>
      <c r="C3212" t="s">
        <v>8397</v>
      </c>
      <c r="D3212" t="s">
        <v>8408</v>
      </c>
      <c r="E3212" t="s">
        <v>8445</v>
      </c>
      <c r="F3212" t="s">
        <v>8450</v>
      </c>
    </row>
    <row r="3213" spans="1:7">
      <c r="A3213" t="s">
        <v>5584</v>
      </c>
      <c r="C3213" t="s">
        <v>8396</v>
      </c>
      <c r="D3213" t="s">
        <v>8425</v>
      </c>
      <c r="E3213" t="s">
        <v>8446</v>
      </c>
      <c r="F3213" t="s">
        <v>8449</v>
      </c>
      <c r="G3213" t="s">
        <v>796</v>
      </c>
    </row>
    <row r="3214" spans="1:7">
      <c r="A3214" t="s">
        <v>5585</v>
      </c>
      <c r="B3214" t="s">
        <v>8273</v>
      </c>
      <c r="C3214" t="s">
        <v>8394</v>
      </c>
      <c r="D3214" t="s">
        <v>8416</v>
      </c>
      <c r="E3214" t="s">
        <v>8444</v>
      </c>
      <c r="F3214" t="s">
        <v>8448</v>
      </c>
      <c r="G3214" t="s">
        <v>796</v>
      </c>
    </row>
    <row r="3215" spans="1:7">
      <c r="A3215" t="s">
        <v>5586</v>
      </c>
      <c r="B3215" t="s">
        <v>8273</v>
      </c>
      <c r="C3215" t="s">
        <v>8395</v>
      </c>
      <c r="D3215" t="s">
        <v>8411</v>
      </c>
      <c r="E3215" t="s">
        <v>1587</v>
      </c>
      <c r="F3215" t="s">
        <v>8448</v>
      </c>
      <c r="G3215" t="s">
        <v>8991</v>
      </c>
    </row>
    <row r="3216" spans="1:7">
      <c r="A3216" t="s">
        <v>5587</v>
      </c>
      <c r="B3216" t="s">
        <v>8276</v>
      </c>
      <c r="C3216" t="s">
        <v>8394</v>
      </c>
      <c r="D3216" t="s">
        <v>8414</v>
      </c>
      <c r="E3216" t="s">
        <v>8444</v>
      </c>
      <c r="F3216" t="s">
        <v>8449</v>
      </c>
      <c r="G3216" t="s">
        <v>796</v>
      </c>
    </row>
    <row r="3217" spans="1:7">
      <c r="A3217" t="s">
        <v>5588</v>
      </c>
      <c r="B3217" t="s">
        <v>8273</v>
      </c>
      <c r="C3217" t="s">
        <v>8395</v>
      </c>
      <c r="D3217" t="s">
        <v>8404</v>
      </c>
      <c r="E3217" t="s">
        <v>8446</v>
      </c>
      <c r="F3217" t="s">
        <v>8449</v>
      </c>
      <c r="G3217" t="s">
        <v>8455</v>
      </c>
    </row>
    <row r="3218" spans="1:7">
      <c r="A3218" t="s">
        <v>5589</v>
      </c>
      <c r="C3218" t="s">
        <v>8393</v>
      </c>
      <c r="D3218" t="s">
        <v>8393</v>
      </c>
      <c r="E3218" t="s">
        <v>919</v>
      </c>
      <c r="F3218" t="s">
        <v>8393</v>
      </c>
    </row>
    <row r="3219" spans="1:7">
      <c r="A3219" t="s">
        <v>5590</v>
      </c>
      <c r="B3219" t="s">
        <v>8273</v>
      </c>
      <c r="C3219" t="s">
        <v>8396</v>
      </c>
      <c r="D3219" t="s">
        <v>8425</v>
      </c>
      <c r="E3219" t="s">
        <v>8446</v>
      </c>
      <c r="F3219" t="s">
        <v>8448</v>
      </c>
      <c r="G3219" t="s">
        <v>8992</v>
      </c>
    </row>
    <row r="3220" spans="1:7">
      <c r="A3220" t="s">
        <v>5591</v>
      </c>
      <c r="B3220" t="s">
        <v>8273</v>
      </c>
      <c r="C3220" t="s">
        <v>8395</v>
      </c>
      <c r="D3220" t="s">
        <v>8400</v>
      </c>
      <c r="E3220" t="s">
        <v>8446</v>
      </c>
      <c r="F3220" t="s">
        <v>8448</v>
      </c>
      <c r="G3220" t="s">
        <v>8453</v>
      </c>
    </row>
    <row r="3221" spans="1:7">
      <c r="A3221" t="s">
        <v>5592</v>
      </c>
      <c r="C3221" t="s">
        <v>8393</v>
      </c>
      <c r="D3221" t="s">
        <v>8393</v>
      </c>
      <c r="E3221" t="s">
        <v>919</v>
      </c>
      <c r="F3221" t="s">
        <v>8393</v>
      </c>
    </row>
    <row r="3222" spans="1:7">
      <c r="A3222" t="s">
        <v>5593</v>
      </c>
      <c r="B3222" t="s">
        <v>8273</v>
      </c>
      <c r="C3222" t="s">
        <v>8396</v>
      </c>
      <c r="D3222" t="s">
        <v>8405</v>
      </c>
      <c r="E3222" t="s">
        <v>8446</v>
      </c>
      <c r="F3222" t="s">
        <v>8449</v>
      </c>
      <c r="G3222" t="s">
        <v>8455</v>
      </c>
    </row>
    <row r="3223" spans="1:7">
      <c r="A3223" t="s">
        <v>5594</v>
      </c>
      <c r="B3223" t="s">
        <v>8273</v>
      </c>
      <c r="C3223" t="s">
        <v>8398</v>
      </c>
      <c r="D3223" t="s">
        <v>8409</v>
      </c>
      <c r="E3223" t="s">
        <v>8446</v>
      </c>
      <c r="F3223" t="s">
        <v>8449</v>
      </c>
      <c r="G3223" t="s">
        <v>8993</v>
      </c>
    </row>
    <row r="3224" spans="1:7">
      <c r="A3224" t="s">
        <v>5595</v>
      </c>
      <c r="B3224" t="s">
        <v>8273</v>
      </c>
      <c r="C3224" t="s">
        <v>8395</v>
      </c>
      <c r="D3224" t="s">
        <v>8404</v>
      </c>
      <c r="E3224" t="s">
        <v>8446</v>
      </c>
      <c r="F3224" t="s">
        <v>8449</v>
      </c>
      <c r="G3224" t="s">
        <v>8455</v>
      </c>
    </row>
    <row r="3225" spans="1:7">
      <c r="A3225" t="s">
        <v>5596</v>
      </c>
      <c r="B3225" t="s">
        <v>8273</v>
      </c>
      <c r="C3225" t="s">
        <v>8396</v>
      </c>
      <c r="D3225" t="s">
        <v>8405</v>
      </c>
      <c r="E3225" t="s">
        <v>8446</v>
      </c>
      <c r="F3225" t="s">
        <v>8449</v>
      </c>
      <c r="G3225" t="s">
        <v>8455</v>
      </c>
    </row>
    <row r="3226" spans="1:7">
      <c r="A3226" t="s">
        <v>5597</v>
      </c>
      <c r="B3226" t="s">
        <v>8273</v>
      </c>
      <c r="C3226" t="s">
        <v>8396</v>
      </c>
      <c r="D3226" t="s">
        <v>8425</v>
      </c>
      <c r="E3226" t="s">
        <v>8446</v>
      </c>
      <c r="F3226" t="s">
        <v>8449</v>
      </c>
      <c r="G3226" t="s">
        <v>8455</v>
      </c>
    </row>
    <row r="3227" spans="1:7">
      <c r="A3227" t="s">
        <v>5598</v>
      </c>
      <c r="B3227" t="s">
        <v>8273</v>
      </c>
      <c r="C3227" t="s">
        <v>8395</v>
      </c>
      <c r="D3227" t="s">
        <v>8438</v>
      </c>
      <c r="E3227" t="s">
        <v>8446</v>
      </c>
      <c r="F3227" t="s">
        <v>8449</v>
      </c>
      <c r="G3227" t="s">
        <v>8455</v>
      </c>
    </row>
    <row r="3228" spans="1:7">
      <c r="A3228" t="s">
        <v>5599</v>
      </c>
      <c r="B3228" t="s">
        <v>8273</v>
      </c>
      <c r="C3228" t="s">
        <v>8394</v>
      </c>
      <c r="D3228" t="s">
        <v>8407</v>
      </c>
      <c r="E3228" t="s">
        <v>8446</v>
      </c>
      <c r="F3228" t="s">
        <v>8448</v>
      </c>
      <c r="G3228" t="s">
        <v>796</v>
      </c>
    </row>
    <row r="3229" spans="1:7">
      <c r="A3229" t="s">
        <v>5600</v>
      </c>
      <c r="C3229" t="s">
        <v>8393</v>
      </c>
      <c r="D3229" t="s">
        <v>8393</v>
      </c>
      <c r="E3229" t="s">
        <v>919</v>
      </c>
      <c r="F3229" t="s">
        <v>8393</v>
      </c>
    </row>
    <row r="3230" spans="1:7">
      <c r="A3230" t="s">
        <v>5601</v>
      </c>
      <c r="B3230" t="s">
        <v>8273</v>
      </c>
      <c r="C3230" t="s">
        <v>8397</v>
      </c>
      <c r="D3230" t="s">
        <v>8434</v>
      </c>
      <c r="E3230" t="s">
        <v>8446</v>
      </c>
      <c r="F3230" t="s">
        <v>8449</v>
      </c>
      <c r="G3230" t="s">
        <v>8455</v>
      </c>
    </row>
    <row r="3231" spans="1:7">
      <c r="A3231" t="s">
        <v>5602</v>
      </c>
      <c r="B3231" t="s">
        <v>8285</v>
      </c>
      <c r="C3231" t="s">
        <v>8397</v>
      </c>
      <c r="D3231" t="s">
        <v>8434</v>
      </c>
      <c r="E3231" t="s">
        <v>8446</v>
      </c>
      <c r="F3231" t="s">
        <v>8449</v>
      </c>
      <c r="G3231" t="s">
        <v>8455</v>
      </c>
    </row>
    <row r="3232" spans="1:7">
      <c r="A3232" t="s">
        <v>5603</v>
      </c>
      <c r="B3232" t="s">
        <v>8273</v>
      </c>
      <c r="C3232" t="s">
        <v>8397</v>
      </c>
      <c r="D3232" t="s">
        <v>8434</v>
      </c>
      <c r="E3232" t="s">
        <v>8446</v>
      </c>
      <c r="F3232" t="s">
        <v>8449</v>
      </c>
      <c r="G3232" t="s">
        <v>8455</v>
      </c>
    </row>
    <row r="3233" spans="1:7">
      <c r="A3233" t="s">
        <v>5604</v>
      </c>
      <c r="B3233" t="s">
        <v>8277</v>
      </c>
      <c r="C3233" t="s">
        <v>8397</v>
      </c>
      <c r="D3233" t="s">
        <v>8434</v>
      </c>
      <c r="E3233" t="s">
        <v>8446</v>
      </c>
      <c r="F3233" t="s">
        <v>8449</v>
      </c>
      <c r="G3233" t="s">
        <v>8455</v>
      </c>
    </row>
    <row r="3234" spans="1:7">
      <c r="A3234" t="s">
        <v>5605</v>
      </c>
      <c r="C3234" t="s">
        <v>8397</v>
      </c>
      <c r="D3234" t="s">
        <v>8408</v>
      </c>
      <c r="E3234" t="s">
        <v>8445</v>
      </c>
      <c r="F3234" t="s">
        <v>8450</v>
      </c>
    </row>
    <row r="3235" spans="1:7">
      <c r="A3235" t="s">
        <v>5606</v>
      </c>
      <c r="B3235" t="s">
        <v>8273</v>
      </c>
      <c r="C3235" t="s">
        <v>8392</v>
      </c>
      <c r="D3235" t="s">
        <v>8400</v>
      </c>
      <c r="E3235" t="s">
        <v>1587</v>
      </c>
      <c r="F3235" t="s">
        <v>8447</v>
      </c>
      <c r="G3235" t="s">
        <v>8994</v>
      </c>
    </row>
    <row r="3236" spans="1:7">
      <c r="A3236" t="s">
        <v>5607</v>
      </c>
      <c r="B3236" t="s">
        <v>8273</v>
      </c>
      <c r="C3236" t="s">
        <v>8397</v>
      </c>
      <c r="D3236" t="s">
        <v>8418</v>
      </c>
      <c r="E3236" t="s">
        <v>8446</v>
      </c>
      <c r="F3236" t="s">
        <v>8450</v>
      </c>
      <c r="G3236" t="s">
        <v>8455</v>
      </c>
    </row>
    <row r="3237" spans="1:7">
      <c r="A3237" t="s">
        <v>5608</v>
      </c>
      <c r="B3237" t="s">
        <v>8273</v>
      </c>
      <c r="C3237" t="s">
        <v>8398</v>
      </c>
      <c r="D3237" t="s">
        <v>8409</v>
      </c>
      <c r="E3237" t="s">
        <v>8444</v>
      </c>
      <c r="F3237" t="s">
        <v>8448</v>
      </c>
      <c r="G3237" t="s">
        <v>8995</v>
      </c>
    </row>
    <row r="3238" spans="1:7">
      <c r="A3238" t="s">
        <v>5609</v>
      </c>
      <c r="B3238" t="s">
        <v>8273</v>
      </c>
      <c r="C3238" t="s">
        <v>8394</v>
      </c>
      <c r="D3238" t="s">
        <v>8414</v>
      </c>
      <c r="E3238" t="s">
        <v>8444</v>
      </c>
      <c r="F3238" t="s">
        <v>8449</v>
      </c>
      <c r="G3238" t="s">
        <v>8455</v>
      </c>
    </row>
    <row r="3239" spans="1:7">
      <c r="A3239" t="s">
        <v>5610</v>
      </c>
      <c r="B3239" t="s">
        <v>8273</v>
      </c>
      <c r="C3239" t="s">
        <v>8394</v>
      </c>
      <c r="D3239" t="s">
        <v>8424</v>
      </c>
      <c r="E3239" t="s">
        <v>8445</v>
      </c>
      <c r="F3239" t="s">
        <v>8448</v>
      </c>
      <c r="G3239" t="s">
        <v>8453</v>
      </c>
    </row>
    <row r="3240" spans="1:7">
      <c r="A3240" t="s">
        <v>5611</v>
      </c>
      <c r="C3240" t="s">
        <v>8394</v>
      </c>
      <c r="D3240" t="s">
        <v>8413</v>
      </c>
      <c r="E3240" t="s">
        <v>8445</v>
      </c>
      <c r="F3240" t="s">
        <v>8448</v>
      </c>
      <c r="G3240" t="s">
        <v>8453</v>
      </c>
    </row>
    <row r="3241" spans="1:7">
      <c r="A3241" t="s">
        <v>5612</v>
      </c>
      <c r="C3241" t="s">
        <v>8394</v>
      </c>
      <c r="D3241" t="s">
        <v>8413</v>
      </c>
      <c r="E3241" t="s">
        <v>8445</v>
      </c>
      <c r="F3241" t="s">
        <v>8448</v>
      </c>
      <c r="G3241" t="s">
        <v>8996</v>
      </c>
    </row>
    <row r="3242" spans="1:7">
      <c r="A3242" t="s">
        <v>5613</v>
      </c>
      <c r="B3242" t="s">
        <v>8273</v>
      </c>
      <c r="C3242" t="s">
        <v>8396</v>
      </c>
      <c r="D3242" t="s">
        <v>8405</v>
      </c>
      <c r="E3242" t="s">
        <v>8444</v>
      </c>
      <c r="F3242" t="s">
        <v>8449</v>
      </c>
      <c r="G3242" t="s">
        <v>8455</v>
      </c>
    </row>
    <row r="3243" spans="1:7">
      <c r="A3243" t="s">
        <v>5614</v>
      </c>
      <c r="B3243" t="s">
        <v>8273</v>
      </c>
      <c r="C3243" t="s">
        <v>8392</v>
      </c>
      <c r="D3243" t="s">
        <v>8415</v>
      </c>
      <c r="E3243" t="s">
        <v>8446</v>
      </c>
      <c r="F3243" t="s">
        <v>8449</v>
      </c>
      <c r="G3243" t="s">
        <v>8455</v>
      </c>
    </row>
    <row r="3244" spans="1:7">
      <c r="A3244" t="s">
        <v>5615</v>
      </c>
      <c r="C3244" t="s">
        <v>8394</v>
      </c>
      <c r="D3244" t="s">
        <v>8401</v>
      </c>
      <c r="E3244" t="s">
        <v>8445</v>
      </c>
      <c r="F3244" t="s">
        <v>8448</v>
      </c>
      <c r="G3244" t="s">
        <v>8997</v>
      </c>
    </row>
    <row r="3245" spans="1:7">
      <c r="A3245" t="s">
        <v>5616</v>
      </c>
      <c r="B3245" t="s">
        <v>8273</v>
      </c>
      <c r="C3245" t="s">
        <v>8392</v>
      </c>
      <c r="D3245" t="s">
        <v>8415</v>
      </c>
      <c r="E3245" t="s">
        <v>8446</v>
      </c>
      <c r="F3245" t="s">
        <v>8448</v>
      </c>
      <c r="G3245" t="s">
        <v>8498</v>
      </c>
    </row>
    <row r="3246" spans="1:7">
      <c r="A3246" t="s">
        <v>5617</v>
      </c>
      <c r="C3246" t="s">
        <v>8394</v>
      </c>
      <c r="D3246" t="s">
        <v>8424</v>
      </c>
      <c r="E3246" t="s">
        <v>8444</v>
      </c>
      <c r="F3246" t="s">
        <v>8448</v>
      </c>
      <c r="G3246" t="s">
        <v>8998</v>
      </c>
    </row>
    <row r="3247" spans="1:7">
      <c r="A3247" t="s">
        <v>5618</v>
      </c>
      <c r="C3247" t="s">
        <v>8393</v>
      </c>
      <c r="D3247" t="s">
        <v>8393</v>
      </c>
      <c r="E3247" t="s">
        <v>919</v>
      </c>
      <c r="F3247" t="s">
        <v>8393</v>
      </c>
    </row>
    <row r="3248" spans="1:7">
      <c r="A3248" t="s">
        <v>5619</v>
      </c>
      <c r="B3248" t="s">
        <v>8273</v>
      </c>
      <c r="C3248" t="s">
        <v>8395</v>
      </c>
      <c r="D3248" t="s">
        <v>8400</v>
      </c>
      <c r="E3248" t="s">
        <v>8444</v>
      </c>
      <c r="F3248" t="s">
        <v>8449</v>
      </c>
      <c r="G3248" t="s">
        <v>8455</v>
      </c>
    </row>
    <row r="3249" spans="1:7">
      <c r="A3249" t="s">
        <v>5620</v>
      </c>
      <c r="B3249" t="s">
        <v>8285</v>
      </c>
      <c r="C3249" t="s">
        <v>8395</v>
      </c>
      <c r="D3249" t="s">
        <v>8400</v>
      </c>
      <c r="E3249" t="s">
        <v>8444</v>
      </c>
      <c r="F3249" t="s">
        <v>8449</v>
      </c>
      <c r="G3249" t="s">
        <v>8455</v>
      </c>
    </row>
    <row r="3250" spans="1:7">
      <c r="A3250" t="s">
        <v>5621</v>
      </c>
      <c r="B3250" t="s">
        <v>8287</v>
      </c>
      <c r="C3250" t="s">
        <v>8395</v>
      </c>
      <c r="D3250" t="s">
        <v>8400</v>
      </c>
      <c r="E3250" t="s">
        <v>8444</v>
      </c>
      <c r="F3250" t="s">
        <v>8449</v>
      </c>
      <c r="G3250" t="s">
        <v>8455</v>
      </c>
    </row>
    <row r="3251" spans="1:7">
      <c r="A3251" t="s">
        <v>5622</v>
      </c>
      <c r="B3251" t="s">
        <v>8277</v>
      </c>
      <c r="C3251" t="s">
        <v>8395</v>
      </c>
      <c r="D3251" t="s">
        <v>8400</v>
      </c>
      <c r="E3251" t="s">
        <v>8444</v>
      </c>
      <c r="F3251" t="s">
        <v>8449</v>
      </c>
      <c r="G3251" t="s">
        <v>8455</v>
      </c>
    </row>
    <row r="3252" spans="1:7">
      <c r="A3252" t="s">
        <v>5623</v>
      </c>
      <c r="C3252" t="s">
        <v>8394</v>
      </c>
      <c r="D3252" t="s">
        <v>8407</v>
      </c>
      <c r="E3252" t="s">
        <v>8445</v>
      </c>
      <c r="F3252" t="s">
        <v>8448</v>
      </c>
      <c r="G3252" t="s">
        <v>8999</v>
      </c>
    </row>
    <row r="3253" spans="1:7">
      <c r="A3253" t="s">
        <v>5624</v>
      </c>
      <c r="C3253" t="s">
        <v>8394</v>
      </c>
      <c r="D3253" t="s">
        <v>8402</v>
      </c>
      <c r="E3253" t="s">
        <v>8445</v>
      </c>
      <c r="F3253" t="s">
        <v>8448</v>
      </c>
      <c r="G3253" t="s">
        <v>9000</v>
      </c>
    </row>
    <row r="3254" spans="1:7">
      <c r="A3254" t="s">
        <v>5625</v>
      </c>
      <c r="B3254" t="s">
        <v>8273</v>
      </c>
      <c r="C3254" t="s">
        <v>8394</v>
      </c>
      <c r="D3254" t="s">
        <v>8402</v>
      </c>
      <c r="E3254" t="s">
        <v>8445</v>
      </c>
      <c r="F3254" t="s">
        <v>8449</v>
      </c>
      <c r="G3254" t="s">
        <v>9001</v>
      </c>
    </row>
    <row r="3255" spans="1:7">
      <c r="A3255" t="s">
        <v>5626</v>
      </c>
      <c r="C3255" t="s">
        <v>8394</v>
      </c>
      <c r="D3255" t="s">
        <v>8407</v>
      </c>
      <c r="E3255" t="s">
        <v>8444</v>
      </c>
      <c r="F3255" t="s">
        <v>8448</v>
      </c>
      <c r="G3255" t="s">
        <v>9002</v>
      </c>
    </row>
    <row r="3256" spans="1:7">
      <c r="A3256" t="s">
        <v>5627</v>
      </c>
      <c r="B3256" t="s">
        <v>8273</v>
      </c>
      <c r="C3256" t="s">
        <v>8394</v>
      </c>
      <c r="D3256" t="s">
        <v>8407</v>
      </c>
      <c r="E3256" t="s">
        <v>8444</v>
      </c>
      <c r="F3256" t="s">
        <v>8448</v>
      </c>
      <c r="G3256" t="s">
        <v>9003</v>
      </c>
    </row>
    <row r="3257" spans="1:7">
      <c r="A3257" t="s">
        <v>5628</v>
      </c>
      <c r="C3257" t="s">
        <v>8394</v>
      </c>
      <c r="D3257" t="s">
        <v>8414</v>
      </c>
      <c r="E3257" t="s">
        <v>8445</v>
      </c>
      <c r="F3257" t="s">
        <v>8448</v>
      </c>
      <c r="G3257" t="s">
        <v>9004</v>
      </c>
    </row>
    <row r="3258" spans="1:7">
      <c r="A3258" t="s">
        <v>5629</v>
      </c>
      <c r="B3258" t="s">
        <v>8273</v>
      </c>
      <c r="C3258" t="s">
        <v>8396</v>
      </c>
      <c r="D3258" t="s">
        <v>8405</v>
      </c>
      <c r="E3258" t="s">
        <v>1519</v>
      </c>
      <c r="F3258" t="s">
        <v>8449</v>
      </c>
      <c r="G3258" t="s">
        <v>8455</v>
      </c>
    </row>
    <row r="3259" spans="1:7">
      <c r="A3259" t="s">
        <v>5630</v>
      </c>
      <c r="B3259" t="s">
        <v>8273</v>
      </c>
      <c r="C3259" t="s">
        <v>8398</v>
      </c>
      <c r="D3259" t="s">
        <v>8419</v>
      </c>
      <c r="E3259" t="s">
        <v>8444</v>
      </c>
      <c r="F3259" t="s">
        <v>8447</v>
      </c>
      <c r="G3259" t="s">
        <v>9005</v>
      </c>
    </row>
    <row r="3260" spans="1:7">
      <c r="A3260" t="s">
        <v>5631</v>
      </c>
      <c r="B3260" t="s">
        <v>8273</v>
      </c>
      <c r="C3260" t="s">
        <v>8392</v>
      </c>
      <c r="D3260" t="s">
        <v>8400</v>
      </c>
      <c r="E3260" t="s">
        <v>8446</v>
      </c>
      <c r="F3260" t="s">
        <v>8449</v>
      </c>
      <c r="G3260" t="s">
        <v>8453</v>
      </c>
    </row>
    <row r="3261" spans="1:7">
      <c r="A3261" t="s">
        <v>5632</v>
      </c>
      <c r="C3261" t="s">
        <v>8392</v>
      </c>
      <c r="D3261" t="s">
        <v>8400</v>
      </c>
      <c r="E3261" t="s">
        <v>8446</v>
      </c>
      <c r="F3261" t="s">
        <v>8449</v>
      </c>
      <c r="G3261" t="s">
        <v>795</v>
      </c>
    </row>
    <row r="3262" spans="1:7">
      <c r="A3262" t="s">
        <v>5633</v>
      </c>
      <c r="B3262" t="s">
        <v>8286</v>
      </c>
      <c r="C3262" t="s">
        <v>8396</v>
      </c>
      <c r="D3262" t="s">
        <v>8406</v>
      </c>
      <c r="E3262" t="s">
        <v>8444</v>
      </c>
      <c r="F3262" t="s">
        <v>8449</v>
      </c>
      <c r="G3262" t="s">
        <v>8455</v>
      </c>
    </row>
    <row r="3263" spans="1:7">
      <c r="A3263" t="s">
        <v>5634</v>
      </c>
      <c r="B3263" t="s">
        <v>8273</v>
      </c>
      <c r="C3263" t="s">
        <v>8396</v>
      </c>
      <c r="D3263" t="s">
        <v>8425</v>
      </c>
      <c r="E3263" t="s">
        <v>8446</v>
      </c>
      <c r="F3263" t="s">
        <v>8448</v>
      </c>
      <c r="G3263" t="s">
        <v>8455</v>
      </c>
    </row>
    <row r="3264" spans="1:7">
      <c r="A3264" t="s">
        <v>5635</v>
      </c>
      <c r="C3264" t="s">
        <v>8394</v>
      </c>
      <c r="D3264" t="s">
        <v>8413</v>
      </c>
      <c r="E3264" t="s">
        <v>8445</v>
      </c>
      <c r="F3264" t="s">
        <v>8448</v>
      </c>
      <c r="G3264" t="s">
        <v>8453</v>
      </c>
    </row>
    <row r="3265" spans="1:7">
      <c r="A3265" t="s">
        <v>5636</v>
      </c>
      <c r="C3265" t="s">
        <v>8393</v>
      </c>
      <c r="D3265" t="s">
        <v>8393</v>
      </c>
      <c r="E3265" t="s">
        <v>919</v>
      </c>
      <c r="F3265" t="s">
        <v>8393</v>
      </c>
    </row>
    <row r="3266" spans="1:7">
      <c r="A3266" t="s">
        <v>5637</v>
      </c>
      <c r="C3266" t="s">
        <v>8396</v>
      </c>
      <c r="D3266" t="s">
        <v>8425</v>
      </c>
      <c r="E3266" t="s">
        <v>8446</v>
      </c>
      <c r="F3266" t="s">
        <v>8449</v>
      </c>
      <c r="G3266" t="s">
        <v>795</v>
      </c>
    </row>
    <row r="3267" spans="1:7">
      <c r="A3267" t="s">
        <v>5638</v>
      </c>
      <c r="C3267" t="s">
        <v>8392</v>
      </c>
      <c r="D3267" t="s">
        <v>8400</v>
      </c>
      <c r="E3267" t="s">
        <v>1587</v>
      </c>
      <c r="F3267" t="s">
        <v>8449</v>
      </c>
      <c r="G3267" t="s">
        <v>795</v>
      </c>
    </row>
    <row r="3268" spans="1:7">
      <c r="A3268" t="s">
        <v>5639</v>
      </c>
      <c r="C3268" t="s">
        <v>8396</v>
      </c>
      <c r="D3268" t="s">
        <v>8425</v>
      </c>
      <c r="E3268" t="s">
        <v>8446</v>
      </c>
      <c r="F3268" t="s">
        <v>8448</v>
      </c>
      <c r="G3268" t="s">
        <v>795</v>
      </c>
    </row>
    <row r="3269" spans="1:7">
      <c r="A3269" t="s">
        <v>5640</v>
      </c>
      <c r="C3269" t="s">
        <v>8396</v>
      </c>
      <c r="D3269" t="s">
        <v>8425</v>
      </c>
      <c r="E3269" t="s">
        <v>8446</v>
      </c>
      <c r="F3269" t="s">
        <v>8449</v>
      </c>
      <c r="G3269" t="s">
        <v>795</v>
      </c>
    </row>
    <row r="3270" spans="1:7">
      <c r="A3270" t="s">
        <v>5641</v>
      </c>
      <c r="B3270" t="s">
        <v>8273</v>
      </c>
      <c r="C3270" t="s">
        <v>8398</v>
      </c>
      <c r="D3270" t="s">
        <v>8419</v>
      </c>
      <c r="E3270" t="s">
        <v>8446</v>
      </c>
      <c r="F3270" t="s">
        <v>8449</v>
      </c>
      <c r="G3270" t="s">
        <v>8455</v>
      </c>
    </row>
    <row r="3271" spans="1:7">
      <c r="A3271" t="s">
        <v>5642</v>
      </c>
      <c r="C3271" t="s">
        <v>8393</v>
      </c>
      <c r="D3271" t="s">
        <v>8393</v>
      </c>
      <c r="E3271" t="s">
        <v>919</v>
      </c>
      <c r="F3271" t="s">
        <v>8393</v>
      </c>
    </row>
    <row r="3272" spans="1:7">
      <c r="A3272" t="s">
        <v>5643</v>
      </c>
      <c r="B3272" t="s">
        <v>8278</v>
      </c>
      <c r="C3272" t="s">
        <v>8394</v>
      </c>
      <c r="D3272" t="s">
        <v>8423</v>
      </c>
      <c r="E3272" t="s">
        <v>8444</v>
      </c>
      <c r="F3272" t="s">
        <v>8449</v>
      </c>
      <c r="G3272" t="s">
        <v>8455</v>
      </c>
    </row>
    <row r="3273" spans="1:7">
      <c r="A3273" t="s">
        <v>5644</v>
      </c>
      <c r="B3273" t="s">
        <v>8278</v>
      </c>
      <c r="C3273" t="s">
        <v>8394</v>
      </c>
      <c r="D3273" t="s">
        <v>8423</v>
      </c>
      <c r="E3273" t="s">
        <v>8444</v>
      </c>
      <c r="F3273" t="s">
        <v>8449</v>
      </c>
      <c r="G3273" t="s">
        <v>8455</v>
      </c>
    </row>
    <row r="3274" spans="1:7">
      <c r="A3274" t="s">
        <v>5645</v>
      </c>
      <c r="B3274" t="s">
        <v>8284</v>
      </c>
      <c r="C3274" t="s">
        <v>8394</v>
      </c>
      <c r="D3274" t="s">
        <v>8423</v>
      </c>
      <c r="E3274" t="s">
        <v>8444</v>
      </c>
      <c r="F3274" t="s">
        <v>8449</v>
      </c>
      <c r="G3274" t="s">
        <v>8455</v>
      </c>
    </row>
    <row r="3275" spans="1:7">
      <c r="A3275" t="s">
        <v>5646</v>
      </c>
      <c r="B3275" t="s">
        <v>8279</v>
      </c>
      <c r="C3275" t="s">
        <v>8394</v>
      </c>
      <c r="D3275" t="s">
        <v>8423</v>
      </c>
      <c r="E3275" t="s">
        <v>8444</v>
      </c>
      <c r="F3275" t="s">
        <v>8449</v>
      </c>
      <c r="G3275" t="s">
        <v>8455</v>
      </c>
    </row>
    <row r="3276" spans="1:7">
      <c r="A3276" t="s">
        <v>5647</v>
      </c>
      <c r="B3276" t="s">
        <v>8311</v>
      </c>
      <c r="C3276" t="s">
        <v>8394</v>
      </c>
      <c r="D3276" t="s">
        <v>8423</v>
      </c>
      <c r="E3276" t="s">
        <v>8444</v>
      </c>
      <c r="F3276" t="s">
        <v>8449</v>
      </c>
      <c r="G3276" t="s">
        <v>8455</v>
      </c>
    </row>
    <row r="3277" spans="1:7">
      <c r="A3277" t="s">
        <v>5648</v>
      </c>
      <c r="B3277" t="s">
        <v>8309</v>
      </c>
      <c r="C3277" t="s">
        <v>8394</v>
      </c>
      <c r="D3277" t="s">
        <v>8423</v>
      </c>
      <c r="E3277" t="s">
        <v>8444</v>
      </c>
      <c r="F3277" t="s">
        <v>8449</v>
      </c>
      <c r="G3277" t="s">
        <v>8455</v>
      </c>
    </row>
    <row r="3278" spans="1:7">
      <c r="A3278" t="s">
        <v>5649</v>
      </c>
      <c r="B3278" t="s">
        <v>8281</v>
      </c>
      <c r="C3278" t="s">
        <v>8394</v>
      </c>
      <c r="D3278" t="s">
        <v>8423</v>
      </c>
      <c r="E3278" t="s">
        <v>8444</v>
      </c>
      <c r="F3278" t="s">
        <v>8449</v>
      </c>
      <c r="G3278" t="s">
        <v>8455</v>
      </c>
    </row>
    <row r="3279" spans="1:7">
      <c r="A3279" t="s">
        <v>5642</v>
      </c>
      <c r="C3279" t="s">
        <v>8393</v>
      </c>
      <c r="D3279" t="s">
        <v>8393</v>
      </c>
      <c r="E3279" t="s">
        <v>919</v>
      </c>
      <c r="F3279" t="s">
        <v>8393</v>
      </c>
    </row>
    <row r="3280" spans="1:7">
      <c r="A3280" t="s">
        <v>5643</v>
      </c>
      <c r="B3280" t="s">
        <v>8278</v>
      </c>
      <c r="C3280" t="s">
        <v>8394</v>
      </c>
      <c r="D3280" t="s">
        <v>8423</v>
      </c>
      <c r="E3280" t="s">
        <v>8444</v>
      </c>
      <c r="F3280" t="s">
        <v>8449</v>
      </c>
      <c r="G3280" t="s">
        <v>8455</v>
      </c>
    </row>
    <row r="3281" spans="1:7">
      <c r="A3281" t="s">
        <v>5644</v>
      </c>
      <c r="B3281" t="s">
        <v>8278</v>
      </c>
      <c r="C3281" t="s">
        <v>8394</v>
      </c>
      <c r="D3281" t="s">
        <v>8423</v>
      </c>
      <c r="E3281" t="s">
        <v>8444</v>
      </c>
      <c r="F3281" t="s">
        <v>8449</v>
      </c>
      <c r="G3281" t="s">
        <v>8455</v>
      </c>
    </row>
    <row r="3282" spans="1:7">
      <c r="A3282" t="s">
        <v>5645</v>
      </c>
      <c r="B3282" t="s">
        <v>8284</v>
      </c>
      <c r="C3282" t="s">
        <v>8394</v>
      </c>
      <c r="D3282" t="s">
        <v>8423</v>
      </c>
      <c r="E3282" t="s">
        <v>8444</v>
      </c>
      <c r="F3282" t="s">
        <v>8449</v>
      </c>
      <c r="G3282" t="s">
        <v>8455</v>
      </c>
    </row>
    <row r="3283" spans="1:7">
      <c r="A3283" t="s">
        <v>5646</v>
      </c>
      <c r="B3283" t="s">
        <v>8279</v>
      </c>
      <c r="C3283" t="s">
        <v>8394</v>
      </c>
      <c r="D3283" t="s">
        <v>8423</v>
      </c>
      <c r="E3283" t="s">
        <v>8444</v>
      </c>
      <c r="F3283" t="s">
        <v>8449</v>
      </c>
      <c r="G3283" t="s">
        <v>8455</v>
      </c>
    </row>
    <row r="3284" spans="1:7">
      <c r="A3284" t="s">
        <v>5647</v>
      </c>
      <c r="B3284" t="s">
        <v>8311</v>
      </c>
      <c r="C3284" t="s">
        <v>8394</v>
      </c>
      <c r="D3284" t="s">
        <v>8423</v>
      </c>
      <c r="E3284" t="s">
        <v>8444</v>
      </c>
      <c r="F3284" t="s">
        <v>8449</v>
      </c>
      <c r="G3284" t="s">
        <v>8455</v>
      </c>
    </row>
    <row r="3285" spans="1:7">
      <c r="A3285" t="s">
        <v>5648</v>
      </c>
      <c r="B3285" t="s">
        <v>8309</v>
      </c>
      <c r="C3285" t="s">
        <v>8394</v>
      </c>
      <c r="D3285" t="s">
        <v>8423</v>
      </c>
      <c r="E3285" t="s">
        <v>8444</v>
      </c>
      <c r="F3285" t="s">
        <v>8449</v>
      </c>
      <c r="G3285" t="s">
        <v>8455</v>
      </c>
    </row>
    <row r="3286" spans="1:7">
      <c r="A3286" t="s">
        <v>5649</v>
      </c>
      <c r="B3286" t="s">
        <v>8281</v>
      </c>
      <c r="C3286" t="s">
        <v>8394</v>
      </c>
      <c r="D3286" t="s">
        <v>8423</v>
      </c>
      <c r="E3286" t="s">
        <v>8444</v>
      </c>
      <c r="F3286" t="s">
        <v>8449</v>
      </c>
      <c r="G3286" t="s">
        <v>8455</v>
      </c>
    </row>
    <row r="3287" spans="1:7">
      <c r="A3287" t="s">
        <v>5650</v>
      </c>
      <c r="B3287" t="s">
        <v>8273</v>
      </c>
      <c r="C3287" t="s">
        <v>8394</v>
      </c>
      <c r="D3287" t="s">
        <v>8422</v>
      </c>
      <c r="E3287" t="s">
        <v>8445</v>
      </c>
      <c r="F3287" t="s">
        <v>8448</v>
      </c>
      <c r="G3287" t="s">
        <v>8453</v>
      </c>
    </row>
    <row r="3288" spans="1:7">
      <c r="A3288" t="s">
        <v>5651</v>
      </c>
      <c r="B3288" t="s">
        <v>8273</v>
      </c>
      <c r="C3288" t="s">
        <v>8396</v>
      </c>
      <c r="D3288" t="s">
        <v>8425</v>
      </c>
      <c r="E3288" t="s">
        <v>8446</v>
      </c>
      <c r="F3288" t="s">
        <v>8448</v>
      </c>
      <c r="G3288" t="s">
        <v>8455</v>
      </c>
    </row>
    <row r="3289" spans="1:7">
      <c r="A3289" t="s">
        <v>5652</v>
      </c>
      <c r="C3289" t="s">
        <v>8393</v>
      </c>
      <c r="D3289" t="s">
        <v>8393</v>
      </c>
      <c r="E3289" t="s">
        <v>919</v>
      </c>
      <c r="F3289" t="s">
        <v>8393</v>
      </c>
    </row>
    <row r="3290" spans="1:7">
      <c r="A3290" t="s">
        <v>5653</v>
      </c>
      <c r="B3290" t="s">
        <v>8273</v>
      </c>
      <c r="C3290" t="s">
        <v>8396</v>
      </c>
      <c r="D3290" t="s">
        <v>8405</v>
      </c>
      <c r="E3290" t="s">
        <v>8446</v>
      </c>
      <c r="F3290" t="s">
        <v>8449</v>
      </c>
      <c r="G3290" t="s">
        <v>8455</v>
      </c>
    </row>
    <row r="3291" spans="1:7">
      <c r="A3291" t="s">
        <v>5654</v>
      </c>
      <c r="B3291" t="s">
        <v>8273</v>
      </c>
      <c r="C3291" t="s">
        <v>8396</v>
      </c>
      <c r="D3291" t="s">
        <v>8404</v>
      </c>
      <c r="E3291" t="s">
        <v>8446</v>
      </c>
      <c r="F3291" t="s">
        <v>8449</v>
      </c>
      <c r="G3291" t="s">
        <v>8455</v>
      </c>
    </row>
    <row r="3292" spans="1:7">
      <c r="A3292" t="s">
        <v>5655</v>
      </c>
      <c r="B3292" t="s">
        <v>8273</v>
      </c>
      <c r="C3292" t="s">
        <v>8396</v>
      </c>
      <c r="D3292" t="s">
        <v>8406</v>
      </c>
      <c r="E3292" t="s">
        <v>8446</v>
      </c>
      <c r="F3292" t="s">
        <v>8449</v>
      </c>
      <c r="G3292" t="s">
        <v>8455</v>
      </c>
    </row>
    <row r="3293" spans="1:7">
      <c r="A3293" t="s">
        <v>5656</v>
      </c>
      <c r="B3293" t="s">
        <v>8273</v>
      </c>
      <c r="C3293" t="s">
        <v>8398</v>
      </c>
      <c r="D3293" t="s">
        <v>8419</v>
      </c>
      <c r="E3293" t="s">
        <v>8444</v>
      </c>
      <c r="F3293" t="s">
        <v>8449</v>
      </c>
      <c r="G3293" t="s">
        <v>8455</v>
      </c>
    </row>
    <row r="3294" spans="1:7">
      <c r="A3294" t="s">
        <v>5657</v>
      </c>
      <c r="C3294" t="s">
        <v>8393</v>
      </c>
      <c r="D3294" t="s">
        <v>8393</v>
      </c>
      <c r="E3294" t="s">
        <v>919</v>
      </c>
      <c r="F3294" t="s">
        <v>8393</v>
      </c>
    </row>
    <row r="3295" spans="1:7">
      <c r="A3295" t="s">
        <v>5658</v>
      </c>
      <c r="B3295" t="s">
        <v>8273</v>
      </c>
      <c r="C3295" t="s">
        <v>8395</v>
      </c>
      <c r="D3295" t="s">
        <v>8400</v>
      </c>
      <c r="E3295" t="s">
        <v>8446</v>
      </c>
      <c r="F3295" t="s">
        <v>8449</v>
      </c>
      <c r="G3295" t="s">
        <v>796</v>
      </c>
    </row>
    <row r="3296" spans="1:7">
      <c r="A3296" t="s">
        <v>5659</v>
      </c>
      <c r="B3296" t="s">
        <v>8273</v>
      </c>
      <c r="C3296" t="s">
        <v>8396</v>
      </c>
      <c r="D3296" t="s">
        <v>8425</v>
      </c>
      <c r="E3296" t="s">
        <v>8446</v>
      </c>
      <c r="F3296" t="s">
        <v>8449</v>
      </c>
      <c r="G3296" t="s">
        <v>8474</v>
      </c>
    </row>
    <row r="3297" spans="1:7">
      <c r="A3297" t="s">
        <v>5660</v>
      </c>
      <c r="B3297" t="s">
        <v>8299</v>
      </c>
      <c r="C3297" t="s">
        <v>8397</v>
      </c>
      <c r="D3297" t="s">
        <v>8430</v>
      </c>
      <c r="E3297" t="s">
        <v>8444</v>
      </c>
      <c r="F3297" t="s">
        <v>8449</v>
      </c>
      <c r="G3297" t="s">
        <v>8455</v>
      </c>
    </row>
    <row r="3298" spans="1:7">
      <c r="A3298" t="s">
        <v>5661</v>
      </c>
      <c r="C3298" t="s">
        <v>8395</v>
      </c>
      <c r="D3298" t="s">
        <v>8400</v>
      </c>
      <c r="E3298" t="s">
        <v>1587</v>
      </c>
      <c r="F3298" t="s">
        <v>8449</v>
      </c>
      <c r="G3298" t="s">
        <v>795</v>
      </c>
    </row>
    <row r="3299" spans="1:7">
      <c r="A3299" t="s">
        <v>5662</v>
      </c>
      <c r="B3299" t="s">
        <v>8273</v>
      </c>
      <c r="C3299" t="s">
        <v>8395</v>
      </c>
      <c r="D3299" t="s">
        <v>8400</v>
      </c>
      <c r="E3299" t="s">
        <v>1587</v>
      </c>
      <c r="F3299" t="s">
        <v>8449</v>
      </c>
      <c r="G3299" t="s">
        <v>8453</v>
      </c>
    </row>
    <row r="3300" spans="1:7">
      <c r="A3300" t="s">
        <v>5663</v>
      </c>
      <c r="C3300" t="s">
        <v>8392</v>
      </c>
      <c r="D3300" t="s">
        <v>8400</v>
      </c>
      <c r="E3300" t="s">
        <v>1519</v>
      </c>
      <c r="F3300" t="s">
        <v>8449</v>
      </c>
      <c r="G3300" t="s">
        <v>9006</v>
      </c>
    </row>
    <row r="3301" spans="1:7">
      <c r="A3301" t="s">
        <v>5664</v>
      </c>
      <c r="B3301" t="s">
        <v>8273</v>
      </c>
      <c r="C3301" t="s">
        <v>8398</v>
      </c>
      <c r="D3301" t="s">
        <v>8419</v>
      </c>
      <c r="E3301" t="s">
        <v>8446</v>
      </c>
      <c r="F3301" t="s">
        <v>8449</v>
      </c>
      <c r="G3301" t="s">
        <v>8455</v>
      </c>
    </row>
    <row r="3302" spans="1:7">
      <c r="A3302" t="s">
        <v>5665</v>
      </c>
      <c r="B3302" t="s">
        <v>8273</v>
      </c>
      <c r="C3302" t="s">
        <v>8396</v>
      </c>
      <c r="D3302" t="s">
        <v>8405</v>
      </c>
      <c r="E3302" t="s">
        <v>8444</v>
      </c>
      <c r="F3302" t="s">
        <v>8449</v>
      </c>
      <c r="G3302" t="s">
        <v>8455</v>
      </c>
    </row>
    <row r="3303" spans="1:7">
      <c r="A3303" t="s">
        <v>5666</v>
      </c>
      <c r="B3303" t="s">
        <v>8273</v>
      </c>
      <c r="C3303" t="s">
        <v>8396</v>
      </c>
      <c r="D3303" t="s">
        <v>8405</v>
      </c>
      <c r="E3303" t="s">
        <v>8446</v>
      </c>
      <c r="F3303" t="s">
        <v>8449</v>
      </c>
      <c r="G3303" t="s">
        <v>8455</v>
      </c>
    </row>
    <row r="3304" spans="1:7">
      <c r="A3304" t="s">
        <v>5667</v>
      </c>
      <c r="B3304" t="s">
        <v>8273</v>
      </c>
      <c r="C3304" t="s">
        <v>8392</v>
      </c>
      <c r="D3304" t="s">
        <v>8415</v>
      </c>
      <c r="E3304" t="s">
        <v>8446</v>
      </c>
      <c r="F3304" t="s">
        <v>8449</v>
      </c>
      <c r="G3304" t="s">
        <v>796</v>
      </c>
    </row>
    <row r="3305" spans="1:7">
      <c r="A3305" t="s">
        <v>5668</v>
      </c>
      <c r="B3305" t="s">
        <v>8273</v>
      </c>
      <c r="C3305" t="s">
        <v>8395</v>
      </c>
      <c r="D3305" t="s">
        <v>8414</v>
      </c>
      <c r="E3305" t="s">
        <v>8446</v>
      </c>
      <c r="F3305" t="s">
        <v>8449</v>
      </c>
      <c r="G3305" t="s">
        <v>8455</v>
      </c>
    </row>
    <row r="3306" spans="1:7">
      <c r="A3306" t="s">
        <v>5669</v>
      </c>
      <c r="C3306" t="s">
        <v>8394</v>
      </c>
      <c r="D3306" t="s">
        <v>8424</v>
      </c>
      <c r="E3306" t="s">
        <v>8444</v>
      </c>
      <c r="F3306" t="s">
        <v>8448</v>
      </c>
      <c r="G3306" t="s">
        <v>9007</v>
      </c>
    </row>
    <row r="3307" spans="1:7">
      <c r="A3307" t="s">
        <v>5670</v>
      </c>
      <c r="C3307" t="s">
        <v>8393</v>
      </c>
      <c r="D3307" t="s">
        <v>8393</v>
      </c>
      <c r="E3307" t="s">
        <v>919</v>
      </c>
      <c r="F3307" t="s">
        <v>8393</v>
      </c>
    </row>
    <row r="3308" spans="1:7">
      <c r="A3308" t="s">
        <v>5671</v>
      </c>
      <c r="B3308" t="s">
        <v>8273</v>
      </c>
      <c r="C3308" t="s">
        <v>8395</v>
      </c>
      <c r="D3308" t="s">
        <v>8400</v>
      </c>
      <c r="E3308" t="s">
        <v>8446</v>
      </c>
      <c r="F3308" t="s">
        <v>8448</v>
      </c>
      <c r="G3308" t="s">
        <v>8455</v>
      </c>
    </row>
    <row r="3309" spans="1:7">
      <c r="A3309" t="s">
        <v>5672</v>
      </c>
      <c r="B3309" t="s">
        <v>8277</v>
      </c>
      <c r="C3309" t="s">
        <v>8395</v>
      </c>
      <c r="D3309" t="s">
        <v>8400</v>
      </c>
      <c r="E3309" t="s">
        <v>8446</v>
      </c>
      <c r="F3309" t="s">
        <v>8448</v>
      </c>
      <c r="G3309" t="s">
        <v>8455</v>
      </c>
    </row>
    <row r="3310" spans="1:7">
      <c r="A3310" t="s">
        <v>5673</v>
      </c>
      <c r="B3310" t="s">
        <v>8273</v>
      </c>
      <c r="C3310" t="s">
        <v>8395</v>
      </c>
      <c r="D3310" t="s">
        <v>8418</v>
      </c>
      <c r="E3310" t="s">
        <v>8444</v>
      </c>
      <c r="F3310" t="s">
        <v>8448</v>
      </c>
      <c r="G3310" t="s">
        <v>9008</v>
      </c>
    </row>
    <row r="3311" spans="1:7">
      <c r="A3311" t="s">
        <v>5674</v>
      </c>
      <c r="C3311" t="s">
        <v>8393</v>
      </c>
      <c r="D3311" t="s">
        <v>8393</v>
      </c>
      <c r="E3311" t="s">
        <v>919</v>
      </c>
      <c r="F3311" t="s">
        <v>8393</v>
      </c>
    </row>
    <row r="3312" spans="1:7">
      <c r="A3312" t="s">
        <v>5675</v>
      </c>
      <c r="B3312" t="s">
        <v>8273</v>
      </c>
      <c r="C3312" t="s">
        <v>8394</v>
      </c>
      <c r="D3312" t="s">
        <v>8414</v>
      </c>
      <c r="E3312" t="s">
        <v>1519</v>
      </c>
      <c r="F3312" t="s">
        <v>8448</v>
      </c>
      <c r="G3312" t="s">
        <v>8906</v>
      </c>
    </row>
    <row r="3313" spans="1:7">
      <c r="A3313" t="s">
        <v>5676</v>
      </c>
      <c r="B3313" t="s">
        <v>8277</v>
      </c>
      <c r="C3313" t="s">
        <v>8394</v>
      </c>
      <c r="D3313" t="s">
        <v>8414</v>
      </c>
      <c r="E3313" t="s">
        <v>8445</v>
      </c>
      <c r="F3313" t="s">
        <v>8448</v>
      </c>
      <c r="G3313" t="s">
        <v>8906</v>
      </c>
    </row>
    <row r="3314" spans="1:7">
      <c r="A3314" t="s">
        <v>5677</v>
      </c>
      <c r="B3314" t="s">
        <v>8273</v>
      </c>
      <c r="C3314" t="s">
        <v>8394</v>
      </c>
      <c r="D3314" t="s">
        <v>8413</v>
      </c>
      <c r="E3314" t="s">
        <v>8445</v>
      </c>
      <c r="F3314" t="s">
        <v>8448</v>
      </c>
      <c r="G3314" t="s">
        <v>8455</v>
      </c>
    </row>
    <row r="3315" spans="1:7">
      <c r="A3315" t="s">
        <v>5678</v>
      </c>
      <c r="C3315" t="s">
        <v>8397</v>
      </c>
      <c r="D3315" t="s">
        <v>8408</v>
      </c>
      <c r="E3315" t="s">
        <v>8445</v>
      </c>
      <c r="F3315" t="s">
        <v>8450</v>
      </c>
    </row>
    <row r="3316" spans="1:7">
      <c r="A3316" t="s">
        <v>5679</v>
      </c>
      <c r="C3316" t="s">
        <v>8396</v>
      </c>
      <c r="D3316" t="s">
        <v>8420</v>
      </c>
      <c r="E3316" t="s">
        <v>8445</v>
      </c>
      <c r="F3316" t="s">
        <v>8448</v>
      </c>
      <c r="G3316" t="s">
        <v>9009</v>
      </c>
    </row>
    <row r="3317" spans="1:7">
      <c r="A3317" t="s">
        <v>5680</v>
      </c>
      <c r="C3317" t="s">
        <v>8397</v>
      </c>
      <c r="D3317" t="s">
        <v>8418</v>
      </c>
      <c r="E3317" t="s">
        <v>8445</v>
      </c>
      <c r="F3317" t="s">
        <v>8450</v>
      </c>
      <c r="G3317" t="s">
        <v>9010</v>
      </c>
    </row>
    <row r="3318" spans="1:7">
      <c r="A3318" t="s">
        <v>5681</v>
      </c>
      <c r="C3318" t="s">
        <v>8397</v>
      </c>
      <c r="D3318" t="s">
        <v>8418</v>
      </c>
      <c r="E3318" t="s">
        <v>8445</v>
      </c>
      <c r="F3318" t="s">
        <v>8450</v>
      </c>
      <c r="G3318" t="s">
        <v>9011</v>
      </c>
    </row>
    <row r="3319" spans="1:7">
      <c r="A3319" t="s">
        <v>5682</v>
      </c>
      <c r="C3319" t="s">
        <v>8397</v>
      </c>
      <c r="D3319" t="s">
        <v>8418</v>
      </c>
      <c r="E3319" t="s">
        <v>8445</v>
      </c>
      <c r="F3319" t="s">
        <v>8450</v>
      </c>
      <c r="G3319" t="s">
        <v>9012</v>
      </c>
    </row>
    <row r="3320" spans="1:7">
      <c r="A3320" t="s">
        <v>5683</v>
      </c>
      <c r="B3320" t="s">
        <v>8273</v>
      </c>
      <c r="C3320" t="s">
        <v>8396</v>
      </c>
      <c r="D3320" t="s">
        <v>8425</v>
      </c>
      <c r="E3320" t="s">
        <v>8446</v>
      </c>
      <c r="F3320" t="s">
        <v>8449</v>
      </c>
      <c r="G3320" t="s">
        <v>8455</v>
      </c>
    </row>
    <row r="3321" spans="1:7">
      <c r="A3321" t="s">
        <v>5684</v>
      </c>
      <c r="B3321" t="s">
        <v>8273</v>
      </c>
      <c r="C3321" t="s">
        <v>8395</v>
      </c>
      <c r="D3321" t="s">
        <v>8403</v>
      </c>
      <c r="E3321" t="s">
        <v>8446</v>
      </c>
      <c r="F3321" t="s">
        <v>8449</v>
      </c>
      <c r="G3321" t="s">
        <v>8455</v>
      </c>
    </row>
    <row r="3322" spans="1:7">
      <c r="A3322" t="s">
        <v>5685</v>
      </c>
      <c r="B3322" t="s">
        <v>8273</v>
      </c>
      <c r="C3322" t="s">
        <v>8398</v>
      </c>
      <c r="D3322" t="s">
        <v>8419</v>
      </c>
      <c r="E3322" t="s">
        <v>1519</v>
      </c>
      <c r="F3322" t="s">
        <v>8449</v>
      </c>
      <c r="G3322" t="s">
        <v>8455</v>
      </c>
    </row>
    <row r="3323" spans="1:7">
      <c r="A3323" t="s">
        <v>5686</v>
      </c>
      <c r="B3323" t="s">
        <v>8273</v>
      </c>
      <c r="C3323" t="s">
        <v>8394</v>
      </c>
      <c r="D3323" t="s">
        <v>8414</v>
      </c>
      <c r="E3323" t="s">
        <v>8446</v>
      </c>
      <c r="F3323" t="s">
        <v>8448</v>
      </c>
      <c r="G3323" t="s">
        <v>9013</v>
      </c>
    </row>
    <row r="3324" spans="1:7">
      <c r="A3324" t="s">
        <v>5687</v>
      </c>
      <c r="C3324" t="s">
        <v>8397</v>
      </c>
      <c r="D3324" t="s">
        <v>8408</v>
      </c>
      <c r="E3324" t="s">
        <v>8445</v>
      </c>
      <c r="F3324" t="s">
        <v>8450</v>
      </c>
    </row>
    <row r="3325" spans="1:7">
      <c r="A3325" t="s">
        <v>5688</v>
      </c>
      <c r="B3325" t="s">
        <v>8301</v>
      </c>
      <c r="C3325" t="s">
        <v>8396</v>
      </c>
      <c r="D3325" t="s">
        <v>8411</v>
      </c>
      <c r="E3325" t="s">
        <v>8444</v>
      </c>
      <c r="F3325" t="s">
        <v>8450</v>
      </c>
      <c r="G3325" t="s">
        <v>9014</v>
      </c>
    </row>
    <row r="3326" spans="1:7">
      <c r="A3326" t="s">
        <v>5689</v>
      </c>
      <c r="B3326" t="s">
        <v>8273</v>
      </c>
      <c r="C3326" t="s">
        <v>8398</v>
      </c>
      <c r="D3326" t="s">
        <v>8419</v>
      </c>
      <c r="E3326" t="s">
        <v>1519</v>
      </c>
      <c r="F3326" t="s">
        <v>8449</v>
      </c>
      <c r="G3326" t="s">
        <v>8455</v>
      </c>
    </row>
    <row r="3327" spans="1:7">
      <c r="A3327" t="s">
        <v>5690</v>
      </c>
      <c r="B3327" t="s">
        <v>8273</v>
      </c>
      <c r="C3327" t="s">
        <v>8396</v>
      </c>
      <c r="D3327" t="s">
        <v>8425</v>
      </c>
      <c r="E3327" t="s">
        <v>1519</v>
      </c>
      <c r="F3327" t="s">
        <v>8449</v>
      </c>
      <c r="G3327" t="s">
        <v>8455</v>
      </c>
    </row>
    <row r="3328" spans="1:7">
      <c r="A3328" t="s">
        <v>5691</v>
      </c>
      <c r="C3328" t="s">
        <v>8397</v>
      </c>
      <c r="D3328" t="s">
        <v>8408</v>
      </c>
      <c r="E3328" t="s">
        <v>8445</v>
      </c>
      <c r="F3328" t="s">
        <v>8450</v>
      </c>
    </row>
    <row r="3329" spans="1:7">
      <c r="A3329" t="s">
        <v>5692</v>
      </c>
      <c r="C3329" t="s">
        <v>8394</v>
      </c>
      <c r="D3329" t="s">
        <v>8414</v>
      </c>
      <c r="E3329" t="s">
        <v>8445</v>
      </c>
      <c r="F3329" t="s">
        <v>8448</v>
      </c>
      <c r="G3329" t="s">
        <v>9015</v>
      </c>
    </row>
    <row r="3330" spans="1:7">
      <c r="A3330" t="s">
        <v>5693</v>
      </c>
      <c r="B3330" t="s">
        <v>8273</v>
      </c>
      <c r="C3330" t="s">
        <v>8395</v>
      </c>
      <c r="D3330" t="s">
        <v>8403</v>
      </c>
      <c r="E3330" t="s">
        <v>8445</v>
      </c>
      <c r="F3330" t="s">
        <v>8449</v>
      </c>
      <c r="G3330" t="s">
        <v>8455</v>
      </c>
    </row>
    <row r="3331" spans="1:7">
      <c r="A3331" t="s">
        <v>5694</v>
      </c>
      <c r="C3331" t="s">
        <v>8393</v>
      </c>
      <c r="D3331" t="s">
        <v>8393</v>
      </c>
      <c r="E3331" t="s">
        <v>919</v>
      </c>
      <c r="F3331" t="s">
        <v>8393</v>
      </c>
    </row>
    <row r="3332" spans="1:7">
      <c r="A3332" t="s">
        <v>5695</v>
      </c>
      <c r="B3332" t="s">
        <v>8344</v>
      </c>
      <c r="C3332" t="s">
        <v>8394</v>
      </c>
      <c r="D3332" t="s">
        <v>8422</v>
      </c>
      <c r="E3332" t="s">
        <v>8445</v>
      </c>
      <c r="F3332" t="s">
        <v>8449</v>
      </c>
      <c r="G3332" t="s">
        <v>8455</v>
      </c>
    </row>
    <row r="3333" spans="1:7">
      <c r="A3333" t="s">
        <v>5696</v>
      </c>
      <c r="B3333" t="s">
        <v>8278</v>
      </c>
      <c r="C3333" t="s">
        <v>8394</v>
      </c>
      <c r="D3333" t="s">
        <v>8423</v>
      </c>
      <c r="E3333" t="s">
        <v>8444</v>
      </c>
      <c r="F3333" t="s">
        <v>8449</v>
      </c>
      <c r="G3333" t="s">
        <v>8455</v>
      </c>
    </row>
    <row r="3334" spans="1:7">
      <c r="A3334" t="s">
        <v>5697</v>
      </c>
      <c r="B3334" t="s">
        <v>8278</v>
      </c>
      <c r="C3334" t="s">
        <v>8394</v>
      </c>
      <c r="D3334" t="s">
        <v>8423</v>
      </c>
      <c r="E3334" t="s">
        <v>8444</v>
      </c>
      <c r="F3334" t="s">
        <v>8449</v>
      </c>
      <c r="G3334" t="s">
        <v>8455</v>
      </c>
    </row>
    <row r="3335" spans="1:7">
      <c r="A3335" t="s">
        <v>5698</v>
      </c>
      <c r="B3335" t="s">
        <v>8284</v>
      </c>
      <c r="C3335" t="s">
        <v>8394</v>
      </c>
      <c r="D3335" t="s">
        <v>8423</v>
      </c>
      <c r="E3335" t="s">
        <v>8444</v>
      </c>
      <c r="F3335" t="s">
        <v>8449</v>
      </c>
      <c r="G3335" t="s">
        <v>8455</v>
      </c>
    </row>
    <row r="3336" spans="1:7">
      <c r="A3336" t="s">
        <v>5699</v>
      </c>
      <c r="B3336" t="s">
        <v>8279</v>
      </c>
      <c r="C3336" t="s">
        <v>8394</v>
      </c>
      <c r="D3336" t="s">
        <v>8423</v>
      </c>
      <c r="E3336" t="s">
        <v>8444</v>
      </c>
      <c r="F3336" t="s">
        <v>8449</v>
      </c>
      <c r="G3336" t="s">
        <v>8455</v>
      </c>
    </row>
    <row r="3337" spans="1:7">
      <c r="A3337" t="s">
        <v>5700</v>
      </c>
      <c r="B3337" t="s">
        <v>8280</v>
      </c>
      <c r="C3337" t="s">
        <v>8394</v>
      </c>
      <c r="D3337" t="s">
        <v>8423</v>
      </c>
      <c r="E3337" t="s">
        <v>8444</v>
      </c>
      <c r="F3337" t="s">
        <v>8449</v>
      </c>
      <c r="G3337" t="s">
        <v>8455</v>
      </c>
    </row>
    <row r="3338" spans="1:7">
      <c r="A3338" t="s">
        <v>5701</v>
      </c>
      <c r="B3338" t="s">
        <v>8281</v>
      </c>
      <c r="C3338" t="s">
        <v>8394</v>
      </c>
      <c r="D3338" t="s">
        <v>8423</v>
      </c>
      <c r="E3338" t="s">
        <v>8444</v>
      </c>
      <c r="F3338" t="s">
        <v>8449</v>
      </c>
      <c r="G3338" t="s">
        <v>8455</v>
      </c>
    </row>
    <row r="3339" spans="1:7">
      <c r="A3339" t="s">
        <v>5702</v>
      </c>
      <c r="B3339" t="s">
        <v>8344</v>
      </c>
      <c r="C3339" t="s">
        <v>8395</v>
      </c>
      <c r="D3339" t="s">
        <v>8425</v>
      </c>
      <c r="E3339" t="s">
        <v>8445</v>
      </c>
      <c r="F3339" t="s">
        <v>8448</v>
      </c>
      <c r="G3339" t="s">
        <v>8455</v>
      </c>
    </row>
    <row r="3340" spans="1:7">
      <c r="A3340" t="s">
        <v>5703</v>
      </c>
      <c r="B3340" t="s">
        <v>8349</v>
      </c>
      <c r="C3340" t="s">
        <v>8395</v>
      </c>
      <c r="D3340" t="s">
        <v>8420</v>
      </c>
      <c r="E3340" t="s">
        <v>8445</v>
      </c>
      <c r="F3340" t="s">
        <v>8449</v>
      </c>
      <c r="G3340" t="s">
        <v>796</v>
      </c>
    </row>
    <row r="3341" spans="1:7">
      <c r="A3341" t="s">
        <v>5704</v>
      </c>
      <c r="B3341" t="s">
        <v>8344</v>
      </c>
      <c r="C3341" t="s">
        <v>8395</v>
      </c>
      <c r="D3341" t="s">
        <v>8400</v>
      </c>
      <c r="E3341" t="s">
        <v>8445</v>
      </c>
      <c r="F3341" t="s">
        <v>8449</v>
      </c>
      <c r="G3341" t="s">
        <v>796</v>
      </c>
    </row>
    <row r="3342" spans="1:7">
      <c r="A3342" t="s">
        <v>5705</v>
      </c>
      <c r="B3342" t="s">
        <v>8344</v>
      </c>
      <c r="C3342" t="s">
        <v>8395</v>
      </c>
      <c r="D3342" t="s">
        <v>8422</v>
      </c>
      <c r="E3342" t="s">
        <v>8445</v>
      </c>
      <c r="F3342" t="s">
        <v>8449</v>
      </c>
      <c r="G3342" t="s">
        <v>8455</v>
      </c>
    </row>
    <row r="3343" spans="1:7">
      <c r="A3343" t="s">
        <v>5706</v>
      </c>
      <c r="B3343" t="s">
        <v>8350</v>
      </c>
      <c r="C3343" t="s">
        <v>8394</v>
      </c>
      <c r="D3343" t="s">
        <v>8423</v>
      </c>
      <c r="E3343" t="s">
        <v>8444</v>
      </c>
      <c r="F3343" t="s">
        <v>8449</v>
      </c>
      <c r="G3343" t="s">
        <v>8455</v>
      </c>
    </row>
    <row r="3344" spans="1:7">
      <c r="A3344" t="s">
        <v>5707</v>
      </c>
      <c r="B3344" t="s">
        <v>8351</v>
      </c>
      <c r="C3344" t="s">
        <v>8394</v>
      </c>
      <c r="D3344" t="s">
        <v>8423</v>
      </c>
      <c r="E3344" t="s">
        <v>8444</v>
      </c>
      <c r="F3344" t="s">
        <v>8449</v>
      </c>
      <c r="G3344" t="s">
        <v>8455</v>
      </c>
    </row>
    <row r="3345" spans="1:7">
      <c r="A3345" t="s">
        <v>5708</v>
      </c>
      <c r="B3345" t="s">
        <v>8352</v>
      </c>
      <c r="C3345" t="s">
        <v>8394</v>
      </c>
      <c r="D3345" t="s">
        <v>8423</v>
      </c>
      <c r="E3345" t="s">
        <v>8444</v>
      </c>
      <c r="F3345" t="s">
        <v>8449</v>
      </c>
      <c r="G3345" t="s">
        <v>8455</v>
      </c>
    </row>
    <row r="3346" spans="1:7">
      <c r="A3346" t="s">
        <v>5709</v>
      </c>
      <c r="B3346" t="s">
        <v>8353</v>
      </c>
      <c r="C3346" t="s">
        <v>8394</v>
      </c>
      <c r="D3346" t="s">
        <v>8423</v>
      </c>
      <c r="E3346" t="s">
        <v>8444</v>
      </c>
      <c r="F3346" t="s">
        <v>8449</v>
      </c>
      <c r="G3346" t="s">
        <v>8455</v>
      </c>
    </row>
    <row r="3347" spans="1:7">
      <c r="A3347" t="s">
        <v>5710</v>
      </c>
      <c r="B3347" t="s">
        <v>8344</v>
      </c>
      <c r="C3347" t="s">
        <v>8395</v>
      </c>
      <c r="D3347" t="s">
        <v>8400</v>
      </c>
      <c r="E3347" t="s">
        <v>8445</v>
      </c>
      <c r="F3347" t="s">
        <v>8448</v>
      </c>
      <c r="G3347" t="s">
        <v>8455</v>
      </c>
    </row>
    <row r="3348" spans="1:7">
      <c r="A3348" t="s">
        <v>5711</v>
      </c>
      <c r="B3348" t="s">
        <v>8344</v>
      </c>
      <c r="C3348" t="s">
        <v>8395</v>
      </c>
      <c r="D3348" t="s">
        <v>8400</v>
      </c>
      <c r="E3348" t="s">
        <v>8445</v>
      </c>
      <c r="F3348" t="s">
        <v>8448</v>
      </c>
      <c r="G3348" t="s">
        <v>8455</v>
      </c>
    </row>
    <row r="3349" spans="1:7">
      <c r="A3349" t="s">
        <v>5712</v>
      </c>
      <c r="B3349" t="s">
        <v>8354</v>
      </c>
      <c r="C3349" t="s">
        <v>8395</v>
      </c>
      <c r="D3349" t="s">
        <v>8400</v>
      </c>
      <c r="E3349" t="s">
        <v>8445</v>
      </c>
      <c r="F3349" t="s">
        <v>8448</v>
      </c>
      <c r="G3349" t="s">
        <v>8455</v>
      </c>
    </row>
    <row r="3350" spans="1:7">
      <c r="A3350" t="s">
        <v>5713</v>
      </c>
      <c r="B3350" t="s">
        <v>8355</v>
      </c>
      <c r="C3350" t="s">
        <v>8395</v>
      </c>
      <c r="D3350" t="s">
        <v>8400</v>
      </c>
      <c r="E3350" t="s">
        <v>8445</v>
      </c>
      <c r="F3350" t="s">
        <v>8448</v>
      </c>
      <c r="G3350" t="s">
        <v>8455</v>
      </c>
    </row>
    <row r="3351" spans="1:7">
      <c r="A3351" t="s">
        <v>5714</v>
      </c>
      <c r="B3351" t="s">
        <v>8349</v>
      </c>
      <c r="C3351" t="s">
        <v>8395</v>
      </c>
      <c r="D3351" t="s">
        <v>8400</v>
      </c>
      <c r="E3351" t="s">
        <v>8445</v>
      </c>
      <c r="F3351" t="s">
        <v>8448</v>
      </c>
      <c r="G3351" t="s">
        <v>8455</v>
      </c>
    </row>
    <row r="3352" spans="1:7">
      <c r="A3352" t="s">
        <v>5715</v>
      </c>
      <c r="B3352" t="s">
        <v>8356</v>
      </c>
      <c r="C3352" t="s">
        <v>8395</v>
      </c>
      <c r="D3352" t="s">
        <v>8400</v>
      </c>
      <c r="E3352" t="s">
        <v>8445</v>
      </c>
      <c r="F3352" t="s">
        <v>8448</v>
      </c>
      <c r="G3352" t="s">
        <v>8455</v>
      </c>
    </row>
    <row r="3353" spans="1:7">
      <c r="A3353" t="s">
        <v>5716</v>
      </c>
      <c r="B3353" t="s">
        <v>8354</v>
      </c>
      <c r="C3353" t="s">
        <v>8396</v>
      </c>
      <c r="D3353" t="s">
        <v>8404</v>
      </c>
      <c r="E3353" t="s">
        <v>8445</v>
      </c>
      <c r="F3353" t="s">
        <v>8449</v>
      </c>
      <c r="G3353" t="s">
        <v>8455</v>
      </c>
    </row>
    <row r="3354" spans="1:7">
      <c r="A3354" t="s">
        <v>5717</v>
      </c>
      <c r="B3354" t="s">
        <v>8355</v>
      </c>
      <c r="C3354" t="s">
        <v>8396</v>
      </c>
      <c r="D3354" t="s">
        <v>8404</v>
      </c>
      <c r="E3354" t="s">
        <v>8445</v>
      </c>
      <c r="F3354" t="s">
        <v>8449</v>
      </c>
      <c r="G3354" t="s">
        <v>8455</v>
      </c>
    </row>
    <row r="3355" spans="1:7">
      <c r="A3355" t="s">
        <v>5718</v>
      </c>
      <c r="B3355" t="s">
        <v>8357</v>
      </c>
      <c r="C3355" t="s">
        <v>8396</v>
      </c>
      <c r="D3355" t="s">
        <v>8404</v>
      </c>
      <c r="E3355" t="s">
        <v>8445</v>
      </c>
      <c r="F3355" t="s">
        <v>8449</v>
      </c>
      <c r="G3355" t="s">
        <v>8455</v>
      </c>
    </row>
    <row r="3356" spans="1:7">
      <c r="A3356" t="s">
        <v>5719</v>
      </c>
      <c r="B3356" t="s">
        <v>8344</v>
      </c>
      <c r="C3356" t="s">
        <v>8396</v>
      </c>
      <c r="D3356" t="s">
        <v>8404</v>
      </c>
      <c r="E3356" t="s">
        <v>8445</v>
      </c>
      <c r="F3356" t="s">
        <v>8449</v>
      </c>
      <c r="G3356" t="s">
        <v>8455</v>
      </c>
    </row>
    <row r="3357" spans="1:7">
      <c r="A3357" t="s">
        <v>5720</v>
      </c>
      <c r="B3357" t="s">
        <v>8356</v>
      </c>
      <c r="C3357" t="s">
        <v>8396</v>
      </c>
      <c r="D3357" t="s">
        <v>8404</v>
      </c>
      <c r="E3357" t="s">
        <v>8445</v>
      </c>
      <c r="F3357" t="s">
        <v>8449</v>
      </c>
      <c r="G3357" t="s">
        <v>8455</v>
      </c>
    </row>
    <row r="3358" spans="1:7">
      <c r="A3358" t="s">
        <v>5721</v>
      </c>
      <c r="B3358" t="s">
        <v>8358</v>
      </c>
      <c r="C3358" t="s">
        <v>8396</v>
      </c>
      <c r="D3358" t="s">
        <v>8404</v>
      </c>
      <c r="E3358" t="s">
        <v>8445</v>
      </c>
      <c r="F3358" t="s">
        <v>8449</v>
      </c>
      <c r="G3358" t="s">
        <v>8455</v>
      </c>
    </row>
    <row r="3359" spans="1:7">
      <c r="A3359" t="s">
        <v>5722</v>
      </c>
      <c r="B3359" t="s">
        <v>8356</v>
      </c>
      <c r="C3359" t="s">
        <v>8396</v>
      </c>
      <c r="D3359" t="s">
        <v>8404</v>
      </c>
      <c r="E3359" t="s">
        <v>8445</v>
      </c>
      <c r="F3359" t="s">
        <v>8449</v>
      </c>
      <c r="G3359" t="s">
        <v>8455</v>
      </c>
    </row>
    <row r="3360" spans="1:7">
      <c r="A3360" t="s">
        <v>5723</v>
      </c>
      <c r="B3360" t="s">
        <v>8350</v>
      </c>
      <c r="C3360" t="s">
        <v>8394</v>
      </c>
      <c r="D3360" t="s">
        <v>8422</v>
      </c>
      <c r="E3360" t="s">
        <v>8444</v>
      </c>
      <c r="F3360" t="s">
        <v>8449</v>
      </c>
      <c r="G3360" t="s">
        <v>8455</v>
      </c>
    </row>
    <row r="3361" spans="1:7">
      <c r="A3361" t="s">
        <v>5724</v>
      </c>
      <c r="B3361" t="s">
        <v>8350</v>
      </c>
      <c r="C3361" t="s">
        <v>8394</v>
      </c>
      <c r="D3361" t="s">
        <v>8422</v>
      </c>
      <c r="E3361" t="s">
        <v>8444</v>
      </c>
      <c r="F3361" t="s">
        <v>8449</v>
      </c>
      <c r="G3361" t="s">
        <v>8455</v>
      </c>
    </row>
    <row r="3362" spans="1:7">
      <c r="A3362" t="s">
        <v>5725</v>
      </c>
      <c r="B3362" t="s">
        <v>8350</v>
      </c>
      <c r="C3362" t="s">
        <v>8394</v>
      </c>
      <c r="D3362" t="s">
        <v>8422</v>
      </c>
      <c r="E3362" t="s">
        <v>8444</v>
      </c>
      <c r="F3362" t="s">
        <v>8449</v>
      </c>
      <c r="G3362" t="s">
        <v>8455</v>
      </c>
    </row>
    <row r="3363" spans="1:7">
      <c r="A3363" t="s">
        <v>5726</v>
      </c>
      <c r="B3363" t="s">
        <v>8351</v>
      </c>
      <c r="C3363" t="s">
        <v>8394</v>
      </c>
      <c r="D3363" t="s">
        <v>8422</v>
      </c>
      <c r="E3363" t="s">
        <v>8444</v>
      </c>
      <c r="F3363" t="s">
        <v>8449</v>
      </c>
      <c r="G3363" t="s">
        <v>8455</v>
      </c>
    </row>
    <row r="3364" spans="1:7">
      <c r="A3364" t="s">
        <v>5727</v>
      </c>
      <c r="B3364" t="s">
        <v>8359</v>
      </c>
      <c r="C3364" t="s">
        <v>8394</v>
      </c>
      <c r="D3364" t="s">
        <v>8422</v>
      </c>
      <c r="E3364" t="s">
        <v>8444</v>
      </c>
      <c r="F3364" t="s">
        <v>8449</v>
      </c>
      <c r="G3364" t="s">
        <v>8455</v>
      </c>
    </row>
    <row r="3365" spans="1:7">
      <c r="A3365" t="s">
        <v>5728</v>
      </c>
      <c r="B3365" t="s">
        <v>8352</v>
      </c>
      <c r="C3365" t="s">
        <v>8394</v>
      </c>
      <c r="D3365" t="s">
        <v>8422</v>
      </c>
      <c r="E3365" t="s">
        <v>8444</v>
      </c>
      <c r="F3365" t="s">
        <v>8449</v>
      </c>
      <c r="G3365" t="s">
        <v>8455</v>
      </c>
    </row>
    <row r="3366" spans="1:7">
      <c r="A3366" t="s">
        <v>5729</v>
      </c>
      <c r="B3366" t="s">
        <v>8360</v>
      </c>
      <c r="C3366" t="s">
        <v>8394</v>
      </c>
      <c r="D3366" t="s">
        <v>8422</v>
      </c>
      <c r="E3366" t="s">
        <v>8444</v>
      </c>
      <c r="F3366" t="s">
        <v>8449</v>
      </c>
      <c r="G3366" t="s">
        <v>8455</v>
      </c>
    </row>
    <row r="3367" spans="1:7">
      <c r="A3367" t="s">
        <v>5730</v>
      </c>
      <c r="B3367" t="s">
        <v>8361</v>
      </c>
      <c r="C3367" t="s">
        <v>8394</v>
      </c>
      <c r="D3367" t="s">
        <v>8422</v>
      </c>
      <c r="E3367" t="s">
        <v>8444</v>
      </c>
      <c r="F3367" t="s">
        <v>8449</v>
      </c>
      <c r="G3367" t="s">
        <v>8455</v>
      </c>
    </row>
    <row r="3368" spans="1:7">
      <c r="A3368" t="s">
        <v>5731</v>
      </c>
      <c r="B3368" t="s">
        <v>8344</v>
      </c>
      <c r="C3368" t="s">
        <v>8394</v>
      </c>
      <c r="D3368" t="s">
        <v>8422</v>
      </c>
      <c r="E3368" t="s">
        <v>8445</v>
      </c>
      <c r="F3368" t="s">
        <v>8449</v>
      </c>
      <c r="G3368" t="s">
        <v>8455</v>
      </c>
    </row>
    <row r="3369" spans="1:7">
      <c r="A3369" t="s">
        <v>5732</v>
      </c>
      <c r="B3369" t="s">
        <v>8355</v>
      </c>
      <c r="C3369" t="s">
        <v>8394</v>
      </c>
      <c r="D3369" t="s">
        <v>8422</v>
      </c>
      <c r="E3369" t="s">
        <v>8445</v>
      </c>
      <c r="F3369" t="s">
        <v>8449</v>
      </c>
      <c r="G3369" t="s">
        <v>8455</v>
      </c>
    </row>
    <row r="3370" spans="1:7">
      <c r="A3370" t="s">
        <v>5733</v>
      </c>
      <c r="B3370" t="s">
        <v>8356</v>
      </c>
      <c r="C3370" t="s">
        <v>8394</v>
      </c>
      <c r="D3370" t="s">
        <v>8422</v>
      </c>
      <c r="E3370" t="s">
        <v>8445</v>
      </c>
      <c r="F3370" t="s">
        <v>8449</v>
      </c>
      <c r="G3370" t="s">
        <v>8455</v>
      </c>
    </row>
    <row r="3371" spans="1:7">
      <c r="A3371" t="s">
        <v>5734</v>
      </c>
      <c r="B3371" t="s">
        <v>8344</v>
      </c>
      <c r="C3371" t="s">
        <v>8394</v>
      </c>
      <c r="D3371" t="s">
        <v>8422</v>
      </c>
      <c r="E3371" t="s">
        <v>8445</v>
      </c>
      <c r="F3371" t="s">
        <v>8449</v>
      </c>
      <c r="G3371" t="s">
        <v>8455</v>
      </c>
    </row>
    <row r="3372" spans="1:7">
      <c r="A3372" t="s">
        <v>5735</v>
      </c>
      <c r="B3372" t="s">
        <v>8356</v>
      </c>
      <c r="C3372" t="s">
        <v>8394</v>
      </c>
      <c r="D3372" t="s">
        <v>8422</v>
      </c>
      <c r="E3372" t="s">
        <v>8445</v>
      </c>
      <c r="F3372" t="s">
        <v>8449</v>
      </c>
      <c r="G3372" t="s">
        <v>8455</v>
      </c>
    </row>
    <row r="3373" spans="1:7">
      <c r="A3373" t="s">
        <v>5736</v>
      </c>
      <c r="B3373" t="s">
        <v>8362</v>
      </c>
      <c r="C3373" t="s">
        <v>8394</v>
      </c>
      <c r="D3373" t="s">
        <v>8422</v>
      </c>
      <c r="E3373" t="s">
        <v>8445</v>
      </c>
      <c r="F3373" t="s">
        <v>8448</v>
      </c>
      <c r="G3373" t="s">
        <v>8519</v>
      </c>
    </row>
    <row r="3374" spans="1:7">
      <c r="A3374" t="s">
        <v>5737</v>
      </c>
      <c r="B3374" t="s">
        <v>8363</v>
      </c>
      <c r="C3374" t="s">
        <v>8395</v>
      </c>
      <c r="D3374" t="s">
        <v>8422</v>
      </c>
      <c r="E3374" t="s">
        <v>8445</v>
      </c>
      <c r="F3374" t="s">
        <v>8448</v>
      </c>
      <c r="G3374" t="s">
        <v>8519</v>
      </c>
    </row>
    <row r="3375" spans="1:7">
      <c r="A3375" t="s">
        <v>5738</v>
      </c>
      <c r="B3375" t="s">
        <v>8362</v>
      </c>
      <c r="C3375" t="s">
        <v>8394</v>
      </c>
      <c r="D3375" t="s">
        <v>8422</v>
      </c>
      <c r="E3375" t="s">
        <v>8445</v>
      </c>
      <c r="F3375" t="s">
        <v>8448</v>
      </c>
      <c r="G3375" t="s">
        <v>8455</v>
      </c>
    </row>
    <row r="3376" spans="1:7">
      <c r="A3376" t="s">
        <v>5739</v>
      </c>
      <c r="B3376" t="s">
        <v>8364</v>
      </c>
      <c r="C3376" t="s">
        <v>8394</v>
      </c>
      <c r="D3376" t="s">
        <v>8422</v>
      </c>
      <c r="E3376" t="s">
        <v>8445</v>
      </c>
      <c r="F3376" t="s">
        <v>8448</v>
      </c>
      <c r="G3376" t="s">
        <v>8455</v>
      </c>
    </row>
    <row r="3377" spans="1:7">
      <c r="A3377" t="s">
        <v>5740</v>
      </c>
      <c r="B3377" t="s">
        <v>8365</v>
      </c>
      <c r="C3377" t="s">
        <v>8395</v>
      </c>
      <c r="D3377" t="s">
        <v>8422</v>
      </c>
      <c r="E3377" t="s">
        <v>8445</v>
      </c>
      <c r="F3377" t="s">
        <v>8448</v>
      </c>
      <c r="G3377" t="s">
        <v>8455</v>
      </c>
    </row>
    <row r="3378" spans="1:7">
      <c r="A3378" t="s">
        <v>5741</v>
      </c>
      <c r="B3378" t="s">
        <v>8366</v>
      </c>
      <c r="C3378" t="s">
        <v>8395</v>
      </c>
      <c r="D3378" t="s">
        <v>8422</v>
      </c>
      <c r="E3378" t="s">
        <v>8445</v>
      </c>
      <c r="F3378" t="s">
        <v>8448</v>
      </c>
      <c r="G3378" t="s">
        <v>8455</v>
      </c>
    </row>
    <row r="3379" spans="1:7">
      <c r="A3379" t="s">
        <v>5742</v>
      </c>
      <c r="B3379" t="s">
        <v>8362</v>
      </c>
      <c r="C3379" t="s">
        <v>8394</v>
      </c>
      <c r="D3379" t="s">
        <v>8422</v>
      </c>
      <c r="E3379" t="s">
        <v>8445</v>
      </c>
      <c r="F3379" t="s">
        <v>8448</v>
      </c>
      <c r="G3379" t="s">
        <v>8455</v>
      </c>
    </row>
    <row r="3380" spans="1:7">
      <c r="A3380" t="s">
        <v>5743</v>
      </c>
      <c r="B3380" t="s">
        <v>8362</v>
      </c>
      <c r="C3380" t="s">
        <v>8394</v>
      </c>
      <c r="D3380" t="s">
        <v>8422</v>
      </c>
      <c r="E3380" t="s">
        <v>8445</v>
      </c>
      <c r="F3380" t="s">
        <v>8448</v>
      </c>
      <c r="G3380" t="s">
        <v>8455</v>
      </c>
    </row>
    <row r="3381" spans="1:7">
      <c r="A3381" t="s">
        <v>5744</v>
      </c>
      <c r="B3381" t="s">
        <v>8362</v>
      </c>
      <c r="C3381" t="s">
        <v>8394</v>
      </c>
      <c r="D3381" t="s">
        <v>8422</v>
      </c>
      <c r="E3381" t="s">
        <v>8445</v>
      </c>
      <c r="F3381" t="s">
        <v>8448</v>
      </c>
      <c r="G3381" t="s">
        <v>8455</v>
      </c>
    </row>
    <row r="3382" spans="1:7">
      <c r="A3382" t="s">
        <v>5745</v>
      </c>
      <c r="B3382" t="s">
        <v>8367</v>
      </c>
      <c r="C3382" t="s">
        <v>8395</v>
      </c>
      <c r="D3382" t="s">
        <v>8422</v>
      </c>
      <c r="E3382" t="s">
        <v>8445</v>
      </c>
      <c r="F3382" t="s">
        <v>8448</v>
      </c>
      <c r="G3382" t="s">
        <v>8455</v>
      </c>
    </row>
    <row r="3383" spans="1:7">
      <c r="A3383" t="s">
        <v>5746</v>
      </c>
      <c r="B3383" t="s">
        <v>8368</v>
      </c>
      <c r="C3383" t="s">
        <v>8395</v>
      </c>
      <c r="D3383" t="s">
        <v>8422</v>
      </c>
      <c r="E3383" t="s">
        <v>8445</v>
      </c>
      <c r="F3383" t="s">
        <v>8448</v>
      </c>
      <c r="G3383" t="s">
        <v>8455</v>
      </c>
    </row>
    <row r="3384" spans="1:7">
      <c r="A3384" t="s">
        <v>5747</v>
      </c>
      <c r="B3384" t="s">
        <v>8369</v>
      </c>
      <c r="C3384" t="s">
        <v>8395</v>
      </c>
      <c r="D3384" t="s">
        <v>8422</v>
      </c>
      <c r="E3384" t="s">
        <v>8445</v>
      </c>
      <c r="F3384" t="s">
        <v>8448</v>
      </c>
      <c r="G3384" t="s">
        <v>8455</v>
      </c>
    </row>
    <row r="3385" spans="1:7">
      <c r="A3385" t="s">
        <v>5748</v>
      </c>
      <c r="B3385" t="s">
        <v>8344</v>
      </c>
      <c r="C3385" t="s">
        <v>8395</v>
      </c>
      <c r="D3385" t="s">
        <v>8422</v>
      </c>
      <c r="E3385" t="s">
        <v>8445</v>
      </c>
      <c r="F3385" t="s">
        <v>8449</v>
      </c>
      <c r="G3385" t="s">
        <v>8455</v>
      </c>
    </row>
    <row r="3386" spans="1:7">
      <c r="A3386" t="s">
        <v>5749</v>
      </c>
      <c r="B3386" t="s">
        <v>8344</v>
      </c>
      <c r="C3386" t="s">
        <v>8395</v>
      </c>
      <c r="D3386" t="s">
        <v>8404</v>
      </c>
      <c r="E3386" t="s">
        <v>8445</v>
      </c>
      <c r="F3386" t="s">
        <v>8449</v>
      </c>
      <c r="G3386" t="s">
        <v>9016</v>
      </c>
    </row>
    <row r="3387" spans="1:7">
      <c r="A3387" t="s">
        <v>5750</v>
      </c>
      <c r="B3387" t="s">
        <v>8344</v>
      </c>
      <c r="C3387" t="s">
        <v>8396</v>
      </c>
      <c r="D3387" t="s">
        <v>8426</v>
      </c>
      <c r="E3387" t="s">
        <v>8445</v>
      </c>
      <c r="F3387" t="s">
        <v>8449</v>
      </c>
      <c r="G3387" t="s">
        <v>8455</v>
      </c>
    </row>
    <row r="3388" spans="1:7">
      <c r="A3388" t="s">
        <v>5751</v>
      </c>
      <c r="B3388" t="s">
        <v>8344</v>
      </c>
      <c r="C3388" t="s">
        <v>8396</v>
      </c>
      <c r="D3388" t="s">
        <v>8426</v>
      </c>
      <c r="E3388" t="s">
        <v>8445</v>
      </c>
      <c r="F3388" t="s">
        <v>8449</v>
      </c>
      <c r="G3388" t="s">
        <v>8455</v>
      </c>
    </row>
    <row r="3389" spans="1:7">
      <c r="A3389" t="s">
        <v>5752</v>
      </c>
      <c r="B3389" t="s">
        <v>8354</v>
      </c>
      <c r="C3389" t="s">
        <v>8396</v>
      </c>
      <c r="D3389" t="s">
        <v>8426</v>
      </c>
      <c r="E3389" t="s">
        <v>8445</v>
      </c>
      <c r="F3389" t="s">
        <v>8449</v>
      </c>
      <c r="G3389" t="s">
        <v>8455</v>
      </c>
    </row>
    <row r="3390" spans="1:7">
      <c r="A3390" t="s">
        <v>5753</v>
      </c>
      <c r="B3390" t="s">
        <v>8355</v>
      </c>
      <c r="C3390" t="s">
        <v>8395</v>
      </c>
      <c r="D3390" t="s">
        <v>8426</v>
      </c>
      <c r="E3390" t="s">
        <v>8445</v>
      </c>
      <c r="F3390" t="s">
        <v>8449</v>
      </c>
      <c r="G3390" t="s">
        <v>8455</v>
      </c>
    </row>
    <row r="3391" spans="1:7">
      <c r="A3391" t="s">
        <v>5754</v>
      </c>
      <c r="B3391" t="s">
        <v>8357</v>
      </c>
      <c r="C3391" t="s">
        <v>8396</v>
      </c>
      <c r="D3391" t="s">
        <v>8426</v>
      </c>
      <c r="E3391" t="s">
        <v>8445</v>
      </c>
      <c r="F3391" t="s">
        <v>8449</v>
      </c>
      <c r="G3391" t="s">
        <v>8455</v>
      </c>
    </row>
    <row r="3392" spans="1:7">
      <c r="A3392" t="s">
        <v>5755</v>
      </c>
      <c r="B3392" t="s">
        <v>8358</v>
      </c>
      <c r="C3392" t="s">
        <v>8396</v>
      </c>
      <c r="D3392" t="s">
        <v>8426</v>
      </c>
      <c r="E3392" t="s">
        <v>8445</v>
      </c>
      <c r="F3392" t="s">
        <v>8449</v>
      </c>
      <c r="G3392" t="s">
        <v>8455</v>
      </c>
    </row>
    <row r="3393" spans="1:7">
      <c r="A3393" t="s">
        <v>5756</v>
      </c>
      <c r="B3393" t="s">
        <v>8349</v>
      </c>
      <c r="C3393" t="s">
        <v>8396</v>
      </c>
      <c r="D3393" t="s">
        <v>8426</v>
      </c>
      <c r="E3393" t="s">
        <v>8445</v>
      </c>
      <c r="F3393" t="s">
        <v>8449</v>
      </c>
      <c r="G3393" t="s">
        <v>8455</v>
      </c>
    </row>
    <row r="3394" spans="1:7">
      <c r="A3394" t="s">
        <v>5757</v>
      </c>
      <c r="B3394" t="s">
        <v>8356</v>
      </c>
      <c r="C3394" t="s">
        <v>8396</v>
      </c>
      <c r="D3394" t="s">
        <v>8426</v>
      </c>
      <c r="E3394" t="s">
        <v>8445</v>
      </c>
      <c r="F3394" t="s">
        <v>8449</v>
      </c>
      <c r="G3394" t="s">
        <v>8455</v>
      </c>
    </row>
    <row r="3395" spans="1:7">
      <c r="A3395" t="s">
        <v>5758</v>
      </c>
      <c r="B3395" t="s">
        <v>8344</v>
      </c>
      <c r="C3395" t="s">
        <v>8394</v>
      </c>
      <c r="D3395" t="s">
        <v>8422</v>
      </c>
      <c r="E3395" t="s">
        <v>8445</v>
      </c>
      <c r="F3395" t="s">
        <v>8448</v>
      </c>
      <c r="G3395" t="s">
        <v>8455</v>
      </c>
    </row>
    <row r="3396" spans="1:7">
      <c r="A3396" t="s">
        <v>5759</v>
      </c>
      <c r="B3396" t="s">
        <v>8344</v>
      </c>
      <c r="C3396" t="s">
        <v>8394</v>
      </c>
      <c r="D3396" t="s">
        <v>8422</v>
      </c>
      <c r="E3396" t="s">
        <v>8445</v>
      </c>
      <c r="F3396" t="s">
        <v>8448</v>
      </c>
      <c r="G3396" t="s">
        <v>8455</v>
      </c>
    </row>
    <row r="3397" spans="1:7">
      <c r="A3397" t="s">
        <v>5760</v>
      </c>
      <c r="B3397" t="s">
        <v>8344</v>
      </c>
      <c r="C3397" t="s">
        <v>8395</v>
      </c>
      <c r="D3397" t="s">
        <v>8440</v>
      </c>
      <c r="E3397" t="s">
        <v>8445</v>
      </c>
      <c r="F3397" t="s">
        <v>8449</v>
      </c>
      <c r="G3397" t="s">
        <v>8455</v>
      </c>
    </row>
    <row r="3398" spans="1:7">
      <c r="A3398" t="s">
        <v>5761</v>
      </c>
      <c r="B3398" t="s">
        <v>8273</v>
      </c>
      <c r="C3398" t="s">
        <v>8392</v>
      </c>
      <c r="D3398" t="s">
        <v>8415</v>
      </c>
      <c r="E3398" t="s">
        <v>1519</v>
      </c>
      <c r="F3398" t="s">
        <v>8449</v>
      </c>
      <c r="G3398" t="s">
        <v>8455</v>
      </c>
    </row>
    <row r="3399" spans="1:7">
      <c r="A3399" t="s">
        <v>5762</v>
      </c>
      <c r="B3399" t="s">
        <v>8273</v>
      </c>
      <c r="C3399" t="s">
        <v>8395</v>
      </c>
      <c r="D3399" t="s">
        <v>8420</v>
      </c>
      <c r="E3399" t="s">
        <v>8446</v>
      </c>
      <c r="F3399" t="s">
        <v>8448</v>
      </c>
      <c r="G3399" t="s">
        <v>8455</v>
      </c>
    </row>
    <row r="3400" spans="1:7">
      <c r="A3400" t="s">
        <v>5763</v>
      </c>
      <c r="B3400" t="s">
        <v>8273</v>
      </c>
      <c r="C3400" t="s">
        <v>8398</v>
      </c>
      <c r="D3400" t="s">
        <v>8419</v>
      </c>
      <c r="E3400" t="s">
        <v>8445</v>
      </c>
      <c r="F3400" t="s">
        <v>8448</v>
      </c>
      <c r="G3400" t="s">
        <v>9017</v>
      </c>
    </row>
    <row r="3401" spans="1:7">
      <c r="A3401" t="s">
        <v>5764</v>
      </c>
      <c r="B3401" t="s">
        <v>8273</v>
      </c>
      <c r="C3401" t="s">
        <v>8394</v>
      </c>
      <c r="D3401" t="s">
        <v>8414</v>
      </c>
      <c r="E3401" t="s">
        <v>8445</v>
      </c>
      <c r="F3401" t="s">
        <v>8448</v>
      </c>
      <c r="G3401" t="s">
        <v>9018</v>
      </c>
    </row>
    <row r="3402" spans="1:7">
      <c r="A3402" t="s">
        <v>5765</v>
      </c>
      <c r="C3402" t="s">
        <v>8394</v>
      </c>
      <c r="D3402" t="s">
        <v>8414</v>
      </c>
      <c r="E3402" t="s">
        <v>8445</v>
      </c>
      <c r="F3402" t="s">
        <v>8448</v>
      </c>
      <c r="G3402" t="s">
        <v>9019</v>
      </c>
    </row>
    <row r="3403" spans="1:7">
      <c r="A3403" t="s">
        <v>5766</v>
      </c>
      <c r="C3403" t="s">
        <v>8394</v>
      </c>
      <c r="D3403" t="s">
        <v>8403</v>
      </c>
      <c r="E3403" t="s">
        <v>8445</v>
      </c>
      <c r="F3403" t="s">
        <v>8448</v>
      </c>
      <c r="G3403" t="s">
        <v>9019</v>
      </c>
    </row>
    <row r="3404" spans="1:7">
      <c r="A3404" t="s">
        <v>5767</v>
      </c>
      <c r="B3404" t="s">
        <v>8273</v>
      </c>
      <c r="C3404" t="s">
        <v>8395</v>
      </c>
      <c r="D3404" t="s">
        <v>8422</v>
      </c>
      <c r="E3404" t="s">
        <v>8446</v>
      </c>
      <c r="F3404" t="s">
        <v>8449</v>
      </c>
      <c r="G3404" t="s">
        <v>8455</v>
      </c>
    </row>
    <row r="3405" spans="1:7">
      <c r="A3405" t="s">
        <v>5768</v>
      </c>
      <c r="C3405" t="s">
        <v>8394</v>
      </c>
      <c r="D3405" t="s">
        <v>8413</v>
      </c>
      <c r="E3405" t="s">
        <v>8445</v>
      </c>
      <c r="F3405" t="s">
        <v>8448</v>
      </c>
      <c r="G3405" t="s">
        <v>8453</v>
      </c>
    </row>
    <row r="3406" spans="1:7">
      <c r="A3406" t="s">
        <v>5769</v>
      </c>
      <c r="C3406" t="s">
        <v>8394</v>
      </c>
      <c r="D3406" t="s">
        <v>8413</v>
      </c>
      <c r="E3406" t="s">
        <v>8445</v>
      </c>
      <c r="F3406" t="s">
        <v>8448</v>
      </c>
      <c r="G3406" t="s">
        <v>8453</v>
      </c>
    </row>
    <row r="3407" spans="1:7">
      <c r="A3407" t="s">
        <v>5770</v>
      </c>
      <c r="C3407" t="s">
        <v>8394</v>
      </c>
      <c r="D3407" t="s">
        <v>8413</v>
      </c>
      <c r="E3407" t="s">
        <v>8445</v>
      </c>
      <c r="F3407" t="s">
        <v>8448</v>
      </c>
      <c r="G3407" t="s">
        <v>8474</v>
      </c>
    </row>
    <row r="3408" spans="1:7">
      <c r="A3408" t="s">
        <v>5771</v>
      </c>
      <c r="C3408" t="s">
        <v>8394</v>
      </c>
      <c r="D3408" t="s">
        <v>8413</v>
      </c>
      <c r="E3408" t="s">
        <v>8445</v>
      </c>
      <c r="F3408" t="s">
        <v>8448</v>
      </c>
      <c r="G3408" t="s">
        <v>9020</v>
      </c>
    </row>
    <row r="3409" spans="1:7">
      <c r="A3409" t="s">
        <v>5772</v>
      </c>
      <c r="C3409" t="s">
        <v>8394</v>
      </c>
      <c r="D3409" t="s">
        <v>8413</v>
      </c>
      <c r="E3409" t="s">
        <v>8445</v>
      </c>
      <c r="F3409" t="s">
        <v>8448</v>
      </c>
      <c r="G3409" t="s">
        <v>9021</v>
      </c>
    </row>
    <row r="3410" spans="1:7">
      <c r="A3410" t="s">
        <v>5773</v>
      </c>
      <c r="C3410" t="s">
        <v>8394</v>
      </c>
      <c r="D3410" t="s">
        <v>8413</v>
      </c>
      <c r="E3410" t="s">
        <v>8445</v>
      </c>
      <c r="F3410" t="s">
        <v>8448</v>
      </c>
      <c r="G3410" t="s">
        <v>9022</v>
      </c>
    </row>
    <row r="3411" spans="1:7">
      <c r="A3411" t="s">
        <v>5774</v>
      </c>
      <c r="B3411" t="s">
        <v>8273</v>
      </c>
      <c r="C3411" t="s">
        <v>8398</v>
      </c>
      <c r="D3411" t="s">
        <v>8409</v>
      </c>
      <c r="E3411" t="s">
        <v>1519</v>
      </c>
      <c r="F3411" t="s">
        <v>8449</v>
      </c>
      <c r="G3411" t="s">
        <v>9023</v>
      </c>
    </row>
    <row r="3412" spans="1:7">
      <c r="A3412" t="s">
        <v>5775</v>
      </c>
      <c r="C3412" t="s">
        <v>8392</v>
      </c>
      <c r="D3412" t="s">
        <v>8415</v>
      </c>
      <c r="E3412" t="s">
        <v>1587</v>
      </c>
      <c r="F3412" t="s">
        <v>8449</v>
      </c>
      <c r="G3412" t="s">
        <v>796</v>
      </c>
    </row>
    <row r="3413" spans="1:7">
      <c r="A3413" t="s">
        <v>5776</v>
      </c>
      <c r="B3413" t="s">
        <v>8273</v>
      </c>
      <c r="C3413" t="s">
        <v>8396</v>
      </c>
      <c r="D3413" t="s">
        <v>8405</v>
      </c>
      <c r="E3413" t="s">
        <v>8446</v>
      </c>
      <c r="F3413" t="s">
        <v>8449</v>
      </c>
      <c r="G3413" t="s">
        <v>8455</v>
      </c>
    </row>
    <row r="3414" spans="1:7">
      <c r="A3414" t="s">
        <v>5777</v>
      </c>
      <c r="B3414" t="s">
        <v>8273</v>
      </c>
      <c r="C3414" t="s">
        <v>8398</v>
      </c>
      <c r="D3414" t="s">
        <v>8419</v>
      </c>
      <c r="E3414" t="s">
        <v>8446</v>
      </c>
      <c r="F3414" t="s">
        <v>8447</v>
      </c>
      <c r="G3414" t="s">
        <v>8455</v>
      </c>
    </row>
    <row r="3415" spans="1:7">
      <c r="A3415" t="s">
        <v>5778</v>
      </c>
      <c r="C3415" t="s">
        <v>8394</v>
      </c>
      <c r="D3415" t="s">
        <v>8413</v>
      </c>
      <c r="E3415" t="s">
        <v>8445</v>
      </c>
      <c r="F3415" t="s">
        <v>8448</v>
      </c>
      <c r="G3415" t="s">
        <v>8455</v>
      </c>
    </row>
    <row r="3416" spans="1:7">
      <c r="A3416" t="s">
        <v>5779</v>
      </c>
      <c r="B3416" t="s">
        <v>8273</v>
      </c>
      <c r="C3416" t="s">
        <v>8396</v>
      </c>
      <c r="D3416" t="s">
        <v>8425</v>
      </c>
      <c r="E3416" t="s">
        <v>8445</v>
      </c>
      <c r="F3416" t="s">
        <v>8448</v>
      </c>
      <c r="G3416" t="s">
        <v>9024</v>
      </c>
    </row>
    <row r="3417" spans="1:7">
      <c r="A3417" t="s">
        <v>5780</v>
      </c>
      <c r="C3417" t="s">
        <v>8394</v>
      </c>
      <c r="D3417" t="s">
        <v>8401</v>
      </c>
      <c r="E3417" t="s">
        <v>8445</v>
      </c>
      <c r="F3417" t="s">
        <v>8448</v>
      </c>
      <c r="G3417" t="s">
        <v>9025</v>
      </c>
    </row>
    <row r="3418" spans="1:7">
      <c r="A3418" t="s">
        <v>5781</v>
      </c>
      <c r="C3418" t="s">
        <v>8394</v>
      </c>
      <c r="D3418" t="s">
        <v>8401</v>
      </c>
      <c r="E3418" t="s">
        <v>8445</v>
      </c>
      <c r="F3418" t="s">
        <v>8448</v>
      </c>
      <c r="G3418" t="s">
        <v>9026</v>
      </c>
    </row>
    <row r="3419" spans="1:7">
      <c r="A3419" t="s">
        <v>5782</v>
      </c>
      <c r="C3419" t="s">
        <v>8393</v>
      </c>
      <c r="D3419" t="s">
        <v>8393</v>
      </c>
      <c r="E3419" t="s">
        <v>919</v>
      </c>
      <c r="F3419" t="s">
        <v>8393</v>
      </c>
    </row>
    <row r="3420" spans="1:7">
      <c r="A3420" t="s">
        <v>5783</v>
      </c>
      <c r="C3420" t="s">
        <v>8394</v>
      </c>
      <c r="D3420" t="s">
        <v>8401</v>
      </c>
      <c r="E3420" t="s">
        <v>8445</v>
      </c>
      <c r="F3420" t="s">
        <v>8450</v>
      </c>
      <c r="G3420" t="s">
        <v>8463</v>
      </c>
    </row>
    <row r="3421" spans="1:7">
      <c r="A3421" t="s">
        <v>5784</v>
      </c>
      <c r="C3421" t="s">
        <v>8394</v>
      </c>
      <c r="D3421" t="s">
        <v>8401</v>
      </c>
      <c r="E3421" t="s">
        <v>8445</v>
      </c>
      <c r="F3421" t="s">
        <v>8450</v>
      </c>
      <c r="G3421" t="s">
        <v>8463</v>
      </c>
    </row>
    <row r="3422" spans="1:7">
      <c r="A3422" t="s">
        <v>5785</v>
      </c>
      <c r="C3422" t="s">
        <v>8394</v>
      </c>
      <c r="D3422" t="s">
        <v>8401</v>
      </c>
      <c r="E3422" t="s">
        <v>8445</v>
      </c>
      <c r="F3422" t="s">
        <v>8450</v>
      </c>
      <c r="G3422" t="s">
        <v>8463</v>
      </c>
    </row>
    <row r="3423" spans="1:7">
      <c r="A3423" t="s">
        <v>5786</v>
      </c>
      <c r="C3423" t="s">
        <v>8394</v>
      </c>
      <c r="D3423" t="s">
        <v>8401</v>
      </c>
      <c r="E3423" t="s">
        <v>8445</v>
      </c>
      <c r="F3423" t="s">
        <v>8450</v>
      </c>
      <c r="G3423" t="s">
        <v>8463</v>
      </c>
    </row>
    <row r="3424" spans="1:7">
      <c r="A3424" t="s">
        <v>5787</v>
      </c>
      <c r="C3424" t="s">
        <v>8394</v>
      </c>
      <c r="D3424" t="s">
        <v>8401</v>
      </c>
      <c r="E3424" t="s">
        <v>8445</v>
      </c>
      <c r="F3424" t="s">
        <v>8450</v>
      </c>
      <c r="G3424" t="s">
        <v>8463</v>
      </c>
    </row>
    <row r="3425" spans="1:7">
      <c r="A3425" t="s">
        <v>5788</v>
      </c>
      <c r="C3425" t="s">
        <v>8394</v>
      </c>
      <c r="D3425" t="s">
        <v>8401</v>
      </c>
      <c r="E3425" t="s">
        <v>8445</v>
      </c>
      <c r="F3425" t="s">
        <v>8450</v>
      </c>
      <c r="G3425" t="s">
        <v>8463</v>
      </c>
    </row>
    <row r="3426" spans="1:7">
      <c r="A3426" t="s">
        <v>5789</v>
      </c>
      <c r="C3426" t="s">
        <v>8394</v>
      </c>
      <c r="D3426" t="s">
        <v>8401</v>
      </c>
      <c r="E3426" t="s">
        <v>8445</v>
      </c>
      <c r="F3426" t="s">
        <v>8450</v>
      </c>
      <c r="G3426" t="s">
        <v>8463</v>
      </c>
    </row>
    <row r="3427" spans="1:7">
      <c r="A3427" t="s">
        <v>5790</v>
      </c>
      <c r="C3427" t="s">
        <v>8394</v>
      </c>
      <c r="D3427" t="s">
        <v>8401</v>
      </c>
      <c r="E3427" t="s">
        <v>8445</v>
      </c>
      <c r="F3427" t="s">
        <v>8450</v>
      </c>
      <c r="G3427" t="s">
        <v>8463</v>
      </c>
    </row>
    <row r="3428" spans="1:7">
      <c r="A3428" t="s">
        <v>5791</v>
      </c>
      <c r="C3428" t="s">
        <v>8394</v>
      </c>
      <c r="D3428" t="s">
        <v>8401</v>
      </c>
      <c r="E3428" t="s">
        <v>8445</v>
      </c>
      <c r="F3428" t="s">
        <v>8450</v>
      </c>
      <c r="G3428" t="s">
        <v>8463</v>
      </c>
    </row>
    <row r="3429" spans="1:7">
      <c r="A3429" t="s">
        <v>5792</v>
      </c>
      <c r="C3429" t="s">
        <v>8394</v>
      </c>
      <c r="D3429" t="s">
        <v>8401</v>
      </c>
      <c r="E3429" t="s">
        <v>8445</v>
      </c>
      <c r="F3429" t="s">
        <v>8450</v>
      </c>
      <c r="G3429" t="s">
        <v>8463</v>
      </c>
    </row>
    <row r="3430" spans="1:7">
      <c r="A3430" t="s">
        <v>5793</v>
      </c>
      <c r="C3430" t="s">
        <v>8394</v>
      </c>
      <c r="D3430" t="s">
        <v>8401</v>
      </c>
      <c r="E3430" t="s">
        <v>8445</v>
      </c>
      <c r="F3430" t="s">
        <v>8450</v>
      </c>
      <c r="G3430" t="s">
        <v>8463</v>
      </c>
    </row>
    <row r="3431" spans="1:7">
      <c r="A3431" t="s">
        <v>5794</v>
      </c>
      <c r="C3431" t="s">
        <v>8394</v>
      </c>
      <c r="D3431" t="s">
        <v>8401</v>
      </c>
      <c r="E3431" t="s">
        <v>8445</v>
      </c>
      <c r="F3431" t="s">
        <v>8450</v>
      </c>
      <c r="G3431" t="s">
        <v>8463</v>
      </c>
    </row>
    <row r="3432" spans="1:7">
      <c r="A3432" t="s">
        <v>5795</v>
      </c>
      <c r="C3432" t="s">
        <v>8394</v>
      </c>
      <c r="D3432" t="s">
        <v>8401</v>
      </c>
      <c r="E3432" t="s">
        <v>8445</v>
      </c>
      <c r="F3432" t="s">
        <v>8450</v>
      </c>
      <c r="G3432" t="s">
        <v>8463</v>
      </c>
    </row>
    <row r="3433" spans="1:7">
      <c r="A3433" t="s">
        <v>5796</v>
      </c>
      <c r="C3433" t="s">
        <v>8394</v>
      </c>
      <c r="D3433" t="s">
        <v>8401</v>
      </c>
      <c r="E3433" t="s">
        <v>8445</v>
      </c>
      <c r="F3433" t="s">
        <v>8450</v>
      </c>
      <c r="G3433" t="s">
        <v>8463</v>
      </c>
    </row>
    <row r="3434" spans="1:7">
      <c r="A3434" t="s">
        <v>5797</v>
      </c>
      <c r="C3434" t="s">
        <v>8394</v>
      </c>
      <c r="D3434" t="s">
        <v>8401</v>
      </c>
      <c r="E3434" t="s">
        <v>8445</v>
      </c>
      <c r="F3434" t="s">
        <v>8450</v>
      </c>
      <c r="G3434" t="s">
        <v>8463</v>
      </c>
    </row>
    <row r="3435" spans="1:7">
      <c r="A3435" t="s">
        <v>5798</v>
      </c>
      <c r="C3435" t="s">
        <v>8394</v>
      </c>
      <c r="D3435" t="s">
        <v>8401</v>
      </c>
      <c r="E3435" t="s">
        <v>8445</v>
      </c>
      <c r="F3435" t="s">
        <v>8450</v>
      </c>
      <c r="G3435" t="s">
        <v>8463</v>
      </c>
    </row>
    <row r="3436" spans="1:7">
      <c r="A3436" t="s">
        <v>5799</v>
      </c>
      <c r="C3436" t="s">
        <v>8394</v>
      </c>
      <c r="D3436" t="s">
        <v>8401</v>
      </c>
      <c r="E3436" t="s">
        <v>8445</v>
      </c>
      <c r="F3436" t="s">
        <v>8450</v>
      </c>
      <c r="G3436" t="s">
        <v>8463</v>
      </c>
    </row>
    <row r="3437" spans="1:7">
      <c r="A3437" t="s">
        <v>5800</v>
      </c>
      <c r="C3437" t="s">
        <v>8394</v>
      </c>
      <c r="D3437" t="s">
        <v>8401</v>
      </c>
      <c r="E3437" t="s">
        <v>8445</v>
      </c>
      <c r="F3437" t="s">
        <v>8450</v>
      </c>
      <c r="G3437" t="s">
        <v>8463</v>
      </c>
    </row>
    <row r="3438" spans="1:7">
      <c r="A3438" t="s">
        <v>5801</v>
      </c>
      <c r="C3438" t="s">
        <v>8394</v>
      </c>
      <c r="D3438" t="s">
        <v>8401</v>
      </c>
      <c r="E3438" t="s">
        <v>8445</v>
      </c>
      <c r="F3438" t="s">
        <v>8450</v>
      </c>
      <c r="G3438" t="s">
        <v>8463</v>
      </c>
    </row>
    <row r="3439" spans="1:7">
      <c r="A3439" t="s">
        <v>5802</v>
      </c>
      <c r="C3439" t="s">
        <v>8394</v>
      </c>
      <c r="D3439" t="s">
        <v>8401</v>
      </c>
      <c r="E3439" t="s">
        <v>8445</v>
      </c>
      <c r="F3439" t="s">
        <v>8450</v>
      </c>
      <c r="G3439" t="s">
        <v>8463</v>
      </c>
    </row>
    <row r="3440" spans="1:7">
      <c r="A3440" t="s">
        <v>5803</v>
      </c>
      <c r="C3440" t="s">
        <v>8394</v>
      </c>
      <c r="D3440" t="s">
        <v>8401</v>
      </c>
      <c r="E3440" t="s">
        <v>8445</v>
      </c>
      <c r="F3440" t="s">
        <v>8450</v>
      </c>
      <c r="G3440" t="s">
        <v>8463</v>
      </c>
    </row>
    <row r="3441" spans="1:7">
      <c r="A3441" t="s">
        <v>5804</v>
      </c>
      <c r="C3441" t="s">
        <v>8394</v>
      </c>
      <c r="D3441" t="s">
        <v>8401</v>
      </c>
      <c r="E3441" t="s">
        <v>8445</v>
      </c>
      <c r="F3441" t="s">
        <v>8450</v>
      </c>
      <c r="G3441" t="s">
        <v>8463</v>
      </c>
    </row>
    <row r="3442" spans="1:7">
      <c r="A3442" t="s">
        <v>5805</v>
      </c>
      <c r="C3442" t="s">
        <v>8394</v>
      </c>
      <c r="D3442" t="s">
        <v>8401</v>
      </c>
      <c r="E3442" t="s">
        <v>8445</v>
      </c>
      <c r="F3442" t="s">
        <v>8450</v>
      </c>
      <c r="G3442" t="s">
        <v>8463</v>
      </c>
    </row>
    <row r="3443" spans="1:7">
      <c r="A3443" t="s">
        <v>5806</v>
      </c>
      <c r="C3443" t="s">
        <v>8394</v>
      </c>
      <c r="D3443" t="s">
        <v>8401</v>
      </c>
      <c r="E3443" t="s">
        <v>8445</v>
      </c>
      <c r="F3443" t="s">
        <v>8450</v>
      </c>
      <c r="G3443" t="s">
        <v>8463</v>
      </c>
    </row>
    <row r="3444" spans="1:7">
      <c r="A3444" t="s">
        <v>5807</v>
      </c>
      <c r="C3444" t="s">
        <v>8394</v>
      </c>
      <c r="D3444" t="s">
        <v>8401</v>
      </c>
      <c r="E3444" t="s">
        <v>8445</v>
      </c>
      <c r="F3444" t="s">
        <v>8450</v>
      </c>
      <c r="G3444" t="s">
        <v>8463</v>
      </c>
    </row>
    <row r="3445" spans="1:7">
      <c r="A3445" t="s">
        <v>5808</v>
      </c>
      <c r="C3445" t="s">
        <v>8394</v>
      </c>
      <c r="D3445" t="s">
        <v>8401</v>
      </c>
      <c r="E3445" t="s">
        <v>8445</v>
      </c>
      <c r="F3445" t="s">
        <v>8450</v>
      </c>
      <c r="G3445" t="s">
        <v>8463</v>
      </c>
    </row>
    <row r="3446" spans="1:7">
      <c r="A3446" t="s">
        <v>5809</v>
      </c>
      <c r="C3446" t="s">
        <v>8394</v>
      </c>
      <c r="D3446" t="s">
        <v>8401</v>
      </c>
      <c r="E3446" t="s">
        <v>8445</v>
      </c>
      <c r="F3446" t="s">
        <v>8450</v>
      </c>
      <c r="G3446" t="s">
        <v>8463</v>
      </c>
    </row>
    <row r="3447" spans="1:7">
      <c r="A3447" t="s">
        <v>5810</v>
      </c>
      <c r="C3447" t="s">
        <v>8394</v>
      </c>
      <c r="D3447" t="s">
        <v>8401</v>
      </c>
      <c r="E3447" t="s">
        <v>8445</v>
      </c>
      <c r="F3447" t="s">
        <v>8450</v>
      </c>
      <c r="G3447" t="s">
        <v>8463</v>
      </c>
    </row>
    <row r="3448" spans="1:7">
      <c r="A3448" t="s">
        <v>5811</v>
      </c>
      <c r="C3448" t="s">
        <v>8394</v>
      </c>
      <c r="D3448" t="s">
        <v>8401</v>
      </c>
      <c r="E3448" t="s">
        <v>8445</v>
      </c>
      <c r="F3448" t="s">
        <v>8450</v>
      </c>
      <c r="G3448" t="s">
        <v>8463</v>
      </c>
    </row>
    <row r="3449" spans="1:7">
      <c r="A3449" t="s">
        <v>5812</v>
      </c>
      <c r="C3449" t="s">
        <v>8394</v>
      </c>
      <c r="D3449" t="s">
        <v>8401</v>
      </c>
      <c r="E3449" t="s">
        <v>8445</v>
      </c>
      <c r="F3449" t="s">
        <v>8450</v>
      </c>
      <c r="G3449" t="s">
        <v>8463</v>
      </c>
    </row>
    <row r="3450" spans="1:7">
      <c r="A3450" t="s">
        <v>5813</v>
      </c>
      <c r="C3450" t="s">
        <v>8394</v>
      </c>
      <c r="D3450" t="s">
        <v>8401</v>
      </c>
      <c r="E3450" t="s">
        <v>8445</v>
      </c>
      <c r="F3450" t="s">
        <v>8450</v>
      </c>
      <c r="G3450" t="s">
        <v>8463</v>
      </c>
    </row>
    <row r="3451" spans="1:7">
      <c r="A3451" t="s">
        <v>5814</v>
      </c>
      <c r="C3451" t="s">
        <v>8394</v>
      </c>
      <c r="D3451" t="s">
        <v>8401</v>
      </c>
      <c r="E3451" t="s">
        <v>8445</v>
      </c>
      <c r="F3451" t="s">
        <v>8450</v>
      </c>
      <c r="G3451" t="s">
        <v>8463</v>
      </c>
    </row>
    <row r="3452" spans="1:7">
      <c r="A3452" t="s">
        <v>5815</v>
      </c>
      <c r="C3452" t="s">
        <v>8394</v>
      </c>
      <c r="D3452" t="s">
        <v>8401</v>
      </c>
      <c r="E3452" t="s">
        <v>8445</v>
      </c>
      <c r="F3452" t="s">
        <v>8450</v>
      </c>
      <c r="G3452" t="s">
        <v>8463</v>
      </c>
    </row>
    <row r="3453" spans="1:7">
      <c r="A3453" t="s">
        <v>5816</v>
      </c>
      <c r="C3453" t="s">
        <v>8394</v>
      </c>
      <c r="D3453" t="s">
        <v>8401</v>
      </c>
      <c r="E3453" t="s">
        <v>8445</v>
      </c>
      <c r="F3453" t="s">
        <v>8450</v>
      </c>
      <c r="G3453" t="s">
        <v>8463</v>
      </c>
    </row>
    <row r="3454" spans="1:7">
      <c r="A3454" t="s">
        <v>5817</v>
      </c>
      <c r="C3454" t="s">
        <v>8394</v>
      </c>
      <c r="D3454" t="s">
        <v>8401</v>
      </c>
      <c r="E3454" t="s">
        <v>8445</v>
      </c>
      <c r="F3454" t="s">
        <v>8450</v>
      </c>
      <c r="G3454" t="s">
        <v>8463</v>
      </c>
    </row>
    <row r="3455" spans="1:7">
      <c r="A3455" t="s">
        <v>5818</v>
      </c>
      <c r="C3455" t="s">
        <v>8394</v>
      </c>
      <c r="D3455" t="s">
        <v>8401</v>
      </c>
      <c r="E3455" t="s">
        <v>8445</v>
      </c>
      <c r="F3455" t="s">
        <v>8450</v>
      </c>
      <c r="G3455" t="s">
        <v>8463</v>
      </c>
    </row>
    <row r="3456" spans="1:7">
      <c r="A3456" t="s">
        <v>5819</v>
      </c>
      <c r="C3456" t="s">
        <v>8394</v>
      </c>
      <c r="D3456" t="s">
        <v>8401</v>
      </c>
      <c r="E3456" t="s">
        <v>8445</v>
      </c>
      <c r="F3456" t="s">
        <v>8450</v>
      </c>
      <c r="G3456" t="s">
        <v>8463</v>
      </c>
    </row>
    <row r="3457" spans="1:7">
      <c r="A3457" t="s">
        <v>5820</v>
      </c>
      <c r="C3457" t="s">
        <v>8394</v>
      </c>
      <c r="D3457" t="s">
        <v>8401</v>
      </c>
      <c r="E3457" t="s">
        <v>8445</v>
      </c>
      <c r="F3457" t="s">
        <v>8450</v>
      </c>
      <c r="G3457" t="s">
        <v>8463</v>
      </c>
    </row>
    <row r="3458" spans="1:7">
      <c r="A3458" t="s">
        <v>5821</v>
      </c>
      <c r="C3458" t="s">
        <v>8394</v>
      </c>
      <c r="D3458" t="s">
        <v>8401</v>
      </c>
      <c r="E3458" t="s">
        <v>8445</v>
      </c>
      <c r="F3458" t="s">
        <v>8449</v>
      </c>
      <c r="G3458" t="s">
        <v>8455</v>
      </c>
    </row>
    <row r="3459" spans="1:7">
      <c r="A3459" t="s">
        <v>5822</v>
      </c>
      <c r="C3459" t="s">
        <v>8394</v>
      </c>
      <c r="D3459" t="s">
        <v>8401</v>
      </c>
      <c r="E3459" t="s">
        <v>8445</v>
      </c>
      <c r="F3459" t="s">
        <v>8450</v>
      </c>
      <c r="G3459" t="s">
        <v>9027</v>
      </c>
    </row>
    <row r="3460" spans="1:7">
      <c r="A3460" t="s">
        <v>5823</v>
      </c>
      <c r="C3460" t="s">
        <v>8394</v>
      </c>
      <c r="D3460" t="s">
        <v>8401</v>
      </c>
      <c r="E3460" t="s">
        <v>8445</v>
      </c>
      <c r="F3460" t="s">
        <v>8448</v>
      </c>
      <c r="G3460" t="s">
        <v>9028</v>
      </c>
    </row>
    <row r="3461" spans="1:7">
      <c r="A3461" t="s">
        <v>5824</v>
      </c>
      <c r="C3461" t="s">
        <v>8393</v>
      </c>
      <c r="D3461" t="s">
        <v>8393</v>
      </c>
      <c r="E3461" t="s">
        <v>919</v>
      </c>
      <c r="F3461" t="s">
        <v>8393</v>
      </c>
    </row>
    <row r="3462" spans="1:7">
      <c r="A3462" t="s">
        <v>5825</v>
      </c>
      <c r="B3462" t="s">
        <v>8273</v>
      </c>
      <c r="C3462" t="s">
        <v>8396</v>
      </c>
      <c r="D3462" t="s">
        <v>8405</v>
      </c>
      <c r="E3462" t="s">
        <v>8446</v>
      </c>
      <c r="F3462" t="s">
        <v>8449</v>
      </c>
      <c r="G3462" t="s">
        <v>8455</v>
      </c>
    </row>
    <row r="3463" spans="1:7">
      <c r="A3463" t="s">
        <v>5826</v>
      </c>
      <c r="B3463" t="s">
        <v>8274</v>
      </c>
      <c r="C3463" t="s">
        <v>8396</v>
      </c>
      <c r="D3463" t="s">
        <v>8405</v>
      </c>
      <c r="E3463" t="s">
        <v>8446</v>
      </c>
      <c r="F3463" t="s">
        <v>8449</v>
      </c>
      <c r="G3463" t="s">
        <v>8455</v>
      </c>
    </row>
    <row r="3464" spans="1:7">
      <c r="A3464" t="s">
        <v>5827</v>
      </c>
      <c r="B3464" t="s">
        <v>8273</v>
      </c>
      <c r="C3464" t="s">
        <v>8398</v>
      </c>
      <c r="D3464" t="s">
        <v>8419</v>
      </c>
      <c r="E3464" t="s">
        <v>8446</v>
      </c>
      <c r="F3464" t="s">
        <v>8449</v>
      </c>
      <c r="G3464" t="s">
        <v>8475</v>
      </c>
    </row>
    <row r="3465" spans="1:7">
      <c r="A3465" t="s">
        <v>5828</v>
      </c>
      <c r="B3465" t="s">
        <v>8273</v>
      </c>
      <c r="C3465" t="s">
        <v>8398</v>
      </c>
      <c r="D3465" t="s">
        <v>8419</v>
      </c>
      <c r="E3465" t="s">
        <v>8446</v>
      </c>
      <c r="F3465" t="s">
        <v>8448</v>
      </c>
      <c r="G3465" t="s">
        <v>9029</v>
      </c>
    </row>
    <row r="3466" spans="1:7">
      <c r="A3466" t="s">
        <v>5829</v>
      </c>
      <c r="C3466" t="s">
        <v>8393</v>
      </c>
      <c r="D3466" t="s">
        <v>8393</v>
      </c>
      <c r="E3466" t="s">
        <v>919</v>
      </c>
      <c r="F3466" t="s">
        <v>8393</v>
      </c>
    </row>
    <row r="3467" spans="1:7">
      <c r="A3467" t="s">
        <v>5830</v>
      </c>
      <c r="C3467" t="s">
        <v>8394</v>
      </c>
      <c r="D3467" t="s">
        <v>8401</v>
      </c>
      <c r="E3467" t="s">
        <v>8445</v>
      </c>
      <c r="F3467" t="s">
        <v>8448</v>
      </c>
      <c r="G3467" t="s">
        <v>8905</v>
      </c>
    </row>
    <row r="3468" spans="1:7">
      <c r="A3468" t="s">
        <v>5831</v>
      </c>
      <c r="C3468" t="s">
        <v>8394</v>
      </c>
      <c r="D3468" t="s">
        <v>8401</v>
      </c>
      <c r="E3468" t="s">
        <v>8445</v>
      </c>
      <c r="F3468" t="s">
        <v>8448</v>
      </c>
      <c r="G3468" t="s">
        <v>8905</v>
      </c>
    </row>
    <row r="3469" spans="1:7">
      <c r="A3469" t="s">
        <v>5832</v>
      </c>
      <c r="C3469" t="s">
        <v>8394</v>
      </c>
      <c r="D3469" t="s">
        <v>8401</v>
      </c>
      <c r="E3469" t="s">
        <v>8445</v>
      </c>
      <c r="F3469" t="s">
        <v>8448</v>
      </c>
      <c r="G3469" t="s">
        <v>8905</v>
      </c>
    </row>
    <row r="3470" spans="1:7">
      <c r="A3470" t="s">
        <v>5833</v>
      </c>
      <c r="C3470" t="s">
        <v>8394</v>
      </c>
      <c r="D3470" t="s">
        <v>8401</v>
      </c>
      <c r="E3470" t="s">
        <v>8445</v>
      </c>
      <c r="F3470" t="s">
        <v>8448</v>
      </c>
      <c r="G3470" t="s">
        <v>8905</v>
      </c>
    </row>
    <row r="3471" spans="1:7">
      <c r="A3471" t="s">
        <v>5834</v>
      </c>
      <c r="C3471" t="s">
        <v>8394</v>
      </c>
      <c r="D3471" t="s">
        <v>8401</v>
      </c>
      <c r="E3471" t="s">
        <v>8445</v>
      </c>
      <c r="F3471" t="s">
        <v>8450</v>
      </c>
      <c r="G3471" t="s">
        <v>8905</v>
      </c>
    </row>
    <row r="3472" spans="1:7">
      <c r="A3472" t="s">
        <v>5835</v>
      </c>
      <c r="C3472" t="s">
        <v>8394</v>
      </c>
      <c r="D3472" t="s">
        <v>8401</v>
      </c>
      <c r="E3472" t="s">
        <v>8445</v>
      </c>
      <c r="F3472" t="s">
        <v>8448</v>
      </c>
      <c r="G3472" t="s">
        <v>8905</v>
      </c>
    </row>
    <row r="3473" spans="1:7">
      <c r="A3473" t="s">
        <v>5836</v>
      </c>
      <c r="C3473" t="s">
        <v>8394</v>
      </c>
      <c r="D3473" t="s">
        <v>8401</v>
      </c>
      <c r="E3473" t="s">
        <v>8445</v>
      </c>
      <c r="F3473" t="s">
        <v>8448</v>
      </c>
      <c r="G3473" t="s">
        <v>8905</v>
      </c>
    </row>
    <row r="3474" spans="1:7">
      <c r="A3474" t="s">
        <v>5837</v>
      </c>
      <c r="C3474" t="s">
        <v>8394</v>
      </c>
      <c r="D3474" t="s">
        <v>8401</v>
      </c>
      <c r="E3474" t="s">
        <v>8445</v>
      </c>
      <c r="F3474" t="s">
        <v>8448</v>
      </c>
      <c r="G3474" t="s">
        <v>8905</v>
      </c>
    </row>
    <row r="3475" spans="1:7">
      <c r="A3475" t="s">
        <v>5838</v>
      </c>
      <c r="C3475" t="s">
        <v>8394</v>
      </c>
      <c r="D3475" t="s">
        <v>8401</v>
      </c>
      <c r="E3475" t="s">
        <v>8445</v>
      </c>
      <c r="F3475" t="s">
        <v>8448</v>
      </c>
      <c r="G3475" t="s">
        <v>8905</v>
      </c>
    </row>
    <row r="3476" spans="1:7">
      <c r="A3476" t="s">
        <v>5839</v>
      </c>
      <c r="C3476" t="s">
        <v>8394</v>
      </c>
      <c r="D3476" t="s">
        <v>8401</v>
      </c>
      <c r="E3476" t="s">
        <v>8445</v>
      </c>
      <c r="F3476" t="s">
        <v>8448</v>
      </c>
      <c r="G3476" t="s">
        <v>8905</v>
      </c>
    </row>
    <row r="3477" spans="1:7">
      <c r="A3477" t="s">
        <v>5840</v>
      </c>
      <c r="C3477" t="s">
        <v>8394</v>
      </c>
      <c r="D3477" t="s">
        <v>8401</v>
      </c>
      <c r="E3477" t="s">
        <v>8445</v>
      </c>
      <c r="F3477" t="s">
        <v>8448</v>
      </c>
      <c r="G3477" t="s">
        <v>8905</v>
      </c>
    </row>
    <row r="3478" spans="1:7">
      <c r="A3478" t="s">
        <v>5841</v>
      </c>
      <c r="C3478" t="s">
        <v>8394</v>
      </c>
      <c r="D3478" t="s">
        <v>8401</v>
      </c>
      <c r="E3478" t="s">
        <v>8445</v>
      </c>
      <c r="F3478" t="s">
        <v>8448</v>
      </c>
      <c r="G3478" t="s">
        <v>8905</v>
      </c>
    </row>
    <row r="3479" spans="1:7">
      <c r="A3479" t="s">
        <v>5842</v>
      </c>
      <c r="C3479" t="s">
        <v>8394</v>
      </c>
      <c r="D3479" t="s">
        <v>8401</v>
      </c>
      <c r="E3479" t="s">
        <v>8445</v>
      </c>
      <c r="F3479" t="s">
        <v>8448</v>
      </c>
      <c r="G3479" t="s">
        <v>8905</v>
      </c>
    </row>
    <row r="3480" spans="1:7">
      <c r="A3480" t="s">
        <v>5843</v>
      </c>
      <c r="C3480" t="s">
        <v>8394</v>
      </c>
      <c r="D3480" t="s">
        <v>8401</v>
      </c>
      <c r="E3480" t="s">
        <v>8445</v>
      </c>
      <c r="F3480" t="s">
        <v>8448</v>
      </c>
      <c r="G3480" t="s">
        <v>8905</v>
      </c>
    </row>
    <row r="3481" spans="1:7">
      <c r="A3481" t="s">
        <v>5844</v>
      </c>
      <c r="C3481" t="s">
        <v>8394</v>
      </c>
      <c r="D3481" t="s">
        <v>8401</v>
      </c>
      <c r="E3481" t="s">
        <v>8445</v>
      </c>
      <c r="F3481" t="s">
        <v>8448</v>
      </c>
      <c r="G3481" t="s">
        <v>8905</v>
      </c>
    </row>
    <row r="3482" spans="1:7">
      <c r="A3482" t="s">
        <v>5845</v>
      </c>
      <c r="C3482" t="s">
        <v>8394</v>
      </c>
      <c r="D3482" t="s">
        <v>8401</v>
      </c>
      <c r="E3482" t="s">
        <v>8445</v>
      </c>
      <c r="F3482" t="s">
        <v>8448</v>
      </c>
      <c r="G3482" t="s">
        <v>8905</v>
      </c>
    </row>
    <row r="3483" spans="1:7">
      <c r="A3483" t="s">
        <v>5846</v>
      </c>
      <c r="C3483" t="s">
        <v>8394</v>
      </c>
      <c r="D3483" t="s">
        <v>8401</v>
      </c>
      <c r="E3483" t="s">
        <v>8445</v>
      </c>
      <c r="F3483" t="s">
        <v>8448</v>
      </c>
      <c r="G3483" t="s">
        <v>8905</v>
      </c>
    </row>
    <row r="3484" spans="1:7">
      <c r="A3484" t="s">
        <v>5847</v>
      </c>
      <c r="C3484" t="s">
        <v>8394</v>
      </c>
      <c r="D3484" t="s">
        <v>8401</v>
      </c>
      <c r="E3484" t="s">
        <v>8445</v>
      </c>
      <c r="F3484" t="s">
        <v>8448</v>
      </c>
      <c r="G3484" t="s">
        <v>8905</v>
      </c>
    </row>
    <row r="3485" spans="1:7">
      <c r="A3485" t="s">
        <v>5848</v>
      </c>
      <c r="C3485" t="s">
        <v>8394</v>
      </c>
      <c r="D3485" t="s">
        <v>8401</v>
      </c>
      <c r="E3485" t="s">
        <v>8445</v>
      </c>
      <c r="F3485" t="s">
        <v>8448</v>
      </c>
      <c r="G3485" t="s">
        <v>8905</v>
      </c>
    </row>
    <row r="3486" spans="1:7">
      <c r="A3486" t="s">
        <v>5849</v>
      </c>
      <c r="C3486" t="s">
        <v>8394</v>
      </c>
      <c r="D3486" t="s">
        <v>8401</v>
      </c>
      <c r="E3486" t="s">
        <v>8445</v>
      </c>
      <c r="F3486" t="s">
        <v>8448</v>
      </c>
      <c r="G3486" t="s">
        <v>8905</v>
      </c>
    </row>
    <row r="3487" spans="1:7">
      <c r="A3487" t="s">
        <v>5850</v>
      </c>
      <c r="C3487" t="s">
        <v>8394</v>
      </c>
      <c r="D3487" t="s">
        <v>8401</v>
      </c>
      <c r="E3487" t="s">
        <v>8445</v>
      </c>
      <c r="F3487" t="s">
        <v>8448</v>
      </c>
      <c r="G3487" t="s">
        <v>8905</v>
      </c>
    </row>
    <row r="3488" spans="1:7">
      <c r="A3488" t="s">
        <v>5851</v>
      </c>
      <c r="C3488" t="s">
        <v>8394</v>
      </c>
      <c r="D3488" t="s">
        <v>8401</v>
      </c>
      <c r="E3488" t="s">
        <v>8445</v>
      </c>
      <c r="F3488" t="s">
        <v>8448</v>
      </c>
      <c r="G3488" t="s">
        <v>8905</v>
      </c>
    </row>
    <row r="3489" spans="1:7">
      <c r="A3489" t="s">
        <v>5852</v>
      </c>
      <c r="C3489" t="s">
        <v>8394</v>
      </c>
      <c r="D3489" t="s">
        <v>8401</v>
      </c>
      <c r="E3489" t="s">
        <v>8445</v>
      </c>
      <c r="F3489" t="s">
        <v>8448</v>
      </c>
      <c r="G3489" t="s">
        <v>8905</v>
      </c>
    </row>
    <row r="3490" spans="1:7">
      <c r="A3490" t="s">
        <v>5853</v>
      </c>
      <c r="C3490" t="s">
        <v>8394</v>
      </c>
      <c r="D3490" t="s">
        <v>8401</v>
      </c>
      <c r="E3490" t="s">
        <v>8445</v>
      </c>
      <c r="F3490" t="s">
        <v>8448</v>
      </c>
      <c r="G3490" t="s">
        <v>8905</v>
      </c>
    </row>
    <row r="3491" spans="1:7">
      <c r="A3491" t="s">
        <v>5854</v>
      </c>
      <c r="C3491" t="s">
        <v>8394</v>
      </c>
      <c r="D3491" t="s">
        <v>8401</v>
      </c>
      <c r="E3491" t="s">
        <v>8445</v>
      </c>
      <c r="F3491" t="s">
        <v>8448</v>
      </c>
      <c r="G3491" t="s">
        <v>8905</v>
      </c>
    </row>
    <row r="3492" spans="1:7">
      <c r="A3492" t="s">
        <v>5855</v>
      </c>
      <c r="C3492" t="s">
        <v>8394</v>
      </c>
      <c r="D3492" t="s">
        <v>8401</v>
      </c>
      <c r="E3492" t="s">
        <v>8445</v>
      </c>
      <c r="F3492" t="s">
        <v>8448</v>
      </c>
      <c r="G3492" t="s">
        <v>8905</v>
      </c>
    </row>
    <row r="3493" spans="1:7">
      <c r="A3493" t="s">
        <v>5856</v>
      </c>
      <c r="C3493" t="s">
        <v>8394</v>
      </c>
      <c r="D3493" t="s">
        <v>8401</v>
      </c>
      <c r="E3493" t="s">
        <v>8445</v>
      </c>
      <c r="F3493" t="s">
        <v>8448</v>
      </c>
      <c r="G3493" t="s">
        <v>8905</v>
      </c>
    </row>
    <row r="3494" spans="1:7">
      <c r="A3494" t="s">
        <v>5857</v>
      </c>
      <c r="C3494" t="s">
        <v>8394</v>
      </c>
      <c r="D3494" t="s">
        <v>8401</v>
      </c>
      <c r="E3494" t="s">
        <v>8445</v>
      </c>
      <c r="F3494" t="s">
        <v>8448</v>
      </c>
      <c r="G3494" t="s">
        <v>8905</v>
      </c>
    </row>
    <row r="3495" spans="1:7">
      <c r="A3495" t="s">
        <v>5858</v>
      </c>
      <c r="C3495" t="s">
        <v>8394</v>
      </c>
      <c r="D3495" t="s">
        <v>8401</v>
      </c>
      <c r="E3495" t="s">
        <v>8445</v>
      </c>
      <c r="F3495" t="s">
        <v>8448</v>
      </c>
      <c r="G3495" t="s">
        <v>8905</v>
      </c>
    </row>
    <row r="3496" spans="1:7">
      <c r="A3496" t="s">
        <v>5859</v>
      </c>
      <c r="C3496" t="s">
        <v>8394</v>
      </c>
      <c r="D3496" t="s">
        <v>8401</v>
      </c>
      <c r="E3496" t="s">
        <v>8445</v>
      </c>
      <c r="F3496" t="s">
        <v>8448</v>
      </c>
      <c r="G3496" t="s">
        <v>8905</v>
      </c>
    </row>
    <row r="3497" spans="1:7">
      <c r="A3497" t="s">
        <v>5860</v>
      </c>
      <c r="C3497" t="s">
        <v>8394</v>
      </c>
      <c r="D3497" t="s">
        <v>8401</v>
      </c>
      <c r="E3497" t="s">
        <v>8445</v>
      </c>
      <c r="F3497" t="s">
        <v>8448</v>
      </c>
      <c r="G3497" t="s">
        <v>8905</v>
      </c>
    </row>
    <row r="3498" spans="1:7">
      <c r="A3498" t="s">
        <v>5861</v>
      </c>
      <c r="C3498" t="s">
        <v>8394</v>
      </c>
      <c r="D3498" t="s">
        <v>8401</v>
      </c>
      <c r="E3498" t="s">
        <v>8445</v>
      </c>
      <c r="F3498" t="s">
        <v>8448</v>
      </c>
      <c r="G3498" t="s">
        <v>8905</v>
      </c>
    </row>
    <row r="3499" spans="1:7">
      <c r="A3499" t="s">
        <v>5862</v>
      </c>
      <c r="C3499" t="s">
        <v>8394</v>
      </c>
      <c r="D3499" t="s">
        <v>8401</v>
      </c>
      <c r="E3499" t="s">
        <v>8445</v>
      </c>
      <c r="F3499" t="s">
        <v>8448</v>
      </c>
      <c r="G3499" t="s">
        <v>8905</v>
      </c>
    </row>
    <row r="3500" spans="1:7">
      <c r="A3500" t="s">
        <v>5863</v>
      </c>
      <c r="C3500" t="s">
        <v>8394</v>
      </c>
      <c r="D3500" t="s">
        <v>8401</v>
      </c>
      <c r="E3500" t="s">
        <v>8445</v>
      </c>
      <c r="F3500" t="s">
        <v>8448</v>
      </c>
      <c r="G3500" t="s">
        <v>8905</v>
      </c>
    </row>
    <row r="3501" spans="1:7">
      <c r="A3501" t="s">
        <v>5864</v>
      </c>
      <c r="C3501" t="s">
        <v>8394</v>
      </c>
      <c r="D3501" t="s">
        <v>8401</v>
      </c>
      <c r="E3501" t="s">
        <v>8445</v>
      </c>
      <c r="F3501" t="s">
        <v>8448</v>
      </c>
      <c r="G3501" t="s">
        <v>8905</v>
      </c>
    </row>
    <row r="3502" spans="1:7">
      <c r="A3502" t="s">
        <v>5865</v>
      </c>
      <c r="C3502" t="s">
        <v>8394</v>
      </c>
      <c r="D3502" t="s">
        <v>8401</v>
      </c>
      <c r="E3502" t="s">
        <v>8445</v>
      </c>
      <c r="F3502" t="s">
        <v>8448</v>
      </c>
      <c r="G3502" t="s">
        <v>8905</v>
      </c>
    </row>
    <row r="3503" spans="1:7">
      <c r="A3503" t="s">
        <v>5866</v>
      </c>
      <c r="C3503" t="s">
        <v>8394</v>
      </c>
      <c r="D3503" t="s">
        <v>8401</v>
      </c>
      <c r="E3503" t="s">
        <v>8445</v>
      </c>
      <c r="F3503" t="s">
        <v>8448</v>
      </c>
      <c r="G3503" t="s">
        <v>8905</v>
      </c>
    </row>
    <row r="3504" spans="1:7">
      <c r="A3504" t="s">
        <v>5867</v>
      </c>
      <c r="C3504" t="s">
        <v>8394</v>
      </c>
      <c r="D3504" t="s">
        <v>8401</v>
      </c>
      <c r="E3504" t="s">
        <v>8445</v>
      </c>
      <c r="F3504" t="s">
        <v>8448</v>
      </c>
      <c r="G3504" t="s">
        <v>8905</v>
      </c>
    </row>
    <row r="3505" spans="1:7">
      <c r="A3505" t="s">
        <v>5868</v>
      </c>
      <c r="C3505" t="s">
        <v>8394</v>
      </c>
      <c r="D3505" t="s">
        <v>8401</v>
      </c>
      <c r="E3505" t="s">
        <v>8445</v>
      </c>
      <c r="F3505" t="s">
        <v>8448</v>
      </c>
      <c r="G3505" t="s">
        <v>8905</v>
      </c>
    </row>
    <row r="3506" spans="1:7">
      <c r="A3506" t="s">
        <v>5869</v>
      </c>
      <c r="C3506" t="s">
        <v>8394</v>
      </c>
      <c r="D3506" t="s">
        <v>8401</v>
      </c>
      <c r="E3506" t="s">
        <v>8445</v>
      </c>
      <c r="F3506" t="s">
        <v>8448</v>
      </c>
      <c r="G3506" t="s">
        <v>8905</v>
      </c>
    </row>
    <row r="3507" spans="1:7">
      <c r="A3507" t="s">
        <v>5870</v>
      </c>
      <c r="C3507" t="s">
        <v>8394</v>
      </c>
      <c r="D3507" t="s">
        <v>8401</v>
      </c>
      <c r="E3507" t="s">
        <v>8445</v>
      </c>
      <c r="F3507" t="s">
        <v>8448</v>
      </c>
      <c r="G3507" t="s">
        <v>8905</v>
      </c>
    </row>
    <row r="3508" spans="1:7">
      <c r="A3508" t="s">
        <v>5871</v>
      </c>
      <c r="C3508" t="s">
        <v>8394</v>
      </c>
      <c r="D3508" t="s">
        <v>8401</v>
      </c>
      <c r="E3508" t="s">
        <v>8445</v>
      </c>
      <c r="F3508" t="s">
        <v>8448</v>
      </c>
      <c r="G3508" t="s">
        <v>8905</v>
      </c>
    </row>
    <row r="3509" spans="1:7">
      <c r="A3509" t="s">
        <v>5872</v>
      </c>
      <c r="C3509" t="s">
        <v>8394</v>
      </c>
      <c r="D3509" t="s">
        <v>8401</v>
      </c>
      <c r="E3509" t="s">
        <v>8445</v>
      </c>
      <c r="F3509" t="s">
        <v>8448</v>
      </c>
      <c r="G3509" t="s">
        <v>8905</v>
      </c>
    </row>
    <row r="3510" spans="1:7">
      <c r="A3510" t="s">
        <v>5873</v>
      </c>
      <c r="C3510" t="s">
        <v>8394</v>
      </c>
      <c r="D3510" t="s">
        <v>8401</v>
      </c>
      <c r="E3510" t="s">
        <v>8445</v>
      </c>
      <c r="F3510" t="s">
        <v>8448</v>
      </c>
      <c r="G3510" t="s">
        <v>8905</v>
      </c>
    </row>
    <row r="3511" spans="1:7">
      <c r="A3511" t="s">
        <v>5874</v>
      </c>
      <c r="C3511" t="s">
        <v>8394</v>
      </c>
      <c r="D3511" t="s">
        <v>8401</v>
      </c>
      <c r="E3511" t="s">
        <v>8445</v>
      </c>
      <c r="F3511" t="s">
        <v>8448</v>
      </c>
      <c r="G3511" t="s">
        <v>8905</v>
      </c>
    </row>
    <row r="3512" spans="1:7">
      <c r="A3512" t="s">
        <v>5875</v>
      </c>
      <c r="C3512" t="s">
        <v>8394</v>
      </c>
      <c r="D3512" t="s">
        <v>8401</v>
      </c>
      <c r="E3512" t="s">
        <v>8445</v>
      </c>
      <c r="F3512" t="s">
        <v>8448</v>
      </c>
      <c r="G3512" t="s">
        <v>8905</v>
      </c>
    </row>
    <row r="3513" spans="1:7">
      <c r="A3513" t="s">
        <v>5876</v>
      </c>
      <c r="C3513" t="s">
        <v>8394</v>
      </c>
      <c r="D3513" t="s">
        <v>8401</v>
      </c>
      <c r="E3513" t="s">
        <v>8445</v>
      </c>
      <c r="F3513" t="s">
        <v>8448</v>
      </c>
      <c r="G3513" t="s">
        <v>8905</v>
      </c>
    </row>
    <row r="3514" spans="1:7">
      <c r="A3514" t="s">
        <v>5877</v>
      </c>
      <c r="C3514" t="s">
        <v>8394</v>
      </c>
      <c r="D3514" t="s">
        <v>8401</v>
      </c>
      <c r="E3514" t="s">
        <v>8445</v>
      </c>
      <c r="F3514" t="s">
        <v>8448</v>
      </c>
      <c r="G3514" t="s">
        <v>8905</v>
      </c>
    </row>
    <row r="3515" spans="1:7">
      <c r="A3515" t="s">
        <v>5878</v>
      </c>
      <c r="C3515" t="s">
        <v>8394</v>
      </c>
      <c r="D3515" t="s">
        <v>8401</v>
      </c>
      <c r="E3515" t="s">
        <v>8445</v>
      </c>
      <c r="F3515" t="s">
        <v>8448</v>
      </c>
      <c r="G3515" t="s">
        <v>8905</v>
      </c>
    </row>
    <row r="3516" spans="1:7">
      <c r="A3516" t="s">
        <v>5879</v>
      </c>
      <c r="C3516" t="s">
        <v>8394</v>
      </c>
      <c r="D3516" t="s">
        <v>8401</v>
      </c>
      <c r="E3516" t="s">
        <v>8445</v>
      </c>
      <c r="F3516" t="s">
        <v>8448</v>
      </c>
      <c r="G3516" t="s">
        <v>8905</v>
      </c>
    </row>
    <row r="3517" spans="1:7">
      <c r="A3517" t="s">
        <v>5880</v>
      </c>
      <c r="C3517" t="s">
        <v>8394</v>
      </c>
      <c r="D3517" t="s">
        <v>8401</v>
      </c>
      <c r="E3517" t="s">
        <v>8445</v>
      </c>
      <c r="F3517" t="s">
        <v>8448</v>
      </c>
      <c r="G3517" t="s">
        <v>8905</v>
      </c>
    </row>
    <row r="3518" spans="1:7">
      <c r="A3518" t="s">
        <v>5881</v>
      </c>
      <c r="C3518" t="s">
        <v>8394</v>
      </c>
      <c r="D3518" t="s">
        <v>8401</v>
      </c>
      <c r="E3518" t="s">
        <v>8445</v>
      </c>
      <c r="F3518" t="s">
        <v>8448</v>
      </c>
      <c r="G3518" t="s">
        <v>8905</v>
      </c>
    </row>
    <row r="3519" spans="1:7">
      <c r="A3519" t="s">
        <v>5882</v>
      </c>
      <c r="C3519" t="s">
        <v>8394</v>
      </c>
      <c r="D3519" t="s">
        <v>8401</v>
      </c>
      <c r="E3519" t="s">
        <v>8445</v>
      </c>
      <c r="F3519" t="s">
        <v>8448</v>
      </c>
      <c r="G3519" t="s">
        <v>8905</v>
      </c>
    </row>
    <row r="3520" spans="1:7">
      <c r="A3520" t="s">
        <v>5883</v>
      </c>
      <c r="C3520" t="s">
        <v>8394</v>
      </c>
      <c r="D3520" t="s">
        <v>8401</v>
      </c>
      <c r="E3520" t="s">
        <v>8445</v>
      </c>
      <c r="F3520" t="s">
        <v>8448</v>
      </c>
      <c r="G3520" t="s">
        <v>8905</v>
      </c>
    </row>
    <row r="3521" spans="1:7">
      <c r="A3521" t="s">
        <v>5884</v>
      </c>
      <c r="C3521" t="s">
        <v>8394</v>
      </c>
      <c r="D3521" t="s">
        <v>8401</v>
      </c>
      <c r="E3521" t="s">
        <v>8445</v>
      </c>
      <c r="F3521" t="s">
        <v>8448</v>
      </c>
      <c r="G3521" t="s">
        <v>8905</v>
      </c>
    </row>
    <row r="3522" spans="1:7">
      <c r="A3522" t="s">
        <v>5885</v>
      </c>
      <c r="C3522" t="s">
        <v>8394</v>
      </c>
      <c r="D3522" t="s">
        <v>8401</v>
      </c>
      <c r="E3522" t="s">
        <v>8445</v>
      </c>
      <c r="F3522" t="s">
        <v>8448</v>
      </c>
      <c r="G3522" t="s">
        <v>8905</v>
      </c>
    </row>
    <row r="3523" spans="1:7">
      <c r="A3523" t="s">
        <v>5886</v>
      </c>
      <c r="C3523" t="s">
        <v>8394</v>
      </c>
      <c r="D3523" t="s">
        <v>8401</v>
      </c>
      <c r="E3523" t="s">
        <v>8445</v>
      </c>
      <c r="F3523" t="s">
        <v>8448</v>
      </c>
      <c r="G3523" t="s">
        <v>8905</v>
      </c>
    </row>
    <row r="3524" spans="1:7">
      <c r="A3524" t="s">
        <v>5887</v>
      </c>
      <c r="C3524" t="s">
        <v>8394</v>
      </c>
      <c r="D3524" t="s">
        <v>8401</v>
      </c>
      <c r="E3524" t="s">
        <v>8445</v>
      </c>
      <c r="F3524" t="s">
        <v>8448</v>
      </c>
      <c r="G3524" t="s">
        <v>8905</v>
      </c>
    </row>
    <row r="3525" spans="1:7">
      <c r="A3525" t="s">
        <v>5888</v>
      </c>
      <c r="C3525" t="s">
        <v>8394</v>
      </c>
      <c r="D3525" t="s">
        <v>8401</v>
      </c>
      <c r="E3525" t="s">
        <v>8445</v>
      </c>
      <c r="F3525" t="s">
        <v>8448</v>
      </c>
      <c r="G3525" t="s">
        <v>8905</v>
      </c>
    </row>
    <row r="3526" spans="1:7">
      <c r="A3526" t="s">
        <v>5889</v>
      </c>
      <c r="C3526" t="s">
        <v>8394</v>
      </c>
      <c r="D3526" t="s">
        <v>8401</v>
      </c>
      <c r="E3526" t="s">
        <v>8445</v>
      </c>
      <c r="F3526" t="s">
        <v>8448</v>
      </c>
      <c r="G3526" t="s">
        <v>8905</v>
      </c>
    </row>
    <row r="3527" spans="1:7">
      <c r="A3527" t="s">
        <v>5890</v>
      </c>
      <c r="C3527" t="s">
        <v>8394</v>
      </c>
      <c r="D3527" t="s">
        <v>8401</v>
      </c>
      <c r="E3527" t="s">
        <v>8445</v>
      </c>
      <c r="F3527" t="s">
        <v>8448</v>
      </c>
      <c r="G3527" t="s">
        <v>8905</v>
      </c>
    </row>
    <row r="3528" spans="1:7">
      <c r="A3528" t="s">
        <v>5891</v>
      </c>
      <c r="C3528" t="s">
        <v>8394</v>
      </c>
      <c r="D3528" t="s">
        <v>8401</v>
      </c>
      <c r="E3528" t="s">
        <v>8445</v>
      </c>
      <c r="F3528" t="s">
        <v>8448</v>
      </c>
      <c r="G3528" t="s">
        <v>8905</v>
      </c>
    </row>
    <row r="3529" spans="1:7">
      <c r="A3529" t="s">
        <v>5892</v>
      </c>
      <c r="C3529" t="s">
        <v>8394</v>
      </c>
      <c r="D3529" t="s">
        <v>8401</v>
      </c>
      <c r="E3529" t="s">
        <v>8445</v>
      </c>
      <c r="F3529" t="s">
        <v>8448</v>
      </c>
      <c r="G3529" t="s">
        <v>8905</v>
      </c>
    </row>
    <row r="3530" spans="1:7">
      <c r="A3530" t="s">
        <v>5893</v>
      </c>
      <c r="C3530" t="s">
        <v>8394</v>
      </c>
      <c r="D3530" t="s">
        <v>8401</v>
      </c>
      <c r="E3530" t="s">
        <v>8445</v>
      </c>
      <c r="F3530" t="s">
        <v>8448</v>
      </c>
      <c r="G3530" t="s">
        <v>8905</v>
      </c>
    </row>
    <row r="3531" spans="1:7">
      <c r="A3531" t="s">
        <v>5894</v>
      </c>
      <c r="C3531" t="s">
        <v>8394</v>
      </c>
      <c r="D3531" t="s">
        <v>8401</v>
      </c>
      <c r="E3531" t="s">
        <v>8445</v>
      </c>
      <c r="F3531" t="s">
        <v>8448</v>
      </c>
      <c r="G3531" t="s">
        <v>8905</v>
      </c>
    </row>
    <row r="3532" spans="1:7">
      <c r="A3532" t="s">
        <v>5895</v>
      </c>
      <c r="C3532" t="s">
        <v>8394</v>
      </c>
      <c r="D3532" t="s">
        <v>8401</v>
      </c>
      <c r="E3532" t="s">
        <v>8445</v>
      </c>
      <c r="F3532" t="s">
        <v>8448</v>
      </c>
      <c r="G3532" t="s">
        <v>8905</v>
      </c>
    </row>
    <row r="3533" spans="1:7">
      <c r="A3533" t="s">
        <v>5896</v>
      </c>
      <c r="C3533" t="s">
        <v>8394</v>
      </c>
      <c r="D3533" t="s">
        <v>8401</v>
      </c>
      <c r="E3533" t="s">
        <v>8445</v>
      </c>
      <c r="F3533" t="s">
        <v>8448</v>
      </c>
      <c r="G3533" t="s">
        <v>8905</v>
      </c>
    </row>
    <row r="3534" spans="1:7">
      <c r="A3534" t="s">
        <v>5897</v>
      </c>
      <c r="C3534" t="s">
        <v>8394</v>
      </c>
      <c r="D3534" t="s">
        <v>8401</v>
      </c>
      <c r="E3534" t="s">
        <v>8445</v>
      </c>
      <c r="F3534" t="s">
        <v>8448</v>
      </c>
      <c r="G3534" t="s">
        <v>8905</v>
      </c>
    </row>
    <row r="3535" spans="1:7">
      <c r="A3535" t="s">
        <v>5898</v>
      </c>
      <c r="C3535" t="s">
        <v>8394</v>
      </c>
      <c r="D3535" t="s">
        <v>8401</v>
      </c>
      <c r="E3535" t="s">
        <v>8445</v>
      </c>
      <c r="F3535" t="s">
        <v>8448</v>
      </c>
      <c r="G3535" t="s">
        <v>8905</v>
      </c>
    </row>
    <row r="3536" spans="1:7">
      <c r="A3536" t="s">
        <v>5899</v>
      </c>
      <c r="C3536" t="s">
        <v>8394</v>
      </c>
      <c r="D3536" t="s">
        <v>8401</v>
      </c>
      <c r="E3536" t="s">
        <v>8445</v>
      </c>
      <c r="F3536" t="s">
        <v>8448</v>
      </c>
      <c r="G3536" t="s">
        <v>8905</v>
      </c>
    </row>
    <row r="3537" spans="1:7">
      <c r="A3537" t="s">
        <v>5900</v>
      </c>
      <c r="C3537" t="s">
        <v>8394</v>
      </c>
      <c r="D3537" t="s">
        <v>8401</v>
      </c>
      <c r="E3537" t="s">
        <v>8445</v>
      </c>
      <c r="F3537" t="s">
        <v>8448</v>
      </c>
      <c r="G3537" t="s">
        <v>8905</v>
      </c>
    </row>
    <row r="3538" spans="1:7">
      <c r="A3538" t="s">
        <v>5901</v>
      </c>
      <c r="C3538" t="s">
        <v>8394</v>
      </c>
      <c r="D3538" t="s">
        <v>8401</v>
      </c>
      <c r="E3538" t="s">
        <v>8445</v>
      </c>
      <c r="F3538" t="s">
        <v>8448</v>
      </c>
      <c r="G3538" t="s">
        <v>8905</v>
      </c>
    </row>
    <row r="3539" spans="1:7">
      <c r="A3539" t="s">
        <v>5902</v>
      </c>
      <c r="C3539" t="s">
        <v>8394</v>
      </c>
      <c r="D3539" t="s">
        <v>8401</v>
      </c>
      <c r="E3539" t="s">
        <v>8445</v>
      </c>
      <c r="F3539" t="s">
        <v>8448</v>
      </c>
      <c r="G3539" t="s">
        <v>8905</v>
      </c>
    </row>
    <row r="3540" spans="1:7">
      <c r="A3540" t="s">
        <v>5903</v>
      </c>
      <c r="C3540" t="s">
        <v>8394</v>
      </c>
      <c r="D3540" t="s">
        <v>8401</v>
      </c>
      <c r="E3540" t="s">
        <v>8445</v>
      </c>
      <c r="F3540" t="s">
        <v>8448</v>
      </c>
      <c r="G3540" t="s">
        <v>8905</v>
      </c>
    </row>
    <row r="3541" spans="1:7">
      <c r="A3541" t="s">
        <v>5904</v>
      </c>
      <c r="C3541" t="s">
        <v>8394</v>
      </c>
      <c r="D3541" t="s">
        <v>8401</v>
      </c>
      <c r="E3541" t="s">
        <v>8445</v>
      </c>
      <c r="F3541" t="s">
        <v>8448</v>
      </c>
      <c r="G3541" t="s">
        <v>8905</v>
      </c>
    </row>
    <row r="3542" spans="1:7">
      <c r="A3542" t="s">
        <v>5905</v>
      </c>
      <c r="C3542" t="s">
        <v>8394</v>
      </c>
      <c r="D3542" t="s">
        <v>8401</v>
      </c>
      <c r="E3542" t="s">
        <v>8445</v>
      </c>
      <c r="F3542" t="s">
        <v>8448</v>
      </c>
      <c r="G3542" t="s">
        <v>8905</v>
      </c>
    </row>
    <row r="3543" spans="1:7">
      <c r="A3543" t="s">
        <v>5906</v>
      </c>
      <c r="C3543" t="s">
        <v>8394</v>
      </c>
      <c r="D3543" t="s">
        <v>8401</v>
      </c>
      <c r="E3543" t="s">
        <v>8445</v>
      </c>
      <c r="F3543" t="s">
        <v>8448</v>
      </c>
      <c r="G3543" t="s">
        <v>8905</v>
      </c>
    </row>
    <row r="3544" spans="1:7">
      <c r="A3544" t="s">
        <v>5907</v>
      </c>
      <c r="C3544" t="s">
        <v>8394</v>
      </c>
      <c r="D3544" t="s">
        <v>8401</v>
      </c>
      <c r="E3544" t="s">
        <v>8445</v>
      </c>
      <c r="F3544" t="s">
        <v>8448</v>
      </c>
      <c r="G3544" t="s">
        <v>8905</v>
      </c>
    </row>
    <row r="3545" spans="1:7">
      <c r="A3545" t="s">
        <v>5908</v>
      </c>
      <c r="C3545" t="s">
        <v>8394</v>
      </c>
      <c r="D3545" t="s">
        <v>8401</v>
      </c>
      <c r="E3545" t="s">
        <v>8445</v>
      </c>
      <c r="F3545" t="s">
        <v>8448</v>
      </c>
      <c r="G3545" t="s">
        <v>8905</v>
      </c>
    </row>
    <row r="3546" spans="1:7">
      <c r="A3546" t="s">
        <v>5909</v>
      </c>
      <c r="C3546" t="s">
        <v>8394</v>
      </c>
      <c r="D3546" t="s">
        <v>8401</v>
      </c>
      <c r="E3546" t="s">
        <v>8445</v>
      </c>
      <c r="F3546" t="s">
        <v>8448</v>
      </c>
      <c r="G3546" t="s">
        <v>8905</v>
      </c>
    </row>
    <row r="3547" spans="1:7">
      <c r="A3547" t="s">
        <v>5910</v>
      </c>
      <c r="C3547" t="s">
        <v>8394</v>
      </c>
      <c r="D3547" t="s">
        <v>8401</v>
      </c>
      <c r="E3547" t="s">
        <v>8445</v>
      </c>
      <c r="F3547" t="s">
        <v>8448</v>
      </c>
      <c r="G3547" t="s">
        <v>8905</v>
      </c>
    </row>
    <row r="3548" spans="1:7">
      <c r="A3548" t="s">
        <v>5911</v>
      </c>
      <c r="C3548" t="s">
        <v>8394</v>
      </c>
      <c r="D3548" t="s">
        <v>8401</v>
      </c>
      <c r="E3548" t="s">
        <v>8445</v>
      </c>
      <c r="F3548" t="s">
        <v>8448</v>
      </c>
      <c r="G3548" t="s">
        <v>8905</v>
      </c>
    </row>
    <row r="3549" spans="1:7">
      <c r="A3549" t="s">
        <v>5912</v>
      </c>
      <c r="C3549" t="s">
        <v>8394</v>
      </c>
      <c r="D3549" t="s">
        <v>8401</v>
      </c>
      <c r="E3549" t="s">
        <v>8445</v>
      </c>
      <c r="F3549" t="s">
        <v>8448</v>
      </c>
      <c r="G3549" t="s">
        <v>8905</v>
      </c>
    </row>
    <row r="3550" spans="1:7">
      <c r="A3550" t="s">
        <v>5913</v>
      </c>
      <c r="C3550" t="s">
        <v>8394</v>
      </c>
      <c r="D3550" t="s">
        <v>8401</v>
      </c>
      <c r="E3550" t="s">
        <v>8445</v>
      </c>
      <c r="F3550" t="s">
        <v>8448</v>
      </c>
      <c r="G3550" t="s">
        <v>8905</v>
      </c>
    </row>
    <row r="3551" spans="1:7">
      <c r="A3551" t="s">
        <v>5914</v>
      </c>
      <c r="C3551" t="s">
        <v>8394</v>
      </c>
      <c r="D3551" t="s">
        <v>8401</v>
      </c>
      <c r="E3551" t="s">
        <v>8445</v>
      </c>
      <c r="F3551" t="s">
        <v>8448</v>
      </c>
      <c r="G3551" t="s">
        <v>8905</v>
      </c>
    </row>
    <row r="3552" spans="1:7">
      <c r="A3552" t="s">
        <v>5915</v>
      </c>
      <c r="C3552" t="s">
        <v>8397</v>
      </c>
      <c r="D3552" t="s">
        <v>8408</v>
      </c>
      <c r="E3552" t="s">
        <v>8445</v>
      </c>
      <c r="F3552" t="s">
        <v>8450</v>
      </c>
    </row>
    <row r="3553" spans="1:7">
      <c r="A3553" t="s">
        <v>5916</v>
      </c>
      <c r="C3553" t="s">
        <v>8392</v>
      </c>
      <c r="D3553" t="s">
        <v>8415</v>
      </c>
      <c r="E3553" t="s">
        <v>1519</v>
      </c>
      <c r="F3553" t="s">
        <v>8449</v>
      </c>
      <c r="G3553" t="s">
        <v>9030</v>
      </c>
    </row>
    <row r="3554" spans="1:7">
      <c r="A3554" t="s">
        <v>5917</v>
      </c>
      <c r="C3554" t="s">
        <v>8397</v>
      </c>
      <c r="D3554" t="s">
        <v>8408</v>
      </c>
      <c r="E3554" t="s">
        <v>8445</v>
      </c>
      <c r="F3554" t="s">
        <v>8450</v>
      </c>
    </row>
    <row r="3555" spans="1:7">
      <c r="A3555" t="s">
        <v>5918</v>
      </c>
      <c r="C3555" t="s">
        <v>8397</v>
      </c>
      <c r="D3555" t="s">
        <v>8431</v>
      </c>
      <c r="E3555" t="s">
        <v>8444</v>
      </c>
      <c r="F3555" t="s">
        <v>8448</v>
      </c>
      <c r="G3555" t="s">
        <v>9031</v>
      </c>
    </row>
    <row r="3556" spans="1:7">
      <c r="A3556" t="s">
        <v>5919</v>
      </c>
      <c r="C3556" t="s">
        <v>8397</v>
      </c>
      <c r="D3556" t="s">
        <v>8421</v>
      </c>
      <c r="E3556" t="s">
        <v>8445</v>
      </c>
      <c r="F3556" t="s">
        <v>8448</v>
      </c>
      <c r="G3556" t="s">
        <v>9032</v>
      </c>
    </row>
    <row r="3557" spans="1:7">
      <c r="A3557" t="s">
        <v>5920</v>
      </c>
      <c r="C3557" t="s">
        <v>8393</v>
      </c>
      <c r="D3557" t="s">
        <v>8393</v>
      </c>
      <c r="E3557" t="s">
        <v>919</v>
      </c>
      <c r="F3557" t="s">
        <v>8393</v>
      </c>
    </row>
    <row r="3558" spans="1:7">
      <c r="A3558" t="s">
        <v>5921</v>
      </c>
      <c r="C3558" t="s">
        <v>8394</v>
      </c>
      <c r="D3558" t="s">
        <v>8401</v>
      </c>
      <c r="E3558" t="s">
        <v>8444</v>
      </c>
      <c r="F3558" t="s">
        <v>8450</v>
      </c>
      <c r="G3558" t="s">
        <v>9033</v>
      </c>
    </row>
    <row r="3559" spans="1:7">
      <c r="A3559" t="s">
        <v>5922</v>
      </c>
      <c r="C3559" t="s">
        <v>8394</v>
      </c>
      <c r="D3559" t="s">
        <v>8401</v>
      </c>
      <c r="E3559" t="s">
        <v>8444</v>
      </c>
      <c r="F3559" t="s">
        <v>8450</v>
      </c>
      <c r="G3559" t="s">
        <v>9034</v>
      </c>
    </row>
    <row r="3560" spans="1:7">
      <c r="A3560" t="s">
        <v>5923</v>
      </c>
      <c r="C3560" t="s">
        <v>8394</v>
      </c>
      <c r="D3560" t="s">
        <v>8401</v>
      </c>
      <c r="E3560" t="s">
        <v>8444</v>
      </c>
      <c r="F3560" t="s">
        <v>8450</v>
      </c>
      <c r="G3560" t="s">
        <v>9034</v>
      </c>
    </row>
    <row r="3561" spans="1:7">
      <c r="A3561" t="s">
        <v>5924</v>
      </c>
      <c r="C3561" t="s">
        <v>8394</v>
      </c>
      <c r="D3561" t="s">
        <v>8401</v>
      </c>
      <c r="E3561" t="s">
        <v>8444</v>
      </c>
      <c r="F3561" t="s">
        <v>8450</v>
      </c>
      <c r="G3561" t="s">
        <v>9034</v>
      </c>
    </row>
    <row r="3562" spans="1:7">
      <c r="A3562" t="s">
        <v>5925</v>
      </c>
      <c r="C3562" t="s">
        <v>8394</v>
      </c>
      <c r="D3562" t="s">
        <v>8401</v>
      </c>
      <c r="E3562" t="s">
        <v>8444</v>
      </c>
      <c r="F3562" t="s">
        <v>8450</v>
      </c>
      <c r="G3562" t="s">
        <v>9034</v>
      </c>
    </row>
    <row r="3563" spans="1:7">
      <c r="A3563" t="s">
        <v>5926</v>
      </c>
      <c r="C3563" t="s">
        <v>8394</v>
      </c>
      <c r="D3563" t="s">
        <v>8401</v>
      </c>
      <c r="E3563" t="s">
        <v>8444</v>
      </c>
      <c r="F3563" t="s">
        <v>8450</v>
      </c>
      <c r="G3563" t="s">
        <v>9034</v>
      </c>
    </row>
    <row r="3564" spans="1:7">
      <c r="A3564" t="s">
        <v>5927</v>
      </c>
      <c r="C3564" t="s">
        <v>8394</v>
      </c>
      <c r="D3564" t="s">
        <v>8401</v>
      </c>
      <c r="E3564" t="s">
        <v>8444</v>
      </c>
      <c r="F3564" t="s">
        <v>8450</v>
      </c>
      <c r="G3564" t="s">
        <v>9034</v>
      </c>
    </row>
    <row r="3565" spans="1:7">
      <c r="A3565" t="s">
        <v>5928</v>
      </c>
      <c r="C3565" t="s">
        <v>8394</v>
      </c>
      <c r="D3565" t="s">
        <v>8401</v>
      </c>
      <c r="E3565" t="s">
        <v>8444</v>
      </c>
      <c r="F3565" t="s">
        <v>8450</v>
      </c>
      <c r="G3565" t="s">
        <v>9034</v>
      </c>
    </row>
    <row r="3566" spans="1:7">
      <c r="A3566" t="s">
        <v>5929</v>
      </c>
      <c r="C3566" t="s">
        <v>8394</v>
      </c>
      <c r="D3566" t="s">
        <v>8401</v>
      </c>
      <c r="E3566" t="s">
        <v>8444</v>
      </c>
      <c r="F3566" t="s">
        <v>8450</v>
      </c>
      <c r="G3566" t="s">
        <v>9034</v>
      </c>
    </row>
    <row r="3567" spans="1:7">
      <c r="A3567" t="s">
        <v>5930</v>
      </c>
      <c r="C3567" t="s">
        <v>8394</v>
      </c>
      <c r="D3567" t="s">
        <v>8401</v>
      </c>
      <c r="E3567" t="s">
        <v>8444</v>
      </c>
      <c r="F3567" t="s">
        <v>8450</v>
      </c>
      <c r="G3567" t="s">
        <v>9034</v>
      </c>
    </row>
    <row r="3568" spans="1:7">
      <c r="A3568" t="s">
        <v>5931</v>
      </c>
      <c r="C3568" t="s">
        <v>8394</v>
      </c>
      <c r="D3568" t="s">
        <v>8401</v>
      </c>
      <c r="E3568" t="s">
        <v>8444</v>
      </c>
      <c r="F3568" t="s">
        <v>8450</v>
      </c>
      <c r="G3568" t="s">
        <v>9034</v>
      </c>
    </row>
    <row r="3569" spans="1:7">
      <c r="A3569" t="s">
        <v>5932</v>
      </c>
      <c r="C3569" t="s">
        <v>8394</v>
      </c>
      <c r="D3569" t="s">
        <v>8401</v>
      </c>
      <c r="E3569" t="s">
        <v>8444</v>
      </c>
      <c r="F3569" t="s">
        <v>8450</v>
      </c>
      <c r="G3569" t="s">
        <v>9034</v>
      </c>
    </row>
    <row r="3570" spans="1:7">
      <c r="A3570" t="s">
        <v>5933</v>
      </c>
      <c r="C3570" t="s">
        <v>8394</v>
      </c>
      <c r="D3570" t="s">
        <v>8401</v>
      </c>
      <c r="E3570" t="s">
        <v>8444</v>
      </c>
      <c r="F3570" t="s">
        <v>8450</v>
      </c>
      <c r="G3570" t="s">
        <v>9034</v>
      </c>
    </row>
    <row r="3571" spans="1:7">
      <c r="A3571" t="s">
        <v>5934</v>
      </c>
      <c r="C3571" t="s">
        <v>8394</v>
      </c>
      <c r="D3571" t="s">
        <v>8401</v>
      </c>
      <c r="E3571" t="s">
        <v>8444</v>
      </c>
      <c r="F3571" t="s">
        <v>8450</v>
      </c>
      <c r="G3571" t="s">
        <v>9034</v>
      </c>
    </row>
    <row r="3572" spans="1:7">
      <c r="A3572" t="s">
        <v>5935</v>
      </c>
      <c r="C3572" t="s">
        <v>8394</v>
      </c>
      <c r="D3572" t="s">
        <v>8401</v>
      </c>
      <c r="E3572" t="s">
        <v>8444</v>
      </c>
      <c r="F3572" t="s">
        <v>8450</v>
      </c>
      <c r="G3572" t="s">
        <v>9034</v>
      </c>
    </row>
    <row r="3573" spans="1:7">
      <c r="A3573" t="s">
        <v>5936</v>
      </c>
      <c r="C3573" t="s">
        <v>8394</v>
      </c>
      <c r="D3573" t="s">
        <v>8401</v>
      </c>
      <c r="E3573" t="s">
        <v>8444</v>
      </c>
      <c r="F3573" t="s">
        <v>8450</v>
      </c>
      <c r="G3573" t="s">
        <v>9034</v>
      </c>
    </row>
    <row r="3574" spans="1:7">
      <c r="A3574" t="s">
        <v>5937</v>
      </c>
      <c r="C3574" t="s">
        <v>8394</v>
      </c>
      <c r="D3574" t="s">
        <v>8401</v>
      </c>
      <c r="E3574" t="s">
        <v>8444</v>
      </c>
      <c r="F3574" t="s">
        <v>8450</v>
      </c>
      <c r="G3574" t="s">
        <v>9034</v>
      </c>
    </row>
    <row r="3575" spans="1:7">
      <c r="A3575" t="s">
        <v>5938</v>
      </c>
      <c r="C3575" t="s">
        <v>8398</v>
      </c>
      <c r="D3575" t="s">
        <v>8419</v>
      </c>
      <c r="E3575" t="s">
        <v>1519</v>
      </c>
      <c r="F3575" t="s">
        <v>8449</v>
      </c>
      <c r="G3575" t="s">
        <v>9035</v>
      </c>
    </row>
    <row r="3576" spans="1:7">
      <c r="A3576" t="s">
        <v>5939</v>
      </c>
      <c r="B3576" t="s">
        <v>8286</v>
      </c>
      <c r="C3576" t="s">
        <v>8396</v>
      </c>
      <c r="D3576" t="s">
        <v>8406</v>
      </c>
      <c r="E3576" t="s">
        <v>8446</v>
      </c>
      <c r="F3576" t="s">
        <v>8449</v>
      </c>
      <c r="G3576" t="s">
        <v>8455</v>
      </c>
    </row>
    <row r="3577" spans="1:7">
      <c r="A3577" t="s">
        <v>5940</v>
      </c>
      <c r="B3577" t="s">
        <v>8273</v>
      </c>
      <c r="C3577" t="s">
        <v>8395</v>
      </c>
      <c r="D3577" t="s">
        <v>8426</v>
      </c>
      <c r="E3577" t="s">
        <v>8444</v>
      </c>
      <c r="F3577" t="s">
        <v>8449</v>
      </c>
      <c r="G3577" t="s">
        <v>8455</v>
      </c>
    </row>
    <row r="3578" spans="1:7">
      <c r="A3578" t="s">
        <v>5941</v>
      </c>
      <c r="C3578" t="s">
        <v>8393</v>
      </c>
      <c r="D3578" t="s">
        <v>8393</v>
      </c>
      <c r="E3578" t="s">
        <v>919</v>
      </c>
      <c r="F3578" t="s">
        <v>8393</v>
      </c>
    </row>
    <row r="3579" spans="1:7">
      <c r="A3579" t="s">
        <v>5942</v>
      </c>
      <c r="B3579" t="s">
        <v>8273</v>
      </c>
      <c r="C3579" t="s">
        <v>8394</v>
      </c>
      <c r="D3579" t="s">
        <v>8424</v>
      </c>
      <c r="E3579" t="s">
        <v>8445</v>
      </c>
      <c r="F3579" t="s">
        <v>8448</v>
      </c>
      <c r="G3579" t="s">
        <v>9036</v>
      </c>
    </row>
    <row r="3580" spans="1:7">
      <c r="A3580" t="s">
        <v>5943</v>
      </c>
      <c r="C3580" t="s">
        <v>8394</v>
      </c>
      <c r="D3580" t="s">
        <v>8424</v>
      </c>
      <c r="E3580" t="s">
        <v>8445</v>
      </c>
      <c r="F3580" t="s">
        <v>8448</v>
      </c>
      <c r="G3580" t="s">
        <v>9037</v>
      </c>
    </row>
    <row r="3581" spans="1:7">
      <c r="A3581" t="s">
        <v>5944</v>
      </c>
      <c r="B3581" t="s">
        <v>8276</v>
      </c>
      <c r="C3581" t="s">
        <v>8396</v>
      </c>
      <c r="D3581" t="s">
        <v>8426</v>
      </c>
      <c r="E3581" t="s">
        <v>8446</v>
      </c>
      <c r="F3581" t="s">
        <v>8449</v>
      </c>
      <c r="G3581" t="s">
        <v>8455</v>
      </c>
    </row>
    <row r="3582" spans="1:7">
      <c r="A3582" t="s">
        <v>5945</v>
      </c>
      <c r="B3582" t="s">
        <v>8274</v>
      </c>
      <c r="C3582" t="s">
        <v>8396</v>
      </c>
      <c r="D3582" t="s">
        <v>8406</v>
      </c>
      <c r="E3582" t="s">
        <v>8444</v>
      </c>
      <c r="F3582" t="s">
        <v>8449</v>
      </c>
      <c r="G3582" t="s">
        <v>8455</v>
      </c>
    </row>
    <row r="3583" spans="1:7">
      <c r="A3583" t="s">
        <v>5946</v>
      </c>
      <c r="C3583" t="s">
        <v>8397</v>
      </c>
      <c r="D3583" t="s">
        <v>8421</v>
      </c>
      <c r="E3583" t="s">
        <v>8445</v>
      </c>
      <c r="F3583" t="s">
        <v>8448</v>
      </c>
      <c r="G3583" t="s">
        <v>9038</v>
      </c>
    </row>
    <row r="3584" spans="1:7">
      <c r="A3584" t="s">
        <v>5947</v>
      </c>
      <c r="B3584" t="s">
        <v>8274</v>
      </c>
      <c r="C3584" t="s">
        <v>8396</v>
      </c>
      <c r="D3584" t="s">
        <v>8406</v>
      </c>
      <c r="E3584" t="s">
        <v>8444</v>
      </c>
      <c r="F3584" t="s">
        <v>8449</v>
      </c>
      <c r="G3584" t="s">
        <v>8455</v>
      </c>
    </row>
    <row r="3585" spans="1:7">
      <c r="A3585" t="s">
        <v>5948</v>
      </c>
      <c r="C3585" t="s">
        <v>8397</v>
      </c>
      <c r="D3585" t="s">
        <v>8418</v>
      </c>
      <c r="E3585" t="s">
        <v>8446</v>
      </c>
      <c r="F3585" t="s">
        <v>8450</v>
      </c>
      <c r="G3585" t="s">
        <v>8463</v>
      </c>
    </row>
    <row r="3586" spans="1:7">
      <c r="A3586" t="s">
        <v>5949</v>
      </c>
      <c r="B3586" t="s">
        <v>8273</v>
      </c>
      <c r="C3586" t="s">
        <v>8398</v>
      </c>
      <c r="D3586" t="s">
        <v>8419</v>
      </c>
      <c r="E3586" t="s">
        <v>8445</v>
      </c>
      <c r="F3586" t="s">
        <v>8448</v>
      </c>
      <c r="G3586" t="s">
        <v>8453</v>
      </c>
    </row>
    <row r="3587" spans="1:7">
      <c r="A3587" t="s">
        <v>5950</v>
      </c>
      <c r="C3587" t="s">
        <v>8394</v>
      </c>
      <c r="D3587" t="s">
        <v>8401</v>
      </c>
      <c r="E3587" t="s">
        <v>8445</v>
      </c>
      <c r="F3587" t="s">
        <v>8448</v>
      </c>
      <c r="G3587" t="s">
        <v>9039</v>
      </c>
    </row>
    <row r="3588" spans="1:7">
      <c r="A3588" t="s">
        <v>5951</v>
      </c>
      <c r="C3588" t="s">
        <v>8394</v>
      </c>
      <c r="D3588" t="s">
        <v>8401</v>
      </c>
      <c r="E3588" t="s">
        <v>8445</v>
      </c>
      <c r="F3588" t="s">
        <v>8448</v>
      </c>
      <c r="G3588" t="s">
        <v>9040</v>
      </c>
    </row>
    <row r="3589" spans="1:7">
      <c r="A3589" t="s">
        <v>5952</v>
      </c>
      <c r="B3589" t="s">
        <v>8273</v>
      </c>
      <c r="C3589" t="s">
        <v>8395</v>
      </c>
      <c r="D3589" t="s">
        <v>8426</v>
      </c>
      <c r="E3589" t="s">
        <v>8446</v>
      </c>
      <c r="F3589" t="s">
        <v>8449</v>
      </c>
      <c r="G3589" t="s">
        <v>8455</v>
      </c>
    </row>
    <row r="3590" spans="1:7">
      <c r="A3590" t="s">
        <v>5953</v>
      </c>
      <c r="C3590" t="s">
        <v>8395</v>
      </c>
      <c r="D3590" t="s">
        <v>8416</v>
      </c>
      <c r="E3590" t="s">
        <v>1587</v>
      </c>
      <c r="F3590" t="s">
        <v>8448</v>
      </c>
      <c r="G3590" t="s">
        <v>8455</v>
      </c>
    </row>
    <row r="3591" spans="1:7">
      <c r="A3591" t="s">
        <v>5954</v>
      </c>
      <c r="B3591" t="s">
        <v>8273</v>
      </c>
      <c r="C3591" t="s">
        <v>8398</v>
      </c>
      <c r="D3591" t="s">
        <v>8419</v>
      </c>
      <c r="E3591" t="s">
        <v>8445</v>
      </c>
      <c r="F3591" t="s">
        <v>8450</v>
      </c>
      <c r="G3591" t="s">
        <v>8474</v>
      </c>
    </row>
    <row r="3592" spans="1:7">
      <c r="A3592" t="s">
        <v>5955</v>
      </c>
      <c r="C3592" t="s">
        <v>8397</v>
      </c>
      <c r="D3592" t="s">
        <v>8408</v>
      </c>
      <c r="E3592" t="s">
        <v>8445</v>
      </c>
      <c r="F3592" t="s">
        <v>8450</v>
      </c>
    </row>
    <row r="3593" spans="1:7">
      <c r="A3593" t="s">
        <v>5956</v>
      </c>
      <c r="C3593" t="s">
        <v>8393</v>
      </c>
      <c r="D3593" t="s">
        <v>8393</v>
      </c>
      <c r="E3593" t="s">
        <v>919</v>
      </c>
      <c r="F3593" t="s">
        <v>8393</v>
      </c>
    </row>
    <row r="3594" spans="1:7">
      <c r="A3594" t="s">
        <v>5957</v>
      </c>
      <c r="B3594" t="s">
        <v>8273</v>
      </c>
      <c r="C3594" t="s">
        <v>8394</v>
      </c>
      <c r="D3594" t="s">
        <v>8414</v>
      </c>
      <c r="E3594" t="s">
        <v>8444</v>
      </c>
      <c r="F3594" t="s">
        <v>8448</v>
      </c>
      <c r="G3594" t="s">
        <v>9041</v>
      </c>
    </row>
    <row r="3595" spans="1:7">
      <c r="A3595" t="s">
        <v>5958</v>
      </c>
      <c r="B3595" t="s">
        <v>8273</v>
      </c>
      <c r="C3595" t="s">
        <v>8394</v>
      </c>
      <c r="D3595" t="s">
        <v>8414</v>
      </c>
      <c r="E3595" t="s">
        <v>8444</v>
      </c>
      <c r="F3595" t="s">
        <v>8448</v>
      </c>
      <c r="G3595" t="s">
        <v>9042</v>
      </c>
    </row>
    <row r="3596" spans="1:7">
      <c r="A3596" t="s">
        <v>5959</v>
      </c>
      <c r="B3596" t="s">
        <v>8273</v>
      </c>
      <c r="C3596" t="s">
        <v>8394</v>
      </c>
      <c r="D3596" t="s">
        <v>8414</v>
      </c>
      <c r="E3596" t="s">
        <v>8444</v>
      </c>
      <c r="F3596" t="s">
        <v>8448</v>
      </c>
      <c r="G3596" t="s">
        <v>9042</v>
      </c>
    </row>
    <row r="3597" spans="1:7">
      <c r="A3597" t="s">
        <v>5960</v>
      </c>
      <c r="B3597" t="s">
        <v>8273</v>
      </c>
      <c r="C3597" t="s">
        <v>8394</v>
      </c>
      <c r="D3597" t="s">
        <v>8414</v>
      </c>
      <c r="E3597" t="s">
        <v>8444</v>
      </c>
      <c r="F3597" t="s">
        <v>8448</v>
      </c>
      <c r="G3597" t="s">
        <v>9042</v>
      </c>
    </row>
    <row r="3598" spans="1:7">
      <c r="A3598" t="s">
        <v>5961</v>
      </c>
      <c r="B3598" t="s">
        <v>8273</v>
      </c>
      <c r="C3598" t="s">
        <v>8394</v>
      </c>
      <c r="D3598" t="s">
        <v>8414</v>
      </c>
      <c r="E3598" t="s">
        <v>8444</v>
      </c>
      <c r="F3598" t="s">
        <v>8448</v>
      </c>
      <c r="G3598" t="s">
        <v>9042</v>
      </c>
    </row>
    <row r="3599" spans="1:7">
      <c r="A3599" t="s">
        <v>5962</v>
      </c>
      <c r="B3599" t="s">
        <v>8273</v>
      </c>
      <c r="C3599" t="s">
        <v>8394</v>
      </c>
      <c r="D3599" t="s">
        <v>8414</v>
      </c>
      <c r="E3599" t="s">
        <v>8444</v>
      </c>
      <c r="F3599" t="s">
        <v>8448</v>
      </c>
      <c r="G3599" t="s">
        <v>9042</v>
      </c>
    </row>
    <row r="3600" spans="1:7">
      <c r="A3600" t="s">
        <v>5963</v>
      </c>
      <c r="B3600" t="s">
        <v>8273</v>
      </c>
      <c r="C3600" t="s">
        <v>8395</v>
      </c>
      <c r="D3600" t="s">
        <v>8422</v>
      </c>
      <c r="E3600" t="s">
        <v>8445</v>
      </c>
      <c r="F3600" t="s">
        <v>8449</v>
      </c>
      <c r="G3600" t="s">
        <v>8455</v>
      </c>
    </row>
    <row r="3601" spans="1:7">
      <c r="A3601" t="s">
        <v>5964</v>
      </c>
      <c r="B3601" t="s">
        <v>8273</v>
      </c>
      <c r="C3601" t="s">
        <v>8397</v>
      </c>
      <c r="D3601" t="s">
        <v>8431</v>
      </c>
      <c r="E3601" t="s">
        <v>8446</v>
      </c>
      <c r="F3601" t="s">
        <v>8449</v>
      </c>
      <c r="G3601" t="s">
        <v>8455</v>
      </c>
    </row>
    <row r="3602" spans="1:7">
      <c r="A3602" t="s">
        <v>5965</v>
      </c>
      <c r="C3602" t="s">
        <v>8394</v>
      </c>
      <c r="D3602" t="s">
        <v>8416</v>
      </c>
      <c r="E3602" t="s">
        <v>8444</v>
      </c>
      <c r="F3602" t="s">
        <v>8448</v>
      </c>
      <c r="G3602" t="s">
        <v>9043</v>
      </c>
    </row>
    <row r="3603" spans="1:7">
      <c r="A3603" t="s">
        <v>5966</v>
      </c>
      <c r="C3603" t="s">
        <v>8393</v>
      </c>
      <c r="D3603" t="s">
        <v>8393</v>
      </c>
      <c r="E3603" t="s">
        <v>919</v>
      </c>
      <c r="F3603" t="s">
        <v>8393</v>
      </c>
    </row>
    <row r="3604" spans="1:7">
      <c r="A3604" t="s">
        <v>5967</v>
      </c>
      <c r="C3604" t="s">
        <v>8394</v>
      </c>
      <c r="D3604" t="s">
        <v>8416</v>
      </c>
      <c r="E3604" t="s">
        <v>8446</v>
      </c>
      <c r="F3604" t="s">
        <v>8448</v>
      </c>
      <c r="G3604" t="s">
        <v>9044</v>
      </c>
    </row>
    <row r="3605" spans="1:7">
      <c r="A3605" t="s">
        <v>5968</v>
      </c>
      <c r="C3605" t="s">
        <v>8394</v>
      </c>
      <c r="D3605" t="s">
        <v>8416</v>
      </c>
      <c r="E3605" t="s">
        <v>8446</v>
      </c>
      <c r="F3605" t="s">
        <v>8448</v>
      </c>
      <c r="G3605" t="s">
        <v>9044</v>
      </c>
    </row>
    <row r="3606" spans="1:7">
      <c r="A3606" t="s">
        <v>5969</v>
      </c>
      <c r="C3606" t="s">
        <v>8394</v>
      </c>
      <c r="D3606" t="s">
        <v>8416</v>
      </c>
      <c r="E3606" t="s">
        <v>8446</v>
      </c>
      <c r="F3606" t="s">
        <v>8448</v>
      </c>
      <c r="G3606" t="s">
        <v>9044</v>
      </c>
    </row>
    <row r="3607" spans="1:7">
      <c r="A3607" t="s">
        <v>5970</v>
      </c>
      <c r="C3607" t="s">
        <v>8394</v>
      </c>
      <c r="D3607" t="s">
        <v>8416</v>
      </c>
      <c r="E3607" t="s">
        <v>8446</v>
      </c>
      <c r="F3607" t="s">
        <v>8448</v>
      </c>
      <c r="G3607" t="s">
        <v>9044</v>
      </c>
    </row>
    <row r="3608" spans="1:7">
      <c r="A3608" t="s">
        <v>5971</v>
      </c>
      <c r="C3608" t="s">
        <v>8394</v>
      </c>
      <c r="D3608" t="s">
        <v>8402</v>
      </c>
      <c r="E3608" t="s">
        <v>8444</v>
      </c>
      <c r="F3608" t="s">
        <v>8448</v>
      </c>
      <c r="G3608" t="s">
        <v>8453</v>
      </c>
    </row>
    <row r="3609" spans="1:7">
      <c r="A3609" t="s">
        <v>5972</v>
      </c>
      <c r="C3609" t="s">
        <v>8393</v>
      </c>
      <c r="D3609" t="s">
        <v>8393</v>
      </c>
      <c r="E3609" t="s">
        <v>919</v>
      </c>
      <c r="F3609" t="s">
        <v>8393</v>
      </c>
    </row>
    <row r="3610" spans="1:7">
      <c r="A3610" t="s">
        <v>5973</v>
      </c>
      <c r="C3610" t="s">
        <v>8397</v>
      </c>
      <c r="D3610" t="s">
        <v>8418</v>
      </c>
      <c r="E3610" t="s">
        <v>8445</v>
      </c>
      <c r="F3610" t="s">
        <v>8450</v>
      </c>
      <c r="G3610" t="s">
        <v>8463</v>
      </c>
    </row>
    <row r="3611" spans="1:7">
      <c r="A3611" t="s">
        <v>5974</v>
      </c>
      <c r="C3611" t="s">
        <v>8397</v>
      </c>
      <c r="D3611" t="s">
        <v>8418</v>
      </c>
      <c r="E3611" t="s">
        <v>8445</v>
      </c>
      <c r="F3611" t="s">
        <v>8450</v>
      </c>
      <c r="G3611" t="s">
        <v>8463</v>
      </c>
    </row>
    <row r="3612" spans="1:7">
      <c r="A3612" t="s">
        <v>5975</v>
      </c>
      <c r="C3612" t="s">
        <v>8397</v>
      </c>
      <c r="D3612" t="s">
        <v>8418</v>
      </c>
      <c r="E3612" t="s">
        <v>8445</v>
      </c>
      <c r="F3612" t="s">
        <v>8450</v>
      </c>
      <c r="G3612" t="s">
        <v>8463</v>
      </c>
    </row>
    <row r="3613" spans="1:7">
      <c r="A3613" t="s">
        <v>5976</v>
      </c>
      <c r="C3613" t="s">
        <v>8397</v>
      </c>
      <c r="D3613" t="s">
        <v>8418</v>
      </c>
      <c r="E3613" t="s">
        <v>8445</v>
      </c>
      <c r="F3613" t="s">
        <v>8450</v>
      </c>
      <c r="G3613" t="s">
        <v>8463</v>
      </c>
    </row>
    <row r="3614" spans="1:7">
      <c r="A3614" t="s">
        <v>5977</v>
      </c>
      <c r="C3614" t="s">
        <v>8394</v>
      </c>
      <c r="D3614" t="s">
        <v>8402</v>
      </c>
      <c r="E3614" t="s">
        <v>8444</v>
      </c>
      <c r="F3614" t="s">
        <v>8448</v>
      </c>
      <c r="G3614" t="s">
        <v>8463</v>
      </c>
    </row>
    <row r="3615" spans="1:7">
      <c r="A3615" t="s">
        <v>5978</v>
      </c>
      <c r="C3615" t="s">
        <v>8394</v>
      </c>
      <c r="D3615" t="s">
        <v>8402</v>
      </c>
      <c r="E3615" t="s">
        <v>8444</v>
      </c>
      <c r="F3615" t="s">
        <v>8448</v>
      </c>
      <c r="G3615" t="s">
        <v>8453</v>
      </c>
    </row>
    <row r="3616" spans="1:7">
      <c r="A3616" t="s">
        <v>5979</v>
      </c>
      <c r="C3616" t="s">
        <v>8397</v>
      </c>
      <c r="D3616" t="s">
        <v>8418</v>
      </c>
      <c r="E3616" t="s">
        <v>8445</v>
      </c>
      <c r="F3616" t="s">
        <v>8450</v>
      </c>
      <c r="G3616" t="s">
        <v>8463</v>
      </c>
    </row>
    <row r="3617" spans="1:7">
      <c r="A3617" t="s">
        <v>5980</v>
      </c>
      <c r="C3617" t="s">
        <v>8397</v>
      </c>
      <c r="D3617" t="s">
        <v>8418</v>
      </c>
      <c r="E3617" t="s">
        <v>8444</v>
      </c>
      <c r="F3617" t="s">
        <v>8450</v>
      </c>
      <c r="G3617" t="s">
        <v>8463</v>
      </c>
    </row>
    <row r="3618" spans="1:7">
      <c r="A3618" t="s">
        <v>5981</v>
      </c>
      <c r="B3618" t="s">
        <v>8344</v>
      </c>
      <c r="C3618" t="s">
        <v>8396</v>
      </c>
      <c r="D3618" t="s">
        <v>8404</v>
      </c>
      <c r="E3618" t="s">
        <v>1519</v>
      </c>
      <c r="F3618" t="s">
        <v>8448</v>
      </c>
      <c r="G3618" t="s">
        <v>8463</v>
      </c>
    </row>
    <row r="3619" spans="1:7">
      <c r="A3619" t="s">
        <v>5982</v>
      </c>
      <c r="B3619" t="s">
        <v>8344</v>
      </c>
      <c r="C3619" t="s">
        <v>8394</v>
      </c>
      <c r="D3619" t="s">
        <v>8402</v>
      </c>
      <c r="E3619" t="s">
        <v>8445</v>
      </c>
      <c r="F3619" t="s">
        <v>8449</v>
      </c>
      <c r="G3619" t="s">
        <v>796</v>
      </c>
    </row>
    <row r="3620" spans="1:7">
      <c r="A3620" t="s">
        <v>5983</v>
      </c>
      <c r="B3620" t="s">
        <v>8344</v>
      </c>
      <c r="C3620" t="s">
        <v>8394</v>
      </c>
      <c r="D3620" t="s">
        <v>8402</v>
      </c>
      <c r="E3620" t="s">
        <v>8444</v>
      </c>
      <c r="F3620" t="s">
        <v>8448</v>
      </c>
      <c r="G3620" t="s">
        <v>9045</v>
      </c>
    </row>
    <row r="3621" spans="1:7">
      <c r="A3621" t="s">
        <v>5984</v>
      </c>
      <c r="C3621" t="s">
        <v>8394</v>
      </c>
      <c r="D3621" t="s">
        <v>8402</v>
      </c>
      <c r="E3621" t="s">
        <v>8445</v>
      </c>
      <c r="F3621" t="s">
        <v>8448</v>
      </c>
      <c r="G3621" t="s">
        <v>9046</v>
      </c>
    </row>
    <row r="3622" spans="1:7">
      <c r="A3622" t="s">
        <v>5985</v>
      </c>
      <c r="C3622" t="s">
        <v>8397</v>
      </c>
      <c r="D3622" t="s">
        <v>8418</v>
      </c>
      <c r="E3622" t="s">
        <v>8446</v>
      </c>
      <c r="F3622" t="s">
        <v>8450</v>
      </c>
      <c r="G3622" t="s">
        <v>8453</v>
      </c>
    </row>
    <row r="3623" spans="1:7">
      <c r="A3623" t="s">
        <v>5986</v>
      </c>
      <c r="B3623" t="s">
        <v>8273</v>
      </c>
      <c r="C3623" t="s">
        <v>8394</v>
      </c>
      <c r="D3623" t="s">
        <v>8422</v>
      </c>
      <c r="E3623" t="s">
        <v>1519</v>
      </c>
      <c r="F3623" t="s">
        <v>8447</v>
      </c>
      <c r="G3623" t="s">
        <v>9047</v>
      </c>
    </row>
    <row r="3624" spans="1:7">
      <c r="A3624" t="s">
        <v>5987</v>
      </c>
      <c r="C3624" t="s">
        <v>8397</v>
      </c>
      <c r="D3624" t="s">
        <v>8421</v>
      </c>
      <c r="E3624" t="s">
        <v>8445</v>
      </c>
      <c r="F3624" t="s">
        <v>8448</v>
      </c>
      <c r="G3624" t="s">
        <v>9048</v>
      </c>
    </row>
    <row r="3625" spans="1:7">
      <c r="A3625" t="s">
        <v>5988</v>
      </c>
      <c r="C3625" t="s">
        <v>8394</v>
      </c>
      <c r="D3625" t="s">
        <v>8402</v>
      </c>
      <c r="E3625" t="s">
        <v>8446</v>
      </c>
      <c r="F3625" t="s">
        <v>8448</v>
      </c>
      <c r="G3625" t="s">
        <v>8453</v>
      </c>
    </row>
    <row r="3626" spans="1:7">
      <c r="A3626" t="s">
        <v>5989</v>
      </c>
      <c r="C3626" t="s">
        <v>8394</v>
      </c>
      <c r="D3626" t="s">
        <v>8402</v>
      </c>
      <c r="E3626" t="s">
        <v>8445</v>
      </c>
      <c r="F3626" t="s">
        <v>8448</v>
      </c>
      <c r="G3626" t="s">
        <v>9049</v>
      </c>
    </row>
    <row r="3627" spans="1:7">
      <c r="A3627" t="s">
        <v>5990</v>
      </c>
      <c r="C3627" t="s">
        <v>8394</v>
      </c>
      <c r="D3627" t="s">
        <v>8402</v>
      </c>
      <c r="E3627" t="s">
        <v>8445</v>
      </c>
      <c r="F3627" t="s">
        <v>8448</v>
      </c>
      <c r="G3627" t="s">
        <v>9050</v>
      </c>
    </row>
    <row r="3628" spans="1:7">
      <c r="A3628" t="s">
        <v>5991</v>
      </c>
      <c r="C3628" t="s">
        <v>8393</v>
      </c>
      <c r="D3628" t="s">
        <v>8393</v>
      </c>
      <c r="E3628" t="s">
        <v>919</v>
      </c>
      <c r="F3628" t="s">
        <v>8393</v>
      </c>
    </row>
    <row r="3629" spans="1:7">
      <c r="A3629" t="s">
        <v>5992</v>
      </c>
      <c r="B3629" t="s">
        <v>8282</v>
      </c>
      <c r="C3629" t="s">
        <v>8396</v>
      </c>
      <c r="D3629" t="s">
        <v>8420</v>
      </c>
      <c r="E3629" t="s">
        <v>8445</v>
      </c>
      <c r="F3629" t="s">
        <v>8448</v>
      </c>
      <c r="G3629" t="s">
        <v>8453</v>
      </c>
    </row>
    <row r="3630" spans="1:7">
      <c r="A3630" t="s">
        <v>5993</v>
      </c>
      <c r="B3630" t="s">
        <v>8275</v>
      </c>
      <c r="C3630" t="s">
        <v>8396</v>
      </c>
      <c r="D3630" t="s">
        <v>8411</v>
      </c>
      <c r="E3630" t="s">
        <v>8445</v>
      </c>
      <c r="F3630" t="s">
        <v>8448</v>
      </c>
      <c r="G3630" t="s">
        <v>8474</v>
      </c>
    </row>
    <row r="3631" spans="1:7">
      <c r="A3631" t="s">
        <v>5994</v>
      </c>
      <c r="B3631" t="s">
        <v>8275</v>
      </c>
      <c r="C3631" t="s">
        <v>8396</v>
      </c>
      <c r="D3631" t="s">
        <v>8425</v>
      </c>
      <c r="E3631" t="s">
        <v>8444</v>
      </c>
      <c r="F3631" t="s">
        <v>8448</v>
      </c>
      <c r="G3631" t="s">
        <v>8463</v>
      </c>
    </row>
    <row r="3632" spans="1:7">
      <c r="A3632" t="s">
        <v>5995</v>
      </c>
      <c r="B3632" t="s">
        <v>8282</v>
      </c>
      <c r="C3632" t="s">
        <v>8396</v>
      </c>
      <c r="D3632" t="s">
        <v>8420</v>
      </c>
      <c r="E3632" t="s">
        <v>8446</v>
      </c>
      <c r="F3632" t="s">
        <v>8448</v>
      </c>
      <c r="G3632" t="s">
        <v>9051</v>
      </c>
    </row>
    <row r="3633" spans="1:7">
      <c r="A3633" t="s">
        <v>5996</v>
      </c>
      <c r="B3633" t="s">
        <v>8301</v>
      </c>
      <c r="C3633" t="s">
        <v>8392</v>
      </c>
      <c r="D3633" t="s">
        <v>8400</v>
      </c>
      <c r="E3633" t="s">
        <v>8444</v>
      </c>
      <c r="F3633" t="s">
        <v>8448</v>
      </c>
      <c r="G3633" t="s">
        <v>8453</v>
      </c>
    </row>
    <row r="3634" spans="1:7">
      <c r="A3634" t="s">
        <v>5997</v>
      </c>
      <c r="B3634" t="s">
        <v>8275</v>
      </c>
      <c r="C3634" t="s">
        <v>8396</v>
      </c>
      <c r="D3634" t="s">
        <v>8411</v>
      </c>
      <c r="E3634" t="s">
        <v>8445</v>
      </c>
      <c r="F3634" t="s">
        <v>8448</v>
      </c>
      <c r="G3634" t="s">
        <v>8474</v>
      </c>
    </row>
    <row r="3635" spans="1:7">
      <c r="A3635" t="s">
        <v>5998</v>
      </c>
      <c r="C3635" t="s">
        <v>8397</v>
      </c>
      <c r="D3635" t="s">
        <v>8431</v>
      </c>
      <c r="E3635" t="s">
        <v>8445</v>
      </c>
      <c r="F3635" t="s">
        <v>8450</v>
      </c>
      <c r="G3635" t="s">
        <v>9052</v>
      </c>
    </row>
    <row r="3636" spans="1:7">
      <c r="A3636" t="s">
        <v>5999</v>
      </c>
      <c r="C3636" t="s">
        <v>8394</v>
      </c>
      <c r="D3636" t="s">
        <v>8417</v>
      </c>
      <c r="E3636" t="s">
        <v>8444</v>
      </c>
      <c r="F3636" t="s">
        <v>8448</v>
      </c>
      <c r="G3636" t="s">
        <v>9053</v>
      </c>
    </row>
    <row r="3637" spans="1:7">
      <c r="A3637" t="s">
        <v>6000</v>
      </c>
      <c r="C3637" t="s">
        <v>8392</v>
      </c>
      <c r="D3637" t="s">
        <v>8415</v>
      </c>
      <c r="E3637" t="s">
        <v>8445</v>
      </c>
      <c r="F3637" t="s">
        <v>8447</v>
      </c>
      <c r="G3637" t="s">
        <v>8453</v>
      </c>
    </row>
    <row r="3638" spans="1:7">
      <c r="A3638" t="s">
        <v>6001</v>
      </c>
      <c r="B3638" t="s">
        <v>8273</v>
      </c>
      <c r="C3638" t="s">
        <v>8396</v>
      </c>
      <c r="D3638" t="s">
        <v>8425</v>
      </c>
      <c r="E3638" t="s">
        <v>8445</v>
      </c>
      <c r="F3638" t="s">
        <v>8448</v>
      </c>
      <c r="G3638" t="s">
        <v>9054</v>
      </c>
    </row>
    <row r="3639" spans="1:7">
      <c r="A3639" t="s">
        <v>6002</v>
      </c>
      <c r="B3639" t="s">
        <v>8273</v>
      </c>
      <c r="C3639" t="s">
        <v>8396</v>
      </c>
      <c r="D3639" t="s">
        <v>8411</v>
      </c>
      <c r="E3639" t="s">
        <v>8444</v>
      </c>
      <c r="F3639" t="s">
        <v>8447</v>
      </c>
      <c r="G3639" t="s">
        <v>8474</v>
      </c>
    </row>
    <row r="3640" spans="1:7">
      <c r="A3640" t="s">
        <v>6003</v>
      </c>
      <c r="C3640" t="s">
        <v>8392</v>
      </c>
      <c r="D3640" t="s">
        <v>8400</v>
      </c>
      <c r="E3640" t="s">
        <v>8444</v>
      </c>
      <c r="F3640" t="s">
        <v>8447</v>
      </c>
      <c r="G3640" t="s">
        <v>9055</v>
      </c>
    </row>
    <row r="3641" spans="1:7">
      <c r="A3641" t="s">
        <v>6004</v>
      </c>
      <c r="B3641" t="s">
        <v>8273</v>
      </c>
      <c r="C3641" t="s">
        <v>8396</v>
      </c>
      <c r="D3641" t="s">
        <v>8411</v>
      </c>
      <c r="E3641" t="s">
        <v>8444</v>
      </c>
      <c r="F3641" t="s">
        <v>8447</v>
      </c>
      <c r="G3641" t="s">
        <v>8474</v>
      </c>
    </row>
    <row r="3642" spans="1:7">
      <c r="A3642" t="s">
        <v>6005</v>
      </c>
      <c r="C3642" t="s">
        <v>8393</v>
      </c>
      <c r="D3642" t="s">
        <v>8393</v>
      </c>
      <c r="E3642" t="s">
        <v>919</v>
      </c>
      <c r="F3642" t="s">
        <v>8393</v>
      </c>
    </row>
    <row r="3643" spans="1:7">
      <c r="A3643" t="s">
        <v>6006</v>
      </c>
      <c r="B3643" t="s">
        <v>8344</v>
      </c>
      <c r="C3643" t="s">
        <v>8395</v>
      </c>
      <c r="D3643" t="s">
        <v>8400</v>
      </c>
      <c r="E3643" t="s">
        <v>8445</v>
      </c>
      <c r="F3643" t="s">
        <v>8448</v>
      </c>
      <c r="G3643" t="s">
        <v>8455</v>
      </c>
    </row>
    <row r="3644" spans="1:7">
      <c r="A3644" t="s">
        <v>6007</v>
      </c>
      <c r="B3644" t="s">
        <v>8355</v>
      </c>
      <c r="C3644" t="s">
        <v>8395</v>
      </c>
      <c r="D3644" t="s">
        <v>8400</v>
      </c>
      <c r="E3644" t="s">
        <v>8445</v>
      </c>
      <c r="F3644" t="s">
        <v>8448</v>
      </c>
      <c r="G3644" t="s">
        <v>8455</v>
      </c>
    </row>
    <row r="3645" spans="1:7">
      <c r="A3645" t="s">
        <v>6008</v>
      </c>
      <c r="B3645" t="s">
        <v>8349</v>
      </c>
      <c r="C3645" t="s">
        <v>8395</v>
      </c>
      <c r="D3645" t="s">
        <v>8400</v>
      </c>
      <c r="E3645" t="s">
        <v>8445</v>
      </c>
      <c r="F3645" t="s">
        <v>8448</v>
      </c>
      <c r="G3645" t="s">
        <v>8455</v>
      </c>
    </row>
    <row r="3646" spans="1:7">
      <c r="A3646" t="s">
        <v>6009</v>
      </c>
      <c r="B3646" t="s">
        <v>8356</v>
      </c>
      <c r="C3646" t="s">
        <v>8395</v>
      </c>
      <c r="D3646" t="s">
        <v>8400</v>
      </c>
      <c r="E3646" t="s">
        <v>8445</v>
      </c>
      <c r="F3646" t="s">
        <v>8448</v>
      </c>
      <c r="G3646" t="s">
        <v>8455</v>
      </c>
    </row>
    <row r="3647" spans="1:7">
      <c r="A3647" t="s">
        <v>6010</v>
      </c>
      <c r="C3647" t="s">
        <v>8393</v>
      </c>
      <c r="D3647" t="s">
        <v>8393</v>
      </c>
      <c r="E3647" t="s">
        <v>919</v>
      </c>
      <c r="F3647" t="s">
        <v>8393</v>
      </c>
    </row>
    <row r="3648" spans="1:7">
      <c r="A3648" t="s">
        <v>6011</v>
      </c>
      <c r="B3648" t="s">
        <v>8344</v>
      </c>
      <c r="C3648" t="s">
        <v>8394</v>
      </c>
      <c r="D3648" t="s">
        <v>8422</v>
      </c>
      <c r="E3648" t="s">
        <v>8445</v>
      </c>
      <c r="F3648" t="s">
        <v>8449</v>
      </c>
      <c r="G3648" t="s">
        <v>8455</v>
      </c>
    </row>
    <row r="3649" spans="1:7">
      <c r="A3649" t="s">
        <v>6012</v>
      </c>
      <c r="B3649" t="s">
        <v>8355</v>
      </c>
      <c r="C3649" t="s">
        <v>8394</v>
      </c>
      <c r="D3649" t="s">
        <v>8422</v>
      </c>
      <c r="E3649" t="s">
        <v>8445</v>
      </c>
      <c r="F3649" t="s">
        <v>8449</v>
      </c>
      <c r="G3649" t="s">
        <v>8455</v>
      </c>
    </row>
    <row r="3650" spans="1:7">
      <c r="A3650" t="s">
        <v>6013</v>
      </c>
      <c r="B3650" t="s">
        <v>8356</v>
      </c>
      <c r="C3650" t="s">
        <v>8394</v>
      </c>
      <c r="D3650" t="s">
        <v>8422</v>
      </c>
      <c r="E3650" t="s">
        <v>8445</v>
      </c>
      <c r="F3650" t="s">
        <v>8449</v>
      </c>
      <c r="G3650" t="s">
        <v>8455</v>
      </c>
    </row>
    <row r="3651" spans="1:7">
      <c r="A3651" t="s">
        <v>6014</v>
      </c>
      <c r="B3651" t="s">
        <v>8323</v>
      </c>
      <c r="C3651" t="s">
        <v>8394</v>
      </c>
      <c r="D3651" t="s">
        <v>8407</v>
      </c>
      <c r="E3651" t="s">
        <v>8445</v>
      </c>
      <c r="F3651" t="s">
        <v>8448</v>
      </c>
      <c r="G3651" t="s">
        <v>8455</v>
      </c>
    </row>
    <row r="3652" spans="1:7">
      <c r="A3652" t="s">
        <v>6015</v>
      </c>
      <c r="B3652" t="s">
        <v>8273</v>
      </c>
      <c r="C3652" t="s">
        <v>8397</v>
      </c>
      <c r="D3652" t="s">
        <v>8421</v>
      </c>
      <c r="E3652" t="s">
        <v>8445</v>
      </c>
      <c r="F3652" t="s">
        <v>8448</v>
      </c>
      <c r="G3652" t="s">
        <v>8455</v>
      </c>
    </row>
    <row r="3653" spans="1:7">
      <c r="A3653" t="s">
        <v>6016</v>
      </c>
      <c r="C3653" t="s">
        <v>8397</v>
      </c>
      <c r="D3653" t="s">
        <v>8421</v>
      </c>
      <c r="E3653" t="s">
        <v>1519</v>
      </c>
      <c r="F3653" t="s">
        <v>8448</v>
      </c>
      <c r="G3653" t="s">
        <v>9056</v>
      </c>
    </row>
    <row r="3654" spans="1:7">
      <c r="A3654" t="s">
        <v>6017</v>
      </c>
      <c r="C3654" t="s">
        <v>8394</v>
      </c>
      <c r="D3654" t="s">
        <v>8402</v>
      </c>
      <c r="E3654" t="s">
        <v>8445</v>
      </c>
      <c r="F3654" t="s">
        <v>8448</v>
      </c>
      <c r="G3654" t="s">
        <v>9057</v>
      </c>
    </row>
    <row r="3655" spans="1:7">
      <c r="A3655" t="s">
        <v>6018</v>
      </c>
      <c r="C3655" t="s">
        <v>8394</v>
      </c>
      <c r="D3655" t="s">
        <v>8402</v>
      </c>
      <c r="E3655" t="s">
        <v>8444</v>
      </c>
      <c r="F3655" t="s">
        <v>8448</v>
      </c>
      <c r="G3655" t="s">
        <v>8453</v>
      </c>
    </row>
    <row r="3656" spans="1:7">
      <c r="A3656" t="s">
        <v>6019</v>
      </c>
      <c r="B3656" t="s">
        <v>8273</v>
      </c>
      <c r="C3656" t="s">
        <v>8394</v>
      </c>
      <c r="D3656" t="s">
        <v>8402</v>
      </c>
      <c r="E3656" t="s">
        <v>8446</v>
      </c>
      <c r="F3656" t="s">
        <v>8448</v>
      </c>
      <c r="G3656" t="s">
        <v>9058</v>
      </c>
    </row>
    <row r="3657" spans="1:7">
      <c r="A3657" t="s">
        <v>6020</v>
      </c>
      <c r="C3657" t="s">
        <v>8394</v>
      </c>
      <c r="D3657" t="s">
        <v>8402</v>
      </c>
      <c r="E3657" t="s">
        <v>8444</v>
      </c>
      <c r="F3657" t="s">
        <v>8448</v>
      </c>
      <c r="G3657" t="s">
        <v>796</v>
      </c>
    </row>
    <row r="3658" spans="1:7">
      <c r="A3658" t="s">
        <v>6021</v>
      </c>
      <c r="C3658" t="s">
        <v>8394</v>
      </c>
      <c r="D3658" t="s">
        <v>8424</v>
      </c>
      <c r="E3658" t="s">
        <v>8445</v>
      </c>
      <c r="F3658" t="s">
        <v>8448</v>
      </c>
      <c r="G3658" t="s">
        <v>9059</v>
      </c>
    </row>
    <row r="3659" spans="1:7">
      <c r="A3659" t="s">
        <v>6022</v>
      </c>
      <c r="C3659" t="s">
        <v>8397</v>
      </c>
      <c r="D3659" t="s">
        <v>8431</v>
      </c>
      <c r="E3659" t="s">
        <v>8445</v>
      </c>
      <c r="F3659" t="s">
        <v>8448</v>
      </c>
      <c r="G3659" t="s">
        <v>796</v>
      </c>
    </row>
    <row r="3660" spans="1:7">
      <c r="A3660" t="s">
        <v>6023</v>
      </c>
      <c r="B3660" t="s">
        <v>8273</v>
      </c>
      <c r="C3660" t="s">
        <v>8392</v>
      </c>
      <c r="D3660" t="s">
        <v>8415</v>
      </c>
      <c r="E3660" t="s">
        <v>8445</v>
      </c>
      <c r="F3660" t="s">
        <v>8448</v>
      </c>
      <c r="G3660" t="s">
        <v>8455</v>
      </c>
    </row>
    <row r="3661" spans="1:7">
      <c r="A3661" t="s">
        <v>6024</v>
      </c>
      <c r="B3661" t="s">
        <v>8323</v>
      </c>
      <c r="C3661" t="s">
        <v>8394</v>
      </c>
      <c r="D3661" t="s">
        <v>8407</v>
      </c>
      <c r="E3661" t="s">
        <v>1519</v>
      </c>
      <c r="F3661" t="s">
        <v>8448</v>
      </c>
      <c r="G3661" t="s">
        <v>9060</v>
      </c>
    </row>
    <row r="3662" spans="1:7">
      <c r="A3662" t="s">
        <v>6025</v>
      </c>
      <c r="C3662" t="s">
        <v>8394</v>
      </c>
      <c r="D3662" t="s">
        <v>8407</v>
      </c>
      <c r="E3662" t="s">
        <v>8445</v>
      </c>
      <c r="F3662" t="s">
        <v>8447</v>
      </c>
      <c r="G3662" t="s">
        <v>9061</v>
      </c>
    </row>
    <row r="3663" spans="1:7">
      <c r="A3663" t="s">
        <v>6026</v>
      </c>
      <c r="B3663" t="s">
        <v>8273</v>
      </c>
      <c r="C3663" t="s">
        <v>8394</v>
      </c>
      <c r="D3663" t="s">
        <v>8402</v>
      </c>
      <c r="E3663" t="s">
        <v>8444</v>
      </c>
      <c r="F3663" t="s">
        <v>8449</v>
      </c>
      <c r="G3663" t="s">
        <v>9062</v>
      </c>
    </row>
    <row r="3664" spans="1:7">
      <c r="A3664" t="s">
        <v>6027</v>
      </c>
      <c r="B3664" t="s">
        <v>8273</v>
      </c>
      <c r="C3664" t="s">
        <v>8397</v>
      </c>
      <c r="D3664" t="s">
        <v>8431</v>
      </c>
      <c r="E3664" t="s">
        <v>8446</v>
      </c>
      <c r="F3664" t="s">
        <v>8449</v>
      </c>
      <c r="G3664" t="s">
        <v>8455</v>
      </c>
    </row>
    <row r="3665" spans="1:7">
      <c r="A3665" t="s">
        <v>6028</v>
      </c>
      <c r="B3665" t="s">
        <v>8273</v>
      </c>
      <c r="C3665" t="s">
        <v>8397</v>
      </c>
      <c r="D3665" t="s">
        <v>8431</v>
      </c>
      <c r="E3665" t="s">
        <v>8446</v>
      </c>
      <c r="F3665" t="s">
        <v>8449</v>
      </c>
      <c r="G3665" t="s">
        <v>8455</v>
      </c>
    </row>
    <row r="3666" spans="1:7">
      <c r="A3666" t="s">
        <v>6029</v>
      </c>
      <c r="C3666" t="s">
        <v>8393</v>
      </c>
      <c r="D3666" t="s">
        <v>8393</v>
      </c>
      <c r="E3666" t="s">
        <v>919</v>
      </c>
      <c r="F3666" t="s">
        <v>8393</v>
      </c>
    </row>
    <row r="3667" spans="1:7">
      <c r="A3667" t="s">
        <v>6030</v>
      </c>
      <c r="B3667" t="s">
        <v>8273</v>
      </c>
      <c r="C3667" t="s">
        <v>8394</v>
      </c>
      <c r="D3667" t="s">
        <v>8402</v>
      </c>
      <c r="E3667" t="s">
        <v>8444</v>
      </c>
      <c r="F3667" t="s">
        <v>8448</v>
      </c>
      <c r="G3667" t="s">
        <v>8509</v>
      </c>
    </row>
    <row r="3668" spans="1:7">
      <c r="A3668" t="s">
        <v>6031</v>
      </c>
      <c r="B3668" t="s">
        <v>8285</v>
      </c>
      <c r="C3668" t="s">
        <v>8394</v>
      </c>
      <c r="D3668" t="s">
        <v>8402</v>
      </c>
      <c r="E3668" t="s">
        <v>8446</v>
      </c>
      <c r="F3668" t="s">
        <v>8448</v>
      </c>
      <c r="G3668" t="s">
        <v>8455</v>
      </c>
    </row>
    <row r="3669" spans="1:7">
      <c r="A3669" t="s">
        <v>6032</v>
      </c>
      <c r="B3669" t="s">
        <v>8277</v>
      </c>
      <c r="C3669" t="s">
        <v>8394</v>
      </c>
      <c r="D3669" t="s">
        <v>8402</v>
      </c>
      <c r="E3669" t="s">
        <v>8446</v>
      </c>
      <c r="F3669" t="s">
        <v>8448</v>
      </c>
      <c r="G3669" t="s">
        <v>8455</v>
      </c>
    </row>
    <row r="3670" spans="1:7">
      <c r="A3670" t="s">
        <v>6033</v>
      </c>
      <c r="C3670" t="s">
        <v>8397</v>
      </c>
      <c r="D3670" t="s">
        <v>8418</v>
      </c>
      <c r="E3670" t="s">
        <v>8444</v>
      </c>
      <c r="F3670" t="s">
        <v>8450</v>
      </c>
      <c r="G3670" t="s">
        <v>8453</v>
      </c>
    </row>
    <row r="3671" spans="1:7">
      <c r="A3671" t="s">
        <v>6034</v>
      </c>
      <c r="C3671" t="s">
        <v>8397</v>
      </c>
      <c r="D3671" t="s">
        <v>8418</v>
      </c>
      <c r="E3671" t="s">
        <v>8444</v>
      </c>
      <c r="F3671" t="s">
        <v>8450</v>
      </c>
      <c r="G3671" t="s">
        <v>8453</v>
      </c>
    </row>
    <row r="3672" spans="1:7">
      <c r="A3672" t="s">
        <v>6035</v>
      </c>
      <c r="B3672" t="s">
        <v>8273</v>
      </c>
      <c r="C3672" t="s">
        <v>8394</v>
      </c>
      <c r="D3672" t="s">
        <v>8439</v>
      </c>
      <c r="E3672" t="s">
        <v>8446</v>
      </c>
      <c r="F3672" t="s">
        <v>8449</v>
      </c>
      <c r="G3672" t="s">
        <v>8455</v>
      </c>
    </row>
    <row r="3673" spans="1:7">
      <c r="A3673" t="s">
        <v>6036</v>
      </c>
      <c r="C3673" t="s">
        <v>8397</v>
      </c>
      <c r="D3673" t="s">
        <v>8412</v>
      </c>
      <c r="E3673" t="s">
        <v>8444</v>
      </c>
      <c r="F3673" t="s">
        <v>8450</v>
      </c>
      <c r="G3673" t="s">
        <v>9063</v>
      </c>
    </row>
    <row r="3674" spans="1:7">
      <c r="A3674" t="s">
        <v>6037</v>
      </c>
      <c r="C3674" t="s">
        <v>8393</v>
      </c>
      <c r="D3674" t="s">
        <v>8393</v>
      </c>
      <c r="E3674" t="s">
        <v>919</v>
      </c>
      <c r="F3674" t="s">
        <v>8393</v>
      </c>
    </row>
    <row r="3675" spans="1:7">
      <c r="A3675" t="s">
        <v>6038</v>
      </c>
      <c r="C3675" t="s">
        <v>8396</v>
      </c>
      <c r="D3675" t="s">
        <v>8425</v>
      </c>
      <c r="E3675" t="s">
        <v>1519</v>
      </c>
      <c r="F3675" t="s">
        <v>8448</v>
      </c>
      <c r="G3675" t="s">
        <v>9064</v>
      </c>
    </row>
    <row r="3676" spans="1:7">
      <c r="A3676" t="s">
        <v>6039</v>
      </c>
      <c r="C3676" t="s">
        <v>8392</v>
      </c>
      <c r="D3676" t="s">
        <v>8400</v>
      </c>
      <c r="E3676" t="s">
        <v>1587</v>
      </c>
      <c r="F3676" t="s">
        <v>8447</v>
      </c>
      <c r="G3676" t="s">
        <v>9065</v>
      </c>
    </row>
    <row r="3677" spans="1:7">
      <c r="A3677" t="s">
        <v>6040</v>
      </c>
      <c r="C3677" t="s">
        <v>8396</v>
      </c>
      <c r="D3677" t="s">
        <v>8411</v>
      </c>
      <c r="E3677" t="s">
        <v>8446</v>
      </c>
      <c r="F3677" t="s">
        <v>8447</v>
      </c>
      <c r="G3677" t="s">
        <v>8474</v>
      </c>
    </row>
    <row r="3678" spans="1:7">
      <c r="A3678" t="s">
        <v>6041</v>
      </c>
      <c r="C3678" t="s">
        <v>8396</v>
      </c>
      <c r="D3678" t="s">
        <v>8411</v>
      </c>
      <c r="E3678" t="s">
        <v>1519</v>
      </c>
      <c r="F3678" t="s">
        <v>8447</v>
      </c>
      <c r="G3678" t="s">
        <v>9066</v>
      </c>
    </row>
    <row r="3679" spans="1:7">
      <c r="A3679" t="s">
        <v>6042</v>
      </c>
      <c r="B3679" t="s">
        <v>8274</v>
      </c>
      <c r="C3679" t="s">
        <v>8396</v>
      </c>
      <c r="D3679" t="s">
        <v>8406</v>
      </c>
      <c r="E3679" t="s">
        <v>8444</v>
      </c>
      <c r="F3679" t="s">
        <v>8449</v>
      </c>
      <c r="G3679" t="s">
        <v>8455</v>
      </c>
    </row>
    <row r="3680" spans="1:7">
      <c r="A3680" t="s">
        <v>6043</v>
      </c>
      <c r="B3680" t="s">
        <v>8273</v>
      </c>
      <c r="C3680" t="s">
        <v>8392</v>
      </c>
      <c r="D3680" t="s">
        <v>8415</v>
      </c>
      <c r="E3680" t="s">
        <v>8446</v>
      </c>
      <c r="F3680" t="s">
        <v>8448</v>
      </c>
      <c r="G3680" t="s">
        <v>8455</v>
      </c>
    </row>
    <row r="3681" spans="1:7">
      <c r="A3681" t="s">
        <v>6044</v>
      </c>
      <c r="C3681" t="s">
        <v>8396</v>
      </c>
      <c r="D3681" t="s">
        <v>8425</v>
      </c>
      <c r="E3681" t="s">
        <v>8446</v>
      </c>
      <c r="F3681" t="s">
        <v>8449</v>
      </c>
      <c r="G3681" t="s">
        <v>795</v>
      </c>
    </row>
    <row r="3682" spans="1:7">
      <c r="A3682" t="s">
        <v>6045</v>
      </c>
      <c r="C3682" t="s">
        <v>8396</v>
      </c>
      <c r="D3682" t="s">
        <v>8425</v>
      </c>
      <c r="E3682" t="s">
        <v>1519</v>
      </c>
      <c r="F3682" t="s">
        <v>8449</v>
      </c>
      <c r="G3682" t="s">
        <v>8453</v>
      </c>
    </row>
    <row r="3683" spans="1:7">
      <c r="A3683" t="s">
        <v>6046</v>
      </c>
      <c r="C3683" t="s">
        <v>8396</v>
      </c>
      <c r="D3683" t="s">
        <v>8425</v>
      </c>
      <c r="E3683" t="s">
        <v>8446</v>
      </c>
      <c r="F3683" t="s">
        <v>8447</v>
      </c>
      <c r="G3683" t="s">
        <v>9067</v>
      </c>
    </row>
    <row r="3684" spans="1:7">
      <c r="A3684" t="s">
        <v>6047</v>
      </c>
      <c r="C3684" t="s">
        <v>8393</v>
      </c>
      <c r="D3684" t="s">
        <v>8393</v>
      </c>
      <c r="E3684" t="s">
        <v>919</v>
      </c>
      <c r="F3684" t="s">
        <v>8393</v>
      </c>
    </row>
    <row r="3685" spans="1:7">
      <c r="A3685" t="s">
        <v>6048</v>
      </c>
      <c r="C3685" t="s">
        <v>8394</v>
      </c>
      <c r="D3685" t="s">
        <v>8424</v>
      </c>
      <c r="E3685" t="s">
        <v>8444</v>
      </c>
      <c r="F3685" t="s">
        <v>8448</v>
      </c>
      <c r="G3685" t="s">
        <v>9068</v>
      </c>
    </row>
    <row r="3686" spans="1:7">
      <c r="A3686" t="s">
        <v>6049</v>
      </c>
      <c r="C3686" t="s">
        <v>8394</v>
      </c>
      <c r="D3686" t="s">
        <v>8424</v>
      </c>
      <c r="E3686" t="s">
        <v>8444</v>
      </c>
      <c r="F3686" t="s">
        <v>8448</v>
      </c>
      <c r="G3686" t="s">
        <v>9068</v>
      </c>
    </row>
    <row r="3687" spans="1:7">
      <c r="A3687" t="s">
        <v>6050</v>
      </c>
      <c r="C3687" t="s">
        <v>8394</v>
      </c>
      <c r="D3687" t="s">
        <v>8424</v>
      </c>
      <c r="E3687" t="s">
        <v>8444</v>
      </c>
      <c r="F3687" t="s">
        <v>8448</v>
      </c>
      <c r="G3687" t="s">
        <v>9068</v>
      </c>
    </row>
    <row r="3688" spans="1:7">
      <c r="A3688" t="s">
        <v>6051</v>
      </c>
      <c r="C3688" t="s">
        <v>8394</v>
      </c>
      <c r="D3688" t="s">
        <v>8424</v>
      </c>
      <c r="E3688" t="s">
        <v>8444</v>
      </c>
      <c r="F3688" t="s">
        <v>8448</v>
      </c>
      <c r="G3688" t="s">
        <v>9069</v>
      </c>
    </row>
    <row r="3689" spans="1:7">
      <c r="A3689" t="s">
        <v>6052</v>
      </c>
      <c r="B3689" t="s">
        <v>8273</v>
      </c>
      <c r="C3689" t="s">
        <v>8394</v>
      </c>
      <c r="D3689" t="s">
        <v>8401</v>
      </c>
      <c r="E3689" t="s">
        <v>8445</v>
      </c>
      <c r="F3689" t="s">
        <v>8448</v>
      </c>
      <c r="G3689" t="s">
        <v>8455</v>
      </c>
    </row>
    <row r="3690" spans="1:7">
      <c r="A3690" t="s">
        <v>6053</v>
      </c>
      <c r="C3690" t="s">
        <v>8397</v>
      </c>
      <c r="D3690" t="s">
        <v>8408</v>
      </c>
      <c r="E3690" t="s">
        <v>8445</v>
      </c>
      <c r="F3690" t="s">
        <v>8450</v>
      </c>
    </row>
    <row r="3691" spans="1:7">
      <c r="A3691" t="s">
        <v>6054</v>
      </c>
      <c r="B3691" t="s">
        <v>8273</v>
      </c>
      <c r="C3691" t="s">
        <v>8394</v>
      </c>
      <c r="D3691" t="s">
        <v>8401</v>
      </c>
      <c r="E3691" t="s">
        <v>8444</v>
      </c>
      <c r="F3691" t="s">
        <v>8448</v>
      </c>
      <c r="G3691" t="s">
        <v>796</v>
      </c>
    </row>
    <row r="3692" spans="1:7">
      <c r="A3692" t="s">
        <v>6055</v>
      </c>
      <c r="C3692" t="s">
        <v>8397</v>
      </c>
      <c r="D3692" t="s">
        <v>8431</v>
      </c>
      <c r="E3692" t="s">
        <v>8445</v>
      </c>
      <c r="F3692" t="s">
        <v>8448</v>
      </c>
      <c r="G3692" t="s">
        <v>9070</v>
      </c>
    </row>
    <row r="3693" spans="1:7">
      <c r="A3693" t="s">
        <v>6056</v>
      </c>
      <c r="B3693" t="s">
        <v>8273</v>
      </c>
      <c r="C3693" t="s">
        <v>8394</v>
      </c>
      <c r="D3693" t="s">
        <v>8402</v>
      </c>
      <c r="E3693" t="s">
        <v>8445</v>
      </c>
      <c r="F3693" t="s">
        <v>8448</v>
      </c>
      <c r="G3693" t="s">
        <v>9071</v>
      </c>
    </row>
    <row r="3694" spans="1:7">
      <c r="A3694" t="s">
        <v>6057</v>
      </c>
      <c r="C3694" t="s">
        <v>8393</v>
      </c>
      <c r="D3694" t="s">
        <v>8393</v>
      </c>
      <c r="E3694" t="s">
        <v>919</v>
      </c>
      <c r="F3694" t="s">
        <v>8393</v>
      </c>
    </row>
    <row r="3695" spans="1:7">
      <c r="A3695" t="s">
        <v>6058</v>
      </c>
      <c r="B3695" t="s">
        <v>8273</v>
      </c>
      <c r="C3695" t="s">
        <v>8395</v>
      </c>
      <c r="D3695" t="s">
        <v>8426</v>
      </c>
      <c r="E3695" t="s">
        <v>8446</v>
      </c>
      <c r="F3695" t="s">
        <v>8449</v>
      </c>
      <c r="G3695" t="s">
        <v>8455</v>
      </c>
    </row>
    <row r="3696" spans="1:7">
      <c r="A3696" t="s">
        <v>6059</v>
      </c>
      <c r="B3696" t="s">
        <v>8277</v>
      </c>
      <c r="C3696" t="s">
        <v>8395</v>
      </c>
      <c r="D3696" t="s">
        <v>8426</v>
      </c>
      <c r="E3696" t="s">
        <v>8446</v>
      </c>
      <c r="F3696" t="s">
        <v>8449</v>
      </c>
      <c r="G3696" t="s">
        <v>8455</v>
      </c>
    </row>
    <row r="3697" spans="1:7">
      <c r="A3697" t="s">
        <v>6060</v>
      </c>
      <c r="C3697" t="s">
        <v>8393</v>
      </c>
      <c r="D3697" t="s">
        <v>8393</v>
      </c>
      <c r="E3697" t="s">
        <v>919</v>
      </c>
      <c r="F3697" t="s">
        <v>8393</v>
      </c>
    </row>
    <row r="3698" spans="1:7">
      <c r="A3698" t="s">
        <v>6061</v>
      </c>
      <c r="B3698" t="s">
        <v>8278</v>
      </c>
      <c r="C3698" t="s">
        <v>8395</v>
      </c>
      <c r="D3698" t="s">
        <v>8423</v>
      </c>
      <c r="E3698" t="s">
        <v>8446</v>
      </c>
      <c r="F3698" t="s">
        <v>8449</v>
      </c>
      <c r="G3698" t="s">
        <v>8455</v>
      </c>
    </row>
    <row r="3699" spans="1:7">
      <c r="A3699" t="s">
        <v>6062</v>
      </c>
      <c r="B3699" t="s">
        <v>8278</v>
      </c>
      <c r="C3699" t="s">
        <v>8394</v>
      </c>
      <c r="D3699" t="s">
        <v>8423</v>
      </c>
      <c r="E3699" t="s">
        <v>8446</v>
      </c>
      <c r="F3699" t="s">
        <v>8449</v>
      </c>
      <c r="G3699" t="s">
        <v>8455</v>
      </c>
    </row>
    <row r="3700" spans="1:7">
      <c r="A3700" t="s">
        <v>6063</v>
      </c>
      <c r="B3700" t="s">
        <v>8278</v>
      </c>
      <c r="C3700" t="s">
        <v>8394</v>
      </c>
      <c r="D3700" t="s">
        <v>8423</v>
      </c>
      <c r="E3700" t="s">
        <v>8446</v>
      </c>
      <c r="F3700" t="s">
        <v>8449</v>
      </c>
      <c r="G3700" t="s">
        <v>8455</v>
      </c>
    </row>
    <row r="3701" spans="1:7">
      <c r="A3701" t="s">
        <v>6064</v>
      </c>
      <c r="B3701" t="s">
        <v>8284</v>
      </c>
      <c r="C3701" t="s">
        <v>8394</v>
      </c>
      <c r="D3701" t="s">
        <v>8423</v>
      </c>
      <c r="E3701" t="s">
        <v>8446</v>
      </c>
      <c r="F3701" t="s">
        <v>8449</v>
      </c>
      <c r="G3701" t="s">
        <v>8455</v>
      </c>
    </row>
    <row r="3702" spans="1:7">
      <c r="A3702" t="s">
        <v>6065</v>
      </c>
      <c r="B3702" t="s">
        <v>8279</v>
      </c>
      <c r="C3702" t="s">
        <v>8394</v>
      </c>
      <c r="D3702" t="s">
        <v>8423</v>
      </c>
      <c r="E3702" t="s">
        <v>8446</v>
      </c>
      <c r="F3702" t="s">
        <v>8449</v>
      </c>
      <c r="G3702" t="s">
        <v>8455</v>
      </c>
    </row>
    <row r="3703" spans="1:7">
      <c r="A3703" t="s">
        <v>6066</v>
      </c>
      <c r="B3703" t="s">
        <v>8311</v>
      </c>
      <c r="C3703" t="s">
        <v>8394</v>
      </c>
      <c r="D3703" t="s">
        <v>8423</v>
      </c>
      <c r="E3703" t="s">
        <v>8446</v>
      </c>
      <c r="F3703" t="s">
        <v>8449</v>
      </c>
      <c r="G3703" t="s">
        <v>8455</v>
      </c>
    </row>
    <row r="3704" spans="1:7">
      <c r="A3704" t="s">
        <v>6067</v>
      </c>
      <c r="B3704" t="s">
        <v>8278</v>
      </c>
      <c r="C3704" t="s">
        <v>8394</v>
      </c>
      <c r="D3704" t="s">
        <v>8423</v>
      </c>
      <c r="E3704" t="s">
        <v>8446</v>
      </c>
      <c r="F3704" t="s">
        <v>8449</v>
      </c>
      <c r="G3704" t="s">
        <v>8455</v>
      </c>
    </row>
    <row r="3705" spans="1:7">
      <c r="A3705" t="s">
        <v>6068</v>
      </c>
      <c r="B3705" t="s">
        <v>8309</v>
      </c>
      <c r="C3705" t="s">
        <v>8394</v>
      </c>
      <c r="D3705" t="s">
        <v>8423</v>
      </c>
      <c r="E3705" t="s">
        <v>8446</v>
      </c>
      <c r="F3705" t="s">
        <v>8449</v>
      </c>
      <c r="G3705" t="s">
        <v>8455</v>
      </c>
    </row>
    <row r="3706" spans="1:7">
      <c r="A3706" t="s">
        <v>6069</v>
      </c>
      <c r="B3706" t="s">
        <v>8281</v>
      </c>
      <c r="C3706" t="s">
        <v>8394</v>
      </c>
      <c r="D3706" t="s">
        <v>8423</v>
      </c>
      <c r="E3706" t="s">
        <v>8446</v>
      </c>
      <c r="F3706" t="s">
        <v>8449</v>
      </c>
      <c r="G3706" t="s">
        <v>8455</v>
      </c>
    </row>
    <row r="3707" spans="1:7">
      <c r="A3707" t="s">
        <v>6070</v>
      </c>
      <c r="B3707" t="s">
        <v>8273</v>
      </c>
      <c r="C3707" t="s">
        <v>8394</v>
      </c>
      <c r="D3707" t="s">
        <v>8401</v>
      </c>
      <c r="E3707" t="s">
        <v>8445</v>
      </c>
      <c r="F3707" t="s">
        <v>8449</v>
      </c>
      <c r="G3707" t="s">
        <v>8455</v>
      </c>
    </row>
    <row r="3708" spans="1:7">
      <c r="A3708" t="s">
        <v>6071</v>
      </c>
      <c r="C3708" t="s">
        <v>8398</v>
      </c>
      <c r="D3708" t="s">
        <v>8419</v>
      </c>
      <c r="E3708" t="s">
        <v>8444</v>
      </c>
      <c r="F3708" t="s">
        <v>8448</v>
      </c>
      <c r="G3708" t="s">
        <v>8475</v>
      </c>
    </row>
    <row r="3709" spans="1:7">
      <c r="A3709" t="s">
        <v>6072</v>
      </c>
      <c r="C3709" t="s">
        <v>8392</v>
      </c>
      <c r="D3709" t="s">
        <v>8400</v>
      </c>
      <c r="E3709" t="s">
        <v>1587</v>
      </c>
      <c r="F3709" t="s">
        <v>8447</v>
      </c>
      <c r="G3709" t="s">
        <v>9072</v>
      </c>
    </row>
    <row r="3710" spans="1:7">
      <c r="A3710" t="s">
        <v>6073</v>
      </c>
      <c r="C3710" t="s">
        <v>8397</v>
      </c>
      <c r="D3710" t="s">
        <v>8408</v>
      </c>
      <c r="E3710" t="s">
        <v>8445</v>
      </c>
      <c r="F3710" t="s">
        <v>8450</v>
      </c>
    </row>
    <row r="3711" spans="1:7">
      <c r="A3711" t="s">
        <v>6074</v>
      </c>
      <c r="B3711" t="s">
        <v>8273</v>
      </c>
      <c r="C3711" t="s">
        <v>8395</v>
      </c>
      <c r="D3711" t="s">
        <v>8402</v>
      </c>
      <c r="E3711" t="s">
        <v>8446</v>
      </c>
      <c r="F3711" t="s">
        <v>8449</v>
      </c>
      <c r="G3711" t="s">
        <v>8455</v>
      </c>
    </row>
    <row r="3712" spans="1:7">
      <c r="A3712" t="s">
        <v>6075</v>
      </c>
      <c r="B3712" t="s">
        <v>8273</v>
      </c>
      <c r="C3712" t="s">
        <v>8392</v>
      </c>
      <c r="D3712" t="s">
        <v>8400</v>
      </c>
      <c r="E3712" t="s">
        <v>1587</v>
      </c>
      <c r="F3712" t="s">
        <v>8449</v>
      </c>
      <c r="G3712" t="s">
        <v>8455</v>
      </c>
    </row>
    <row r="3713" spans="1:7">
      <c r="A3713" t="s">
        <v>6076</v>
      </c>
      <c r="B3713" t="s">
        <v>8273</v>
      </c>
      <c r="C3713" t="s">
        <v>8395</v>
      </c>
      <c r="D3713" t="s">
        <v>8421</v>
      </c>
      <c r="E3713" t="s">
        <v>1519</v>
      </c>
      <c r="F3713" t="s">
        <v>8448</v>
      </c>
      <c r="G3713" t="s">
        <v>796</v>
      </c>
    </row>
    <row r="3714" spans="1:7">
      <c r="A3714" t="s">
        <v>6077</v>
      </c>
      <c r="B3714" t="s">
        <v>8273</v>
      </c>
      <c r="C3714" t="s">
        <v>8395</v>
      </c>
      <c r="D3714" t="s">
        <v>8414</v>
      </c>
      <c r="E3714" t="s">
        <v>8445</v>
      </c>
      <c r="F3714" t="s">
        <v>8449</v>
      </c>
      <c r="G3714" t="s">
        <v>9073</v>
      </c>
    </row>
    <row r="3715" spans="1:7">
      <c r="A3715" t="s">
        <v>6078</v>
      </c>
      <c r="B3715" t="s">
        <v>8273</v>
      </c>
      <c r="C3715" t="s">
        <v>8395</v>
      </c>
      <c r="D3715" t="s">
        <v>8420</v>
      </c>
      <c r="E3715" t="s">
        <v>8446</v>
      </c>
      <c r="F3715" t="s">
        <v>8449</v>
      </c>
      <c r="G3715" t="s">
        <v>8455</v>
      </c>
    </row>
    <row r="3716" spans="1:7">
      <c r="A3716" t="s">
        <v>6079</v>
      </c>
      <c r="C3716" t="s">
        <v>8393</v>
      </c>
      <c r="D3716" t="s">
        <v>8393</v>
      </c>
      <c r="E3716" t="s">
        <v>919</v>
      </c>
      <c r="F3716" t="s">
        <v>8393</v>
      </c>
    </row>
    <row r="3717" spans="1:7">
      <c r="A3717" t="s">
        <v>6080</v>
      </c>
      <c r="B3717" t="s">
        <v>8273</v>
      </c>
      <c r="C3717" t="s">
        <v>8396</v>
      </c>
      <c r="D3717" t="s">
        <v>8405</v>
      </c>
      <c r="E3717" t="s">
        <v>8446</v>
      </c>
      <c r="F3717" t="s">
        <v>8449</v>
      </c>
      <c r="G3717" t="s">
        <v>8455</v>
      </c>
    </row>
    <row r="3718" spans="1:7">
      <c r="A3718" t="s">
        <v>6081</v>
      </c>
      <c r="B3718" t="s">
        <v>8273</v>
      </c>
      <c r="C3718" t="s">
        <v>8396</v>
      </c>
      <c r="D3718" t="s">
        <v>8425</v>
      </c>
      <c r="E3718" t="s">
        <v>8446</v>
      </c>
      <c r="F3718" t="s">
        <v>8448</v>
      </c>
      <c r="G3718" t="s">
        <v>8453</v>
      </c>
    </row>
    <row r="3719" spans="1:7">
      <c r="A3719" t="s">
        <v>6082</v>
      </c>
      <c r="C3719" t="s">
        <v>8396</v>
      </c>
      <c r="D3719" t="s">
        <v>8404</v>
      </c>
      <c r="E3719" t="s">
        <v>1519</v>
      </c>
      <c r="F3719" t="s">
        <v>8449</v>
      </c>
      <c r="G3719" t="s">
        <v>8455</v>
      </c>
    </row>
    <row r="3720" spans="1:7">
      <c r="A3720" t="s">
        <v>6083</v>
      </c>
      <c r="B3720" t="s">
        <v>8274</v>
      </c>
      <c r="C3720" t="s">
        <v>8396</v>
      </c>
      <c r="D3720" t="s">
        <v>8405</v>
      </c>
      <c r="E3720" t="s">
        <v>8446</v>
      </c>
      <c r="F3720" t="s">
        <v>8449</v>
      </c>
      <c r="G3720" t="s">
        <v>8455</v>
      </c>
    </row>
    <row r="3721" spans="1:7">
      <c r="A3721" t="s">
        <v>6084</v>
      </c>
      <c r="B3721" t="s">
        <v>8273</v>
      </c>
      <c r="C3721" t="s">
        <v>8398</v>
      </c>
      <c r="D3721" t="s">
        <v>8419</v>
      </c>
      <c r="E3721" t="s">
        <v>8446</v>
      </c>
      <c r="F3721" t="s">
        <v>8449</v>
      </c>
      <c r="G3721" t="s">
        <v>8455</v>
      </c>
    </row>
    <row r="3722" spans="1:7">
      <c r="A3722" t="s">
        <v>781</v>
      </c>
      <c r="C3722" t="s">
        <v>8394</v>
      </c>
      <c r="D3722" t="s">
        <v>8424</v>
      </c>
      <c r="E3722" t="s">
        <v>8446</v>
      </c>
      <c r="F3722" t="s">
        <v>8448</v>
      </c>
      <c r="G3722" t="s">
        <v>798</v>
      </c>
    </row>
    <row r="3723" spans="1:7">
      <c r="A3723" t="s">
        <v>6085</v>
      </c>
      <c r="B3723" t="s">
        <v>8273</v>
      </c>
      <c r="C3723" t="s">
        <v>8394</v>
      </c>
      <c r="D3723" t="s">
        <v>8402</v>
      </c>
      <c r="E3723" t="s">
        <v>8446</v>
      </c>
      <c r="F3723" t="s">
        <v>8449</v>
      </c>
      <c r="G3723" t="s">
        <v>8453</v>
      </c>
    </row>
    <row r="3724" spans="1:7">
      <c r="A3724" t="s">
        <v>6086</v>
      </c>
      <c r="B3724" t="s">
        <v>8273</v>
      </c>
      <c r="C3724" t="s">
        <v>8392</v>
      </c>
      <c r="D3724" t="s">
        <v>8400</v>
      </c>
      <c r="E3724" t="s">
        <v>1519</v>
      </c>
      <c r="F3724" t="s">
        <v>8449</v>
      </c>
      <c r="G3724" t="s">
        <v>8455</v>
      </c>
    </row>
    <row r="3725" spans="1:7">
      <c r="A3725" t="s">
        <v>6087</v>
      </c>
      <c r="B3725" t="s">
        <v>8273</v>
      </c>
      <c r="C3725" t="s">
        <v>8398</v>
      </c>
      <c r="D3725" t="s">
        <v>8410</v>
      </c>
      <c r="E3725" t="s">
        <v>8446</v>
      </c>
      <c r="F3725" t="s">
        <v>8449</v>
      </c>
      <c r="G3725" t="s">
        <v>8455</v>
      </c>
    </row>
    <row r="3726" spans="1:7">
      <c r="A3726" t="s">
        <v>6088</v>
      </c>
      <c r="C3726" t="s">
        <v>8397</v>
      </c>
      <c r="D3726" t="s">
        <v>8408</v>
      </c>
      <c r="E3726" t="s">
        <v>8445</v>
      </c>
      <c r="F3726" t="s">
        <v>8450</v>
      </c>
    </row>
    <row r="3727" spans="1:7">
      <c r="A3727" t="s">
        <v>6089</v>
      </c>
      <c r="C3727" t="s">
        <v>8395</v>
      </c>
      <c r="D3727" t="s">
        <v>8416</v>
      </c>
      <c r="E3727" t="s">
        <v>8446</v>
      </c>
      <c r="F3727" t="s">
        <v>8449</v>
      </c>
      <c r="G3727" t="s">
        <v>796</v>
      </c>
    </row>
    <row r="3728" spans="1:7">
      <c r="A3728" t="s">
        <v>6090</v>
      </c>
      <c r="B3728" t="s">
        <v>8273</v>
      </c>
      <c r="C3728" t="s">
        <v>8396</v>
      </c>
      <c r="D3728" t="s">
        <v>8404</v>
      </c>
      <c r="E3728" t="s">
        <v>8446</v>
      </c>
      <c r="F3728" t="s">
        <v>8448</v>
      </c>
      <c r="G3728" t="s">
        <v>8455</v>
      </c>
    </row>
    <row r="3729" spans="1:7">
      <c r="A3729" t="s">
        <v>6091</v>
      </c>
      <c r="B3729" t="s">
        <v>8273</v>
      </c>
      <c r="C3729" t="s">
        <v>8398</v>
      </c>
      <c r="D3729" t="s">
        <v>8419</v>
      </c>
      <c r="E3729" t="s">
        <v>1519</v>
      </c>
      <c r="F3729" t="s">
        <v>8449</v>
      </c>
      <c r="G3729" t="s">
        <v>8455</v>
      </c>
    </row>
    <row r="3730" spans="1:7">
      <c r="A3730" t="s">
        <v>6092</v>
      </c>
      <c r="C3730" t="s">
        <v>8393</v>
      </c>
      <c r="D3730" t="s">
        <v>8393</v>
      </c>
      <c r="E3730" t="s">
        <v>919</v>
      </c>
      <c r="F3730" t="s">
        <v>8393</v>
      </c>
    </row>
    <row r="3731" spans="1:7">
      <c r="A3731" t="s">
        <v>6093</v>
      </c>
      <c r="B3731" t="s">
        <v>8273</v>
      </c>
      <c r="C3731" t="s">
        <v>8395</v>
      </c>
      <c r="D3731" t="s">
        <v>8411</v>
      </c>
      <c r="E3731" t="s">
        <v>8446</v>
      </c>
      <c r="F3731" t="s">
        <v>8448</v>
      </c>
      <c r="G3731" t="s">
        <v>8463</v>
      </c>
    </row>
    <row r="3732" spans="1:7">
      <c r="A3732" t="s">
        <v>6094</v>
      </c>
      <c r="B3732" t="s">
        <v>8287</v>
      </c>
      <c r="C3732" t="s">
        <v>8396</v>
      </c>
      <c r="D3732" t="s">
        <v>8420</v>
      </c>
      <c r="E3732" t="s">
        <v>8446</v>
      </c>
      <c r="F3732" t="s">
        <v>8448</v>
      </c>
      <c r="G3732" t="s">
        <v>796</v>
      </c>
    </row>
    <row r="3733" spans="1:7">
      <c r="A3733" t="s">
        <v>6095</v>
      </c>
      <c r="B3733" t="s">
        <v>8273</v>
      </c>
      <c r="C3733" t="s">
        <v>8392</v>
      </c>
      <c r="D3733" t="s">
        <v>8400</v>
      </c>
      <c r="E3733" t="s">
        <v>8446</v>
      </c>
      <c r="F3733" t="s">
        <v>8448</v>
      </c>
      <c r="G3733" t="s">
        <v>9074</v>
      </c>
    </row>
    <row r="3734" spans="1:7">
      <c r="A3734" t="s">
        <v>6096</v>
      </c>
      <c r="B3734" t="s">
        <v>8273</v>
      </c>
      <c r="C3734" t="s">
        <v>8396</v>
      </c>
      <c r="D3734" t="s">
        <v>8425</v>
      </c>
      <c r="E3734" t="s">
        <v>8446</v>
      </c>
      <c r="F3734" t="s">
        <v>8448</v>
      </c>
      <c r="G3734" t="s">
        <v>9075</v>
      </c>
    </row>
    <row r="3735" spans="1:7">
      <c r="A3735" t="s">
        <v>6097</v>
      </c>
      <c r="C3735" t="s">
        <v>8394</v>
      </c>
      <c r="D3735" t="s">
        <v>8414</v>
      </c>
      <c r="E3735" t="s">
        <v>8445</v>
      </c>
      <c r="F3735" t="s">
        <v>8448</v>
      </c>
      <c r="G3735" t="s">
        <v>9076</v>
      </c>
    </row>
    <row r="3736" spans="1:7">
      <c r="A3736" t="s">
        <v>6098</v>
      </c>
      <c r="B3736" t="s">
        <v>8274</v>
      </c>
      <c r="C3736" t="s">
        <v>8396</v>
      </c>
      <c r="D3736" t="s">
        <v>8406</v>
      </c>
      <c r="E3736" t="s">
        <v>8444</v>
      </c>
      <c r="F3736" t="s">
        <v>8449</v>
      </c>
      <c r="G3736" t="s">
        <v>8455</v>
      </c>
    </row>
    <row r="3737" spans="1:7">
      <c r="A3737" t="s">
        <v>6099</v>
      </c>
      <c r="B3737" t="s">
        <v>8273</v>
      </c>
      <c r="C3737" t="s">
        <v>8395</v>
      </c>
      <c r="D3737" t="s">
        <v>8411</v>
      </c>
      <c r="E3737" t="s">
        <v>8446</v>
      </c>
      <c r="F3737" t="s">
        <v>8448</v>
      </c>
      <c r="G3737" t="s">
        <v>9077</v>
      </c>
    </row>
    <row r="3738" spans="1:7">
      <c r="A3738" t="s">
        <v>6100</v>
      </c>
      <c r="B3738" t="s">
        <v>8273</v>
      </c>
      <c r="C3738" t="s">
        <v>8395</v>
      </c>
      <c r="D3738" t="s">
        <v>8404</v>
      </c>
      <c r="E3738" t="s">
        <v>8445</v>
      </c>
      <c r="F3738" t="s">
        <v>8449</v>
      </c>
      <c r="G3738" t="s">
        <v>8907</v>
      </c>
    </row>
    <row r="3739" spans="1:7">
      <c r="A3739" t="s">
        <v>6101</v>
      </c>
      <c r="B3739" t="s">
        <v>8273</v>
      </c>
      <c r="C3739" t="s">
        <v>8395</v>
      </c>
      <c r="D3739" t="s">
        <v>8400</v>
      </c>
      <c r="E3739" t="s">
        <v>8445</v>
      </c>
      <c r="F3739" t="s">
        <v>8449</v>
      </c>
      <c r="G3739" t="s">
        <v>8455</v>
      </c>
    </row>
    <row r="3740" spans="1:7">
      <c r="A3740" t="s">
        <v>6102</v>
      </c>
      <c r="B3740" t="s">
        <v>8273</v>
      </c>
      <c r="C3740" t="s">
        <v>8398</v>
      </c>
      <c r="D3740" t="s">
        <v>8419</v>
      </c>
      <c r="E3740" t="s">
        <v>8446</v>
      </c>
      <c r="F3740" t="s">
        <v>8449</v>
      </c>
      <c r="G3740" t="s">
        <v>9078</v>
      </c>
    </row>
    <row r="3741" spans="1:7">
      <c r="A3741" t="s">
        <v>6103</v>
      </c>
      <c r="B3741" t="s">
        <v>8295</v>
      </c>
      <c r="C3741" t="s">
        <v>8398</v>
      </c>
      <c r="D3741" t="s">
        <v>8419</v>
      </c>
      <c r="E3741" t="s">
        <v>8444</v>
      </c>
      <c r="F3741" t="s">
        <v>8449</v>
      </c>
      <c r="G3741" t="s">
        <v>8455</v>
      </c>
    </row>
    <row r="3742" spans="1:7">
      <c r="A3742" t="s">
        <v>6104</v>
      </c>
      <c r="C3742" t="s">
        <v>8397</v>
      </c>
      <c r="D3742" t="s">
        <v>8431</v>
      </c>
      <c r="E3742" t="s">
        <v>8445</v>
      </c>
      <c r="F3742" t="s">
        <v>8448</v>
      </c>
      <c r="G3742" t="s">
        <v>9079</v>
      </c>
    </row>
    <row r="3743" spans="1:7">
      <c r="A3743" t="s">
        <v>6105</v>
      </c>
      <c r="C3743" t="s">
        <v>8394</v>
      </c>
      <c r="D3743" t="s">
        <v>8402</v>
      </c>
      <c r="E3743" t="s">
        <v>8445</v>
      </c>
      <c r="F3743" t="s">
        <v>8448</v>
      </c>
      <c r="G3743" t="s">
        <v>9080</v>
      </c>
    </row>
    <row r="3744" spans="1:7">
      <c r="A3744" t="s">
        <v>6106</v>
      </c>
      <c r="B3744" t="s">
        <v>8273</v>
      </c>
      <c r="C3744" t="s">
        <v>8398</v>
      </c>
      <c r="D3744" t="s">
        <v>8409</v>
      </c>
      <c r="E3744" t="s">
        <v>8445</v>
      </c>
      <c r="F3744" t="s">
        <v>8448</v>
      </c>
      <c r="G3744" t="s">
        <v>9081</v>
      </c>
    </row>
    <row r="3745" spans="1:7">
      <c r="A3745" t="s">
        <v>6107</v>
      </c>
      <c r="C3745" t="s">
        <v>8394</v>
      </c>
      <c r="D3745" t="s">
        <v>8416</v>
      </c>
      <c r="E3745" t="s">
        <v>1519</v>
      </c>
      <c r="F3745" t="s">
        <v>8447</v>
      </c>
      <c r="G3745" t="s">
        <v>9082</v>
      </c>
    </row>
    <row r="3746" spans="1:7">
      <c r="A3746" t="s">
        <v>6108</v>
      </c>
      <c r="B3746" t="s">
        <v>8273</v>
      </c>
      <c r="C3746" t="s">
        <v>8395</v>
      </c>
      <c r="D3746" t="s">
        <v>8411</v>
      </c>
      <c r="E3746" t="s">
        <v>1519</v>
      </c>
      <c r="F3746" t="s">
        <v>8448</v>
      </c>
      <c r="G3746" t="s">
        <v>9083</v>
      </c>
    </row>
    <row r="3747" spans="1:7">
      <c r="A3747" t="s">
        <v>6109</v>
      </c>
      <c r="B3747" t="s">
        <v>8273</v>
      </c>
      <c r="C3747" t="s">
        <v>8398</v>
      </c>
      <c r="D3747" t="s">
        <v>8419</v>
      </c>
      <c r="E3747" t="s">
        <v>8446</v>
      </c>
      <c r="F3747" t="s">
        <v>8448</v>
      </c>
      <c r="G3747" t="s">
        <v>8455</v>
      </c>
    </row>
    <row r="3748" spans="1:7">
      <c r="A3748" t="s">
        <v>6110</v>
      </c>
      <c r="C3748" t="s">
        <v>8392</v>
      </c>
      <c r="D3748" t="s">
        <v>8400</v>
      </c>
      <c r="E3748" t="s">
        <v>1587</v>
      </c>
      <c r="F3748" t="s">
        <v>8447</v>
      </c>
      <c r="G3748" t="s">
        <v>9084</v>
      </c>
    </row>
    <row r="3749" spans="1:7">
      <c r="A3749" t="s">
        <v>6111</v>
      </c>
      <c r="B3749" t="s">
        <v>8273</v>
      </c>
      <c r="C3749" t="s">
        <v>8394</v>
      </c>
      <c r="D3749" t="s">
        <v>8414</v>
      </c>
      <c r="E3749" t="s">
        <v>8445</v>
      </c>
      <c r="F3749" t="s">
        <v>8448</v>
      </c>
      <c r="G3749" t="s">
        <v>8453</v>
      </c>
    </row>
    <row r="3750" spans="1:7">
      <c r="A3750" t="s">
        <v>6112</v>
      </c>
      <c r="B3750" t="s">
        <v>8273</v>
      </c>
      <c r="C3750" t="s">
        <v>8392</v>
      </c>
      <c r="D3750" t="s">
        <v>8415</v>
      </c>
      <c r="E3750" t="s">
        <v>1587</v>
      </c>
      <c r="F3750" t="s">
        <v>8449</v>
      </c>
      <c r="G3750" t="s">
        <v>8453</v>
      </c>
    </row>
    <row r="3751" spans="1:7">
      <c r="A3751" t="s">
        <v>6113</v>
      </c>
      <c r="C3751" t="s">
        <v>8394</v>
      </c>
      <c r="D3751" t="s">
        <v>8401</v>
      </c>
      <c r="E3751" t="s">
        <v>8445</v>
      </c>
      <c r="F3751" t="s">
        <v>8450</v>
      </c>
      <c r="G3751" t="s">
        <v>9085</v>
      </c>
    </row>
    <row r="3752" spans="1:7">
      <c r="A3752" t="s">
        <v>6114</v>
      </c>
      <c r="C3752" t="s">
        <v>8397</v>
      </c>
      <c r="D3752" t="s">
        <v>8418</v>
      </c>
      <c r="E3752" t="s">
        <v>8445</v>
      </c>
      <c r="F3752" t="s">
        <v>8448</v>
      </c>
      <c r="G3752" t="s">
        <v>8453</v>
      </c>
    </row>
    <row r="3753" spans="1:7">
      <c r="A3753" t="s">
        <v>6115</v>
      </c>
      <c r="C3753" t="s">
        <v>8397</v>
      </c>
      <c r="D3753" t="s">
        <v>8418</v>
      </c>
      <c r="E3753" t="s">
        <v>8445</v>
      </c>
      <c r="F3753" t="s">
        <v>8448</v>
      </c>
      <c r="G3753" t="s">
        <v>9086</v>
      </c>
    </row>
    <row r="3754" spans="1:7">
      <c r="A3754" t="s">
        <v>6116</v>
      </c>
      <c r="C3754" t="s">
        <v>8397</v>
      </c>
      <c r="D3754" t="s">
        <v>8418</v>
      </c>
      <c r="E3754" t="s">
        <v>8445</v>
      </c>
      <c r="F3754" t="s">
        <v>8448</v>
      </c>
      <c r="G3754" t="s">
        <v>8966</v>
      </c>
    </row>
    <row r="3755" spans="1:7">
      <c r="A3755" t="s">
        <v>6117</v>
      </c>
      <c r="B3755" t="s">
        <v>8273</v>
      </c>
      <c r="C3755" t="s">
        <v>8396</v>
      </c>
      <c r="D3755" t="s">
        <v>8411</v>
      </c>
      <c r="E3755" t="s">
        <v>8446</v>
      </c>
      <c r="F3755" t="s">
        <v>8448</v>
      </c>
      <c r="G3755" t="s">
        <v>8463</v>
      </c>
    </row>
    <row r="3756" spans="1:7">
      <c r="A3756" t="s">
        <v>6118</v>
      </c>
      <c r="C3756" t="s">
        <v>8394</v>
      </c>
      <c r="D3756" t="s">
        <v>8416</v>
      </c>
      <c r="E3756" t="s">
        <v>8446</v>
      </c>
      <c r="F3756" t="s">
        <v>8448</v>
      </c>
      <c r="G3756" t="s">
        <v>9087</v>
      </c>
    </row>
    <row r="3757" spans="1:7">
      <c r="A3757" t="s">
        <v>6119</v>
      </c>
      <c r="C3757" t="s">
        <v>8397</v>
      </c>
      <c r="D3757" t="s">
        <v>8418</v>
      </c>
      <c r="E3757" t="s">
        <v>1519</v>
      </c>
      <c r="F3757" t="s">
        <v>8450</v>
      </c>
      <c r="G3757" t="s">
        <v>9088</v>
      </c>
    </row>
    <row r="3758" spans="1:7">
      <c r="A3758" t="s">
        <v>6120</v>
      </c>
      <c r="C3758" t="s">
        <v>8397</v>
      </c>
      <c r="D3758" t="s">
        <v>8418</v>
      </c>
      <c r="E3758" t="s">
        <v>1519</v>
      </c>
      <c r="F3758" t="s">
        <v>8450</v>
      </c>
      <c r="G3758" t="s">
        <v>9089</v>
      </c>
    </row>
    <row r="3759" spans="1:7">
      <c r="A3759" t="s">
        <v>6121</v>
      </c>
      <c r="C3759" t="s">
        <v>8397</v>
      </c>
      <c r="D3759" t="s">
        <v>8418</v>
      </c>
      <c r="E3759" t="s">
        <v>1587</v>
      </c>
      <c r="F3759" t="s">
        <v>8450</v>
      </c>
      <c r="G3759" t="s">
        <v>9090</v>
      </c>
    </row>
    <row r="3760" spans="1:7">
      <c r="A3760" t="s">
        <v>6122</v>
      </c>
      <c r="C3760" t="s">
        <v>8397</v>
      </c>
      <c r="D3760" t="s">
        <v>8408</v>
      </c>
      <c r="E3760" t="s">
        <v>8445</v>
      </c>
      <c r="F3760" t="s">
        <v>8450</v>
      </c>
    </row>
    <row r="3761" spans="1:7">
      <c r="A3761" t="s">
        <v>6123</v>
      </c>
      <c r="B3761" t="s">
        <v>8273</v>
      </c>
      <c r="C3761" t="s">
        <v>8394</v>
      </c>
      <c r="D3761" t="s">
        <v>8402</v>
      </c>
      <c r="E3761" t="s">
        <v>8445</v>
      </c>
      <c r="F3761" t="s">
        <v>8449</v>
      </c>
      <c r="G3761" t="s">
        <v>8455</v>
      </c>
    </row>
    <row r="3762" spans="1:7">
      <c r="A3762" t="s">
        <v>6124</v>
      </c>
      <c r="B3762" t="s">
        <v>8273</v>
      </c>
      <c r="C3762" t="s">
        <v>8395</v>
      </c>
      <c r="D3762" t="s">
        <v>8404</v>
      </c>
      <c r="E3762" t="s">
        <v>8446</v>
      </c>
      <c r="F3762" t="s">
        <v>8449</v>
      </c>
      <c r="G3762" t="s">
        <v>8455</v>
      </c>
    </row>
    <row r="3763" spans="1:7">
      <c r="A3763" t="s">
        <v>6125</v>
      </c>
      <c r="C3763" t="s">
        <v>8393</v>
      </c>
      <c r="D3763" t="s">
        <v>8393</v>
      </c>
      <c r="E3763" t="s">
        <v>919</v>
      </c>
      <c r="F3763" t="s">
        <v>8393</v>
      </c>
    </row>
    <row r="3764" spans="1:7">
      <c r="A3764" t="s">
        <v>6126</v>
      </c>
      <c r="B3764" t="s">
        <v>8273</v>
      </c>
      <c r="C3764" t="s">
        <v>8395</v>
      </c>
      <c r="D3764" t="s">
        <v>8400</v>
      </c>
      <c r="E3764" t="s">
        <v>8445</v>
      </c>
      <c r="F3764" t="s">
        <v>8449</v>
      </c>
      <c r="G3764" t="s">
        <v>8455</v>
      </c>
    </row>
    <row r="3765" spans="1:7">
      <c r="A3765" t="s">
        <v>6127</v>
      </c>
      <c r="B3765" t="s">
        <v>8285</v>
      </c>
      <c r="C3765" t="s">
        <v>8395</v>
      </c>
      <c r="D3765" t="s">
        <v>8400</v>
      </c>
      <c r="E3765" t="s">
        <v>8444</v>
      </c>
      <c r="F3765" t="s">
        <v>8449</v>
      </c>
      <c r="G3765" t="s">
        <v>8455</v>
      </c>
    </row>
    <row r="3766" spans="1:7">
      <c r="A3766" t="s">
        <v>6128</v>
      </c>
      <c r="B3766" t="s">
        <v>8277</v>
      </c>
      <c r="C3766" t="s">
        <v>8395</v>
      </c>
      <c r="D3766" t="s">
        <v>8400</v>
      </c>
      <c r="E3766" t="s">
        <v>8444</v>
      </c>
      <c r="F3766" t="s">
        <v>8449</v>
      </c>
      <c r="G3766" t="s">
        <v>8455</v>
      </c>
    </row>
    <row r="3767" spans="1:7">
      <c r="A3767" t="s">
        <v>6129</v>
      </c>
      <c r="C3767" t="s">
        <v>8394</v>
      </c>
      <c r="D3767" t="s">
        <v>8424</v>
      </c>
      <c r="E3767" t="s">
        <v>8445</v>
      </c>
      <c r="F3767" t="s">
        <v>8448</v>
      </c>
      <c r="G3767" t="s">
        <v>9091</v>
      </c>
    </row>
    <row r="3768" spans="1:7">
      <c r="A3768" t="s">
        <v>6130</v>
      </c>
      <c r="C3768" t="s">
        <v>8393</v>
      </c>
      <c r="D3768" t="s">
        <v>8393</v>
      </c>
      <c r="E3768" t="s">
        <v>919</v>
      </c>
      <c r="F3768" t="s">
        <v>8393</v>
      </c>
    </row>
    <row r="3769" spans="1:7">
      <c r="A3769" t="s">
        <v>6131</v>
      </c>
      <c r="B3769" t="s">
        <v>8295</v>
      </c>
      <c r="C3769" t="s">
        <v>8398</v>
      </c>
      <c r="D3769" t="s">
        <v>8419</v>
      </c>
      <c r="E3769" t="s">
        <v>1519</v>
      </c>
      <c r="F3769" t="s">
        <v>8449</v>
      </c>
      <c r="G3769" t="s">
        <v>8455</v>
      </c>
    </row>
    <row r="3770" spans="1:7">
      <c r="A3770" t="s">
        <v>6132</v>
      </c>
      <c r="B3770" t="s">
        <v>8295</v>
      </c>
      <c r="C3770" t="s">
        <v>8398</v>
      </c>
      <c r="D3770" t="s">
        <v>8419</v>
      </c>
      <c r="E3770" t="s">
        <v>8446</v>
      </c>
      <c r="F3770" t="s">
        <v>8449</v>
      </c>
      <c r="G3770" t="s">
        <v>8455</v>
      </c>
    </row>
    <row r="3771" spans="1:7">
      <c r="A3771" t="s">
        <v>6133</v>
      </c>
      <c r="C3771" t="s">
        <v>8394</v>
      </c>
      <c r="D3771" t="s">
        <v>8402</v>
      </c>
      <c r="E3771" t="s">
        <v>8444</v>
      </c>
      <c r="F3771" t="s">
        <v>8448</v>
      </c>
      <c r="G3771" t="s">
        <v>8474</v>
      </c>
    </row>
    <row r="3772" spans="1:7">
      <c r="A3772" t="s">
        <v>6134</v>
      </c>
      <c r="C3772" t="s">
        <v>8392</v>
      </c>
      <c r="D3772" t="s">
        <v>8400</v>
      </c>
      <c r="E3772" t="s">
        <v>8446</v>
      </c>
      <c r="F3772" t="s">
        <v>8447</v>
      </c>
      <c r="G3772" t="s">
        <v>8453</v>
      </c>
    </row>
    <row r="3773" spans="1:7">
      <c r="A3773" t="s">
        <v>6135</v>
      </c>
      <c r="B3773" t="s">
        <v>8273</v>
      </c>
      <c r="C3773" t="s">
        <v>8395</v>
      </c>
      <c r="D3773" t="s">
        <v>8400</v>
      </c>
      <c r="E3773" t="s">
        <v>1587</v>
      </c>
      <c r="F3773" t="s">
        <v>8449</v>
      </c>
      <c r="G3773" t="s">
        <v>8455</v>
      </c>
    </row>
    <row r="3774" spans="1:7">
      <c r="A3774" t="s">
        <v>6136</v>
      </c>
      <c r="B3774" t="s">
        <v>8273</v>
      </c>
      <c r="C3774" t="s">
        <v>8396</v>
      </c>
      <c r="D3774" t="s">
        <v>8405</v>
      </c>
      <c r="E3774" t="s">
        <v>1587</v>
      </c>
      <c r="F3774" t="s">
        <v>8449</v>
      </c>
      <c r="G3774" t="s">
        <v>8455</v>
      </c>
    </row>
    <row r="3775" spans="1:7">
      <c r="A3775" t="s">
        <v>6137</v>
      </c>
      <c r="B3775" t="s">
        <v>8273</v>
      </c>
      <c r="C3775" t="s">
        <v>8396</v>
      </c>
      <c r="D3775" t="s">
        <v>8411</v>
      </c>
      <c r="E3775" t="s">
        <v>1587</v>
      </c>
      <c r="F3775" t="s">
        <v>8448</v>
      </c>
      <c r="G3775" t="s">
        <v>9092</v>
      </c>
    </row>
    <row r="3776" spans="1:7">
      <c r="A3776" t="s">
        <v>6138</v>
      </c>
      <c r="B3776" t="s">
        <v>8273</v>
      </c>
      <c r="C3776" t="s">
        <v>8395</v>
      </c>
      <c r="D3776" t="s">
        <v>8420</v>
      </c>
      <c r="E3776" t="s">
        <v>8446</v>
      </c>
      <c r="F3776" t="s">
        <v>8449</v>
      </c>
      <c r="G3776" t="s">
        <v>8455</v>
      </c>
    </row>
    <row r="3777" spans="1:7">
      <c r="A3777" t="s">
        <v>6139</v>
      </c>
      <c r="B3777" t="s">
        <v>8273</v>
      </c>
      <c r="C3777" t="s">
        <v>8397</v>
      </c>
      <c r="D3777" t="s">
        <v>8421</v>
      </c>
      <c r="E3777" t="s">
        <v>8446</v>
      </c>
      <c r="F3777" t="s">
        <v>8448</v>
      </c>
      <c r="G3777" t="s">
        <v>9093</v>
      </c>
    </row>
    <row r="3778" spans="1:7">
      <c r="A3778" t="s">
        <v>6140</v>
      </c>
      <c r="C3778" t="s">
        <v>8394</v>
      </c>
      <c r="D3778" t="s">
        <v>8414</v>
      </c>
      <c r="E3778" t="s">
        <v>8445</v>
      </c>
      <c r="F3778" t="s">
        <v>8448</v>
      </c>
      <c r="G3778" t="s">
        <v>9094</v>
      </c>
    </row>
    <row r="3779" spans="1:7">
      <c r="A3779" t="s">
        <v>6141</v>
      </c>
      <c r="B3779" t="s">
        <v>8273</v>
      </c>
      <c r="C3779" t="s">
        <v>8395</v>
      </c>
      <c r="D3779" t="s">
        <v>8420</v>
      </c>
      <c r="E3779" t="s">
        <v>8445</v>
      </c>
      <c r="F3779" t="s">
        <v>8449</v>
      </c>
      <c r="G3779" t="s">
        <v>8455</v>
      </c>
    </row>
    <row r="3780" spans="1:7">
      <c r="A3780" t="s">
        <v>6142</v>
      </c>
      <c r="B3780" t="s">
        <v>8273</v>
      </c>
      <c r="C3780" t="s">
        <v>8395</v>
      </c>
      <c r="D3780" t="s">
        <v>8403</v>
      </c>
      <c r="E3780" t="s">
        <v>8445</v>
      </c>
      <c r="F3780" t="s">
        <v>8449</v>
      </c>
      <c r="G3780" t="s">
        <v>8455</v>
      </c>
    </row>
    <row r="3781" spans="1:7">
      <c r="A3781" t="s">
        <v>6143</v>
      </c>
      <c r="C3781" t="s">
        <v>8397</v>
      </c>
      <c r="D3781" t="s">
        <v>8421</v>
      </c>
      <c r="E3781" t="s">
        <v>8446</v>
      </c>
      <c r="F3781" t="s">
        <v>8448</v>
      </c>
      <c r="G3781" t="s">
        <v>9095</v>
      </c>
    </row>
    <row r="3782" spans="1:7">
      <c r="A3782" t="s">
        <v>6144</v>
      </c>
      <c r="B3782" t="s">
        <v>8273</v>
      </c>
      <c r="C3782" t="s">
        <v>8394</v>
      </c>
      <c r="D3782" t="s">
        <v>8416</v>
      </c>
      <c r="E3782" t="s">
        <v>8446</v>
      </c>
      <c r="F3782" t="s">
        <v>8448</v>
      </c>
      <c r="G3782" t="s">
        <v>9096</v>
      </c>
    </row>
    <row r="3783" spans="1:7">
      <c r="A3783" t="s">
        <v>6145</v>
      </c>
      <c r="C3783" t="s">
        <v>8397</v>
      </c>
      <c r="D3783" t="s">
        <v>8421</v>
      </c>
      <c r="E3783" t="s">
        <v>8446</v>
      </c>
      <c r="F3783" t="s">
        <v>8448</v>
      </c>
      <c r="G3783" t="s">
        <v>9097</v>
      </c>
    </row>
    <row r="3784" spans="1:7">
      <c r="A3784" t="s">
        <v>6146</v>
      </c>
      <c r="C3784" t="s">
        <v>8397</v>
      </c>
      <c r="D3784" t="s">
        <v>8418</v>
      </c>
      <c r="E3784" t="s">
        <v>8445</v>
      </c>
      <c r="F3784" t="s">
        <v>8448</v>
      </c>
      <c r="G3784" t="s">
        <v>9098</v>
      </c>
    </row>
    <row r="3785" spans="1:7">
      <c r="A3785" t="s">
        <v>6147</v>
      </c>
      <c r="C3785" t="s">
        <v>8394</v>
      </c>
      <c r="D3785" t="s">
        <v>8402</v>
      </c>
      <c r="E3785" t="s">
        <v>8445</v>
      </c>
      <c r="F3785" t="s">
        <v>8448</v>
      </c>
      <c r="G3785" t="s">
        <v>8453</v>
      </c>
    </row>
    <row r="3786" spans="1:7">
      <c r="A3786" t="s">
        <v>6148</v>
      </c>
      <c r="B3786" t="s">
        <v>8273</v>
      </c>
      <c r="C3786" t="s">
        <v>8395</v>
      </c>
      <c r="D3786" t="s">
        <v>8402</v>
      </c>
      <c r="E3786" t="s">
        <v>8444</v>
      </c>
      <c r="F3786" t="s">
        <v>8449</v>
      </c>
      <c r="G3786" t="s">
        <v>8455</v>
      </c>
    </row>
    <row r="3787" spans="1:7">
      <c r="A3787" t="s">
        <v>6149</v>
      </c>
      <c r="B3787" t="s">
        <v>8276</v>
      </c>
      <c r="C3787" t="s">
        <v>8398</v>
      </c>
      <c r="D3787" t="s">
        <v>8419</v>
      </c>
      <c r="E3787" t="s">
        <v>8446</v>
      </c>
      <c r="F3787" t="s">
        <v>8449</v>
      </c>
      <c r="G3787" t="s">
        <v>8455</v>
      </c>
    </row>
    <row r="3788" spans="1:7">
      <c r="A3788" t="s">
        <v>6150</v>
      </c>
      <c r="B3788" t="s">
        <v>8273</v>
      </c>
      <c r="C3788" t="s">
        <v>8395</v>
      </c>
      <c r="D3788" t="s">
        <v>8404</v>
      </c>
      <c r="E3788" t="s">
        <v>8446</v>
      </c>
      <c r="F3788" t="s">
        <v>8448</v>
      </c>
      <c r="G3788" t="s">
        <v>8455</v>
      </c>
    </row>
    <row r="3789" spans="1:7">
      <c r="A3789" t="s">
        <v>6151</v>
      </c>
      <c r="C3789" t="s">
        <v>8394</v>
      </c>
      <c r="D3789" t="s">
        <v>8413</v>
      </c>
      <c r="E3789" t="s">
        <v>8445</v>
      </c>
      <c r="F3789" t="s">
        <v>8448</v>
      </c>
      <c r="G3789" t="s">
        <v>796</v>
      </c>
    </row>
    <row r="3790" spans="1:7">
      <c r="A3790" t="s">
        <v>6152</v>
      </c>
      <c r="B3790" t="s">
        <v>8273</v>
      </c>
      <c r="C3790" t="s">
        <v>8398</v>
      </c>
      <c r="D3790" t="s">
        <v>8409</v>
      </c>
      <c r="E3790" t="s">
        <v>8445</v>
      </c>
      <c r="F3790" t="s">
        <v>8448</v>
      </c>
      <c r="G3790" t="s">
        <v>8455</v>
      </c>
    </row>
    <row r="3791" spans="1:7">
      <c r="A3791" t="s">
        <v>6153</v>
      </c>
      <c r="B3791" t="s">
        <v>8273</v>
      </c>
      <c r="C3791" t="s">
        <v>8398</v>
      </c>
      <c r="D3791" t="s">
        <v>8419</v>
      </c>
      <c r="E3791" t="s">
        <v>8445</v>
      </c>
      <c r="F3791" t="s">
        <v>8449</v>
      </c>
      <c r="G3791" t="s">
        <v>8455</v>
      </c>
    </row>
    <row r="3792" spans="1:7">
      <c r="A3792" t="s">
        <v>6154</v>
      </c>
      <c r="B3792" t="s">
        <v>8273</v>
      </c>
      <c r="C3792" t="s">
        <v>8398</v>
      </c>
      <c r="D3792" t="s">
        <v>8419</v>
      </c>
      <c r="E3792" t="s">
        <v>8444</v>
      </c>
      <c r="F3792" t="s">
        <v>8449</v>
      </c>
      <c r="G3792" t="s">
        <v>8455</v>
      </c>
    </row>
    <row r="3793" spans="1:7">
      <c r="A3793" t="s">
        <v>6155</v>
      </c>
      <c r="C3793" t="s">
        <v>8394</v>
      </c>
      <c r="D3793" t="s">
        <v>8416</v>
      </c>
      <c r="E3793" t="s">
        <v>8446</v>
      </c>
      <c r="F3793" t="s">
        <v>8448</v>
      </c>
      <c r="G3793" t="s">
        <v>9099</v>
      </c>
    </row>
    <row r="3794" spans="1:7">
      <c r="A3794" t="s">
        <v>6156</v>
      </c>
      <c r="C3794" t="s">
        <v>8397</v>
      </c>
      <c r="D3794" t="s">
        <v>8408</v>
      </c>
      <c r="E3794" t="s">
        <v>8445</v>
      </c>
      <c r="F3794" t="s">
        <v>8448</v>
      </c>
    </row>
    <row r="3795" spans="1:7">
      <c r="A3795" t="s">
        <v>6157</v>
      </c>
      <c r="B3795" t="s">
        <v>8299</v>
      </c>
      <c r="C3795" t="s">
        <v>8397</v>
      </c>
      <c r="D3795" t="s">
        <v>8431</v>
      </c>
      <c r="E3795" t="s">
        <v>8446</v>
      </c>
      <c r="F3795" t="s">
        <v>8448</v>
      </c>
      <c r="G3795" t="s">
        <v>8453</v>
      </c>
    </row>
    <row r="3796" spans="1:7">
      <c r="A3796" t="s">
        <v>6158</v>
      </c>
      <c r="C3796" t="s">
        <v>8394</v>
      </c>
      <c r="D3796" t="s">
        <v>8401</v>
      </c>
      <c r="E3796" t="s">
        <v>8445</v>
      </c>
      <c r="F3796" t="s">
        <v>8450</v>
      </c>
      <c r="G3796" t="s">
        <v>9100</v>
      </c>
    </row>
    <row r="3797" spans="1:7">
      <c r="A3797" t="s">
        <v>6159</v>
      </c>
      <c r="B3797" t="s">
        <v>8273</v>
      </c>
      <c r="C3797" t="s">
        <v>8394</v>
      </c>
      <c r="D3797" t="s">
        <v>8414</v>
      </c>
      <c r="E3797" t="s">
        <v>1519</v>
      </c>
      <c r="F3797" t="s">
        <v>8448</v>
      </c>
      <c r="G3797" t="s">
        <v>9101</v>
      </c>
    </row>
    <row r="3798" spans="1:7">
      <c r="A3798" t="s">
        <v>6160</v>
      </c>
      <c r="B3798" t="s">
        <v>8273</v>
      </c>
      <c r="C3798" t="s">
        <v>8398</v>
      </c>
      <c r="D3798" t="s">
        <v>8419</v>
      </c>
      <c r="E3798" t="s">
        <v>8446</v>
      </c>
      <c r="F3798" t="s">
        <v>8449</v>
      </c>
      <c r="G3798" t="s">
        <v>9102</v>
      </c>
    </row>
    <row r="3799" spans="1:7">
      <c r="A3799" t="s">
        <v>6161</v>
      </c>
      <c r="C3799" t="s">
        <v>8394</v>
      </c>
      <c r="D3799" t="s">
        <v>8401</v>
      </c>
      <c r="E3799" t="s">
        <v>8445</v>
      </c>
      <c r="F3799" t="s">
        <v>8448</v>
      </c>
      <c r="G3799" t="s">
        <v>9103</v>
      </c>
    </row>
    <row r="3800" spans="1:7">
      <c r="A3800" t="s">
        <v>6162</v>
      </c>
      <c r="C3800" t="s">
        <v>8394</v>
      </c>
      <c r="D3800" t="s">
        <v>8413</v>
      </c>
      <c r="E3800" t="s">
        <v>8445</v>
      </c>
      <c r="F3800" t="s">
        <v>8448</v>
      </c>
      <c r="G3800" t="s">
        <v>9104</v>
      </c>
    </row>
    <row r="3801" spans="1:7">
      <c r="A3801" t="s">
        <v>6163</v>
      </c>
      <c r="C3801" t="s">
        <v>8397</v>
      </c>
      <c r="D3801" t="s">
        <v>8418</v>
      </c>
      <c r="E3801" t="s">
        <v>8445</v>
      </c>
      <c r="F3801" t="s">
        <v>8448</v>
      </c>
      <c r="G3801" t="s">
        <v>9105</v>
      </c>
    </row>
    <row r="3802" spans="1:7">
      <c r="A3802" t="s">
        <v>6164</v>
      </c>
      <c r="B3802" t="s">
        <v>8273</v>
      </c>
      <c r="C3802" t="s">
        <v>8396</v>
      </c>
      <c r="D3802" t="s">
        <v>8425</v>
      </c>
      <c r="E3802" t="s">
        <v>8444</v>
      </c>
      <c r="F3802" t="s">
        <v>8448</v>
      </c>
      <c r="G3802" t="s">
        <v>8463</v>
      </c>
    </row>
    <row r="3803" spans="1:7">
      <c r="A3803" t="s">
        <v>6165</v>
      </c>
      <c r="C3803" t="s">
        <v>8397</v>
      </c>
      <c r="D3803" t="s">
        <v>8418</v>
      </c>
      <c r="E3803" t="s">
        <v>8445</v>
      </c>
      <c r="F3803" t="s">
        <v>8448</v>
      </c>
      <c r="G3803" t="s">
        <v>9106</v>
      </c>
    </row>
    <row r="3804" spans="1:7">
      <c r="A3804" t="s">
        <v>6166</v>
      </c>
      <c r="C3804" t="s">
        <v>8393</v>
      </c>
      <c r="D3804" t="s">
        <v>8393</v>
      </c>
      <c r="E3804" t="s">
        <v>919</v>
      </c>
      <c r="F3804" t="s">
        <v>8393</v>
      </c>
    </row>
    <row r="3805" spans="1:7">
      <c r="A3805" t="s">
        <v>6167</v>
      </c>
      <c r="B3805" t="s">
        <v>8273</v>
      </c>
      <c r="C3805" t="s">
        <v>8396</v>
      </c>
      <c r="D3805" t="s">
        <v>8405</v>
      </c>
      <c r="E3805" t="s">
        <v>8446</v>
      </c>
      <c r="F3805" t="s">
        <v>8449</v>
      </c>
      <c r="G3805" t="s">
        <v>8455</v>
      </c>
    </row>
    <row r="3806" spans="1:7">
      <c r="A3806" t="s">
        <v>6168</v>
      </c>
      <c r="B3806" t="s">
        <v>8273</v>
      </c>
      <c r="C3806" t="s">
        <v>8396</v>
      </c>
      <c r="D3806" t="s">
        <v>8405</v>
      </c>
      <c r="E3806" t="s">
        <v>8446</v>
      </c>
      <c r="F3806" t="s">
        <v>8449</v>
      </c>
      <c r="G3806" t="s">
        <v>8455</v>
      </c>
    </row>
    <row r="3807" spans="1:7">
      <c r="A3807" t="s">
        <v>6169</v>
      </c>
      <c r="B3807" t="s">
        <v>8273</v>
      </c>
      <c r="C3807" t="s">
        <v>8395</v>
      </c>
      <c r="D3807" t="s">
        <v>8404</v>
      </c>
      <c r="E3807" t="s">
        <v>8446</v>
      </c>
      <c r="F3807" t="s">
        <v>8449</v>
      </c>
      <c r="G3807" t="s">
        <v>8455</v>
      </c>
    </row>
    <row r="3808" spans="1:7">
      <c r="A3808" t="s">
        <v>6170</v>
      </c>
      <c r="B3808" t="s">
        <v>8274</v>
      </c>
      <c r="C3808" t="s">
        <v>8396</v>
      </c>
      <c r="D3808" t="s">
        <v>8406</v>
      </c>
      <c r="E3808" t="s">
        <v>8446</v>
      </c>
      <c r="F3808" t="s">
        <v>8449</v>
      </c>
      <c r="G3808" t="s">
        <v>8455</v>
      </c>
    </row>
    <row r="3809" spans="1:7">
      <c r="A3809" t="s">
        <v>6171</v>
      </c>
      <c r="B3809" t="s">
        <v>8273</v>
      </c>
      <c r="C3809" t="s">
        <v>8395</v>
      </c>
      <c r="D3809" t="s">
        <v>8440</v>
      </c>
      <c r="E3809" t="s">
        <v>8446</v>
      </c>
      <c r="F3809" t="s">
        <v>8449</v>
      </c>
      <c r="G3809" t="s">
        <v>9107</v>
      </c>
    </row>
    <row r="3810" spans="1:7">
      <c r="A3810" t="s">
        <v>6172</v>
      </c>
      <c r="B3810" t="s">
        <v>8273</v>
      </c>
      <c r="C3810" t="s">
        <v>8398</v>
      </c>
      <c r="D3810" t="s">
        <v>8409</v>
      </c>
      <c r="E3810" t="s">
        <v>8445</v>
      </c>
      <c r="F3810" t="s">
        <v>8448</v>
      </c>
      <c r="G3810" t="s">
        <v>8455</v>
      </c>
    </row>
    <row r="3811" spans="1:7">
      <c r="A3811" t="s">
        <v>6173</v>
      </c>
      <c r="C3811" t="s">
        <v>8398</v>
      </c>
      <c r="D3811" t="s">
        <v>8409</v>
      </c>
      <c r="E3811" t="s">
        <v>1519</v>
      </c>
      <c r="F3811" t="s">
        <v>8448</v>
      </c>
      <c r="G3811" t="s">
        <v>9108</v>
      </c>
    </row>
    <row r="3812" spans="1:7">
      <c r="A3812" t="s">
        <v>6174</v>
      </c>
      <c r="C3812" t="s">
        <v>8393</v>
      </c>
      <c r="D3812" t="s">
        <v>8393</v>
      </c>
      <c r="E3812" t="s">
        <v>919</v>
      </c>
      <c r="F3812" t="s">
        <v>8393</v>
      </c>
    </row>
    <row r="3813" spans="1:7">
      <c r="A3813" t="s">
        <v>6175</v>
      </c>
      <c r="B3813" t="s">
        <v>8278</v>
      </c>
      <c r="C3813" t="s">
        <v>8395</v>
      </c>
      <c r="D3813" t="s">
        <v>8423</v>
      </c>
      <c r="E3813" t="s">
        <v>8446</v>
      </c>
      <c r="F3813" t="s">
        <v>8448</v>
      </c>
      <c r="G3813" t="s">
        <v>8455</v>
      </c>
    </row>
    <row r="3814" spans="1:7">
      <c r="A3814" t="s">
        <v>6176</v>
      </c>
      <c r="B3814" t="s">
        <v>8278</v>
      </c>
      <c r="C3814" t="s">
        <v>8395</v>
      </c>
      <c r="D3814" t="s">
        <v>8423</v>
      </c>
      <c r="E3814" t="s">
        <v>8446</v>
      </c>
      <c r="F3814" t="s">
        <v>8449</v>
      </c>
      <c r="G3814" t="s">
        <v>8455</v>
      </c>
    </row>
    <row r="3815" spans="1:7">
      <c r="A3815" t="s">
        <v>6177</v>
      </c>
      <c r="B3815" t="s">
        <v>8284</v>
      </c>
      <c r="C3815" t="s">
        <v>8395</v>
      </c>
      <c r="D3815" t="s">
        <v>8423</v>
      </c>
      <c r="E3815" t="s">
        <v>8446</v>
      </c>
      <c r="F3815" t="s">
        <v>8449</v>
      </c>
      <c r="G3815" t="s">
        <v>8455</v>
      </c>
    </row>
    <row r="3816" spans="1:7">
      <c r="A3816" t="s">
        <v>6178</v>
      </c>
      <c r="B3816" t="s">
        <v>8280</v>
      </c>
      <c r="C3816" t="s">
        <v>8395</v>
      </c>
      <c r="D3816" t="s">
        <v>8423</v>
      </c>
      <c r="E3816" t="s">
        <v>8446</v>
      </c>
      <c r="F3816" t="s">
        <v>8449</v>
      </c>
      <c r="G3816" t="s">
        <v>8455</v>
      </c>
    </row>
    <row r="3817" spans="1:7">
      <c r="A3817" t="s">
        <v>6179</v>
      </c>
      <c r="B3817" t="s">
        <v>8309</v>
      </c>
      <c r="C3817" t="s">
        <v>8395</v>
      </c>
      <c r="D3817" t="s">
        <v>8423</v>
      </c>
      <c r="E3817" t="s">
        <v>8446</v>
      </c>
      <c r="F3817" t="s">
        <v>8449</v>
      </c>
      <c r="G3817" t="s">
        <v>8455</v>
      </c>
    </row>
    <row r="3818" spans="1:7">
      <c r="A3818" t="s">
        <v>6180</v>
      </c>
      <c r="C3818" t="s">
        <v>8394</v>
      </c>
      <c r="D3818" t="s">
        <v>8401</v>
      </c>
      <c r="E3818" t="s">
        <v>8445</v>
      </c>
      <c r="F3818" t="s">
        <v>8448</v>
      </c>
      <c r="G3818" t="s">
        <v>8463</v>
      </c>
    </row>
    <row r="3819" spans="1:7">
      <c r="A3819" t="s">
        <v>6181</v>
      </c>
      <c r="C3819" t="s">
        <v>8392</v>
      </c>
      <c r="D3819" t="s">
        <v>8415</v>
      </c>
      <c r="E3819" t="s">
        <v>1587</v>
      </c>
      <c r="F3819" t="s">
        <v>8448</v>
      </c>
      <c r="G3819" t="s">
        <v>9109</v>
      </c>
    </row>
    <row r="3820" spans="1:7">
      <c r="A3820" t="s">
        <v>6182</v>
      </c>
      <c r="B3820" t="s">
        <v>8273</v>
      </c>
      <c r="C3820" t="s">
        <v>8392</v>
      </c>
      <c r="D3820" t="s">
        <v>8415</v>
      </c>
      <c r="E3820" t="s">
        <v>8445</v>
      </c>
      <c r="F3820" t="s">
        <v>8448</v>
      </c>
      <c r="G3820" t="s">
        <v>8455</v>
      </c>
    </row>
    <row r="3821" spans="1:7">
      <c r="A3821" t="s">
        <v>6183</v>
      </c>
      <c r="C3821" t="s">
        <v>8397</v>
      </c>
      <c r="D3821" t="s">
        <v>8421</v>
      </c>
      <c r="E3821" t="s">
        <v>8444</v>
      </c>
      <c r="F3821" t="s">
        <v>8448</v>
      </c>
      <c r="G3821" t="s">
        <v>8463</v>
      </c>
    </row>
    <row r="3822" spans="1:7">
      <c r="A3822" t="s">
        <v>6184</v>
      </c>
      <c r="B3822" t="s">
        <v>8273</v>
      </c>
      <c r="C3822" t="s">
        <v>8395</v>
      </c>
      <c r="D3822" t="s">
        <v>8403</v>
      </c>
      <c r="E3822" t="s">
        <v>8446</v>
      </c>
      <c r="F3822" t="s">
        <v>8449</v>
      </c>
      <c r="G3822" t="s">
        <v>8455</v>
      </c>
    </row>
    <row r="3823" spans="1:7">
      <c r="A3823" t="s">
        <v>6185</v>
      </c>
      <c r="B3823" t="s">
        <v>8370</v>
      </c>
      <c r="C3823" t="s">
        <v>8397</v>
      </c>
      <c r="D3823" t="s">
        <v>8431</v>
      </c>
      <c r="E3823" t="s">
        <v>8446</v>
      </c>
      <c r="F3823" t="s">
        <v>8448</v>
      </c>
      <c r="G3823" t="s">
        <v>8455</v>
      </c>
    </row>
    <row r="3824" spans="1:7">
      <c r="A3824" t="s">
        <v>6186</v>
      </c>
      <c r="C3824" t="s">
        <v>8394</v>
      </c>
      <c r="D3824" t="s">
        <v>8402</v>
      </c>
      <c r="E3824" t="s">
        <v>8445</v>
      </c>
      <c r="F3824" t="s">
        <v>8448</v>
      </c>
      <c r="G3824" t="s">
        <v>9110</v>
      </c>
    </row>
    <row r="3825" spans="1:7">
      <c r="A3825" t="s">
        <v>6187</v>
      </c>
      <c r="C3825" t="s">
        <v>8392</v>
      </c>
      <c r="D3825" t="s">
        <v>8400</v>
      </c>
      <c r="E3825" t="s">
        <v>8446</v>
      </c>
      <c r="F3825" t="s">
        <v>8449</v>
      </c>
      <c r="G3825" t="s">
        <v>8455</v>
      </c>
    </row>
    <row r="3826" spans="1:7">
      <c r="A3826" t="s">
        <v>6188</v>
      </c>
      <c r="C3826" t="s">
        <v>8393</v>
      </c>
      <c r="D3826" t="s">
        <v>8393</v>
      </c>
      <c r="E3826" t="s">
        <v>919</v>
      </c>
      <c r="F3826" t="s">
        <v>8393</v>
      </c>
    </row>
    <row r="3827" spans="1:7">
      <c r="A3827" t="s">
        <v>6189</v>
      </c>
      <c r="B3827" t="s">
        <v>8273</v>
      </c>
      <c r="C3827" t="s">
        <v>8394</v>
      </c>
      <c r="D3827" t="s">
        <v>8402</v>
      </c>
      <c r="E3827" t="s">
        <v>8445</v>
      </c>
      <c r="F3827" t="s">
        <v>8449</v>
      </c>
      <c r="G3827" t="s">
        <v>8457</v>
      </c>
    </row>
    <row r="3828" spans="1:7">
      <c r="A3828" t="s">
        <v>6190</v>
      </c>
      <c r="B3828" t="s">
        <v>8273</v>
      </c>
      <c r="C3828" t="s">
        <v>8396</v>
      </c>
      <c r="D3828" t="s">
        <v>8404</v>
      </c>
      <c r="E3828" t="s">
        <v>1587</v>
      </c>
      <c r="F3828" t="s">
        <v>8449</v>
      </c>
      <c r="G3828" t="s">
        <v>8453</v>
      </c>
    </row>
    <row r="3829" spans="1:7">
      <c r="A3829" t="s">
        <v>6191</v>
      </c>
      <c r="C3829" t="s">
        <v>8393</v>
      </c>
      <c r="D3829" t="s">
        <v>8393</v>
      </c>
      <c r="E3829" t="s">
        <v>919</v>
      </c>
      <c r="F3829" t="s">
        <v>8393</v>
      </c>
    </row>
    <row r="3830" spans="1:7">
      <c r="A3830" t="s">
        <v>6192</v>
      </c>
      <c r="B3830" t="s">
        <v>8278</v>
      </c>
      <c r="C3830" t="s">
        <v>8394</v>
      </c>
      <c r="D3830" t="s">
        <v>8423</v>
      </c>
      <c r="E3830" t="s">
        <v>8446</v>
      </c>
      <c r="F3830" t="s">
        <v>8449</v>
      </c>
      <c r="G3830" t="s">
        <v>8455</v>
      </c>
    </row>
    <row r="3831" spans="1:7">
      <c r="A3831" t="s">
        <v>6193</v>
      </c>
      <c r="B3831" t="s">
        <v>8278</v>
      </c>
      <c r="C3831" t="s">
        <v>8395</v>
      </c>
      <c r="D3831" t="s">
        <v>8435</v>
      </c>
      <c r="E3831" t="s">
        <v>8444</v>
      </c>
      <c r="F3831" t="s">
        <v>8449</v>
      </c>
      <c r="G3831" t="s">
        <v>8455</v>
      </c>
    </row>
    <row r="3832" spans="1:7">
      <c r="A3832" t="s">
        <v>6194</v>
      </c>
      <c r="B3832" t="s">
        <v>8284</v>
      </c>
      <c r="C3832" t="s">
        <v>8395</v>
      </c>
      <c r="D3832" t="s">
        <v>8435</v>
      </c>
      <c r="E3832" t="s">
        <v>8444</v>
      </c>
      <c r="F3832" t="s">
        <v>8449</v>
      </c>
      <c r="G3832" t="s">
        <v>8455</v>
      </c>
    </row>
    <row r="3833" spans="1:7">
      <c r="A3833" t="s">
        <v>6195</v>
      </c>
      <c r="B3833" t="s">
        <v>8279</v>
      </c>
      <c r="C3833" t="s">
        <v>8395</v>
      </c>
      <c r="D3833" t="s">
        <v>8435</v>
      </c>
      <c r="E3833" t="s">
        <v>8444</v>
      </c>
      <c r="F3833" t="s">
        <v>8449</v>
      </c>
      <c r="G3833" t="s">
        <v>8455</v>
      </c>
    </row>
    <row r="3834" spans="1:7">
      <c r="A3834" t="s">
        <v>6196</v>
      </c>
      <c r="B3834" t="s">
        <v>8278</v>
      </c>
      <c r="C3834" t="s">
        <v>8395</v>
      </c>
      <c r="D3834" t="s">
        <v>8435</v>
      </c>
      <c r="E3834" t="s">
        <v>8444</v>
      </c>
      <c r="F3834" t="s">
        <v>8449</v>
      </c>
      <c r="G3834" t="s">
        <v>8455</v>
      </c>
    </row>
    <row r="3835" spans="1:7">
      <c r="A3835" t="s">
        <v>6197</v>
      </c>
      <c r="B3835" t="s">
        <v>8281</v>
      </c>
      <c r="C3835" t="s">
        <v>8395</v>
      </c>
      <c r="D3835" t="s">
        <v>8435</v>
      </c>
      <c r="E3835" t="s">
        <v>8444</v>
      </c>
      <c r="F3835" t="s">
        <v>8449</v>
      </c>
      <c r="G3835" t="s">
        <v>8455</v>
      </c>
    </row>
    <row r="3836" spans="1:7">
      <c r="A3836" t="s">
        <v>6198</v>
      </c>
      <c r="C3836" t="s">
        <v>8393</v>
      </c>
      <c r="D3836" t="s">
        <v>8393</v>
      </c>
      <c r="E3836" t="s">
        <v>919</v>
      </c>
      <c r="F3836" t="s">
        <v>8393</v>
      </c>
    </row>
    <row r="3837" spans="1:7">
      <c r="A3837" t="s">
        <v>6199</v>
      </c>
      <c r="B3837" t="s">
        <v>8278</v>
      </c>
      <c r="C3837" t="s">
        <v>8394</v>
      </c>
      <c r="D3837" t="s">
        <v>8423</v>
      </c>
      <c r="E3837" t="s">
        <v>8444</v>
      </c>
      <c r="F3837" t="s">
        <v>8449</v>
      </c>
      <c r="G3837" t="s">
        <v>8455</v>
      </c>
    </row>
    <row r="3838" spans="1:7">
      <c r="A3838" t="s">
        <v>6200</v>
      </c>
      <c r="B3838" t="s">
        <v>8278</v>
      </c>
      <c r="C3838" t="s">
        <v>8394</v>
      </c>
      <c r="D3838" t="s">
        <v>8423</v>
      </c>
      <c r="E3838" t="s">
        <v>8444</v>
      </c>
      <c r="F3838" t="s">
        <v>8449</v>
      </c>
      <c r="G3838" t="s">
        <v>8455</v>
      </c>
    </row>
    <row r="3839" spans="1:7">
      <c r="A3839" t="s">
        <v>6201</v>
      </c>
      <c r="B3839" t="s">
        <v>8284</v>
      </c>
      <c r="C3839" t="s">
        <v>8394</v>
      </c>
      <c r="D3839" t="s">
        <v>8423</v>
      </c>
      <c r="E3839" t="s">
        <v>8444</v>
      </c>
      <c r="F3839" t="s">
        <v>8449</v>
      </c>
      <c r="G3839" t="s">
        <v>8455</v>
      </c>
    </row>
    <row r="3840" spans="1:7">
      <c r="A3840" t="s">
        <v>6202</v>
      </c>
      <c r="B3840" t="s">
        <v>8279</v>
      </c>
      <c r="C3840" t="s">
        <v>8394</v>
      </c>
      <c r="D3840" t="s">
        <v>8423</v>
      </c>
      <c r="E3840" t="s">
        <v>8444</v>
      </c>
      <c r="F3840" t="s">
        <v>8449</v>
      </c>
      <c r="G3840" t="s">
        <v>8455</v>
      </c>
    </row>
    <row r="3841" spans="1:7">
      <c r="A3841" t="s">
        <v>6203</v>
      </c>
      <c r="B3841" t="s">
        <v>8311</v>
      </c>
      <c r="C3841" t="s">
        <v>8394</v>
      </c>
      <c r="D3841" t="s">
        <v>8423</v>
      </c>
      <c r="E3841" t="s">
        <v>8444</v>
      </c>
      <c r="F3841" t="s">
        <v>8449</v>
      </c>
      <c r="G3841" t="s">
        <v>8455</v>
      </c>
    </row>
    <row r="3842" spans="1:7">
      <c r="A3842" t="s">
        <v>6204</v>
      </c>
      <c r="B3842" t="s">
        <v>8278</v>
      </c>
      <c r="C3842" t="s">
        <v>8394</v>
      </c>
      <c r="D3842" t="s">
        <v>8423</v>
      </c>
      <c r="E3842" t="s">
        <v>8444</v>
      </c>
      <c r="F3842" t="s">
        <v>8449</v>
      </c>
      <c r="G3842" t="s">
        <v>8455</v>
      </c>
    </row>
    <row r="3843" spans="1:7">
      <c r="A3843" t="s">
        <v>6205</v>
      </c>
      <c r="B3843" t="s">
        <v>8309</v>
      </c>
      <c r="C3843" t="s">
        <v>8394</v>
      </c>
      <c r="D3843" t="s">
        <v>8423</v>
      </c>
      <c r="E3843" t="s">
        <v>8444</v>
      </c>
      <c r="F3843" t="s">
        <v>8449</v>
      </c>
      <c r="G3843" t="s">
        <v>8455</v>
      </c>
    </row>
    <row r="3844" spans="1:7">
      <c r="A3844" t="s">
        <v>6206</v>
      </c>
      <c r="B3844" t="s">
        <v>8273</v>
      </c>
      <c r="C3844" t="s">
        <v>8394</v>
      </c>
      <c r="D3844" t="s">
        <v>8416</v>
      </c>
      <c r="E3844" t="s">
        <v>8444</v>
      </c>
      <c r="F3844" t="s">
        <v>8448</v>
      </c>
      <c r="G3844" t="s">
        <v>9111</v>
      </c>
    </row>
    <row r="3845" spans="1:7">
      <c r="A3845" t="s">
        <v>6207</v>
      </c>
      <c r="C3845" t="s">
        <v>8393</v>
      </c>
      <c r="D3845" t="s">
        <v>8393</v>
      </c>
      <c r="E3845" t="s">
        <v>919</v>
      </c>
      <c r="F3845" t="s">
        <v>8393</v>
      </c>
    </row>
    <row r="3846" spans="1:7">
      <c r="A3846" t="s">
        <v>6208</v>
      </c>
      <c r="B3846" t="s">
        <v>8273</v>
      </c>
      <c r="C3846" t="s">
        <v>8398</v>
      </c>
      <c r="D3846" t="s">
        <v>8419</v>
      </c>
      <c r="E3846" t="s">
        <v>8446</v>
      </c>
      <c r="F3846" t="s">
        <v>8449</v>
      </c>
      <c r="G3846" t="s">
        <v>8455</v>
      </c>
    </row>
    <row r="3847" spans="1:7">
      <c r="A3847" t="s">
        <v>6209</v>
      </c>
      <c r="B3847" t="s">
        <v>8273</v>
      </c>
      <c r="C3847" t="s">
        <v>8398</v>
      </c>
      <c r="D3847" t="s">
        <v>8419</v>
      </c>
      <c r="E3847" t="s">
        <v>8446</v>
      </c>
      <c r="F3847" t="s">
        <v>8449</v>
      </c>
      <c r="G3847" t="s">
        <v>796</v>
      </c>
    </row>
    <row r="3848" spans="1:7">
      <c r="A3848" t="s">
        <v>6210</v>
      </c>
      <c r="C3848" t="s">
        <v>8397</v>
      </c>
      <c r="D3848" t="s">
        <v>8408</v>
      </c>
      <c r="E3848" t="s">
        <v>8445</v>
      </c>
      <c r="F3848" t="s">
        <v>8450</v>
      </c>
    </row>
    <row r="3849" spans="1:7">
      <c r="A3849" t="s">
        <v>6211</v>
      </c>
      <c r="C3849" t="s">
        <v>8394</v>
      </c>
      <c r="D3849" t="s">
        <v>8414</v>
      </c>
      <c r="E3849" t="s">
        <v>8445</v>
      </c>
      <c r="F3849" t="s">
        <v>8448</v>
      </c>
      <c r="G3849" t="s">
        <v>8453</v>
      </c>
    </row>
    <row r="3850" spans="1:7">
      <c r="A3850" t="s">
        <v>6212</v>
      </c>
      <c r="C3850" t="s">
        <v>8394</v>
      </c>
      <c r="D3850" t="s">
        <v>8414</v>
      </c>
      <c r="E3850" t="s">
        <v>8445</v>
      </c>
      <c r="F3850" t="s">
        <v>8448</v>
      </c>
      <c r="G3850" t="s">
        <v>8453</v>
      </c>
    </row>
    <row r="3851" spans="1:7">
      <c r="A3851" t="s">
        <v>6213</v>
      </c>
      <c r="C3851" t="s">
        <v>8394</v>
      </c>
      <c r="D3851" t="s">
        <v>8414</v>
      </c>
      <c r="E3851" t="s">
        <v>8444</v>
      </c>
      <c r="F3851" t="s">
        <v>8448</v>
      </c>
      <c r="G3851" t="s">
        <v>9112</v>
      </c>
    </row>
    <row r="3852" spans="1:7">
      <c r="A3852" t="s">
        <v>6214</v>
      </c>
      <c r="C3852" t="s">
        <v>8394</v>
      </c>
      <c r="D3852" t="s">
        <v>8414</v>
      </c>
      <c r="E3852" t="s">
        <v>8446</v>
      </c>
      <c r="F3852" t="s">
        <v>8448</v>
      </c>
      <c r="G3852" t="s">
        <v>9113</v>
      </c>
    </row>
    <row r="3853" spans="1:7">
      <c r="A3853" t="s">
        <v>6215</v>
      </c>
      <c r="C3853" t="s">
        <v>8394</v>
      </c>
      <c r="D3853" t="s">
        <v>8414</v>
      </c>
      <c r="E3853" t="s">
        <v>8445</v>
      </c>
      <c r="F3853" t="s">
        <v>8448</v>
      </c>
      <c r="G3853" t="s">
        <v>8453</v>
      </c>
    </row>
    <row r="3854" spans="1:7">
      <c r="A3854" t="s">
        <v>6216</v>
      </c>
      <c r="C3854" t="s">
        <v>8394</v>
      </c>
      <c r="D3854" t="s">
        <v>8414</v>
      </c>
      <c r="E3854" t="s">
        <v>8445</v>
      </c>
      <c r="F3854" t="s">
        <v>8448</v>
      </c>
      <c r="G3854" t="s">
        <v>8453</v>
      </c>
    </row>
    <row r="3855" spans="1:7">
      <c r="A3855" t="s">
        <v>786</v>
      </c>
      <c r="C3855" t="s">
        <v>8393</v>
      </c>
      <c r="D3855" t="s">
        <v>8393</v>
      </c>
      <c r="E3855" t="s">
        <v>919</v>
      </c>
      <c r="F3855" t="s">
        <v>8393</v>
      </c>
    </row>
    <row r="3856" spans="1:7">
      <c r="A3856" t="s">
        <v>6217</v>
      </c>
      <c r="C3856" t="s">
        <v>8397</v>
      </c>
      <c r="D3856" t="s">
        <v>8418</v>
      </c>
      <c r="E3856" t="s">
        <v>8444</v>
      </c>
      <c r="F3856" t="s">
        <v>8450</v>
      </c>
      <c r="G3856" t="s">
        <v>9114</v>
      </c>
    </row>
    <row r="3857" spans="1:7">
      <c r="A3857" t="s">
        <v>6218</v>
      </c>
      <c r="B3857" t="s">
        <v>8317</v>
      </c>
      <c r="C3857" t="s">
        <v>8397</v>
      </c>
      <c r="D3857" t="s">
        <v>8418</v>
      </c>
      <c r="E3857" t="s">
        <v>8444</v>
      </c>
      <c r="F3857" t="s">
        <v>8450</v>
      </c>
      <c r="G3857" t="s">
        <v>9114</v>
      </c>
    </row>
    <row r="3858" spans="1:7">
      <c r="A3858" t="s">
        <v>6219</v>
      </c>
      <c r="B3858" t="s">
        <v>8273</v>
      </c>
      <c r="C3858" t="s">
        <v>8395</v>
      </c>
      <c r="D3858" t="s">
        <v>8421</v>
      </c>
      <c r="E3858" t="s">
        <v>8446</v>
      </c>
      <c r="F3858" t="s">
        <v>8448</v>
      </c>
      <c r="G3858" t="s">
        <v>9115</v>
      </c>
    </row>
    <row r="3859" spans="1:7">
      <c r="A3859" t="s">
        <v>6220</v>
      </c>
      <c r="B3859" t="s">
        <v>8278</v>
      </c>
      <c r="C3859" t="s">
        <v>8394</v>
      </c>
      <c r="D3859" t="s">
        <v>8423</v>
      </c>
      <c r="E3859" t="s">
        <v>8446</v>
      </c>
      <c r="F3859" t="s">
        <v>8448</v>
      </c>
      <c r="G3859" t="s">
        <v>8455</v>
      </c>
    </row>
    <row r="3860" spans="1:7">
      <c r="A3860" t="s">
        <v>6221</v>
      </c>
      <c r="B3860" t="s">
        <v>8273</v>
      </c>
      <c r="C3860" t="s">
        <v>8394</v>
      </c>
      <c r="D3860" t="s">
        <v>8402</v>
      </c>
      <c r="E3860" t="s">
        <v>8444</v>
      </c>
      <c r="F3860" t="s">
        <v>8449</v>
      </c>
      <c r="G3860" t="s">
        <v>8455</v>
      </c>
    </row>
    <row r="3861" spans="1:7">
      <c r="A3861" t="s">
        <v>6222</v>
      </c>
      <c r="C3861" t="s">
        <v>8397</v>
      </c>
      <c r="D3861" t="s">
        <v>8412</v>
      </c>
      <c r="E3861" t="s">
        <v>8444</v>
      </c>
      <c r="F3861" t="s">
        <v>8450</v>
      </c>
    </row>
    <row r="3862" spans="1:7">
      <c r="A3862" t="s">
        <v>6223</v>
      </c>
      <c r="C3862" t="s">
        <v>8397</v>
      </c>
      <c r="D3862" t="s">
        <v>8408</v>
      </c>
      <c r="E3862" t="s">
        <v>8445</v>
      </c>
      <c r="F3862" t="s">
        <v>8450</v>
      </c>
    </row>
    <row r="3863" spans="1:7">
      <c r="A3863" t="s">
        <v>6224</v>
      </c>
      <c r="C3863" t="s">
        <v>8394</v>
      </c>
      <c r="D3863" t="s">
        <v>8401</v>
      </c>
      <c r="E3863" t="s">
        <v>8445</v>
      </c>
      <c r="F3863" t="s">
        <v>8450</v>
      </c>
      <c r="G3863" t="s">
        <v>9116</v>
      </c>
    </row>
    <row r="3864" spans="1:7">
      <c r="A3864" t="s">
        <v>6225</v>
      </c>
      <c r="B3864" t="s">
        <v>8273</v>
      </c>
      <c r="C3864" t="s">
        <v>8394</v>
      </c>
      <c r="D3864" t="s">
        <v>8401</v>
      </c>
      <c r="E3864" t="s">
        <v>8445</v>
      </c>
      <c r="F3864" t="s">
        <v>8448</v>
      </c>
      <c r="G3864" t="s">
        <v>8453</v>
      </c>
    </row>
    <row r="3865" spans="1:7">
      <c r="A3865" t="s">
        <v>6226</v>
      </c>
      <c r="B3865" t="s">
        <v>8323</v>
      </c>
      <c r="C3865" t="s">
        <v>8397</v>
      </c>
      <c r="D3865" t="s">
        <v>8418</v>
      </c>
      <c r="E3865" t="s">
        <v>8444</v>
      </c>
      <c r="F3865" t="s">
        <v>8448</v>
      </c>
      <c r="G3865" t="s">
        <v>8455</v>
      </c>
    </row>
    <row r="3866" spans="1:7">
      <c r="A3866" t="s">
        <v>6227</v>
      </c>
      <c r="B3866" t="s">
        <v>8273</v>
      </c>
      <c r="C3866" t="s">
        <v>8394</v>
      </c>
      <c r="D3866" t="s">
        <v>8427</v>
      </c>
      <c r="E3866" t="s">
        <v>8446</v>
      </c>
      <c r="F3866" t="s">
        <v>8449</v>
      </c>
      <c r="G3866" t="s">
        <v>8455</v>
      </c>
    </row>
    <row r="3867" spans="1:7">
      <c r="A3867" t="s">
        <v>6228</v>
      </c>
      <c r="C3867" t="s">
        <v>8396</v>
      </c>
      <c r="D3867" t="s">
        <v>8420</v>
      </c>
      <c r="E3867" t="s">
        <v>1519</v>
      </c>
      <c r="F3867" t="s">
        <v>8449</v>
      </c>
      <c r="G3867" t="s">
        <v>8475</v>
      </c>
    </row>
    <row r="3868" spans="1:7">
      <c r="A3868" t="s">
        <v>6229</v>
      </c>
      <c r="B3868" t="s">
        <v>8273</v>
      </c>
      <c r="C3868" t="s">
        <v>8398</v>
      </c>
      <c r="D3868" t="s">
        <v>8410</v>
      </c>
      <c r="E3868" t="s">
        <v>8444</v>
      </c>
      <c r="F3868" t="s">
        <v>8447</v>
      </c>
      <c r="G3868" t="s">
        <v>9117</v>
      </c>
    </row>
    <row r="3869" spans="1:7">
      <c r="A3869" t="s">
        <v>6230</v>
      </c>
      <c r="C3869" t="s">
        <v>8393</v>
      </c>
      <c r="D3869" t="s">
        <v>8393</v>
      </c>
      <c r="E3869" t="s">
        <v>919</v>
      </c>
      <c r="F3869" t="s">
        <v>8393</v>
      </c>
    </row>
    <row r="3870" spans="1:7">
      <c r="A3870" t="s">
        <v>6231</v>
      </c>
      <c r="B3870" t="s">
        <v>8273</v>
      </c>
      <c r="C3870" t="s">
        <v>8396</v>
      </c>
      <c r="D3870" t="s">
        <v>8405</v>
      </c>
      <c r="E3870" t="s">
        <v>8445</v>
      </c>
      <c r="F3870" t="s">
        <v>8449</v>
      </c>
      <c r="G3870" t="s">
        <v>8455</v>
      </c>
    </row>
    <row r="3871" spans="1:7">
      <c r="A3871" t="s">
        <v>6232</v>
      </c>
      <c r="B3871" t="s">
        <v>8273</v>
      </c>
      <c r="C3871" t="s">
        <v>8396</v>
      </c>
      <c r="D3871" t="s">
        <v>8405</v>
      </c>
      <c r="E3871" t="s">
        <v>1519</v>
      </c>
      <c r="F3871" t="s">
        <v>8449</v>
      </c>
      <c r="G3871" t="s">
        <v>8455</v>
      </c>
    </row>
    <row r="3872" spans="1:7">
      <c r="A3872" t="s">
        <v>6233</v>
      </c>
      <c r="B3872" t="s">
        <v>8273</v>
      </c>
      <c r="C3872" t="s">
        <v>8396</v>
      </c>
      <c r="D3872" t="s">
        <v>8425</v>
      </c>
      <c r="E3872" t="s">
        <v>8445</v>
      </c>
      <c r="F3872" t="s">
        <v>8449</v>
      </c>
      <c r="G3872" t="s">
        <v>8455</v>
      </c>
    </row>
    <row r="3873" spans="1:7">
      <c r="A3873" t="s">
        <v>6234</v>
      </c>
      <c r="B3873" t="s">
        <v>8273</v>
      </c>
      <c r="C3873" t="s">
        <v>8395</v>
      </c>
      <c r="D3873" t="s">
        <v>8400</v>
      </c>
      <c r="E3873" t="s">
        <v>8446</v>
      </c>
      <c r="F3873" t="s">
        <v>8448</v>
      </c>
      <c r="G3873" t="s">
        <v>8455</v>
      </c>
    </row>
    <row r="3874" spans="1:7">
      <c r="A3874" t="s">
        <v>6235</v>
      </c>
      <c r="C3874" t="s">
        <v>8395</v>
      </c>
      <c r="D3874" t="s">
        <v>8400</v>
      </c>
      <c r="E3874" t="s">
        <v>1519</v>
      </c>
      <c r="F3874" t="s">
        <v>8448</v>
      </c>
      <c r="G3874" t="s">
        <v>8455</v>
      </c>
    </row>
    <row r="3875" spans="1:7">
      <c r="A3875" t="s">
        <v>6236</v>
      </c>
      <c r="B3875" t="s">
        <v>8344</v>
      </c>
      <c r="C3875" t="s">
        <v>8395</v>
      </c>
      <c r="D3875" t="s">
        <v>8422</v>
      </c>
      <c r="E3875" t="s">
        <v>8445</v>
      </c>
      <c r="F3875" t="s">
        <v>8448</v>
      </c>
      <c r="G3875" t="s">
        <v>8455</v>
      </c>
    </row>
    <row r="3876" spans="1:7">
      <c r="A3876" t="s">
        <v>6237</v>
      </c>
      <c r="B3876" t="s">
        <v>8344</v>
      </c>
      <c r="C3876" t="s">
        <v>8395</v>
      </c>
      <c r="D3876" t="s">
        <v>8422</v>
      </c>
      <c r="E3876" t="s">
        <v>8445</v>
      </c>
      <c r="F3876" t="s">
        <v>8448</v>
      </c>
      <c r="G3876" t="s">
        <v>8455</v>
      </c>
    </row>
    <row r="3877" spans="1:7">
      <c r="A3877" t="s">
        <v>6238</v>
      </c>
      <c r="C3877" t="s">
        <v>8394</v>
      </c>
      <c r="D3877" t="s">
        <v>8416</v>
      </c>
      <c r="E3877" t="s">
        <v>8444</v>
      </c>
      <c r="F3877" t="s">
        <v>8449</v>
      </c>
      <c r="G3877" t="s">
        <v>8453</v>
      </c>
    </row>
    <row r="3878" spans="1:7">
      <c r="A3878" t="s">
        <v>6239</v>
      </c>
      <c r="B3878" t="s">
        <v>8273</v>
      </c>
      <c r="C3878" t="s">
        <v>8395</v>
      </c>
      <c r="D3878" t="s">
        <v>8417</v>
      </c>
      <c r="E3878" t="s">
        <v>8444</v>
      </c>
      <c r="F3878" t="s">
        <v>8449</v>
      </c>
      <c r="G3878" t="s">
        <v>8455</v>
      </c>
    </row>
    <row r="3879" spans="1:7">
      <c r="A3879" t="s">
        <v>6240</v>
      </c>
      <c r="B3879" t="s">
        <v>8273</v>
      </c>
      <c r="C3879" t="s">
        <v>8392</v>
      </c>
      <c r="D3879" t="s">
        <v>8400</v>
      </c>
      <c r="E3879" t="s">
        <v>1519</v>
      </c>
      <c r="F3879" t="s">
        <v>8449</v>
      </c>
      <c r="G3879" t="s">
        <v>8455</v>
      </c>
    </row>
    <row r="3880" spans="1:7">
      <c r="A3880" t="s">
        <v>6241</v>
      </c>
      <c r="B3880" t="s">
        <v>8273</v>
      </c>
      <c r="C3880" t="s">
        <v>8394</v>
      </c>
      <c r="D3880" t="s">
        <v>8413</v>
      </c>
      <c r="E3880" t="s">
        <v>8445</v>
      </c>
      <c r="F3880" t="s">
        <v>8448</v>
      </c>
      <c r="G3880" t="s">
        <v>795</v>
      </c>
    </row>
    <row r="3881" spans="1:7">
      <c r="A3881" t="s">
        <v>6242</v>
      </c>
      <c r="B3881" t="s">
        <v>8273</v>
      </c>
      <c r="C3881" t="s">
        <v>8396</v>
      </c>
      <c r="D3881" t="s">
        <v>8411</v>
      </c>
      <c r="E3881" t="s">
        <v>8446</v>
      </c>
      <c r="F3881" t="s">
        <v>8449</v>
      </c>
      <c r="G3881" t="s">
        <v>9118</v>
      </c>
    </row>
    <row r="3882" spans="1:7">
      <c r="A3882" t="s">
        <v>6243</v>
      </c>
      <c r="C3882" t="s">
        <v>8394</v>
      </c>
      <c r="D3882" t="s">
        <v>8413</v>
      </c>
      <c r="E3882" t="s">
        <v>8445</v>
      </c>
      <c r="F3882" t="s">
        <v>8448</v>
      </c>
      <c r="G3882" t="s">
        <v>9119</v>
      </c>
    </row>
    <row r="3883" spans="1:7">
      <c r="A3883" t="s">
        <v>6244</v>
      </c>
      <c r="C3883" t="s">
        <v>8392</v>
      </c>
      <c r="D3883" t="s">
        <v>8400</v>
      </c>
      <c r="E3883" t="s">
        <v>1519</v>
      </c>
      <c r="F3883" t="s">
        <v>8449</v>
      </c>
      <c r="G3883" t="s">
        <v>795</v>
      </c>
    </row>
    <row r="3884" spans="1:7">
      <c r="A3884" t="s">
        <v>6245</v>
      </c>
      <c r="C3884" t="s">
        <v>8393</v>
      </c>
      <c r="D3884" t="s">
        <v>8393</v>
      </c>
      <c r="E3884" t="s">
        <v>919</v>
      </c>
      <c r="F3884" t="s">
        <v>8393</v>
      </c>
    </row>
    <row r="3885" spans="1:7">
      <c r="A3885" t="s">
        <v>6246</v>
      </c>
      <c r="C3885" t="s">
        <v>8394</v>
      </c>
      <c r="D3885" t="s">
        <v>8401</v>
      </c>
      <c r="E3885" t="s">
        <v>8445</v>
      </c>
      <c r="F3885" t="s">
        <v>8448</v>
      </c>
      <c r="G3885" t="s">
        <v>9120</v>
      </c>
    </row>
    <row r="3886" spans="1:7">
      <c r="A3886" t="s">
        <v>6247</v>
      </c>
      <c r="C3886" t="s">
        <v>8394</v>
      </c>
      <c r="D3886" t="s">
        <v>8401</v>
      </c>
      <c r="E3886" t="s">
        <v>8445</v>
      </c>
      <c r="F3886" t="s">
        <v>8448</v>
      </c>
      <c r="G3886" t="s">
        <v>9120</v>
      </c>
    </row>
    <row r="3887" spans="1:7">
      <c r="A3887" t="s">
        <v>6248</v>
      </c>
      <c r="C3887" t="s">
        <v>8394</v>
      </c>
      <c r="D3887" t="s">
        <v>8401</v>
      </c>
      <c r="E3887" t="s">
        <v>8445</v>
      </c>
      <c r="F3887" t="s">
        <v>8448</v>
      </c>
      <c r="G3887" t="s">
        <v>9120</v>
      </c>
    </row>
    <row r="3888" spans="1:7">
      <c r="A3888" t="s">
        <v>6249</v>
      </c>
      <c r="C3888" t="s">
        <v>8394</v>
      </c>
      <c r="D3888" t="s">
        <v>8401</v>
      </c>
      <c r="E3888" t="s">
        <v>8445</v>
      </c>
      <c r="F3888" t="s">
        <v>8448</v>
      </c>
      <c r="G3888" t="s">
        <v>9120</v>
      </c>
    </row>
    <row r="3889" spans="1:7">
      <c r="A3889" t="s">
        <v>6250</v>
      </c>
      <c r="C3889" t="s">
        <v>8394</v>
      </c>
      <c r="D3889" t="s">
        <v>8401</v>
      </c>
      <c r="E3889" t="s">
        <v>8445</v>
      </c>
      <c r="F3889" t="s">
        <v>8448</v>
      </c>
      <c r="G3889" t="s">
        <v>9120</v>
      </c>
    </row>
    <row r="3890" spans="1:7">
      <c r="A3890" t="s">
        <v>6251</v>
      </c>
      <c r="C3890" t="s">
        <v>8394</v>
      </c>
      <c r="D3890" t="s">
        <v>8401</v>
      </c>
      <c r="E3890" t="s">
        <v>8445</v>
      </c>
      <c r="F3890" t="s">
        <v>8448</v>
      </c>
      <c r="G3890" t="s">
        <v>9120</v>
      </c>
    </row>
    <row r="3891" spans="1:7">
      <c r="A3891" t="s">
        <v>6252</v>
      </c>
      <c r="C3891" t="s">
        <v>8394</v>
      </c>
      <c r="D3891" t="s">
        <v>8401</v>
      </c>
      <c r="E3891" t="s">
        <v>8445</v>
      </c>
      <c r="F3891" t="s">
        <v>8448</v>
      </c>
      <c r="G3891" t="s">
        <v>9120</v>
      </c>
    </row>
    <row r="3892" spans="1:7">
      <c r="A3892" t="s">
        <v>6253</v>
      </c>
      <c r="C3892" t="s">
        <v>8394</v>
      </c>
      <c r="D3892" t="s">
        <v>8401</v>
      </c>
      <c r="E3892" t="s">
        <v>8445</v>
      </c>
      <c r="F3892" t="s">
        <v>8448</v>
      </c>
      <c r="G3892" t="s">
        <v>9120</v>
      </c>
    </row>
    <row r="3893" spans="1:7">
      <c r="A3893" t="s">
        <v>6254</v>
      </c>
      <c r="C3893" t="s">
        <v>8394</v>
      </c>
      <c r="D3893" t="s">
        <v>8401</v>
      </c>
      <c r="E3893" t="s">
        <v>8445</v>
      </c>
      <c r="F3893" t="s">
        <v>8448</v>
      </c>
      <c r="G3893" t="s">
        <v>9120</v>
      </c>
    </row>
    <row r="3894" spans="1:7">
      <c r="A3894" t="s">
        <v>6255</v>
      </c>
      <c r="C3894" t="s">
        <v>8394</v>
      </c>
      <c r="D3894" t="s">
        <v>8401</v>
      </c>
      <c r="E3894" t="s">
        <v>8445</v>
      </c>
      <c r="F3894" t="s">
        <v>8448</v>
      </c>
      <c r="G3894" t="s">
        <v>9120</v>
      </c>
    </row>
    <row r="3895" spans="1:7">
      <c r="A3895" t="s">
        <v>6256</v>
      </c>
      <c r="C3895" t="s">
        <v>8394</v>
      </c>
      <c r="D3895" t="s">
        <v>8401</v>
      </c>
      <c r="E3895" t="s">
        <v>8445</v>
      </c>
      <c r="F3895" t="s">
        <v>8448</v>
      </c>
      <c r="G3895" t="s">
        <v>9120</v>
      </c>
    </row>
    <row r="3896" spans="1:7">
      <c r="A3896" t="s">
        <v>6257</v>
      </c>
      <c r="C3896" t="s">
        <v>8394</v>
      </c>
      <c r="D3896" t="s">
        <v>8401</v>
      </c>
      <c r="E3896" t="s">
        <v>8445</v>
      </c>
      <c r="F3896" t="s">
        <v>8448</v>
      </c>
      <c r="G3896" t="s">
        <v>9120</v>
      </c>
    </row>
    <row r="3897" spans="1:7">
      <c r="A3897" t="s">
        <v>6258</v>
      </c>
      <c r="C3897" t="s">
        <v>8394</v>
      </c>
      <c r="D3897" t="s">
        <v>8401</v>
      </c>
      <c r="E3897" t="s">
        <v>8445</v>
      </c>
      <c r="F3897" t="s">
        <v>8448</v>
      </c>
      <c r="G3897" t="s">
        <v>9120</v>
      </c>
    </row>
    <row r="3898" spans="1:7">
      <c r="A3898" t="s">
        <v>6259</v>
      </c>
      <c r="C3898" t="s">
        <v>8394</v>
      </c>
      <c r="D3898" t="s">
        <v>8401</v>
      </c>
      <c r="E3898" t="s">
        <v>8445</v>
      </c>
      <c r="F3898" t="s">
        <v>8448</v>
      </c>
      <c r="G3898" t="s">
        <v>9120</v>
      </c>
    </row>
    <row r="3899" spans="1:7">
      <c r="A3899" t="s">
        <v>6260</v>
      </c>
      <c r="C3899" t="s">
        <v>8394</v>
      </c>
      <c r="D3899" t="s">
        <v>8401</v>
      </c>
      <c r="E3899" t="s">
        <v>8445</v>
      </c>
      <c r="F3899" t="s">
        <v>8448</v>
      </c>
      <c r="G3899" t="s">
        <v>9120</v>
      </c>
    </row>
    <row r="3900" spans="1:7">
      <c r="A3900" t="s">
        <v>6261</v>
      </c>
      <c r="C3900" t="s">
        <v>8394</v>
      </c>
      <c r="D3900" t="s">
        <v>8401</v>
      </c>
      <c r="E3900" t="s">
        <v>8445</v>
      </c>
      <c r="F3900" t="s">
        <v>8448</v>
      </c>
      <c r="G3900" t="s">
        <v>9120</v>
      </c>
    </row>
    <row r="3901" spans="1:7">
      <c r="A3901" t="s">
        <v>6262</v>
      </c>
      <c r="C3901" t="s">
        <v>8394</v>
      </c>
      <c r="D3901" t="s">
        <v>8401</v>
      </c>
      <c r="E3901" t="s">
        <v>8445</v>
      </c>
      <c r="F3901" t="s">
        <v>8448</v>
      </c>
      <c r="G3901" t="s">
        <v>9120</v>
      </c>
    </row>
    <row r="3902" spans="1:7">
      <c r="A3902" t="s">
        <v>6263</v>
      </c>
      <c r="C3902" t="s">
        <v>8394</v>
      </c>
      <c r="D3902" t="s">
        <v>8401</v>
      </c>
      <c r="E3902" t="s">
        <v>8445</v>
      </c>
      <c r="F3902" t="s">
        <v>8448</v>
      </c>
      <c r="G3902" t="s">
        <v>9120</v>
      </c>
    </row>
    <row r="3903" spans="1:7">
      <c r="A3903" t="s">
        <v>6264</v>
      </c>
      <c r="C3903" t="s">
        <v>8394</v>
      </c>
      <c r="D3903" t="s">
        <v>8401</v>
      </c>
      <c r="E3903" t="s">
        <v>8445</v>
      </c>
      <c r="F3903" t="s">
        <v>8448</v>
      </c>
      <c r="G3903" t="s">
        <v>9120</v>
      </c>
    </row>
    <row r="3904" spans="1:7">
      <c r="A3904" t="s">
        <v>6265</v>
      </c>
      <c r="C3904" t="s">
        <v>8394</v>
      </c>
      <c r="D3904" t="s">
        <v>8401</v>
      </c>
      <c r="E3904" t="s">
        <v>8445</v>
      </c>
      <c r="F3904" t="s">
        <v>8448</v>
      </c>
      <c r="G3904" t="s">
        <v>9120</v>
      </c>
    </row>
    <row r="3905" spans="1:7">
      <c r="A3905" t="s">
        <v>6266</v>
      </c>
      <c r="C3905" t="s">
        <v>8394</v>
      </c>
      <c r="D3905" t="s">
        <v>8401</v>
      </c>
      <c r="E3905" t="s">
        <v>8445</v>
      </c>
      <c r="F3905" t="s">
        <v>8448</v>
      </c>
      <c r="G3905" t="s">
        <v>9120</v>
      </c>
    </row>
    <row r="3906" spans="1:7">
      <c r="A3906" t="s">
        <v>6267</v>
      </c>
      <c r="C3906" t="s">
        <v>8394</v>
      </c>
      <c r="D3906" t="s">
        <v>8401</v>
      </c>
      <c r="E3906" t="s">
        <v>8445</v>
      </c>
      <c r="F3906" t="s">
        <v>8448</v>
      </c>
      <c r="G3906" t="s">
        <v>9120</v>
      </c>
    </row>
    <row r="3907" spans="1:7">
      <c r="A3907" t="s">
        <v>6268</v>
      </c>
      <c r="C3907" t="s">
        <v>8394</v>
      </c>
      <c r="D3907" t="s">
        <v>8401</v>
      </c>
      <c r="E3907" t="s">
        <v>8445</v>
      </c>
      <c r="F3907" t="s">
        <v>8448</v>
      </c>
      <c r="G3907" t="s">
        <v>9120</v>
      </c>
    </row>
    <row r="3908" spans="1:7">
      <c r="A3908" t="s">
        <v>6269</v>
      </c>
      <c r="C3908" t="s">
        <v>8394</v>
      </c>
      <c r="D3908" t="s">
        <v>8401</v>
      </c>
      <c r="E3908" t="s">
        <v>8445</v>
      </c>
      <c r="F3908" t="s">
        <v>8448</v>
      </c>
      <c r="G3908" t="s">
        <v>9120</v>
      </c>
    </row>
    <row r="3909" spans="1:7">
      <c r="A3909" t="s">
        <v>6270</v>
      </c>
      <c r="C3909" t="s">
        <v>8394</v>
      </c>
      <c r="D3909" t="s">
        <v>8401</v>
      </c>
      <c r="E3909" t="s">
        <v>8445</v>
      </c>
      <c r="F3909" t="s">
        <v>8448</v>
      </c>
      <c r="G3909" t="s">
        <v>9120</v>
      </c>
    </row>
    <row r="3910" spans="1:7">
      <c r="A3910" t="s">
        <v>6271</v>
      </c>
      <c r="C3910" t="s">
        <v>8394</v>
      </c>
      <c r="D3910" t="s">
        <v>8401</v>
      </c>
      <c r="E3910" t="s">
        <v>8445</v>
      </c>
      <c r="F3910" t="s">
        <v>8448</v>
      </c>
      <c r="G3910" t="s">
        <v>9120</v>
      </c>
    </row>
    <row r="3911" spans="1:7">
      <c r="A3911" t="s">
        <v>6272</v>
      </c>
      <c r="C3911" t="s">
        <v>8394</v>
      </c>
      <c r="D3911" t="s">
        <v>8401</v>
      </c>
      <c r="E3911" t="s">
        <v>8445</v>
      </c>
      <c r="F3911" t="s">
        <v>8448</v>
      </c>
      <c r="G3911" t="s">
        <v>9120</v>
      </c>
    </row>
    <row r="3912" spans="1:7">
      <c r="A3912" t="s">
        <v>6273</v>
      </c>
      <c r="C3912" t="s">
        <v>8394</v>
      </c>
      <c r="D3912" t="s">
        <v>8401</v>
      </c>
      <c r="E3912" t="s">
        <v>8445</v>
      </c>
      <c r="F3912" t="s">
        <v>8448</v>
      </c>
      <c r="G3912" t="s">
        <v>9120</v>
      </c>
    </row>
    <row r="3913" spans="1:7">
      <c r="A3913" t="s">
        <v>6274</v>
      </c>
      <c r="C3913" t="s">
        <v>8394</v>
      </c>
      <c r="D3913" t="s">
        <v>8401</v>
      </c>
      <c r="E3913" t="s">
        <v>8445</v>
      </c>
      <c r="F3913" t="s">
        <v>8448</v>
      </c>
      <c r="G3913" t="s">
        <v>9120</v>
      </c>
    </row>
    <row r="3914" spans="1:7">
      <c r="A3914" t="s">
        <v>6275</v>
      </c>
      <c r="C3914" t="s">
        <v>8394</v>
      </c>
      <c r="D3914" t="s">
        <v>8401</v>
      </c>
      <c r="E3914" t="s">
        <v>8445</v>
      </c>
      <c r="F3914" t="s">
        <v>8448</v>
      </c>
      <c r="G3914" t="s">
        <v>9120</v>
      </c>
    </row>
    <row r="3915" spans="1:7">
      <c r="A3915" t="s">
        <v>6276</v>
      </c>
      <c r="C3915" t="s">
        <v>8394</v>
      </c>
      <c r="D3915" t="s">
        <v>8401</v>
      </c>
      <c r="E3915" t="s">
        <v>8445</v>
      </c>
      <c r="F3915" t="s">
        <v>8448</v>
      </c>
      <c r="G3915" t="s">
        <v>9120</v>
      </c>
    </row>
    <row r="3916" spans="1:7">
      <c r="A3916" t="s">
        <v>6277</v>
      </c>
      <c r="C3916" t="s">
        <v>8394</v>
      </c>
      <c r="D3916" t="s">
        <v>8401</v>
      </c>
      <c r="E3916" t="s">
        <v>8445</v>
      </c>
      <c r="F3916" t="s">
        <v>8448</v>
      </c>
      <c r="G3916" t="s">
        <v>9120</v>
      </c>
    </row>
    <row r="3917" spans="1:7">
      <c r="A3917" t="s">
        <v>6278</v>
      </c>
      <c r="C3917" t="s">
        <v>8394</v>
      </c>
      <c r="D3917" t="s">
        <v>8401</v>
      </c>
      <c r="E3917" t="s">
        <v>8445</v>
      </c>
      <c r="F3917" t="s">
        <v>8448</v>
      </c>
      <c r="G3917" t="s">
        <v>9120</v>
      </c>
    </row>
    <row r="3918" spans="1:7">
      <c r="A3918" t="s">
        <v>6279</v>
      </c>
      <c r="C3918" t="s">
        <v>8394</v>
      </c>
      <c r="D3918" t="s">
        <v>8401</v>
      </c>
      <c r="E3918" t="s">
        <v>8445</v>
      </c>
      <c r="F3918" t="s">
        <v>8448</v>
      </c>
      <c r="G3918" t="s">
        <v>9120</v>
      </c>
    </row>
    <row r="3919" spans="1:7">
      <c r="A3919" t="s">
        <v>6280</v>
      </c>
      <c r="C3919" t="s">
        <v>8394</v>
      </c>
      <c r="D3919" t="s">
        <v>8401</v>
      </c>
      <c r="E3919" t="s">
        <v>8445</v>
      </c>
      <c r="F3919" t="s">
        <v>8448</v>
      </c>
      <c r="G3919" t="s">
        <v>9120</v>
      </c>
    </row>
    <row r="3920" spans="1:7">
      <c r="A3920" t="s">
        <v>6281</v>
      </c>
      <c r="C3920" t="s">
        <v>8394</v>
      </c>
      <c r="D3920" t="s">
        <v>8401</v>
      </c>
      <c r="E3920" t="s">
        <v>8445</v>
      </c>
      <c r="F3920" t="s">
        <v>8448</v>
      </c>
      <c r="G3920" t="s">
        <v>9120</v>
      </c>
    </row>
    <row r="3921" spans="1:7">
      <c r="A3921" t="s">
        <v>6282</v>
      </c>
      <c r="C3921" t="s">
        <v>8394</v>
      </c>
      <c r="D3921" t="s">
        <v>8401</v>
      </c>
      <c r="E3921" t="s">
        <v>8445</v>
      </c>
      <c r="F3921" t="s">
        <v>8448</v>
      </c>
      <c r="G3921" t="s">
        <v>9120</v>
      </c>
    </row>
    <row r="3922" spans="1:7">
      <c r="A3922" t="s">
        <v>6283</v>
      </c>
      <c r="C3922" t="s">
        <v>8394</v>
      </c>
      <c r="D3922" t="s">
        <v>8401</v>
      </c>
      <c r="E3922" t="s">
        <v>8445</v>
      </c>
      <c r="F3922" t="s">
        <v>8448</v>
      </c>
      <c r="G3922" t="s">
        <v>9120</v>
      </c>
    </row>
    <row r="3923" spans="1:7">
      <c r="A3923" t="s">
        <v>6284</v>
      </c>
      <c r="C3923" t="s">
        <v>8394</v>
      </c>
      <c r="D3923" t="s">
        <v>8401</v>
      </c>
      <c r="E3923" t="s">
        <v>8445</v>
      </c>
      <c r="F3923" t="s">
        <v>8448</v>
      </c>
      <c r="G3923" t="s">
        <v>9120</v>
      </c>
    </row>
    <row r="3924" spans="1:7">
      <c r="A3924" t="s">
        <v>6285</v>
      </c>
      <c r="C3924" t="s">
        <v>8394</v>
      </c>
      <c r="D3924" t="s">
        <v>8401</v>
      </c>
      <c r="E3924" t="s">
        <v>8445</v>
      </c>
      <c r="F3924" t="s">
        <v>8448</v>
      </c>
      <c r="G3924" t="s">
        <v>9120</v>
      </c>
    </row>
    <row r="3925" spans="1:7">
      <c r="A3925" t="s">
        <v>6286</v>
      </c>
      <c r="C3925" t="s">
        <v>8394</v>
      </c>
      <c r="D3925" t="s">
        <v>8401</v>
      </c>
      <c r="E3925" t="s">
        <v>8445</v>
      </c>
      <c r="F3925" t="s">
        <v>8448</v>
      </c>
      <c r="G3925" t="s">
        <v>9120</v>
      </c>
    </row>
    <row r="3926" spans="1:7">
      <c r="A3926" t="s">
        <v>6287</v>
      </c>
      <c r="C3926" t="s">
        <v>8394</v>
      </c>
      <c r="D3926" t="s">
        <v>8401</v>
      </c>
      <c r="E3926" t="s">
        <v>8445</v>
      </c>
      <c r="F3926" t="s">
        <v>8448</v>
      </c>
      <c r="G3926" t="s">
        <v>9120</v>
      </c>
    </row>
    <row r="3927" spans="1:7">
      <c r="A3927" t="s">
        <v>6288</v>
      </c>
      <c r="C3927" t="s">
        <v>8394</v>
      </c>
      <c r="D3927" t="s">
        <v>8401</v>
      </c>
      <c r="E3927" t="s">
        <v>8445</v>
      </c>
      <c r="F3927" t="s">
        <v>8448</v>
      </c>
      <c r="G3927" t="s">
        <v>9120</v>
      </c>
    </row>
    <row r="3928" spans="1:7">
      <c r="A3928" t="s">
        <v>6289</v>
      </c>
      <c r="C3928" t="s">
        <v>8394</v>
      </c>
      <c r="D3928" t="s">
        <v>8401</v>
      </c>
      <c r="E3928" t="s">
        <v>8445</v>
      </c>
      <c r="F3928" t="s">
        <v>8448</v>
      </c>
      <c r="G3928" t="s">
        <v>9120</v>
      </c>
    </row>
    <row r="3929" spans="1:7">
      <c r="A3929" t="s">
        <v>6290</v>
      </c>
      <c r="C3929" t="s">
        <v>8394</v>
      </c>
      <c r="D3929" t="s">
        <v>8401</v>
      </c>
      <c r="E3929" t="s">
        <v>8445</v>
      </c>
      <c r="F3929" t="s">
        <v>8448</v>
      </c>
      <c r="G3929" t="s">
        <v>9120</v>
      </c>
    </row>
    <row r="3930" spans="1:7">
      <c r="A3930" t="s">
        <v>6291</v>
      </c>
      <c r="B3930" t="s">
        <v>8273</v>
      </c>
      <c r="C3930" t="s">
        <v>8394</v>
      </c>
      <c r="D3930" t="s">
        <v>8401</v>
      </c>
      <c r="E3930" t="s">
        <v>8445</v>
      </c>
      <c r="F3930" t="s">
        <v>8449</v>
      </c>
      <c r="G3930" t="s">
        <v>8455</v>
      </c>
    </row>
    <row r="3931" spans="1:7">
      <c r="A3931" t="s">
        <v>6292</v>
      </c>
      <c r="C3931" t="s">
        <v>8394</v>
      </c>
      <c r="D3931" t="s">
        <v>8401</v>
      </c>
      <c r="E3931" t="s">
        <v>8445</v>
      </c>
      <c r="F3931" t="s">
        <v>8448</v>
      </c>
      <c r="G3931" t="s">
        <v>9121</v>
      </c>
    </row>
    <row r="3932" spans="1:7">
      <c r="A3932" t="s">
        <v>6293</v>
      </c>
      <c r="C3932" t="s">
        <v>8394</v>
      </c>
      <c r="D3932" t="s">
        <v>8401</v>
      </c>
      <c r="E3932" t="s">
        <v>8445</v>
      </c>
      <c r="F3932" t="s">
        <v>8448</v>
      </c>
      <c r="G3932" t="s">
        <v>9122</v>
      </c>
    </row>
    <row r="3933" spans="1:7">
      <c r="A3933" t="s">
        <v>6294</v>
      </c>
      <c r="C3933" t="s">
        <v>8393</v>
      </c>
      <c r="D3933" t="s">
        <v>8393</v>
      </c>
      <c r="E3933" t="s">
        <v>919</v>
      </c>
      <c r="F3933" t="s">
        <v>8393</v>
      </c>
    </row>
    <row r="3934" spans="1:7">
      <c r="A3934" t="s">
        <v>6295</v>
      </c>
      <c r="B3934" t="s">
        <v>8273</v>
      </c>
      <c r="C3934" t="s">
        <v>8395</v>
      </c>
      <c r="D3934" t="s">
        <v>8400</v>
      </c>
      <c r="E3934" t="s">
        <v>8446</v>
      </c>
      <c r="F3934" t="s">
        <v>8449</v>
      </c>
      <c r="G3934" t="s">
        <v>8455</v>
      </c>
    </row>
    <row r="3935" spans="1:7">
      <c r="A3935" t="s">
        <v>6296</v>
      </c>
      <c r="B3935" t="s">
        <v>8285</v>
      </c>
      <c r="C3935" t="s">
        <v>8392</v>
      </c>
      <c r="D3935" t="s">
        <v>8400</v>
      </c>
      <c r="E3935" t="s">
        <v>8446</v>
      </c>
      <c r="F3935" t="s">
        <v>8449</v>
      </c>
      <c r="G3935" t="s">
        <v>8455</v>
      </c>
    </row>
    <row r="3936" spans="1:7">
      <c r="A3936" t="s">
        <v>6297</v>
      </c>
      <c r="B3936" t="s">
        <v>8277</v>
      </c>
      <c r="C3936" t="s">
        <v>8395</v>
      </c>
      <c r="D3936" t="s">
        <v>8400</v>
      </c>
      <c r="E3936" t="s">
        <v>8446</v>
      </c>
      <c r="F3936" t="s">
        <v>8449</v>
      </c>
      <c r="G3936" t="s">
        <v>8455</v>
      </c>
    </row>
    <row r="3937" spans="1:7">
      <c r="A3937" t="s">
        <v>6298</v>
      </c>
      <c r="B3937" t="s">
        <v>8273</v>
      </c>
      <c r="C3937" t="s">
        <v>8395</v>
      </c>
      <c r="D3937" t="s">
        <v>8417</v>
      </c>
      <c r="E3937" t="s">
        <v>8445</v>
      </c>
      <c r="F3937" t="s">
        <v>8449</v>
      </c>
      <c r="G3937" t="s">
        <v>8455</v>
      </c>
    </row>
    <row r="3938" spans="1:7">
      <c r="A3938" t="s">
        <v>6299</v>
      </c>
      <c r="B3938" t="s">
        <v>8273</v>
      </c>
      <c r="C3938" t="s">
        <v>8395</v>
      </c>
      <c r="D3938" t="s">
        <v>8403</v>
      </c>
      <c r="E3938" t="s">
        <v>8446</v>
      </c>
      <c r="F3938" t="s">
        <v>8449</v>
      </c>
      <c r="G3938" t="s">
        <v>796</v>
      </c>
    </row>
    <row r="3939" spans="1:7">
      <c r="A3939" t="s">
        <v>6300</v>
      </c>
      <c r="B3939" t="s">
        <v>8273</v>
      </c>
      <c r="C3939" t="s">
        <v>8395</v>
      </c>
      <c r="D3939" t="s">
        <v>8402</v>
      </c>
      <c r="E3939" t="s">
        <v>8446</v>
      </c>
      <c r="F3939" t="s">
        <v>8449</v>
      </c>
      <c r="G3939" t="s">
        <v>8455</v>
      </c>
    </row>
    <row r="3940" spans="1:7">
      <c r="A3940" t="s">
        <v>6301</v>
      </c>
      <c r="B3940" t="s">
        <v>8273</v>
      </c>
      <c r="C3940" t="s">
        <v>8398</v>
      </c>
      <c r="D3940" t="s">
        <v>8409</v>
      </c>
      <c r="E3940" t="s">
        <v>8444</v>
      </c>
      <c r="F3940" t="s">
        <v>8448</v>
      </c>
      <c r="G3940" t="s">
        <v>8519</v>
      </c>
    </row>
    <row r="3941" spans="1:7">
      <c r="A3941" t="s">
        <v>6302</v>
      </c>
      <c r="B3941" t="s">
        <v>8273</v>
      </c>
      <c r="C3941" t="s">
        <v>8398</v>
      </c>
      <c r="D3941" t="s">
        <v>8419</v>
      </c>
      <c r="E3941" t="s">
        <v>8446</v>
      </c>
      <c r="F3941" t="s">
        <v>8449</v>
      </c>
      <c r="G3941" t="s">
        <v>8475</v>
      </c>
    </row>
    <row r="3942" spans="1:7">
      <c r="A3942" t="s">
        <v>6303</v>
      </c>
      <c r="B3942" t="s">
        <v>8273</v>
      </c>
      <c r="C3942" t="s">
        <v>8394</v>
      </c>
      <c r="D3942" t="s">
        <v>8414</v>
      </c>
      <c r="E3942" t="s">
        <v>8445</v>
      </c>
      <c r="F3942" t="s">
        <v>8448</v>
      </c>
      <c r="G3942" t="s">
        <v>8455</v>
      </c>
    </row>
    <row r="3943" spans="1:7">
      <c r="A3943" t="s">
        <v>6304</v>
      </c>
      <c r="B3943" t="s">
        <v>8273</v>
      </c>
      <c r="C3943" t="s">
        <v>8396</v>
      </c>
      <c r="D3943" t="s">
        <v>8411</v>
      </c>
      <c r="E3943" t="s">
        <v>8446</v>
      </c>
      <c r="F3943" t="s">
        <v>8447</v>
      </c>
      <c r="G3943" t="s">
        <v>8463</v>
      </c>
    </row>
    <row r="3944" spans="1:7">
      <c r="A3944" t="s">
        <v>6305</v>
      </c>
      <c r="B3944" t="s">
        <v>8273</v>
      </c>
      <c r="C3944" t="s">
        <v>8398</v>
      </c>
      <c r="D3944" t="s">
        <v>8419</v>
      </c>
      <c r="E3944" t="s">
        <v>8446</v>
      </c>
      <c r="F3944" t="s">
        <v>8449</v>
      </c>
      <c r="G3944" t="s">
        <v>8453</v>
      </c>
    </row>
    <row r="3945" spans="1:7">
      <c r="A3945" t="s">
        <v>6306</v>
      </c>
      <c r="C3945" t="s">
        <v>8393</v>
      </c>
      <c r="D3945" t="s">
        <v>8393</v>
      </c>
      <c r="E3945" t="s">
        <v>919</v>
      </c>
      <c r="F3945" t="s">
        <v>8393</v>
      </c>
    </row>
    <row r="3946" spans="1:7">
      <c r="A3946" t="s">
        <v>6307</v>
      </c>
      <c r="C3946" t="s">
        <v>8394</v>
      </c>
      <c r="D3946" t="s">
        <v>8401</v>
      </c>
      <c r="E3946" t="s">
        <v>8445</v>
      </c>
      <c r="F3946" t="s">
        <v>8448</v>
      </c>
      <c r="G3946" t="s">
        <v>8453</v>
      </c>
    </row>
    <row r="3947" spans="1:7">
      <c r="A3947" t="s">
        <v>6308</v>
      </c>
      <c r="C3947" t="s">
        <v>8394</v>
      </c>
      <c r="D3947" t="s">
        <v>8401</v>
      </c>
      <c r="E3947" t="s">
        <v>8445</v>
      </c>
      <c r="F3947" t="s">
        <v>8448</v>
      </c>
      <c r="G3947" t="s">
        <v>8453</v>
      </c>
    </row>
    <row r="3948" spans="1:7">
      <c r="A3948" t="s">
        <v>6309</v>
      </c>
      <c r="C3948" t="s">
        <v>8394</v>
      </c>
      <c r="D3948" t="s">
        <v>8401</v>
      </c>
      <c r="E3948" t="s">
        <v>8445</v>
      </c>
      <c r="F3948" t="s">
        <v>8448</v>
      </c>
      <c r="G3948" t="s">
        <v>8453</v>
      </c>
    </row>
    <row r="3949" spans="1:7">
      <c r="A3949" t="s">
        <v>6310</v>
      </c>
      <c r="C3949" t="s">
        <v>8394</v>
      </c>
      <c r="D3949" t="s">
        <v>8401</v>
      </c>
      <c r="E3949" t="s">
        <v>8445</v>
      </c>
      <c r="F3949" t="s">
        <v>8448</v>
      </c>
      <c r="G3949" t="s">
        <v>8453</v>
      </c>
    </row>
    <row r="3950" spans="1:7">
      <c r="A3950" t="s">
        <v>6311</v>
      </c>
      <c r="C3950" t="s">
        <v>8394</v>
      </c>
      <c r="D3950" t="s">
        <v>8401</v>
      </c>
      <c r="E3950" t="s">
        <v>8445</v>
      </c>
      <c r="F3950" t="s">
        <v>8448</v>
      </c>
      <c r="G3950" t="s">
        <v>8453</v>
      </c>
    </row>
    <row r="3951" spans="1:7">
      <c r="A3951" t="s">
        <v>6312</v>
      </c>
      <c r="C3951" t="s">
        <v>8394</v>
      </c>
      <c r="D3951" t="s">
        <v>8401</v>
      </c>
      <c r="E3951" t="s">
        <v>8445</v>
      </c>
      <c r="F3951" t="s">
        <v>8448</v>
      </c>
      <c r="G3951" t="s">
        <v>8453</v>
      </c>
    </row>
    <row r="3952" spans="1:7">
      <c r="A3952" t="s">
        <v>6313</v>
      </c>
      <c r="C3952" t="s">
        <v>8394</v>
      </c>
      <c r="D3952" t="s">
        <v>8401</v>
      </c>
      <c r="E3952" t="s">
        <v>8445</v>
      </c>
      <c r="F3952" t="s">
        <v>8448</v>
      </c>
      <c r="G3952" t="s">
        <v>8453</v>
      </c>
    </row>
    <row r="3953" spans="1:7">
      <c r="A3953" t="s">
        <v>6314</v>
      </c>
      <c r="C3953" t="s">
        <v>8393</v>
      </c>
      <c r="D3953" t="s">
        <v>8393</v>
      </c>
      <c r="E3953" t="s">
        <v>919</v>
      </c>
      <c r="F3953" t="s">
        <v>8393</v>
      </c>
    </row>
    <row r="3954" spans="1:7">
      <c r="A3954" t="s">
        <v>6315</v>
      </c>
      <c r="C3954" t="s">
        <v>8394</v>
      </c>
      <c r="D3954" t="s">
        <v>8401</v>
      </c>
      <c r="E3954" t="s">
        <v>8444</v>
      </c>
      <c r="F3954" t="s">
        <v>8448</v>
      </c>
      <c r="G3954" t="s">
        <v>8453</v>
      </c>
    </row>
    <row r="3955" spans="1:7">
      <c r="A3955" t="s">
        <v>6316</v>
      </c>
      <c r="C3955" t="s">
        <v>8394</v>
      </c>
      <c r="D3955" t="s">
        <v>8401</v>
      </c>
      <c r="E3955" t="s">
        <v>8444</v>
      </c>
      <c r="F3955" t="s">
        <v>8448</v>
      </c>
      <c r="G3955" t="s">
        <v>8453</v>
      </c>
    </row>
    <row r="3956" spans="1:7">
      <c r="A3956" t="s">
        <v>6317</v>
      </c>
      <c r="C3956" t="s">
        <v>8394</v>
      </c>
      <c r="D3956" t="s">
        <v>8401</v>
      </c>
      <c r="E3956" t="s">
        <v>8444</v>
      </c>
      <c r="F3956" t="s">
        <v>8448</v>
      </c>
      <c r="G3956" t="s">
        <v>8453</v>
      </c>
    </row>
    <row r="3957" spans="1:7">
      <c r="A3957" t="s">
        <v>6318</v>
      </c>
      <c r="C3957" t="s">
        <v>8394</v>
      </c>
      <c r="D3957" t="s">
        <v>8401</v>
      </c>
      <c r="E3957" t="s">
        <v>8444</v>
      </c>
      <c r="F3957" t="s">
        <v>8448</v>
      </c>
      <c r="G3957" t="s">
        <v>8453</v>
      </c>
    </row>
    <row r="3958" spans="1:7">
      <c r="A3958" t="s">
        <v>6319</v>
      </c>
      <c r="C3958" t="s">
        <v>8394</v>
      </c>
      <c r="D3958" t="s">
        <v>8401</v>
      </c>
      <c r="E3958" t="s">
        <v>8444</v>
      </c>
      <c r="F3958" t="s">
        <v>8448</v>
      </c>
      <c r="G3958" t="s">
        <v>8453</v>
      </c>
    </row>
    <row r="3959" spans="1:7">
      <c r="A3959" t="s">
        <v>6320</v>
      </c>
      <c r="C3959" t="s">
        <v>8394</v>
      </c>
      <c r="D3959" t="s">
        <v>8401</v>
      </c>
      <c r="E3959" t="s">
        <v>8444</v>
      </c>
      <c r="F3959" t="s">
        <v>8448</v>
      </c>
      <c r="G3959" t="s">
        <v>8453</v>
      </c>
    </row>
    <row r="3960" spans="1:7">
      <c r="A3960" t="s">
        <v>6321</v>
      </c>
      <c r="C3960" t="s">
        <v>8394</v>
      </c>
      <c r="D3960" t="s">
        <v>8401</v>
      </c>
      <c r="E3960" t="s">
        <v>8444</v>
      </c>
      <c r="F3960" t="s">
        <v>8448</v>
      </c>
      <c r="G3960" t="s">
        <v>8453</v>
      </c>
    </row>
    <row r="3961" spans="1:7">
      <c r="A3961" t="s">
        <v>6322</v>
      </c>
      <c r="C3961" t="s">
        <v>8394</v>
      </c>
      <c r="D3961" t="s">
        <v>8401</v>
      </c>
      <c r="E3961" t="s">
        <v>8444</v>
      </c>
      <c r="F3961" t="s">
        <v>8448</v>
      </c>
      <c r="G3961" t="s">
        <v>8453</v>
      </c>
    </row>
    <row r="3962" spans="1:7">
      <c r="A3962" t="s">
        <v>6323</v>
      </c>
      <c r="C3962" t="s">
        <v>8394</v>
      </c>
      <c r="D3962" t="s">
        <v>8401</v>
      </c>
      <c r="E3962" t="s">
        <v>8444</v>
      </c>
      <c r="F3962" t="s">
        <v>8448</v>
      </c>
      <c r="G3962" t="s">
        <v>8453</v>
      </c>
    </row>
    <row r="3963" spans="1:7">
      <c r="A3963" t="s">
        <v>6324</v>
      </c>
      <c r="C3963" t="s">
        <v>8394</v>
      </c>
      <c r="D3963" t="s">
        <v>8401</v>
      </c>
      <c r="E3963" t="s">
        <v>8444</v>
      </c>
      <c r="F3963" t="s">
        <v>8448</v>
      </c>
      <c r="G3963" t="s">
        <v>8453</v>
      </c>
    </row>
    <row r="3964" spans="1:7">
      <c r="A3964" t="s">
        <v>6325</v>
      </c>
      <c r="C3964" t="s">
        <v>8394</v>
      </c>
      <c r="D3964" t="s">
        <v>8401</v>
      </c>
      <c r="E3964" t="s">
        <v>8444</v>
      </c>
      <c r="F3964" t="s">
        <v>8448</v>
      </c>
      <c r="G3964" t="s">
        <v>8453</v>
      </c>
    </row>
    <row r="3965" spans="1:7">
      <c r="A3965" t="s">
        <v>6326</v>
      </c>
      <c r="C3965" t="s">
        <v>8394</v>
      </c>
      <c r="D3965" t="s">
        <v>8401</v>
      </c>
      <c r="E3965" t="s">
        <v>8444</v>
      </c>
      <c r="F3965" t="s">
        <v>8448</v>
      </c>
      <c r="G3965" t="s">
        <v>8453</v>
      </c>
    </row>
    <row r="3966" spans="1:7">
      <c r="A3966" t="s">
        <v>6327</v>
      </c>
      <c r="C3966" t="s">
        <v>8394</v>
      </c>
      <c r="D3966" t="s">
        <v>8401</v>
      </c>
      <c r="E3966" t="s">
        <v>8444</v>
      </c>
      <c r="F3966" t="s">
        <v>8448</v>
      </c>
      <c r="G3966" t="s">
        <v>8453</v>
      </c>
    </row>
    <row r="3967" spans="1:7">
      <c r="A3967" t="s">
        <v>6328</v>
      </c>
      <c r="C3967" t="s">
        <v>8394</v>
      </c>
      <c r="D3967" t="s">
        <v>8401</v>
      </c>
      <c r="E3967" t="s">
        <v>8444</v>
      </c>
      <c r="F3967" t="s">
        <v>8448</v>
      </c>
      <c r="G3967" t="s">
        <v>8453</v>
      </c>
    </row>
    <row r="3968" spans="1:7">
      <c r="A3968" t="s">
        <v>6329</v>
      </c>
      <c r="C3968" t="s">
        <v>8394</v>
      </c>
      <c r="D3968" t="s">
        <v>8401</v>
      </c>
      <c r="E3968" t="s">
        <v>8444</v>
      </c>
      <c r="F3968" t="s">
        <v>8448</v>
      </c>
      <c r="G3968" t="s">
        <v>8453</v>
      </c>
    </row>
    <row r="3969" spans="1:7">
      <c r="A3969" t="s">
        <v>6330</v>
      </c>
      <c r="C3969" t="s">
        <v>8394</v>
      </c>
      <c r="D3969" t="s">
        <v>8401</v>
      </c>
      <c r="E3969" t="s">
        <v>8444</v>
      </c>
      <c r="F3969" t="s">
        <v>8448</v>
      </c>
      <c r="G3969" t="s">
        <v>8453</v>
      </c>
    </row>
    <row r="3970" spans="1:7">
      <c r="A3970" t="s">
        <v>6331</v>
      </c>
      <c r="C3970" t="s">
        <v>8394</v>
      </c>
      <c r="D3970" t="s">
        <v>8401</v>
      </c>
      <c r="E3970" t="s">
        <v>8444</v>
      </c>
      <c r="F3970" t="s">
        <v>8448</v>
      </c>
      <c r="G3970" t="s">
        <v>8453</v>
      </c>
    </row>
    <row r="3971" spans="1:7">
      <c r="A3971" t="s">
        <v>6332</v>
      </c>
      <c r="C3971" t="s">
        <v>8394</v>
      </c>
      <c r="D3971" t="s">
        <v>8401</v>
      </c>
      <c r="E3971" t="s">
        <v>8444</v>
      </c>
      <c r="F3971" t="s">
        <v>8448</v>
      </c>
      <c r="G3971" t="s">
        <v>8453</v>
      </c>
    </row>
    <row r="3972" spans="1:7">
      <c r="A3972" t="s">
        <v>6333</v>
      </c>
      <c r="C3972" t="s">
        <v>8394</v>
      </c>
      <c r="D3972" t="s">
        <v>8401</v>
      </c>
      <c r="E3972" t="s">
        <v>8444</v>
      </c>
      <c r="F3972" t="s">
        <v>8448</v>
      </c>
      <c r="G3972" t="s">
        <v>8453</v>
      </c>
    </row>
    <row r="3973" spans="1:7">
      <c r="A3973" t="s">
        <v>6334</v>
      </c>
      <c r="C3973" t="s">
        <v>8394</v>
      </c>
      <c r="D3973" t="s">
        <v>8401</v>
      </c>
      <c r="E3973" t="s">
        <v>8444</v>
      </c>
      <c r="F3973" t="s">
        <v>8448</v>
      </c>
      <c r="G3973" t="s">
        <v>8453</v>
      </c>
    </row>
    <row r="3974" spans="1:7">
      <c r="A3974" t="s">
        <v>6335</v>
      </c>
      <c r="C3974" t="s">
        <v>8394</v>
      </c>
      <c r="D3974" t="s">
        <v>8401</v>
      </c>
      <c r="E3974" t="s">
        <v>8444</v>
      </c>
      <c r="F3974" t="s">
        <v>8448</v>
      </c>
      <c r="G3974" t="s">
        <v>8453</v>
      </c>
    </row>
    <row r="3975" spans="1:7">
      <c r="A3975" t="s">
        <v>6336</v>
      </c>
      <c r="C3975" t="s">
        <v>8394</v>
      </c>
      <c r="D3975" t="s">
        <v>8401</v>
      </c>
      <c r="E3975" t="s">
        <v>8444</v>
      </c>
      <c r="F3975" t="s">
        <v>8448</v>
      </c>
      <c r="G3975" t="s">
        <v>8453</v>
      </c>
    </row>
    <row r="3976" spans="1:7">
      <c r="A3976" t="s">
        <v>6337</v>
      </c>
      <c r="C3976" t="s">
        <v>8394</v>
      </c>
      <c r="D3976" t="s">
        <v>8401</v>
      </c>
      <c r="E3976" t="s">
        <v>8444</v>
      </c>
      <c r="F3976" t="s">
        <v>8448</v>
      </c>
      <c r="G3976" t="s">
        <v>8453</v>
      </c>
    </row>
    <row r="3977" spans="1:7">
      <c r="A3977" t="s">
        <v>6338</v>
      </c>
      <c r="C3977" t="s">
        <v>8394</v>
      </c>
      <c r="D3977" t="s">
        <v>8401</v>
      </c>
      <c r="E3977" t="s">
        <v>8444</v>
      </c>
      <c r="F3977" t="s">
        <v>8448</v>
      </c>
      <c r="G3977" t="s">
        <v>8453</v>
      </c>
    </row>
    <row r="3978" spans="1:7">
      <c r="A3978" t="s">
        <v>6339</v>
      </c>
      <c r="C3978" t="s">
        <v>8394</v>
      </c>
      <c r="D3978" t="s">
        <v>8401</v>
      </c>
      <c r="E3978" t="s">
        <v>8444</v>
      </c>
      <c r="F3978" t="s">
        <v>8448</v>
      </c>
      <c r="G3978" t="s">
        <v>8453</v>
      </c>
    </row>
    <row r="3979" spans="1:7">
      <c r="A3979" t="s">
        <v>6340</v>
      </c>
      <c r="C3979" t="s">
        <v>8394</v>
      </c>
      <c r="D3979" t="s">
        <v>8401</v>
      </c>
      <c r="E3979" t="s">
        <v>8444</v>
      </c>
      <c r="F3979" t="s">
        <v>8448</v>
      </c>
      <c r="G3979" t="s">
        <v>8453</v>
      </c>
    </row>
    <row r="3980" spans="1:7">
      <c r="A3980" t="s">
        <v>6341</v>
      </c>
      <c r="C3980" t="s">
        <v>8394</v>
      </c>
      <c r="D3980" t="s">
        <v>8401</v>
      </c>
      <c r="E3980" t="s">
        <v>8444</v>
      </c>
      <c r="F3980" t="s">
        <v>8448</v>
      </c>
      <c r="G3980" t="s">
        <v>8453</v>
      </c>
    </row>
    <row r="3981" spans="1:7">
      <c r="A3981" t="s">
        <v>6342</v>
      </c>
      <c r="C3981" t="s">
        <v>8394</v>
      </c>
      <c r="D3981" t="s">
        <v>8401</v>
      </c>
      <c r="E3981" t="s">
        <v>8444</v>
      </c>
      <c r="F3981" t="s">
        <v>8448</v>
      </c>
      <c r="G3981" t="s">
        <v>8453</v>
      </c>
    </row>
    <row r="3982" spans="1:7">
      <c r="A3982" t="s">
        <v>6343</v>
      </c>
      <c r="C3982" t="s">
        <v>8394</v>
      </c>
      <c r="D3982" t="s">
        <v>8401</v>
      </c>
      <c r="E3982" t="s">
        <v>8444</v>
      </c>
      <c r="F3982" t="s">
        <v>8448</v>
      </c>
      <c r="G3982" t="s">
        <v>8453</v>
      </c>
    </row>
    <row r="3983" spans="1:7">
      <c r="A3983" t="s">
        <v>6344</v>
      </c>
      <c r="C3983" t="s">
        <v>8394</v>
      </c>
      <c r="D3983" t="s">
        <v>8401</v>
      </c>
      <c r="E3983" t="s">
        <v>8444</v>
      </c>
      <c r="F3983" t="s">
        <v>8448</v>
      </c>
      <c r="G3983" t="s">
        <v>8453</v>
      </c>
    </row>
    <row r="3984" spans="1:7">
      <c r="A3984" t="s">
        <v>6345</v>
      </c>
      <c r="C3984" t="s">
        <v>8394</v>
      </c>
      <c r="D3984" t="s">
        <v>8401</v>
      </c>
      <c r="E3984" t="s">
        <v>8444</v>
      </c>
      <c r="F3984" t="s">
        <v>8448</v>
      </c>
      <c r="G3984" t="s">
        <v>8453</v>
      </c>
    </row>
    <row r="3985" spans="1:7">
      <c r="A3985" t="s">
        <v>6346</v>
      </c>
      <c r="C3985" t="s">
        <v>8394</v>
      </c>
      <c r="D3985" t="s">
        <v>8401</v>
      </c>
      <c r="E3985" t="s">
        <v>8444</v>
      </c>
      <c r="F3985" t="s">
        <v>8448</v>
      </c>
      <c r="G3985" t="s">
        <v>8453</v>
      </c>
    </row>
    <row r="3986" spans="1:7">
      <c r="A3986" t="s">
        <v>6347</v>
      </c>
      <c r="C3986" t="s">
        <v>8394</v>
      </c>
      <c r="D3986" t="s">
        <v>8401</v>
      </c>
      <c r="E3986" t="s">
        <v>8444</v>
      </c>
      <c r="F3986" t="s">
        <v>8448</v>
      </c>
      <c r="G3986" t="s">
        <v>8453</v>
      </c>
    </row>
    <row r="3987" spans="1:7">
      <c r="A3987" t="s">
        <v>6348</v>
      </c>
      <c r="C3987" t="s">
        <v>8394</v>
      </c>
      <c r="D3987" t="s">
        <v>8401</v>
      </c>
      <c r="E3987" t="s">
        <v>8444</v>
      </c>
      <c r="F3987" t="s">
        <v>8448</v>
      </c>
      <c r="G3987" t="s">
        <v>8453</v>
      </c>
    </row>
    <row r="3988" spans="1:7">
      <c r="A3988" t="s">
        <v>6349</v>
      </c>
      <c r="C3988" t="s">
        <v>8394</v>
      </c>
      <c r="D3988" t="s">
        <v>8401</v>
      </c>
      <c r="E3988" t="s">
        <v>8444</v>
      </c>
      <c r="F3988" t="s">
        <v>8448</v>
      </c>
      <c r="G3988" t="s">
        <v>8453</v>
      </c>
    </row>
    <row r="3989" spans="1:7">
      <c r="A3989" t="s">
        <v>6350</v>
      </c>
      <c r="C3989" t="s">
        <v>8394</v>
      </c>
      <c r="D3989" t="s">
        <v>8401</v>
      </c>
      <c r="E3989" t="s">
        <v>8444</v>
      </c>
      <c r="F3989" t="s">
        <v>8448</v>
      </c>
      <c r="G3989" t="s">
        <v>8453</v>
      </c>
    </row>
    <row r="3990" spans="1:7">
      <c r="A3990" t="s">
        <v>6351</v>
      </c>
      <c r="C3990" t="s">
        <v>8394</v>
      </c>
      <c r="D3990" t="s">
        <v>8401</v>
      </c>
      <c r="E3990" t="s">
        <v>8444</v>
      </c>
      <c r="F3990" t="s">
        <v>8448</v>
      </c>
      <c r="G3990" t="s">
        <v>8453</v>
      </c>
    </row>
    <row r="3991" spans="1:7">
      <c r="A3991" t="s">
        <v>6352</v>
      </c>
      <c r="C3991" t="s">
        <v>8394</v>
      </c>
      <c r="D3991" t="s">
        <v>8401</v>
      </c>
      <c r="E3991" t="s">
        <v>8444</v>
      </c>
      <c r="F3991" t="s">
        <v>8448</v>
      </c>
      <c r="G3991" t="s">
        <v>8453</v>
      </c>
    </row>
    <row r="3992" spans="1:7">
      <c r="A3992" t="s">
        <v>6353</v>
      </c>
      <c r="C3992" t="s">
        <v>8394</v>
      </c>
      <c r="D3992" t="s">
        <v>8401</v>
      </c>
      <c r="E3992" t="s">
        <v>8445</v>
      </c>
      <c r="F3992" t="s">
        <v>8448</v>
      </c>
      <c r="G3992" t="s">
        <v>8453</v>
      </c>
    </row>
    <row r="3993" spans="1:7">
      <c r="A3993" t="s">
        <v>6354</v>
      </c>
      <c r="C3993" t="s">
        <v>8393</v>
      </c>
      <c r="D3993" t="s">
        <v>8393</v>
      </c>
      <c r="E3993" t="s">
        <v>919</v>
      </c>
      <c r="F3993" t="s">
        <v>8393</v>
      </c>
    </row>
    <row r="3994" spans="1:7">
      <c r="A3994" t="s">
        <v>6355</v>
      </c>
      <c r="C3994" t="s">
        <v>8394</v>
      </c>
      <c r="D3994" t="s">
        <v>8401</v>
      </c>
      <c r="E3994" t="s">
        <v>8445</v>
      </c>
      <c r="F3994" t="s">
        <v>8448</v>
      </c>
      <c r="G3994" t="s">
        <v>8453</v>
      </c>
    </row>
    <row r="3995" spans="1:7">
      <c r="A3995" t="s">
        <v>6356</v>
      </c>
      <c r="C3995" t="s">
        <v>8394</v>
      </c>
      <c r="D3995" t="s">
        <v>8401</v>
      </c>
      <c r="E3995" t="s">
        <v>8445</v>
      </c>
      <c r="F3995" t="s">
        <v>8448</v>
      </c>
      <c r="G3995" t="s">
        <v>8453</v>
      </c>
    </row>
    <row r="3996" spans="1:7">
      <c r="A3996" t="s">
        <v>6357</v>
      </c>
      <c r="C3996" t="s">
        <v>8394</v>
      </c>
      <c r="D3996" t="s">
        <v>8401</v>
      </c>
      <c r="E3996" t="s">
        <v>8445</v>
      </c>
      <c r="F3996" t="s">
        <v>8448</v>
      </c>
      <c r="G3996" t="s">
        <v>8453</v>
      </c>
    </row>
    <row r="3997" spans="1:7">
      <c r="A3997" t="s">
        <v>6358</v>
      </c>
      <c r="C3997" t="s">
        <v>8394</v>
      </c>
      <c r="D3997" t="s">
        <v>8401</v>
      </c>
      <c r="E3997" t="s">
        <v>8445</v>
      </c>
      <c r="F3997" t="s">
        <v>8448</v>
      </c>
      <c r="G3997" t="s">
        <v>8453</v>
      </c>
    </row>
    <row r="3998" spans="1:7">
      <c r="A3998" t="s">
        <v>6359</v>
      </c>
      <c r="C3998" t="s">
        <v>8394</v>
      </c>
      <c r="D3998" t="s">
        <v>8401</v>
      </c>
      <c r="E3998" t="s">
        <v>8445</v>
      </c>
      <c r="F3998" t="s">
        <v>8448</v>
      </c>
      <c r="G3998" t="s">
        <v>8453</v>
      </c>
    </row>
    <row r="3999" spans="1:7">
      <c r="A3999" t="s">
        <v>6360</v>
      </c>
      <c r="C3999" t="s">
        <v>8394</v>
      </c>
      <c r="D3999" t="s">
        <v>8401</v>
      </c>
      <c r="E3999" t="s">
        <v>8445</v>
      </c>
      <c r="F3999" t="s">
        <v>8448</v>
      </c>
      <c r="G3999" t="s">
        <v>8453</v>
      </c>
    </row>
    <row r="4000" spans="1:7">
      <c r="A4000" t="s">
        <v>6361</v>
      </c>
      <c r="C4000" t="s">
        <v>8394</v>
      </c>
      <c r="D4000" t="s">
        <v>8401</v>
      </c>
      <c r="E4000" t="s">
        <v>8445</v>
      </c>
      <c r="F4000" t="s">
        <v>8448</v>
      </c>
      <c r="G4000" t="s">
        <v>8453</v>
      </c>
    </row>
    <row r="4001" spans="1:7">
      <c r="A4001" t="s">
        <v>6362</v>
      </c>
      <c r="C4001" t="s">
        <v>8394</v>
      </c>
      <c r="D4001" t="s">
        <v>8401</v>
      </c>
      <c r="E4001" t="s">
        <v>8445</v>
      </c>
      <c r="F4001" t="s">
        <v>8448</v>
      </c>
      <c r="G4001" t="s">
        <v>8453</v>
      </c>
    </row>
    <row r="4002" spans="1:7">
      <c r="A4002" t="s">
        <v>6363</v>
      </c>
      <c r="C4002" t="s">
        <v>8394</v>
      </c>
      <c r="D4002" t="s">
        <v>8401</v>
      </c>
      <c r="E4002" t="s">
        <v>8445</v>
      </c>
      <c r="F4002" t="s">
        <v>8448</v>
      </c>
      <c r="G4002" t="s">
        <v>8453</v>
      </c>
    </row>
    <row r="4003" spans="1:7">
      <c r="A4003" t="s">
        <v>6364</v>
      </c>
      <c r="C4003" t="s">
        <v>8394</v>
      </c>
      <c r="D4003" t="s">
        <v>8401</v>
      </c>
      <c r="E4003" t="s">
        <v>8445</v>
      </c>
      <c r="F4003" t="s">
        <v>8448</v>
      </c>
      <c r="G4003" t="s">
        <v>8453</v>
      </c>
    </row>
    <row r="4004" spans="1:7">
      <c r="A4004" t="s">
        <v>6365</v>
      </c>
      <c r="C4004" t="s">
        <v>8394</v>
      </c>
      <c r="D4004" t="s">
        <v>8401</v>
      </c>
      <c r="E4004" t="s">
        <v>8445</v>
      </c>
      <c r="F4004" t="s">
        <v>8448</v>
      </c>
      <c r="G4004" t="s">
        <v>8453</v>
      </c>
    </row>
    <row r="4005" spans="1:7">
      <c r="A4005" t="s">
        <v>6366</v>
      </c>
      <c r="C4005" t="s">
        <v>8394</v>
      </c>
      <c r="D4005" t="s">
        <v>8401</v>
      </c>
      <c r="E4005" t="s">
        <v>8445</v>
      </c>
      <c r="F4005" t="s">
        <v>8448</v>
      </c>
      <c r="G4005" t="s">
        <v>8453</v>
      </c>
    </row>
    <row r="4006" spans="1:7">
      <c r="A4006" t="s">
        <v>6367</v>
      </c>
      <c r="C4006" t="s">
        <v>8394</v>
      </c>
      <c r="D4006" t="s">
        <v>8401</v>
      </c>
      <c r="E4006" t="s">
        <v>8445</v>
      </c>
      <c r="F4006" t="s">
        <v>8448</v>
      </c>
      <c r="G4006" t="s">
        <v>8453</v>
      </c>
    </row>
    <row r="4007" spans="1:7">
      <c r="A4007" t="s">
        <v>6368</v>
      </c>
      <c r="C4007" t="s">
        <v>8394</v>
      </c>
      <c r="D4007" t="s">
        <v>8401</v>
      </c>
      <c r="E4007" t="s">
        <v>8445</v>
      </c>
      <c r="F4007" t="s">
        <v>8448</v>
      </c>
      <c r="G4007" t="s">
        <v>8453</v>
      </c>
    </row>
    <row r="4008" spans="1:7">
      <c r="A4008" t="s">
        <v>6369</v>
      </c>
      <c r="C4008" t="s">
        <v>8394</v>
      </c>
      <c r="D4008" t="s">
        <v>8401</v>
      </c>
      <c r="E4008" t="s">
        <v>8445</v>
      </c>
      <c r="F4008" t="s">
        <v>8448</v>
      </c>
      <c r="G4008" t="s">
        <v>8453</v>
      </c>
    </row>
    <row r="4009" spans="1:7">
      <c r="A4009" t="s">
        <v>6370</v>
      </c>
      <c r="C4009" t="s">
        <v>8394</v>
      </c>
      <c r="D4009" t="s">
        <v>8401</v>
      </c>
      <c r="E4009" t="s">
        <v>8445</v>
      </c>
      <c r="F4009" t="s">
        <v>8448</v>
      </c>
      <c r="G4009" t="s">
        <v>8453</v>
      </c>
    </row>
    <row r="4010" spans="1:7">
      <c r="A4010" t="s">
        <v>6371</v>
      </c>
      <c r="C4010" t="s">
        <v>8394</v>
      </c>
      <c r="D4010" t="s">
        <v>8401</v>
      </c>
      <c r="E4010" t="s">
        <v>8445</v>
      </c>
      <c r="F4010" t="s">
        <v>8448</v>
      </c>
      <c r="G4010" t="s">
        <v>8453</v>
      </c>
    </row>
    <row r="4011" spans="1:7">
      <c r="A4011" t="s">
        <v>6372</v>
      </c>
      <c r="C4011" t="s">
        <v>8394</v>
      </c>
      <c r="D4011" t="s">
        <v>8401</v>
      </c>
      <c r="E4011" t="s">
        <v>8445</v>
      </c>
      <c r="F4011" t="s">
        <v>8448</v>
      </c>
      <c r="G4011" t="s">
        <v>8453</v>
      </c>
    </row>
    <row r="4012" spans="1:7">
      <c r="A4012" t="s">
        <v>6373</v>
      </c>
      <c r="C4012" t="s">
        <v>8394</v>
      </c>
      <c r="D4012" t="s">
        <v>8401</v>
      </c>
      <c r="E4012" t="s">
        <v>8445</v>
      </c>
      <c r="F4012" t="s">
        <v>8448</v>
      </c>
      <c r="G4012" t="s">
        <v>8453</v>
      </c>
    </row>
    <row r="4013" spans="1:7">
      <c r="A4013" t="s">
        <v>6374</v>
      </c>
      <c r="C4013" t="s">
        <v>8394</v>
      </c>
      <c r="D4013" t="s">
        <v>8401</v>
      </c>
      <c r="E4013" t="s">
        <v>8445</v>
      </c>
      <c r="F4013" t="s">
        <v>8448</v>
      </c>
      <c r="G4013" t="s">
        <v>8453</v>
      </c>
    </row>
    <row r="4014" spans="1:7">
      <c r="A4014" t="s">
        <v>6375</v>
      </c>
      <c r="C4014" t="s">
        <v>8394</v>
      </c>
      <c r="D4014" t="s">
        <v>8401</v>
      </c>
      <c r="E4014" t="s">
        <v>8445</v>
      </c>
      <c r="F4014" t="s">
        <v>8448</v>
      </c>
      <c r="G4014" t="s">
        <v>8453</v>
      </c>
    </row>
    <row r="4015" spans="1:7">
      <c r="A4015" t="s">
        <v>6376</v>
      </c>
      <c r="C4015" t="s">
        <v>8394</v>
      </c>
      <c r="D4015" t="s">
        <v>8401</v>
      </c>
      <c r="E4015" t="s">
        <v>8445</v>
      </c>
      <c r="F4015" t="s">
        <v>8448</v>
      </c>
      <c r="G4015" t="s">
        <v>8453</v>
      </c>
    </row>
    <row r="4016" spans="1:7">
      <c r="A4016" t="s">
        <v>6377</v>
      </c>
      <c r="B4016" t="s">
        <v>8299</v>
      </c>
      <c r="C4016" t="s">
        <v>8397</v>
      </c>
      <c r="D4016" t="s">
        <v>8431</v>
      </c>
      <c r="E4016" t="s">
        <v>8446</v>
      </c>
      <c r="F4016" t="s">
        <v>8448</v>
      </c>
      <c r="G4016" t="s">
        <v>9123</v>
      </c>
    </row>
    <row r="4017" spans="1:7">
      <c r="A4017" t="s">
        <v>6378</v>
      </c>
      <c r="B4017" t="s">
        <v>8273</v>
      </c>
      <c r="C4017" t="s">
        <v>8396</v>
      </c>
      <c r="D4017" t="s">
        <v>8404</v>
      </c>
      <c r="E4017" t="s">
        <v>8446</v>
      </c>
      <c r="F4017" t="s">
        <v>8449</v>
      </c>
      <c r="G4017" t="s">
        <v>8455</v>
      </c>
    </row>
    <row r="4018" spans="1:7">
      <c r="A4018" t="s">
        <v>6379</v>
      </c>
      <c r="C4018" t="s">
        <v>8393</v>
      </c>
      <c r="D4018" t="s">
        <v>8393</v>
      </c>
      <c r="E4018" t="s">
        <v>919</v>
      </c>
      <c r="F4018" t="s">
        <v>8393</v>
      </c>
    </row>
    <row r="4019" spans="1:7">
      <c r="A4019" t="s">
        <v>6380</v>
      </c>
      <c r="C4019" t="s">
        <v>8394</v>
      </c>
      <c r="D4019" t="s">
        <v>8401</v>
      </c>
      <c r="E4019" t="s">
        <v>8445</v>
      </c>
      <c r="F4019" t="s">
        <v>8448</v>
      </c>
      <c r="G4019" t="s">
        <v>8453</v>
      </c>
    </row>
    <row r="4020" spans="1:7">
      <c r="A4020" t="s">
        <v>6381</v>
      </c>
      <c r="B4020" t="s">
        <v>8273</v>
      </c>
      <c r="C4020" t="s">
        <v>8394</v>
      </c>
      <c r="D4020" t="s">
        <v>8401</v>
      </c>
      <c r="E4020" t="s">
        <v>8445</v>
      </c>
      <c r="F4020" t="s">
        <v>8448</v>
      </c>
      <c r="G4020" t="s">
        <v>8453</v>
      </c>
    </row>
    <row r="4021" spans="1:7">
      <c r="A4021" t="s">
        <v>6382</v>
      </c>
      <c r="B4021" t="s">
        <v>8273</v>
      </c>
      <c r="C4021" t="s">
        <v>8394</v>
      </c>
      <c r="D4021" t="s">
        <v>8401</v>
      </c>
      <c r="E4021" t="s">
        <v>8445</v>
      </c>
      <c r="F4021" t="s">
        <v>8448</v>
      </c>
      <c r="G4021" t="s">
        <v>8453</v>
      </c>
    </row>
    <row r="4022" spans="1:7">
      <c r="A4022" t="s">
        <v>6383</v>
      </c>
      <c r="B4022" t="s">
        <v>8273</v>
      </c>
      <c r="C4022" t="s">
        <v>8394</v>
      </c>
      <c r="D4022" t="s">
        <v>8401</v>
      </c>
      <c r="E4022" t="s">
        <v>8445</v>
      </c>
      <c r="F4022" t="s">
        <v>8448</v>
      </c>
      <c r="G4022" t="s">
        <v>8453</v>
      </c>
    </row>
    <row r="4023" spans="1:7">
      <c r="A4023" t="s">
        <v>6384</v>
      </c>
      <c r="C4023" t="s">
        <v>8394</v>
      </c>
      <c r="D4023" t="s">
        <v>8401</v>
      </c>
      <c r="E4023" t="s">
        <v>8445</v>
      </c>
      <c r="F4023" t="s">
        <v>8448</v>
      </c>
      <c r="G4023" t="s">
        <v>8453</v>
      </c>
    </row>
    <row r="4024" spans="1:7">
      <c r="A4024" t="s">
        <v>6385</v>
      </c>
      <c r="C4024" t="s">
        <v>8394</v>
      </c>
      <c r="D4024" t="s">
        <v>8401</v>
      </c>
      <c r="E4024" t="s">
        <v>8445</v>
      </c>
      <c r="F4024" t="s">
        <v>8448</v>
      </c>
      <c r="G4024" t="s">
        <v>8453</v>
      </c>
    </row>
    <row r="4025" spans="1:7">
      <c r="A4025" t="s">
        <v>6386</v>
      </c>
      <c r="C4025" t="s">
        <v>8394</v>
      </c>
      <c r="D4025" t="s">
        <v>8401</v>
      </c>
      <c r="E4025" t="s">
        <v>8445</v>
      </c>
      <c r="F4025" t="s">
        <v>8448</v>
      </c>
      <c r="G4025" t="s">
        <v>8453</v>
      </c>
    </row>
    <row r="4026" spans="1:7">
      <c r="A4026" t="s">
        <v>6387</v>
      </c>
      <c r="B4026" t="s">
        <v>8273</v>
      </c>
      <c r="C4026" t="s">
        <v>8394</v>
      </c>
      <c r="D4026" t="s">
        <v>8401</v>
      </c>
      <c r="E4026" t="s">
        <v>8445</v>
      </c>
      <c r="F4026" t="s">
        <v>8448</v>
      </c>
      <c r="G4026" t="s">
        <v>8453</v>
      </c>
    </row>
    <row r="4027" spans="1:7">
      <c r="A4027" t="s">
        <v>6388</v>
      </c>
      <c r="B4027" t="s">
        <v>8273</v>
      </c>
      <c r="C4027" t="s">
        <v>8394</v>
      </c>
      <c r="D4027" t="s">
        <v>8401</v>
      </c>
      <c r="E4027" t="s">
        <v>8445</v>
      </c>
      <c r="F4027" t="s">
        <v>8448</v>
      </c>
      <c r="G4027" t="s">
        <v>8453</v>
      </c>
    </row>
    <row r="4028" spans="1:7">
      <c r="A4028" t="s">
        <v>6389</v>
      </c>
      <c r="B4028" t="s">
        <v>8273</v>
      </c>
      <c r="C4028" t="s">
        <v>8394</v>
      </c>
      <c r="D4028" t="s">
        <v>8401</v>
      </c>
      <c r="E4028" t="s">
        <v>8445</v>
      </c>
      <c r="F4028" t="s">
        <v>8448</v>
      </c>
      <c r="G4028" t="s">
        <v>8453</v>
      </c>
    </row>
    <row r="4029" spans="1:7">
      <c r="A4029" t="s">
        <v>6390</v>
      </c>
      <c r="B4029" t="s">
        <v>8273</v>
      </c>
      <c r="C4029" t="s">
        <v>8394</v>
      </c>
      <c r="D4029" t="s">
        <v>8401</v>
      </c>
      <c r="E4029" t="s">
        <v>8445</v>
      </c>
      <c r="F4029" t="s">
        <v>8448</v>
      </c>
      <c r="G4029" t="s">
        <v>8453</v>
      </c>
    </row>
    <row r="4030" spans="1:7">
      <c r="A4030" t="s">
        <v>6391</v>
      </c>
      <c r="C4030" t="s">
        <v>8394</v>
      </c>
      <c r="D4030" t="s">
        <v>8401</v>
      </c>
      <c r="E4030" t="s">
        <v>8445</v>
      </c>
      <c r="F4030" t="s">
        <v>8448</v>
      </c>
      <c r="G4030" t="s">
        <v>8453</v>
      </c>
    </row>
    <row r="4031" spans="1:7">
      <c r="A4031" t="s">
        <v>6392</v>
      </c>
      <c r="C4031" t="s">
        <v>8394</v>
      </c>
      <c r="D4031" t="s">
        <v>8401</v>
      </c>
      <c r="E4031" t="s">
        <v>8445</v>
      </c>
      <c r="F4031" t="s">
        <v>8448</v>
      </c>
      <c r="G4031" t="s">
        <v>8453</v>
      </c>
    </row>
    <row r="4032" spans="1:7">
      <c r="A4032" t="s">
        <v>6393</v>
      </c>
      <c r="B4032" t="s">
        <v>8273</v>
      </c>
      <c r="C4032" t="s">
        <v>8394</v>
      </c>
      <c r="D4032" t="s">
        <v>8401</v>
      </c>
      <c r="E4032" t="s">
        <v>8445</v>
      </c>
      <c r="F4032" t="s">
        <v>8448</v>
      </c>
      <c r="G4032" t="s">
        <v>8453</v>
      </c>
    </row>
    <row r="4033" spans="1:7">
      <c r="A4033" t="s">
        <v>6394</v>
      </c>
      <c r="B4033" t="s">
        <v>8273</v>
      </c>
      <c r="C4033" t="s">
        <v>8394</v>
      </c>
      <c r="D4033" t="s">
        <v>8401</v>
      </c>
      <c r="E4033" t="s">
        <v>8445</v>
      </c>
      <c r="F4033" t="s">
        <v>8448</v>
      </c>
      <c r="G4033" t="s">
        <v>8453</v>
      </c>
    </row>
    <row r="4034" spans="1:7">
      <c r="A4034" t="s">
        <v>6395</v>
      </c>
      <c r="B4034" t="s">
        <v>8273</v>
      </c>
      <c r="C4034" t="s">
        <v>8394</v>
      </c>
      <c r="D4034" t="s">
        <v>8401</v>
      </c>
      <c r="E4034" t="s">
        <v>8445</v>
      </c>
      <c r="F4034" t="s">
        <v>8448</v>
      </c>
      <c r="G4034" t="s">
        <v>8453</v>
      </c>
    </row>
    <row r="4035" spans="1:7">
      <c r="A4035" t="s">
        <v>6396</v>
      </c>
      <c r="B4035" t="s">
        <v>8273</v>
      </c>
      <c r="C4035" t="s">
        <v>8394</v>
      </c>
      <c r="D4035" t="s">
        <v>8401</v>
      </c>
      <c r="E4035" t="s">
        <v>8445</v>
      </c>
      <c r="F4035" t="s">
        <v>8448</v>
      </c>
      <c r="G4035" t="s">
        <v>8453</v>
      </c>
    </row>
    <row r="4036" spans="1:7">
      <c r="A4036" t="s">
        <v>6397</v>
      </c>
      <c r="B4036" t="s">
        <v>8273</v>
      </c>
      <c r="C4036" t="s">
        <v>8394</v>
      </c>
      <c r="D4036" t="s">
        <v>8401</v>
      </c>
      <c r="E4036" t="s">
        <v>8445</v>
      </c>
      <c r="F4036" t="s">
        <v>8448</v>
      </c>
      <c r="G4036" t="s">
        <v>8453</v>
      </c>
    </row>
    <row r="4037" spans="1:7">
      <c r="A4037" t="s">
        <v>6398</v>
      </c>
      <c r="C4037" t="s">
        <v>8394</v>
      </c>
      <c r="D4037" t="s">
        <v>8401</v>
      </c>
      <c r="E4037" t="s">
        <v>8445</v>
      </c>
      <c r="F4037" t="s">
        <v>8448</v>
      </c>
      <c r="G4037" t="s">
        <v>8453</v>
      </c>
    </row>
    <row r="4038" spans="1:7">
      <c r="A4038" t="s">
        <v>6399</v>
      </c>
      <c r="B4038" t="s">
        <v>8273</v>
      </c>
      <c r="C4038" t="s">
        <v>8394</v>
      </c>
      <c r="D4038" t="s">
        <v>8401</v>
      </c>
      <c r="E4038" t="s">
        <v>8445</v>
      </c>
      <c r="F4038" t="s">
        <v>8448</v>
      </c>
      <c r="G4038" t="s">
        <v>8453</v>
      </c>
    </row>
    <row r="4039" spans="1:7">
      <c r="A4039" t="s">
        <v>6400</v>
      </c>
      <c r="B4039" t="s">
        <v>8273</v>
      </c>
      <c r="C4039" t="s">
        <v>8394</v>
      </c>
      <c r="D4039" t="s">
        <v>8401</v>
      </c>
      <c r="E4039" t="s">
        <v>8445</v>
      </c>
      <c r="F4039" t="s">
        <v>8448</v>
      </c>
      <c r="G4039" t="s">
        <v>8453</v>
      </c>
    </row>
    <row r="4040" spans="1:7">
      <c r="A4040" t="s">
        <v>6401</v>
      </c>
      <c r="B4040" t="s">
        <v>8273</v>
      </c>
      <c r="C4040" t="s">
        <v>8394</v>
      </c>
      <c r="D4040" t="s">
        <v>8401</v>
      </c>
      <c r="E4040" t="s">
        <v>8445</v>
      </c>
      <c r="F4040" t="s">
        <v>8448</v>
      </c>
      <c r="G4040" t="s">
        <v>8453</v>
      </c>
    </row>
    <row r="4041" spans="1:7">
      <c r="A4041" t="s">
        <v>6402</v>
      </c>
      <c r="B4041" t="s">
        <v>8273</v>
      </c>
      <c r="C4041" t="s">
        <v>8394</v>
      </c>
      <c r="D4041" t="s">
        <v>8401</v>
      </c>
      <c r="E4041" t="s">
        <v>8445</v>
      </c>
      <c r="F4041" t="s">
        <v>8448</v>
      </c>
      <c r="G4041" t="s">
        <v>8453</v>
      </c>
    </row>
    <row r="4042" spans="1:7">
      <c r="A4042" t="s">
        <v>6403</v>
      </c>
      <c r="C4042" t="s">
        <v>8394</v>
      </c>
      <c r="D4042" t="s">
        <v>8401</v>
      </c>
      <c r="E4042" t="s">
        <v>8445</v>
      </c>
      <c r="F4042" t="s">
        <v>8448</v>
      </c>
      <c r="G4042" t="s">
        <v>8453</v>
      </c>
    </row>
    <row r="4043" spans="1:7">
      <c r="A4043" t="s">
        <v>6404</v>
      </c>
      <c r="C4043" t="s">
        <v>8393</v>
      </c>
      <c r="D4043" t="s">
        <v>8393</v>
      </c>
      <c r="E4043" t="s">
        <v>919</v>
      </c>
      <c r="F4043" t="s">
        <v>8393</v>
      </c>
    </row>
    <row r="4044" spans="1:7">
      <c r="A4044" t="s">
        <v>6405</v>
      </c>
      <c r="B4044" t="s">
        <v>8278</v>
      </c>
      <c r="C4044" t="s">
        <v>8394</v>
      </c>
      <c r="D4044" t="s">
        <v>8423</v>
      </c>
      <c r="E4044" t="s">
        <v>8444</v>
      </c>
      <c r="F4044" t="s">
        <v>8449</v>
      </c>
      <c r="G4044" t="s">
        <v>8455</v>
      </c>
    </row>
    <row r="4045" spans="1:7">
      <c r="A4045" t="s">
        <v>6406</v>
      </c>
      <c r="B4045" t="s">
        <v>8278</v>
      </c>
      <c r="C4045" t="s">
        <v>8394</v>
      </c>
      <c r="D4045" t="s">
        <v>8423</v>
      </c>
      <c r="E4045" t="s">
        <v>8444</v>
      </c>
      <c r="F4045" t="s">
        <v>8448</v>
      </c>
      <c r="G4045" t="s">
        <v>8455</v>
      </c>
    </row>
    <row r="4046" spans="1:7">
      <c r="A4046" t="s">
        <v>6407</v>
      </c>
      <c r="B4046" t="s">
        <v>8284</v>
      </c>
      <c r="C4046" t="s">
        <v>8394</v>
      </c>
      <c r="D4046" t="s">
        <v>8423</v>
      </c>
      <c r="E4046" t="s">
        <v>8444</v>
      </c>
      <c r="F4046" t="s">
        <v>8448</v>
      </c>
      <c r="G4046" t="s">
        <v>8455</v>
      </c>
    </row>
    <row r="4047" spans="1:7">
      <c r="A4047" t="s">
        <v>6408</v>
      </c>
      <c r="B4047" t="s">
        <v>8279</v>
      </c>
      <c r="C4047" t="s">
        <v>8394</v>
      </c>
      <c r="D4047" t="s">
        <v>8423</v>
      </c>
      <c r="E4047" t="s">
        <v>8444</v>
      </c>
      <c r="F4047" t="s">
        <v>8448</v>
      </c>
      <c r="G4047" t="s">
        <v>8455</v>
      </c>
    </row>
    <row r="4048" spans="1:7">
      <c r="A4048" t="s">
        <v>6409</v>
      </c>
      <c r="B4048" t="s">
        <v>8281</v>
      </c>
      <c r="C4048" t="s">
        <v>8394</v>
      </c>
      <c r="D4048" t="s">
        <v>8423</v>
      </c>
      <c r="E4048" t="s">
        <v>8444</v>
      </c>
      <c r="F4048" t="s">
        <v>8448</v>
      </c>
      <c r="G4048" t="s">
        <v>8455</v>
      </c>
    </row>
    <row r="4049" spans="1:7">
      <c r="A4049" t="s">
        <v>6410</v>
      </c>
      <c r="B4049" t="s">
        <v>8278</v>
      </c>
      <c r="C4049" t="s">
        <v>8395</v>
      </c>
      <c r="D4049" t="s">
        <v>8423</v>
      </c>
      <c r="E4049" t="s">
        <v>1519</v>
      </c>
      <c r="F4049" t="s">
        <v>8448</v>
      </c>
      <c r="G4049" t="s">
        <v>8455</v>
      </c>
    </row>
    <row r="4050" spans="1:7">
      <c r="A4050" t="s">
        <v>6411</v>
      </c>
      <c r="B4050" t="s">
        <v>8278</v>
      </c>
      <c r="C4050" t="s">
        <v>8395</v>
      </c>
      <c r="D4050" t="s">
        <v>8423</v>
      </c>
      <c r="E4050" t="s">
        <v>1519</v>
      </c>
      <c r="F4050" t="s">
        <v>8449</v>
      </c>
      <c r="G4050" t="s">
        <v>8455</v>
      </c>
    </row>
    <row r="4051" spans="1:7">
      <c r="A4051" t="s">
        <v>6412</v>
      </c>
      <c r="B4051" t="s">
        <v>8279</v>
      </c>
      <c r="C4051" t="s">
        <v>8395</v>
      </c>
      <c r="D4051" t="s">
        <v>8423</v>
      </c>
      <c r="E4051" t="s">
        <v>1519</v>
      </c>
      <c r="F4051" t="s">
        <v>8449</v>
      </c>
      <c r="G4051" t="s">
        <v>8455</v>
      </c>
    </row>
    <row r="4052" spans="1:7">
      <c r="A4052" t="s">
        <v>6413</v>
      </c>
      <c r="B4052" t="s">
        <v>8281</v>
      </c>
      <c r="C4052" t="s">
        <v>8395</v>
      </c>
      <c r="D4052" t="s">
        <v>8423</v>
      </c>
      <c r="E4052" t="s">
        <v>1519</v>
      </c>
      <c r="F4052" t="s">
        <v>8449</v>
      </c>
      <c r="G4052" t="s">
        <v>8455</v>
      </c>
    </row>
    <row r="4053" spans="1:7">
      <c r="A4053" t="s">
        <v>6414</v>
      </c>
      <c r="B4053" t="s">
        <v>8278</v>
      </c>
      <c r="C4053" t="s">
        <v>8395</v>
      </c>
      <c r="D4053" t="s">
        <v>8423</v>
      </c>
      <c r="E4053" t="s">
        <v>1519</v>
      </c>
      <c r="F4053" t="s">
        <v>8449</v>
      </c>
      <c r="G4053" t="s">
        <v>8455</v>
      </c>
    </row>
    <row r="4054" spans="1:7">
      <c r="A4054" t="s">
        <v>6415</v>
      </c>
      <c r="B4054" t="s">
        <v>8279</v>
      </c>
      <c r="C4054" t="s">
        <v>8395</v>
      </c>
      <c r="D4054" t="s">
        <v>8423</v>
      </c>
      <c r="E4054" t="s">
        <v>1519</v>
      </c>
      <c r="F4054" t="s">
        <v>8449</v>
      </c>
      <c r="G4054" t="s">
        <v>8455</v>
      </c>
    </row>
    <row r="4055" spans="1:7">
      <c r="A4055" t="s">
        <v>6416</v>
      </c>
      <c r="B4055" t="s">
        <v>8281</v>
      </c>
      <c r="C4055" t="s">
        <v>8395</v>
      </c>
      <c r="D4055" t="s">
        <v>8423</v>
      </c>
      <c r="E4055" t="s">
        <v>1519</v>
      </c>
      <c r="F4055" t="s">
        <v>8449</v>
      </c>
      <c r="G4055" t="s">
        <v>8455</v>
      </c>
    </row>
    <row r="4056" spans="1:7">
      <c r="A4056" t="s">
        <v>6417</v>
      </c>
      <c r="B4056" t="s">
        <v>8278</v>
      </c>
      <c r="C4056" t="s">
        <v>8394</v>
      </c>
      <c r="D4056" t="s">
        <v>8423</v>
      </c>
      <c r="E4056" t="s">
        <v>1519</v>
      </c>
      <c r="F4056" t="s">
        <v>8449</v>
      </c>
      <c r="G4056" t="s">
        <v>8455</v>
      </c>
    </row>
    <row r="4057" spans="1:7">
      <c r="A4057" t="s">
        <v>6418</v>
      </c>
      <c r="B4057" t="s">
        <v>8279</v>
      </c>
      <c r="C4057" t="s">
        <v>8394</v>
      </c>
      <c r="D4057" t="s">
        <v>8423</v>
      </c>
      <c r="E4057" t="s">
        <v>1519</v>
      </c>
      <c r="F4057" t="s">
        <v>8449</v>
      </c>
      <c r="G4057" t="s">
        <v>8455</v>
      </c>
    </row>
    <row r="4058" spans="1:7">
      <c r="A4058" t="s">
        <v>6419</v>
      </c>
      <c r="B4058" t="s">
        <v>8280</v>
      </c>
      <c r="C4058" t="s">
        <v>8394</v>
      </c>
      <c r="D4058" t="s">
        <v>8423</v>
      </c>
      <c r="E4058" t="s">
        <v>1519</v>
      </c>
      <c r="F4058" t="s">
        <v>8449</v>
      </c>
      <c r="G4058" t="s">
        <v>8455</v>
      </c>
    </row>
    <row r="4059" spans="1:7">
      <c r="A4059" t="s">
        <v>6420</v>
      </c>
      <c r="B4059" t="s">
        <v>8281</v>
      </c>
      <c r="C4059" t="s">
        <v>8394</v>
      </c>
      <c r="D4059" t="s">
        <v>8423</v>
      </c>
      <c r="E4059" t="s">
        <v>1519</v>
      </c>
      <c r="F4059" t="s">
        <v>8449</v>
      </c>
      <c r="G4059" t="s">
        <v>8455</v>
      </c>
    </row>
    <row r="4060" spans="1:7">
      <c r="A4060" t="s">
        <v>6421</v>
      </c>
      <c r="B4060" t="s">
        <v>8299</v>
      </c>
      <c r="C4060" t="s">
        <v>8397</v>
      </c>
      <c r="D4060" t="s">
        <v>8430</v>
      </c>
      <c r="E4060" t="s">
        <v>1519</v>
      </c>
      <c r="F4060" t="s">
        <v>8448</v>
      </c>
      <c r="G4060" t="s">
        <v>796</v>
      </c>
    </row>
    <row r="4061" spans="1:7">
      <c r="A4061" t="s">
        <v>6422</v>
      </c>
      <c r="C4061" t="s">
        <v>8392</v>
      </c>
      <c r="D4061" t="s">
        <v>8400</v>
      </c>
      <c r="E4061" t="s">
        <v>1587</v>
      </c>
      <c r="F4061" t="s">
        <v>8447</v>
      </c>
      <c r="G4061" t="s">
        <v>9124</v>
      </c>
    </row>
    <row r="4062" spans="1:7">
      <c r="A4062" t="s">
        <v>6423</v>
      </c>
      <c r="B4062" t="s">
        <v>8273</v>
      </c>
      <c r="C4062" t="s">
        <v>8396</v>
      </c>
      <c r="D4062" t="s">
        <v>8420</v>
      </c>
      <c r="E4062" t="s">
        <v>1519</v>
      </c>
      <c r="F4062" t="s">
        <v>8448</v>
      </c>
      <c r="G4062" t="s">
        <v>9125</v>
      </c>
    </row>
    <row r="4063" spans="1:7">
      <c r="A4063" t="s">
        <v>6424</v>
      </c>
      <c r="C4063" t="s">
        <v>8392</v>
      </c>
      <c r="D4063" t="s">
        <v>8400</v>
      </c>
      <c r="E4063" t="s">
        <v>1519</v>
      </c>
      <c r="F4063" t="s">
        <v>8449</v>
      </c>
      <c r="G4063" t="s">
        <v>795</v>
      </c>
    </row>
    <row r="4064" spans="1:7">
      <c r="A4064" t="s">
        <v>6425</v>
      </c>
      <c r="B4064" t="s">
        <v>8273</v>
      </c>
      <c r="C4064" t="s">
        <v>8394</v>
      </c>
      <c r="D4064" t="s">
        <v>8402</v>
      </c>
      <c r="E4064" t="s">
        <v>8446</v>
      </c>
      <c r="F4064" t="s">
        <v>8448</v>
      </c>
      <c r="G4064" t="s">
        <v>9126</v>
      </c>
    </row>
    <row r="4065" spans="1:7">
      <c r="A4065" t="s">
        <v>6426</v>
      </c>
      <c r="B4065" t="s">
        <v>8299</v>
      </c>
      <c r="C4065" t="s">
        <v>8397</v>
      </c>
      <c r="D4065" t="s">
        <v>8431</v>
      </c>
      <c r="E4065" t="s">
        <v>8444</v>
      </c>
      <c r="F4065" t="s">
        <v>8448</v>
      </c>
      <c r="G4065" t="s">
        <v>9127</v>
      </c>
    </row>
    <row r="4066" spans="1:7">
      <c r="A4066" t="s">
        <v>6427</v>
      </c>
      <c r="B4066" t="s">
        <v>8273</v>
      </c>
      <c r="C4066" t="s">
        <v>8392</v>
      </c>
      <c r="D4066" t="s">
        <v>8415</v>
      </c>
      <c r="E4066" t="s">
        <v>1519</v>
      </c>
      <c r="F4066" t="s">
        <v>8448</v>
      </c>
      <c r="G4066" t="s">
        <v>9128</v>
      </c>
    </row>
    <row r="4067" spans="1:7">
      <c r="A4067" t="s">
        <v>6428</v>
      </c>
      <c r="B4067" t="s">
        <v>8299</v>
      </c>
      <c r="C4067" t="s">
        <v>8397</v>
      </c>
      <c r="D4067" t="s">
        <v>8431</v>
      </c>
      <c r="E4067" t="s">
        <v>8445</v>
      </c>
      <c r="F4067" t="s">
        <v>8448</v>
      </c>
      <c r="G4067" t="s">
        <v>796</v>
      </c>
    </row>
    <row r="4068" spans="1:7">
      <c r="A4068" t="s">
        <v>6429</v>
      </c>
      <c r="B4068" t="s">
        <v>8273</v>
      </c>
      <c r="C4068" t="s">
        <v>8395</v>
      </c>
      <c r="D4068" t="s">
        <v>8404</v>
      </c>
      <c r="E4068" t="s">
        <v>8446</v>
      </c>
      <c r="F4068" t="s">
        <v>8449</v>
      </c>
      <c r="G4068" t="s">
        <v>8455</v>
      </c>
    </row>
    <row r="4069" spans="1:7">
      <c r="A4069" t="s">
        <v>6430</v>
      </c>
      <c r="C4069" t="s">
        <v>8394</v>
      </c>
      <c r="D4069" t="s">
        <v>8401</v>
      </c>
      <c r="E4069" t="s">
        <v>8445</v>
      </c>
      <c r="F4069" t="s">
        <v>8448</v>
      </c>
      <c r="G4069" t="s">
        <v>9129</v>
      </c>
    </row>
    <row r="4070" spans="1:7">
      <c r="A4070" t="s">
        <v>6431</v>
      </c>
      <c r="C4070" t="s">
        <v>8394</v>
      </c>
      <c r="D4070" t="s">
        <v>8401</v>
      </c>
      <c r="E4070" t="s">
        <v>8445</v>
      </c>
      <c r="F4070" t="s">
        <v>8448</v>
      </c>
      <c r="G4070" t="s">
        <v>9130</v>
      </c>
    </row>
    <row r="4071" spans="1:7">
      <c r="A4071" t="s">
        <v>6432</v>
      </c>
      <c r="C4071" t="s">
        <v>8394</v>
      </c>
      <c r="D4071" t="s">
        <v>8401</v>
      </c>
      <c r="E4071" t="s">
        <v>8445</v>
      </c>
      <c r="F4071" t="s">
        <v>8448</v>
      </c>
      <c r="G4071" t="s">
        <v>9010</v>
      </c>
    </row>
    <row r="4072" spans="1:7">
      <c r="A4072" t="s">
        <v>6433</v>
      </c>
      <c r="C4072" t="s">
        <v>8394</v>
      </c>
      <c r="D4072" t="s">
        <v>8424</v>
      </c>
      <c r="E4072" t="s">
        <v>8444</v>
      </c>
      <c r="F4072" t="s">
        <v>8448</v>
      </c>
      <c r="G4072" t="s">
        <v>9131</v>
      </c>
    </row>
    <row r="4073" spans="1:7">
      <c r="A4073" t="s">
        <v>6434</v>
      </c>
      <c r="C4073" t="s">
        <v>8394</v>
      </c>
      <c r="D4073" t="s">
        <v>8402</v>
      </c>
      <c r="E4073" t="s">
        <v>8445</v>
      </c>
      <c r="F4073" t="s">
        <v>8448</v>
      </c>
      <c r="G4073" t="s">
        <v>9132</v>
      </c>
    </row>
    <row r="4074" spans="1:7">
      <c r="A4074" t="s">
        <v>6435</v>
      </c>
      <c r="B4074" t="s">
        <v>8273</v>
      </c>
      <c r="C4074" t="s">
        <v>8394</v>
      </c>
      <c r="D4074" t="s">
        <v>8414</v>
      </c>
      <c r="E4074" t="s">
        <v>8445</v>
      </c>
      <c r="F4074" t="s">
        <v>8448</v>
      </c>
      <c r="G4074" t="s">
        <v>9133</v>
      </c>
    </row>
    <row r="4075" spans="1:7">
      <c r="A4075" t="s">
        <v>6436</v>
      </c>
      <c r="B4075" t="s">
        <v>8273</v>
      </c>
      <c r="C4075" t="s">
        <v>8394</v>
      </c>
      <c r="D4075" t="s">
        <v>8403</v>
      </c>
      <c r="E4075" t="s">
        <v>8444</v>
      </c>
      <c r="F4075" t="s">
        <v>8449</v>
      </c>
      <c r="G4075" t="s">
        <v>8455</v>
      </c>
    </row>
    <row r="4076" spans="1:7">
      <c r="A4076" t="s">
        <v>6437</v>
      </c>
      <c r="B4076" t="s">
        <v>8273</v>
      </c>
      <c r="C4076" t="s">
        <v>8395</v>
      </c>
      <c r="D4076" t="s">
        <v>8438</v>
      </c>
      <c r="E4076" t="s">
        <v>8445</v>
      </c>
      <c r="F4076" t="s">
        <v>8449</v>
      </c>
      <c r="G4076" t="s">
        <v>8455</v>
      </c>
    </row>
    <row r="4077" spans="1:7">
      <c r="A4077" t="s">
        <v>6438</v>
      </c>
      <c r="C4077" t="s">
        <v>8394</v>
      </c>
      <c r="D4077" t="s">
        <v>8424</v>
      </c>
      <c r="E4077" t="s">
        <v>8445</v>
      </c>
      <c r="F4077" t="s">
        <v>8448</v>
      </c>
      <c r="G4077" t="s">
        <v>9134</v>
      </c>
    </row>
    <row r="4078" spans="1:7">
      <c r="A4078" t="s">
        <v>6439</v>
      </c>
      <c r="B4078" t="s">
        <v>8273</v>
      </c>
      <c r="C4078" t="s">
        <v>8394</v>
      </c>
      <c r="D4078" t="s">
        <v>8424</v>
      </c>
      <c r="E4078" t="s">
        <v>8444</v>
      </c>
      <c r="F4078" t="s">
        <v>8449</v>
      </c>
      <c r="G4078" t="s">
        <v>8453</v>
      </c>
    </row>
    <row r="4079" spans="1:7">
      <c r="A4079" t="s">
        <v>6440</v>
      </c>
      <c r="B4079" t="s">
        <v>8273</v>
      </c>
      <c r="C4079" t="s">
        <v>8394</v>
      </c>
      <c r="D4079" t="s">
        <v>8414</v>
      </c>
      <c r="E4079" t="s">
        <v>8445</v>
      </c>
      <c r="F4079" t="s">
        <v>8448</v>
      </c>
      <c r="G4079" t="s">
        <v>9135</v>
      </c>
    </row>
    <row r="4080" spans="1:7">
      <c r="A4080" t="s">
        <v>6441</v>
      </c>
      <c r="B4080" t="s">
        <v>8273</v>
      </c>
      <c r="C4080" t="s">
        <v>8397</v>
      </c>
      <c r="D4080" t="s">
        <v>8421</v>
      </c>
      <c r="E4080" t="s">
        <v>8445</v>
      </c>
      <c r="F4080" t="s">
        <v>8448</v>
      </c>
      <c r="G4080" t="s">
        <v>9136</v>
      </c>
    </row>
    <row r="4081" spans="1:7">
      <c r="A4081" t="s">
        <v>6442</v>
      </c>
      <c r="C4081" t="s">
        <v>8398</v>
      </c>
      <c r="D4081" t="s">
        <v>8410</v>
      </c>
      <c r="E4081" t="s">
        <v>8444</v>
      </c>
      <c r="F4081" t="s">
        <v>8449</v>
      </c>
      <c r="G4081" t="s">
        <v>9137</v>
      </c>
    </row>
    <row r="4082" spans="1:7">
      <c r="A4082" t="s">
        <v>6443</v>
      </c>
      <c r="B4082" t="s">
        <v>8273</v>
      </c>
      <c r="C4082" t="s">
        <v>8396</v>
      </c>
      <c r="D4082" t="s">
        <v>8420</v>
      </c>
      <c r="E4082" t="s">
        <v>1519</v>
      </c>
      <c r="F4082" t="s">
        <v>8448</v>
      </c>
      <c r="G4082" t="s">
        <v>9138</v>
      </c>
    </row>
    <row r="4083" spans="1:7">
      <c r="A4083" t="s">
        <v>6444</v>
      </c>
      <c r="B4083" t="s">
        <v>8273</v>
      </c>
      <c r="C4083" t="s">
        <v>8398</v>
      </c>
      <c r="D4083" t="s">
        <v>8409</v>
      </c>
      <c r="E4083" t="s">
        <v>8446</v>
      </c>
      <c r="F4083" t="s">
        <v>8448</v>
      </c>
      <c r="G4083" t="s">
        <v>8453</v>
      </c>
    </row>
    <row r="4084" spans="1:7">
      <c r="A4084" t="s">
        <v>6445</v>
      </c>
      <c r="C4084" t="s">
        <v>8394</v>
      </c>
      <c r="D4084" t="s">
        <v>8413</v>
      </c>
      <c r="E4084" t="s">
        <v>8445</v>
      </c>
      <c r="F4084" t="s">
        <v>8448</v>
      </c>
      <c r="G4084" t="s">
        <v>8453</v>
      </c>
    </row>
    <row r="4085" spans="1:7">
      <c r="A4085" t="s">
        <v>6446</v>
      </c>
      <c r="C4085" t="s">
        <v>8396</v>
      </c>
      <c r="D4085" t="s">
        <v>8405</v>
      </c>
      <c r="E4085" t="s">
        <v>1519</v>
      </c>
      <c r="F4085" t="s">
        <v>8449</v>
      </c>
      <c r="G4085" t="s">
        <v>8455</v>
      </c>
    </row>
    <row r="4086" spans="1:7">
      <c r="A4086" t="s">
        <v>6447</v>
      </c>
      <c r="B4086" t="s">
        <v>8273</v>
      </c>
      <c r="C4086" t="s">
        <v>8396</v>
      </c>
      <c r="D4086" t="s">
        <v>8405</v>
      </c>
      <c r="E4086" t="s">
        <v>1519</v>
      </c>
      <c r="F4086" t="s">
        <v>8448</v>
      </c>
      <c r="G4086" t="s">
        <v>8455</v>
      </c>
    </row>
    <row r="4087" spans="1:7">
      <c r="A4087" t="s">
        <v>6448</v>
      </c>
      <c r="C4087" t="s">
        <v>8393</v>
      </c>
      <c r="D4087" t="s">
        <v>8393</v>
      </c>
      <c r="E4087" t="s">
        <v>919</v>
      </c>
      <c r="F4087" t="s">
        <v>8393</v>
      </c>
    </row>
    <row r="4088" spans="1:7">
      <c r="A4088" t="s">
        <v>6449</v>
      </c>
      <c r="C4088" t="s">
        <v>8394</v>
      </c>
      <c r="D4088" t="s">
        <v>8401</v>
      </c>
      <c r="E4088" t="s">
        <v>8444</v>
      </c>
      <c r="F4088" t="s">
        <v>8448</v>
      </c>
      <c r="G4088" t="s">
        <v>9139</v>
      </c>
    </row>
    <row r="4089" spans="1:7">
      <c r="A4089" t="s">
        <v>6450</v>
      </c>
      <c r="C4089" t="s">
        <v>8394</v>
      </c>
      <c r="D4089" t="s">
        <v>8401</v>
      </c>
      <c r="E4089" t="s">
        <v>8444</v>
      </c>
      <c r="F4089" t="s">
        <v>8448</v>
      </c>
      <c r="G4089" t="s">
        <v>9139</v>
      </c>
    </row>
    <row r="4090" spans="1:7">
      <c r="A4090" t="s">
        <v>6451</v>
      </c>
      <c r="C4090" t="s">
        <v>8394</v>
      </c>
      <c r="D4090" t="s">
        <v>8401</v>
      </c>
      <c r="E4090" t="s">
        <v>8444</v>
      </c>
      <c r="F4090" t="s">
        <v>8448</v>
      </c>
      <c r="G4090" t="s">
        <v>9139</v>
      </c>
    </row>
    <row r="4091" spans="1:7">
      <c r="A4091" t="s">
        <v>6452</v>
      </c>
      <c r="C4091" t="s">
        <v>8394</v>
      </c>
      <c r="D4091" t="s">
        <v>8401</v>
      </c>
      <c r="E4091" t="s">
        <v>8444</v>
      </c>
      <c r="F4091" t="s">
        <v>8448</v>
      </c>
      <c r="G4091" t="s">
        <v>9139</v>
      </c>
    </row>
    <row r="4092" spans="1:7">
      <c r="A4092" t="s">
        <v>6453</v>
      </c>
      <c r="C4092" t="s">
        <v>8397</v>
      </c>
      <c r="D4092" t="s">
        <v>8412</v>
      </c>
      <c r="E4092" t="s">
        <v>8445</v>
      </c>
      <c r="F4092" t="s">
        <v>8450</v>
      </c>
    </row>
    <row r="4093" spans="1:7">
      <c r="A4093" t="s">
        <v>6454</v>
      </c>
      <c r="C4093" t="s">
        <v>8397</v>
      </c>
      <c r="D4093" t="s">
        <v>8412</v>
      </c>
      <c r="E4093" t="s">
        <v>8445</v>
      </c>
      <c r="F4093" t="s">
        <v>8450</v>
      </c>
    </row>
    <row r="4094" spans="1:7">
      <c r="A4094" t="s">
        <v>6455</v>
      </c>
      <c r="C4094" t="s">
        <v>8394</v>
      </c>
      <c r="D4094" t="s">
        <v>8402</v>
      </c>
      <c r="E4094" t="s">
        <v>8445</v>
      </c>
      <c r="F4094" t="s">
        <v>8448</v>
      </c>
      <c r="G4094" t="s">
        <v>9140</v>
      </c>
    </row>
    <row r="4095" spans="1:7">
      <c r="A4095" t="s">
        <v>6456</v>
      </c>
      <c r="C4095" t="s">
        <v>8393</v>
      </c>
      <c r="D4095" t="s">
        <v>8393</v>
      </c>
      <c r="E4095" t="s">
        <v>919</v>
      </c>
      <c r="F4095" t="s">
        <v>8393</v>
      </c>
    </row>
    <row r="4096" spans="1:7">
      <c r="A4096" t="s">
        <v>6457</v>
      </c>
      <c r="B4096" t="s">
        <v>8278</v>
      </c>
      <c r="C4096" t="s">
        <v>8394</v>
      </c>
      <c r="D4096" t="s">
        <v>8423</v>
      </c>
      <c r="E4096" t="s">
        <v>8444</v>
      </c>
      <c r="F4096" t="s">
        <v>8449</v>
      </c>
      <c r="G4096" t="s">
        <v>8455</v>
      </c>
    </row>
    <row r="4097" spans="1:7">
      <c r="A4097" t="s">
        <v>6458</v>
      </c>
      <c r="B4097" t="s">
        <v>8284</v>
      </c>
      <c r="C4097" t="s">
        <v>8394</v>
      </c>
      <c r="D4097" t="s">
        <v>8423</v>
      </c>
      <c r="E4097" t="s">
        <v>8444</v>
      </c>
      <c r="F4097" t="s">
        <v>8449</v>
      </c>
      <c r="G4097" t="s">
        <v>8455</v>
      </c>
    </row>
    <row r="4098" spans="1:7">
      <c r="A4098" t="s">
        <v>6459</v>
      </c>
      <c r="B4098" t="s">
        <v>8279</v>
      </c>
      <c r="C4098" t="s">
        <v>8394</v>
      </c>
      <c r="D4098" t="s">
        <v>8423</v>
      </c>
      <c r="E4098" t="s">
        <v>8444</v>
      </c>
      <c r="F4098" t="s">
        <v>8449</v>
      </c>
      <c r="G4098" t="s">
        <v>8455</v>
      </c>
    </row>
    <row r="4099" spans="1:7">
      <c r="A4099" t="s">
        <v>6460</v>
      </c>
      <c r="B4099" t="s">
        <v>8278</v>
      </c>
      <c r="C4099" t="s">
        <v>8394</v>
      </c>
      <c r="D4099" t="s">
        <v>8423</v>
      </c>
      <c r="E4099" t="s">
        <v>8444</v>
      </c>
      <c r="F4099" t="s">
        <v>8449</v>
      </c>
      <c r="G4099" t="s">
        <v>8455</v>
      </c>
    </row>
    <row r="4100" spans="1:7">
      <c r="A4100" t="s">
        <v>6461</v>
      </c>
      <c r="B4100" t="s">
        <v>8309</v>
      </c>
      <c r="C4100" t="s">
        <v>8394</v>
      </c>
      <c r="D4100" t="s">
        <v>8423</v>
      </c>
      <c r="E4100" t="s">
        <v>8444</v>
      </c>
      <c r="F4100" t="s">
        <v>8449</v>
      </c>
      <c r="G4100" t="s">
        <v>8455</v>
      </c>
    </row>
    <row r="4101" spans="1:7">
      <c r="A4101" t="s">
        <v>6462</v>
      </c>
      <c r="B4101" t="s">
        <v>8281</v>
      </c>
      <c r="C4101" t="s">
        <v>8394</v>
      </c>
      <c r="D4101" t="s">
        <v>8423</v>
      </c>
      <c r="E4101" t="s">
        <v>8444</v>
      </c>
      <c r="F4101" t="s">
        <v>8449</v>
      </c>
      <c r="G4101" t="s">
        <v>8455</v>
      </c>
    </row>
    <row r="4102" spans="1:7">
      <c r="A4102" t="s">
        <v>6463</v>
      </c>
      <c r="B4102" t="s">
        <v>8273</v>
      </c>
      <c r="C4102" t="s">
        <v>8396</v>
      </c>
      <c r="D4102" t="s">
        <v>8404</v>
      </c>
      <c r="E4102" t="s">
        <v>1519</v>
      </c>
      <c r="F4102" t="s">
        <v>8449</v>
      </c>
      <c r="G4102" t="s">
        <v>8455</v>
      </c>
    </row>
    <row r="4103" spans="1:7">
      <c r="A4103" t="s">
        <v>6464</v>
      </c>
      <c r="B4103" t="s">
        <v>8344</v>
      </c>
      <c r="C4103" t="s">
        <v>8396</v>
      </c>
      <c r="D4103" t="s">
        <v>8404</v>
      </c>
      <c r="E4103" t="s">
        <v>1519</v>
      </c>
      <c r="F4103" t="s">
        <v>8449</v>
      </c>
      <c r="G4103" t="s">
        <v>8455</v>
      </c>
    </row>
    <row r="4104" spans="1:7">
      <c r="A4104" t="s">
        <v>6465</v>
      </c>
      <c r="B4104" t="s">
        <v>8273</v>
      </c>
      <c r="C4104" t="s">
        <v>8394</v>
      </c>
      <c r="D4104" t="s">
        <v>8401</v>
      </c>
      <c r="E4104" t="s">
        <v>8446</v>
      </c>
      <c r="F4104" t="s">
        <v>8448</v>
      </c>
      <c r="G4104" t="s">
        <v>8493</v>
      </c>
    </row>
    <row r="4105" spans="1:7">
      <c r="A4105" t="s">
        <v>6466</v>
      </c>
      <c r="B4105" t="s">
        <v>8273</v>
      </c>
      <c r="C4105" t="s">
        <v>8398</v>
      </c>
      <c r="D4105" t="s">
        <v>8409</v>
      </c>
      <c r="E4105" t="s">
        <v>8445</v>
      </c>
      <c r="F4105" t="s">
        <v>8448</v>
      </c>
      <c r="G4105" t="s">
        <v>9141</v>
      </c>
    </row>
    <row r="4106" spans="1:7">
      <c r="A4106" t="s">
        <v>6467</v>
      </c>
      <c r="B4106" t="s">
        <v>8273</v>
      </c>
      <c r="C4106" t="s">
        <v>8394</v>
      </c>
      <c r="D4106" t="s">
        <v>8414</v>
      </c>
      <c r="E4106" t="s">
        <v>8445</v>
      </c>
      <c r="F4106" t="s">
        <v>8448</v>
      </c>
      <c r="G4106" t="s">
        <v>8453</v>
      </c>
    </row>
    <row r="4107" spans="1:7">
      <c r="A4107" t="s">
        <v>6468</v>
      </c>
      <c r="C4107" t="s">
        <v>8393</v>
      </c>
      <c r="D4107" t="s">
        <v>8393</v>
      </c>
      <c r="E4107" t="s">
        <v>919</v>
      </c>
      <c r="F4107" t="s">
        <v>8393</v>
      </c>
    </row>
    <row r="4108" spans="1:7">
      <c r="A4108" t="s">
        <v>6469</v>
      </c>
      <c r="B4108" t="s">
        <v>8273</v>
      </c>
      <c r="C4108" t="s">
        <v>8395</v>
      </c>
      <c r="D4108" t="s">
        <v>8400</v>
      </c>
      <c r="E4108" t="s">
        <v>8446</v>
      </c>
      <c r="F4108" t="s">
        <v>8448</v>
      </c>
      <c r="G4108" t="s">
        <v>8455</v>
      </c>
    </row>
    <row r="4109" spans="1:7">
      <c r="A4109" t="s">
        <v>6470</v>
      </c>
      <c r="B4109" t="s">
        <v>8300</v>
      </c>
      <c r="C4109" t="s">
        <v>8395</v>
      </c>
      <c r="D4109" t="s">
        <v>8400</v>
      </c>
      <c r="E4109" t="s">
        <v>8446</v>
      </c>
      <c r="F4109" t="s">
        <v>8448</v>
      </c>
      <c r="G4109" t="s">
        <v>8455</v>
      </c>
    </row>
    <row r="4110" spans="1:7">
      <c r="A4110" t="s">
        <v>6471</v>
      </c>
      <c r="B4110" t="s">
        <v>8285</v>
      </c>
      <c r="C4110" t="s">
        <v>8395</v>
      </c>
      <c r="D4110" t="s">
        <v>8400</v>
      </c>
      <c r="E4110" t="s">
        <v>8446</v>
      </c>
      <c r="F4110" t="s">
        <v>8448</v>
      </c>
      <c r="G4110" t="s">
        <v>8455</v>
      </c>
    </row>
    <row r="4111" spans="1:7">
      <c r="A4111" t="s">
        <v>6472</v>
      </c>
      <c r="B4111" t="s">
        <v>8286</v>
      </c>
      <c r="C4111" t="s">
        <v>8395</v>
      </c>
      <c r="D4111" t="s">
        <v>8400</v>
      </c>
      <c r="E4111" t="s">
        <v>8446</v>
      </c>
      <c r="F4111" t="s">
        <v>8448</v>
      </c>
      <c r="G4111" t="s">
        <v>8455</v>
      </c>
    </row>
    <row r="4112" spans="1:7">
      <c r="A4112" t="s">
        <v>6473</v>
      </c>
      <c r="B4112" t="s">
        <v>8274</v>
      </c>
      <c r="C4112" t="s">
        <v>8395</v>
      </c>
      <c r="D4112" t="s">
        <v>8400</v>
      </c>
      <c r="E4112" t="s">
        <v>8446</v>
      </c>
      <c r="F4112" t="s">
        <v>8448</v>
      </c>
      <c r="G4112" t="s">
        <v>8455</v>
      </c>
    </row>
    <row r="4113" spans="1:7">
      <c r="A4113" t="s">
        <v>6474</v>
      </c>
      <c r="B4113" t="s">
        <v>8287</v>
      </c>
      <c r="C4113" t="s">
        <v>8395</v>
      </c>
      <c r="D4113" t="s">
        <v>8400</v>
      </c>
      <c r="E4113" t="s">
        <v>8446</v>
      </c>
      <c r="F4113" t="s">
        <v>8448</v>
      </c>
      <c r="G4113" t="s">
        <v>8455</v>
      </c>
    </row>
    <row r="4114" spans="1:7">
      <c r="A4114" t="s">
        <v>6475</v>
      </c>
      <c r="B4114" t="s">
        <v>8277</v>
      </c>
      <c r="C4114" t="s">
        <v>8395</v>
      </c>
      <c r="D4114" t="s">
        <v>8400</v>
      </c>
      <c r="E4114" t="s">
        <v>8446</v>
      </c>
      <c r="F4114" t="s">
        <v>8448</v>
      </c>
      <c r="G4114" t="s">
        <v>8455</v>
      </c>
    </row>
    <row r="4115" spans="1:7">
      <c r="A4115" t="s">
        <v>6476</v>
      </c>
      <c r="B4115" t="s">
        <v>8273</v>
      </c>
      <c r="C4115" t="s">
        <v>8396</v>
      </c>
      <c r="D4115" t="s">
        <v>8425</v>
      </c>
      <c r="E4115" t="s">
        <v>1519</v>
      </c>
      <c r="F4115" t="s">
        <v>8448</v>
      </c>
      <c r="G4115" t="s">
        <v>9142</v>
      </c>
    </row>
    <row r="4116" spans="1:7">
      <c r="A4116" t="s">
        <v>6477</v>
      </c>
      <c r="B4116" t="s">
        <v>8273</v>
      </c>
      <c r="C4116" t="s">
        <v>8394</v>
      </c>
      <c r="D4116" t="s">
        <v>8402</v>
      </c>
      <c r="E4116" t="s">
        <v>8445</v>
      </c>
      <c r="F4116" t="s">
        <v>8448</v>
      </c>
      <c r="G4116" t="s">
        <v>8455</v>
      </c>
    </row>
    <row r="4117" spans="1:7">
      <c r="A4117" t="s">
        <v>6478</v>
      </c>
      <c r="B4117" t="s">
        <v>8299</v>
      </c>
      <c r="C4117" t="s">
        <v>8397</v>
      </c>
      <c r="D4117" t="s">
        <v>8431</v>
      </c>
      <c r="E4117" t="s">
        <v>1587</v>
      </c>
      <c r="F4117" t="s">
        <v>8448</v>
      </c>
      <c r="G4117" t="s">
        <v>9143</v>
      </c>
    </row>
    <row r="4118" spans="1:7">
      <c r="A4118" t="s">
        <v>6479</v>
      </c>
      <c r="B4118" t="s">
        <v>8299</v>
      </c>
      <c r="C4118" t="s">
        <v>8397</v>
      </c>
      <c r="D4118" t="s">
        <v>8431</v>
      </c>
      <c r="E4118" t="s">
        <v>8446</v>
      </c>
      <c r="F4118" t="s">
        <v>8448</v>
      </c>
      <c r="G4118" t="s">
        <v>9144</v>
      </c>
    </row>
    <row r="4119" spans="1:7">
      <c r="A4119" t="s">
        <v>6480</v>
      </c>
      <c r="C4119" t="s">
        <v>8393</v>
      </c>
      <c r="D4119" t="s">
        <v>8393</v>
      </c>
      <c r="E4119" t="s">
        <v>919</v>
      </c>
      <c r="F4119" t="s">
        <v>8393</v>
      </c>
    </row>
    <row r="4120" spans="1:7">
      <c r="A4120" t="s">
        <v>6481</v>
      </c>
      <c r="B4120" t="s">
        <v>8273</v>
      </c>
      <c r="C4120" t="s">
        <v>8395</v>
      </c>
      <c r="D4120" t="s">
        <v>8402</v>
      </c>
      <c r="E4120" t="s">
        <v>8444</v>
      </c>
      <c r="F4120" t="s">
        <v>8449</v>
      </c>
      <c r="G4120" t="s">
        <v>8455</v>
      </c>
    </row>
    <row r="4121" spans="1:7">
      <c r="A4121" t="s">
        <v>6482</v>
      </c>
      <c r="B4121" t="s">
        <v>8278</v>
      </c>
      <c r="C4121" t="s">
        <v>8395</v>
      </c>
      <c r="D4121" t="s">
        <v>8423</v>
      </c>
      <c r="E4121" t="s">
        <v>8444</v>
      </c>
      <c r="F4121" t="s">
        <v>8449</v>
      </c>
      <c r="G4121" t="s">
        <v>8455</v>
      </c>
    </row>
    <row r="4122" spans="1:7">
      <c r="A4122" t="s">
        <v>6483</v>
      </c>
      <c r="C4122" t="s">
        <v>8393</v>
      </c>
      <c r="D4122" t="s">
        <v>8393</v>
      </c>
      <c r="E4122" t="s">
        <v>919</v>
      </c>
      <c r="F4122" t="s">
        <v>8393</v>
      </c>
    </row>
    <row r="4123" spans="1:7">
      <c r="A4123" t="s">
        <v>6484</v>
      </c>
      <c r="B4123" t="s">
        <v>8273</v>
      </c>
      <c r="C4123" t="s">
        <v>8395</v>
      </c>
      <c r="D4123" t="s">
        <v>8415</v>
      </c>
      <c r="E4123" t="s">
        <v>8446</v>
      </c>
      <c r="F4123" t="s">
        <v>8449</v>
      </c>
      <c r="G4123" t="s">
        <v>8455</v>
      </c>
    </row>
    <row r="4124" spans="1:7">
      <c r="A4124" t="s">
        <v>6485</v>
      </c>
      <c r="B4124" t="s">
        <v>8277</v>
      </c>
      <c r="C4124" t="s">
        <v>8395</v>
      </c>
      <c r="D4124" t="s">
        <v>8415</v>
      </c>
      <c r="E4124" t="s">
        <v>8446</v>
      </c>
      <c r="F4124" t="s">
        <v>8449</v>
      </c>
      <c r="G4124" t="s">
        <v>8455</v>
      </c>
    </row>
    <row r="4125" spans="1:7">
      <c r="A4125" t="s">
        <v>6486</v>
      </c>
      <c r="B4125" t="s">
        <v>8316</v>
      </c>
      <c r="C4125" t="s">
        <v>8394</v>
      </c>
      <c r="D4125" t="s">
        <v>8414</v>
      </c>
      <c r="E4125" t="s">
        <v>8445</v>
      </c>
      <c r="F4125" t="s">
        <v>8448</v>
      </c>
      <c r="G4125" t="s">
        <v>796</v>
      </c>
    </row>
    <row r="4126" spans="1:7">
      <c r="A4126" t="s">
        <v>6487</v>
      </c>
      <c r="B4126" t="s">
        <v>8316</v>
      </c>
      <c r="C4126" t="s">
        <v>8394</v>
      </c>
      <c r="D4126" t="s">
        <v>8414</v>
      </c>
      <c r="E4126" t="s">
        <v>8445</v>
      </c>
      <c r="F4126" t="s">
        <v>8448</v>
      </c>
      <c r="G4126" t="s">
        <v>796</v>
      </c>
    </row>
    <row r="4127" spans="1:7">
      <c r="A4127" t="s">
        <v>6488</v>
      </c>
      <c r="B4127" t="s">
        <v>8315</v>
      </c>
      <c r="C4127" t="s">
        <v>8395</v>
      </c>
      <c r="D4127" t="s">
        <v>8402</v>
      </c>
      <c r="E4127" t="s">
        <v>8444</v>
      </c>
      <c r="F4127" t="s">
        <v>8449</v>
      </c>
      <c r="G4127" t="s">
        <v>8455</v>
      </c>
    </row>
    <row r="4128" spans="1:7">
      <c r="A4128" t="s">
        <v>6489</v>
      </c>
      <c r="B4128" t="s">
        <v>8316</v>
      </c>
      <c r="C4128" t="s">
        <v>8394</v>
      </c>
      <c r="D4128" t="s">
        <v>8414</v>
      </c>
      <c r="E4128" t="s">
        <v>8445</v>
      </c>
      <c r="F4128" t="s">
        <v>8448</v>
      </c>
      <c r="G4128" t="s">
        <v>796</v>
      </c>
    </row>
    <row r="4129" spans="1:7">
      <c r="A4129" t="s">
        <v>6490</v>
      </c>
      <c r="B4129" t="s">
        <v>8315</v>
      </c>
      <c r="C4129" t="s">
        <v>8394</v>
      </c>
      <c r="D4129" t="s">
        <v>8414</v>
      </c>
      <c r="E4129" t="s">
        <v>8444</v>
      </c>
      <c r="F4129" t="s">
        <v>8449</v>
      </c>
      <c r="G4129" t="s">
        <v>9145</v>
      </c>
    </row>
    <row r="4130" spans="1:7">
      <c r="A4130" t="s">
        <v>6491</v>
      </c>
      <c r="B4130" t="s">
        <v>8316</v>
      </c>
      <c r="C4130" t="s">
        <v>8394</v>
      </c>
      <c r="D4130" t="s">
        <v>8417</v>
      </c>
      <c r="E4130" t="s">
        <v>8445</v>
      </c>
      <c r="F4130" t="s">
        <v>8448</v>
      </c>
      <c r="G4130" t="s">
        <v>796</v>
      </c>
    </row>
    <row r="4131" spans="1:7">
      <c r="A4131" t="s">
        <v>6492</v>
      </c>
      <c r="B4131" t="s">
        <v>8316</v>
      </c>
      <c r="C4131" t="s">
        <v>8394</v>
      </c>
      <c r="D4131" t="s">
        <v>8414</v>
      </c>
      <c r="E4131" t="s">
        <v>8445</v>
      </c>
      <c r="F4131" t="s">
        <v>8448</v>
      </c>
      <c r="G4131" t="s">
        <v>796</v>
      </c>
    </row>
    <row r="4132" spans="1:7">
      <c r="A4132" t="s">
        <v>6493</v>
      </c>
      <c r="B4132" t="s">
        <v>8315</v>
      </c>
      <c r="C4132" t="s">
        <v>8394</v>
      </c>
      <c r="D4132" t="s">
        <v>8402</v>
      </c>
      <c r="E4132" t="s">
        <v>8445</v>
      </c>
      <c r="F4132" t="s">
        <v>8448</v>
      </c>
      <c r="G4132" t="s">
        <v>796</v>
      </c>
    </row>
    <row r="4133" spans="1:7">
      <c r="A4133" t="s">
        <v>6494</v>
      </c>
      <c r="B4133" t="s">
        <v>8316</v>
      </c>
      <c r="C4133" t="s">
        <v>8394</v>
      </c>
      <c r="D4133" t="s">
        <v>8414</v>
      </c>
      <c r="E4133" t="s">
        <v>8445</v>
      </c>
      <c r="F4133" t="s">
        <v>8448</v>
      </c>
      <c r="G4133" t="s">
        <v>796</v>
      </c>
    </row>
    <row r="4134" spans="1:7">
      <c r="A4134" t="s">
        <v>6495</v>
      </c>
      <c r="B4134" t="s">
        <v>8315</v>
      </c>
      <c r="C4134" t="s">
        <v>8394</v>
      </c>
      <c r="D4134" t="s">
        <v>8414</v>
      </c>
      <c r="E4134" t="s">
        <v>8445</v>
      </c>
      <c r="F4134" t="s">
        <v>8448</v>
      </c>
      <c r="G4134" t="s">
        <v>796</v>
      </c>
    </row>
    <row r="4135" spans="1:7">
      <c r="A4135" t="s">
        <v>6496</v>
      </c>
      <c r="B4135" t="s">
        <v>8316</v>
      </c>
      <c r="C4135" t="s">
        <v>8397</v>
      </c>
      <c r="D4135" t="s">
        <v>8431</v>
      </c>
      <c r="E4135" t="s">
        <v>8445</v>
      </c>
      <c r="F4135" t="s">
        <v>8448</v>
      </c>
      <c r="G4135" t="s">
        <v>9146</v>
      </c>
    </row>
    <row r="4136" spans="1:7">
      <c r="A4136" t="s">
        <v>6497</v>
      </c>
      <c r="B4136" t="s">
        <v>8316</v>
      </c>
      <c r="C4136" t="s">
        <v>8394</v>
      </c>
      <c r="D4136" t="s">
        <v>8414</v>
      </c>
      <c r="E4136" t="s">
        <v>8445</v>
      </c>
      <c r="F4136" t="s">
        <v>8448</v>
      </c>
      <c r="G4136" t="s">
        <v>796</v>
      </c>
    </row>
    <row r="4137" spans="1:7">
      <c r="A4137" t="s">
        <v>6498</v>
      </c>
      <c r="B4137" t="s">
        <v>8315</v>
      </c>
      <c r="C4137" t="s">
        <v>8394</v>
      </c>
      <c r="D4137" t="s">
        <v>8402</v>
      </c>
      <c r="E4137" t="s">
        <v>8445</v>
      </c>
      <c r="F4137" t="s">
        <v>8448</v>
      </c>
      <c r="G4137" t="s">
        <v>9147</v>
      </c>
    </row>
    <row r="4138" spans="1:7">
      <c r="A4138" t="s">
        <v>6499</v>
      </c>
      <c r="B4138" t="s">
        <v>8316</v>
      </c>
      <c r="C4138" t="s">
        <v>8394</v>
      </c>
      <c r="D4138" t="s">
        <v>8414</v>
      </c>
      <c r="E4138" t="s">
        <v>8445</v>
      </c>
      <c r="F4138" t="s">
        <v>8448</v>
      </c>
      <c r="G4138" t="s">
        <v>796</v>
      </c>
    </row>
    <row r="4139" spans="1:7">
      <c r="A4139" t="s">
        <v>6500</v>
      </c>
      <c r="C4139" t="s">
        <v>8393</v>
      </c>
      <c r="D4139" t="s">
        <v>8393</v>
      </c>
      <c r="E4139" t="s">
        <v>919</v>
      </c>
      <c r="F4139" t="s">
        <v>8393</v>
      </c>
    </row>
    <row r="4140" spans="1:7">
      <c r="A4140" t="s">
        <v>6501</v>
      </c>
      <c r="B4140" t="s">
        <v>8315</v>
      </c>
      <c r="C4140" t="s">
        <v>8397</v>
      </c>
      <c r="D4140" t="s">
        <v>8418</v>
      </c>
      <c r="E4140" t="s">
        <v>8445</v>
      </c>
      <c r="F4140" t="s">
        <v>8448</v>
      </c>
      <c r="G4140" t="s">
        <v>8455</v>
      </c>
    </row>
    <row r="4141" spans="1:7">
      <c r="A4141" t="s">
        <v>6502</v>
      </c>
      <c r="B4141" t="s">
        <v>8316</v>
      </c>
      <c r="C4141" t="s">
        <v>8397</v>
      </c>
      <c r="D4141" t="s">
        <v>8418</v>
      </c>
      <c r="E4141" t="s">
        <v>8445</v>
      </c>
      <c r="F4141" t="s">
        <v>8448</v>
      </c>
      <c r="G4141" t="s">
        <v>796</v>
      </c>
    </row>
    <row r="4142" spans="1:7">
      <c r="A4142" t="s">
        <v>6503</v>
      </c>
      <c r="B4142" t="s">
        <v>8315</v>
      </c>
      <c r="C4142" t="s">
        <v>8394</v>
      </c>
      <c r="D4142" t="s">
        <v>8402</v>
      </c>
      <c r="E4142" t="s">
        <v>8445</v>
      </c>
      <c r="F4142" t="s">
        <v>8448</v>
      </c>
      <c r="G4142" t="s">
        <v>8950</v>
      </c>
    </row>
    <row r="4143" spans="1:7">
      <c r="A4143" t="s">
        <v>6504</v>
      </c>
      <c r="C4143" t="s">
        <v>8393</v>
      </c>
      <c r="D4143" t="s">
        <v>8393</v>
      </c>
      <c r="E4143" t="s">
        <v>919</v>
      </c>
      <c r="F4143" t="s">
        <v>8393</v>
      </c>
    </row>
    <row r="4144" spans="1:7">
      <c r="A4144" t="s">
        <v>6505</v>
      </c>
      <c r="B4144" t="s">
        <v>8315</v>
      </c>
      <c r="C4144" t="s">
        <v>8395</v>
      </c>
      <c r="D4144" t="s">
        <v>8441</v>
      </c>
      <c r="E4144" t="s">
        <v>8446</v>
      </c>
      <c r="F4144" t="s">
        <v>8449</v>
      </c>
      <c r="G4144" t="s">
        <v>8455</v>
      </c>
    </row>
    <row r="4145" spans="1:7">
      <c r="A4145" t="s">
        <v>6506</v>
      </c>
      <c r="B4145" t="s">
        <v>8371</v>
      </c>
      <c r="C4145" t="s">
        <v>8395</v>
      </c>
      <c r="D4145" t="s">
        <v>8441</v>
      </c>
      <c r="E4145" t="s">
        <v>8444</v>
      </c>
      <c r="F4145" t="s">
        <v>8449</v>
      </c>
      <c r="G4145" t="s">
        <v>8455</v>
      </c>
    </row>
    <row r="4146" spans="1:7">
      <c r="A4146" t="s">
        <v>6507</v>
      </c>
      <c r="B4146" t="s">
        <v>8372</v>
      </c>
      <c r="C4146" t="s">
        <v>8395</v>
      </c>
      <c r="D4146" t="s">
        <v>8441</v>
      </c>
      <c r="E4146" t="s">
        <v>8444</v>
      </c>
      <c r="F4146" t="s">
        <v>8449</v>
      </c>
      <c r="G4146" t="s">
        <v>8455</v>
      </c>
    </row>
    <row r="4147" spans="1:7">
      <c r="A4147" t="s">
        <v>6508</v>
      </c>
      <c r="B4147" t="s">
        <v>8316</v>
      </c>
      <c r="C4147" t="s">
        <v>8394</v>
      </c>
      <c r="D4147" t="s">
        <v>8402</v>
      </c>
      <c r="E4147" t="s">
        <v>8445</v>
      </c>
      <c r="F4147" t="s">
        <v>8448</v>
      </c>
      <c r="G4147" t="s">
        <v>9148</v>
      </c>
    </row>
    <row r="4148" spans="1:7">
      <c r="A4148" t="s">
        <v>6509</v>
      </c>
      <c r="B4148" t="s">
        <v>8315</v>
      </c>
      <c r="C4148" t="s">
        <v>8394</v>
      </c>
      <c r="D4148" t="s">
        <v>8402</v>
      </c>
      <c r="E4148" t="s">
        <v>8445</v>
      </c>
      <c r="F4148" t="s">
        <v>8448</v>
      </c>
      <c r="G4148" t="s">
        <v>9149</v>
      </c>
    </row>
    <row r="4149" spans="1:7">
      <c r="A4149" t="s">
        <v>6510</v>
      </c>
      <c r="B4149" t="s">
        <v>8315</v>
      </c>
      <c r="C4149" t="s">
        <v>8394</v>
      </c>
      <c r="D4149" t="s">
        <v>8407</v>
      </c>
      <c r="E4149" t="s">
        <v>8444</v>
      </c>
      <c r="F4149" t="s">
        <v>8448</v>
      </c>
      <c r="G4149" t="s">
        <v>9150</v>
      </c>
    </row>
    <row r="4150" spans="1:7">
      <c r="A4150" t="s">
        <v>6511</v>
      </c>
      <c r="B4150" t="s">
        <v>8316</v>
      </c>
      <c r="C4150" t="s">
        <v>8394</v>
      </c>
      <c r="D4150" t="s">
        <v>8417</v>
      </c>
      <c r="E4150" t="s">
        <v>8445</v>
      </c>
      <c r="F4150" t="s">
        <v>8448</v>
      </c>
      <c r="G4150" t="s">
        <v>796</v>
      </c>
    </row>
    <row r="4151" spans="1:7">
      <c r="A4151" t="s">
        <v>6512</v>
      </c>
      <c r="B4151" t="s">
        <v>8315</v>
      </c>
      <c r="C4151" t="s">
        <v>8394</v>
      </c>
      <c r="D4151" t="s">
        <v>8417</v>
      </c>
      <c r="E4151" t="s">
        <v>8445</v>
      </c>
      <c r="F4151" t="s">
        <v>8448</v>
      </c>
      <c r="G4151" t="s">
        <v>9151</v>
      </c>
    </row>
    <row r="4152" spans="1:7">
      <c r="A4152" t="s">
        <v>6513</v>
      </c>
      <c r="B4152" t="s">
        <v>8315</v>
      </c>
      <c r="C4152" t="s">
        <v>8394</v>
      </c>
      <c r="D4152" t="s">
        <v>8414</v>
      </c>
      <c r="E4152" t="s">
        <v>8444</v>
      </c>
      <c r="F4152" t="s">
        <v>8449</v>
      </c>
      <c r="G4152" t="s">
        <v>796</v>
      </c>
    </row>
    <row r="4153" spans="1:7">
      <c r="A4153" t="s">
        <v>6514</v>
      </c>
      <c r="B4153" t="s">
        <v>8315</v>
      </c>
      <c r="C4153" t="s">
        <v>8394</v>
      </c>
      <c r="D4153" t="s">
        <v>8414</v>
      </c>
      <c r="E4153" t="s">
        <v>8445</v>
      </c>
      <c r="F4153" t="s">
        <v>8448</v>
      </c>
      <c r="G4153" t="s">
        <v>796</v>
      </c>
    </row>
    <row r="4154" spans="1:7">
      <c r="A4154" t="s">
        <v>6515</v>
      </c>
      <c r="B4154" t="s">
        <v>8316</v>
      </c>
      <c r="C4154" t="s">
        <v>8394</v>
      </c>
      <c r="D4154" t="s">
        <v>8414</v>
      </c>
      <c r="E4154" t="s">
        <v>8445</v>
      </c>
      <c r="F4154" t="s">
        <v>8448</v>
      </c>
      <c r="G4154" t="s">
        <v>796</v>
      </c>
    </row>
    <row r="4155" spans="1:7">
      <c r="A4155" t="s">
        <v>6516</v>
      </c>
      <c r="B4155" t="s">
        <v>8273</v>
      </c>
      <c r="C4155" t="s">
        <v>8396</v>
      </c>
      <c r="D4155" t="s">
        <v>8425</v>
      </c>
      <c r="E4155" t="s">
        <v>8446</v>
      </c>
      <c r="F4155" t="s">
        <v>8448</v>
      </c>
      <c r="G4155" t="s">
        <v>9152</v>
      </c>
    </row>
    <row r="4156" spans="1:7">
      <c r="A4156" t="s">
        <v>6517</v>
      </c>
      <c r="C4156" t="s">
        <v>8393</v>
      </c>
      <c r="D4156" t="s">
        <v>8393</v>
      </c>
      <c r="E4156" t="s">
        <v>919</v>
      </c>
      <c r="F4156" t="s">
        <v>8393</v>
      </c>
    </row>
    <row r="4157" spans="1:7">
      <c r="A4157" t="s">
        <v>6518</v>
      </c>
      <c r="B4157" t="s">
        <v>8273</v>
      </c>
      <c r="C4157" t="s">
        <v>8396</v>
      </c>
      <c r="D4157" t="s">
        <v>8425</v>
      </c>
      <c r="E4157" t="s">
        <v>8445</v>
      </c>
      <c r="F4157" t="s">
        <v>8448</v>
      </c>
      <c r="G4157" t="s">
        <v>9153</v>
      </c>
    </row>
    <row r="4158" spans="1:7">
      <c r="A4158" t="s">
        <v>6519</v>
      </c>
      <c r="B4158" t="s">
        <v>8273</v>
      </c>
      <c r="C4158" t="s">
        <v>8392</v>
      </c>
      <c r="D4158" t="s">
        <v>8400</v>
      </c>
      <c r="E4158" t="s">
        <v>8444</v>
      </c>
      <c r="F4158" t="s">
        <v>8448</v>
      </c>
      <c r="G4158" t="s">
        <v>8453</v>
      </c>
    </row>
    <row r="4159" spans="1:7">
      <c r="A4159" t="s">
        <v>6520</v>
      </c>
      <c r="B4159" t="s">
        <v>8273</v>
      </c>
      <c r="C4159" t="s">
        <v>8396</v>
      </c>
      <c r="D4159" t="s">
        <v>8425</v>
      </c>
      <c r="E4159" t="s">
        <v>8444</v>
      </c>
      <c r="F4159" t="s">
        <v>8448</v>
      </c>
      <c r="G4159" t="s">
        <v>8475</v>
      </c>
    </row>
    <row r="4160" spans="1:7">
      <c r="A4160" t="s">
        <v>6521</v>
      </c>
      <c r="B4160" t="s">
        <v>8273</v>
      </c>
      <c r="C4160" t="s">
        <v>8396</v>
      </c>
      <c r="D4160" t="s">
        <v>8425</v>
      </c>
      <c r="E4160" t="s">
        <v>8446</v>
      </c>
      <c r="F4160" t="s">
        <v>8449</v>
      </c>
      <c r="G4160" t="s">
        <v>9153</v>
      </c>
    </row>
    <row r="4161" spans="1:7">
      <c r="A4161" t="s">
        <v>6522</v>
      </c>
      <c r="B4161" t="s">
        <v>8315</v>
      </c>
      <c r="C4161" t="s">
        <v>8394</v>
      </c>
      <c r="D4161" t="s">
        <v>8414</v>
      </c>
      <c r="E4161" t="s">
        <v>8445</v>
      </c>
      <c r="F4161" t="s">
        <v>8448</v>
      </c>
      <c r="G4161" t="s">
        <v>796</v>
      </c>
    </row>
    <row r="4162" spans="1:7">
      <c r="A4162" t="s">
        <v>6523</v>
      </c>
      <c r="C4162" t="s">
        <v>8392</v>
      </c>
      <c r="D4162" t="s">
        <v>8415</v>
      </c>
      <c r="E4162" t="s">
        <v>8445</v>
      </c>
      <c r="F4162" t="s">
        <v>8448</v>
      </c>
      <c r="G4162" t="s">
        <v>9154</v>
      </c>
    </row>
    <row r="4163" spans="1:7">
      <c r="A4163" t="s">
        <v>6524</v>
      </c>
      <c r="C4163" t="s">
        <v>8394</v>
      </c>
      <c r="D4163" t="s">
        <v>8401</v>
      </c>
      <c r="E4163" t="s">
        <v>8445</v>
      </c>
      <c r="F4163" t="s">
        <v>8448</v>
      </c>
      <c r="G4163" t="s">
        <v>9155</v>
      </c>
    </row>
    <row r="4164" spans="1:7">
      <c r="A4164" t="s">
        <v>6525</v>
      </c>
      <c r="C4164" t="s">
        <v>8394</v>
      </c>
      <c r="D4164" t="s">
        <v>8401</v>
      </c>
      <c r="E4164" t="s">
        <v>8445</v>
      </c>
      <c r="F4164" t="s">
        <v>8448</v>
      </c>
      <c r="G4164" t="s">
        <v>9155</v>
      </c>
    </row>
    <row r="4165" spans="1:7">
      <c r="A4165" t="s">
        <v>6526</v>
      </c>
      <c r="C4165" t="s">
        <v>8393</v>
      </c>
      <c r="D4165" t="s">
        <v>8393</v>
      </c>
      <c r="E4165" t="s">
        <v>919</v>
      </c>
      <c r="F4165" t="s">
        <v>8393</v>
      </c>
    </row>
    <row r="4166" spans="1:7">
      <c r="A4166" t="s">
        <v>6527</v>
      </c>
      <c r="C4166" t="s">
        <v>8394</v>
      </c>
      <c r="D4166" t="s">
        <v>8401</v>
      </c>
      <c r="E4166" t="s">
        <v>8445</v>
      </c>
      <c r="F4166" t="s">
        <v>8448</v>
      </c>
      <c r="G4166" t="s">
        <v>9156</v>
      </c>
    </row>
    <row r="4167" spans="1:7">
      <c r="A4167" t="s">
        <v>6528</v>
      </c>
      <c r="C4167" t="s">
        <v>8394</v>
      </c>
      <c r="D4167" t="s">
        <v>8401</v>
      </c>
      <c r="E4167" t="s">
        <v>8445</v>
      </c>
      <c r="F4167" t="s">
        <v>8448</v>
      </c>
      <c r="G4167" t="s">
        <v>9156</v>
      </c>
    </row>
    <row r="4168" spans="1:7">
      <c r="A4168" t="s">
        <v>6529</v>
      </c>
      <c r="C4168" t="s">
        <v>8394</v>
      </c>
      <c r="D4168" t="s">
        <v>8401</v>
      </c>
      <c r="E4168" t="s">
        <v>8445</v>
      </c>
      <c r="F4168" t="s">
        <v>8448</v>
      </c>
      <c r="G4168" t="s">
        <v>9156</v>
      </c>
    </row>
    <row r="4169" spans="1:7">
      <c r="A4169" t="s">
        <v>6530</v>
      </c>
      <c r="C4169" t="s">
        <v>8394</v>
      </c>
      <c r="D4169" t="s">
        <v>8401</v>
      </c>
      <c r="E4169" t="s">
        <v>8445</v>
      </c>
      <c r="F4169" t="s">
        <v>8448</v>
      </c>
      <c r="G4169" t="s">
        <v>9156</v>
      </c>
    </row>
    <row r="4170" spans="1:7">
      <c r="A4170" t="s">
        <v>6531</v>
      </c>
      <c r="C4170" t="s">
        <v>8394</v>
      </c>
      <c r="D4170" t="s">
        <v>8401</v>
      </c>
      <c r="E4170" t="s">
        <v>8445</v>
      </c>
      <c r="F4170" t="s">
        <v>8448</v>
      </c>
      <c r="G4170" t="s">
        <v>9156</v>
      </c>
    </row>
    <row r="4171" spans="1:7">
      <c r="A4171" t="s">
        <v>6532</v>
      </c>
      <c r="C4171" t="s">
        <v>8394</v>
      </c>
      <c r="D4171" t="s">
        <v>8401</v>
      </c>
      <c r="E4171" t="s">
        <v>8445</v>
      </c>
      <c r="F4171" t="s">
        <v>8448</v>
      </c>
      <c r="G4171" t="s">
        <v>9156</v>
      </c>
    </row>
    <row r="4172" spans="1:7">
      <c r="A4172" t="s">
        <v>6533</v>
      </c>
      <c r="C4172" t="s">
        <v>8394</v>
      </c>
      <c r="D4172" t="s">
        <v>8401</v>
      </c>
      <c r="E4172" t="s">
        <v>8445</v>
      </c>
      <c r="F4172" t="s">
        <v>8448</v>
      </c>
      <c r="G4172" t="s">
        <v>9156</v>
      </c>
    </row>
    <row r="4173" spans="1:7">
      <c r="A4173" t="s">
        <v>6534</v>
      </c>
      <c r="C4173" t="s">
        <v>8394</v>
      </c>
      <c r="D4173" t="s">
        <v>8401</v>
      </c>
      <c r="E4173" t="s">
        <v>8445</v>
      </c>
      <c r="F4173" t="s">
        <v>8448</v>
      </c>
      <c r="G4173" t="s">
        <v>9156</v>
      </c>
    </row>
    <row r="4174" spans="1:7">
      <c r="A4174" t="s">
        <v>6535</v>
      </c>
      <c r="C4174" t="s">
        <v>8394</v>
      </c>
      <c r="D4174" t="s">
        <v>8401</v>
      </c>
      <c r="E4174" t="s">
        <v>8445</v>
      </c>
      <c r="F4174" t="s">
        <v>8448</v>
      </c>
      <c r="G4174" t="s">
        <v>9156</v>
      </c>
    </row>
    <row r="4175" spans="1:7">
      <c r="A4175" t="s">
        <v>6536</v>
      </c>
      <c r="C4175" t="s">
        <v>8394</v>
      </c>
      <c r="D4175" t="s">
        <v>8401</v>
      </c>
      <c r="E4175" t="s">
        <v>8445</v>
      </c>
      <c r="F4175" t="s">
        <v>8448</v>
      </c>
      <c r="G4175" t="s">
        <v>9156</v>
      </c>
    </row>
    <row r="4176" spans="1:7">
      <c r="A4176" t="s">
        <v>6537</v>
      </c>
      <c r="C4176" t="s">
        <v>8394</v>
      </c>
      <c r="D4176" t="s">
        <v>8401</v>
      </c>
      <c r="E4176" t="s">
        <v>8445</v>
      </c>
      <c r="F4176" t="s">
        <v>8448</v>
      </c>
      <c r="G4176" t="s">
        <v>9156</v>
      </c>
    </row>
    <row r="4177" spans="1:7">
      <c r="A4177" t="s">
        <v>6538</v>
      </c>
      <c r="B4177" t="s">
        <v>8273</v>
      </c>
      <c r="C4177" t="s">
        <v>8394</v>
      </c>
      <c r="D4177" t="s">
        <v>8407</v>
      </c>
      <c r="E4177" t="s">
        <v>8445</v>
      </c>
      <c r="F4177" t="s">
        <v>8448</v>
      </c>
      <c r="G4177" t="s">
        <v>8455</v>
      </c>
    </row>
    <row r="4178" spans="1:7">
      <c r="A4178" t="s">
        <v>6539</v>
      </c>
      <c r="C4178" t="s">
        <v>8392</v>
      </c>
      <c r="D4178" t="s">
        <v>8400</v>
      </c>
      <c r="E4178" t="s">
        <v>1587</v>
      </c>
      <c r="F4178" t="s">
        <v>8447</v>
      </c>
      <c r="G4178" t="s">
        <v>8519</v>
      </c>
    </row>
    <row r="4179" spans="1:7">
      <c r="A4179" t="s">
        <v>6540</v>
      </c>
      <c r="B4179" t="s">
        <v>8273</v>
      </c>
      <c r="C4179" t="s">
        <v>8398</v>
      </c>
      <c r="D4179" t="s">
        <v>8410</v>
      </c>
      <c r="E4179" t="s">
        <v>8446</v>
      </c>
      <c r="F4179" t="s">
        <v>8449</v>
      </c>
      <c r="G4179" t="s">
        <v>8455</v>
      </c>
    </row>
    <row r="4180" spans="1:7">
      <c r="A4180" t="s">
        <v>6541</v>
      </c>
      <c r="B4180" t="s">
        <v>8273</v>
      </c>
      <c r="C4180" t="s">
        <v>8398</v>
      </c>
      <c r="D4180" t="s">
        <v>8410</v>
      </c>
      <c r="E4180" t="s">
        <v>1519</v>
      </c>
      <c r="F4180" t="s">
        <v>8449</v>
      </c>
      <c r="G4180" t="s">
        <v>8509</v>
      </c>
    </row>
    <row r="4181" spans="1:7">
      <c r="A4181" t="s">
        <v>6542</v>
      </c>
      <c r="B4181" t="s">
        <v>8315</v>
      </c>
      <c r="C4181" t="s">
        <v>8394</v>
      </c>
      <c r="D4181" t="s">
        <v>8402</v>
      </c>
      <c r="E4181" t="s">
        <v>8444</v>
      </c>
      <c r="F4181" t="s">
        <v>8448</v>
      </c>
      <c r="G4181" t="s">
        <v>9157</v>
      </c>
    </row>
    <row r="4182" spans="1:7">
      <c r="A4182" t="s">
        <v>6543</v>
      </c>
      <c r="B4182" t="s">
        <v>8315</v>
      </c>
      <c r="C4182" t="s">
        <v>8394</v>
      </c>
      <c r="D4182" t="s">
        <v>8402</v>
      </c>
      <c r="E4182" t="s">
        <v>8445</v>
      </c>
      <c r="F4182" t="s">
        <v>8448</v>
      </c>
      <c r="G4182" t="s">
        <v>9158</v>
      </c>
    </row>
    <row r="4183" spans="1:7">
      <c r="A4183" t="s">
        <v>6544</v>
      </c>
      <c r="B4183" t="s">
        <v>8373</v>
      </c>
      <c r="C4183" t="s">
        <v>8397</v>
      </c>
      <c r="D4183" t="s">
        <v>8431</v>
      </c>
      <c r="E4183" t="s">
        <v>8446</v>
      </c>
      <c r="F4183" t="s">
        <v>8448</v>
      </c>
      <c r="G4183" t="s">
        <v>796</v>
      </c>
    </row>
    <row r="4184" spans="1:7">
      <c r="A4184" t="s">
        <v>6545</v>
      </c>
      <c r="B4184" t="s">
        <v>8315</v>
      </c>
      <c r="C4184" t="s">
        <v>8394</v>
      </c>
      <c r="D4184" t="s">
        <v>8402</v>
      </c>
      <c r="E4184" t="s">
        <v>8445</v>
      </c>
      <c r="F4184" t="s">
        <v>8449</v>
      </c>
      <c r="G4184" t="s">
        <v>8455</v>
      </c>
    </row>
    <row r="4185" spans="1:7">
      <c r="A4185" t="s">
        <v>6546</v>
      </c>
      <c r="B4185" t="s">
        <v>8273</v>
      </c>
      <c r="C4185" t="s">
        <v>8397</v>
      </c>
      <c r="D4185" t="s">
        <v>8418</v>
      </c>
      <c r="E4185" t="s">
        <v>8446</v>
      </c>
      <c r="F4185" t="s">
        <v>8448</v>
      </c>
      <c r="G4185" t="s">
        <v>9159</v>
      </c>
    </row>
    <row r="4186" spans="1:7">
      <c r="A4186" t="s">
        <v>6547</v>
      </c>
      <c r="B4186" t="s">
        <v>8273</v>
      </c>
      <c r="C4186" t="s">
        <v>8398</v>
      </c>
      <c r="D4186" t="s">
        <v>8409</v>
      </c>
      <c r="E4186" t="s">
        <v>8445</v>
      </c>
      <c r="F4186" t="s">
        <v>8449</v>
      </c>
      <c r="G4186" t="s">
        <v>9160</v>
      </c>
    </row>
    <row r="4187" spans="1:7">
      <c r="A4187" t="s">
        <v>6548</v>
      </c>
      <c r="B4187" t="s">
        <v>8273</v>
      </c>
      <c r="C4187" t="s">
        <v>8397</v>
      </c>
      <c r="D4187" t="s">
        <v>8421</v>
      </c>
      <c r="E4187" t="s">
        <v>8446</v>
      </c>
      <c r="F4187" t="s">
        <v>8448</v>
      </c>
      <c r="G4187" t="s">
        <v>8455</v>
      </c>
    </row>
    <row r="4188" spans="1:7">
      <c r="A4188" t="s">
        <v>6549</v>
      </c>
      <c r="B4188" t="s">
        <v>8295</v>
      </c>
      <c r="C4188" t="s">
        <v>8398</v>
      </c>
      <c r="D4188" t="s">
        <v>8419</v>
      </c>
      <c r="E4188" t="s">
        <v>8446</v>
      </c>
      <c r="F4188" t="s">
        <v>8449</v>
      </c>
      <c r="G4188" t="s">
        <v>8455</v>
      </c>
    </row>
    <row r="4189" spans="1:7">
      <c r="A4189" t="s">
        <v>6550</v>
      </c>
      <c r="B4189" t="s">
        <v>8273</v>
      </c>
      <c r="C4189" t="s">
        <v>8395</v>
      </c>
      <c r="D4189" t="s">
        <v>8404</v>
      </c>
      <c r="E4189" t="s">
        <v>8446</v>
      </c>
      <c r="F4189" t="s">
        <v>8449</v>
      </c>
      <c r="G4189" t="s">
        <v>8455</v>
      </c>
    </row>
    <row r="4190" spans="1:7">
      <c r="A4190" t="s">
        <v>6551</v>
      </c>
      <c r="B4190" t="s">
        <v>8273</v>
      </c>
      <c r="C4190" t="s">
        <v>8396</v>
      </c>
      <c r="D4190" t="s">
        <v>8425</v>
      </c>
      <c r="E4190" t="s">
        <v>8444</v>
      </c>
      <c r="F4190" t="s">
        <v>8448</v>
      </c>
      <c r="G4190" t="s">
        <v>9161</v>
      </c>
    </row>
    <row r="4191" spans="1:7">
      <c r="A4191" t="s">
        <v>6552</v>
      </c>
      <c r="B4191" t="s">
        <v>8273</v>
      </c>
      <c r="C4191" t="s">
        <v>8395</v>
      </c>
      <c r="D4191" t="s">
        <v>8402</v>
      </c>
      <c r="E4191" t="s">
        <v>8446</v>
      </c>
      <c r="F4191" t="s">
        <v>8449</v>
      </c>
      <c r="G4191" t="s">
        <v>8455</v>
      </c>
    </row>
    <row r="4192" spans="1:7">
      <c r="A4192" t="s">
        <v>6553</v>
      </c>
      <c r="B4192" t="s">
        <v>8273</v>
      </c>
      <c r="C4192" t="s">
        <v>8396</v>
      </c>
      <c r="D4192" t="s">
        <v>8405</v>
      </c>
      <c r="E4192" t="s">
        <v>8444</v>
      </c>
      <c r="F4192" t="s">
        <v>8449</v>
      </c>
      <c r="G4192" t="s">
        <v>8455</v>
      </c>
    </row>
    <row r="4193" spans="1:7">
      <c r="A4193" t="s">
        <v>6554</v>
      </c>
      <c r="B4193" t="s">
        <v>8273</v>
      </c>
      <c r="C4193" t="s">
        <v>8394</v>
      </c>
      <c r="D4193" t="s">
        <v>8414</v>
      </c>
      <c r="E4193" t="s">
        <v>8445</v>
      </c>
      <c r="F4193" t="s">
        <v>8449</v>
      </c>
      <c r="G4193" t="s">
        <v>8455</v>
      </c>
    </row>
    <row r="4194" spans="1:7">
      <c r="A4194" t="s">
        <v>6555</v>
      </c>
      <c r="B4194" t="s">
        <v>8273</v>
      </c>
      <c r="C4194" t="s">
        <v>8398</v>
      </c>
      <c r="D4194" t="s">
        <v>8409</v>
      </c>
      <c r="E4194" t="s">
        <v>1519</v>
      </c>
      <c r="F4194" t="s">
        <v>8449</v>
      </c>
      <c r="G4194" t="s">
        <v>796</v>
      </c>
    </row>
    <row r="4195" spans="1:7">
      <c r="A4195" t="s">
        <v>6556</v>
      </c>
      <c r="C4195" t="s">
        <v>8393</v>
      </c>
      <c r="D4195" t="s">
        <v>8393</v>
      </c>
      <c r="E4195" t="s">
        <v>919</v>
      </c>
      <c r="F4195" t="s">
        <v>8393</v>
      </c>
    </row>
    <row r="4196" spans="1:7">
      <c r="A4196" t="s">
        <v>6557</v>
      </c>
      <c r="B4196" t="s">
        <v>8273</v>
      </c>
      <c r="C4196" t="s">
        <v>8396</v>
      </c>
      <c r="D4196" t="s">
        <v>8406</v>
      </c>
      <c r="E4196" t="s">
        <v>8444</v>
      </c>
      <c r="F4196" t="s">
        <v>8449</v>
      </c>
      <c r="G4196" t="s">
        <v>8455</v>
      </c>
    </row>
    <row r="4197" spans="1:7">
      <c r="A4197" t="s">
        <v>6558</v>
      </c>
      <c r="B4197" t="s">
        <v>8274</v>
      </c>
      <c r="C4197" t="s">
        <v>8396</v>
      </c>
      <c r="D4197" t="s">
        <v>8406</v>
      </c>
      <c r="E4197" t="s">
        <v>8444</v>
      </c>
      <c r="F4197" t="s">
        <v>8449</v>
      </c>
      <c r="G4197" t="s">
        <v>8455</v>
      </c>
    </row>
    <row r="4198" spans="1:7">
      <c r="A4198" t="s">
        <v>6559</v>
      </c>
      <c r="B4198" t="s">
        <v>8273</v>
      </c>
      <c r="C4198" t="s">
        <v>8396</v>
      </c>
      <c r="D4198" t="s">
        <v>8405</v>
      </c>
      <c r="E4198" t="s">
        <v>8446</v>
      </c>
      <c r="F4198" t="s">
        <v>8448</v>
      </c>
      <c r="G4198" t="s">
        <v>8455</v>
      </c>
    </row>
    <row r="4199" spans="1:7">
      <c r="A4199" t="s">
        <v>6560</v>
      </c>
      <c r="B4199" t="s">
        <v>8273</v>
      </c>
      <c r="C4199" t="s">
        <v>8395</v>
      </c>
      <c r="D4199" t="s">
        <v>8402</v>
      </c>
      <c r="E4199" t="s">
        <v>8445</v>
      </c>
      <c r="F4199" t="s">
        <v>8449</v>
      </c>
      <c r="G4199" t="s">
        <v>8455</v>
      </c>
    </row>
    <row r="4200" spans="1:7">
      <c r="A4200" t="s">
        <v>6561</v>
      </c>
      <c r="B4200" t="s">
        <v>8286</v>
      </c>
      <c r="C4200" t="s">
        <v>8396</v>
      </c>
      <c r="D4200" t="s">
        <v>8406</v>
      </c>
      <c r="E4200" t="s">
        <v>8446</v>
      </c>
      <c r="F4200" t="s">
        <v>8449</v>
      </c>
      <c r="G4200" t="s">
        <v>8455</v>
      </c>
    </row>
    <row r="4201" spans="1:7">
      <c r="A4201" t="s">
        <v>6562</v>
      </c>
      <c r="C4201" t="s">
        <v>8394</v>
      </c>
      <c r="D4201" t="s">
        <v>8401</v>
      </c>
      <c r="E4201" t="s">
        <v>8445</v>
      </c>
      <c r="F4201" t="s">
        <v>8448</v>
      </c>
      <c r="G4201" t="s">
        <v>9162</v>
      </c>
    </row>
    <row r="4202" spans="1:7">
      <c r="A4202" t="s">
        <v>6563</v>
      </c>
      <c r="C4202" t="s">
        <v>8393</v>
      </c>
      <c r="D4202" t="s">
        <v>8393</v>
      </c>
      <c r="E4202" t="s">
        <v>919</v>
      </c>
      <c r="F4202" t="s">
        <v>8393</v>
      </c>
    </row>
    <row r="4203" spans="1:7">
      <c r="A4203" t="s">
        <v>6564</v>
      </c>
      <c r="C4203" t="s">
        <v>8397</v>
      </c>
      <c r="D4203" t="s">
        <v>8421</v>
      </c>
      <c r="E4203" t="s">
        <v>8444</v>
      </c>
      <c r="F4203" t="s">
        <v>8448</v>
      </c>
      <c r="G4203" t="s">
        <v>9163</v>
      </c>
    </row>
    <row r="4204" spans="1:7">
      <c r="A4204" t="s">
        <v>6565</v>
      </c>
      <c r="C4204" t="s">
        <v>8392</v>
      </c>
      <c r="D4204" t="s">
        <v>8400</v>
      </c>
      <c r="E4204" t="s">
        <v>8446</v>
      </c>
      <c r="F4204" t="s">
        <v>8448</v>
      </c>
      <c r="G4204" t="s">
        <v>9164</v>
      </c>
    </row>
    <row r="4205" spans="1:7">
      <c r="A4205" t="s">
        <v>6566</v>
      </c>
      <c r="C4205" t="s">
        <v>8397</v>
      </c>
      <c r="D4205" t="s">
        <v>8421</v>
      </c>
      <c r="E4205" t="s">
        <v>8444</v>
      </c>
      <c r="F4205" t="s">
        <v>8448</v>
      </c>
      <c r="G4205" t="s">
        <v>9164</v>
      </c>
    </row>
    <row r="4206" spans="1:7">
      <c r="A4206" t="s">
        <v>6567</v>
      </c>
      <c r="C4206" t="s">
        <v>8393</v>
      </c>
      <c r="D4206" t="s">
        <v>8393</v>
      </c>
      <c r="E4206" t="s">
        <v>919</v>
      </c>
      <c r="F4206" t="s">
        <v>8393</v>
      </c>
    </row>
    <row r="4207" spans="1:7">
      <c r="A4207" t="s">
        <v>6568</v>
      </c>
      <c r="B4207" t="s">
        <v>8273</v>
      </c>
      <c r="C4207" t="s">
        <v>8395</v>
      </c>
      <c r="D4207" t="s">
        <v>8416</v>
      </c>
      <c r="E4207" t="s">
        <v>8446</v>
      </c>
      <c r="F4207" t="s">
        <v>8449</v>
      </c>
      <c r="G4207" t="s">
        <v>8455</v>
      </c>
    </row>
    <row r="4208" spans="1:7">
      <c r="A4208" t="s">
        <v>6569</v>
      </c>
      <c r="B4208" t="s">
        <v>8300</v>
      </c>
      <c r="C4208" t="s">
        <v>8395</v>
      </c>
      <c r="D4208" t="s">
        <v>8416</v>
      </c>
      <c r="E4208" t="s">
        <v>8446</v>
      </c>
      <c r="F4208" t="s">
        <v>8449</v>
      </c>
      <c r="G4208" t="s">
        <v>8455</v>
      </c>
    </row>
    <row r="4209" spans="1:7">
      <c r="A4209" t="s">
        <v>6570</v>
      </c>
      <c r="B4209" t="s">
        <v>8285</v>
      </c>
      <c r="C4209" t="s">
        <v>8395</v>
      </c>
      <c r="D4209" t="s">
        <v>8416</v>
      </c>
      <c r="E4209" t="s">
        <v>8446</v>
      </c>
      <c r="F4209" t="s">
        <v>8449</v>
      </c>
      <c r="G4209" t="s">
        <v>8455</v>
      </c>
    </row>
    <row r="4210" spans="1:7">
      <c r="A4210" t="s">
        <v>6571</v>
      </c>
      <c r="B4210" t="s">
        <v>8273</v>
      </c>
      <c r="C4210" t="s">
        <v>8395</v>
      </c>
      <c r="D4210" t="s">
        <v>8416</v>
      </c>
      <c r="E4210" t="s">
        <v>8446</v>
      </c>
      <c r="F4210" t="s">
        <v>8449</v>
      </c>
      <c r="G4210" t="s">
        <v>8455</v>
      </c>
    </row>
    <row r="4211" spans="1:7">
      <c r="A4211" t="s">
        <v>6572</v>
      </c>
      <c r="B4211" t="s">
        <v>8277</v>
      </c>
      <c r="C4211" t="s">
        <v>8395</v>
      </c>
      <c r="D4211" t="s">
        <v>8416</v>
      </c>
      <c r="E4211" t="s">
        <v>8446</v>
      </c>
      <c r="F4211" t="s">
        <v>8449</v>
      </c>
      <c r="G4211" t="s">
        <v>8455</v>
      </c>
    </row>
    <row r="4212" spans="1:7">
      <c r="A4212" t="s">
        <v>6573</v>
      </c>
      <c r="C4212" t="s">
        <v>8397</v>
      </c>
      <c r="D4212" t="s">
        <v>8421</v>
      </c>
      <c r="E4212" t="s">
        <v>8445</v>
      </c>
      <c r="F4212" t="s">
        <v>8448</v>
      </c>
      <c r="G4212" t="s">
        <v>9165</v>
      </c>
    </row>
    <row r="4213" spans="1:7">
      <c r="A4213" t="s">
        <v>6574</v>
      </c>
      <c r="B4213" t="s">
        <v>8273</v>
      </c>
      <c r="C4213" t="s">
        <v>8397</v>
      </c>
      <c r="D4213" t="s">
        <v>8421</v>
      </c>
      <c r="E4213" t="s">
        <v>8446</v>
      </c>
      <c r="F4213" t="s">
        <v>8448</v>
      </c>
      <c r="G4213" t="s">
        <v>9166</v>
      </c>
    </row>
    <row r="4214" spans="1:7">
      <c r="A4214" t="s">
        <v>6575</v>
      </c>
      <c r="C4214" t="s">
        <v>8393</v>
      </c>
      <c r="D4214" t="s">
        <v>8393</v>
      </c>
      <c r="E4214" t="s">
        <v>919</v>
      </c>
      <c r="F4214" t="s">
        <v>8393</v>
      </c>
    </row>
    <row r="4215" spans="1:7">
      <c r="A4215" t="s">
        <v>6576</v>
      </c>
      <c r="B4215" t="s">
        <v>8273</v>
      </c>
      <c r="C4215" t="s">
        <v>8395</v>
      </c>
      <c r="D4215" t="s">
        <v>8422</v>
      </c>
      <c r="E4215" t="s">
        <v>8444</v>
      </c>
      <c r="F4215" t="s">
        <v>8449</v>
      </c>
      <c r="G4215" t="s">
        <v>8455</v>
      </c>
    </row>
    <row r="4216" spans="1:7">
      <c r="A4216" t="s">
        <v>6577</v>
      </c>
      <c r="B4216" t="s">
        <v>8277</v>
      </c>
      <c r="C4216" t="s">
        <v>8395</v>
      </c>
      <c r="D4216" t="s">
        <v>8422</v>
      </c>
      <c r="E4216" t="s">
        <v>8444</v>
      </c>
      <c r="F4216" t="s">
        <v>8449</v>
      </c>
      <c r="G4216" t="s">
        <v>8455</v>
      </c>
    </row>
    <row r="4217" spans="1:7">
      <c r="A4217" t="s">
        <v>6578</v>
      </c>
      <c r="B4217" t="s">
        <v>8273</v>
      </c>
      <c r="C4217" t="s">
        <v>8398</v>
      </c>
      <c r="D4217" t="s">
        <v>8419</v>
      </c>
      <c r="E4217" t="s">
        <v>8445</v>
      </c>
      <c r="F4217" t="s">
        <v>8447</v>
      </c>
      <c r="G4217" t="s">
        <v>8453</v>
      </c>
    </row>
    <row r="4218" spans="1:7">
      <c r="A4218" t="s">
        <v>6579</v>
      </c>
      <c r="B4218" t="s">
        <v>8273</v>
      </c>
      <c r="C4218" t="s">
        <v>8392</v>
      </c>
      <c r="D4218" t="s">
        <v>8400</v>
      </c>
      <c r="E4218" t="s">
        <v>1587</v>
      </c>
      <c r="F4218" t="s">
        <v>8447</v>
      </c>
      <c r="G4218" t="s">
        <v>9167</v>
      </c>
    </row>
    <row r="4219" spans="1:7">
      <c r="A4219" t="s">
        <v>6580</v>
      </c>
      <c r="B4219" t="s">
        <v>8273</v>
      </c>
      <c r="C4219" t="s">
        <v>8397</v>
      </c>
      <c r="D4219" t="s">
        <v>8418</v>
      </c>
      <c r="E4219" t="s">
        <v>8444</v>
      </c>
      <c r="F4219" t="s">
        <v>8448</v>
      </c>
      <c r="G4219" t="s">
        <v>8455</v>
      </c>
    </row>
    <row r="4220" spans="1:7">
      <c r="A4220" t="s">
        <v>6581</v>
      </c>
      <c r="B4220" t="s">
        <v>8273</v>
      </c>
      <c r="C4220" t="s">
        <v>8394</v>
      </c>
      <c r="D4220" t="s">
        <v>8402</v>
      </c>
      <c r="E4220" t="s">
        <v>8446</v>
      </c>
      <c r="F4220" t="s">
        <v>8449</v>
      </c>
      <c r="G4220" t="s">
        <v>9168</v>
      </c>
    </row>
    <row r="4221" spans="1:7">
      <c r="A4221" t="s">
        <v>6582</v>
      </c>
      <c r="C4221" t="s">
        <v>8392</v>
      </c>
      <c r="D4221" t="s">
        <v>8400</v>
      </c>
      <c r="E4221" t="s">
        <v>1587</v>
      </c>
      <c r="F4221" t="s">
        <v>8447</v>
      </c>
      <c r="G4221" t="s">
        <v>8453</v>
      </c>
    </row>
    <row r="4222" spans="1:7">
      <c r="A4222" t="s">
        <v>6583</v>
      </c>
      <c r="C4222" t="s">
        <v>8394</v>
      </c>
      <c r="D4222" t="s">
        <v>8414</v>
      </c>
      <c r="E4222" t="s">
        <v>8444</v>
      </c>
      <c r="F4222" t="s">
        <v>8448</v>
      </c>
      <c r="G4222" t="s">
        <v>9169</v>
      </c>
    </row>
    <row r="4223" spans="1:7">
      <c r="A4223" t="s">
        <v>6584</v>
      </c>
      <c r="B4223" t="s">
        <v>8273</v>
      </c>
      <c r="C4223" t="s">
        <v>8398</v>
      </c>
      <c r="D4223" t="s">
        <v>8419</v>
      </c>
      <c r="E4223" t="s">
        <v>8445</v>
      </c>
      <c r="F4223" t="s">
        <v>8448</v>
      </c>
      <c r="G4223" t="s">
        <v>8455</v>
      </c>
    </row>
    <row r="4224" spans="1:7">
      <c r="A4224" t="s">
        <v>6585</v>
      </c>
      <c r="C4224" t="s">
        <v>8393</v>
      </c>
      <c r="D4224" t="s">
        <v>8393</v>
      </c>
      <c r="E4224" t="s">
        <v>919</v>
      </c>
      <c r="F4224" t="s">
        <v>8393</v>
      </c>
    </row>
    <row r="4225" spans="1:7">
      <c r="A4225" t="s">
        <v>6586</v>
      </c>
      <c r="B4225" t="s">
        <v>8278</v>
      </c>
      <c r="C4225" t="s">
        <v>8394</v>
      </c>
      <c r="D4225" t="s">
        <v>8423</v>
      </c>
      <c r="E4225" t="s">
        <v>1519</v>
      </c>
      <c r="F4225" t="s">
        <v>8449</v>
      </c>
      <c r="G4225" t="s">
        <v>8455</v>
      </c>
    </row>
    <row r="4226" spans="1:7">
      <c r="A4226" t="s">
        <v>6587</v>
      </c>
      <c r="B4226" t="s">
        <v>8279</v>
      </c>
      <c r="C4226" t="s">
        <v>8394</v>
      </c>
      <c r="D4226" t="s">
        <v>8423</v>
      </c>
      <c r="E4226" t="s">
        <v>1519</v>
      </c>
      <c r="F4226" t="s">
        <v>8449</v>
      </c>
      <c r="G4226" t="s">
        <v>8455</v>
      </c>
    </row>
    <row r="4227" spans="1:7">
      <c r="A4227" t="s">
        <v>6588</v>
      </c>
      <c r="B4227" t="s">
        <v>8280</v>
      </c>
      <c r="C4227" t="s">
        <v>8394</v>
      </c>
      <c r="D4227" t="s">
        <v>8423</v>
      </c>
      <c r="E4227" t="s">
        <v>1519</v>
      </c>
      <c r="F4227" t="s">
        <v>8449</v>
      </c>
      <c r="G4227" t="s">
        <v>8455</v>
      </c>
    </row>
    <row r="4228" spans="1:7">
      <c r="A4228" t="s">
        <v>6589</v>
      </c>
      <c r="B4228" t="s">
        <v>8281</v>
      </c>
      <c r="C4228" t="s">
        <v>8394</v>
      </c>
      <c r="D4228" t="s">
        <v>8423</v>
      </c>
      <c r="E4228" t="s">
        <v>1519</v>
      </c>
      <c r="F4228" t="s">
        <v>8449</v>
      </c>
      <c r="G4228" t="s">
        <v>8455</v>
      </c>
    </row>
    <row r="4229" spans="1:7">
      <c r="A4229" t="s">
        <v>6590</v>
      </c>
      <c r="C4229" t="s">
        <v>8394</v>
      </c>
      <c r="D4229" t="s">
        <v>8413</v>
      </c>
      <c r="E4229" t="s">
        <v>8445</v>
      </c>
      <c r="F4229" t="s">
        <v>8448</v>
      </c>
      <c r="G4229" t="s">
        <v>8453</v>
      </c>
    </row>
    <row r="4230" spans="1:7">
      <c r="A4230" t="s">
        <v>6591</v>
      </c>
      <c r="C4230" t="s">
        <v>8397</v>
      </c>
      <c r="D4230" t="s">
        <v>8418</v>
      </c>
      <c r="E4230" t="s">
        <v>8445</v>
      </c>
      <c r="F4230" t="s">
        <v>8450</v>
      </c>
      <c r="G4230" t="s">
        <v>9170</v>
      </c>
    </row>
    <row r="4231" spans="1:7">
      <c r="A4231" t="s">
        <v>6592</v>
      </c>
      <c r="C4231" t="s">
        <v>8397</v>
      </c>
      <c r="D4231" t="s">
        <v>8408</v>
      </c>
      <c r="E4231" t="s">
        <v>8445</v>
      </c>
      <c r="F4231" t="s">
        <v>8450</v>
      </c>
    </row>
    <row r="4232" spans="1:7">
      <c r="A4232" t="s">
        <v>6593</v>
      </c>
      <c r="C4232" t="s">
        <v>8397</v>
      </c>
      <c r="D4232" t="s">
        <v>8418</v>
      </c>
      <c r="E4232" t="s">
        <v>8445</v>
      </c>
      <c r="F4232" t="s">
        <v>8450</v>
      </c>
      <c r="G4232" t="s">
        <v>9171</v>
      </c>
    </row>
    <row r="4233" spans="1:7">
      <c r="A4233" t="s">
        <v>6594</v>
      </c>
      <c r="B4233" t="s">
        <v>8273</v>
      </c>
      <c r="C4233" t="s">
        <v>8394</v>
      </c>
      <c r="D4233" t="s">
        <v>8413</v>
      </c>
      <c r="E4233" t="s">
        <v>8445</v>
      </c>
      <c r="F4233" t="s">
        <v>8448</v>
      </c>
      <c r="G4233" t="s">
        <v>8455</v>
      </c>
    </row>
    <row r="4234" spans="1:7">
      <c r="A4234" t="s">
        <v>6595</v>
      </c>
      <c r="B4234" t="s">
        <v>8273</v>
      </c>
      <c r="C4234" t="s">
        <v>8394</v>
      </c>
      <c r="D4234" t="s">
        <v>8413</v>
      </c>
      <c r="E4234" t="s">
        <v>8445</v>
      </c>
      <c r="F4234" t="s">
        <v>8448</v>
      </c>
      <c r="G4234" t="s">
        <v>8455</v>
      </c>
    </row>
    <row r="4235" spans="1:7">
      <c r="A4235" t="s">
        <v>6596</v>
      </c>
      <c r="C4235" t="s">
        <v>8394</v>
      </c>
      <c r="D4235" t="s">
        <v>8413</v>
      </c>
      <c r="E4235" t="s">
        <v>8445</v>
      </c>
      <c r="F4235" t="s">
        <v>8448</v>
      </c>
      <c r="G4235" t="s">
        <v>9172</v>
      </c>
    </row>
    <row r="4236" spans="1:7">
      <c r="A4236" t="s">
        <v>6597</v>
      </c>
      <c r="C4236" t="s">
        <v>8394</v>
      </c>
      <c r="D4236" t="s">
        <v>8413</v>
      </c>
      <c r="E4236" t="s">
        <v>8445</v>
      </c>
      <c r="F4236" t="s">
        <v>8448</v>
      </c>
      <c r="G4236" t="s">
        <v>9173</v>
      </c>
    </row>
    <row r="4237" spans="1:7">
      <c r="A4237" t="s">
        <v>6598</v>
      </c>
      <c r="C4237" t="s">
        <v>8394</v>
      </c>
      <c r="D4237" t="s">
        <v>8413</v>
      </c>
      <c r="E4237" t="s">
        <v>8445</v>
      </c>
      <c r="F4237" t="s">
        <v>8448</v>
      </c>
      <c r="G4237" t="s">
        <v>8591</v>
      </c>
    </row>
    <row r="4238" spans="1:7">
      <c r="A4238" t="s">
        <v>6599</v>
      </c>
      <c r="B4238" t="s">
        <v>8273</v>
      </c>
      <c r="C4238" t="s">
        <v>8398</v>
      </c>
      <c r="D4238" t="s">
        <v>8419</v>
      </c>
      <c r="E4238" t="s">
        <v>8446</v>
      </c>
      <c r="F4238" t="s">
        <v>8449</v>
      </c>
      <c r="G4238" t="s">
        <v>8455</v>
      </c>
    </row>
    <row r="4239" spans="1:7">
      <c r="A4239" t="s">
        <v>6600</v>
      </c>
      <c r="C4239" t="s">
        <v>8394</v>
      </c>
      <c r="D4239" t="s">
        <v>8401</v>
      </c>
      <c r="E4239" t="s">
        <v>8445</v>
      </c>
      <c r="F4239" t="s">
        <v>8448</v>
      </c>
      <c r="G4239" t="s">
        <v>8474</v>
      </c>
    </row>
    <row r="4240" spans="1:7">
      <c r="A4240" t="s">
        <v>6601</v>
      </c>
      <c r="B4240" t="s">
        <v>8273</v>
      </c>
      <c r="C4240" t="s">
        <v>8394</v>
      </c>
      <c r="D4240" t="s">
        <v>8439</v>
      </c>
      <c r="E4240" t="s">
        <v>8445</v>
      </c>
      <c r="F4240" t="s">
        <v>8449</v>
      </c>
      <c r="G4240" t="s">
        <v>8455</v>
      </c>
    </row>
    <row r="4241" spans="1:7">
      <c r="A4241" t="s">
        <v>6602</v>
      </c>
      <c r="C4241" t="s">
        <v>8397</v>
      </c>
      <c r="D4241" t="s">
        <v>8421</v>
      </c>
      <c r="E4241" t="s">
        <v>8446</v>
      </c>
      <c r="F4241" t="s">
        <v>8448</v>
      </c>
      <c r="G4241" t="s">
        <v>8453</v>
      </c>
    </row>
    <row r="4242" spans="1:7">
      <c r="A4242" t="s">
        <v>6603</v>
      </c>
      <c r="B4242" t="s">
        <v>8273</v>
      </c>
      <c r="C4242" t="s">
        <v>8398</v>
      </c>
      <c r="D4242" t="s">
        <v>8419</v>
      </c>
      <c r="E4242" t="s">
        <v>8446</v>
      </c>
      <c r="F4242" t="s">
        <v>8449</v>
      </c>
      <c r="G4242" t="s">
        <v>8455</v>
      </c>
    </row>
    <row r="4243" spans="1:7">
      <c r="A4243" t="s">
        <v>6604</v>
      </c>
      <c r="C4243" t="s">
        <v>8393</v>
      </c>
      <c r="D4243" t="s">
        <v>8393</v>
      </c>
      <c r="E4243" t="s">
        <v>919</v>
      </c>
      <c r="F4243" t="s">
        <v>8393</v>
      </c>
    </row>
    <row r="4244" spans="1:7">
      <c r="A4244" t="s">
        <v>6605</v>
      </c>
      <c r="B4244" t="s">
        <v>8278</v>
      </c>
      <c r="C4244" t="s">
        <v>8394</v>
      </c>
      <c r="D4244" t="s">
        <v>8423</v>
      </c>
      <c r="E4244" t="s">
        <v>8446</v>
      </c>
      <c r="F4244" t="s">
        <v>8449</v>
      </c>
      <c r="G4244" t="s">
        <v>8455</v>
      </c>
    </row>
    <row r="4245" spans="1:7">
      <c r="A4245" t="s">
        <v>6606</v>
      </c>
      <c r="B4245" t="s">
        <v>8278</v>
      </c>
      <c r="C4245" t="s">
        <v>8394</v>
      </c>
      <c r="D4245" t="s">
        <v>8423</v>
      </c>
      <c r="E4245" t="s">
        <v>8446</v>
      </c>
      <c r="F4245" t="s">
        <v>8449</v>
      </c>
      <c r="G4245" t="s">
        <v>8455</v>
      </c>
    </row>
    <row r="4246" spans="1:7">
      <c r="A4246" t="s">
        <v>6607</v>
      </c>
      <c r="B4246" t="s">
        <v>8299</v>
      </c>
      <c r="C4246" t="s">
        <v>8397</v>
      </c>
      <c r="D4246" t="s">
        <v>8430</v>
      </c>
      <c r="E4246" t="s">
        <v>1587</v>
      </c>
      <c r="F4246" t="s">
        <v>8449</v>
      </c>
      <c r="G4246" t="s">
        <v>8455</v>
      </c>
    </row>
    <row r="4247" spans="1:7">
      <c r="A4247" t="s">
        <v>6608</v>
      </c>
      <c r="B4247" t="s">
        <v>8286</v>
      </c>
      <c r="C4247" t="s">
        <v>8396</v>
      </c>
      <c r="D4247" t="s">
        <v>8406</v>
      </c>
      <c r="E4247" t="s">
        <v>8444</v>
      </c>
      <c r="F4247" t="s">
        <v>8449</v>
      </c>
      <c r="G4247" t="s">
        <v>8455</v>
      </c>
    </row>
    <row r="4248" spans="1:7">
      <c r="A4248" t="s">
        <v>6609</v>
      </c>
      <c r="B4248" t="s">
        <v>8273</v>
      </c>
      <c r="C4248" t="s">
        <v>8396</v>
      </c>
      <c r="D4248" t="s">
        <v>8425</v>
      </c>
      <c r="E4248" t="s">
        <v>8446</v>
      </c>
      <c r="F4248" t="s">
        <v>8449</v>
      </c>
      <c r="G4248" t="s">
        <v>8455</v>
      </c>
    </row>
    <row r="4249" spans="1:7">
      <c r="A4249" t="s">
        <v>6610</v>
      </c>
      <c r="B4249" t="s">
        <v>8273</v>
      </c>
      <c r="C4249" t="s">
        <v>8396</v>
      </c>
      <c r="D4249" t="s">
        <v>8425</v>
      </c>
      <c r="E4249" t="s">
        <v>1519</v>
      </c>
      <c r="F4249" t="s">
        <v>8447</v>
      </c>
      <c r="G4249" t="s">
        <v>8463</v>
      </c>
    </row>
    <row r="4250" spans="1:7">
      <c r="A4250" t="s">
        <v>6611</v>
      </c>
      <c r="C4250" t="s">
        <v>8397</v>
      </c>
      <c r="D4250" t="s">
        <v>8412</v>
      </c>
      <c r="E4250" t="s">
        <v>8445</v>
      </c>
      <c r="F4250" t="s">
        <v>8450</v>
      </c>
    </row>
    <row r="4251" spans="1:7">
      <c r="A4251" t="s">
        <v>6612</v>
      </c>
      <c r="C4251" t="s">
        <v>8393</v>
      </c>
      <c r="D4251" t="s">
        <v>8393</v>
      </c>
      <c r="E4251" t="s">
        <v>919</v>
      </c>
      <c r="F4251" t="s">
        <v>8393</v>
      </c>
    </row>
    <row r="4252" spans="1:7">
      <c r="A4252" t="s">
        <v>6613</v>
      </c>
      <c r="B4252" t="s">
        <v>8278</v>
      </c>
      <c r="C4252" t="s">
        <v>8394</v>
      </c>
      <c r="D4252" t="s">
        <v>8423</v>
      </c>
      <c r="E4252" t="s">
        <v>8446</v>
      </c>
      <c r="F4252" t="s">
        <v>8449</v>
      </c>
      <c r="G4252" t="s">
        <v>8455</v>
      </c>
    </row>
    <row r="4253" spans="1:7">
      <c r="A4253" t="s">
        <v>6614</v>
      </c>
      <c r="B4253" t="s">
        <v>8278</v>
      </c>
      <c r="C4253" t="s">
        <v>8394</v>
      </c>
      <c r="D4253" t="s">
        <v>8423</v>
      </c>
      <c r="E4253" t="s">
        <v>8446</v>
      </c>
      <c r="F4253" t="s">
        <v>8449</v>
      </c>
      <c r="G4253" t="s">
        <v>8455</v>
      </c>
    </row>
    <row r="4254" spans="1:7">
      <c r="A4254" t="s">
        <v>6615</v>
      </c>
      <c r="B4254" t="s">
        <v>8284</v>
      </c>
      <c r="C4254" t="s">
        <v>8394</v>
      </c>
      <c r="D4254" t="s">
        <v>8423</v>
      </c>
      <c r="E4254" t="s">
        <v>8446</v>
      </c>
      <c r="F4254" t="s">
        <v>8449</v>
      </c>
      <c r="G4254" t="s">
        <v>8455</v>
      </c>
    </row>
    <row r="4255" spans="1:7">
      <c r="A4255" t="s">
        <v>6616</v>
      </c>
      <c r="B4255" t="s">
        <v>8281</v>
      </c>
      <c r="C4255" t="s">
        <v>8394</v>
      </c>
      <c r="D4255" t="s">
        <v>8423</v>
      </c>
      <c r="E4255" t="s">
        <v>8446</v>
      </c>
      <c r="F4255" t="s">
        <v>8449</v>
      </c>
      <c r="G4255" t="s">
        <v>8455</v>
      </c>
    </row>
    <row r="4256" spans="1:7">
      <c r="A4256" t="s">
        <v>6617</v>
      </c>
      <c r="C4256" t="s">
        <v>8392</v>
      </c>
      <c r="D4256" t="s">
        <v>8415</v>
      </c>
      <c r="E4256" t="s">
        <v>8444</v>
      </c>
      <c r="F4256" t="s">
        <v>8450</v>
      </c>
    </row>
    <row r="4257" spans="1:7">
      <c r="A4257" t="s">
        <v>6618</v>
      </c>
      <c r="B4257" t="s">
        <v>8299</v>
      </c>
      <c r="C4257" t="s">
        <v>8397</v>
      </c>
      <c r="D4257" t="s">
        <v>8431</v>
      </c>
      <c r="E4257" t="s">
        <v>1519</v>
      </c>
      <c r="F4257" t="s">
        <v>8448</v>
      </c>
    </row>
    <row r="4258" spans="1:7">
      <c r="A4258" t="s">
        <v>6619</v>
      </c>
      <c r="B4258" t="s">
        <v>8299</v>
      </c>
      <c r="C4258" t="s">
        <v>8397</v>
      </c>
      <c r="D4258" t="s">
        <v>8430</v>
      </c>
      <c r="E4258" t="s">
        <v>1587</v>
      </c>
      <c r="F4258" t="s">
        <v>8448</v>
      </c>
      <c r="G4258" t="s">
        <v>795</v>
      </c>
    </row>
    <row r="4259" spans="1:7">
      <c r="A4259" t="s">
        <v>6620</v>
      </c>
      <c r="B4259" t="s">
        <v>8273</v>
      </c>
      <c r="C4259" t="s">
        <v>8395</v>
      </c>
      <c r="D4259" t="s">
        <v>8417</v>
      </c>
      <c r="E4259" t="s">
        <v>8444</v>
      </c>
      <c r="F4259" t="s">
        <v>8449</v>
      </c>
      <c r="G4259" t="s">
        <v>8455</v>
      </c>
    </row>
    <row r="4260" spans="1:7">
      <c r="A4260" t="s">
        <v>6621</v>
      </c>
      <c r="C4260" t="s">
        <v>8393</v>
      </c>
      <c r="D4260" t="s">
        <v>8393</v>
      </c>
      <c r="E4260" t="s">
        <v>919</v>
      </c>
      <c r="F4260" t="s">
        <v>8393</v>
      </c>
    </row>
    <row r="4261" spans="1:7">
      <c r="A4261" t="s">
        <v>6622</v>
      </c>
      <c r="B4261" t="s">
        <v>8273</v>
      </c>
      <c r="C4261" t="s">
        <v>8396</v>
      </c>
      <c r="D4261" t="s">
        <v>8405</v>
      </c>
      <c r="E4261" t="s">
        <v>8446</v>
      </c>
      <c r="F4261" t="s">
        <v>8449</v>
      </c>
      <c r="G4261" t="s">
        <v>8455</v>
      </c>
    </row>
    <row r="4262" spans="1:7">
      <c r="A4262" t="s">
        <v>6623</v>
      </c>
      <c r="B4262" t="s">
        <v>8273</v>
      </c>
      <c r="C4262" t="s">
        <v>8392</v>
      </c>
      <c r="D4262" t="s">
        <v>8415</v>
      </c>
      <c r="E4262" t="s">
        <v>8446</v>
      </c>
      <c r="F4262" t="s">
        <v>8449</v>
      </c>
      <c r="G4262" t="s">
        <v>8455</v>
      </c>
    </row>
    <row r="4263" spans="1:7">
      <c r="A4263" t="s">
        <v>6624</v>
      </c>
      <c r="B4263" t="s">
        <v>8274</v>
      </c>
      <c r="C4263" t="s">
        <v>8396</v>
      </c>
      <c r="D4263" t="s">
        <v>8405</v>
      </c>
      <c r="E4263" t="s">
        <v>8446</v>
      </c>
      <c r="F4263" t="s">
        <v>8449</v>
      </c>
      <c r="G4263" t="s">
        <v>8455</v>
      </c>
    </row>
    <row r="4264" spans="1:7">
      <c r="A4264" t="s">
        <v>6625</v>
      </c>
      <c r="B4264" t="s">
        <v>8277</v>
      </c>
      <c r="C4264" t="s">
        <v>8396</v>
      </c>
      <c r="D4264" t="s">
        <v>8405</v>
      </c>
      <c r="E4264" t="s">
        <v>8446</v>
      </c>
      <c r="F4264" t="s">
        <v>8449</v>
      </c>
      <c r="G4264" t="s">
        <v>8455</v>
      </c>
    </row>
    <row r="4265" spans="1:7">
      <c r="A4265" t="s">
        <v>6626</v>
      </c>
      <c r="C4265" t="s">
        <v>8397</v>
      </c>
      <c r="D4265" t="s">
        <v>8408</v>
      </c>
      <c r="E4265" t="s">
        <v>8445</v>
      </c>
      <c r="F4265" t="s">
        <v>8450</v>
      </c>
    </row>
    <row r="4266" spans="1:7">
      <c r="A4266" t="s">
        <v>6627</v>
      </c>
      <c r="B4266" t="s">
        <v>8273</v>
      </c>
      <c r="C4266" t="s">
        <v>8395</v>
      </c>
      <c r="D4266" t="s">
        <v>8402</v>
      </c>
      <c r="E4266" t="s">
        <v>8446</v>
      </c>
      <c r="F4266" t="s">
        <v>8449</v>
      </c>
      <c r="G4266" t="s">
        <v>8455</v>
      </c>
    </row>
    <row r="4267" spans="1:7">
      <c r="A4267" t="s">
        <v>6628</v>
      </c>
      <c r="B4267" t="s">
        <v>8273</v>
      </c>
      <c r="C4267" t="s">
        <v>8395</v>
      </c>
      <c r="D4267" t="s">
        <v>8402</v>
      </c>
      <c r="E4267" t="s">
        <v>8446</v>
      </c>
      <c r="F4267" t="s">
        <v>8449</v>
      </c>
      <c r="G4267" t="s">
        <v>8455</v>
      </c>
    </row>
    <row r="4268" spans="1:7">
      <c r="A4268" t="s">
        <v>6629</v>
      </c>
      <c r="B4268" t="s">
        <v>8273</v>
      </c>
      <c r="C4268" t="s">
        <v>8395</v>
      </c>
      <c r="D4268" t="s">
        <v>8438</v>
      </c>
      <c r="E4268" t="s">
        <v>1519</v>
      </c>
      <c r="F4268" t="s">
        <v>8449</v>
      </c>
      <c r="G4268" t="s">
        <v>8455</v>
      </c>
    </row>
    <row r="4269" spans="1:7">
      <c r="A4269" t="s">
        <v>6630</v>
      </c>
      <c r="C4269" t="s">
        <v>8394</v>
      </c>
      <c r="D4269" t="s">
        <v>8433</v>
      </c>
      <c r="E4269" t="s">
        <v>8445</v>
      </c>
      <c r="F4269" t="s">
        <v>8448</v>
      </c>
      <c r="G4269" t="s">
        <v>8455</v>
      </c>
    </row>
    <row r="4270" spans="1:7">
      <c r="A4270" t="s">
        <v>6631</v>
      </c>
      <c r="C4270" t="s">
        <v>8393</v>
      </c>
      <c r="D4270" t="s">
        <v>8393</v>
      </c>
      <c r="E4270" t="s">
        <v>919</v>
      </c>
      <c r="F4270" t="s">
        <v>8393</v>
      </c>
    </row>
    <row r="4271" spans="1:7">
      <c r="A4271" t="s">
        <v>6632</v>
      </c>
      <c r="B4271" t="s">
        <v>8273</v>
      </c>
      <c r="C4271" t="s">
        <v>8395</v>
      </c>
      <c r="D4271" t="s">
        <v>8426</v>
      </c>
      <c r="E4271" t="s">
        <v>8446</v>
      </c>
      <c r="F4271" t="s">
        <v>8449</v>
      </c>
      <c r="G4271" t="s">
        <v>8455</v>
      </c>
    </row>
    <row r="4272" spans="1:7">
      <c r="A4272" t="s">
        <v>6633</v>
      </c>
      <c r="B4272" t="s">
        <v>8285</v>
      </c>
      <c r="C4272" t="s">
        <v>8395</v>
      </c>
      <c r="D4272" t="s">
        <v>8426</v>
      </c>
      <c r="E4272" t="s">
        <v>8446</v>
      </c>
      <c r="F4272" t="s">
        <v>8449</v>
      </c>
      <c r="G4272" t="s">
        <v>8455</v>
      </c>
    </row>
    <row r="4273" spans="1:7">
      <c r="A4273" t="s">
        <v>6634</v>
      </c>
      <c r="B4273" t="s">
        <v>8277</v>
      </c>
      <c r="C4273" t="s">
        <v>8395</v>
      </c>
      <c r="D4273" t="s">
        <v>8426</v>
      </c>
      <c r="E4273" t="s">
        <v>8446</v>
      </c>
      <c r="F4273" t="s">
        <v>8449</v>
      </c>
      <c r="G4273" t="s">
        <v>8455</v>
      </c>
    </row>
    <row r="4274" spans="1:7">
      <c r="A4274" t="s">
        <v>6635</v>
      </c>
      <c r="B4274" t="s">
        <v>8273</v>
      </c>
      <c r="C4274" t="s">
        <v>8395</v>
      </c>
      <c r="D4274" t="s">
        <v>8400</v>
      </c>
      <c r="E4274" t="s">
        <v>1519</v>
      </c>
      <c r="F4274" t="s">
        <v>8449</v>
      </c>
      <c r="G4274" t="s">
        <v>8455</v>
      </c>
    </row>
    <row r="4275" spans="1:7">
      <c r="A4275" t="s">
        <v>6636</v>
      </c>
      <c r="B4275" t="s">
        <v>8273</v>
      </c>
      <c r="C4275" t="s">
        <v>8392</v>
      </c>
      <c r="D4275" t="s">
        <v>8415</v>
      </c>
      <c r="E4275" t="s">
        <v>8445</v>
      </c>
      <c r="F4275" t="s">
        <v>8449</v>
      </c>
      <c r="G4275" t="s">
        <v>9174</v>
      </c>
    </row>
    <row r="4276" spans="1:7">
      <c r="A4276" t="s">
        <v>6637</v>
      </c>
      <c r="B4276" t="s">
        <v>8273</v>
      </c>
      <c r="C4276" t="s">
        <v>8396</v>
      </c>
      <c r="D4276" t="s">
        <v>8405</v>
      </c>
      <c r="E4276" t="s">
        <v>1519</v>
      </c>
      <c r="F4276" t="s">
        <v>8449</v>
      </c>
      <c r="G4276" t="s">
        <v>8455</v>
      </c>
    </row>
    <row r="4277" spans="1:7">
      <c r="A4277" t="s">
        <v>6638</v>
      </c>
      <c r="C4277" t="s">
        <v>8393</v>
      </c>
      <c r="D4277" t="s">
        <v>8393</v>
      </c>
      <c r="E4277" t="s">
        <v>919</v>
      </c>
      <c r="F4277" t="s">
        <v>8393</v>
      </c>
    </row>
    <row r="4278" spans="1:7">
      <c r="A4278" t="s">
        <v>6639</v>
      </c>
      <c r="B4278" t="s">
        <v>8278</v>
      </c>
      <c r="C4278" t="s">
        <v>8394</v>
      </c>
      <c r="D4278" t="s">
        <v>8423</v>
      </c>
      <c r="E4278" t="s">
        <v>8446</v>
      </c>
      <c r="F4278" t="s">
        <v>8449</v>
      </c>
      <c r="G4278" t="s">
        <v>8455</v>
      </c>
    </row>
    <row r="4279" spans="1:7">
      <c r="A4279" t="s">
        <v>6640</v>
      </c>
      <c r="B4279" t="s">
        <v>8284</v>
      </c>
      <c r="C4279" t="s">
        <v>8394</v>
      </c>
      <c r="D4279" t="s">
        <v>8423</v>
      </c>
      <c r="E4279" t="s">
        <v>8446</v>
      </c>
      <c r="F4279" t="s">
        <v>8449</v>
      </c>
      <c r="G4279" t="s">
        <v>8455</v>
      </c>
    </row>
    <row r="4280" spans="1:7">
      <c r="A4280" t="s">
        <v>6641</v>
      </c>
      <c r="B4280" t="s">
        <v>8279</v>
      </c>
      <c r="C4280" t="s">
        <v>8394</v>
      </c>
      <c r="D4280" t="s">
        <v>8423</v>
      </c>
      <c r="E4280" t="s">
        <v>8446</v>
      </c>
      <c r="F4280" t="s">
        <v>8449</v>
      </c>
      <c r="G4280" t="s">
        <v>8455</v>
      </c>
    </row>
    <row r="4281" spans="1:7">
      <c r="A4281" t="s">
        <v>6642</v>
      </c>
      <c r="B4281" t="s">
        <v>8280</v>
      </c>
      <c r="C4281" t="s">
        <v>8394</v>
      </c>
      <c r="D4281" t="s">
        <v>8423</v>
      </c>
      <c r="E4281" t="s">
        <v>8446</v>
      </c>
      <c r="F4281" t="s">
        <v>8449</v>
      </c>
      <c r="G4281" t="s">
        <v>8455</v>
      </c>
    </row>
    <row r="4282" spans="1:7">
      <c r="A4282" t="s">
        <v>6643</v>
      </c>
      <c r="B4282" t="s">
        <v>8281</v>
      </c>
      <c r="C4282" t="s">
        <v>8394</v>
      </c>
      <c r="D4282" t="s">
        <v>8423</v>
      </c>
      <c r="E4282" t="s">
        <v>8446</v>
      </c>
      <c r="F4282" t="s">
        <v>8449</v>
      </c>
      <c r="G4282" t="s">
        <v>8455</v>
      </c>
    </row>
    <row r="4283" spans="1:7">
      <c r="A4283" t="s">
        <v>6644</v>
      </c>
      <c r="B4283" t="s">
        <v>8273</v>
      </c>
      <c r="C4283" t="s">
        <v>8398</v>
      </c>
      <c r="D4283" t="s">
        <v>8409</v>
      </c>
      <c r="E4283" t="s">
        <v>8446</v>
      </c>
      <c r="F4283" t="s">
        <v>8448</v>
      </c>
      <c r="G4283" t="s">
        <v>9175</v>
      </c>
    </row>
    <row r="4284" spans="1:7">
      <c r="A4284" t="s">
        <v>6645</v>
      </c>
      <c r="B4284" t="s">
        <v>8273</v>
      </c>
      <c r="C4284" t="s">
        <v>8398</v>
      </c>
      <c r="D4284" t="s">
        <v>8409</v>
      </c>
      <c r="E4284" t="s">
        <v>8444</v>
      </c>
      <c r="F4284" t="s">
        <v>8448</v>
      </c>
      <c r="G4284" t="s">
        <v>9176</v>
      </c>
    </row>
    <row r="4285" spans="1:7">
      <c r="A4285" t="s">
        <v>6646</v>
      </c>
      <c r="B4285" t="s">
        <v>8273</v>
      </c>
      <c r="C4285" t="s">
        <v>8398</v>
      </c>
      <c r="D4285" t="s">
        <v>8419</v>
      </c>
      <c r="E4285" t="s">
        <v>8446</v>
      </c>
      <c r="F4285" t="s">
        <v>8449</v>
      </c>
      <c r="G4285" t="s">
        <v>9177</v>
      </c>
    </row>
    <row r="4286" spans="1:7">
      <c r="A4286" t="s">
        <v>6647</v>
      </c>
      <c r="B4286" t="s">
        <v>8273</v>
      </c>
      <c r="C4286" t="s">
        <v>8396</v>
      </c>
      <c r="D4286" t="s">
        <v>8425</v>
      </c>
      <c r="E4286" t="s">
        <v>8446</v>
      </c>
      <c r="F4286" t="s">
        <v>8449</v>
      </c>
      <c r="G4286" t="s">
        <v>8455</v>
      </c>
    </row>
    <row r="4287" spans="1:7">
      <c r="A4287" t="s">
        <v>6648</v>
      </c>
      <c r="B4287" t="s">
        <v>8273</v>
      </c>
      <c r="C4287" t="s">
        <v>8398</v>
      </c>
      <c r="D4287" t="s">
        <v>8419</v>
      </c>
      <c r="E4287" t="s">
        <v>8446</v>
      </c>
      <c r="F4287" t="s">
        <v>8449</v>
      </c>
      <c r="G4287" t="s">
        <v>9178</v>
      </c>
    </row>
    <row r="4288" spans="1:7">
      <c r="A4288" t="s">
        <v>6649</v>
      </c>
      <c r="B4288" t="s">
        <v>8273</v>
      </c>
      <c r="C4288" t="s">
        <v>8396</v>
      </c>
      <c r="D4288" t="s">
        <v>8405</v>
      </c>
      <c r="E4288" t="s">
        <v>8446</v>
      </c>
      <c r="F4288" t="s">
        <v>8449</v>
      </c>
      <c r="G4288" t="s">
        <v>8455</v>
      </c>
    </row>
    <row r="4289" spans="1:7">
      <c r="A4289" t="s">
        <v>6650</v>
      </c>
      <c r="B4289" t="s">
        <v>8273</v>
      </c>
      <c r="C4289" t="s">
        <v>8398</v>
      </c>
      <c r="D4289" t="s">
        <v>8419</v>
      </c>
      <c r="E4289" t="s">
        <v>8445</v>
      </c>
      <c r="F4289" t="s">
        <v>8448</v>
      </c>
      <c r="G4289" t="s">
        <v>8536</v>
      </c>
    </row>
    <row r="4290" spans="1:7">
      <c r="A4290" t="s">
        <v>6651</v>
      </c>
      <c r="C4290" t="s">
        <v>8397</v>
      </c>
      <c r="D4290" t="s">
        <v>8408</v>
      </c>
      <c r="E4290" t="s">
        <v>8445</v>
      </c>
      <c r="F4290" t="s">
        <v>8450</v>
      </c>
    </row>
    <row r="4291" spans="1:7">
      <c r="A4291" t="s">
        <v>6652</v>
      </c>
      <c r="C4291" t="s">
        <v>8397</v>
      </c>
      <c r="D4291" t="s">
        <v>8408</v>
      </c>
      <c r="E4291" t="s">
        <v>8445</v>
      </c>
      <c r="F4291" t="s">
        <v>8447</v>
      </c>
      <c r="G4291" t="s">
        <v>9179</v>
      </c>
    </row>
    <row r="4292" spans="1:7">
      <c r="A4292" t="s">
        <v>6653</v>
      </c>
      <c r="C4292" t="s">
        <v>8397</v>
      </c>
      <c r="D4292" t="s">
        <v>8421</v>
      </c>
      <c r="E4292" t="s">
        <v>8444</v>
      </c>
      <c r="F4292" t="s">
        <v>8448</v>
      </c>
      <c r="G4292" t="s">
        <v>9180</v>
      </c>
    </row>
    <row r="4293" spans="1:7">
      <c r="A4293" t="s">
        <v>6654</v>
      </c>
      <c r="B4293" t="s">
        <v>8273</v>
      </c>
      <c r="C4293" t="s">
        <v>8397</v>
      </c>
      <c r="D4293" t="s">
        <v>8421</v>
      </c>
      <c r="E4293" t="s">
        <v>8445</v>
      </c>
      <c r="F4293" t="s">
        <v>8448</v>
      </c>
      <c r="G4293" t="s">
        <v>9181</v>
      </c>
    </row>
    <row r="4294" spans="1:7">
      <c r="A4294" t="s">
        <v>6655</v>
      </c>
      <c r="C4294" t="s">
        <v>8392</v>
      </c>
      <c r="D4294" t="s">
        <v>8400</v>
      </c>
      <c r="E4294" t="s">
        <v>1587</v>
      </c>
      <c r="F4294" t="s">
        <v>8447</v>
      </c>
      <c r="G4294" t="s">
        <v>9182</v>
      </c>
    </row>
    <row r="4295" spans="1:7">
      <c r="A4295" t="s">
        <v>6656</v>
      </c>
      <c r="C4295" t="s">
        <v>8394</v>
      </c>
      <c r="D4295" t="s">
        <v>8413</v>
      </c>
      <c r="E4295" t="s">
        <v>8445</v>
      </c>
      <c r="F4295" t="s">
        <v>8448</v>
      </c>
      <c r="G4295" t="s">
        <v>8453</v>
      </c>
    </row>
    <row r="4296" spans="1:7">
      <c r="A4296" t="s">
        <v>6657</v>
      </c>
      <c r="B4296" t="s">
        <v>8273</v>
      </c>
      <c r="C4296" t="s">
        <v>8395</v>
      </c>
      <c r="D4296" t="s">
        <v>8426</v>
      </c>
      <c r="E4296" t="s">
        <v>8446</v>
      </c>
      <c r="F4296" t="s">
        <v>8449</v>
      </c>
      <c r="G4296" t="s">
        <v>8455</v>
      </c>
    </row>
    <row r="4297" spans="1:7">
      <c r="A4297" t="s">
        <v>6658</v>
      </c>
      <c r="B4297" t="s">
        <v>8273</v>
      </c>
      <c r="C4297" t="s">
        <v>8398</v>
      </c>
      <c r="D4297" t="s">
        <v>8409</v>
      </c>
      <c r="E4297" t="s">
        <v>8444</v>
      </c>
      <c r="F4297" t="s">
        <v>8449</v>
      </c>
      <c r="G4297" t="s">
        <v>8453</v>
      </c>
    </row>
    <row r="4298" spans="1:7">
      <c r="A4298" t="s">
        <v>6659</v>
      </c>
      <c r="C4298" t="s">
        <v>8394</v>
      </c>
      <c r="D4298" t="s">
        <v>8401</v>
      </c>
      <c r="E4298" t="s">
        <v>8445</v>
      </c>
      <c r="F4298" t="s">
        <v>8448</v>
      </c>
      <c r="G4298" t="s">
        <v>8453</v>
      </c>
    </row>
    <row r="4299" spans="1:7">
      <c r="A4299" t="s">
        <v>6660</v>
      </c>
      <c r="C4299" t="s">
        <v>8398</v>
      </c>
      <c r="D4299" t="s">
        <v>8409</v>
      </c>
      <c r="E4299" t="s">
        <v>1519</v>
      </c>
      <c r="F4299" t="s">
        <v>8449</v>
      </c>
      <c r="G4299" t="s">
        <v>8453</v>
      </c>
    </row>
    <row r="4300" spans="1:7">
      <c r="A4300" t="s">
        <v>771</v>
      </c>
      <c r="B4300" t="s">
        <v>8273</v>
      </c>
      <c r="C4300" t="s">
        <v>8396</v>
      </c>
      <c r="D4300" t="s">
        <v>8404</v>
      </c>
      <c r="E4300" t="s">
        <v>1519</v>
      </c>
      <c r="F4300" t="s">
        <v>8448</v>
      </c>
      <c r="G4300" t="s">
        <v>793</v>
      </c>
    </row>
    <row r="4301" spans="1:7">
      <c r="A4301" t="s">
        <v>6661</v>
      </c>
      <c r="B4301" t="s">
        <v>8273</v>
      </c>
      <c r="C4301" t="s">
        <v>8398</v>
      </c>
      <c r="D4301" t="s">
        <v>8419</v>
      </c>
      <c r="E4301" t="s">
        <v>8444</v>
      </c>
      <c r="F4301" t="s">
        <v>8449</v>
      </c>
      <c r="G4301" t="s">
        <v>8455</v>
      </c>
    </row>
    <row r="4302" spans="1:7">
      <c r="A4302" t="s">
        <v>6662</v>
      </c>
      <c r="B4302" t="s">
        <v>8273</v>
      </c>
      <c r="C4302" t="s">
        <v>8396</v>
      </c>
      <c r="D4302" t="s">
        <v>8425</v>
      </c>
      <c r="E4302" t="s">
        <v>8446</v>
      </c>
      <c r="F4302" t="s">
        <v>8448</v>
      </c>
      <c r="G4302" t="s">
        <v>9183</v>
      </c>
    </row>
    <row r="4303" spans="1:7">
      <c r="A4303" t="s">
        <v>6663</v>
      </c>
      <c r="C4303" t="s">
        <v>8397</v>
      </c>
      <c r="D4303" t="s">
        <v>8418</v>
      </c>
      <c r="E4303" t="s">
        <v>8446</v>
      </c>
      <c r="F4303" t="s">
        <v>8450</v>
      </c>
      <c r="G4303" t="s">
        <v>9184</v>
      </c>
    </row>
    <row r="4304" spans="1:7">
      <c r="A4304" t="s">
        <v>6664</v>
      </c>
      <c r="C4304" t="s">
        <v>8394</v>
      </c>
      <c r="D4304" t="s">
        <v>8424</v>
      </c>
      <c r="E4304" t="s">
        <v>8444</v>
      </c>
      <c r="F4304" t="s">
        <v>8448</v>
      </c>
      <c r="G4304" t="s">
        <v>9185</v>
      </c>
    </row>
    <row r="4305" spans="1:7">
      <c r="A4305" t="s">
        <v>6665</v>
      </c>
      <c r="C4305" t="s">
        <v>8394</v>
      </c>
      <c r="D4305" t="s">
        <v>8402</v>
      </c>
      <c r="E4305" t="s">
        <v>8444</v>
      </c>
      <c r="F4305" t="s">
        <v>8448</v>
      </c>
      <c r="G4305" t="s">
        <v>8888</v>
      </c>
    </row>
    <row r="4306" spans="1:7">
      <c r="A4306" t="s">
        <v>6666</v>
      </c>
      <c r="C4306" t="s">
        <v>8394</v>
      </c>
      <c r="D4306" t="s">
        <v>8417</v>
      </c>
      <c r="E4306" t="s">
        <v>8445</v>
      </c>
      <c r="F4306" t="s">
        <v>8448</v>
      </c>
      <c r="G4306" t="s">
        <v>9186</v>
      </c>
    </row>
    <row r="4307" spans="1:7">
      <c r="A4307" t="s">
        <v>6667</v>
      </c>
      <c r="B4307" t="s">
        <v>8273</v>
      </c>
      <c r="C4307" t="s">
        <v>8396</v>
      </c>
      <c r="D4307" t="s">
        <v>8425</v>
      </c>
      <c r="E4307" t="s">
        <v>1519</v>
      </c>
      <c r="F4307" t="s">
        <v>8448</v>
      </c>
      <c r="G4307" t="s">
        <v>8455</v>
      </c>
    </row>
    <row r="4308" spans="1:7">
      <c r="A4308" t="s">
        <v>6668</v>
      </c>
      <c r="C4308" t="s">
        <v>8393</v>
      </c>
      <c r="D4308" t="s">
        <v>8393</v>
      </c>
      <c r="E4308" t="s">
        <v>919</v>
      </c>
      <c r="F4308" t="s">
        <v>8393</v>
      </c>
    </row>
    <row r="4309" spans="1:7">
      <c r="A4309" t="s">
        <v>6669</v>
      </c>
      <c r="B4309" t="s">
        <v>8273</v>
      </c>
      <c r="C4309" t="s">
        <v>8396</v>
      </c>
      <c r="D4309" t="s">
        <v>8420</v>
      </c>
      <c r="E4309" t="s">
        <v>8446</v>
      </c>
      <c r="F4309" t="s">
        <v>8449</v>
      </c>
      <c r="G4309" t="s">
        <v>8455</v>
      </c>
    </row>
    <row r="4310" spans="1:7">
      <c r="A4310" t="s">
        <v>6670</v>
      </c>
      <c r="B4310" t="s">
        <v>8273</v>
      </c>
      <c r="C4310" t="s">
        <v>8392</v>
      </c>
      <c r="D4310" t="s">
        <v>8400</v>
      </c>
      <c r="E4310" t="s">
        <v>8446</v>
      </c>
      <c r="F4310" t="s">
        <v>8449</v>
      </c>
      <c r="G4310" t="s">
        <v>796</v>
      </c>
    </row>
    <row r="4311" spans="1:7">
      <c r="A4311" t="s">
        <v>6671</v>
      </c>
      <c r="C4311" t="s">
        <v>8393</v>
      </c>
      <c r="D4311" t="s">
        <v>8393</v>
      </c>
      <c r="E4311" t="s">
        <v>919</v>
      </c>
      <c r="F4311" t="s">
        <v>8393</v>
      </c>
    </row>
    <row r="4312" spans="1:7">
      <c r="A4312" t="s">
        <v>6672</v>
      </c>
      <c r="B4312" t="s">
        <v>8273</v>
      </c>
      <c r="C4312" t="s">
        <v>8394</v>
      </c>
      <c r="D4312" t="s">
        <v>8414</v>
      </c>
      <c r="E4312" t="s">
        <v>8446</v>
      </c>
      <c r="F4312" t="s">
        <v>8449</v>
      </c>
      <c r="G4312" t="s">
        <v>8455</v>
      </c>
    </row>
    <row r="4313" spans="1:7">
      <c r="A4313" t="s">
        <v>6673</v>
      </c>
      <c r="B4313" t="s">
        <v>8277</v>
      </c>
      <c r="C4313" t="s">
        <v>8394</v>
      </c>
      <c r="D4313" t="s">
        <v>8414</v>
      </c>
      <c r="E4313" t="s">
        <v>8446</v>
      </c>
      <c r="F4313" t="s">
        <v>8449</v>
      </c>
      <c r="G4313" t="s">
        <v>8455</v>
      </c>
    </row>
    <row r="4314" spans="1:7">
      <c r="A4314" t="s">
        <v>6674</v>
      </c>
      <c r="C4314" t="s">
        <v>8392</v>
      </c>
      <c r="D4314" t="s">
        <v>8400</v>
      </c>
      <c r="E4314" t="s">
        <v>8444</v>
      </c>
      <c r="F4314" t="s">
        <v>8447</v>
      </c>
      <c r="G4314" t="s">
        <v>8474</v>
      </c>
    </row>
    <row r="4315" spans="1:7">
      <c r="A4315" t="s">
        <v>6675</v>
      </c>
      <c r="B4315" t="s">
        <v>8273</v>
      </c>
      <c r="C4315" t="s">
        <v>8394</v>
      </c>
      <c r="D4315" t="s">
        <v>8414</v>
      </c>
      <c r="E4315" t="s">
        <v>8445</v>
      </c>
      <c r="F4315" t="s">
        <v>8448</v>
      </c>
      <c r="G4315" t="s">
        <v>9187</v>
      </c>
    </row>
    <row r="4316" spans="1:7">
      <c r="A4316" t="s">
        <v>6676</v>
      </c>
      <c r="B4316" t="s">
        <v>8273</v>
      </c>
      <c r="C4316" t="s">
        <v>8398</v>
      </c>
      <c r="D4316" t="s">
        <v>8419</v>
      </c>
      <c r="E4316" t="s">
        <v>1519</v>
      </c>
      <c r="F4316" t="s">
        <v>8447</v>
      </c>
      <c r="G4316" t="s">
        <v>8463</v>
      </c>
    </row>
    <row r="4317" spans="1:7">
      <c r="A4317" t="s">
        <v>6677</v>
      </c>
      <c r="B4317" t="s">
        <v>8273</v>
      </c>
      <c r="C4317" t="s">
        <v>8398</v>
      </c>
      <c r="D4317" t="s">
        <v>8419</v>
      </c>
      <c r="E4317" t="s">
        <v>1519</v>
      </c>
      <c r="F4317" t="s">
        <v>8447</v>
      </c>
      <c r="G4317" t="s">
        <v>8463</v>
      </c>
    </row>
    <row r="4318" spans="1:7">
      <c r="A4318" t="s">
        <v>6678</v>
      </c>
      <c r="C4318" t="s">
        <v>8397</v>
      </c>
      <c r="D4318" t="s">
        <v>8418</v>
      </c>
      <c r="E4318" t="s">
        <v>1519</v>
      </c>
      <c r="F4318" t="s">
        <v>8450</v>
      </c>
      <c r="G4318" t="s">
        <v>9188</v>
      </c>
    </row>
    <row r="4319" spans="1:7">
      <c r="A4319" t="s">
        <v>6679</v>
      </c>
      <c r="C4319" t="s">
        <v>8393</v>
      </c>
      <c r="D4319" t="s">
        <v>8393</v>
      </c>
      <c r="E4319" t="s">
        <v>919</v>
      </c>
      <c r="F4319" t="s">
        <v>8393</v>
      </c>
    </row>
    <row r="4320" spans="1:7">
      <c r="A4320" t="s">
        <v>6680</v>
      </c>
      <c r="B4320" t="s">
        <v>8273</v>
      </c>
      <c r="C4320" t="s">
        <v>8395</v>
      </c>
      <c r="D4320" t="s">
        <v>8422</v>
      </c>
      <c r="E4320" t="s">
        <v>8444</v>
      </c>
      <c r="F4320" t="s">
        <v>8448</v>
      </c>
      <c r="G4320" t="s">
        <v>8455</v>
      </c>
    </row>
    <row r="4321" spans="1:7">
      <c r="A4321" t="s">
        <v>6681</v>
      </c>
      <c r="B4321" t="s">
        <v>8274</v>
      </c>
      <c r="C4321" t="s">
        <v>8395</v>
      </c>
      <c r="D4321" t="s">
        <v>8422</v>
      </c>
      <c r="E4321" t="s">
        <v>8444</v>
      </c>
      <c r="F4321" t="s">
        <v>8448</v>
      </c>
      <c r="G4321" t="s">
        <v>8455</v>
      </c>
    </row>
    <row r="4322" spans="1:7">
      <c r="A4322" t="s">
        <v>6682</v>
      </c>
      <c r="B4322" t="s">
        <v>8277</v>
      </c>
      <c r="C4322" t="s">
        <v>8395</v>
      </c>
      <c r="D4322" t="s">
        <v>8422</v>
      </c>
      <c r="E4322" t="s">
        <v>8444</v>
      </c>
      <c r="F4322" t="s">
        <v>8448</v>
      </c>
      <c r="G4322" t="s">
        <v>8455</v>
      </c>
    </row>
    <row r="4323" spans="1:7">
      <c r="A4323" t="s">
        <v>6683</v>
      </c>
      <c r="C4323" t="s">
        <v>8394</v>
      </c>
      <c r="D4323" t="s">
        <v>8401</v>
      </c>
      <c r="E4323" t="s">
        <v>8445</v>
      </c>
      <c r="F4323" t="s">
        <v>8448</v>
      </c>
      <c r="G4323" t="s">
        <v>9189</v>
      </c>
    </row>
    <row r="4324" spans="1:7">
      <c r="A4324" t="s">
        <v>6684</v>
      </c>
      <c r="C4324" t="s">
        <v>8394</v>
      </c>
      <c r="D4324" t="s">
        <v>8401</v>
      </c>
      <c r="E4324" t="s">
        <v>8445</v>
      </c>
      <c r="F4324" t="s">
        <v>8448</v>
      </c>
      <c r="G4324" t="s">
        <v>9190</v>
      </c>
    </row>
    <row r="4325" spans="1:7">
      <c r="A4325" t="s">
        <v>6685</v>
      </c>
      <c r="C4325" t="s">
        <v>8397</v>
      </c>
      <c r="D4325" t="s">
        <v>8408</v>
      </c>
      <c r="E4325" t="s">
        <v>8444</v>
      </c>
      <c r="F4325" t="s">
        <v>8448</v>
      </c>
      <c r="G4325" t="s">
        <v>8453</v>
      </c>
    </row>
    <row r="4326" spans="1:7">
      <c r="A4326" t="s">
        <v>6686</v>
      </c>
      <c r="B4326" t="s">
        <v>8315</v>
      </c>
      <c r="C4326" t="s">
        <v>8394</v>
      </c>
      <c r="D4326" t="s">
        <v>8402</v>
      </c>
      <c r="E4326" t="s">
        <v>8445</v>
      </c>
      <c r="F4326" t="s">
        <v>8449</v>
      </c>
      <c r="G4326" t="s">
        <v>8455</v>
      </c>
    </row>
    <row r="4327" spans="1:7">
      <c r="A4327" t="s">
        <v>6687</v>
      </c>
      <c r="C4327" t="s">
        <v>8397</v>
      </c>
      <c r="D4327" t="s">
        <v>8408</v>
      </c>
      <c r="E4327" t="s">
        <v>8445</v>
      </c>
      <c r="F4327" t="s">
        <v>8450</v>
      </c>
    </row>
    <row r="4328" spans="1:7">
      <c r="A4328" t="s">
        <v>6688</v>
      </c>
      <c r="B4328" t="s">
        <v>8299</v>
      </c>
      <c r="C4328" t="s">
        <v>8397</v>
      </c>
      <c r="D4328" t="s">
        <v>8430</v>
      </c>
      <c r="E4328" t="s">
        <v>1587</v>
      </c>
      <c r="F4328" t="s">
        <v>8449</v>
      </c>
      <c r="G4328" t="s">
        <v>795</v>
      </c>
    </row>
    <row r="4329" spans="1:7">
      <c r="A4329" t="s">
        <v>6689</v>
      </c>
      <c r="C4329" t="s">
        <v>8397</v>
      </c>
      <c r="D4329" t="s">
        <v>8408</v>
      </c>
      <c r="E4329" t="s">
        <v>8445</v>
      </c>
      <c r="F4329" t="s">
        <v>8450</v>
      </c>
    </row>
    <row r="4330" spans="1:7">
      <c r="A4330" t="s">
        <v>6690</v>
      </c>
      <c r="C4330" t="s">
        <v>8394</v>
      </c>
      <c r="D4330" t="s">
        <v>8401</v>
      </c>
      <c r="E4330" t="s">
        <v>8445</v>
      </c>
      <c r="F4330" t="s">
        <v>8448</v>
      </c>
      <c r="G4330" t="s">
        <v>8766</v>
      </c>
    </row>
    <row r="4331" spans="1:7">
      <c r="A4331" t="s">
        <v>6691</v>
      </c>
      <c r="C4331" t="s">
        <v>8394</v>
      </c>
      <c r="D4331" t="s">
        <v>8401</v>
      </c>
      <c r="E4331" t="s">
        <v>8445</v>
      </c>
      <c r="F4331" t="s">
        <v>8448</v>
      </c>
      <c r="G4331" t="s">
        <v>9191</v>
      </c>
    </row>
    <row r="4332" spans="1:7">
      <c r="A4332" t="s">
        <v>6692</v>
      </c>
      <c r="B4332" t="s">
        <v>8273</v>
      </c>
      <c r="C4332" t="s">
        <v>8395</v>
      </c>
      <c r="D4332" t="s">
        <v>8402</v>
      </c>
      <c r="E4332" t="s">
        <v>8446</v>
      </c>
      <c r="F4332" t="s">
        <v>8449</v>
      </c>
      <c r="G4332" t="s">
        <v>8455</v>
      </c>
    </row>
    <row r="4333" spans="1:7">
      <c r="A4333" t="s">
        <v>6693</v>
      </c>
      <c r="C4333" t="s">
        <v>8394</v>
      </c>
      <c r="D4333" t="s">
        <v>8401</v>
      </c>
      <c r="E4333" t="s">
        <v>8444</v>
      </c>
      <c r="F4333" t="s">
        <v>8448</v>
      </c>
      <c r="G4333" t="s">
        <v>9192</v>
      </c>
    </row>
    <row r="4334" spans="1:7">
      <c r="A4334" t="s">
        <v>6694</v>
      </c>
      <c r="C4334" t="s">
        <v>8394</v>
      </c>
      <c r="D4334" t="s">
        <v>8424</v>
      </c>
      <c r="E4334" t="s">
        <v>8444</v>
      </c>
      <c r="F4334" t="s">
        <v>8448</v>
      </c>
      <c r="G4334" t="s">
        <v>9193</v>
      </c>
    </row>
    <row r="4335" spans="1:7">
      <c r="A4335" t="s">
        <v>6695</v>
      </c>
      <c r="B4335" t="s">
        <v>8273</v>
      </c>
      <c r="C4335" t="s">
        <v>8395</v>
      </c>
      <c r="D4335" t="s">
        <v>8426</v>
      </c>
      <c r="E4335" t="s">
        <v>8446</v>
      </c>
      <c r="F4335" t="s">
        <v>8449</v>
      </c>
      <c r="G4335" t="s">
        <v>796</v>
      </c>
    </row>
    <row r="4336" spans="1:7">
      <c r="A4336" t="s">
        <v>6696</v>
      </c>
      <c r="C4336" t="s">
        <v>8394</v>
      </c>
      <c r="D4336" t="s">
        <v>8402</v>
      </c>
      <c r="E4336" t="s">
        <v>8446</v>
      </c>
      <c r="F4336" t="s">
        <v>8448</v>
      </c>
      <c r="G4336" t="s">
        <v>9194</v>
      </c>
    </row>
    <row r="4337" spans="1:7">
      <c r="A4337" t="s">
        <v>6697</v>
      </c>
      <c r="B4337" t="s">
        <v>8273</v>
      </c>
      <c r="C4337" t="s">
        <v>8394</v>
      </c>
      <c r="D4337" t="s">
        <v>8414</v>
      </c>
      <c r="E4337" t="s">
        <v>8445</v>
      </c>
      <c r="F4337" t="s">
        <v>8448</v>
      </c>
      <c r="G4337" t="s">
        <v>9195</v>
      </c>
    </row>
    <row r="4338" spans="1:7">
      <c r="A4338" t="s">
        <v>6698</v>
      </c>
      <c r="B4338" t="s">
        <v>8273</v>
      </c>
      <c r="C4338" t="s">
        <v>8395</v>
      </c>
      <c r="D4338" t="s">
        <v>8438</v>
      </c>
      <c r="E4338" t="s">
        <v>8445</v>
      </c>
      <c r="F4338" t="s">
        <v>8449</v>
      </c>
      <c r="G4338" t="s">
        <v>8455</v>
      </c>
    </row>
    <row r="4339" spans="1:7">
      <c r="A4339" t="s">
        <v>6699</v>
      </c>
      <c r="C4339" t="s">
        <v>8393</v>
      </c>
      <c r="D4339" t="s">
        <v>8393</v>
      </c>
      <c r="E4339" t="s">
        <v>919</v>
      </c>
      <c r="F4339" t="s">
        <v>8393</v>
      </c>
    </row>
    <row r="4340" spans="1:7">
      <c r="A4340" t="s">
        <v>6700</v>
      </c>
      <c r="B4340" t="s">
        <v>8273</v>
      </c>
      <c r="C4340" t="s">
        <v>8395</v>
      </c>
      <c r="D4340" t="s">
        <v>8426</v>
      </c>
      <c r="E4340" t="s">
        <v>8446</v>
      </c>
      <c r="F4340" t="s">
        <v>8449</v>
      </c>
      <c r="G4340" t="s">
        <v>8455</v>
      </c>
    </row>
    <row r="4341" spans="1:7">
      <c r="A4341" t="s">
        <v>6701</v>
      </c>
      <c r="B4341" t="s">
        <v>8273</v>
      </c>
      <c r="C4341" t="s">
        <v>8395</v>
      </c>
      <c r="D4341" t="s">
        <v>8426</v>
      </c>
      <c r="E4341" t="s">
        <v>8446</v>
      </c>
      <c r="F4341" t="s">
        <v>8449</v>
      </c>
      <c r="G4341" t="s">
        <v>8455</v>
      </c>
    </row>
    <row r="4342" spans="1:7">
      <c r="A4342" t="s">
        <v>6702</v>
      </c>
      <c r="B4342" t="s">
        <v>8273</v>
      </c>
      <c r="C4342" t="s">
        <v>8394</v>
      </c>
      <c r="D4342" t="s">
        <v>8414</v>
      </c>
      <c r="E4342" t="s">
        <v>8446</v>
      </c>
      <c r="F4342" t="s">
        <v>8448</v>
      </c>
      <c r="G4342" t="s">
        <v>9196</v>
      </c>
    </row>
    <row r="4343" spans="1:7">
      <c r="A4343" t="s">
        <v>6703</v>
      </c>
      <c r="C4343" t="s">
        <v>8393</v>
      </c>
      <c r="D4343" t="s">
        <v>8393</v>
      </c>
      <c r="E4343" t="s">
        <v>919</v>
      </c>
      <c r="F4343" t="s">
        <v>8393</v>
      </c>
    </row>
    <row r="4344" spans="1:7">
      <c r="A4344" t="s">
        <v>6704</v>
      </c>
      <c r="B4344" t="s">
        <v>8273</v>
      </c>
      <c r="C4344" t="s">
        <v>8392</v>
      </c>
      <c r="D4344" t="s">
        <v>8415</v>
      </c>
      <c r="E4344" t="s">
        <v>8446</v>
      </c>
      <c r="F4344" t="s">
        <v>8449</v>
      </c>
      <c r="G4344" t="s">
        <v>8455</v>
      </c>
    </row>
    <row r="4345" spans="1:7">
      <c r="A4345" t="s">
        <v>6705</v>
      </c>
      <c r="B4345" t="s">
        <v>8277</v>
      </c>
      <c r="C4345" t="s">
        <v>8392</v>
      </c>
      <c r="D4345" t="s">
        <v>8415</v>
      </c>
      <c r="E4345" t="s">
        <v>8446</v>
      </c>
      <c r="F4345" t="s">
        <v>8449</v>
      </c>
      <c r="G4345" t="s">
        <v>8455</v>
      </c>
    </row>
    <row r="4346" spans="1:7">
      <c r="A4346" t="s">
        <v>6706</v>
      </c>
      <c r="C4346" t="s">
        <v>8393</v>
      </c>
      <c r="D4346" t="s">
        <v>8393</v>
      </c>
      <c r="E4346" t="s">
        <v>919</v>
      </c>
      <c r="F4346" t="s">
        <v>8393</v>
      </c>
    </row>
    <row r="4347" spans="1:7">
      <c r="A4347" t="s">
        <v>6707</v>
      </c>
      <c r="B4347" t="s">
        <v>8273</v>
      </c>
      <c r="C4347" t="s">
        <v>8392</v>
      </c>
      <c r="D4347" t="s">
        <v>8415</v>
      </c>
      <c r="E4347" t="s">
        <v>8446</v>
      </c>
      <c r="F4347" t="s">
        <v>8449</v>
      </c>
      <c r="G4347" t="s">
        <v>8455</v>
      </c>
    </row>
    <row r="4348" spans="1:7">
      <c r="A4348" t="s">
        <v>6708</v>
      </c>
      <c r="B4348" t="s">
        <v>8277</v>
      </c>
      <c r="C4348" t="s">
        <v>8392</v>
      </c>
      <c r="D4348" t="s">
        <v>8415</v>
      </c>
      <c r="E4348" t="s">
        <v>8444</v>
      </c>
      <c r="F4348" t="s">
        <v>8449</v>
      </c>
      <c r="G4348" t="s">
        <v>8455</v>
      </c>
    </row>
    <row r="4349" spans="1:7">
      <c r="A4349" t="s">
        <v>6709</v>
      </c>
      <c r="C4349" t="s">
        <v>8393</v>
      </c>
      <c r="D4349" t="s">
        <v>8393</v>
      </c>
      <c r="E4349" t="s">
        <v>919</v>
      </c>
      <c r="F4349" t="s">
        <v>8393</v>
      </c>
    </row>
    <row r="4350" spans="1:7">
      <c r="A4350" t="s">
        <v>6710</v>
      </c>
      <c r="B4350" t="s">
        <v>8273</v>
      </c>
      <c r="C4350" t="s">
        <v>8395</v>
      </c>
      <c r="D4350" t="s">
        <v>8442</v>
      </c>
      <c r="E4350" t="s">
        <v>8445</v>
      </c>
      <c r="F4350" t="s">
        <v>8449</v>
      </c>
      <c r="G4350" t="s">
        <v>8455</v>
      </c>
    </row>
    <row r="4351" spans="1:7">
      <c r="A4351" t="s">
        <v>6711</v>
      </c>
      <c r="B4351" t="s">
        <v>8273</v>
      </c>
      <c r="C4351" t="s">
        <v>8396</v>
      </c>
      <c r="D4351" t="s">
        <v>8404</v>
      </c>
      <c r="E4351" t="s">
        <v>8446</v>
      </c>
      <c r="F4351" t="s">
        <v>8449</v>
      </c>
      <c r="G4351" t="s">
        <v>8455</v>
      </c>
    </row>
    <row r="4352" spans="1:7">
      <c r="A4352" t="s">
        <v>6712</v>
      </c>
      <c r="B4352" t="s">
        <v>8299</v>
      </c>
      <c r="C4352" t="s">
        <v>8397</v>
      </c>
      <c r="D4352" t="s">
        <v>8430</v>
      </c>
      <c r="E4352" t="s">
        <v>1587</v>
      </c>
      <c r="F4352" t="s">
        <v>8449</v>
      </c>
      <c r="G4352" t="s">
        <v>8455</v>
      </c>
    </row>
    <row r="4353" spans="1:7">
      <c r="A4353" t="s">
        <v>6713</v>
      </c>
      <c r="B4353" t="s">
        <v>8299</v>
      </c>
      <c r="C4353" t="s">
        <v>8397</v>
      </c>
      <c r="D4353" t="s">
        <v>8430</v>
      </c>
      <c r="E4353" t="s">
        <v>1587</v>
      </c>
      <c r="F4353" t="s">
        <v>8449</v>
      </c>
      <c r="G4353" t="s">
        <v>8453</v>
      </c>
    </row>
    <row r="4354" spans="1:7">
      <c r="A4354" t="s">
        <v>6714</v>
      </c>
      <c r="B4354" t="s">
        <v>8273</v>
      </c>
      <c r="C4354" t="s">
        <v>8392</v>
      </c>
      <c r="D4354" t="s">
        <v>8415</v>
      </c>
      <c r="E4354" t="s">
        <v>8446</v>
      </c>
      <c r="F4354" t="s">
        <v>8449</v>
      </c>
      <c r="G4354" t="s">
        <v>9197</v>
      </c>
    </row>
    <row r="4355" spans="1:7">
      <c r="A4355" t="s">
        <v>6715</v>
      </c>
      <c r="C4355" t="s">
        <v>8397</v>
      </c>
      <c r="D4355" t="s">
        <v>8421</v>
      </c>
      <c r="E4355" t="s">
        <v>8444</v>
      </c>
      <c r="F4355" t="s">
        <v>8448</v>
      </c>
      <c r="G4355" t="s">
        <v>9198</v>
      </c>
    </row>
    <row r="4356" spans="1:7">
      <c r="A4356" t="s">
        <v>6716</v>
      </c>
      <c r="B4356" t="s">
        <v>8299</v>
      </c>
      <c r="C4356" t="s">
        <v>8397</v>
      </c>
      <c r="D4356" t="s">
        <v>8430</v>
      </c>
      <c r="E4356" t="s">
        <v>1587</v>
      </c>
      <c r="F4356" t="s">
        <v>8449</v>
      </c>
      <c r="G4356" t="s">
        <v>8453</v>
      </c>
    </row>
    <row r="4357" spans="1:7">
      <c r="A4357" t="s">
        <v>6717</v>
      </c>
      <c r="C4357" t="s">
        <v>8397</v>
      </c>
      <c r="D4357" t="s">
        <v>8408</v>
      </c>
      <c r="E4357" t="s">
        <v>8445</v>
      </c>
      <c r="F4357" t="s">
        <v>8450</v>
      </c>
    </row>
    <row r="4358" spans="1:7">
      <c r="A4358" t="s">
        <v>6718</v>
      </c>
      <c r="B4358" t="s">
        <v>8273</v>
      </c>
      <c r="C4358" t="s">
        <v>8398</v>
      </c>
      <c r="D4358" t="s">
        <v>8409</v>
      </c>
      <c r="E4358" t="s">
        <v>8444</v>
      </c>
      <c r="F4358" t="s">
        <v>8448</v>
      </c>
      <c r="G4358" t="s">
        <v>8519</v>
      </c>
    </row>
    <row r="4359" spans="1:7">
      <c r="A4359" t="s">
        <v>6719</v>
      </c>
      <c r="B4359" t="s">
        <v>8273</v>
      </c>
      <c r="C4359" t="s">
        <v>8395</v>
      </c>
      <c r="D4359" t="s">
        <v>8427</v>
      </c>
      <c r="E4359" t="s">
        <v>8446</v>
      </c>
      <c r="F4359" t="s">
        <v>8449</v>
      </c>
      <c r="G4359" t="s">
        <v>8455</v>
      </c>
    </row>
    <row r="4360" spans="1:7">
      <c r="A4360" t="s">
        <v>6720</v>
      </c>
      <c r="B4360" t="s">
        <v>8273</v>
      </c>
      <c r="C4360" t="s">
        <v>8392</v>
      </c>
      <c r="D4360" t="s">
        <v>8415</v>
      </c>
      <c r="E4360" t="s">
        <v>8446</v>
      </c>
      <c r="F4360" t="s">
        <v>8449</v>
      </c>
      <c r="G4360" t="s">
        <v>8455</v>
      </c>
    </row>
    <row r="4361" spans="1:7">
      <c r="A4361" t="s">
        <v>6721</v>
      </c>
      <c r="B4361" t="s">
        <v>8273</v>
      </c>
      <c r="C4361" t="s">
        <v>8398</v>
      </c>
      <c r="D4361" t="s">
        <v>8419</v>
      </c>
      <c r="E4361" t="s">
        <v>8446</v>
      </c>
      <c r="F4361" t="s">
        <v>8449</v>
      </c>
      <c r="G4361" t="s">
        <v>8455</v>
      </c>
    </row>
    <row r="4362" spans="1:7">
      <c r="A4362" t="s">
        <v>6722</v>
      </c>
      <c r="B4362" t="s">
        <v>8273</v>
      </c>
      <c r="C4362" t="s">
        <v>8397</v>
      </c>
      <c r="D4362" t="s">
        <v>8440</v>
      </c>
      <c r="E4362" t="s">
        <v>8446</v>
      </c>
      <c r="F4362" t="s">
        <v>8448</v>
      </c>
      <c r="G4362" t="s">
        <v>8455</v>
      </c>
    </row>
    <row r="4363" spans="1:7">
      <c r="A4363" t="s">
        <v>6723</v>
      </c>
      <c r="C4363" t="s">
        <v>8397</v>
      </c>
      <c r="D4363" t="s">
        <v>8408</v>
      </c>
      <c r="E4363" t="s">
        <v>8445</v>
      </c>
      <c r="F4363" t="s">
        <v>8450</v>
      </c>
    </row>
    <row r="4364" spans="1:7">
      <c r="A4364" t="s">
        <v>6724</v>
      </c>
      <c r="B4364" t="s">
        <v>8273</v>
      </c>
      <c r="C4364" t="s">
        <v>8395</v>
      </c>
      <c r="D4364" t="s">
        <v>8411</v>
      </c>
      <c r="E4364" t="s">
        <v>8446</v>
      </c>
      <c r="F4364" t="s">
        <v>8448</v>
      </c>
      <c r="G4364" t="s">
        <v>8463</v>
      </c>
    </row>
    <row r="4365" spans="1:7">
      <c r="A4365" t="s">
        <v>6725</v>
      </c>
      <c r="B4365" t="s">
        <v>8273</v>
      </c>
      <c r="C4365" t="s">
        <v>8396</v>
      </c>
      <c r="D4365" t="s">
        <v>8425</v>
      </c>
      <c r="E4365" t="s">
        <v>8446</v>
      </c>
      <c r="F4365" t="s">
        <v>8449</v>
      </c>
      <c r="G4365" t="s">
        <v>796</v>
      </c>
    </row>
    <row r="4366" spans="1:7">
      <c r="A4366" t="s">
        <v>6726</v>
      </c>
      <c r="B4366" t="s">
        <v>8273</v>
      </c>
      <c r="C4366" t="s">
        <v>8392</v>
      </c>
      <c r="D4366" t="s">
        <v>8400</v>
      </c>
      <c r="E4366" t="s">
        <v>1519</v>
      </c>
      <c r="F4366" t="s">
        <v>8449</v>
      </c>
      <c r="G4366" t="s">
        <v>8455</v>
      </c>
    </row>
    <row r="4367" spans="1:7">
      <c r="A4367" t="s">
        <v>6727</v>
      </c>
      <c r="C4367" t="s">
        <v>8397</v>
      </c>
      <c r="D4367" t="s">
        <v>8408</v>
      </c>
      <c r="E4367" t="s">
        <v>8445</v>
      </c>
      <c r="F4367" t="s">
        <v>8450</v>
      </c>
    </row>
    <row r="4368" spans="1:7">
      <c r="A4368" t="s">
        <v>6728</v>
      </c>
      <c r="B4368" t="s">
        <v>8278</v>
      </c>
      <c r="C4368" t="s">
        <v>8394</v>
      </c>
      <c r="D4368" t="s">
        <v>8423</v>
      </c>
      <c r="E4368" t="s">
        <v>1519</v>
      </c>
      <c r="F4368" t="s">
        <v>8449</v>
      </c>
      <c r="G4368" t="s">
        <v>8455</v>
      </c>
    </row>
    <row r="4369" spans="1:7">
      <c r="A4369" t="s">
        <v>6729</v>
      </c>
      <c r="B4369" t="s">
        <v>8273</v>
      </c>
      <c r="C4369" t="s">
        <v>8394</v>
      </c>
      <c r="D4369" t="s">
        <v>8414</v>
      </c>
      <c r="E4369" t="s">
        <v>8444</v>
      </c>
      <c r="F4369" t="s">
        <v>8448</v>
      </c>
      <c r="G4369" t="s">
        <v>8455</v>
      </c>
    </row>
    <row r="4370" spans="1:7">
      <c r="A4370" t="s">
        <v>6730</v>
      </c>
      <c r="C4370" t="s">
        <v>8394</v>
      </c>
      <c r="D4370" t="s">
        <v>8413</v>
      </c>
      <c r="E4370" t="s">
        <v>8445</v>
      </c>
      <c r="F4370" t="s">
        <v>8448</v>
      </c>
      <c r="G4370" t="s">
        <v>8453</v>
      </c>
    </row>
    <row r="4371" spans="1:7">
      <c r="A4371" t="s">
        <v>6731</v>
      </c>
      <c r="B4371" t="s">
        <v>8273</v>
      </c>
      <c r="C4371" t="s">
        <v>8395</v>
      </c>
      <c r="D4371" t="s">
        <v>8400</v>
      </c>
      <c r="E4371" t="s">
        <v>1519</v>
      </c>
      <c r="F4371" t="s">
        <v>8448</v>
      </c>
      <c r="G4371" t="s">
        <v>8453</v>
      </c>
    </row>
    <row r="4372" spans="1:7">
      <c r="A4372" t="s">
        <v>6732</v>
      </c>
      <c r="C4372" t="s">
        <v>8394</v>
      </c>
      <c r="D4372" t="s">
        <v>8414</v>
      </c>
      <c r="E4372" t="s">
        <v>8445</v>
      </c>
      <c r="F4372" t="s">
        <v>8448</v>
      </c>
      <c r="G4372" t="s">
        <v>9199</v>
      </c>
    </row>
    <row r="4373" spans="1:7">
      <c r="A4373" t="s">
        <v>6733</v>
      </c>
      <c r="C4373" t="s">
        <v>8393</v>
      </c>
      <c r="D4373" t="s">
        <v>8393</v>
      </c>
      <c r="E4373" t="s">
        <v>919</v>
      </c>
      <c r="F4373" t="s">
        <v>8393</v>
      </c>
    </row>
    <row r="4374" spans="1:7">
      <c r="A4374" t="s">
        <v>6734</v>
      </c>
      <c r="B4374" t="s">
        <v>8273</v>
      </c>
      <c r="C4374" t="s">
        <v>8395</v>
      </c>
      <c r="D4374" t="s">
        <v>8419</v>
      </c>
      <c r="E4374" t="s">
        <v>8444</v>
      </c>
      <c r="F4374" t="s">
        <v>8448</v>
      </c>
      <c r="G4374" t="s">
        <v>8453</v>
      </c>
    </row>
    <row r="4375" spans="1:7">
      <c r="A4375" t="s">
        <v>6735</v>
      </c>
      <c r="B4375" t="s">
        <v>8273</v>
      </c>
      <c r="C4375" t="s">
        <v>8395</v>
      </c>
      <c r="D4375" t="s">
        <v>8405</v>
      </c>
      <c r="E4375" t="s">
        <v>8444</v>
      </c>
      <c r="F4375" t="s">
        <v>8448</v>
      </c>
      <c r="G4375" t="s">
        <v>795</v>
      </c>
    </row>
    <row r="4376" spans="1:7">
      <c r="A4376" t="s">
        <v>6736</v>
      </c>
      <c r="B4376" t="s">
        <v>8273</v>
      </c>
      <c r="C4376" t="s">
        <v>8395</v>
      </c>
      <c r="D4376" t="s">
        <v>8405</v>
      </c>
      <c r="E4376" t="s">
        <v>8444</v>
      </c>
      <c r="F4376" t="s">
        <v>8448</v>
      </c>
      <c r="G4376" t="s">
        <v>8453</v>
      </c>
    </row>
    <row r="4377" spans="1:7">
      <c r="A4377" t="s">
        <v>6737</v>
      </c>
      <c r="B4377" t="s">
        <v>8273</v>
      </c>
      <c r="C4377" t="s">
        <v>8395</v>
      </c>
      <c r="D4377" t="s">
        <v>8419</v>
      </c>
      <c r="E4377" t="s">
        <v>8444</v>
      </c>
      <c r="F4377" t="s">
        <v>8448</v>
      </c>
      <c r="G4377" t="s">
        <v>8453</v>
      </c>
    </row>
    <row r="4378" spans="1:7">
      <c r="A4378" t="s">
        <v>6738</v>
      </c>
      <c r="B4378" t="s">
        <v>8273</v>
      </c>
      <c r="C4378" t="s">
        <v>8395</v>
      </c>
      <c r="D4378" t="s">
        <v>8411</v>
      </c>
      <c r="E4378" t="s">
        <v>8445</v>
      </c>
      <c r="F4378" t="s">
        <v>8448</v>
      </c>
      <c r="G4378" t="s">
        <v>8463</v>
      </c>
    </row>
    <row r="4379" spans="1:7">
      <c r="A4379" t="s">
        <v>6739</v>
      </c>
      <c r="B4379" t="s">
        <v>8273</v>
      </c>
      <c r="C4379" t="s">
        <v>8395</v>
      </c>
      <c r="D4379" t="s">
        <v>8419</v>
      </c>
      <c r="E4379" t="s">
        <v>8446</v>
      </c>
      <c r="F4379" t="s">
        <v>8448</v>
      </c>
      <c r="G4379" t="s">
        <v>795</v>
      </c>
    </row>
    <row r="4380" spans="1:7">
      <c r="A4380" t="s">
        <v>6740</v>
      </c>
      <c r="C4380" t="s">
        <v>8393</v>
      </c>
      <c r="D4380" t="s">
        <v>8393</v>
      </c>
      <c r="E4380" t="s">
        <v>919</v>
      </c>
      <c r="F4380" t="s">
        <v>8393</v>
      </c>
    </row>
    <row r="4381" spans="1:7">
      <c r="A4381" t="s">
        <v>6741</v>
      </c>
      <c r="B4381" t="s">
        <v>8273</v>
      </c>
      <c r="C4381" t="s">
        <v>8395</v>
      </c>
      <c r="D4381" t="s">
        <v>8414</v>
      </c>
      <c r="E4381" t="s">
        <v>8444</v>
      </c>
      <c r="F4381" t="s">
        <v>8449</v>
      </c>
      <c r="G4381" t="s">
        <v>8455</v>
      </c>
    </row>
    <row r="4382" spans="1:7">
      <c r="A4382" t="s">
        <v>6742</v>
      </c>
      <c r="B4382" t="s">
        <v>8285</v>
      </c>
      <c r="C4382" t="s">
        <v>8395</v>
      </c>
      <c r="D4382" t="s">
        <v>8414</v>
      </c>
      <c r="E4382" t="s">
        <v>8444</v>
      </c>
      <c r="F4382" t="s">
        <v>8449</v>
      </c>
      <c r="G4382" t="s">
        <v>8455</v>
      </c>
    </row>
    <row r="4383" spans="1:7">
      <c r="A4383" t="s">
        <v>6743</v>
      </c>
      <c r="B4383" t="s">
        <v>8286</v>
      </c>
      <c r="C4383" t="s">
        <v>8395</v>
      </c>
      <c r="D4383" t="s">
        <v>8414</v>
      </c>
      <c r="E4383" t="s">
        <v>8444</v>
      </c>
      <c r="F4383" t="s">
        <v>8449</v>
      </c>
      <c r="G4383" t="s">
        <v>8455</v>
      </c>
    </row>
    <row r="4384" spans="1:7">
      <c r="A4384" t="s">
        <v>6744</v>
      </c>
      <c r="B4384" t="s">
        <v>8287</v>
      </c>
      <c r="C4384" t="s">
        <v>8395</v>
      </c>
      <c r="D4384" t="s">
        <v>8414</v>
      </c>
      <c r="E4384" t="s">
        <v>8444</v>
      </c>
      <c r="F4384" t="s">
        <v>8449</v>
      </c>
      <c r="G4384" t="s">
        <v>8455</v>
      </c>
    </row>
    <row r="4385" spans="1:7">
      <c r="A4385" t="s">
        <v>6745</v>
      </c>
      <c r="B4385" t="s">
        <v>8277</v>
      </c>
      <c r="C4385" t="s">
        <v>8395</v>
      </c>
      <c r="D4385" t="s">
        <v>8414</v>
      </c>
      <c r="E4385" t="s">
        <v>8444</v>
      </c>
      <c r="F4385" t="s">
        <v>8449</v>
      </c>
      <c r="G4385" t="s">
        <v>8455</v>
      </c>
    </row>
    <row r="4386" spans="1:7">
      <c r="A4386" t="s">
        <v>6746</v>
      </c>
      <c r="B4386" t="s">
        <v>8273</v>
      </c>
      <c r="C4386" t="s">
        <v>8395</v>
      </c>
      <c r="D4386" t="s">
        <v>8414</v>
      </c>
      <c r="E4386" t="s">
        <v>8446</v>
      </c>
      <c r="F4386" t="s">
        <v>8448</v>
      </c>
      <c r="G4386" t="s">
        <v>8455</v>
      </c>
    </row>
    <row r="4387" spans="1:7">
      <c r="A4387" t="s">
        <v>6747</v>
      </c>
      <c r="C4387" t="s">
        <v>8397</v>
      </c>
      <c r="D4387" t="s">
        <v>8408</v>
      </c>
      <c r="E4387" t="s">
        <v>8445</v>
      </c>
      <c r="F4387" t="s">
        <v>8450</v>
      </c>
    </row>
    <row r="4388" spans="1:7">
      <c r="A4388" t="s">
        <v>6748</v>
      </c>
      <c r="C4388" t="s">
        <v>8393</v>
      </c>
      <c r="D4388" t="s">
        <v>8393</v>
      </c>
      <c r="E4388" t="s">
        <v>919</v>
      </c>
      <c r="F4388" t="s">
        <v>8393</v>
      </c>
    </row>
    <row r="4389" spans="1:7">
      <c r="A4389" t="s">
        <v>6749</v>
      </c>
      <c r="B4389" t="s">
        <v>8273</v>
      </c>
      <c r="C4389" t="s">
        <v>8394</v>
      </c>
      <c r="D4389" t="s">
        <v>8414</v>
      </c>
      <c r="E4389" t="s">
        <v>1519</v>
      </c>
      <c r="F4389" t="s">
        <v>8449</v>
      </c>
      <c r="G4389" t="s">
        <v>8455</v>
      </c>
    </row>
    <row r="4390" spans="1:7">
      <c r="A4390" t="s">
        <v>6750</v>
      </c>
      <c r="B4390" t="s">
        <v>8277</v>
      </c>
      <c r="C4390" t="s">
        <v>8394</v>
      </c>
      <c r="D4390" t="s">
        <v>8414</v>
      </c>
      <c r="E4390" t="s">
        <v>1519</v>
      </c>
      <c r="F4390" t="s">
        <v>8449</v>
      </c>
      <c r="G4390" t="s">
        <v>8455</v>
      </c>
    </row>
    <row r="4391" spans="1:7">
      <c r="A4391" t="s">
        <v>6751</v>
      </c>
      <c r="C4391" t="s">
        <v>8393</v>
      </c>
      <c r="D4391" t="s">
        <v>8393</v>
      </c>
      <c r="E4391" t="s">
        <v>919</v>
      </c>
      <c r="F4391" t="s">
        <v>8393</v>
      </c>
    </row>
    <row r="4392" spans="1:7">
      <c r="A4392" t="s">
        <v>6752</v>
      </c>
      <c r="B4392" t="s">
        <v>8273</v>
      </c>
      <c r="C4392" t="s">
        <v>8396</v>
      </c>
      <c r="D4392" t="s">
        <v>8411</v>
      </c>
      <c r="E4392" t="s">
        <v>8445</v>
      </c>
      <c r="F4392" t="s">
        <v>8448</v>
      </c>
      <c r="G4392" t="s">
        <v>8463</v>
      </c>
    </row>
    <row r="4393" spans="1:7">
      <c r="A4393" t="s">
        <v>6753</v>
      </c>
      <c r="B4393" t="s">
        <v>8273</v>
      </c>
      <c r="C4393" t="s">
        <v>8396</v>
      </c>
      <c r="D4393" t="s">
        <v>8425</v>
      </c>
      <c r="E4393" t="s">
        <v>1519</v>
      </c>
      <c r="F4393" t="s">
        <v>8448</v>
      </c>
      <c r="G4393" t="s">
        <v>9200</v>
      </c>
    </row>
    <row r="4394" spans="1:7">
      <c r="A4394" t="s">
        <v>6754</v>
      </c>
      <c r="B4394" t="s">
        <v>8273</v>
      </c>
      <c r="C4394" t="s">
        <v>8392</v>
      </c>
      <c r="D4394" t="s">
        <v>8400</v>
      </c>
      <c r="E4394" t="s">
        <v>1587</v>
      </c>
      <c r="F4394" t="s">
        <v>8448</v>
      </c>
      <c r="G4394" t="s">
        <v>8463</v>
      </c>
    </row>
    <row r="4395" spans="1:7">
      <c r="A4395" t="s">
        <v>6755</v>
      </c>
      <c r="B4395" t="s">
        <v>8273</v>
      </c>
      <c r="C4395" t="s">
        <v>8397</v>
      </c>
      <c r="D4395" t="s">
        <v>8421</v>
      </c>
      <c r="E4395" t="s">
        <v>8445</v>
      </c>
      <c r="F4395" t="s">
        <v>8448</v>
      </c>
      <c r="G4395" t="s">
        <v>8463</v>
      </c>
    </row>
    <row r="4396" spans="1:7">
      <c r="A4396" t="s">
        <v>6756</v>
      </c>
      <c r="B4396" t="s">
        <v>8273</v>
      </c>
      <c r="C4396" t="s">
        <v>8392</v>
      </c>
      <c r="D4396" t="s">
        <v>8400</v>
      </c>
      <c r="E4396" t="s">
        <v>1519</v>
      </c>
      <c r="F4396" t="s">
        <v>8447</v>
      </c>
      <c r="G4396" t="s">
        <v>8519</v>
      </c>
    </row>
    <row r="4397" spans="1:7">
      <c r="A4397" t="s">
        <v>6757</v>
      </c>
      <c r="B4397" t="s">
        <v>8273</v>
      </c>
      <c r="C4397" t="s">
        <v>8398</v>
      </c>
      <c r="D4397" t="s">
        <v>8409</v>
      </c>
      <c r="E4397" t="s">
        <v>8445</v>
      </c>
      <c r="F4397" t="s">
        <v>8448</v>
      </c>
      <c r="G4397" t="s">
        <v>8519</v>
      </c>
    </row>
    <row r="4398" spans="1:7">
      <c r="A4398" t="s">
        <v>6758</v>
      </c>
      <c r="B4398" t="s">
        <v>8273</v>
      </c>
      <c r="C4398" t="s">
        <v>8395</v>
      </c>
      <c r="D4398" t="s">
        <v>8404</v>
      </c>
      <c r="E4398" t="s">
        <v>8446</v>
      </c>
      <c r="F4398" t="s">
        <v>8449</v>
      </c>
      <c r="G4398" t="s">
        <v>9201</v>
      </c>
    </row>
    <row r="4399" spans="1:7">
      <c r="A4399" t="s">
        <v>6759</v>
      </c>
      <c r="B4399" t="s">
        <v>8273</v>
      </c>
      <c r="C4399" t="s">
        <v>8398</v>
      </c>
      <c r="D4399" t="s">
        <v>8419</v>
      </c>
      <c r="E4399" t="s">
        <v>1519</v>
      </c>
      <c r="F4399" t="s">
        <v>8447</v>
      </c>
      <c r="G4399" t="s">
        <v>8519</v>
      </c>
    </row>
    <row r="4400" spans="1:7">
      <c r="A4400" t="s">
        <v>6760</v>
      </c>
      <c r="B4400" t="s">
        <v>8273</v>
      </c>
      <c r="C4400" t="s">
        <v>8398</v>
      </c>
      <c r="D4400" t="s">
        <v>8410</v>
      </c>
      <c r="E4400" t="s">
        <v>8446</v>
      </c>
      <c r="F4400" t="s">
        <v>8448</v>
      </c>
      <c r="G4400" t="s">
        <v>8519</v>
      </c>
    </row>
    <row r="4401" spans="1:7">
      <c r="A4401" t="s">
        <v>6761</v>
      </c>
      <c r="C4401" t="s">
        <v>8398</v>
      </c>
      <c r="D4401" t="s">
        <v>8409</v>
      </c>
      <c r="E4401" t="s">
        <v>8445</v>
      </c>
      <c r="F4401" t="s">
        <v>8448</v>
      </c>
      <c r="G4401" t="s">
        <v>9202</v>
      </c>
    </row>
    <row r="4402" spans="1:7">
      <c r="A4402" t="s">
        <v>6762</v>
      </c>
      <c r="B4402" t="s">
        <v>8273</v>
      </c>
      <c r="C4402" t="s">
        <v>8394</v>
      </c>
      <c r="D4402" t="s">
        <v>8414</v>
      </c>
      <c r="E4402" t="s">
        <v>8445</v>
      </c>
      <c r="F4402" t="s">
        <v>8448</v>
      </c>
      <c r="G4402" t="s">
        <v>796</v>
      </c>
    </row>
    <row r="4403" spans="1:7">
      <c r="A4403" t="s">
        <v>6763</v>
      </c>
      <c r="B4403" t="s">
        <v>8273</v>
      </c>
      <c r="C4403" t="s">
        <v>8395</v>
      </c>
      <c r="D4403" t="s">
        <v>8402</v>
      </c>
      <c r="E4403" t="s">
        <v>1587</v>
      </c>
      <c r="F4403" t="s">
        <v>8449</v>
      </c>
      <c r="G4403" t="s">
        <v>8455</v>
      </c>
    </row>
    <row r="4404" spans="1:7">
      <c r="A4404" t="s">
        <v>6764</v>
      </c>
      <c r="C4404" t="s">
        <v>8393</v>
      </c>
      <c r="D4404" t="s">
        <v>8393</v>
      </c>
      <c r="E4404" t="s">
        <v>919</v>
      </c>
      <c r="F4404" t="s">
        <v>8393</v>
      </c>
    </row>
    <row r="4405" spans="1:7">
      <c r="A4405" t="s">
        <v>6765</v>
      </c>
      <c r="B4405" t="s">
        <v>8273</v>
      </c>
      <c r="C4405" t="s">
        <v>8392</v>
      </c>
      <c r="D4405" t="s">
        <v>8415</v>
      </c>
      <c r="E4405" t="s">
        <v>8446</v>
      </c>
      <c r="F4405" t="s">
        <v>8449</v>
      </c>
      <c r="G4405" t="s">
        <v>8455</v>
      </c>
    </row>
    <row r="4406" spans="1:7">
      <c r="A4406" t="s">
        <v>6766</v>
      </c>
      <c r="B4406" t="s">
        <v>8277</v>
      </c>
      <c r="C4406" t="s">
        <v>8392</v>
      </c>
      <c r="D4406" t="s">
        <v>8415</v>
      </c>
      <c r="E4406" t="s">
        <v>8446</v>
      </c>
      <c r="F4406" t="s">
        <v>8449</v>
      </c>
      <c r="G4406" t="s">
        <v>8455</v>
      </c>
    </row>
    <row r="4407" spans="1:7">
      <c r="A4407" t="s">
        <v>6767</v>
      </c>
      <c r="C4407" t="s">
        <v>8394</v>
      </c>
      <c r="D4407" t="s">
        <v>8422</v>
      </c>
      <c r="E4407" t="s">
        <v>8446</v>
      </c>
      <c r="F4407" t="s">
        <v>8448</v>
      </c>
      <c r="G4407" t="s">
        <v>9203</v>
      </c>
    </row>
    <row r="4408" spans="1:7">
      <c r="A4408" t="s">
        <v>6768</v>
      </c>
      <c r="C4408" t="s">
        <v>8393</v>
      </c>
      <c r="D4408" t="s">
        <v>8393</v>
      </c>
      <c r="E4408" t="s">
        <v>919</v>
      </c>
      <c r="F4408" t="s">
        <v>8393</v>
      </c>
    </row>
    <row r="4409" spans="1:7">
      <c r="A4409" t="s">
        <v>6769</v>
      </c>
      <c r="B4409" t="s">
        <v>8273</v>
      </c>
      <c r="C4409" t="s">
        <v>8392</v>
      </c>
      <c r="D4409" t="s">
        <v>8415</v>
      </c>
      <c r="E4409" t="s">
        <v>8446</v>
      </c>
      <c r="F4409" t="s">
        <v>8449</v>
      </c>
      <c r="G4409" t="s">
        <v>8455</v>
      </c>
    </row>
    <row r="4410" spans="1:7">
      <c r="A4410" t="s">
        <v>6770</v>
      </c>
      <c r="B4410" t="s">
        <v>8277</v>
      </c>
      <c r="C4410" t="s">
        <v>8392</v>
      </c>
      <c r="D4410" t="s">
        <v>8415</v>
      </c>
      <c r="E4410" t="s">
        <v>8446</v>
      </c>
      <c r="F4410" t="s">
        <v>8449</v>
      </c>
      <c r="G4410" t="s">
        <v>8455</v>
      </c>
    </row>
    <row r="4411" spans="1:7">
      <c r="A4411" t="s">
        <v>6771</v>
      </c>
      <c r="C4411" t="s">
        <v>8393</v>
      </c>
      <c r="D4411" t="s">
        <v>8393</v>
      </c>
      <c r="E4411" t="s">
        <v>919</v>
      </c>
      <c r="F4411" t="s">
        <v>8393</v>
      </c>
    </row>
    <row r="4412" spans="1:7">
      <c r="A4412" t="s">
        <v>6772</v>
      </c>
      <c r="B4412" t="s">
        <v>8273</v>
      </c>
      <c r="C4412" t="s">
        <v>8395</v>
      </c>
      <c r="D4412" t="s">
        <v>8414</v>
      </c>
      <c r="E4412" t="s">
        <v>8444</v>
      </c>
      <c r="F4412" t="s">
        <v>8449</v>
      </c>
      <c r="G4412" t="s">
        <v>8455</v>
      </c>
    </row>
    <row r="4413" spans="1:7">
      <c r="A4413" t="s">
        <v>6773</v>
      </c>
      <c r="B4413" t="s">
        <v>8285</v>
      </c>
      <c r="C4413" t="s">
        <v>8395</v>
      </c>
      <c r="D4413" t="s">
        <v>8414</v>
      </c>
      <c r="E4413" t="s">
        <v>8444</v>
      </c>
      <c r="F4413" t="s">
        <v>8449</v>
      </c>
      <c r="G4413" t="s">
        <v>8455</v>
      </c>
    </row>
    <row r="4414" spans="1:7">
      <c r="A4414" t="s">
        <v>6774</v>
      </c>
      <c r="B4414" t="s">
        <v>8286</v>
      </c>
      <c r="C4414" t="s">
        <v>8395</v>
      </c>
      <c r="D4414" t="s">
        <v>8414</v>
      </c>
      <c r="E4414" t="s">
        <v>8444</v>
      </c>
      <c r="F4414" t="s">
        <v>8449</v>
      </c>
      <c r="G4414" t="s">
        <v>8455</v>
      </c>
    </row>
    <row r="4415" spans="1:7">
      <c r="A4415" t="s">
        <v>6775</v>
      </c>
      <c r="B4415" t="s">
        <v>8274</v>
      </c>
      <c r="C4415" t="s">
        <v>8395</v>
      </c>
      <c r="D4415" t="s">
        <v>8414</v>
      </c>
      <c r="E4415" t="s">
        <v>8444</v>
      </c>
      <c r="F4415" t="s">
        <v>8449</v>
      </c>
      <c r="G4415" t="s">
        <v>8455</v>
      </c>
    </row>
    <row r="4416" spans="1:7">
      <c r="A4416" t="s">
        <v>6776</v>
      </c>
      <c r="B4416" t="s">
        <v>8287</v>
      </c>
      <c r="C4416" t="s">
        <v>8395</v>
      </c>
      <c r="D4416" t="s">
        <v>8414</v>
      </c>
      <c r="E4416" t="s">
        <v>8444</v>
      </c>
      <c r="F4416" t="s">
        <v>8449</v>
      </c>
      <c r="G4416" t="s">
        <v>8455</v>
      </c>
    </row>
    <row r="4417" spans="1:7">
      <c r="A4417" t="s">
        <v>6777</v>
      </c>
      <c r="B4417" t="s">
        <v>8277</v>
      </c>
      <c r="C4417" t="s">
        <v>8395</v>
      </c>
      <c r="D4417" t="s">
        <v>8414</v>
      </c>
      <c r="E4417" t="s">
        <v>8444</v>
      </c>
      <c r="F4417" t="s">
        <v>8449</v>
      </c>
      <c r="G4417" t="s">
        <v>8455</v>
      </c>
    </row>
    <row r="4418" spans="1:7">
      <c r="A4418" t="s">
        <v>6778</v>
      </c>
      <c r="C4418" t="s">
        <v>8393</v>
      </c>
      <c r="D4418" t="s">
        <v>8393</v>
      </c>
      <c r="E4418" t="s">
        <v>919</v>
      </c>
      <c r="F4418" t="s">
        <v>8393</v>
      </c>
    </row>
    <row r="4419" spans="1:7">
      <c r="A4419" t="s">
        <v>6779</v>
      </c>
      <c r="B4419" t="s">
        <v>8273</v>
      </c>
      <c r="C4419" t="s">
        <v>8396</v>
      </c>
      <c r="D4419" t="s">
        <v>8405</v>
      </c>
      <c r="E4419" t="s">
        <v>8446</v>
      </c>
      <c r="F4419" t="s">
        <v>8449</v>
      </c>
      <c r="G4419" t="s">
        <v>8455</v>
      </c>
    </row>
    <row r="4420" spans="1:7">
      <c r="A4420" t="s">
        <v>6780</v>
      </c>
      <c r="B4420" t="s">
        <v>8274</v>
      </c>
      <c r="C4420" t="s">
        <v>8396</v>
      </c>
      <c r="D4420" t="s">
        <v>8405</v>
      </c>
      <c r="E4420" t="s">
        <v>8446</v>
      </c>
      <c r="F4420" t="s">
        <v>8449</v>
      </c>
      <c r="G4420" t="s">
        <v>8455</v>
      </c>
    </row>
    <row r="4421" spans="1:7">
      <c r="A4421" t="s">
        <v>6781</v>
      </c>
      <c r="B4421" t="s">
        <v>8277</v>
      </c>
      <c r="C4421" t="s">
        <v>8396</v>
      </c>
      <c r="D4421" t="s">
        <v>8405</v>
      </c>
      <c r="E4421" t="s">
        <v>8446</v>
      </c>
      <c r="F4421" t="s">
        <v>8449</v>
      </c>
      <c r="G4421" t="s">
        <v>8455</v>
      </c>
    </row>
    <row r="4422" spans="1:7">
      <c r="A4422" t="s">
        <v>6782</v>
      </c>
      <c r="B4422" t="s">
        <v>8273</v>
      </c>
      <c r="C4422" t="s">
        <v>8398</v>
      </c>
      <c r="D4422" t="s">
        <v>8419</v>
      </c>
      <c r="E4422" t="s">
        <v>1519</v>
      </c>
      <c r="F4422" t="s">
        <v>8447</v>
      </c>
      <c r="G4422" t="s">
        <v>8519</v>
      </c>
    </row>
    <row r="4423" spans="1:7">
      <c r="A4423" t="s">
        <v>6783</v>
      </c>
      <c r="C4423" t="s">
        <v>8397</v>
      </c>
      <c r="D4423" t="s">
        <v>8421</v>
      </c>
      <c r="E4423" t="s">
        <v>1587</v>
      </c>
      <c r="F4423" t="s">
        <v>8448</v>
      </c>
      <c r="G4423" t="s">
        <v>9204</v>
      </c>
    </row>
    <row r="4424" spans="1:7">
      <c r="A4424" t="s">
        <v>6784</v>
      </c>
      <c r="C4424" t="s">
        <v>8394</v>
      </c>
      <c r="D4424" t="s">
        <v>8401</v>
      </c>
      <c r="E4424" t="s">
        <v>8445</v>
      </c>
      <c r="F4424" t="s">
        <v>8448</v>
      </c>
      <c r="G4424" t="s">
        <v>9205</v>
      </c>
    </row>
    <row r="4425" spans="1:7">
      <c r="A4425" t="s">
        <v>6785</v>
      </c>
      <c r="C4425" t="s">
        <v>8397</v>
      </c>
      <c r="D4425" t="s">
        <v>8421</v>
      </c>
      <c r="E4425" t="s">
        <v>1587</v>
      </c>
      <c r="F4425" t="s">
        <v>8448</v>
      </c>
      <c r="G4425" t="s">
        <v>9206</v>
      </c>
    </row>
    <row r="4426" spans="1:7">
      <c r="A4426" t="s">
        <v>6786</v>
      </c>
      <c r="C4426" t="s">
        <v>8394</v>
      </c>
      <c r="D4426" t="s">
        <v>8401</v>
      </c>
      <c r="E4426" t="s">
        <v>8445</v>
      </c>
      <c r="F4426" t="s">
        <v>8448</v>
      </c>
      <c r="G4426" t="s">
        <v>9205</v>
      </c>
    </row>
    <row r="4427" spans="1:7">
      <c r="A4427" t="s">
        <v>6787</v>
      </c>
      <c r="B4427" t="s">
        <v>8273</v>
      </c>
      <c r="C4427" t="s">
        <v>8395</v>
      </c>
      <c r="D4427" t="s">
        <v>8419</v>
      </c>
      <c r="E4427" t="s">
        <v>1519</v>
      </c>
      <c r="F4427" t="s">
        <v>8449</v>
      </c>
      <c r="G4427" t="s">
        <v>8519</v>
      </c>
    </row>
    <row r="4428" spans="1:7">
      <c r="A4428" t="s">
        <v>6788</v>
      </c>
      <c r="C4428" t="s">
        <v>8394</v>
      </c>
      <c r="D4428" t="s">
        <v>8414</v>
      </c>
      <c r="E4428" t="s">
        <v>8446</v>
      </c>
      <c r="F4428" t="s">
        <v>8448</v>
      </c>
      <c r="G4428" t="s">
        <v>8503</v>
      </c>
    </row>
    <row r="4429" spans="1:7">
      <c r="A4429" t="s">
        <v>6789</v>
      </c>
      <c r="B4429" t="s">
        <v>8273</v>
      </c>
      <c r="C4429" t="s">
        <v>8394</v>
      </c>
      <c r="D4429" t="s">
        <v>8413</v>
      </c>
      <c r="E4429" t="s">
        <v>8445</v>
      </c>
      <c r="F4429" t="s">
        <v>8449</v>
      </c>
      <c r="G4429" t="s">
        <v>8455</v>
      </c>
    </row>
    <row r="4430" spans="1:7">
      <c r="A4430" t="s">
        <v>6790</v>
      </c>
      <c r="C4430" t="s">
        <v>8394</v>
      </c>
      <c r="D4430" t="s">
        <v>8413</v>
      </c>
      <c r="E4430" t="s">
        <v>8445</v>
      </c>
      <c r="F4430" t="s">
        <v>8448</v>
      </c>
      <c r="G4430" t="s">
        <v>9207</v>
      </c>
    </row>
    <row r="4431" spans="1:7">
      <c r="A4431" t="s">
        <v>6791</v>
      </c>
      <c r="C4431" t="s">
        <v>8394</v>
      </c>
      <c r="D4431" t="s">
        <v>8417</v>
      </c>
      <c r="E4431" t="s">
        <v>8445</v>
      </c>
      <c r="F4431" t="s">
        <v>8448</v>
      </c>
      <c r="G4431" t="s">
        <v>9208</v>
      </c>
    </row>
    <row r="4432" spans="1:7">
      <c r="A4432" t="s">
        <v>6792</v>
      </c>
      <c r="C4432" t="s">
        <v>8394</v>
      </c>
      <c r="D4432" t="s">
        <v>8417</v>
      </c>
      <c r="E4432" t="s">
        <v>8445</v>
      </c>
      <c r="F4432" t="s">
        <v>8448</v>
      </c>
      <c r="G4432" t="s">
        <v>9209</v>
      </c>
    </row>
    <row r="4433" spans="1:7">
      <c r="A4433" t="s">
        <v>6793</v>
      </c>
      <c r="B4433" t="s">
        <v>8273</v>
      </c>
      <c r="C4433" t="s">
        <v>8396</v>
      </c>
      <c r="D4433" t="s">
        <v>8425</v>
      </c>
      <c r="E4433" t="s">
        <v>8446</v>
      </c>
      <c r="F4433" t="s">
        <v>8449</v>
      </c>
      <c r="G4433" t="s">
        <v>8455</v>
      </c>
    </row>
    <row r="4434" spans="1:7">
      <c r="A4434" t="s">
        <v>6794</v>
      </c>
      <c r="C4434" t="s">
        <v>8397</v>
      </c>
      <c r="D4434" t="s">
        <v>8421</v>
      </c>
      <c r="E4434" t="s">
        <v>1519</v>
      </c>
      <c r="F4434" t="s">
        <v>8448</v>
      </c>
      <c r="G4434" t="s">
        <v>9210</v>
      </c>
    </row>
    <row r="4435" spans="1:7">
      <c r="A4435" t="s">
        <v>6795</v>
      </c>
      <c r="B4435" t="s">
        <v>8274</v>
      </c>
      <c r="C4435" t="s">
        <v>8396</v>
      </c>
      <c r="D4435" t="s">
        <v>8406</v>
      </c>
      <c r="E4435" t="s">
        <v>8444</v>
      </c>
      <c r="F4435" t="s">
        <v>8449</v>
      </c>
      <c r="G4435" t="s">
        <v>8455</v>
      </c>
    </row>
    <row r="4436" spans="1:7">
      <c r="A4436" t="s">
        <v>6796</v>
      </c>
      <c r="B4436" t="s">
        <v>8273</v>
      </c>
      <c r="C4436" t="s">
        <v>8394</v>
      </c>
      <c r="D4436" t="s">
        <v>8414</v>
      </c>
      <c r="E4436" t="s">
        <v>8446</v>
      </c>
      <c r="F4436" t="s">
        <v>8449</v>
      </c>
      <c r="G4436" t="s">
        <v>8455</v>
      </c>
    </row>
    <row r="4437" spans="1:7">
      <c r="A4437" t="s">
        <v>6797</v>
      </c>
      <c r="C4437" t="s">
        <v>8393</v>
      </c>
      <c r="D4437" t="s">
        <v>8393</v>
      </c>
      <c r="E4437" t="s">
        <v>919</v>
      </c>
      <c r="F4437" t="s">
        <v>8393</v>
      </c>
    </row>
    <row r="4438" spans="1:7">
      <c r="A4438" t="s">
        <v>6798</v>
      </c>
      <c r="B4438" t="s">
        <v>8273</v>
      </c>
      <c r="C4438" t="s">
        <v>8395</v>
      </c>
      <c r="D4438" t="s">
        <v>8402</v>
      </c>
      <c r="E4438" t="s">
        <v>8444</v>
      </c>
      <c r="F4438" t="s">
        <v>8449</v>
      </c>
      <c r="G4438" t="s">
        <v>796</v>
      </c>
    </row>
    <row r="4439" spans="1:7">
      <c r="A4439" t="s">
        <v>6799</v>
      </c>
      <c r="B4439" t="s">
        <v>8285</v>
      </c>
      <c r="C4439" t="s">
        <v>8395</v>
      </c>
      <c r="D4439" t="s">
        <v>8402</v>
      </c>
      <c r="E4439" t="s">
        <v>8444</v>
      </c>
      <c r="F4439" t="s">
        <v>8449</v>
      </c>
      <c r="G4439" t="s">
        <v>796</v>
      </c>
    </row>
    <row r="4440" spans="1:7">
      <c r="A4440" t="s">
        <v>6800</v>
      </c>
      <c r="B4440" t="s">
        <v>8286</v>
      </c>
      <c r="C4440" t="s">
        <v>8395</v>
      </c>
      <c r="D4440" t="s">
        <v>8402</v>
      </c>
      <c r="E4440" t="s">
        <v>8444</v>
      </c>
      <c r="F4440" t="s">
        <v>8449</v>
      </c>
      <c r="G4440" t="s">
        <v>796</v>
      </c>
    </row>
    <row r="4441" spans="1:7">
      <c r="A4441" t="s">
        <v>6801</v>
      </c>
      <c r="B4441" t="s">
        <v>8287</v>
      </c>
      <c r="C4441" t="s">
        <v>8395</v>
      </c>
      <c r="D4441" t="s">
        <v>8402</v>
      </c>
      <c r="E4441" t="s">
        <v>8444</v>
      </c>
      <c r="F4441" t="s">
        <v>8449</v>
      </c>
      <c r="G4441" t="s">
        <v>796</v>
      </c>
    </row>
    <row r="4442" spans="1:7">
      <c r="A4442" t="s">
        <v>6802</v>
      </c>
      <c r="B4442" t="s">
        <v>8277</v>
      </c>
      <c r="C4442" t="s">
        <v>8395</v>
      </c>
      <c r="D4442" t="s">
        <v>8402</v>
      </c>
      <c r="E4442" t="s">
        <v>8444</v>
      </c>
      <c r="F4442" t="s">
        <v>8449</v>
      </c>
      <c r="G4442" t="s">
        <v>796</v>
      </c>
    </row>
    <row r="4443" spans="1:7">
      <c r="A4443" t="s">
        <v>6803</v>
      </c>
      <c r="C4443" t="s">
        <v>8394</v>
      </c>
      <c r="D4443" t="s">
        <v>8413</v>
      </c>
      <c r="E4443" t="s">
        <v>8445</v>
      </c>
      <c r="F4443" t="s">
        <v>8448</v>
      </c>
      <c r="G4443" t="s">
        <v>9211</v>
      </c>
    </row>
    <row r="4444" spans="1:7">
      <c r="A4444" t="s">
        <v>6804</v>
      </c>
      <c r="B4444" t="s">
        <v>8370</v>
      </c>
      <c r="C4444" t="s">
        <v>8392</v>
      </c>
      <c r="D4444" t="s">
        <v>8415</v>
      </c>
      <c r="E4444" t="s">
        <v>8446</v>
      </c>
      <c r="F4444" t="s">
        <v>8449</v>
      </c>
      <c r="G4444" t="s">
        <v>8455</v>
      </c>
    </row>
    <row r="4445" spans="1:7">
      <c r="A4445" t="s">
        <v>6805</v>
      </c>
      <c r="B4445" t="s">
        <v>8273</v>
      </c>
      <c r="C4445" t="s">
        <v>8394</v>
      </c>
      <c r="D4445" t="s">
        <v>8402</v>
      </c>
      <c r="E4445" t="s">
        <v>8444</v>
      </c>
      <c r="F4445" t="s">
        <v>8449</v>
      </c>
      <c r="G4445" t="s">
        <v>8455</v>
      </c>
    </row>
    <row r="4446" spans="1:7">
      <c r="A4446" t="s">
        <v>6806</v>
      </c>
      <c r="B4446" t="s">
        <v>8273</v>
      </c>
      <c r="C4446" t="s">
        <v>8395</v>
      </c>
      <c r="D4446" t="s">
        <v>8400</v>
      </c>
      <c r="E4446" t="s">
        <v>1519</v>
      </c>
      <c r="F4446" t="s">
        <v>8449</v>
      </c>
      <c r="G4446" t="s">
        <v>8455</v>
      </c>
    </row>
    <row r="4447" spans="1:7">
      <c r="A4447" t="s">
        <v>6807</v>
      </c>
      <c r="C4447" t="s">
        <v>8394</v>
      </c>
      <c r="D4447" t="s">
        <v>8413</v>
      </c>
      <c r="E4447" t="s">
        <v>8445</v>
      </c>
      <c r="F4447" t="s">
        <v>8448</v>
      </c>
      <c r="G4447" t="s">
        <v>9212</v>
      </c>
    </row>
    <row r="4448" spans="1:7">
      <c r="A4448" t="s">
        <v>6808</v>
      </c>
      <c r="B4448" t="s">
        <v>8273</v>
      </c>
      <c r="C4448" t="s">
        <v>8397</v>
      </c>
      <c r="D4448" t="s">
        <v>8421</v>
      </c>
      <c r="E4448" t="s">
        <v>8446</v>
      </c>
      <c r="F4448" t="s">
        <v>8449</v>
      </c>
      <c r="G4448" t="s">
        <v>8455</v>
      </c>
    </row>
    <row r="4449" spans="1:7">
      <c r="A4449" t="s">
        <v>6809</v>
      </c>
      <c r="B4449" t="s">
        <v>8273</v>
      </c>
      <c r="C4449" t="s">
        <v>8394</v>
      </c>
      <c r="D4449" t="s">
        <v>8401</v>
      </c>
      <c r="E4449" t="s">
        <v>8446</v>
      </c>
      <c r="F4449" t="s">
        <v>8448</v>
      </c>
      <c r="G4449" t="s">
        <v>8455</v>
      </c>
    </row>
    <row r="4450" spans="1:7">
      <c r="A4450" t="s">
        <v>6810</v>
      </c>
      <c r="C4450" t="s">
        <v>8392</v>
      </c>
      <c r="D4450" t="s">
        <v>8415</v>
      </c>
      <c r="E4450" t="s">
        <v>8445</v>
      </c>
      <c r="F4450" t="s">
        <v>8448</v>
      </c>
      <c r="G4450" t="s">
        <v>9213</v>
      </c>
    </row>
    <row r="4451" spans="1:7">
      <c r="A4451" t="s">
        <v>6811</v>
      </c>
      <c r="B4451" t="s">
        <v>8273</v>
      </c>
      <c r="C4451" t="s">
        <v>8392</v>
      </c>
      <c r="D4451" t="s">
        <v>8400</v>
      </c>
      <c r="E4451" t="s">
        <v>8444</v>
      </c>
      <c r="F4451" t="s">
        <v>8448</v>
      </c>
      <c r="G4451" t="s">
        <v>8455</v>
      </c>
    </row>
    <row r="4452" spans="1:7">
      <c r="A4452" t="s">
        <v>6812</v>
      </c>
      <c r="B4452" t="s">
        <v>8273</v>
      </c>
      <c r="C4452" t="s">
        <v>8398</v>
      </c>
      <c r="D4452" t="s">
        <v>8410</v>
      </c>
      <c r="E4452" t="s">
        <v>8444</v>
      </c>
      <c r="F4452" t="s">
        <v>8449</v>
      </c>
      <c r="G4452" t="s">
        <v>9214</v>
      </c>
    </row>
    <row r="4453" spans="1:7">
      <c r="A4453" t="s">
        <v>6813</v>
      </c>
      <c r="B4453" t="s">
        <v>8273</v>
      </c>
      <c r="C4453" t="s">
        <v>8397</v>
      </c>
      <c r="D4453" t="s">
        <v>8421</v>
      </c>
      <c r="E4453" t="s">
        <v>8445</v>
      </c>
      <c r="F4453" t="s">
        <v>8448</v>
      </c>
      <c r="G4453" t="s">
        <v>9215</v>
      </c>
    </row>
    <row r="4454" spans="1:7">
      <c r="A4454" t="s">
        <v>6814</v>
      </c>
      <c r="B4454" t="s">
        <v>8299</v>
      </c>
      <c r="C4454" t="s">
        <v>8397</v>
      </c>
      <c r="D4454" t="s">
        <v>8431</v>
      </c>
      <c r="E4454" t="s">
        <v>1519</v>
      </c>
      <c r="F4454" t="s">
        <v>8448</v>
      </c>
      <c r="G4454" t="s">
        <v>9032</v>
      </c>
    </row>
    <row r="4455" spans="1:7">
      <c r="A4455" t="s">
        <v>6815</v>
      </c>
      <c r="C4455" t="s">
        <v>8394</v>
      </c>
      <c r="D4455" t="s">
        <v>8401</v>
      </c>
      <c r="E4455" t="s">
        <v>8445</v>
      </c>
      <c r="F4455" t="s">
        <v>8448</v>
      </c>
      <c r="G4455" t="s">
        <v>8453</v>
      </c>
    </row>
    <row r="4456" spans="1:7">
      <c r="A4456" t="s">
        <v>6816</v>
      </c>
      <c r="B4456" t="s">
        <v>8273</v>
      </c>
      <c r="C4456" t="s">
        <v>8398</v>
      </c>
      <c r="D4456" t="s">
        <v>8419</v>
      </c>
      <c r="E4456" t="s">
        <v>1587</v>
      </c>
      <c r="F4456" t="s">
        <v>8448</v>
      </c>
      <c r="G4456" t="s">
        <v>9216</v>
      </c>
    </row>
    <row r="4457" spans="1:7">
      <c r="A4457" t="s">
        <v>6817</v>
      </c>
      <c r="C4457" t="s">
        <v>8393</v>
      </c>
      <c r="D4457" t="s">
        <v>8393</v>
      </c>
      <c r="E4457" t="s">
        <v>919</v>
      </c>
      <c r="F4457" t="s">
        <v>8393</v>
      </c>
    </row>
    <row r="4458" spans="1:7">
      <c r="A4458" t="s">
        <v>6818</v>
      </c>
      <c r="B4458" t="s">
        <v>8273</v>
      </c>
      <c r="C4458" t="s">
        <v>8395</v>
      </c>
      <c r="D4458" t="s">
        <v>8420</v>
      </c>
      <c r="E4458" t="s">
        <v>1587</v>
      </c>
      <c r="F4458" t="s">
        <v>8449</v>
      </c>
      <c r="G4458" t="s">
        <v>8455</v>
      </c>
    </row>
    <row r="4459" spans="1:7">
      <c r="A4459" t="s">
        <v>6819</v>
      </c>
      <c r="B4459" t="s">
        <v>8273</v>
      </c>
      <c r="C4459" t="s">
        <v>8395</v>
      </c>
      <c r="D4459" t="s">
        <v>8425</v>
      </c>
      <c r="E4459" t="s">
        <v>1587</v>
      </c>
      <c r="F4459" t="s">
        <v>8449</v>
      </c>
      <c r="G4459" t="s">
        <v>8455</v>
      </c>
    </row>
    <row r="4460" spans="1:7">
      <c r="A4460" t="s">
        <v>6820</v>
      </c>
      <c r="B4460" t="s">
        <v>8287</v>
      </c>
      <c r="C4460" t="s">
        <v>8395</v>
      </c>
      <c r="D4460" t="s">
        <v>8420</v>
      </c>
      <c r="E4460" t="s">
        <v>1587</v>
      </c>
      <c r="F4460" t="s">
        <v>8449</v>
      </c>
      <c r="G4460" t="s">
        <v>8455</v>
      </c>
    </row>
    <row r="4461" spans="1:7">
      <c r="A4461" t="s">
        <v>6821</v>
      </c>
      <c r="B4461" t="s">
        <v>8273</v>
      </c>
      <c r="C4461" t="s">
        <v>8395</v>
      </c>
      <c r="D4461" t="s">
        <v>8426</v>
      </c>
      <c r="E4461" t="s">
        <v>8446</v>
      </c>
      <c r="F4461" t="s">
        <v>8449</v>
      </c>
      <c r="G4461" t="s">
        <v>8455</v>
      </c>
    </row>
    <row r="4462" spans="1:7">
      <c r="A4462" t="s">
        <v>6822</v>
      </c>
      <c r="B4462" t="s">
        <v>8299</v>
      </c>
      <c r="C4462" t="s">
        <v>8397</v>
      </c>
      <c r="D4462" t="s">
        <v>8431</v>
      </c>
      <c r="E4462" t="s">
        <v>8444</v>
      </c>
      <c r="F4462" t="s">
        <v>8448</v>
      </c>
      <c r="G4462" t="s">
        <v>9217</v>
      </c>
    </row>
    <row r="4463" spans="1:7">
      <c r="A4463" t="s">
        <v>6823</v>
      </c>
      <c r="B4463" t="s">
        <v>8273</v>
      </c>
      <c r="C4463" t="s">
        <v>8395</v>
      </c>
      <c r="D4463" t="s">
        <v>8411</v>
      </c>
      <c r="E4463" t="s">
        <v>8446</v>
      </c>
      <c r="F4463" t="s">
        <v>8448</v>
      </c>
      <c r="G4463" t="s">
        <v>8519</v>
      </c>
    </row>
    <row r="4464" spans="1:7">
      <c r="A4464" t="s">
        <v>6824</v>
      </c>
      <c r="C4464" t="s">
        <v>8393</v>
      </c>
      <c r="D4464" t="s">
        <v>8393</v>
      </c>
      <c r="E4464" t="s">
        <v>919</v>
      </c>
      <c r="F4464" t="s">
        <v>8393</v>
      </c>
    </row>
    <row r="4465" spans="1:7">
      <c r="A4465" t="s">
        <v>6825</v>
      </c>
      <c r="B4465" t="s">
        <v>8278</v>
      </c>
      <c r="C4465" t="s">
        <v>8394</v>
      </c>
      <c r="D4465" t="s">
        <v>8423</v>
      </c>
      <c r="E4465" t="s">
        <v>8444</v>
      </c>
      <c r="F4465" t="s">
        <v>8449</v>
      </c>
      <c r="G4465" t="s">
        <v>8455</v>
      </c>
    </row>
    <row r="4466" spans="1:7">
      <c r="A4466" t="s">
        <v>6826</v>
      </c>
      <c r="B4466" t="s">
        <v>8278</v>
      </c>
      <c r="C4466" t="s">
        <v>8394</v>
      </c>
      <c r="D4466" t="s">
        <v>8423</v>
      </c>
      <c r="E4466" t="s">
        <v>8444</v>
      </c>
      <c r="F4466" t="s">
        <v>8449</v>
      </c>
      <c r="G4466" t="s">
        <v>8455</v>
      </c>
    </row>
    <row r="4467" spans="1:7">
      <c r="A4467" t="s">
        <v>6827</v>
      </c>
      <c r="B4467" t="s">
        <v>8284</v>
      </c>
      <c r="C4467" t="s">
        <v>8394</v>
      </c>
      <c r="D4467" t="s">
        <v>8423</v>
      </c>
      <c r="E4467" t="s">
        <v>8444</v>
      </c>
      <c r="F4467" t="s">
        <v>8449</v>
      </c>
      <c r="G4467" t="s">
        <v>8455</v>
      </c>
    </row>
    <row r="4468" spans="1:7">
      <c r="A4468" t="s">
        <v>6828</v>
      </c>
      <c r="B4468" t="s">
        <v>8273</v>
      </c>
      <c r="C4468" t="s">
        <v>8395</v>
      </c>
      <c r="D4468" t="s">
        <v>8414</v>
      </c>
      <c r="E4468" t="s">
        <v>8446</v>
      </c>
      <c r="F4468" t="s">
        <v>8449</v>
      </c>
      <c r="G4468" t="s">
        <v>8455</v>
      </c>
    </row>
    <row r="4469" spans="1:7">
      <c r="A4469" t="s">
        <v>6829</v>
      </c>
      <c r="B4469" t="s">
        <v>8273</v>
      </c>
      <c r="C4469" t="s">
        <v>8395</v>
      </c>
      <c r="D4469" t="s">
        <v>8402</v>
      </c>
      <c r="E4469" t="s">
        <v>8446</v>
      </c>
      <c r="F4469" t="s">
        <v>8449</v>
      </c>
      <c r="G4469" t="s">
        <v>8455</v>
      </c>
    </row>
    <row r="4470" spans="1:7">
      <c r="A4470" t="s">
        <v>6830</v>
      </c>
      <c r="B4470" t="s">
        <v>8273</v>
      </c>
      <c r="C4470" t="s">
        <v>8395</v>
      </c>
      <c r="D4470" t="s">
        <v>8402</v>
      </c>
      <c r="E4470" t="s">
        <v>8446</v>
      </c>
      <c r="F4470" t="s">
        <v>8449</v>
      </c>
      <c r="G4470" t="s">
        <v>8455</v>
      </c>
    </row>
    <row r="4471" spans="1:7">
      <c r="A4471" t="s">
        <v>6831</v>
      </c>
      <c r="C4471" t="s">
        <v>8398</v>
      </c>
      <c r="D4471" t="s">
        <v>8419</v>
      </c>
      <c r="E4471" t="s">
        <v>8445</v>
      </c>
      <c r="F4471" t="s">
        <v>8448</v>
      </c>
      <c r="G4471" t="s">
        <v>8455</v>
      </c>
    </row>
    <row r="4472" spans="1:7">
      <c r="A4472" t="s">
        <v>6832</v>
      </c>
      <c r="C4472" t="s">
        <v>8393</v>
      </c>
      <c r="D4472" t="s">
        <v>8393</v>
      </c>
      <c r="E4472" t="s">
        <v>919</v>
      </c>
      <c r="F4472" t="s">
        <v>8393</v>
      </c>
    </row>
    <row r="4473" spans="1:7">
      <c r="A4473" t="s">
        <v>6833</v>
      </c>
      <c r="B4473" t="s">
        <v>8273</v>
      </c>
      <c r="C4473" t="s">
        <v>8396</v>
      </c>
      <c r="D4473" t="s">
        <v>8405</v>
      </c>
      <c r="E4473" t="s">
        <v>8445</v>
      </c>
      <c r="F4473" t="s">
        <v>8449</v>
      </c>
      <c r="G4473" t="s">
        <v>8455</v>
      </c>
    </row>
    <row r="4474" spans="1:7">
      <c r="A4474" t="s">
        <v>6834</v>
      </c>
      <c r="B4474" t="s">
        <v>8273</v>
      </c>
      <c r="C4474" t="s">
        <v>8396</v>
      </c>
      <c r="D4474" t="s">
        <v>8405</v>
      </c>
      <c r="E4474" t="s">
        <v>8445</v>
      </c>
      <c r="F4474" t="s">
        <v>8449</v>
      </c>
      <c r="G4474" t="s">
        <v>8455</v>
      </c>
    </row>
    <row r="4475" spans="1:7">
      <c r="A4475" t="s">
        <v>6835</v>
      </c>
      <c r="B4475" t="s">
        <v>8300</v>
      </c>
      <c r="C4475" t="s">
        <v>8396</v>
      </c>
      <c r="D4475" t="s">
        <v>8405</v>
      </c>
      <c r="E4475" t="s">
        <v>8445</v>
      </c>
      <c r="F4475" t="s">
        <v>8449</v>
      </c>
      <c r="G4475" t="s">
        <v>8455</v>
      </c>
    </row>
    <row r="4476" spans="1:7">
      <c r="A4476" t="s">
        <v>6836</v>
      </c>
      <c r="B4476" t="s">
        <v>8286</v>
      </c>
      <c r="C4476" t="s">
        <v>8396</v>
      </c>
      <c r="D4476" t="s">
        <v>8405</v>
      </c>
      <c r="E4476" t="s">
        <v>8445</v>
      </c>
      <c r="F4476" t="s">
        <v>8449</v>
      </c>
      <c r="G4476" t="s">
        <v>8455</v>
      </c>
    </row>
    <row r="4477" spans="1:7">
      <c r="A4477" t="s">
        <v>6837</v>
      </c>
      <c r="B4477" t="s">
        <v>8274</v>
      </c>
      <c r="C4477" t="s">
        <v>8396</v>
      </c>
      <c r="D4477" t="s">
        <v>8405</v>
      </c>
      <c r="E4477" t="s">
        <v>8445</v>
      </c>
      <c r="F4477" t="s">
        <v>8449</v>
      </c>
      <c r="G4477" t="s">
        <v>8455</v>
      </c>
    </row>
    <row r="4478" spans="1:7">
      <c r="A4478" t="s">
        <v>6838</v>
      </c>
      <c r="B4478" t="s">
        <v>8273</v>
      </c>
      <c r="C4478" t="s">
        <v>8396</v>
      </c>
      <c r="D4478" t="s">
        <v>8405</v>
      </c>
      <c r="E4478" t="s">
        <v>8445</v>
      </c>
      <c r="F4478" t="s">
        <v>8449</v>
      </c>
      <c r="G4478" t="s">
        <v>8455</v>
      </c>
    </row>
    <row r="4479" spans="1:7">
      <c r="A4479" t="s">
        <v>6839</v>
      </c>
      <c r="B4479" t="s">
        <v>8277</v>
      </c>
      <c r="C4479" t="s">
        <v>8396</v>
      </c>
      <c r="D4479" t="s">
        <v>8405</v>
      </c>
      <c r="E4479" t="s">
        <v>8445</v>
      </c>
      <c r="F4479" t="s">
        <v>8449</v>
      </c>
      <c r="G4479" t="s">
        <v>8455</v>
      </c>
    </row>
    <row r="4480" spans="1:7">
      <c r="A4480" t="s">
        <v>6840</v>
      </c>
      <c r="C4480" t="s">
        <v>8393</v>
      </c>
      <c r="D4480" t="s">
        <v>8393</v>
      </c>
      <c r="E4480" t="s">
        <v>919</v>
      </c>
      <c r="F4480" t="s">
        <v>8393</v>
      </c>
    </row>
    <row r="4481" spans="1:7">
      <c r="A4481" t="s">
        <v>6841</v>
      </c>
      <c r="C4481" t="s">
        <v>8396</v>
      </c>
      <c r="D4481" t="s">
        <v>8425</v>
      </c>
      <c r="E4481" t="s">
        <v>8444</v>
      </c>
      <c r="F4481" t="s">
        <v>8448</v>
      </c>
      <c r="G4481" t="s">
        <v>8474</v>
      </c>
    </row>
    <row r="4482" spans="1:7">
      <c r="A4482" t="s">
        <v>6842</v>
      </c>
      <c r="C4482" t="s">
        <v>8396</v>
      </c>
      <c r="D4482" t="s">
        <v>8425</v>
      </c>
      <c r="E4482" t="s">
        <v>8446</v>
      </c>
      <c r="F4482" t="s">
        <v>8448</v>
      </c>
      <c r="G4482" t="s">
        <v>9218</v>
      </c>
    </row>
    <row r="4483" spans="1:7">
      <c r="A4483" t="s">
        <v>6843</v>
      </c>
      <c r="C4483" t="s">
        <v>8392</v>
      </c>
      <c r="D4483" t="s">
        <v>8400</v>
      </c>
      <c r="E4483" t="s">
        <v>1587</v>
      </c>
      <c r="F4483" t="s">
        <v>8448</v>
      </c>
      <c r="G4483" t="s">
        <v>8463</v>
      </c>
    </row>
    <row r="4484" spans="1:7">
      <c r="A4484" t="s">
        <v>6844</v>
      </c>
      <c r="C4484" t="s">
        <v>8392</v>
      </c>
      <c r="D4484" t="s">
        <v>8415</v>
      </c>
      <c r="E4484" t="s">
        <v>8444</v>
      </c>
      <c r="F4484" t="s">
        <v>8448</v>
      </c>
      <c r="G4484" t="s">
        <v>9219</v>
      </c>
    </row>
    <row r="4485" spans="1:7">
      <c r="A4485" t="s">
        <v>6845</v>
      </c>
      <c r="C4485" t="s">
        <v>8394</v>
      </c>
      <c r="D4485" t="s">
        <v>8401</v>
      </c>
      <c r="E4485" t="s">
        <v>8445</v>
      </c>
      <c r="F4485" t="s">
        <v>8448</v>
      </c>
      <c r="G4485" t="s">
        <v>9220</v>
      </c>
    </row>
    <row r="4486" spans="1:7">
      <c r="A4486" t="s">
        <v>6846</v>
      </c>
      <c r="B4486" t="s">
        <v>8299</v>
      </c>
      <c r="C4486" t="s">
        <v>8397</v>
      </c>
      <c r="D4486" t="s">
        <v>8431</v>
      </c>
      <c r="E4486" t="s">
        <v>1519</v>
      </c>
      <c r="F4486" t="s">
        <v>8448</v>
      </c>
      <c r="G4486" t="s">
        <v>795</v>
      </c>
    </row>
    <row r="4487" spans="1:7">
      <c r="A4487" t="s">
        <v>6847</v>
      </c>
      <c r="B4487" t="s">
        <v>8273</v>
      </c>
      <c r="C4487" t="s">
        <v>8395</v>
      </c>
      <c r="D4487" t="s">
        <v>8425</v>
      </c>
      <c r="E4487" t="s">
        <v>8446</v>
      </c>
      <c r="F4487" t="s">
        <v>8449</v>
      </c>
      <c r="G4487" t="s">
        <v>8455</v>
      </c>
    </row>
    <row r="4488" spans="1:7">
      <c r="A4488" t="s">
        <v>6848</v>
      </c>
      <c r="C4488" t="s">
        <v>8393</v>
      </c>
      <c r="D4488" t="s">
        <v>8393</v>
      </c>
      <c r="E4488" t="s">
        <v>919</v>
      </c>
      <c r="F4488" t="s">
        <v>8393</v>
      </c>
    </row>
    <row r="4489" spans="1:7">
      <c r="A4489" t="s">
        <v>6849</v>
      </c>
      <c r="B4489" t="s">
        <v>8278</v>
      </c>
      <c r="C4489" t="s">
        <v>8394</v>
      </c>
      <c r="D4489" t="s">
        <v>8423</v>
      </c>
      <c r="E4489" t="s">
        <v>8446</v>
      </c>
      <c r="F4489" t="s">
        <v>8449</v>
      </c>
      <c r="G4489" t="s">
        <v>8455</v>
      </c>
    </row>
    <row r="4490" spans="1:7">
      <c r="A4490" t="s">
        <v>6850</v>
      </c>
      <c r="B4490" t="s">
        <v>8278</v>
      </c>
      <c r="C4490" t="s">
        <v>8394</v>
      </c>
      <c r="D4490" t="s">
        <v>8423</v>
      </c>
      <c r="E4490" t="s">
        <v>8446</v>
      </c>
      <c r="F4490" t="s">
        <v>8449</v>
      </c>
      <c r="G4490" t="s">
        <v>8455</v>
      </c>
    </row>
    <row r="4491" spans="1:7">
      <c r="A4491" t="s">
        <v>6851</v>
      </c>
      <c r="B4491" t="s">
        <v>8278</v>
      </c>
      <c r="C4491" t="s">
        <v>8394</v>
      </c>
      <c r="D4491" t="s">
        <v>8423</v>
      </c>
      <c r="E4491" t="s">
        <v>8446</v>
      </c>
      <c r="F4491" t="s">
        <v>8449</v>
      </c>
      <c r="G4491" t="s">
        <v>8455</v>
      </c>
    </row>
    <row r="4492" spans="1:7">
      <c r="A4492" t="s">
        <v>6852</v>
      </c>
      <c r="B4492" t="s">
        <v>8284</v>
      </c>
      <c r="C4492" t="s">
        <v>8394</v>
      </c>
      <c r="D4492" t="s">
        <v>8423</v>
      </c>
      <c r="E4492" t="s">
        <v>8446</v>
      </c>
      <c r="F4492" t="s">
        <v>8449</v>
      </c>
      <c r="G4492" t="s">
        <v>8455</v>
      </c>
    </row>
    <row r="4493" spans="1:7">
      <c r="A4493" t="s">
        <v>6853</v>
      </c>
      <c r="B4493" t="s">
        <v>8279</v>
      </c>
      <c r="C4493" t="s">
        <v>8394</v>
      </c>
      <c r="D4493" t="s">
        <v>8423</v>
      </c>
      <c r="E4493" t="s">
        <v>8446</v>
      </c>
      <c r="F4493" t="s">
        <v>8449</v>
      </c>
      <c r="G4493" t="s">
        <v>8455</v>
      </c>
    </row>
    <row r="4494" spans="1:7">
      <c r="A4494" t="s">
        <v>6854</v>
      </c>
      <c r="B4494" t="s">
        <v>8278</v>
      </c>
      <c r="C4494" t="s">
        <v>8394</v>
      </c>
      <c r="D4494" t="s">
        <v>8423</v>
      </c>
      <c r="E4494" t="s">
        <v>8446</v>
      </c>
      <c r="F4494" t="s">
        <v>8449</v>
      </c>
      <c r="G4494" t="s">
        <v>8455</v>
      </c>
    </row>
    <row r="4495" spans="1:7">
      <c r="A4495" t="s">
        <v>6855</v>
      </c>
      <c r="B4495" t="s">
        <v>8309</v>
      </c>
      <c r="C4495" t="s">
        <v>8394</v>
      </c>
      <c r="D4495" t="s">
        <v>8423</v>
      </c>
      <c r="E4495" t="s">
        <v>8446</v>
      </c>
      <c r="F4495" t="s">
        <v>8449</v>
      </c>
      <c r="G4495" t="s">
        <v>8455</v>
      </c>
    </row>
    <row r="4496" spans="1:7">
      <c r="A4496" t="s">
        <v>6856</v>
      </c>
      <c r="B4496" t="s">
        <v>8281</v>
      </c>
      <c r="C4496" t="s">
        <v>8394</v>
      </c>
      <c r="D4496" t="s">
        <v>8423</v>
      </c>
      <c r="E4496" t="s">
        <v>8446</v>
      </c>
      <c r="F4496" t="s">
        <v>8449</v>
      </c>
      <c r="G4496" t="s">
        <v>8455</v>
      </c>
    </row>
    <row r="4497" spans="1:7">
      <c r="A4497" t="s">
        <v>6857</v>
      </c>
      <c r="B4497" t="s">
        <v>8273</v>
      </c>
      <c r="C4497" t="s">
        <v>8398</v>
      </c>
      <c r="D4497" t="s">
        <v>8409</v>
      </c>
      <c r="E4497" t="s">
        <v>8445</v>
      </c>
      <c r="F4497" t="s">
        <v>8448</v>
      </c>
      <c r="G4497" t="s">
        <v>9221</v>
      </c>
    </row>
    <row r="4498" spans="1:7">
      <c r="A4498" t="s">
        <v>6858</v>
      </c>
      <c r="B4498" t="s">
        <v>8273</v>
      </c>
      <c r="C4498" t="s">
        <v>8395</v>
      </c>
      <c r="D4498" t="s">
        <v>8402</v>
      </c>
      <c r="E4498" t="s">
        <v>8446</v>
      </c>
      <c r="F4498" t="s">
        <v>8449</v>
      </c>
      <c r="G4498" t="s">
        <v>8455</v>
      </c>
    </row>
    <row r="4499" spans="1:7">
      <c r="A4499" t="s">
        <v>6859</v>
      </c>
      <c r="C4499" t="s">
        <v>8397</v>
      </c>
      <c r="D4499" t="s">
        <v>8408</v>
      </c>
      <c r="E4499" t="s">
        <v>8445</v>
      </c>
      <c r="F4499" t="s">
        <v>8450</v>
      </c>
    </row>
    <row r="4500" spans="1:7">
      <c r="A4500" t="s">
        <v>6860</v>
      </c>
      <c r="C4500" t="s">
        <v>8394</v>
      </c>
      <c r="D4500" t="s">
        <v>8402</v>
      </c>
      <c r="E4500" t="s">
        <v>8445</v>
      </c>
      <c r="F4500" t="s">
        <v>8448</v>
      </c>
      <c r="G4500" t="s">
        <v>8453</v>
      </c>
    </row>
    <row r="4501" spans="1:7">
      <c r="A4501" t="s">
        <v>6861</v>
      </c>
      <c r="B4501" t="s">
        <v>8299</v>
      </c>
      <c r="C4501" t="s">
        <v>8397</v>
      </c>
      <c r="D4501" t="s">
        <v>8431</v>
      </c>
      <c r="E4501" t="s">
        <v>1519</v>
      </c>
      <c r="F4501" t="s">
        <v>8447</v>
      </c>
      <c r="G4501" t="s">
        <v>8494</v>
      </c>
    </row>
    <row r="4502" spans="1:7">
      <c r="A4502" t="s">
        <v>6862</v>
      </c>
      <c r="B4502" t="s">
        <v>8273</v>
      </c>
      <c r="C4502" t="s">
        <v>8395</v>
      </c>
      <c r="D4502" t="s">
        <v>8421</v>
      </c>
      <c r="E4502" t="s">
        <v>8446</v>
      </c>
      <c r="F4502" t="s">
        <v>8448</v>
      </c>
      <c r="G4502" t="s">
        <v>9222</v>
      </c>
    </row>
    <row r="4503" spans="1:7">
      <c r="A4503" t="s">
        <v>6863</v>
      </c>
      <c r="B4503" t="s">
        <v>8273</v>
      </c>
      <c r="C4503" t="s">
        <v>8397</v>
      </c>
      <c r="D4503" t="s">
        <v>8421</v>
      </c>
      <c r="E4503" t="s">
        <v>8446</v>
      </c>
      <c r="F4503" t="s">
        <v>8448</v>
      </c>
      <c r="G4503" t="s">
        <v>8455</v>
      </c>
    </row>
    <row r="4504" spans="1:7">
      <c r="A4504" t="s">
        <v>6864</v>
      </c>
      <c r="B4504" t="s">
        <v>8273</v>
      </c>
      <c r="C4504" t="s">
        <v>8395</v>
      </c>
      <c r="D4504" t="s">
        <v>8421</v>
      </c>
      <c r="E4504" t="s">
        <v>8446</v>
      </c>
      <c r="F4504" t="s">
        <v>8448</v>
      </c>
      <c r="G4504" t="s">
        <v>8455</v>
      </c>
    </row>
    <row r="4505" spans="1:7">
      <c r="A4505" t="s">
        <v>6865</v>
      </c>
      <c r="B4505" t="s">
        <v>8273</v>
      </c>
      <c r="C4505" t="s">
        <v>8397</v>
      </c>
      <c r="D4505" t="s">
        <v>8421</v>
      </c>
      <c r="E4505" t="s">
        <v>8444</v>
      </c>
      <c r="F4505" t="s">
        <v>8448</v>
      </c>
      <c r="G4505" t="s">
        <v>9223</v>
      </c>
    </row>
    <row r="4506" spans="1:7">
      <c r="A4506" t="s">
        <v>6866</v>
      </c>
      <c r="C4506" t="s">
        <v>8393</v>
      </c>
      <c r="D4506" t="s">
        <v>8393</v>
      </c>
      <c r="E4506" t="s">
        <v>919</v>
      </c>
      <c r="F4506" t="s">
        <v>8393</v>
      </c>
    </row>
    <row r="4507" spans="1:7">
      <c r="A4507" t="s">
        <v>6867</v>
      </c>
      <c r="B4507" t="s">
        <v>8273</v>
      </c>
      <c r="C4507" t="s">
        <v>8396</v>
      </c>
      <c r="D4507" t="s">
        <v>8405</v>
      </c>
      <c r="E4507" t="s">
        <v>1519</v>
      </c>
      <c r="F4507" t="s">
        <v>8449</v>
      </c>
      <c r="G4507" t="s">
        <v>8455</v>
      </c>
    </row>
    <row r="4508" spans="1:7">
      <c r="A4508" t="s">
        <v>6868</v>
      </c>
      <c r="B4508" t="s">
        <v>8273</v>
      </c>
      <c r="C4508" t="s">
        <v>8396</v>
      </c>
      <c r="D4508" t="s">
        <v>8405</v>
      </c>
      <c r="E4508" t="s">
        <v>1519</v>
      </c>
      <c r="F4508" t="s">
        <v>8449</v>
      </c>
      <c r="G4508" t="s">
        <v>8455</v>
      </c>
    </row>
    <row r="4509" spans="1:7">
      <c r="A4509" t="s">
        <v>6869</v>
      </c>
      <c r="B4509" t="s">
        <v>8273</v>
      </c>
      <c r="C4509" t="s">
        <v>8396</v>
      </c>
      <c r="D4509" t="s">
        <v>8425</v>
      </c>
      <c r="E4509" t="s">
        <v>1519</v>
      </c>
      <c r="F4509" t="s">
        <v>8449</v>
      </c>
      <c r="G4509" t="s">
        <v>9224</v>
      </c>
    </row>
    <row r="4510" spans="1:7">
      <c r="A4510" t="s">
        <v>6870</v>
      </c>
      <c r="B4510" t="s">
        <v>8273</v>
      </c>
      <c r="C4510" t="s">
        <v>8395</v>
      </c>
      <c r="D4510" t="s">
        <v>8404</v>
      </c>
      <c r="E4510" t="s">
        <v>1519</v>
      </c>
      <c r="F4510" t="s">
        <v>8449</v>
      </c>
      <c r="G4510" t="s">
        <v>8455</v>
      </c>
    </row>
    <row r="4511" spans="1:7">
      <c r="A4511" t="s">
        <v>6871</v>
      </c>
      <c r="B4511" t="s">
        <v>8273</v>
      </c>
      <c r="C4511" t="s">
        <v>8398</v>
      </c>
      <c r="D4511" t="s">
        <v>8410</v>
      </c>
      <c r="E4511" t="s">
        <v>1519</v>
      </c>
      <c r="F4511" t="s">
        <v>8449</v>
      </c>
      <c r="G4511" t="s">
        <v>8455</v>
      </c>
    </row>
    <row r="4512" spans="1:7">
      <c r="A4512" t="s">
        <v>6872</v>
      </c>
      <c r="B4512" t="s">
        <v>8274</v>
      </c>
      <c r="C4512" t="s">
        <v>8396</v>
      </c>
      <c r="D4512" t="s">
        <v>8406</v>
      </c>
      <c r="E4512" t="s">
        <v>1519</v>
      </c>
      <c r="F4512" t="s">
        <v>8449</v>
      </c>
      <c r="G4512" t="s">
        <v>8455</v>
      </c>
    </row>
    <row r="4513" spans="1:7">
      <c r="A4513" t="s">
        <v>6873</v>
      </c>
      <c r="B4513" t="s">
        <v>8273</v>
      </c>
      <c r="C4513" t="s">
        <v>8396</v>
      </c>
      <c r="D4513" t="s">
        <v>8425</v>
      </c>
      <c r="E4513" t="s">
        <v>8444</v>
      </c>
      <c r="F4513" t="s">
        <v>8448</v>
      </c>
      <c r="G4513" t="s">
        <v>8613</v>
      </c>
    </row>
    <row r="4514" spans="1:7">
      <c r="A4514" t="s">
        <v>6874</v>
      </c>
      <c r="C4514" t="s">
        <v>8393</v>
      </c>
      <c r="D4514" t="s">
        <v>8393</v>
      </c>
      <c r="E4514" t="s">
        <v>919</v>
      </c>
      <c r="F4514" t="s">
        <v>8393</v>
      </c>
    </row>
    <row r="4515" spans="1:7">
      <c r="A4515" t="s">
        <v>6875</v>
      </c>
      <c r="B4515" t="s">
        <v>8278</v>
      </c>
      <c r="C4515" t="s">
        <v>8395</v>
      </c>
      <c r="D4515" t="s">
        <v>8423</v>
      </c>
      <c r="E4515" t="s">
        <v>8446</v>
      </c>
      <c r="F4515" t="s">
        <v>8449</v>
      </c>
      <c r="G4515" t="s">
        <v>8455</v>
      </c>
    </row>
    <row r="4516" spans="1:7">
      <c r="A4516" t="s">
        <v>6876</v>
      </c>
      <c r="B4516" t="s">
        <v>8279</v>
      </c>
      <c r="C4516" t="s">
        <v>8395</v>
      </c>
      <c r="D4516" t="s">
        <v>8423</v>
      </c>
      <c r="E4516" t="s">
        <v>8446</v>
      </c>
      <c r="F4516" t="s">
        <v>8449</v>
      </c>
      <c r="G4516" t="s">
        <v>8455</v>
      </c>
    </row>
    <row r="4517" spans="1:7">
      <c r="A4517" t="s">
        <v>6877</v>
      </c>
      <c r="B4517" t="s">
        <v>8281</v>
      </c>
      <c r="C4517" t="s">
        <v>8395</v>
      </c>
      <c r="D4517" t="s">
        <v>8423</v>
      </c>
      <c r="E4517" t="s">
        <v>8446</v>
      </c>
      <c r="F4517" t="s">
        <v>8449</v>
      </c>
      <c r="G4517" t="s">
        <v>8455</v>
      </c>
    </row>
    <row r="4518" spans="1:7">
      <c r="A4518" t="s">
        <v>6878</v>
      </c>
      <c r="C4518" t="s">
        <v>8393</v>
      </c>
      <c r="D4518" t="s">
        <v>8393</v>
      </c>
      <c r="E4518" t="s">
        <v>919</v>
      </c>
      <c r="F4518" t="s">
        <v>8393</v>
      </c>
    </row>
    <row r="4519" spans="1:7">
      <c r="A4519" t="s">
        <v>6879</v>
      </c>
      <c r="B4519" t="s">
        <v>8273</v>
      </c>
      <c r="C4519" t="s">
        <v>8392</v>
      </c>
      <c r="D4519" t="s">
        <v>8415</v>
      </c>
      <c r="E4519" t="s">
        <v>8444</v>
      </c>
      <c r="F4519" t="s">
        <v>8449</v>
      </c>
      <c r="G4519" t="s">
        <v>8455</v>
      </c>
    </row>
    <row r="4520" spans="1:7">
      <c r="A4520" t="s">
        <v>6880</v>
      </c>
      <c r="B4520" t="s">
        <v>8277</v>
      </c>
      <c r="C4520" t="s">
        <v>8392</v>
      </c>
      <c r="D4520" t="s">
        <v>8415</v>
      </c>
      <c r="E4520" t="s">
        <v>8444</v>
      </c>
      <c r="F4520" t="s">
        <v>8449</v>
      </c>
      <c r="G4520" t="s">
        <v>8455</v>
      </c>
    </row>
    <row r="4521" spans="1:7">
      <c r="A4521" t="s">
        <v>6881</v>
      </c>
      <c r="C4521" t="s">
        <v>8394</v>
      </c>
      <c r="D4521" t="s">
        <v>8402</v>
      </c>
      <c r="E4521" t="s">
        <v>8445</v>
      </c>
      <c r="F4521" t="s">
        <v>8448</v>
      </c>
      <c r="G4521" t="s">
        <v>9225</v>
      </c>
    </row>
    <row r="4522" spans="1:7">
      <c r="A4522" t="s">
        <v>6882</v>
      </c>
      <c r="C4522" t="s">
        <v>8397</v>
      </c>
      <c r="D4522" t="s">
        <v>8408</v>
      </c>
      <c r="E4522" t="s">
        <v>8445</v>
      </c>
      <c r="F4522" t="s">
        <v>8450</v>
      </c>
    </row>
    <row r="4523" spans="1:7">
      <c r="A4523" t="s">
        <v>6883</v>
      </c>
      <c r="C4523" t="s">
        <v>8392</v>
      </c>
      <c r="D4523" t="s">
        <v>8400</v>
      </c>
      <c r="E4523" t="s">
        <v>8446</v>
      </c>
      <c r="F4523" t="s">
        <v>8448</v>
      </c>
      <c r="G4523" t="s">
        <v>8463</v>
      </c>
    </row>
    <row r="4524" spans="1:7">
      <c r="A4524" t="s">
        <v>6884</v>
      </c>
      <c r="C4524" t="s">
        <v>8393</v>
      </c>
      <c r="D4524" t="s">
        <v>8393</v>
      </c>
      <c r="E4524" t="s">
        <v>919</v>
      </c>
      <c r="F4524" t="s">
        <v>8393</v>
      </c>
    </row>
    <row r="4525" spans="1:7">
      <c r="A4525" t="s">
        <v>6885</v>
      </c>
      <c r="B4525" t="s">
        <v>8273</v>
      </c>
      <c r="C4525" t="s">
        <v>8394</v>
      </c>
      <c r="D4525" t="s">
        <v>8414</v>
      </c>
      <c r="E4525" t="s">
        <v>8446</v>
      </c>
      <c r="F4525" t="s">
        <v>8449</v>
      </c>
      <c r="G4525" t="s">
        <v>8455</v>
      </c>
    </row>
    <row r="4526" spans="1:7">
      <c r="A4526" t="s">
        <v>6886</v>
      </c>
      <c r="B4526" t="s">
        <v>8277</v>
      </c>
      <c r="C4526" t="s">
        <v>8394</v>
      </c>
      <c r="D4526" t="s">
        <v>8414</v>
      </c>
      <c r="E4526" t="s">
        <v>8446</v>
      </c>
      <c r="F4526" t="s">
        <v>8449</v>
      </c>
      <c r="G4526" t="s">
        <v>8455</v>
      </c>
    </row>
    <row r="4527" spans="1:7">
      <c r="A4527" t="s">
        <v>6887</v>
      </c>
      <c r="C4527" t="s">
        <v>8393</v>
      </c>
      <c r="D4527" t="s">
        <v>8393</v>
      </c>
      <c r="E4527" t="s">
        <v>919</v>
      </c>
      <c r="F4527" t="s">
        <v>8393</v>
      </c>
    </row>
    <row r="4528" spans="1:7">
      <c r="A4528" t="s">
        <v>6888</v>
      </c>
      <c r="B4528" t="s">
        <v>8278</v>
      </c>
      <c r="C4528" t="s">
        <v>8394</v>
      </c>
      <c r="D4528" t="s">
        <v>8423</v>
      </c>
      <c r="E4528" t="s">
        <v>1519</v>
      </c>
      <c r="F4528" t="s">
        <v>8449</v>
      </c>
      <c r="G4528" t="s">
        <v>8455</v>
      </c>
    </row>
    <row r="4529" spans="1:7">
      <c r="A4529" t="s">
        <v>6889</v>
      </c>
      <c r="B4529" t="s">
        <v>8278</v>
      </c>
      <c r="C4529" t="s">
        <v>8394</v>
      </c>
      <c r="D4529" t="s">
        <v>8423</v>
      </c>
      <c r="E4529" t="s">
        <v>1519</v>
      </c>
      <c r="F4529" t="s">
        <v>8449</v>
      </c>
      <c r="G4529" t="s">
        <v>8455</v>
      </c>
    </row>
    <row r="4530" spans="1:7">
      <c r="A4530" t="s">
        <v>6890</v>
      </c>
      <c r="B4530" t="s">
        <v>8280</v>
      </c>
      <c r="C4530" t="s">
        <v>8394</v>
      </c>
      <c r="D4530" t="s">
        <v>8423</v>
      </c>
      <c r="E4530" t="s">
        <v>1519</v>
      </c>
      <c r="F4530" t="s">
        <v>8449</v>
      </c>
      <c r="G4530" t="s">
        <v>8455</v>
      </c>
    </row>
    <row r="4531" spans="1:7">
      <c r="A4531" t="s">
        <v>6891</v>
      </c>
      <c r="B4531" t="s">
        <v>8281</v>
      </c>
      <c r="C4531" t="s">
        <v>8394</v>
      </c>
      <c r="D4531" t="s">
        <v>8423</v>
      </c>
      <c r="E4531" t="s">
        <v>1519</v>
      </c>
      <c r="F4531" t="s">
        <v>8449</v>
      </c>
      <c r="G4531" t="s">
        <v>8455</v>
      </c>
    </row>
    <row r="4532" spans="1:7">
      <c r="A4532" t="s">
        <v>6892</v>
      </c>
      <c r="B4532" t="s">
        <v>8273</v>
      </c>
      <c r="C4532" t="s">
        <v>8396</v>
      </c>
      <c r="D4532" t="s">
        <v>8425</v>
      </c>
      <c r="E4532" t="s">
        <v>8444</v>
      </c>
      <c r="F4532" t="s">
        <v>8448</v>
      </c>
      <c r="G4532" t="s">
        <v>9226</v>
      </c>
    </row>
    <row r="4533" spans="1:7">
      <c r="A4533" t="s">
        <v>6893</v>
      </c>
      <c r="B4533" t="s">
        <v>8273</v>
      </c>
      <c r="C4533" t="s">
        <v>8394</v>
      </c>
      <c r="D4533" t="s">
        <v>8416</v>
      </c>
      <c r="E4533" t="s">
        <v>8444</v>
      </c>
      <c r="F4533" t="s">
        <v>8448</v>
      </c>
      <c r="G4533" t="s">
        <v>8455</v>
      </c>
    </row>
    <row r="4534" spans="1:7">
      <c r="A4534" t="s">
        <v>6894</v>
      </c>
      <c r="C4534" t="s">
        <v>8393</v>
      </c>
      <c r="D4534" t="s">
        <v>8393</v>
      </c>
      <c r="E4534" t="s">
        <v>919</v>
      </c>
      <c r="F4534" t="s">
        <v>8393</v>
      </c>
    </row>
    <row r="4535" spans="1:7">
      <c r="A4535" t="s">
        <v>6895</v>
      </c>
      <c r="B4535" t="s">
        <v>8278</v>
      </c>
      <c r="C4535" t="s">
        <v>8395</v>
      </c>
      <c r="D4535" t="s">
        <v>8423</v>
      </c>
      <c r="E4535" t="s">
        <v>8446</v>
      </c>
      <c r="F4535" t="s">
        <v>8449</v>
      </c>
      <c r="G4535" t="s">
        <v>8455</v>
      </c>
    </row>
    <row r="4536" spans="1:7">
      <c r="A4536" t="s">
        <v>6896</v>
      </c>
      <c r="B4536" t="s">
        <v>8281</v>
      </c>
      <c r="C4536" t="s">
        <v>8395</v>
      </c>
      <c r="D4536" t="s">
        <v>8423</v>
      </c>
      <c r="E4536" t="s">
        <v>8446</v>
      </c>
      <c r="F4536" t="s">
        <v>8449</v>
      </c>
      <c r="G4536" t="s">
        <v>8455</v>
      </c>
    </row>
    <row r="4537" spans="1:7">
      <c r="A4537" t="s">
        <v>6897</v>
      </c>
      <c r="B4537" t="s">
        <v>8273</v>
      </c>
      <c r="C4537" t="s">
        <v>8394</v>
      </c>
      <c r="D4537" t="s">
        <v>8414</v>
      </c>
      <c r="E4537" t="s">
        <v>8445</v>
      </c>
      <c r="F4537" t="s">
        <v>8448</v>
      </c>
      <c r="G4537" t="s">
        <v>9227</v>
      </c>
    </row>
    <row r="4538" spans="1:7">
      <c r="A4538" t="s">
        <v>6898</v>
      </c>
      <c r="B4538" t="s">
        <v>8273</v>
      </c>
      <c r="C4538" t="s">
        <v>8395</v>
      </c>
      <c r="D4538" t="s">
        <v>8414</v>
      </c>
      <c r="E4538" t="s">
        <v>8446</v>
      </c>
      <c r="F4538" t="s">
        <v>8449</v>
      </c>
      <c r="G4538" t="s">
        <v>8455</v>
      </c>
    </row>
    <row r="4539" spans="1:7">
      <c r="A4539" t="s">
        <v>6899</v>
      </c>
      <c r="B4539" t="s">
        <v>8273</v>
      </c>
      <c r="C4539" t="s">
        <v>8394</v>
      </c>
      <c r="D4539" t="s">
        <v>8439</v>
      </c>
      <c r="E4539" t="s">
        <v>8445</v>
      </c>
      <c r="F4539" t="s">
        <v>8448</v>
      </c>
      <c r="G4539" t="s">
        <v>8455</v>
      </c>
    </row>
    <row r="4540" spans="1:7">
      <c r="A4540" t="s">
        <v>6900</v>
      </c>
      <c r="C4540" t="s">
        <v>8397</v>
      </c>
      <c r="D4540" t="s">
        <v>8408</v>
      </c>
      <c r="E4540" t="s">
        <v>8445</v>
      </c>
      <c r="F4540" t="s">
        <v>8450</v>
      </c>
      <c r="G4540" t="s">
        <v>9228</v>
      </c>
    </row>
    <row r="4541" spans="1:7">
      <c r="A4541" t="s">
        <v>6901</v>
      </c>
      <c r="B4541" t="s">
        <v>8273</v>
      </c>
      <c r="C4541" t="s">
        <v>8398</v>
      </c>
      <c r="D4541" t="s">
        <v>8410</v>
      </c>
      <c r="E4541" t="s">
        <v>8446</v>
      </c>
      <c r="F4541" t="s">
        <v>8448</v>
      </c>
      <c r="G4541" t="s">
        <v>8455</v>
      </c>
    </row>
    <row r="4542" spans="1:7">
      <c r="A4542" t="s">
        <v>6902</v>
      </c>
      <c r="B4542" t="s">
        <v>8273</v>
      </c>
      <c r="C4542" t="s">
        <v>8398</v>
      </c>
      <c r="D4542" t="s">
        <v>8409</v>
      </c>
      <c r="E4542" t="s">
        <v>8445</v>
      </c>
      <c r="F4542" t="s">
        <v>8448</v>
      </c>
      <c r="G4542" t="s">
        <v>8453</v>
      </c>
    </row>
    <row r="4543" spans="1:7">
      <c r="A4543" t="s">
        <v>6903</v>
      </c>
      <c r="B4543" t="s">
        <v>8273</v>
      </c>
      <c r="C4543" t="s">
        <v>8394</v>
      </c>
      <c r="D4543" t="s">
        <v>8402</v>
      </c>
      <c r="E4543" t="s">
        <v>8445</v>
      </c>
      <c r="F4543" t="s">
        <v>8449</v>
      </c>
      <c r="G4543" t="s">
        <v>8455</v>
      </c>
    </row>
    <row r="4544" spans="1:7">
      <c r="A4544" t="s">
        <v>6904</v>
      </c>
      <c r="B4544" t="s">
        <v>8273</v>
      </c>
      <c r="C4544" t="s">
        <v>8392</v>
      </c>
      <c r="D4544" t="s">
        <v>8415</v>
      </c>
      <c r="E4544" t="s">
        <v>8445</v>
      </c>
      <c r="F4544" t="s">
        <v>8448</v>
      </c>
      <c r="G4544" t="s">
        <v>9229</v>
      </c>
    </row>
    <row r="4545" spans="1:7">
      <c r="A4545" t="s">
        <v>6905</v>
      </c>
      <c r="C4545" t="s">
        <v>8393</v>
      </c>
      <c r="D4545" t="s">
        <v>8393</v>
      </c>
      <c r="E4545" t="s">
        <v>919</v>
      </c>
      <c r="F4545" t="s">
        <v>8393</v>
      </c>
    </row>
    <row r="4546" spans="1:7">
      <c r="A4546" t="s">
        <v>6906</v>
      </c>
      <c r="B4546" t="s">
        <v>8275</v>
      </c>
      <c r="C4546" t="s">
        <v>8395</v>
      </c>
      <c r="D4546" t="s">
        <v>8411</v>
      </c>
      <c r="E4546" t="s">
        <v>8444</v>
      </c>
      <c r="F4546" t="s">
        <v>8448</v>
      </c>
      <c r="G4546" t="s">
        <v>9230</v>
      </c>
    </row>
    <row r="4547" spans="1:7">
      <c r="A4547" t="s">
        <v>6907</v>
      </c>
      <c r="B4547" t="s">
        <v>8374</v>
      </c>
      <c r="C4547" t="s">
        <v>8394</v>
      </c>
      <c r="D4547" t="s">
        <v>8423</v>
      </c>
      <c r="E4547" t="s">
        <v>8444</v>
      </c>
      <c r="F4547" t="s">
        <v>8449</v>
      </c>
      <c r="G4547" t="s">
        <v>8455</v>
      </c>
    </row>
    <row r="4548" spans="1:7">
      <c r="A4548" t="s">
        <v>6908</v>
      </c>
      <c r="B4548" t="s">
        <v>8374</v>
      </c>
      <c r="C4548" t="s">
        <v>8394</v>
      </c>
      <c r="D4548" t="s">
        <v>8423</v>
      </c>
      <c r="E4548" t="s">
        <v>8444</v>
      </c>
      <c r="F4548" t="s">
        <v>8449</v>
      </c>
      <c r="G4548" t="s">
        <v>8455</v>
      </c>
    </row>
    <row r="4549" spans="1:7">
      <c r="A4549" t="s">
        <v>6909</v>
      </c>
      <c r="B4549" t="s">
        <v>8375</v>
      </c>
      <c r="C4549" t="s">
        <v>8394</v>
      </c>
      <c r="D4549" t="s">
        <v>8423</v>
      </c>
      <c r="E4549" t="s">
        <v>8444</v>
      </c>
      <c r="F4549" t="s">
        <v>8449</v>
      </c>
      <c r="G4549" t="s">
        <v>8455</v>
      </c>
    </row>
    <row r="4550" spans="1:7">
      <c r="A4550" t="s">
        <v>6910</v>
      </c>
      <c r="B4550" t="s">
        <v>8376</v>
      </c>
      <c r="C4550" t="s">
        <v>8394</v>
      </c>
      <c r="D4550" t="s">
        <v>8423</v>
      </c>
      <c r="E4550" t="s">
        <v>8444</v>
      </c>
      <c r="F4550" t="s">
        <v>8449</v>
      </c>
      <c r="G4550" t="s">
        <v>8455</v>
      </c>
    </row>
    <row r="4551" spans="1:7">
      <c r="A4551" t="s">
        <v>6911</v>
      </c>
      <c r="B4551" t="s">
        <v>8377</v>
      </c>
      <c r="C4551" t="s">
        <v>8394</v>
      </c>
      <c r="D4551" t="s">
        <v>8423</v>
      </c>
      <c r="E4551" t="s">
        <v>8444</v>
      </c>
      <c r="F4551" t="s">
        <v>8449</v>
      </c>
      <c r="G4551" t="s">
        <v>8455</v>
      </c>
    </row>
    <row r="4552" spans="1:7">
      <c r="A4552" t="s">
        <v>6912</v>
      </c>
      <c r="B4552" t="s">
        <v>8374</v>
      </c>
      <c r="C4552" t="s">
        <v>8394</v>
      </c>
      <c r="D4552" t="s">
        <v>8423</v>
      </c>
      <c r="E4552" t="s">
        <v>8444</v>
      </c>
      <c r="F4552" t="s">
        <v>8449</v>
      </c>
      <c r="G4552" t="s">
        <v>8455</v>
      </c>
    </row>
    <row r="4553" spans="1:7">
      <c r="A4553" t="s">
        <v>6913</v>
      </c>
      <c r="B4553" t="s">
        <v>8374</v>
      </c>
      <c r="C4553" t="s">
        <v>8394</v>
      </c>
      <c r="D4553" t="s">
        <v>8423</v>
      </c>
      <c r="E4553" t="s">
        <v>8444</v>
      </c>
      <c r="F4553" t="s">
        <v>8449</v>
      </c>
      <c r="G4553" t="s">
        <v>8455</v>
      </c>
    </row>
    <row r="4554" spans="1:7">
      <c r="A4554" t="s">
        <v>6914</v>
      </c>
      <c r="B4554" t="s">
        <v>8378</v>
      </c>
      <c r="C4554" t="s">
        <v>8394</v>
      </c>
      <c r="D4554" t="s">
        <v>8423</v>
      </c>
      <c r="E4554" t="s">
        <v>8444</v>
      </c>
      <c r="F4554" t="s">
        <v>8449</v>
      </c>
      <c r="G4554" t="s">
        <v>8455</v>
      </c>
    </row>
    <row r="4555" spans="1:7">
      <c r="A4555" t="s">
        <v>6915</v>
      </c>
      <c r="C4555" t="s">
        <v>8397</v>
      </c>
      <c r="D4555" t="s">
        <v>8412</v>
      </c>
      <c r="E4555" t="s">
        <v>8444</v>
      </c>
      <c r="F4555" t="s">
        <v>8450</v>
      </c>
      <c r="G4555" t="s">
        <v>9231</v>
      </c>
    </row>
    <row r="4556" spans="1:7">
      <c r="A4556" t="s">
        <v>6916</v>
      </c>
      <c r="C4556" t="s">
        <v>8397</v>
      </c>
      <c r="D4556" t="s">
        <v>8412</v>
      </c>
      <c r="E4556" t="s">
        <v>8445</v>
      </c>
      <c r="F4556" t="s">
        <v>8450</v>
      </c>
      <c r="G4556" t="s">
        <v>9232</v>
      </c>
    </row>
    <row r="4557" spans="1:7">
      <c r="A4557" t="s">
        <v>6917</v>
      </c>
      <c r="C4557" t="s">
        <v>8397</v>
      </c>
      <c r="D4557" t="s">
        <v>8418</v>
      </c>
      <c r="E4557" t="s">
        <v>8444</v>
      </c>
      <c r="F4557" t="s">
        <v>8450</v>
      </c>
      <c r="G4557" t="s">
        <v>8453</v>
      </c>
    </row>
    <row r="4558" spans="1:7">
      <c r="A4558" t="s">
        <v>6918</v>
      </c>
      <c r="C4558" t="s">
        <v>8397</v>
      </c>
      <c r="D4558" t="s">
        <v>8418</v>
      </c>
      <c r="E4558" t="s">
        <v>8445</v>
      </c>
      <c r="F4558" t="s">
        <v>8448</v>
      </c>
      <c r="G4558" t="s">
        <v>9233</v>
      </c>
    </row>
    <row r="4559" spans="1:7">
      <c r="A4559" t="s">
        <v>6919</v>
      </c>
      <c r="C4559" t="s">
        <v>8397</v>
      </c>
      <c r="D4559" t="s">
        <v>8418</v>
      </c>
      <c r="E4559" t="s">
        <v>8445</v>
      </c>
      <c r="F4559" t="s">
        <v>8448</v>
      </c>
      <c r="G4559" t="s">
        <v>9234</v>
      </c>
    </row>
    <row r="4560" spans="1:7">
      <c r="A4560" t="s">
        <v>6920</v>
      </c>
      <c r="C4560" t="s">
        <v>8397</v>
      </c>
      <c r="D4560" t="s">
        <v>8421</v>
      </c>
      <c r="E4560" t="s">
        <v>1519</v>
      </c>
      <c r="F4560" t="s">
        <v>8448</v>
      </c>
      <c r="G4560" t="s">
        <v>9235</v>
      </c>
    </row>
    <row r="4561" spans="1:7">
      <c r="A4561" t="s">
        <v>6921</v>
      </c>
      <c r="C4561" t="s">
        <v>8394</v>
      </c>
      <c r="D4561" t="s">
        <v>8402</v>
      </c>
      <c r="E4561" t="s">
        <v>8445</v>
      </c>
      <c r="F4561" t="s">
        <v>8448</v>
      </c>
      <c r="G4561" t="s">
        <v>9236</v>
      </c>
    </row>
    <row r="4562" spans="1:7">
      <c r="A4562" t="s">
        <v>6922</v>
      </c>
      <c r="C4562" t="s">
        <v>8393</v>
      </c>
      <c r="D4562" t="s">
        <v>8393</v>
      </c>
      <c r="E4562" t="s">
        <v>919</v>
      </c>
      <c r="F4562" t="s">
        <v>8393</v>
      </c>
    </row>
    <row r="4563" spans="1:7">
      <c r="A4563" t="s">
        <v>6923</v>
      </c>
      <c r="C4563" t="s">
        <v>8394</v>
      </c>
      <c r="D4563" t="s">
        <v>8414</v>
      </c>
      <c r="E4563" t="s">
        <v>8445</v>
      </c>
      <c r="F4563" t="s">
        <v>8448</v>
      </c>
      <c r="G4563" t="s">
        <v>8453</v>
      </c>
    </row>
    <row r="4564" spans="1:7">
      <c r="A4564" t="s">
        <v>6924</v>
      </c>
      <c r="C4564" t="s">
        <v>8394</v>
      </c>
      <c r="D4564" t="s">
        <v>8414</v>
      </c>
      <c r="E4564" t="s">
        <v>8445</v>
      </c>
      <c r="F4564" t="s">
        <v>8448</v>
      </c>
      <c r="G4564" t="s">
        <v>9237</v>
      </c>
    </row>
    <row r="4565" spans="1:7">
      <c r="A4565" t="s">
        <v>6925</v>
      </c>
      <c r="C4565" t="s">
        <v>8394</v>
      </c>
      <c r="D4565" t="s">
        <v>8413</v>
      </c>
      <c r="E4565" t="s">
        <v>8445</v>
      </c>
      <c r="F4565" t="s">
        <v>8448</v>
      </c>
      <c r="G4565" t="s">
        <v>9238</v>
      </c>
    </row>
    <row r="4566" spans="1:7">
      <c r="A4566" t="s">
        <v>6926</v>
      </c>
      <c r="B4566" t="s">
        <v>8273</v>
      </c>
      <c r="C4566" t="s">
        <v>8398</v>
      </c>
      <c r="D4566" t="s">
        <v>8409</v>
      </c>
      <c r="E4566" t="s">
        <v>8446</v>
      </c>
      <c r="F4566" t="s">
        <v>8448</v>
      </c>
      <c r="G4566" t="s">
        <v>8519</v>
      </c>
    </row>
    <row r="4567" spans="1:7">
      <c r="A4567" t="s">
        <v>6927</v>
      </c>
      <c r="B4567" t="s">
        <v>8273</v>
      </c>
      <c r="C4567" t="s">
        <v>8392</v>
      </c>
      <c r="D4567" t="s">
        <v>8415</v>
      </c>
      <c r="E4567" t="s">
        <v>8446</v>
      </c>
      <c r="F4567" t="s">
        <v>8448</v>
      </c>
      <c r="G4567" t="s">
        <v>8455</v>
      </c>
    </row>
    <row r="4568" spans="1:7">
      <c r="A4568" t="s">
        <v>6928</v>
      </c>
      <c r="C4568" t="s">
        <v>8394</v>
      </c>
      <c r="D4568" t="s">
        <v>8401</v>
      </c>
      <c r="E4568" t="s">
        <v>8445</v>
      </c>
      <c r="F4568" t="s">
        <v>8450</v>
      </c>
      <c r="G4568" t="s">
        <v>9239</v>
      </c>
    </row>
    <row r="4569" spans="1:7">
      <c r="A4569" t="s">
        <v>6929</v>
      </c>
      <c r="B4569" t="s">
        <v>8273</v>
      </c>
      <c r="C4569" t="s">
        <v>8398</v>
      </c>
      <c r="D4569" t="s">
        <v>8409</v>
      </c>
      <c r="E4569" t="s">
        <v>8444</v>
      </c>
      <c r="F4569" t="s">
        <v>8448</v>
      </c>
      <c r="G4569" t="s">
        <v>9240</v>
      </c>
    </row>
    <row r="4570" spans="1:7">
      <c r="A4570" t="s">
        <v>6930</v>
      </c>
      <c r="B4570" t="s">
        <v>8273</v>
      </c>
      <c r="C4570" t="s">
        <v>8394</v>
      </c>
      <c r="D4570" t="s">
        <v>8401</v>
      </c>
      <c r="E4570" t="s">
        <v>8445</v>
      </c>
      <c r="F4570" t="s">
        <v>8448</v>
      </c>
      <c r="G4570" t="s">
        <v>8455</v>
      </c>
    </row>
    <row r="4571" spans="1:7">
      <c r="A4571" t="s">
        <v>6931</v>
      </c>
      <c r="C4571" t="s">
        <v>8394</v>
      </c>
      <c r="D4571" t="s">
        <v>8401</v>
      </c>
      <c r="E4571" t="s">
        <v>8445</v>
      </c>
      <c r="F4571" t="s">
        <v>8448</v>
      </c>
      <c r="G4571" t="s">
        <v>9241</v>
      </c>
    </row>
    <row r="4572" spans="1:7">
      <c r="A4572" t="s">
        <v>6932</v>
      </c>
      <c r="B4572" t="s">
        <v>8273</v>
      </c>
      <c r="C4572" t="s">
        <v>8394</v>
      </c>
      <c r="D4572" t="s">
        <v>8401</v>
      </c>
      <c r="E4572" t="s">
        <v>8445</v>
      </c>
      <c r="F4572" t="s">
        <v>8449</v>
      </c>
      <c r="G4572" t="s">
        <v>8455</v>
      </c>
    </row>
    <row r="4573" spans="1:7">
      <c r="A4573" t="s">
        <v>6933</v>
      </c>
      <c r="C4573" t="s">
        <v>8397</v>
      </c>
      <c r="D4573" t="s">
        <v>8408</v>
      </c>
      <c r="E4573" t="s">
        <v>8445</v>
      </c>
      <c r="F4573" t="s">
        <v>8450</v>
      </c>
    </row>
    <row r="4574" spans="1:7">
      <c r="A4574" t="s">
        <v>6934</v>
      </c>
      <c r="C4574" t="s">
        <v>8394</v>
      </c>
      <c r="D4574" t="s">
        <v>8401</v>
      </c>
      <c r="E4574" t="s">
        <v>8445</v>
      </c>
      <c r="F4574" t="s">
        <v>8448</v>
      </c>
      <c r="G4574" t="s">
        <v>9242</v>
      </c>
    </row>
    <row r="4575" spans="1:7">
      <c r="A4575" t="s">
        <v>6935</v>
      </c>
      <c r="B4575" t="s">
        <v>8273</v>
      </c>
      <c r="C4575" t="s">
        <v>8396</v>
      </c>
      <c r="D4575" t="s">
        <v>8404</v>
      </c>
      <c r="E4575" t="s">
        <v>1519</v>
      </c>
      <c r="F4575" t="s">
        <v>8449</v>
      </c>
      <c r="G4575" t="s">
        <v>8453</v>
      </c>
    </row>
    <row r="4576" spans="1:7">
      <c r="A4576" t="s">
        <v>6936</v>
      </c>
      <c r="B4576" t="s">
        <v>8276</v>
      </c>
      <c r="C4576" t="s">
        <v>8398</v>
      </c>
      <c r="D4576" t="s">
        <v>8419</v>
      </c>
      <c r="E4576" t="s">
        <v>8445</v>
      </c>
      <c r="F4576" t="s">
        <v>8449</v>
      </c>
      <c r="G4576" t="s">
        <v>8750</v>
      </c>
    </row>
    <row r="4577" spans="1:7">
      <c r="A4577" t="s">
        <v>6937</v>
      </c>
      <c r="C4577" t="s">
        <v>8397</v>
      </c>
      <c r="D4577" t="s">
        <v>8418</v>
      </c>
      <c r="E4577" t="s">
        <v>8444</v>
      </c>
      <c r="F4577" t="s">
        <v>8450</v>
      </c>
      <c r="G4577" t="s">
        <v>8463</v>
      </c>
    </row>
    <row r="4578" spans="1:7">
      <c r="A4578" t="s">
        <v>6938</v>
      </c>
      <c r="B4578" t="s">
        <v>8273</v>
      </c>
      <c r="C4578" t="s">
        <v>8397</v>
      </c>
      <c r="D4578" t="s">
        <v>8418</v>
      </c>
      <c r="E4578" t="s">
        <v>8446</v>
      </c>
      <c r="F4578" t="s">
        <v>8450</v>
      </c>
      <c r="G4578" t="s">
        <v>8455</v>
      </c>
    </row>
    <row r="4579" spans="1:7">
      <c r="A4579" t="s">
        <v>6939</v>
      </c>
      <c r="C4579" t="s">
        <v>8397</v>
      </c>
      <c r="D4579" t="s">
        <v>8412</v>
      </c>
      <c r="E4579" t="s">
        <v>8446</v>
      </c>
      <c r="F4579" t="s">
        <v>8450</v>
      </c>
      <c r="G4579" t="s">
        <v>9232</v>
      </c>
    </row>
    <row r="4580" spans="1:7">
      <c r="A4580" t="s">
        <v>6940</v>
      </c>
      <c r="B4580" t="s">
        <v>8273</v>
      </c>
      <c r="C4580" t="s">
        <v>8392</v>
      </c>
      <c r="D4580" t="s">
        <v>8415</v>
      </c>
      <c r="E4580" t="s">
        <v>8445</v>
      </c>
      <c r="F4580" t="s">
        <v>8448</v>
      </c>
      <c r="G4580" t="s">
        <v>796</v>
      </c>
    </row>
    <row r="4581" spans="1:7">
      <c r="A4581" t="s">
        <v>6941</v>
      </c>
      <c r="C4581" t="s">
        <v>8394</v>
      </c>
      <c r="D4581" t="s">
        <v>8402</v>
      </c>
      <c r="E4581" t="s">
        <v>8445</v>
      </c>
      <c r="F4581" t="s">
        <v>8448</v>
      </c>
      <c r="G4581" t="s">
        <v>9243</v>
      </c>
    </row>
    <row r="4582" spans="1:7">
      <c r="A4582" t="s">
        <v>6942</v>
      </c>
      <c r="C4582" t="s">
        <v>8397</v>
      </c>
      <c r="D4582" t="s">
        <v>8421</v>
      </c>
      <c r="E4582" t="s">
        <v>1519</v>
      </c>
      <c r="F4582" t="s">
        <v>8448</v>
      </c>
      <c r="G4582" t="s">
        <v>9244</v>
      </c>
    </row>
    <row r="4583" spans="1:7">
      <c r="A4583" t="s">
        <v>6943</v>
      </c>
      <c r="B4583" t="s">
        <v>8273</v>
      </c>
      <c r="C4583" t="s">
        <v>8392</v>
      </c>
      <c r="D4583" t="s">
        <v>8415</v>
      </c>
      <c r="E4583" t="s">
        <v>1587</v>
      </c>
      <c r="F4583" t="s">
        <v>8448</v>
      </c>
      <c r="G4583" t="s">
        <v>8455</v>
      </c>
    </row>
    <row r="4584" spans="1:7">
      <c r="A4584" t="s">
        <v>6944</v>
      </c>
      <c r="C4584" t="s">
        <v>8394</v>
      </c>
      <c r="D4584" t="s">
        <v>8402</v>
      </c>
      <c r="E4584" t="s">
        <v>8444</v>
      </c>
      <c r="F4584" t="s">
        <v>8448</v>
      </c>
      <c r="G4584" t="s">
        <v>8474</v>
      </c>
    </row>
    <row r="4585" spans="1:7">
      <c r="A4585" t="s">
        <v>6945</v>
      </c>
      <c r="C4585" t="s">
        <v>8397</v>
      </c>
      <c r="D4585" t="s">
        <v>8408</v>
      </c>
      <c r="E4585" t="s">
        <v>8445</v>
      </c>
      <c r="F4585" t="s">
        <v>8450</v>
      </c>
    </row>
    <row r="4586" spans="1:7">
      <c r="A4586" t="s">
        <v>6946</v>
      </c>
      <c r="C4586" t="s">
        <v>8397</v>
      </c>
      <c r="D4586" t="s">
        <v>8408</v>
      </c>
      <c r="E4586" t="s">
        <v>8445</v>
      </c>
      <c r="F4586" t="s">
        <v>8450</v>
      </c>
    </row>
    <row r="4587" spans="1:7">
      <c r="A4587" t="s">
        <v>6947</v>
      </c>
      <c r="C4587" t="s">
        <v>8394</v>
      </c>
      <c r="D4587" t="s">
        <v>8416</v>
      </c>
      <c r="E4587" t="s">
        <v>8446</v>
      </c>
      <c r="F4587" t="s">
        <v>8448</v>
      </c>
      <c r="G4587" t="s">
        <v>9245</v>
      </c>
    </row>
    <row r="4588" spans="1:7">
      <c r="A4588" t="s">
        <v>6948</v>
      </c>
      <c r="C4588" t="s">
        <v>8394</v>
      </c>
      <c r="D4588" t="s">
        <v>8401</v>
      </c>
      <c r="E4588" t="s">
        <v>8445</v>
      </c>
      <c r="F4588" t="s">
        <v>8450</v>
      </c>
      <c r="G4588" t="s">
        <v>9246</v>
      </c>
    </row>
    <row r="4589" spans="1:7">
      <c r="A4589" t="s">
        <v>6949</v>
      </c>
      <c r="B4589" t="s">
        <v>8275</v>
      </c>
      <c r="C4589" t="s">
        <v>8398</v>
      </c>
      <c r="D4589" t="s">
        <v>8419</v>
      </c>
      <c r="E4589" t="s">
        <v>8445</v>
      </c>
      <c r="F4589" t="s">
        <v>8448</v>
      </c>
      <c r="G4589" t="s">
        <v>8474</v>
      </c>
    </row>
    <row r="4590" spans="1:7">
      <c r="A4590" t="s">
        <v>6950</v>
      </c>
      <c r="B4590" t="s">
        <v>8301</v>
      </c>
      <c r="C4590" t="s">
        <v>8396</v>
      </c>
      <c r="D4590" t="s">
        <v>8411</v>
      </c>
      <c r="E4590" t="s">
        <v>8445</v>
      </c>
      <c r="F4590" t="s">
        <v>8447</v>
      </c>
      <c r="G4590" t="s">
        <v>8474</v>
      </c>
    </row>
    <row r="4591" spans="1:7">
      <c r="A4591" t="s">
        <v>6951</v>
      </c>
      <c r="B4591" t="s">
        <v>8275</v>
      </c>
      <c r="C4591" t="s">
        <v>8398</v>
      </c>
      <c r="D4591" t="s">
        <v>8419</v>
      </c>
      <c r="E4591" t="s">
        <v>1519</v>
      </c>
      <c r="F4591" t="s">
        <v>8449</v>
      </c>
      <c r="G4591" t="s">
        <v>8475</v>
      </c>
    </row>
    <row r="4592" spans="1:7">
      <c r="A4592" t="s">
        <v>6952</v>
      </c>
      <c r="B4592" t="s">
        <v>8273</v>
      </c>
      <c r="C4592" t="s">
        <v>8398</v>
      </c>
      <c r="D4592" t="s">
        <v>8419</v>
      </c>
      <c r="E4592" t="s">
        <v>1519</v>
      </c>
      <c r="F4592" t="s">
        <v>8449</v>
      </c>
      <c r="G4592" t="s">
        <v>8475</v>
      </c>
    </row>
    <row r="4593" spans="1:7">
      <c r="A4593" t="s">
        <v>6953</v>
      </c>
      <c r="B4593" t="s">
        <v>8275</v>
      </c>
      <c r="C4593" t="s">
        <v>8398</v>
      </c>
      <c r="D4593" t="s">
        <v>8419</v>
      </c>
      <c r="E4593" t="s">
        <v>1519</v>
      </c>
      <c r="F4593" t="s">
        <v>8449</v>
      </c>
      <c r="G4593" t="s">
        <v>8455</v>
      </c>
    </row>
    <row r="4594" spans="1:7">
      <c r="A4594" t="s">
        <v>6954</v>
      </c>
      <c r="C4594" t="s">
        <v>8393</v>
      </c>
      <c r="D4594" t="s">
        <v>8393</v>
      </c>
      <c r="E4594" t="s">
        <v>919</v>
      </c>
      <c r="F4594" t="s">
        <v>8393</v>
      </c>
    </row>
    <row r="4595" spans="1:7">
      <c r="A4595" t="s">
        <v>6955</v>
      </c>
      <c r="B4595" t="s">
        <v>8273</v>
      </c>
      <c r="C4595" t="s">
        <v>8398</v>
      </c>
      <c r="D4595" t="s">
        <v>8410</v>
      </c>
      <c r="E4595" t="s">
        <v>8444</v>
      </c>
      <c r="F4595" t="s">
        <v>8450</v>
      </c>
      <c r="G4595" t="s">
        <v>8463</v>
      </c>
    </row>
    <row r="4596" spans="1:7">
      <c r="A4596" t="s">
        <v>6956</v>
      </c>
      <c r="B4596" t="s">
        <v>8275</v>
      </c>
      <c r="C4596" t="s">
        <v>8398</v>
      </c>
      <c r="D4596" t="s">
        <v>8419</v>
      </c>
      <c r="E4596" t="s">
        <v>8446</v>
      </c>
      <c r="F4596" t="s">
        <v>8448</v>
      </c>
      <c r="G4596" t="s">
        <v>8474</v>
      </c>
    </row>
    <row r="4597" spans="1:7">
      <c r="A4597" t="s">
        <v>6957</v>
      </c>
      <c r="B4597" t="s">
        <v>8273</v>
      </c>
      <c r="C4597" t="s">
        <v>8398</v>
      </c>
      <c r="D4597" t="s">
        <v>8419</v>
      </c>
      <c r="E4597" t="s">
        <v>8444</v>
      </c>
      <c r="F4597" t="s">
        <v>8450</v>
      </c>
      <c r="G4597" t="s">
        <v>8463</v>
      </c>
    </row>
    <row r="4598" spans="1:7">
      <c r="A4598" t="s">
        <v>6958</v>
      </c>
      <c r="C4598" t="s">
        <v>8392</v>
      </c>
      <c r="D4598" t="s">
        <v>8415</v>
      </c>
      <c r="E4598" t="s">
        <v>8445</v>
      </c>
      <c r="F4598" t="s">
        <v>8448</v>
      </c>
      <c r="G4598" t="s">
        <v>8474</v>
      </c>
    </row>
    <row r="4599" spans="1:7">
      <c r="A4599" t="s">
        <v>6959</v>
      </c>
      <c r="B4599" t="s">
        <v>8273</v>
      </c>
      <c r="C4599" t="s">
        <v>8398</v>
      </c>
      <c r="D4599" t="s">
        <v>8419</v>
      </c>
      <c r="E4599" t="s">
        <v>8446</v>
      </c>
      <c r="F4599" t="s">
        <v>8448</v>
      </c>
      <c r="G4599" t="s">
        <v>9247</v>
      </c>
    </row>
    <row r="4600" spans="1:7">
      <c r="A4600" t="s">
        <v>6960</v>
      </c>
      <c r="B4600" t="s">
        <v>8273</v>
      </c>
      <c r="C4600" t="s">
        <v>8398</v>
      </c>
      <c r="D4600" t="s">
        <v>8410</v>
      </c>
      <c r="E4600" t="s">
        <v>1519</v>
      </c>
      <c r="F4600" t="s">
        <v>8449</v>
      </c>
      <c r="G4600" t="s">
        <v>8455</v>
      </c>
    </row>
    <row r="4601" spans="1:7">
      <c r="A4601" t="s">
        <v>6961</v>
      </c>
      <c r="B4601" t="s">
        <v>8273</v>
      </c>
      <c r="C4601" t="s">
        <v>8397</v>
      </c>
      <c r="D4601" t="s">
        <v>8421</v>
      </c>
      <c r="E4601" t="s">
        <v>8444</v>
      </c>
      <c r="F4601" t="s">
        <v>8448</v>
      </c>
      <c r="G4601" t="s">
        <v>8455</v>
      </c>
    </row>
    <row r="4602" spans="1:7">
      <c r="A4602" t="s">
        <v>6962</v>
      </c>
      <c r="B4602" t="s">
        <v>8273</v>
      </c>
      <c r="C4602" t="s">
        <v>8398</v>
      </c>
      <c r="D4602" t="s">
        <v>8409</v>
      </c>
      <c r="E4602" t="s">
        <v>8445</v>
      </c>
      <c r="F4602" t="s">
        <v>8448</v>
      </c>
      <c r="G4602" t="s">
        <v>9248</v>
      </c>
    </row>
    <row r="4603" spans="1:7">
      <c r="A4603" t="s">
        <v>6963</v>
      </c>
      <c r="C4603" t="s">
        <v>8393</v>
      </c>
      <c r="D4603" t="s">
        <v>8393</v>
      </c>
      <c r="E4603" t="s">
        <v>919</v>
      </c>
      <c r="F4603" t="s">
        <v>8393</v>
      </c>
    </row>
    <row r="4604" spans="1:7">
      <c r="A4604" t="s">
        <v>6964</v>
      </c>
      <c r="B4604" t="s">
        <v>8278</v>
      </c>
      <c r="C4604" t="s">
        <v>8394</v>
      </c>
      <c r="D4604" t="s">
        <v>8423</v>
      </c>
      <c r="E4604" t="s">
        <v>8446</v>
      </c>
      <c r="F4604" t="s">
        <v>8449</v>
      </c>
      <c r="G4604" t="s">
        <v>8455</v>
      </c>
    </row>
    <row r="4605" spans="1:7">
      <c r="A4605" t="s">
        <v>6965</v>
      </c>
      <c r="B4605" t="s">
        <v>8278</v>
      </c>
      <c r="C4605" t="s">
        <v>8394</v>
      </c>
      <c r="D4605" t="s">
        <v>8423</v>
      </c>
      <c r="E4605" t="s">
        <v>8446</v>
      </c>
      <c r="F4605" t="s">
        <v>8449</v>
      </c>
      <c r="G4605" t="s">
        <v>8455</v>
      </c>
    </row>
    <row r="4606" spans="1:7">
      <c r="A4606" t="s">
        <v>6966</v>
      </c>
      <c r="B4606" t="s">
        <v>8284</v>
      </c>
      <c r="C4606" t="s">
        <v>8394</v>
      </c>
      <c r="D4606" t="s">
        <v>8423</v>
      </c>
      <c r="E4606" t="s">
        <v>8446</v>
      </c>
      <c r="F4606" t="s">
        <v>8449</v>
      </c>
      <c r="G4606" t="s">
        <v>8455</v>
      </c>
    </row>
    <row r="4607" spans="1:7">
      <c r="A4607" t="s">
        <v>6967</v>
      </c>
      <c r="B4607" t="s">
        <v>8279</v>
      </c>
      <c r="C4607" t="s">
        <v>8394</v>
      </c>
      <c r="D4607" t="s">
        <v>8423</v>
      </c>
      <c r="E4607" t="s">
        <v>8446</v>
      </c>
      <c r="F4607" t="s">
        <v>8449</v>
      </c>
      <c r="G4607" t="s">
        <v>8455</v>
      </c>
    </row>
    <row r="4608" spans="1:7">
      <c r="A4608" t="s">
        <v>6968</v>
      </c>
      <c r="B4608" t="s">
        <v>8311</v>
      </c>
      <c r="C4608" t="s">
        <v>8394</v>
      </c>
      <c r="D4608" t="s">
        <v>8423</v>
      </c>
      <c r="E4608" t="s">
        <v>8446</v>
      </c>
      <c r="F4608" t="s">
        <v>8449</v>
      </c>
      <c r="G4608" t="s">
        <v>8455</v>
      </c>
    </row>
    <row r="4609" spans="1:7">
      <c r="A4609" t="s">
        <v>6969</v>
      </c>
      <c r="B4609" t="s">
        <v>8278</v>
      </c>
      <c r="C4609" t="s">
        <v>8394</v>
      </c>
      <c r="D4609" t="s">
        <v>8423</v>
      </c>
      <c r="E4609" t="s">
        <v>8446</v>
      </c>
      <c r="F4609" t="s">
        <v>8449</v>
      </c>
      <c r="G4609" t="s">
        <v>8455</v>
      </c>
    </row>
    <row r="4610" spans="1:7">
      <c r="A4610" t="s">
        <v>6970</v>
      </c>
      <c r="B4610" t="s">
        <v>8309</v>
      </c>
      <c r="C4610" t="s">
        <v>8394</v>
      </c>
      <c r="D4610" t="s">
        <v>8423</v>
      </c>
      <c r="E4610" t="s">
        <v>8446</v>
      </c>
      <c r="F4610" t="s">
        <v>8449</v>
      </c>
      <c r="G4610" t="s">
        <v>8455</v>
      </c>
    </row>
    <row r="4611" spans="1:7">
      <c r="A4611" t="s">
        <v>6971</v>
      </c>
      <c r="B4611" t="s">
        <v>8281</v>
      </c>
      <c r="C4611" t="s">
        <v>8394</v>
      </c>
      <c r="D4611" t="s">
        <v>8423</v>
      </c>
      <c r="E4611" t="s">
        <v>8446</v>
      </c>
      <c r="F4611" t="s">
        <v>8449</v>
      </c>
      <c r="G4611" t="s">
        <v>8455</v>
      </c>
    </row>
    <row r="4612" spans="1:7">
      <c r="A4612" t="s">
        <v>6972</v>
      </c>
      <c r="C4612" t="s">
        <v>8394</v>
      </c>
      <c r="D4612" t="s">
        <v>8402</v>
      </c>
      <c r="E4612" t="s">
        <v>8444</v>
      </c>
      <c r="F4612" t="s">
        <v>8448</v>
      </c>
      <c r="G4612" t="s">
        <v>8474</v>
      </c>
    </row>
    <row r="4613" spans="1:7">
      <c r="A4613" t="s">
        <v>6973</v>
      </c>
      <c r="B4613" t="s">
        <v>8273</v>
      </c>
      <c r="C4613" t="s">
        <v>8397</v>
      </c>
      <c r="D4613" t="s">
        <v>8421</v>
      </c>
      <c r="E4613" t="s">
        <v>8444</v>
      </c>
      <c r="F4613" t="s">
        <v>8448</v>
      </c>
      <c r="G4613" t="s">
        <v>9249</v>
      </c>
    </row>
    <row r="4614" spans="1:7">
      <c r="A4614" t="s">
        <v>6974</v>
      </c>
      <c r="C4614" t="s">
        <v>8397</v>
      </c>
      <c r="D4614" t="s">
        <v>8408</v>
      </c>
      <c r="E4614" t="s">
        <v>8445</v>
      </c>
      <c r="F4614" t="s">
        <v>8450</v>
      </c>
    </row>
    <row r="4615" spans="1:7">
      <c r="A4615" t="s">
        <v>6975</v>
      </c>
      <c r="C4615" t="s">
        <v>8392</v>
      </c>
      <c r="D4615" t="s">
        <v>8415</v>
      </c>
      <c r="E4615" t="s">
        <v>8445</v>
      </c>
      <c r="F4615" t="s">
        <v>8448</v>
      </c>
      <c r="G4615" t="s">
        <v>9250</v>
      </c>
    </row>
    <row r="4616" spans="1:7">
      <c r="A4616" t="s">
        <v>6976</v>
      </c>
      <c r="B4616" t="s">
        <v>8273</v>
      </c>
      <c r="C4616" t="s">
        <v>8396</v>
      </c>
      <c r="D4616" t="s">
        <v>8426</v>
      </c>
      <c r="E4616" t="s">
        <v>8445</v>
      </c>
      <c r="F4616" t="s">
        <v>8449</v>
      </c>
      <c r="G4616" t="s">
        <v>8455</v>
      </c>
    </row>
    <row r="4617" spans="1:7">
      <c r="A4617" t="s">
        <v>6977</v>
      </c>
      <c r="C4617" t="s">
        <v>8397</v>
      </c>
      <c r="D4617" t="s">
        <v>8408</v>
      </c>
      <c r="E4617" t="s">
        <v>8445</v>
      </c>
      <c r="F4617" t="s">
        <v>8450</v>
      </c>
    </row>
    <row r="4618" spans="1:7">
      <c r="A4618" t="s">
        <v>6978</v>
      </c>
      <c r="B4618" t="s">
        <v>8273</v>
      </c>
      <c r="C4618" t="s">
        <v>8395</v>
      </c>
      <c r="D4618" t="s">
        <v>8414</v>
      </c>
      <c r="E4618" t="s">
        <v>8446</v>
      </c>
      <c r="F4618" t="s">
        <v>8449</v>
      </c>
      <c r="G4618" t="s">
        <v>8455</v>
      </c>
    </row>
    <row r="4619" spans="1:7">
      <c r="A4619" t="s">
        <v>6979</v>
      </c>
      <c r="B4619" t="s">
        <v>8273</v>
      </c>
      <c r="C4619" t="s">
        <v>8395</v>
      </c>
      <c r="D4619" t="s">
        <v>8420</v>
      </c>
      <c r="E4619" t="s">
        <v>8446</v>
      </c>
      <c r="F4619" t="s">
        <v>8448</v>
      </c>
      <c r="G4619" t="s">
        <v>8783</v>
      </c>
    </row>
    <row r="4620" spans="1:7">
      <c r="A4620" t="s">
        <v>6980</v>
      </c>
      <c r="C4620" t="s">
        <v>8393</v>
      </c>
      <c r="D4620" t="s">
        <v>8393</v>
      </c>
      <c r="E4620" t="s">
        <v>919</v>
      </c>
      <c r="F4620" t="s">
        <v>8393</v>
      </c>
    </row>
    <row r="4621" spans="1:7">
      <c r="A4621" t="s">
        <v>6981</v>
      </c>
      <c r="C4621" t="s">
        <v>8394</v>
      </c>
      <c r="D4621" t="s">
        <v>8401</v>
      </c>
      <c r="E4621" t="s">
        <v>8445</v>
      </c>
      <c r="F4621" t="s">
        <v>8448</v>
      </c>
      <c r="G4621" t="s">
        <v>9251</v>
      </c>
    </row>
    <row r="4622" spans="1:7">
      <c r="A4622" t="s">
        <v>6982</v>
      </c>
      <c r="C4622" t="s">
        <v>8394</v>
      </c>
      <c r="D4622" t="s">
        <v>8401</v>
      </c>
      <c r="E4622" t="s">
        <v>8445</v>
      </c>
      <c r="F4622" t="s">
        <v>8448</v>
      </c>
      <c r="G4622" t="s">
        <v>9251</v>
      </c>
    </row>
    <row r="4623" spans="1:7">
      <c r="A4623" t="s">
        <v>6983</v>
      </c>
      <c r="C4623" t="s">
        <v>8394</v>
      </c>
      <c r="D4623" t="s">
        <v>8401</v>
      </c>
      <c r="E4623" t="s">
        <v>8445</v>
      </c>
      <c r="F4623" t="s">
        <v>8448</v>
      </c>
      <c r="G4623" t="s">
        <v>9251</v>
      </c>
    </row>
    <row r="4624" spans="1:7">
      <c r="A4624" t="s">
        <v>6984</v>
      </c>
      <c r="C4624" t="s">
        <v>8394</v>
      </c>
      <c r="D4624" t="s">
        <v>8401</v>
      </c>
      <c r="E4624" t="s">
        <v>8445</v>
      </c>
      <c r="F4624" t="s">
        <v>8448</v>
      </c>
      <c r="G4624" t="s">
        <v>9251</v>
      </c>
    </row>
    <row r="4625" spans="1:7">
      <c r="A4625" t="s">
        <v>6985</v>
      </c>
      <c r="C4625" t="s">
        <v>8394</v>
      </c>
      <c r="D4625" t="s">
        <v>8401</v>
      </c>
      <c r="E4625" t="s">
        <v>8445</v>
      </c>
      <c r="F4625" t="s">
        <v>8448</v>
      </c>
      <c r="G4625" t="s">
        <v>9251</v>
      </c>
    </row>
    <row r="4626" spans="1:7">
      <c r="A4626" t="s">
        <v>6986</v>
      </c>
      <c r="C4626" t="s">
        <v>8394</v>
      </c>
      <c r="D4626" t="s">
        <v>8401</v>
      </c>
      <c r="E4626" t="s">
        <v>8445</v>
      </c>
      <c r="F4626" t="s">
        <v>8448</v>
      </c>
      <c r="G4626" t="s">
        <v>9251</v>
      </c>
    </row>
    <row r="4627" spans="1:7">
      <c r="A4627" t="s">
        <v>6987</v>
      </c>
      <c r="C4627" t="s">
        <v>8394</v>
      </c>
      <c r="D4627" t="s">
        <v>8401</v>
      </c>
      <c r="E4627" t="s">
        <v>8445</v>
      </c>
      <c r="F4627" t="s">
        <v>8448</v>
      </c>
      <c r="G4627" t="s">
        <v>9251</v>
      </c>
    </row>
    <row r="4628" spans="1:7">
      <c r="A4628" t="s">
        <v>6988</v>
      </c>
      <c r="C4628" t="s">
        <v>8394</v>
      </c>
      <c r="D4628" t="s">
        <v>8401</v>
      </c>
      <c r="E4628" t="s">
        <v>8445</v>
      </c>
      <c r="F4628" t="s">
        <v>8448</v>
      </c>
      <c r="G4628" t="s">
        <v>9251</v>
      </c>
    </row>
    <row r="4629" spans="1:7">
      <c r="A4629" t="s">
        <v>6989</v>
      </c>
      <c r="C4629" t="s">
        <v>8394</v>
      </c>
      <c r="D4629" t="s">
        <v>8401</v>
      </c>
      <c r="E4629" t="s">
        <v>8445</v>
      </c>
      <c r="F4629" t="s">
        <v>8448</v>
      </c>
      <c r="G4629" t="s">
        <v>9251</v>
      </c>
    </row>
    <row r="4630" spans="1:7">
      <c r="A4630" t="s">
        <v>6990</v>
      </c>
      <c r="C4630" t="s">
        <v>8394</v>
      </c>
      <c r="D4630" t="s">
        <v>8401</v>
      </c>
      <c r="E4630" t="s">
        <v>8445</v>
      </c>
      <c r="F4630" t="s">
        <v>8448</v>
      </c>
      <c r="G4630" t="s">
        <v>9251</v>
      </c>
    </row>
    <row r="4631" spans="1:7">
      <c r="A4631" t="s">
        <v>6991</v>
      </c>
      <c r="C4631" t="s">
        <v>8394</v>
      </c>
      <c r="D4631" t="s">
        <v>8401</v>
      </c>
      <c r="E4631" t="s">
        <v>8445</v>
      </c>
      <c r="F4631" t="s">
        <v>8448</v>
      </c>
      <c r="G4631" t="s">
        <v>9251</v>
      </c>
    </row>
    <row r="4632" spans="1:7">
      <c r="A4632" t="s">
        <v>6992</v>
      </c>
      <c r="C4632" t="s">
        <v>8394</v>
      </c>
      <c r="D4632" t="s">
        <v>8401</v>
      </c>
      <c r="E4632" t="s">
        <v>8445</v>
      </c>
      <c r="F4632" t="s">
        <v>8448</v>
      </c>
      <c r="G4632" t="s">
        <v>9251</v>
      </c>
    </row>
    <row r="4633" spans="1:7">
      <c r="A4633" t="s">
        <v>6993</v>
      </c>
      <c r="C4633" t="s">
        <v>8394</v>
      </c>
      <c r="D4633" t="s">
        <v>8401</v>
      </c>
      <c r="E4633" t="s">
        <v>8445</v>
      </c>
      <c r="F4633" t="s">
        <v>8448</v>
      </c>
      <c r="G4633" t="s">
        <v>9251</v>
      </c>
    </row>
    <row r="4634" spans="1:7">
      <c r="A4634" t="s">
        <v>6994</v>
      </c>
      <c r="C4634" t="s">
        <v>8394</v>
      </c>
      <c r="D4634" t="s">
        <v>8401</v>
      </c>
      <c r="E4634" t="s">
        <v>8445</v>
      </c>
      <c r="F4634" t="s">
        <v>8448</v>
      </c>
      <c r="G4634" t="s">
        <v>9251</v>
      </c>
    </row>
    <row r="4635" spans="1:7">
      <c r="A4635" t="s">
        <v>6995</v>
      </c>
      <c r="C4635" t="s">
        <v>8394</v>
      </c>
      <c r="D4635" t="s">
        <v>8401</v>
      </c>
      <c r="E4635" t="s">
        <v>8445</v>
      </c>
      <c r="F4635" t="s">
        <v>8448</v>
      </c>
      <c r="G4635" t="s">
        <v>9251</v>
      </c>
    </row>
    <row r="4636" spans="1:7">
      <c r="A4636" t="s">
        <v>6996</v>
      </c>
      <c r="C4636" t="s">
        <v>8394</v>
      </c>
      <c r="D4636" t="s">
        <v>8401</v>
      </c>
      <c r="E4636" t="s">
        <v>8445</v>
      </c>
      <c r="F4636" t="s">
        <v>8448</v>
      </c>
      <c r="G4636" t="s">
        <v>9251</v>
      </c>
    </row>
    <row r="4637" spans="1:7">
      <c r="A4637" t="s">
        <v>6997</v>
      </c>
      <c r="B4637" t="s">
        <v>8276</v>
      </c>
      <c r="C4637" t="s">
        <v>8394</v>
      </c>
      <c r="D4637" t="s">
        <v>8414</v>
      </c>
      <c r="E4637" t="s">
        <v>8444</v>
      </c>
      <c r="F4637" t="s">
        <v>8449</v>
      </c>
      <c r="G4637" t="s">
        <v>8455</v>
      </c>
    </row>
    <row r="4638" spans="1:7">
      <c r="A4638" t="s">
        <v>6998</v>
      </c>
      <c r="C4638" t="s">
        <v>8393</v>
      </c>
      <c r="D4638" t="s">
        <v>8393</v>
      </c>
      <c r="E4638" t="s">
        <v>919</v>
      </c>
      <c r="F4638" t="s">
        <v>8393</v>
      </c>
    </row>
    <row r="4639" spans="1:7">
      <c r="A4639" t="s">
        <v>6999</v>
      </c>
      <c r="B4639" t="s">
        <v>8379</v>
      </c>
      <c r="C4639" t="s">
        <v>8394</v>
      </c>
      <c r="D4639" t="s">
        <v>8403</v>
      </c>
      <c r="E4639" t="s">
        <v>8446</v>
      </c>
      <c r="F4639" t="s">
        <v>8449</v>
      </c>
      <c r="G4639" t="s">
        <v>8455</v>
      </c>
    </row>
    <row r="4640" spans="1:7">
      <c r="A4640" t="s">
        <v>7000</v>
      </c>
      <c r="B4640" t="s">
        <v>8380</v>
      </c>
      <c r="C4640" t="s">
        <v>8394</v>
      </c>
      <c r="D4640" t="s">
        <v>8403</v>
      </c>
      <c r="E4640" t="s">
        <v>8445</v>
      </c>
      <c r="F4640" t="s">
        <v>8449</v>
      </c>
      <c r="G4640" t="s">
        <v>9252</v>
      </c>
    </row>
    <row r="4641" spans="1:7">
      <c r="A4641" t="s">
        <v>7001</v>
      </c>
      <c r="B4641" t="s">
        <v>8380</v>
      </c>
      <c r="C4641" t="s">
        <v>8395</v>
      </c>
      <c r="D4641" t="s">
        <v>8426</v>
      </c>
      <c r="E4641" t="s">
        <v>8445</v>
      </c>
      <c r="F4641" t="s">
        <v>8449</v>
      </c>
      <c r="G4641" t="s">
        <v>8455</v>
      </c>
    </row>
    <row r="4642" spans="1:7">
      <c r="A4642" t="s">
        <v>7002</v>
      </c>
      <c r="B4642" t="s">
        <v>8380</v>
      </c>
      <c r="C4642" t="s">
        <v>8394</v>
      </c>
      <c r="D4642" t="s">
        <v>8403</v>
      </c>
      <c r="E4642" t="s">
        <v>8445</v>
      </c>
      <c r="F4642" t="s">
        <v>8449</v>
      </c>
      <c r="G4642" t="s">
        <v>9252</v>
      </c>
    </row>
    <row r="4643" spans="1:7">
      <c r="A4643" t="s">
        <v>7003</v>
      </c>
      <c r="B4643" t="s">
        <v>8381</v>
      </c>
      <c r="C4643" t="s">
        <v>8394</v>
      </c>
      <c r="D4643" t="s">
        <v>8403</v>
      </c>
      <c r="E4643" t="s">
        <v>8445</v>
      </c>
      <c r="F4643" t="s">
        <v>8449</v>
      </c>
      <c r="G4643" t="s">
        <v>9252</v>
      </c>
    </row>
    <row r="4644" spans="1:7">
      <c r="A4644" t="s">
        <v>7004</v>
      </c>
      <c r="B4644" t="s">
        <v>8382</v>
      </c>
      <c r="C4644" t="s">
        <v>8395</v>
      </c>
      <c r="D4644" t="s">
        <v>8403</v>
      </c>
      <c r="E4644" t="s">
        <v>8445</v>
      </c>
      <c r="F4644" t="s">
        <v>8449</v>
      </c>
      <c r="G4644" t="s">
        <v>8455</v>
      </c>
    </row>
    <row r="4645" spans="1:7">
      <c r="A4645" t="s">
        <v>7005</v>
      </c>
      <c r="B4645" t="s">
        <v>8383</v>
      </c>
      <c r="C4645" t="s">
        <v>8395</v>
      </c>
      <c r="D4645" t="s">
        <v>8403</v>
      </c>
      <c r="E4645" t="s">
        <v>8445</v>
      </c>
      <c r="F4645" t="s">
        <v>8449</v>
      </c>
      <c r="G4645" t="s">
        <v>8455</v>
      </c>
    </row>
    <row r="4646" spans="1:7">
      <c r="A4646" t="s">
        <v>7006</v>
      </c>
      <c r="B4646" t="s">
        <v>8384</v>
      </c>
      <c r="C4646" t="s">
        <v>8395</v>
      </c>
      <c r="D4646" t="s">
        <v>8403</v>
      </c>
      <c r="E4646" t="s">
        <v>8445</v>
      </c>
      <c r="F4646" t="s">
        <v>8449</v>
      </c>
      <c r="G4646" t="s">
        <v>8455</v>
      </c>
    </row>
    <row r="4647" spans="1:7">
      <c r="A4647" t="s">
        <v>7007</v>
      </c>
      <c r="B4647" t="s">
        <v>8385</v>
      </c>
      <c r="C4647" t="s">
        <v>8395</v>
      </c>
      <c r="D4647" t="s">
        <v>8403</v>
      </c>
      <c r="E4647" t="s">
        <v>8445</v>
      </c>
      <c r="F4647" t="s">
        <v>8449</v>
      </c>
      <c r="G4647" t="s">
        <v>8455</v>
      </c>
    </row>
    <row r="4648" spans="1:7">
      <c r="A4648" t="s">
        <v>7008</v>
      </c>
      <c r="B4648" t="s">
        <v>8386</v>
      </c>
      <c r="C4648" t="s">
        <v>8395</v>
      </c>
      <c r="D4648" t="s">
        <v>8403</v>
      </c>
      <c r="E4648" t="s">
        <v>8445</v>
      </c>
      <c r="F4648" t="s">
        <v>8449</v>
      </c>
      <c r="G4648" t="s">
        <v>8455</v>
      </c>
    </row>
    <row r="4649" spans="1:7">
      <c r="A4649" t="s">
        <v>7009</v>
      </c>
      <c r="B4649" t="s">
        <v>8380</v>
      </c>
      <c r="C4649" t="s">
        <v>8395</v>
      </c>
      <c r="D4649" t="s">
        <v>8402</v>
      </c>
      <c r="E4649" t="s">
        <v>8445</v>
      </c>
      <c r="F4649" t="s">
        <v>8449</v>
      </c>
      <c r="G4649" t="s">
        <v>8455</v>
      </c>
    </row>
    <row r="4650" spans="1:7">
      <c r="A4650" t="s">
        <v>7010</v>
      </c>
      <c r="C4650" t="s">
        <v>8394</v>
      </c>
      <c r="D4650" t="s">
        <v>8402</v>
      </c>
      <c r="E4650" t="s">
        <v>8445</v>
      </c>
      <c r="F4650" t="s">
        <v>8448</v>
      </c>
      <c r="G4650" t="s">
        <v>9253</v>
      </c>
    </row>
    <row r="4651" spans="1:7">
      <c r="A4651" t="s">
        <v>7011</v>
      </c>
      <c r="B4651" t="s">
        <v>8273</v>
      </c>
      <c r="C4651" t="s">
        <v>8395</v>
      </c>
      <c r="D4651" t="s">
        <v>8402</v>
      </c>
      <c r="E4651" t="s">
        <v>8446</v>
      </c>
      <c r="F4651" t="s">
        <v>8449</v>
      </c>
      <c r="G4651" t="s">
        <v>8455</v>
      </c>
    </row>
    <row r="4652" spans="1:7">
      <c r="A4652" t="s">
        <v>7012</v>
      </c>
      <c r="B4652" t="s">
        <v>8273</v>
      </c>
      <c r="C4652" t="s">
        <v>8395</v>
      </c>
      <c r="D4652" t="s">
        <v>8402</v>
      </c>
      <c r="E4652" t="s">
        <v>8446</v>
      </c>
      <c r="F4652" t="s">
        <v>8449</v>
      </c>
      <c r="G4652" t="s">
        <v>8455</v>
      </c>
    </row>
    <row r="4653" spans="1:7">
      <c r="A4653" t="s">
        <v>7013</v>
      </c>
      <c r="B4653" t="s">
        <v>8273</v>
      </c>
      <c r="C4653" t="s">
        <v>8394</v>
      </c>
      <c r="D4653" t="s">
        <v>8427</v>
      </c>
      <c r="E4653" t="s">
        <v>8445</v>
      </c>
      <c r="F4653" t="s">
        <v>8448</v>
      </c>
      <c r="G4653" t="s">
        <v>9254</v>
      </c>
    </row>
    <row r="4654" spans="1:7">
      <c r="A4654" t="s">
        <v>7014</v>
      </c>
      <c r="B4654" t="s">
        <v>8273</v>
      </c>
      <c r="C4654" t="s">
        <v>8394</v>
      </c>
      <c r="D4654" t="s">
        <v>8407</v>
      </c>
      <c r="E4654" t="s">
        <v>8445</v>
      </c>
      <c r="F4654" t="s">
        <v>8449</v>
      </c>
      <c r="G4654" t="s">
        <v>8455</v>
      </c>
    </row>
    <row r="4655" spans="1:7">
      <c r="A4655" t="s">
        <v>7015</v>
      </c>
      <c r="B4655" t="s">
        <v>8273</v>
      </c>
      <c r="C4655" t="s">
        <v>8394</v>
      </c>
      <c r="D4655" t="s">
        <v>8403</v>
      </c>
      <c r="E4655" t="s">
        <v>8446</v>
      </c>
      <c r="F4655" t="s">
        <v>8448</v>
      </c>
      <c r="G4655" t="s">
        <v>9255</v>
      </c>
    </row>
    <row r="4656" spans="1:7">
      <c r="A4656" t="s">
        <v>7016</v>
      </c>
      <c r="C4656" t="s">
        <v>8394</v>
      </c>
      <c r="D4656" t="s">
        <v>8424</v>
      </c>
      <c r="E4656" t="s">
        <v>8444</v>
      </c>
      <c r="F4656" t="s">
        <v>8448</v>
      </c>
      <c r="G4656" t="s">
        <v>9256</v>
      </c>
    </row>
    <row r="4657" spans="1:7">
      <c r="A4657" t="s">
        <v>7017</v>
      </c>
      <c r="C4657" t="s">
        <v>8393</v>
      </c>
      <c r="D4657" t="s">
        <v>8393</v>
      </c>
      <c r="E4657" t="s">
        <v>919</v>
      </c>
      <c r="F4657" t="s">
        <v>8393</v>
      </c>
    </row>
    <row r="4658" spans="1:7">
      <c r="A4658" t="s">
        <v>7018</v>
      </c>
      <c r="B4658" t="s">
        <v>8273</v>
      </c>
      <c r="C4658" t="s">
        <v>8395</v>
      </c>
      <c r="D4658" t="s">
        <v>8403</v>
      </c>
      <c r="E4658" t="s">
        <v>8446</v>
      </c>
      <c r="F4658" t="s">
        <v>8449</v>
      </c>
      <c r="G4658" t="s">
        <v>8455</v>
      </c>
    </row>
    <row r="4659" spans="1:7">
      <c r="A4659" t="s">
        <v>7019</v>
      </c>
      <c r="B4659" t="s">
        <v>8277</v>
      </c>
      <c r="C4659" t="s">
        <v>8394</v>
      </c>
      <c r="D4659" t="s">
        <v>8403</v>
      </c>
      <c r="E4659" t="s">
        <v>8446</v>
      </c>
      <c r="F4659" t="s">
        <v>8449</v>
      </c>
      <c r="G4659" t="s">
        <v>8455</v>
      </c>
    </row>
    <row r="4660" spans="1:7">
      <c r="A4660" t="s">
        <v>7020</v>
      </c>
      <c r="C4660" t="s">
        <v>8393</v>
      </c>
      <c r="D4660" t="s">
        <v>8393</v>
      </c>
      <c r="E4660" t="s">
        <v>919</v>
      </c>
      <c r="F4660" t="s">
        <v>8393</v>
      </c>
    </row>
    <row r="4661" spans="1:7">
      <c r="A4661" t="s">
        <v>7021</v>
      </c>
      <c r="B4661" t="s">
        <v>8278</v>
      </c>
      <c r="C4661" t="s">
        <v>8394</v>
      </c>
      <c r="D4661" t="s">
        <v>8423</v>
      </c>
      <c r="E4661" t="s">
        <v>8444</v>
      </c>
      <c r="F4661" t="s">
        <v>8448</v>
      </c>
      <c r="G4661" t="s">
        <v>8455</v>
      </c>
    </row>
    <row r="4662" spans="1:7">
      <c r="A4662" t="s">
        <v>7022</v>
      </c>
      <c r="B4662" t="s">
        <v>8279</v>
      </c>
      <c r="C4662" t="s">
        <v>8394</v>
      </c>
      <c r="D4662" t="s">
        <v>8423</v>
      </c>
      <c r="E4662" t="s">
        <v>8444</v>
      </c>
      <c r="F4662" t="s">
        <v>8449</v>
      </c>
      <c r="G4662" t="s">
        <v>8455</v>
      </c>
    </row>
    <row r="4663" spans="1:7">
      <c r="A4663" t="s">
        <v>7023</v>
      </c>
      <c r="B4663" t="s">
        <v>8281</v>
      </c>
      <c r="C4663" t="s">
        <v>8394</v>
      </c>
      <c r="D4663" t="s">
        <v>8423</v>
      </c>
      <c r="E4663" t="s">
        <v>8444</v>
      </c>
      <c r="F4663" t="s">
        <v>8449</v>
      </c>
      <c r="G4663" t="s">
        <v>8455</v>
      </c>
    </row>
    <row r="4664" spans="1:7">
      <c r="A4664" t="s">
        <v>7024</v>
      </c>
      <c r="C4664" t="s">
        <v>8397</v>
      </c>
      <c r="D4664" t="s">
        <v>8408</v>
      </c>
      <c r="E4664" t="s">
        <v>8445</v>
      </c>
      <c r="F4664" t="s">
        <v>8450</v>
      </c>
    </row>
    <row r="4665" spans="1:7">
      <c r="A4665" t="s">
        <v>7025</v>
      </c>
      <c r="C4665" t="s">
        <v>8397</v>
      </c>
      <c r="D4665" t="s">
        <v>8408</v>
      </c>
      <c r="E4665" t="s">
        <v>8445</v>
      </c>
      <c r="F4665" t="s">
        <v>8450</v>
      </c>
    </row>
    <row r="4666" spans="1:7">
      <c r="A4666" t="s">
        <v>7026</v>
      </c>
      <c r="C4666" t="s">
        <v>8394</v>
      </c>
      <c r="D4666" t="s">
        <v>8414</v>
      </c>
      <c r="E4666" t="s">
        <v>8445</v>
      </c>
      <c r="F4666" t="s">
        <v>8448</v>
      </c>
      <c r="G4666" t="s">
        <v>8453</v>
      </c>
    </row>
    <row r="4667" spans="1:7">
      <c r="A4667" t="s">
        <v>7027</v>
      </c>
      <c r="B4667" t="s">
        <v>8295</v>
      </c>
      <c r="C4667" t="s">
        <v>8398</v>
      </c>
      <c r="D4667" t="s">
        <v>8419</v>
      </c>
      <c r="E4667" t="s">
        <v>8446</v>
      </c>
      <c r="F4667" t="s">
        <v>8449</v>
      </c>
      <c r="G4667" t="s">
        <v>8455</v>
      </c>
    </row>
    <row r="4668" spans="1:7">
      <c r="A4668" t="s">
        <v>7028</v>
      </c>
      <c r="C4668" t="s">
        <v>8397</v>
      </c>
      <c r="D4668" t="s">
        <v>8408</v>
      </c>
      <c r="E4668" t="s">
        <v>8445</v>
      </c>
      <c r="F4668" t="s">
        <v>8449</v>
      </c>
    </row>
    <row r="4669" spans="1:7">
      <c r="A4669" t="s">
        <v>7029</v>
      </c>
      <c r="B4669" t="s">
        <v>8301</v>
      </c>
      <c r="C4669" t="s">
        <v>8396</v>
      </c>
      <c r="D4669" t="s">
        <v>8411</v>
      </c>
      <c r="E4669" t="s">
        <v>8444</v>
      </c>
      <c r="F4669" t="s">
        <v>8447</v>
      </c>
      <c r="G4669" t="s">
        <v>9257</v>
      </c>
    </row>
    <row r="4670" spans="1:7">
      <c r="A4670" t="s">
        <v>7030</v>
      </c>
      <c r="B4670" t="s">
        <v>8273</v>
      </c>
      <c r="C4670" t="s">
        <v>8397</v>
      </c>
      <c r="D4670" t="s">
        <v>8418</v>
      </c>
      <c r="E4670" t="s">
        <v>8444</v>
      </c>
      <c r="F4670" t="s">
        <v>8448</v>
      </c>
      <c r="G4670" t="s">
        <v>8455</v>
      </c>
    </row>
    <row r="4671" spans="1:7">
      <c r="A4671" t="s">
        <v>7031</v>
      </c>
      <c r="B4671" t="s">
        <v>8273</v>
      </c>
      <c r="C4671" t="s">
        <v>8395</v>
      </c>
      <c r="D4671" t="s">
        <v>8420</v>
      </c>
      <c r="E4671" t="s">
        <v>8446</v>
      </c>
      <c r="F4671" t="s">
        <v>8449</v>
      </c>
      <c r="G4671" t="s">
        <v>8455</v>
      </c>
    </row>
    <row r="4672" spans="1:7">
      <c r="A4672" t="s">
        <v>7032</v>
      </c>
      <c r="B4672" t="s">
        <v>8273</v>
      </c>
      <c r="C4672" t="s">
        <v>8396</v>
      </c>
      <c r="D4672" t="s">
        <v>8405</v>
      </c>
      <c r="E4672" t="s">
        <v>8446</v>
      </c>
      <c r="F4672" t="s">
        <v>8449</v>
      </c>
      <c r="G4672" t="s">
        <v>8455</v>
      </c>
    </row>
    <row r="4673" spans="1:7">
      <c r="A4673" t="s">
        <v>7033</v>
      </c>
      <c r="C4673" t="s">
        <v>8394</v>
      </c>
      <c r="D4673" t="s">
        <v>8401</v>
      </c>
      <c r="E4673" t="s">
        <v>8445</v>
      </c>
      <c r="F4673" t="s">
        <v>8448</v>
      </c>
      <c r="G4673" t="s">
        <v>9258</v>
      </c>
    </row>
    <row r="4674" spans="1:7">
      <c r="A4674" t="s">
        <v>7034</v>
      </c>
      <c r="B4674" t="s">
        <v>8273</v>
      </c>
      <c r="C4674" t="s">
        <v>8394</v>
      </c>
      <c r="D4674" t="s">
        <v>8401</v>
      </c>
      <c r="E4674" t="s">
        <v>8445</v>
      </c>
      <c r="F4674" t="s">
        <v>8448</v>
      </c>
      <c r="G4674" t="s">
        <v>9259</v>
      </c>
    </row>
    <row r="4675" spans="1:7">
      <c r="A4675" t="s">
        <v>7035</v>
      </c>
      <c r="C4675" t="s">
        <v>8394</v>
      </c>
      <c r="D4675" t="s">
        <v>8401</v>
      </c>
      <c r="E4675" t="s">
        <v>8445</v>
      </c>
      <c r="F4675" t="s">
        <v>8448</v>
      </c>
      <c r="G4675" t="s">
        <v>9260</v>
      </c>
    </row>
    <row r="4676" spans="1:7">
      <c r="A4676" t="s">
        <v>7036</v>
      </c>
      <c r="B4676" t="s">
        <v>8273</v>
      </c>
      <c r="C4676" t="s">
        <v>8397</v>
      </c>
      <c r="D4676" t="s">
        <v>8418</v>
      </c>
      <c r="E4676" t="s">
        <v>8445</v>
      </c>
      <c r="F4676" t="s">
        <v>8448</v>
      </c>
      <c r="G4676" t="s">
        <v>8455</v>
      </c>
    </row>
    <row r="4677" spans="1:7">
      <c r="A4677" t="s">
        <v>7037</v>
      </c>
      <c r="B4677" t="s">
        <v>8299</v>
      </c>
      <c r="C4677" t="s">
        <v>8397</v>
      </c>
      <c r="D4677" t="s">
        <v>8430</v>
      </c>
      <c r="E4677" t="s">
        <v>1519</v>
      </c>
      <c r="F4677" t="s">
        <v>8448</v>
      </c>
      <c r="G4677" t="s">
        <v>8453</v>
      </c>
    </row>
    <row r="4678" spans="1:7">
      <c r="A4678" t="s">
        <v>7038</v>
      </c>
      <c r="C4678" t="s">
        <v>8397</v>
      </c>
      <c r="D4678" t="s">
        <v>8408</v>
      </c>
      <c r="E4678" t="s">
        <v>8445</v>
      </c>
      <c r="F4678" t="s">
        <v>8450</v>
      </c>
    </row>
    <row r="4679" spans="1:7">
      <c r="A4679" t="s">
        <v>7039</v>
      </c>
      <c r="B4679" t="s">
        <v>8273</v>
      </c>
      <c r="C4679" t="s">
        <v>8398</v>
      </c>
      <c r="D4679" t="s">
        <v>8419</v>
      </c>
      <c r="E4679" t="s">
        <v>8445</v>
      </c>
      <c r="F4679" t="s">
        <v>8448</v>
      </c>
      <c r="G4679" t="s">
        <v>8453</v>
      </c>
    </row>
    <row r="4680" spans="1:7">
      <c r="A4680" t="s">
        <v>7040</v>
      </c>
      <c r="C4680" t="s">
        <v>8393</v>
      </c>
      <c r="D4680" t="s">
        <v>8393</v>
      </c>
      <c r="E4680" t="s">
        <v>919</v>
      </c>
      <c r="F4680" t="s">
        <v>8393</v>
      </c>
    </row>
    <row r="4681" spans="1:7">
      <c r="A4681" t="s">
        <v>7041</v>
      </c>
      <c r="B4681" t="s">
        <v>8273</v>
      </c>
      <c r="C4681" t="s">
        <v>8395</v>
      </c>
      <c r="D4681" t="s">
        <v>8419</v>
      </c>
      <c r="E4681" t="s">
        <v>8446</v>
      </c>
      <c r="F4681" t="s">
        <v>8449</v>
      </c>
      <c r="G4681" t="s">
        <v>8455</v>
      </c>
    </row>
    <row r="4682" spans="1:7">
      <c r="A4682" t="s">
        <v>7042</v>
      </c>
      <c r="B4682" t="s">
        <v>8277</v>
      </c>
      <c r="C4682" t="s">
        <v>8398</v>
      </c>
      <c r="D4682" t="s">
        <v>8419</v>
      </c>
      <c r="E4682" t="s">
        <v>8446</v>
      </c>
      <c r="F4682" t="s">
        <v>8448</v>
      </c>
      <c r="G4682" t="s">
        <v>8455</v>
      </c>
    </row>
    <row r="4683" spans="1:7">
      <c r="A4683" t="s">
        <v>7043</v>
      </c>
      <c r="B4683" t="s">
        <v>8273</v>
      </c>
      <c r="C4683" t="s">
        <v>8397</v>
      </c>
      <c r="D4683" t="s">
        <v>8421</v>
      </c>
      <c r="E4683" t="s">
        <v>1519</v>
      </c>
      <c r="F4683" t="s">
        <v>8448</v>
      </c>
      <c r="G4683" t="s">
        <v>9261</v>
      </c>
    </row>
    <row r="4684" spans="1:7">
      <c r="A4684" t="s">
        <v>7044</v>
      </c>
      <c r="C4684" t="s">
        <v>8393</v>
      </c>
      <c r="D4684" t="s">
        <v>8393</v>
      </c>
      <c r="E4684" t="s">
        <v>919</v>
      </c>
      <c r="F4684" t="s">
        <v>8393</v>
      </c>
    </row>
    <row r="4685" spans="1:7">
      <c r="A4685" t="s">
        <v>7045</v>
      </c>
      <c r="B4685" t="s">
        <v>8273</v>
      </c>
      <c r="C4685" t="s">
        <v>8392</v>
      </c>
      <c r="D4685" t="s">
        <v>8400</v>
      </c>
      <c r="E4685" t="s">
        <v>8446</v>
      </c>
      <c r="F4685" t="s">
        <v>8448</v>
      </c>
      <c r="G4685" t="s">
        <v>8455</v>
      </c>
    </row>
    <row r="4686" spans="1:7">
      <c r="A4686" t="s">
        <v>7046</v>
      </c>
      <c r="B4686" t="s">
        <v>8285</v>
      </c>
      <c r="C4686" t="s">
        <v>8392</v>
      </c>
      <c r="D4686" t="s">
        <v>8400</v>
      </c>
      <c r="E4686" t="s">
        <v>8446</v>
      </c>
      <c r="F4686" t="s">
        <v>8449</v>
      </c>
      <c r="G4686" t="s">
        <v>8455</v>
      </c>
    </row>
    <row r="4687" spans="1:7">
      <c r="A4687" t="s">
        <v>7047</v>
      </c>
      <c r="B4687" t="s">
        <v>8277</v>
      </c>
      <c r="C4687" t="s">
        <v>8392</v>
      </c>
      <c r="D4687" t="s">
        <v>8400</v>
      </c>
      <c r="E4687" t="s">
        <v>8446</v>
      </c>
      <c r="F4687" t="s">
        <v>8449</v>
      </c>
      <c r="G4687" t="s">
        <v>8455</v>
      </c>
    </row>
    <row r="4688" spans="1:7">
      <c r="A4688" t="s">
        <v>7048</v>
      </c>
      <c r="C4688" t="s">
        <v>8397</v>
      </c>
      <c r="D4688" t="s">
        <v>8408</v>
      </c>
      <c r="E4688" t="s">
        <v>8445</v>
      </c>
      <c r="F4688" t="s">
        <v>8450</v>
      </c>
    </row>
    <row r="4689" spans="1:7">
      <c r="A4689" t="s">
        <v>7049</v>
      </c>
      <c r="C4689" t="s">
        <v>8397</v>
      </c>
      <c r="D4689" t="s">
        <v>8412</v>
      </c>
      <c r="E4689" t="s">
        <v>8445</v>
      </c>
      <c r="F4689" t="s">
        <v>8450</v>
      </c>
    </row>
    <row r="4690" spans="1:7">
      <c r="A4690" t="s">
        <v>7050</v>
      </c>
      <c r="C4690" t="s">
        <v>8392</v>
      </c>
      <c r="D4690" t="s">
        <v>8400</v>
      </c>
      <c r="E4690" t="s">
        <v>1519</v>
      </c>
      <c r="F4690" t="s">
        <v>8447</v>
      </c>
      <c r="G4690" t="s">
        <v>8453</v>
      </c>
    </row>
    <row r="4691" spans="1:7">
      <c r="A4691" t="s">
        <v>7051</v>
      </c>
      <c r="C4691" t="s">
        <v>8393</v>
      </c>
      <c r="D4691" t="s">
        <v>8393</v>
      </c>
      <c r="E4691" t="s">
        <v>919</v>
      </c>
      <c r="F4691" t="s">
        <v>8393</v>
      </c>
    </row>
    <row r="4692" spans="1:7">
      <c r="A4692" t="s">
        <v>7052</v>
      </c>
      <c r="B4692" t="s">
        <v>8273</v>
      </c>
      <c r="C4692" t="s">
        <v>8398</v>
      </c>
      <c r="D4692" t="s">
        <v>8409</v>
      </c>
      <c r="E4692" t="s">
        <v>8446</v>
      </c>
      <c r="F4692" t="s">
        <v>8448</v>
      </c>
      <c r="G4692" t="s">
        <v>9262</v>
      </c>
    </row>
    <row r="4693" spans="1:7">
      <c r="A4693" t="s">
        <v>7053</v>
      </c>
      <c r="B4693" t="s">
        <v>8273</v>
      </c>
      <c r="C4693" t="s">
        <v>8396</v>
      </c>
      <c r="D4693" t="s">
        <v>8411</v>
      </c>
      <c r="E4693" t="s">
        <v>8445</v>
      </c>
      <c r="F4693" t="s">
        <v>8448</v>
      </c>
      <c r="G4693" t="s">
        <v>9263</v>
      </c>
    </row>
    <row r="4694" spans="1:7">
      <c r="A4694" t="s">
        <v>7054</v>
      </c>
      <c r="C4694" t="s">
        <v>8396</v>
      </c>
      <c r="D4694" t="s">
        <v>8405</v>
      </c>
      <c r="E4694" t="s">
        <v>1519</v>
      </c>
      <c r="F4694" t="s">
        <v>8449</v>
      </c>
      <c r="G4694" t="s">
        <v>8455</v>
      </c>
    </row>
    <row r="4695" spans="1:7">
      <c r="A4695" t="s">
        <v>7055</v>
      </c>
      <c r="C4695" t="s">
        <v>8397</v>
      </c>
      <c r="D4695" t="s">
        <v>8418</v>
      </c>
      <c r="E4695" t="s">
        <v>8445</v>
      </c>
      <c r="F4695" t="s">
        <v>8450</v>
      </c>
      <c r="G4695" t="s">
        <v>9264</v>
      </c>
    </row>
    <row r="4696" spans="1:7">
      <c r="A4696" t="s">
        <v>7056</v>
      </c>
      <c r="C4696" t="s">
        <v>8397</v>
      </c>
      <c r="D4696" t="s">
        <v>8431</v>
      </c>
      <c r="E4696" t="s">
        <v>1519</v>
      </c>
      <c r="F4696" t="s">
        <v>8449</v>
      </c>
      <c r="G4696" t="s">
        <v>796</v>
      </c>
    </row>
    <row r="4697" spans="1:7">
      <c r="A4697" t="s">
        <v>7057</v>
      </c>
      <c r="C4697" t="s">
        <v>8397</v>
      </c>
      <c r="D4697" t="s">
        <v>8418</v>
      </c>
      <c r="E4697" t="s">
        <v>8445</v>
      </c>
      <c r="F4697" t="s">
        <v>8450</v>
      </c>
      <c r="G4697" t="s">
        <v>9265</v>
      </c>
    </row>
    <row r="4698" spans="1:7">
      <c r="A4698" t="s">
        <v>7058</v>
      </c>
      <c r="C4698" t="s">
        <v>8393</v>
      </c>
      <c r="D4698" t="s">
        <v>8393</v>
      </c>
      <c r="E4698" t="s">
        <v>919</v>
      </c>
      <c r="F4698" t="s">
        <v>8393</v>
      </c>
    </row>
    <row r="4699" spans="1:7">
      <c r="A4699" t="s">
        <v>7059</v>
      </c>
      <c r="B4699" t="s">
        <v>8273</v>
      </c>
      <c r="C4699" t="s">
        <v>8394</v>
      </c>
      <c r="D4699" t="s">
        <v>8402</v>
      </c>
      <c r="E4699" t="s">
        <v>8446</v>
      </c>
      <c r="F4699" t="s">
        <v>8448</v>
      </c>
      <c r="G4699" t="s">
        <v>8455</v>
      </c>
    </row>
    <row r="4700" spans="1:7">
      <c r="A4700" t="s">
        <v>7060</v>
      </c>
      <c r="B4700" t="s">
        <v>8285</v>
      </c>
      <c r="C4700" t="s">
        <v>8395</v>
      </c>
      <c r="D4700" t="s">
        <v>8402</v>
      </c>
      <c r="E4700" t="s">
        <v>8446</v>
      </c>
      <c r="F4700" t="s">
        <v>8448</v>
      </c>
      <c r="G4700" t="s">
        <v>8455</v>
      </c>
    </row>
    <row r="4701" spans="1:7">
      <c r="A4701" t="s">
        <v>7061</v>
      </c>
      <c r="B4701" t="s">
        <v>8286</v>
      </c>
      <c r="C4701" t="s">
        <v>8395</v>
      </c>
      <c r="D4701" t="s">
        <v>8402</v>
      </c>
      <c r="E4701" t="s">
        <v>8446</v>
      </c>
      <c r="F4701" t="s">
        <v>8448</v>
      </c>
      <c r="G4701" t="s">
        <v>8455</v>
      </c>
    </row>
    <row r="4702" spans="1:7">
      <c r="A4702" t="s">
        <v>7062</v>
      </c>
      <c r="B4702" t="s">
        <v>8274</v>
      </c>
      <c r="C4702" t="s">
        <v>8395</v>
      </c>
      <c r="D4702" t="s">
        <v>8402</v>
      </c>
      <c r="E4702" t="s">
        <v>8446</v>
      </c>
      <c r="F4702" t="s">
        <v>8448</v>
      </c>
      <c r="G4702" t="s">
        <v>8455</v>
      </c>
    </row>
    <row r="4703" spans="1:7">
      <c r="A4703" t="s">
        <v>7063</v>
      </c>
      <c r="B4703" t="s">
        <v>8287</v>
      </c>
      <c r="C4703" t="s">
        <v>8395</v>
      </c>
      <c r="D4703" t="s">
        <v>8402</v>
      </c>
      <c r="E4703" t="s">
        <v>8446</v>
      </c>
      <c r="F4703" t="s">
        <v>8448</v>
      </c>
      <c r="G4703" t="s">
        <v>8455</v>
      </c>
    </row>
    <row r="4704" spans="1:7">
      <c r="A4704" t="s">
        <v>7064</v>
      </c>
      <c r="B4704" t="s">
        <v>8277</v>
      </c>
      <c r="C4704" t="s">
        <v>8394</v>
      </c>
      <c r="D4704" t="s">
        <v>8402</v>
      </c>
      <c r="E4704" t="s">
        <v>8446</v>
      </c>
      <c r="F4704" t="s">
        <v>8448</v>
      </c>
      <c r="G4704" t="s">
        <v>8455</v>
      </c>
    </row>
    <row r="4705" spans="1:7">
      <c r="A4705" t="s">
        <v>7065</v>
      </c>
      <c r="C4705" t="s">
        <v>8397</v>
      </c>
      <c r="D4705" t="s">
        <v>8408</v>
      </c>
      <c r="E4705" t="s">
        <v>8445</v>
      </c>
      <c r="F4705" t="s">
        <v>8450</v>
      </c>
    </row>
    <row r="4706" spans="1:7">
      <c r="A4706" t="s">
        <v>7066</v>
      </c>
      <c r="B4706" t="s">
        <v>8273</v>
      </c>
      <c r="C4706" t="s">
        <v>8392</v>
      </c>
      <c r="D4706" t="s">
        <v>8400</v>
      </c>
      <c r="E4706" t="s">
        <v>8446</v>
      </c>
      <c r="F4706" t="s">
        <v>8449</v>
      </c>
      <c r="G4706" t="s">
        <v>8455</v>
      </c>
    </row>
    <row r="4707" spans="1:7">
      <c r="A4707" t="s">
        <v>7067</v>
      </c>
      <c r="B4707" t="s">
        <v>8273</v>
      </c>
      <c r="C4707" t="s">
        <v>8395</v>
      </c>
      <c r="D4707" t="s">
        <v>8420</v>
      </c>
      <c r="E4707" t="s">
        <v>8446</v>
      </c>
      <c r="F4707" t="s">
        <v>8449</v>
      </c>
      <c r="G4707" t="s">
        <v>796</v>
      </c>
    </row>
    <row r="4708" spans="1:7">
      <c r="A4708" t="s">
        <v>7068</v>
      </c>
      <c r="B4708" t="s">
        <v>8273</v>
      </c>
      <c r="C4708" t="s">
        <v>8396</v>
      </c>
      <c r="D4708" t="s">
        <v>8404</v>
      </c>
      <c r="E4708" t="s">
        <v>1519</v>
      </c>
      <c r="F4708" t="s">
        <v>8449</v>
      </c>
      <c r="G4708" t="s">
        <v>8455</v>
      </c>
    </row>
    <row r="4709" spans="1:7">
      <c r="A4709" t="s">
        <v>7069</v>
      </c>
      <c r="C4709" t="s">
        <v>8394</v>
      </c>
      <c r="D4709" t="s">
        <v>8417</v>
      </c>
      <c r="E4709" t="s">
        <v>8444</v>
      </c>
      <c r="F4709" t="s">
        <v>8448</v>
      </c>
      <c r="G4709" t="s">
        <v>9266</v>
      </c>
    </row>
    <row r="4710" spans="1:7">
      <c r="A4710" t="s">
        <v>7070</v>
      </c>
      <c r="B4710" t="s">
        <v>8299</v>
      </c>
      <c r="C4710" t="s">
        <v>8397</v>
      </c>
      <c r="D4710" t="s">
        <v>8431</v>
      </c>
      <c r="E4710" t="s">
        <v>1519</v>
      </c>
      <c r="F4710" t="s">
        <v>8448</v>
      </c>
      <c r="G4710" t="s">
        <v>8463</v>
      </c>
    </row>
    <row r="4711" spans="1:7">
      <c r="A4711" t="s">
        <v>7071</v>
      </c>
      <c r="C4711" t="s">
        <v>8398</v>
      </c>
      <c r="D4711" t="s">
        <v>8410</v>
      </c>
      <c r="E4711" t="s">
        <v>8446</v>
      </c>
      <c r="F4711" t="s">
        <v>8449</v>
      </c>
      <c r="G4711" t="s">
        <v>8455</v>
      </c>
    </row>
    <row r="4712" spans="1:7">
      <c r="A4712" t="s">
        <v>7072</v>
      </c>
      <c r="B4712" t="s">
        <v>8273</v>
      </c>
      <c r="C4712" t="s">
        <v>8396</v>
      </c>
      <c r="D4712" t="s">
        <v>8411</v>
      </c>
      <c r="E4712" t="s">
        <v>8446</v>
      </c>
      <c r="F4712" t="s">
        <v>8449</v>
      </c>
      <c r="G4712" t="s">
        <v>8455</v>
      </c>
    </row>
    <row r="4713" spans="1:7">
      <c r="A4713" t="s">
        <v>7073</v>
      </c>
      <c r="C4713" t="s">
        <v>8394</v>
      </c>
      <c r="D4713" t="s">
        <v>8401</v>
      </c>
      <c r="E4713" t="s">
        <v>8445</v>
      </c>
      <c r="F4713" t="s">
        <v>8448</v>
      </c>
      <c r="G4713" t="s">
        <v>9267</v>
      </c>
    </row>
    <row r="4714" spans="1:7">
      <c r="A4714" t="s">
        <v>7074</v>
      </c>
      <c r="C4714" t="s">
        <v>8394</v>
      </c>
      <c r="D4714" t="s">
        <v>8401</v>
      </c>
      <c r="E4714" t="s">
        <v>8445</v>
      </c>
      <c r="F4714" t="s">
        <v>8448</v>
      </c>
      <c r="G4714" t="s">
        <v>9268</v>
      </c>
    </row>
    <row r="4715" spans="1:7">
      <c r="A4715" t="s">
        <v>7075</v>
      </c>
      <c r="C4715" t="s">
        <v>8393</v>
      </c>
      <c r="D4715" t="s">
        <v>8393</v>
      </c>
      <c r="E4715" t="s">
        <v>919</v>
      </c>
      <c r="F4715" t="s">
        <v>8393</v>
      </c>
    </row>
    <row r="4716" spans="1:7">
      <c r="A4716" t="s">
        <v>7076</v>
      </c>
      <c r="B4716" t="s">
        <v>8278</v>
      </c>
      <c r="C4716" t="s">
        <v>8394</v>
      </c>
      <c r="D4716" t="s">
        <v>8423</v>
      </c>
      <c r="E4716" t="s">
        <v>1519</v>
      </c>
      <c r="F4716" t="s">
        <v>8449</v>
      </c>
      <c r="G4716" t="s">
        <v>8455</v>
      </c>
    </row>
    <row r="4717" spans="1:7">
      <c r="A4717" t="s">
        <v>7077</v>
      </c>
      <c r="B4717" t="s">
        <v>8284</v>
      </c>
      <c r="C4717" t="s">
        <v>8394</v>
      </c>
      <c r="D4717" t="s">
        <v>8423</v>
      </c>
      <c r="E4717" t="s">
        <v>1519</v>
      </c>
      <c r="F4717" t="s">
        <v>8449</v>
      </c>
      <c r="G4717" t="s">
        <v>8455</v>
      </c>
    </row>
    <row r="4718" spans="1:7">
      <c r="A4718" t="s">
        <v>7078</v>
      </c>
      <c r="B4718" t="s">
        <v>8279</v>
      </c>
      <c r="C4718" t="s">
        <v>8394</v>
      </c>
      <c r="D4718" t="s">
        <v>8423</v>
      </c>
      <c r="E4718" t="s">
        <v>1519</v>
      </c>
      <c r="F4718" t="s">
        <v>8449</v>
      </c>
      <c r="G4718" t="s">
        <v>8455</v>
      </c>
    </row>
    <row r="4719" spans="1:7">
      <c r="A4719" t="s">
        <v>7079</v>
      </c>
      <c r="B4719" t="s">
        <v>8309</v>
      </c>
      <c r="C4719" t="s">
        <v>8394</v>
      </c>
      <c r="D4719" t="s">
        <v>8423</v>
      </c>
      <c r="E4719" t="s">
        <v>1519</v>
      </c>
      <c r="F4719" t="s">
        <v>8449</v>
      </c>
      <c r="G4719" t="s">
        <v>8455</v>
      </c>
    </row>
    <row r="4720" spans="1:7">
      <c r="A4720" t="s">
        <v>7080</v>
      </c>
      <c r="B4720" t="s">
        <v>8281</v>
      </c>
      <c r="C4720" t="s">
        <v>8394</v>
      </c>
      <c r="D4720" t="s">
        <v>8423</v>
      </c>
      <c r="E4720" t="s">
        <v>1519</v>
      </c>
      <c r="F4720" t="s">
        <v>8449</v>
      </c>
      <c r="G4720" t="s">
        <v>8455</v>
      </c>
    </row>
    <row r="4721" spans="1:7">
      <c r="A4721" t="s">
        <v>7081</v>
      </c>
      <c r="B4721" t="s">
        <v>8273</v>
      </c>
      <c r="C4721" t="s">
        <v>8392</v>
      </c>
      <c r="D4721" t="s">
        <v>8400</v>
      </c>
      <c r="E4721" t="s">
        <v>8446</v>
      </c>
      <c r="F4721" t="s">
        <v>8448</v>
      </c>
      <c r="G4721" t="s">
        <v>796</v>
      </c>
    </row>
    <row r="4722" spans="1:7">
      <c r="A4722" t="s">
        <v>7082</v>
      </c>
      <c r="B4722" t="s">
        <v>8273</v>
      </c>
      <c r="C4722" t="s">
        <v>8396</v>
      </c>
      <c r="D4722" t="s">
        <v>8404</v>
      </c>
      <c r="E4722" t="s">
        <v>8445</v>
      </c>
      <c r="F4722" t="s">
        <v>8448</v>
      </c>
      <c r="G4722" t="s">
        <v>8455</v>
      </c>
    </row>
    <row r="4723" spans="1:7">
      <c r="A4723" t="s">
        <v>7083</v>
      </c>
      <c r="B4723" t="s">
        <v>8273</v>
      </c>
      <c r="C4723" t="s">
        <v>8395</v>
      </c>
      <c r="D4723" t="s">
        <v>8404</v>
      </c>
      <c r="E4723" t="s">
        <v>8444</v>
      </c>
      <c r="F4723" t="s">
        <v>8449</v>
      </c>
      <c r="G4723" t="s">
        <v>796</v>
      </c>
    </row>
    <row r="4724" spans="1:7">
      <c r="A4724" t="s">
        <v>7084</v>
      </c>
      <c r="C4724" t="s">
        <v>8392</v>
      </c>
      <c r="D4724" t="s">
        <v>8400</v>
      </c>
      <c r="E4724" t="s">
        <v>8444</v>
      </c>
      <c r="F4724" t="s">
        <v>8447</v>
      </c>
      <c r="G4724" t="s">
        <v>8493</v>
      </c>
    </row>
    <row r="4725" spans="1:7">
      <c r="A4725" t="s">
        <v>7085</v>
      </c>
      <c r="B4725" t="s">
        <v>8273</v>
      </c>
      <c r="C4725" t="s">
        <v>8395</v>
      </c>
      <c r="D4725" t="s">
        <v>8400</v>
      </c>
      <c r="E4725" t="s">
        <v>8446</v>
      </c>
      <c r="F4725" t="s">
        <v>8449</v>
      </c>
      <c r="G4725" t="s">
        <v>8455</v>
      </c>
    </row>
    <row r="4726" spans="1:7">
      <c r="A4726" t="s">
        <v>7086</v>
      </c>
      <c r="C4726" t="s">
        <v>8393</v>
      </c>
      <c r="D4726" t="s">
        <v>8393</v>
      </c>
      <c r="E4726" t="s">
        <v>919</v>
      </c>
      <c r="F4726" t="s">
        <v>8393</v>
      </c>
    </row>
    <row r="4727" spans="1:7">
      <c r="A4727" t="s">
        <v>7087</v>
      </c>
      <c r="B4727" t="s">
        <v>8273</v>
      </c>
      <c r="C4727" t="s">
        <v>8392</v>
      </c>
      <c r="D4727" t="s">
        <v>8400</v>
      </c>
      <c r="E4727" t="s">
        <v>8446</v>
      </c>
      <c r="F4727" t="s">
        <v>8449</v>
      </c>
      <c r="G4727" t="s">
        <v>8455</v>
      </c>
    </row>
    <row r="4728" spans="1:7">
      <c r="A4728" t="s">
        <v>7088</v>
      </c>
      <c r="B4728" t="s">
        <v>8277</v>
      </c>
      <c r="C4728" t="s">
        <v>8392</v>
      </c>
      <c r="D4728" t="s">
        <v>8400</v>
      </c>
      <c r="E4728" t="s">
        <v>8446</v>
      </c>
      <c r="F4728" t="s">
        <v>8449</v>
      </c>
      <c r="G4728" t="s">
        <v>796</v>
      </c>
    </row>
    <row r="4729" spans="1:7">
      <c r="A4729" t="s">
        <v>7089</v>
      </c>
      <c r="C4729" t="s">
        <v>8398</v>
      </c>
      <c r="D4729" t="s">
        <v>8410</v>
      </c>
      <c r="E4729" t="s">
        <v>1519</v>
      </c>
      <c r="F4729" t="s">
        <v>8448</v>
      </c>
      <c r="G4729" t="s">
        <v>9269</v>
      </c>
    </row>
    <row r="4730" spans="1:7">
      <c r="A4730" t="s">
        <v>7090</v>
      </c>
      <c r="B4730" t="s">
        <v>8273</v>
      </c>
      <c r="C4730" t="s">
        <v>8394</v>
      </c>
      <c r="D4730" t="s">
        <v>8413</v>
      </c>
      <c r="E4730" t="s">
        <v>8444</v>
      </c>
      <c r="F4730" t="s">
        <v>8449</v>
      </c>
      <c r="G4730" t="s">
        <v>9270</v>
      </c>
    </row>
    <row r="4731" spans="1:7">
      <c r="A4731" t="s">
        <v>7091</v>
      </c>
      <c r="B4731" t="s">
        <v>8273</v>
      </c>
      <c r="C4731" t="s">
        <v>8394</v>
      </c>
      <c r="D4731" t="s">
        <v>8402</v>
      </c>
      <c r="E4731" t="s">
        <v>8445</v>
      </c>
      <c r="F4731" t="s">
        <v>8448</v>
      </c>
      <c r="G4731" t="s">
        <v>796</v>
      </c>
    </row>
    <row r="4732" spans="1:7">
      <c r="A4732" t="s">
        <v>7092</v>
      </c>
      <c r="C4732" t="s">
        <v>8394</v>
      </c>
      <c r="D4732" t="s">
        <v>8414</v>
      </c>
      <c r="E4732" t="s">
        <v>8446</v>
      </c>
      <c r="F4732" t="s">
        <v>8450</v>
      </c>
      <c r="G4732" t="s">
        <v>9271</v>
      </c>
    </row>
    <row r="4733" spans="1:7">
      <c r="A4733" t="s">
        <v>7093</v>
      </c>
      <c r="C4733" t="s">
        <v>8393</v>
      </c>
      <c r="D4733" t="s">
        <v>8393</v>
      </c>
      <c r="E4733" t="s">
        <v>919</v>
      </c>
      <c r="F4733" t="s">
        <v>8393</v>
      </c>
    </row>
    <row r="4734" spans="1:7">
      <c r="A4734" t="s">
        <v>7094</v>
      </c>
      <c r="B4734" t="s">
        <v>8278</v>
      </c>
      <c r="C4734" t="s">
        <v>8394</v>
      </c>
      <c r="D4734" t="s">
        <v>8402</v>
      </c>
      <c r="E4734" t="s">
        <v>8446</v>
      </c>
      <c r="F4734" t="s">
        <v>8449</v>
      </c>
      <c r="G4734" t="s">
        <v>8455</v>
      </c>
    </row>
    <row r="4735" spans="1:7">
      <c r="A4735" t="s">
        <v>7095</v>
      </c>
      <c r="B4735" t="s">
        <v>8273</v>
      </c>
      <c r="C4735" t="s">
        <v>8394</v>
      </c>
      <c r="D4735" t="s">
        <v>8402</v>
      </c>
      <c r="E4735" t="s">
        <v>8445</v>
      </c>
      <c r="F4735" t="s">
        <v>8449</v>
      </c>
      <c r="G4735" t="s">
        <v>8455</v>
      </c>
    </row>
    <row r="4736" spans="1:7">
      <c r="A4736" t="s">
        <v>7096</v>
      </c>
      <c r="B4736" t="s">
        <v>8285</v>
      </c>
      <c r="C4736" t="s">
        <v>8394</v>
      </c>
      <c r="D4736" t="s">
        <v>8402</v>
      </c>
      <c r="E4736" t="s">
        <v>8445</v>
      </c>
      <c r="F4736" t="s">
        <v>8449</v>
      </c>
      <c r="G4736" t="s">
        <v>8455</v>
      </c>
    </row>
    <row r="4737" spans="1:7">
      <c r="A4737" t="s">
        <v>7097</v>
      </c>
      <c r="B4737" t="s">
        <v>8286</v>
      </c>
      <c r="C4737" t="s">
        <v>8394</v>
      </c>
      <c r="D4737" t="s">
        <v>8402</v>
      </c>
      <c r="E4737" t="s">
        <v>8445</v>
      </c>
      <c r="F4737" t="s">
        <v>8449</v>
      </c>
      <c r="G4737" t="s">
        <v>8455</v>
      </c>
    </row>
    <row r="4738" spans="1:7">
      <c r="A4738" t="s">
        <v>7098</v>
      </c>
      <c r="B4738" t="s">
        <v>8274</v>
      </c>
      <c r="C4738" t="s">
        <v>8394</v>
      </c>
      <c r="D4738" t="s">
        <v>8402</v>
      </c>
      <c r="E4738" t="s">
        <v>8445</v>
      </c>
      <c r="F4738" t="s">
        <v>8449</v>
      </c>
      <c r="G4738" t="s">
        <v>8455</v>
      </c>
    </row>
    <row r="4739" spans="1:7">
      <c r="A4739" t="s">
        <v>7099</v>
      </c>
      <c r="B4739" t="s">
        <v>8287</v>
      </c>
      <c r="C4739" t="s">
        <v>8394</v>
      </c>
      <c r="D4739" t="s">
        <v>8402</v>
      </c>
      <c r="E4739" t="s">
        <v>8445</v>
      </c>
      <c r="F4739" t="s">
        <v>8449</v>
      </c>
      <c r="G4739" t="s">
        <v>8455</v>
      </c>
    </row>
    <row r="4740" spans="1:7">
      <c r="A4740" t="s">
        <v>7100</v>
      </c>
      <c r="B4740" t="s">
        <v>8277</v>
      </c>
      <c r="C4740" t="s">
        <v>8394</v>
      </c>
      <c r="D4740" t="s">
        <v>8402</v>
      </c>
      <c r="E4740" t="s">
        <v>8445</v>
      </c>
      <c r="F4740" t="s">
        <v>8449</v>
      </c>
      <c r="G4740" t="s">
        <v>8455</v>
      </c>
    </row>
    <row r="4741" spans="1:7">
      <c r="A4741" t="s">
        <v>7101</v>
      </c>
      <c r="C4741" t="s">
        <v>8392</v>
      </c>
      <c r="D4741" t="s">
        <v>8415</v>
      </c>
      <c r="E4741" t="s">
        <v>8445</v>
      </c>
      <c r="F4741" t="s">
        <v>8450</v>
      </c>
      <c r="G4741" t="s">
        <v>9272</v>
      </c>
    </row>
    <row r="4742" spans="1:7">
      <c r="A4742" t="s">
        <v>7102</v>
      </c>
      <c r="B4742" t="s">
        <v>8370</v>
      </c>
      <c r="C4742" t="s">
        <v>8397</v>
      </c>
      <c r="D4742" t="s">
        <v>8431</v>
      </c>
      <c r="E4742" t="s">
        <v>8446</v>
      </c>
      <c r="F4742" t="s">
        <v>8449</v>
      </c>
      <c r="G4742" t="s">
        <v>8455</v>
      </c>
    </row>
    <row r="4743" spans="1:7">
      <c r="A4743" t="s">
        <v>7103</v>
      </c>
      <c r="B4743" t="s">
        <v>8273</v>
      </c>
      <c r="C4743" t="s">
        <v>8396</v>
      </c>
      <c r="D4743" t="s">
        <v>8404</v>
      </c>
      <c r="E4743" t="s">
        <v>8446</v>
      </c>
      <c r="F4743" t="s">
        <v>8448</v>
      </c>
      <c r="G4743" t="s">
        <v>796</v>
      </c>
    </row>
    <row r="4744" spans="1:7">
      <c r="A4744" t="s">
        <v>7104</v>
      </c>
      <c r="C4744" t="s">
        <v>8394</v>
      </c>
      <c r="D4744" t="s">
        <v>8401</v>
      </c>
      <c r="E4744" t="s">
        <v>8445</v>
      </c>
      <c r="F4744" t="s">
        <v>8448</v>
      </c>
      <c r="G4744" t="s">
        <v>9273</v>
      </c>
    </row>
    <row r="4745" spans="1:7">
      <c r="A4745" t="s">
        <v>7105</v>
      </c>
      <c r="B4745" t="s">
        <v>8273</v>
      </c>
      <c r="C4745" t="s">
        <v>8395</v>
      </c>
      <c r="D4745" t="s">
        <v>8414</v>
      </c>
      <c r="E4745" t="s">
        <v>8446</v>
      </c>
      <c r="F4745" t="s">
        <v>8449</v>
      </c>
      <c r="G4745" t="s">
        <v>796</v>
      </c>
    </row>
    <row r="4746" spans="1:7">
      <c r="A4746" t="s">
        <v>7106</v>
      </c>
      <c r="C4746" t="s">
        <v>8394</v>
      </c>
      <c r="D4746" t="s">
        <v>8402</v>
      </c>
      <c r="E4746" t="s">
        <v>8445</v>
      </c>
      <c r="F4746" t="s">
        <v>8448</v>
      </c>
      <c r="G4746" t="s">
        <v>9274</v>
      </c>
    </row>
    <row r="4747" spans="1:7">
      <c r="A4747" t="s">
        <v>7107</v>
      </c>
      <c r="B4747" t="s">
        <v>8273</v>
      </c>
      <c r="C4747" t="s">
        <v>8398</v>
      </c>
      <c r="D4747" t="s">
        <v>8419</v>
      </c>
      <c r="E4747" t="s">
        <v>8445</v>
      </c>
      <c r="F4747" t="s">
        <v>8449</v>
      </c>
      <c r="G4747" t="s">
        <v>8455</v>
      </c>
    </row>
    <row r="4748" spans="1:7">
      <c r="A4748" t="s">
        <v>7108</v>
      </c>
      <c r="C4748" t="s">
        <v>8392</v>
      </c>
      <c r="D4748" t="s">
        <v>8400</v>
      </c>
      <c r="E4748" t="s">
        <v>1519</v>
      </c>
      <c r="F4748" t="s">
        <v>8447</v>
      </c>
      <c r="G4748" t="s">
        <v>8463</v>
      </c>
    </row>
    <row r="4749" spans="1:7">
      <c r="A4749" t="s">
        <v>7109</v>
      </c>
      <c r="C4749" t="s">
        <v>8392</v>
      </c>
      <c r="D4749" t="s">
        <v>8400</v>
      </c>
      <c r="E4749" t="s">
        <v>1587</v>
      </c>
      <c r="F4749" t="s">
        <v>8449</v>
      </c>
      <c r="G4749" t="s">
        <v>795</v>
      </c>
    </row>
    <row r="4750" spans="1:7">
      <c r="A4750" t="s">
        <v>7110</v>
      </c>
      <c r="C4750" t="s">
        <v>8392</v>
      </c>
      <c r="D4750" t="s">
        <v>8400</v>
      </c>
      <c r="E4750" t="s">
        <v>1519</v>
      </c>
      <c r="F4750" t="s">
        <v>8448</v>
      </c>
      <c r="G4750" t="s">
        <v>8453</v>
      </c>
    </row>
    <row r="4751" spans="1:7">
      <c r="A4751" t="s">
        <v>7111</v>
      </c>
      <c r="C4751" t="s">
        <v>8393</v>
      </c>
      <c r="D4751" t="s">
        <v>8393</v>
      </c>
      <c r="E4751" t="s">
        <v>919</v>
      </c>
      <c r="F4751" t="s">
        <v>8393</v>
      </c>
    </row>
    <row r="4752" spans="1:7">
      <c r="A4752" t="s">
        <v>7112</v>
      </c>
      <c r="B4752" t="s">
        <v>8273</v>
      </c>
      <c r="C4752" t="s">
        <v>8395</v>
      </c>
      <c r="D4752" t="s">
        <v>8400</v>
      </c>
      <c r="E4752" t="s">
        <v>8444</v>
      </c>
      <c r="F4752" t="s">
        <v>8449</v>
      </c>
      <c r="G4752" t="s">
        <v>8455</v>
      </c>
    </row>
    <row r="4753" spans="1:7">
      <c r="A4753" t="s">
        <v>7113</v>
      </c>
      <c r="B4753" t="s">
        <v>8285</v>
      </c>
      <c r="C4753" t="s">
        <v>8395</v>
      </c>
      <c r="D4753" t="s">
        <v>8400</v>
      </c>
      <c r="E4753" t="s">
        <v>8444</v>
      </c>
      <c r="F4753" t="s">
        <v>8449</v>
      </c>
      <c r="G4753" t="s">
        <v>8455</v>
      </c>
    </row>
    <row r="4754" spans="1:7">
      <c r="A4754" t="s">
        <v>7114</v>
      </c>
      <c r="B4754" t="s">
        <v>8286</v>
      </c>
      <c r="C4754" t="s">
        <v>8395</v>
      </c>
      <c r="D4754" t="s">
        <v>8400</v>
      </c>
      <c r="E4754" t="s">
        <v>8444</v>
      </c>
      <c r="F4754" t="s">
        <v>8449</v>
      </c>
      <c r="G4754" t="s">
        <v>8455</v>
      </c>
    </row>
    <row r="4755" spans="1:7">
      <c r="A4755" t="s">
        <v>7115</v>
      </c>
      <c r="B4755" t="s">
        <v>8277</v>
      </c>
      <c r="C4755" t="s">
        <v>8395</v>
      </c>
      <c r="D4755" t="s">
        <v>8400</v>
      </c>
      <c r="E4755" t="s">
        <v>8444</v>
      </c>
      <c r="F4755" t="s">
        <v>8449</v>
      </c>
      <c r="G4755" t="s">
        <v>8455</v>
      </c>
    </row>
    <row r="4756" spans="1:7">
      <c r="A4756" t="s">
        <v>7116</v>
      </c>
      <c r="C4756" t="s">
        <v>8393</v>
      </c>
      <c r="D4756" t="s">
        <v>8393</v>
      </c>
      <c r="E4756" t="s">
        <v>919</v>
      </c>
      <c r="F4756" t="s">
        <v>8393</v>
      </c>
    </row>
    <row r="4757" spans="1:7">
      <c r="A4757" t="s">
        <v>7117</v>
      </c>
      <c r="B4757" t="s">
        <v>8273</v>
      </c>
      <c r="C4757" t="s">
        <v>8394</v>
      </c>
      <c r="D4757" t="s">
        <v>8414</v>
      </c>
      <c r="E4757" t="s">
        <v>8446</v>
      </c>
      <c r="F4757" t="s">
        <v>8448</v>
      </c>
      <c r="G4757" t="s">
        <v>8453</v>
      </c>
    </row>
    <row r="4758" spans="1:7">
      <c r="A4758" t="s">
        <v>7118</v>
      </c>
      <c r="B4758" t="s">
        <v>8273</v>
      </c>
      <c r="C4758" t="s">
        <v>8396</v>
      </c>
      <c r="D4758" t="s">
        <v>8426</v>
      </c>
      <c r="E4758" t="s">
        <v>8445</v>
      </c>
      <c r="F4758" t="s">
        <v>8449</v>
      </c>
      <c r="G4758" t="s">
        <v>8453</v>
      </c>
    </row>
    <row r="4759" spans="1:7">
      <c r="A4759" t="s">
        <v>7119</v>
      </c>
      <c r="B4759" t="s">
        <v>8274</v>
      </c>
      <c r="C4759" t="s">
        <v>8394</v>
      </c>
      <c r="D4759" t="s">
        <v>8414</v>
      </c>
      <c r="E4759" t="s">
        <v>8446</v>
      </c>
      <c r="F4759" t="s">
        <v>8449</v>
      </c>
      <c r="G4759" t="s">
        <v>8453</v>
      </c>
    </row>
    <row r="4760" spans="1:7">
      <c r="A4760" t="s">
        <v>7120</v>
      </c>
      <c r="B4760" t="s">
        <v>8273</v>
      </c>
      <c r="C4760" t="s">
        <v>8394</v>
      </c>
      <c r="D4760" t="s">
        <v>8414</v>
      </c>
      <c r="E4760" t="s">
        <v>8446</v>
      </c>
      <c r="F4760" t="s">
        <v>8449</v>
      </c>
      <c r="G4760" t="s">
        <v>8453</v>
      </c>
    </row>
    <row r="4761" spans="1:7">
      <c r="A4761" t="s">
        <v>7121</v>
      </c>
      <c r="B4761" t="s">
        <v>8273</v>
      </c>
      <c r="C4761" t="s">
        <v>8396</v>
      </c>
      <c r="D4761" t="s">
        <v>8406</v>
      </c>
      <c r="E4761" t="s">
        <v>8446</v>
      </c>
      <c r="F4761" t="s">
        <v>8449</v>
      </c>
      <c r="G4761" t="s">
        <v>8453</v>
      </c>
    </row>
    <row r="4762" spans="1:7">
      <c r="A4762" t="s">
        <v>7122</v>
      </c>
      <c r="B4762" t="s">
        <v>8273</v>
      </c>
      <c r="C4762" t="s">
        <v>8394</v>
      </c>
      <c r="D4762" t="s">
        <v>8414</v>
      </c>
      <c r="E4762" t="s">
        <v>8446</v>
      </c>
      <c r="F4762" t="s">
        <v>8449</v>
      </c>
      <c r="G4762" t="s">
        <v>8453</v>
      </c>
    </row>
    <row r="4763" spans="1:7">
      <c r="A4763" t="s">
        <v>7123</v>
      </c>
      <c r="C4763" t="s">
        <v>8393</v>
      </c>
      <c r="D4763" t="s">
        <v>8393</v>
      </c>
      <c r="E4763" t="s">
        <v>919</v>
      </c>
      <c r="F4763" t="s">
        <v>8393</v>
      </c>
    </row>
    <row r="4764" spans="1:7">
      <c r="A4764" t="s">
        <v>7124</v>
      </c>
      <c r="B4764" t="s">
        <v>8273</v>
      </c>
      <c r="C4764" t="s">
        <v>8395</v>
      </c>
      <c r="D4764" t="s">
        <v>8400</v>
      </c>
      <c r="E4764" t="s">
        <v>8446</v>
      </c>
      <c r="F4764" t="s">
        <v>8449</v>
      </c>
      <c r="G4764" t="s">
        <v>796</v>
      </c>
    </row>
    <row r="4765" spans="1:7">
      <c r="A4765" t="s">
        <v>7125</v>
      </c>
      <c r="B4765" t="s">
        <v>8273</v>
      </c>
      <c r="C4765" t="s">
        <v>8395</v>
      </c>
      <c r="D4765" t="s">
        <v>8400</v>
      </c>
      <c r="E4765" t="s">
        <v>8446</v>
      </c>
      <c r="F4765" t="s">
        <v>8449</v>
      </c>
      <c r="G4765" t="s">
        <v>796</v>
      </c>
    </row>
    <row r="4766" spans="1:7">
      <c r="A4766" t="s">
        <v>7126</v>
      </c>
      <c r="B4766" t="s">
        <v>8273</v>
      </c>
      <c r="C4766" t="s">
        <v>8394</v>
      </c>
      <c r="D4766" t="s">
        <v>8402</v>
      </c>
      <c r="E4766" t="s">
        <v>8445</v>
      </c>
      <c r="F4766" t="s">
        <v>8448</v>
      </c>
      <c r="G4766" t="s">
        <v>8455</v>
      </c>
    </row>
    <row r="4767" spans="1:7">
      <c r="A4767" t="s">
        <v>7127</v>
      </c>
      <c r="C4767" t="s">
        <v>8397</v>
      </c>
      <c r="D4767" t="s">
        <v>8408</v>
      </c>
      <c r="E4767" t="s">
        <v>8445</v>
      </c>
      <c r="F4767" t="s">
        <v>8450</v>
      </c>
    </row>
    <row r="4768" spans="1:7">
      <c r="A4768" t="s">
        <v>7128</v>
      </c>
      <c r="B4768" t="s">
        <v>8273</v>
      </c>
      <c r="C4768" t="s">
        <v>8394</v>
      </c>
      <c r="D4768" t="s">
        <v>8414</v>
      </c>
      <c r="E4768" t="s">
        <v>8445</v>
      </c>
      <c r="F4768" t="s">
        <v>8448</v>
      </c>
      <c r="G4768" t="s">
        <v>8734</v>
      </c>
    </row>
    <row r="4769" spans="1:7">
      <c r="A4769" t="s">
        <v>7129</v>
      </c>
      <c r="B4769" t="s">
        <v>8273</v>
      </c>
      <c r="C4769" t="s">
        <v>8395</v>
      </c>
      <c r="D4769" t="s">
        <v>8414</v>
      </c>
      <c r="E4769" t="s">
        <v>8446</v>
      </c>
      <c r="F4769" t="s">
        <v>8449</v>
      </c>
      <c r="G4769" t="s">
        <v>8455</v>
      </c>
    </row>
    <row r="4770" spans="1:7">
      <c r="A4770" t="s">
        <v>7130</v>
      </c>
      <c r="B4770" t="s">
        <v>8273</v>
      </c>
      <c r="C4770" t="s">
        <v>8394</v>
      </c>
      <c r="D4770" t="s">
        <v>8424</v>
      </c>
      <c r="E4770" t="s">
        <v>8445</v>
      </c>
      <c r="F4770" t="s">
        <v>8449</v>
      </c>
      <c r="G4770" t="s">
        <v>8455</v>
      </c>
    </row>
    <row r="4771" spans="1:7">
      <c r="A4771" t="s">
        <v>7131</v>
      </c>
      <c r="B4771" t="s">
        <v>8273</v>
      </c>
      <c r="C4771" t="s">
        <v>8398</v>
      </c>
      <c r="D4771" t="s">
        <v>8419</v>
      </c>
      <c r="E4771" t="s">
        <v>8445</v>
      </c>
      <c r="F4771" t="s">
        <v>8448</v>
      </c>
      <c r="G4771" t="s">
        <v>8455</v>
      </c>
    </row>
    <row r="4772" spans="1:7">
      <c r="A4772" t="s">
        <v>7132</v>
      </c>
      <c r="B4772" t="s">
        <v>8273</v>
      </c>
      <c r="C4772" t="s">
        <v>8398</v>
      </c>
      <c r="D4772" t="s">
        <v>8410</v>
      </c>
      <c r="E4772" t="s">
        <v>1519</v>
      </c>
      <c r="F4772" t="s">
        <v>8448</v>
      </c>
      <c r="G4772" t="s">
        <v>9275</v>
      </c>
    </row>
    <row r="4773" spans="1:7">
      <c r="A4773" t="s">
        <v>7133</v>
      </c>
      <c r="C4773" t="s">
        <v>8393</v>
      </c>
      <c r="D4773" t="s">
        <v>8393</v>
      </c>
      <c r="E4773" t="s">
        <v>919</v>
      </c>
      <c r="F4773" t="s">
        <v>8393</v>
      </c>
    </row>
    <row r="4774" spans="1:7">
      <c r="A4774" t="s">
        <v>7134</v>
      </c>
      <c r="B4774" t="s">
        <v>8295</v>
      </c>
      <c r="C4774" t="s">
        <v>8398</v>
      </c>
      <c r="D4774" t="s">
        <v>8419</v>
      </c>
      <c r="E4774" t="s">
        <v>8446</v>
      </c>
      <c r="F4774" t="s">
        <v>8449</v>
      </c>
      <c r="G4774" t="s">
        <v>8455</v>
      </c>
    </row>
    <row r="4775" spans="1:7">
      <c r="A4775" t="s">
        <v>7135</v>
      </c>
      <c r="B4775" t="s">
        <v>8295</v>
      </c>
      <c r="C4775" t="s">
        <v>8398</v>
      </c>
      <c r="D4775" t="s">
        <v>8419</v>
      </c>
      <c r="E4775" t="s">
        <v>8446</v>
      </c>
      <c r="F4775" t="s">
        <v>8449</v>
      </c>
      <c r="G4775" t="s">
        <v>8455</v>
      </c>
    </row>
    <row r="4776" spans="1:7">
      <c r="A4776" t="s">
        <v>7136</v>
      </c>
      <c r="B4776" t="s">
        <v>8273</v>
      </c>
      <c r="C4776" t="s">
        <v>8395</v>
      </c>
      <c r="D4776" t="s">
        <v>8421</v>
      </c>
      <c r="E4776" t="s">
        <v>8446</v>
      </c>
      <c r="F4776" t="s">
        <v>8448</v>
      </c>
      <c r="G4776" t="s">
        <v>8455</v>
      </c>
    </row>
    <row r="4777" spans="1:7">
      <c r="A4777" t="s">
        <v>7137</v>
      </c>
      <c r="B4777" t="s">
        <v>8295</v>
      </c>
      <c r="C4777" t="s">
        <v>8398</v>
      </c>
      <c r="D4777" t="s">
        <v>8419</v>
      </c>
      <c r="E4777" t="s">
        <v>1519</v>
      </c>
      <c r="F4777" t="s">
        <v>8449</v>
      </c>
      <c r="G4777" t="s">
        <v>8455</v>
      </c>
    </row>
    <row r="4778" spans="1:7">
      <c r="A4778" t="s">
        <v>7138</v>
      </c>
      <c r="B4778" t="s">
        <v>8273</v>
      </c>
      <c r="C4778" t="s">
        <v>8398</v>
      </c>
      <c r="D4778" t="s">
        <v>8419</v>
      </c>
      <c r="E4778" t="s">
        <v>8446</v>
      </c>
      <c r="F4778" t="s">
        <v>8449</v>
      </c>
      <c r="G4778" t="s">
        <v>8455</v>
      </c>
    </row>
    <row r="4779" spans="1:7">
      <c r="A4779" t="s">
        <v>7139</v>
      </c>
      <c r="C4779" t="s">
        <v>8394</v>
      </c>
      <c r="D4779" t="s">
        <v>8401</v>
      </c>
      <c r="E4779" t="s">
        <v>8445</v>
      </c>
      <c r="F4779" t="s">
        <v>8448</v>
      </c>
      <c r="G4779" t="s">
        <v>9276</v>
      </c>
    </row>
    <row r="4780" spans="1:7">
      <c r="A4780" t="s">
        <v>7140</v>
      </c>
      <c r="C4780" t="s">
        <v>8394</v>
      </c>
      <c r="D4780" t="s">
        <v>8401</v>
      </c>
      <c r="E4780" t="s">
        <v>8445</v>
      </c>
      <c r="F4780" t="s">
        <v>8448</v>
      </c>
      <c r="G4780" t="s">
        <v>9277</v>
      </c>
    </row>
    <row r="4781" spans="1:7">
      <c r="A4781" t="s">
        <v>7141</v>
      </c>
      <c r="C4781" t="s">
        <v>8394</v>
      </c>
      <c r="D4781" t="s">
        <v>8401</v>
      </c>
      <c r="E4781" t="s">
        <v>8445</v>
      </c>
      <c r="F4781" t="s">
        <v>8448</v>
      </c>
      <c r="G4781" t="s">
        <v>9278</v>
      </c>
    </row>
    <row r="4782" spans="1:7">
      <c r="A4782" t="s">
        <v>7142</v>
      </c>
      <c r="B4782" t="s">
        <v>8273</v>
      </c>
      <c r="C4782" t="s">
        <v>8394</v>
      </c>
      <c r="D4782" t="s">
        <v>8401</v>
      </c>
      <c r="E4782" t="s">
        <v>8445</v>
      </c>
      <c r="F4782" t="s">
        <v>8449</v>
      </c>
      <c r="G4782" t="s">
        <v>8455</v>
      </c>
    </row>
    <row r="4783" spans="1:7">
      <c r="A4783" t="s">
        <v>7143</v>
      </c>
      <c r="B4783" t="s">
        <v>8273</v>
      </c>
      <c r="C4783" t="s">
        <v>8394</v>
      </c>
      <c r="D4783" t="s">
        <v>8403</v>
      </c>
      <c r="E4783" t="s">
        <v>8446</v>
      </c>
      <c r="F4783" t="s">
        <v>8448</v>
      </c>
      <c r="G4783" t="s">
        <v>8455</v>
      </c>
    </row>
    <row r="4784" spans="1:7">
      <c r="A4784" t="s">
        <v>7144</v>
      </c>
      <c r="C4784" t="s">
        <v>8394</v>
      </c>
      <c r="D4784" t="s">
        <v>8413</v>
      </c>
      <c r="E4784" t="s">
        <v>8445</v>
      </c>
      <c r="F4784" t="s">
        <v>8448</v>
      </c>
      <c r="G4784" t="s">
        <v>9279</v>
      </c>
    </row>
    <row r="4785" spans="1:7">
      <c r="A4785" t="s">
        <v>7145</v>
      </c>
      <c r="C4785" t="s">
        <v>8393</v>
      </c>
      <c r="D4785" t="s">
        <v>8393</v>
      </c>
      <c r="E4785" t="s">
        <v>919</v>
      </c>
      <c r="F4785" t="s">
        <v>8393</v>
      </c>
    </row>
    <row r="4786" spans="1:7">
      <c r="A4786" t="s">
        <v>7146</v>
      </c>
      <c r="B4786" t="s">
        <v>8273</v>
      </c>
      <c r="C4786" t="s">
        <v>8394</v>
      </c>
      <c r="D4786" t="s">
        <v>8413</v>
      </c>
      <c r="E4786" t="s">
        <v>8445</v>
      </c>
      <c r="F4786" t="s">
        <v>8448</v>
      </c>
      <c r="G4786" t="s">
        <v>8453</v>
      </c>
    </row>
    <row r="4787" spans="1:7">
      <c r="A4787" t="s">
        <v>7147</v>
      </c>
      <c r="B4787" t="s">
        <v>8273</v>
      </c>
      <c r="C4787" t="s">
        <v>8394</v>
      </c>
      <c r="D4787" t="s">
        <v>8413</v>
      </c>
      <c r="E4787" t="s">
        <v>8445</v>
      </c>
      <c r="F4787" t="s">
        <v>8448</v>
      </c>
      <c r="G4787" t="s">
        <v>8453</v>
      </c>
    </row>
    <row r="4788" spans="1:7">
      <c r="A4788" t="s">
        <v>7148</v>
      </c>
      <c r="B4788" t="s">
        <v>8273</v>
      </c>
      <c r="C4788" t="s">
        <v>8394</v>
      </c>
      <c r="D4788" t="s">
        <v>8413</v>
      </c>
      <c r="E4788" t="s">
        <v>8445</v>
      </c>
      <c r="F4788" t="s">
        <v>8448</v>
      </c>
      <c r="G4788" t="s">
        <v>8453</v>
      </c>
    </row>
    <row r="4789" spans="1:7">
      <c r="A4789" t="s">
        <v>7149</v>
      </c>
      <c r="B4789" t="s">
        <v>8273</v>
      </c>
      <c r="C4789" t="s">
        <v>8394</v>
      </c>
      <c r="D4789" t="s">
        <v>8413</v>
      </c>
      <c r="E4789" t="s">
        <v>8445</v>
      </c>
      <c r="F4789" t="s">
        <v>8448</v>
      </c>
      <c r="G4789" t="s">
        <v>8453</v>
      </c>
    </row>
    <row r="4790" spans="1:7">
      <c r="A4790" t="s">
        <v>7150</v>
      </c>
      <c r="B4790" t="s">
        <v>8273</v>
      </c>
      <c r="C4790" t="s">
        <v>8394</v>
      </c>
      <c r="D4790" t="s">
        <v>8413</v>
      </c>
      <c r="E4790" t="s">
        <v>8445</v>
      </c>
      <c r="F4790" t="s">
        <v>8448</v>
      </c>
      <c r="G4790" t="s">
        <v>8453</v>
      </c>
    </row>
    <row r="4791" spans="1:7">
      <c r="A4791" t="s">
        <v>7151</v>
      </c>
      <c r="B4791" t="s">
        <v>8273</v>
      </c>
      <c r="C4791" t="s">
        <v>8394</v>
      </c>
      <c r="D4791" t="s">
        <v>8413</v>
      </c>
      <c r="E4791" t="s">
        <v>8445</v>
      </c>
      <c r="F4791" t="s">
        <v>8448</v>
      </c>
      <c r="G4791" t="s">
        <v>8453</v>
      </c>
    </row>
    <row r="4792" spans="1:7">
      <c r="A4792" t="s">
        <v>7152</v>
      </c>
      <c r="B4792" t="s">
        <v>8273</v>
      </c>
      <c r="C4792" t="s">
        <v>8394</v>
      </c>
      <c r="D4792" t="s">
        <v>8413</v>
      </c>
      <c r="E4792" t="s">
        <v>8445</v>
      </c>
      <c r="F4792" t="s">
        <v>8448</v>
      </c>
      <c r="G4792" t="s">
        <v>8453</v>
      </c>
    </row>
    <row r="4793" spans="1:7">
      <c r="A4793" t="s">
        <v>7153</v>
      </c>
      <c r="B4793" t="s">
        <v>8273</v>
      </c>
      <c r="C4793" t="s">
        <v>8394</v>
      </c>
      <c r="D4793" t="s">
        <v>8413</v>
      </c>
      <c r="E4793" t="s">
        <v>8445</v>
      </c>
      <c r="F4793" t="s">
        <v>8448</v>
      </c>
      <c r="G4793" t="s">
        <v>8453</v>
      </c>
    </row>
    <row r="4794" spans="1:7">
      <c r="A4794" t="s">
        <v>7154</v>
      </c>
      <c r="B4794" t="s">
        <v>8273</v>
      </c>
      <c r="C4794" t="s">
        <v>8394</v>
      </c>
      <c r="D4794" t="s">
        <v>8413</v>
      </c>
      <c r="E4794" t="s">
        <v>8445</v>
      </c>
      <c r="F4794" t="s">
        <v>8448</v>
      </c>
      <c r="G4794" t="s">
        <v>8453</v>
      </c>
    </row>
    <row r="4795" spans="1:7">
      <c r="A4795" t="s">
        <v>7155</v>
      </c>
      <c r="B4795" t="s">
        <v>8273</v>
      </c>
      <c r="C4795" t="s">
        <v>8394</v>
      </c>
      <c r="D4795" t="s">
        <v>8413</v>
      </c>
      <c r="E4795" t="s">
        <v>8445</v>
      </c>
      <c r="F4795" t="s">
        <v>8448</v>
      </c>
      <c r="G4795" t="s">
        <v>8453</v>
      </c>
    </row>
    <row r="4796" spans="1:7">
      <c r="A4796" t="s">
        <v>7156</v>
      </c>
      <c r="B4796" t="s">
        <v>8273</v>
      </c>
      <c r="C4796" t="s">
        <v>8394</v>
      </c>
      <c r="D4796" t="s">
        <v>8413</v>
      </c>
      <c r="E4796" t="s">
        <v>8445</v>
      </c>
      <c r="F4796" t="s">
        <v>8448</v>
      </c>
      <c r="G4796" t="s">
        <v>8453</v>
      </c>
    </row>
    <row r="4797" spans="1:7">
      <c r="A4797" t="s">
        <v>7157</v>
      </c>
      <c r="B4797" t="s">
        <v>8273</v>
      </c>
      <c r="C4797" t="s">
        <v>8394</v>
      </c>
      <c r="D4797" t="s">
        <v>8413</v>
      </c>
      <c r="E4797" t="s">
        <v>8445</v>
      </c>
      <c r="F4797" t="s">
        <v>8448</v>
      </c>
      <c r="G4797" t="s">
        <v>8453</v>
      </c>
    </row>
    <row r="4798" spans="1:7">
      <c r="A4798" t="s">
        <v>7158</v>
      </c>
      <c r="B4798" t="s">
        <v>8273</v>
      </c>
      <c r="C4798" t="s">
        <v>8394</v>
      </c>
      <c r="D4798" t="s">
        <v>8413</v>
      </c>
      <c r="E4798" t="s">
        <v>8445</v>
      </c>
      <c r="F4798" t="s">
        <v>8448</v>
      </c>
      <c r="G4798" t="s">
        <v>8453</v>
      </c>
    </row>
    <row r="4799" spans="1:7">
      <c r="A4799" t="s">
        <v>7159</v>
      </c>
      <c r="B4799" t="s">
        <v>8273</v>
      </c>
      <c r="C4799" t="s">
        <v>8394</v>
      </c>
      <c r="D4799" t="s">
        <v>8413</v>
      </c>
      <c r="E4799" t="s">
        <v>8445</v>
      </c>
      <c r="F4799" t="s">
        <v>8448</v>
      </c>
      <c r="G4799" t="s">
        <v>8453</v>
      </c>
    </row>
    <row r="4800" spans="1:7">
      <c r="A4800" t="s">
        <v>7160</v>
      </c>
      <c r="B4800" t="s">
        <v>8273</v>
      </c>
      <c r="C4800" t="s">
        <v>8394</v>
      </c>
      <c r="D4800" t="s">
        <v>8413</v>
      </c>
      <c r="E4800" t="s">
        <v>8445</v>
      </c>
      <c r="F4800" t="s">
        <v>8448</v>
      </c>
      <c r="G4800" t="s">
        <v>8453</v>
      </c>
    </row>
    <row r="4801" spans="1:7">
      <c r="A4801" t="s">
        <v>7161</v>
      </c>
      <c r="B4801" t="s">
        <v>8273</v>
      </c>
      <c r="C4801" t="s">
        <v>8394</v>
      </c>
      <c r="D4801" t="s">
        <v>8413</v>
      </c>
      <c r="E4801" t="s">
        <v>8445</v>
      </c>
      <c r="F4801" t="s">
        <v>8448</v>
      </c>
      <c r="G4801" t="s">
        <v>8453</v>
      </c>
    </row>
    <row r="4802" spans="1:7">
      <c r="A4802" t="s">
        <v>7162</v>
      </c>
      <c r="C4802" t="s">
        <v>8394</v>
      </c>
      <c r="D4802" t="s">
        <v>8401</v>
      </c>
      <c r="E4802" t="s">
        <v>8445</v>
      </c>
      <c r="F4802" t="s">
        <v>8448</v>
      </c>
      <c r="G4802" t="s">
        <v>9280</v>
      </c>
    </row>
    <row r="4803" spans="1:7">
      <c r="A4803" t="s">
        <v>7163</v>
      </c>
      <c r="C4803" t="s">
        <v>8394</v>
      </c>
      <c r="D4803" t="s">
        <v>8401</v>
      </c>
      <c r="E4803" t="s">
        <v>8445</v>
      </c>
      <c r="F4803" t="s">
        <v>8448</v>
      </c>
      <c r="G4803" t="s">
        <v>9281</v>
      </c>
    </row>
    <row r="4804" spans="1:7">
      <c r="A4804" t="s">
        <v>7164</v>
      </c>
      <c r="C4804" t="s">
        <v>8394</v>
      </c>
      <c r="D4804" t="s">
        <v>8401</v>
      </c>
      <c r="E4804" t="s">
        <v>8445</v>
      </c>
      <c r="F4804" t="s">
        <v>8448</v>
      </c>
      <c r="G4804" t="s">
        <v>9282</v>
      </c>
    </row>
    <row r="4805" spans="1:7">
      <c r="A4805" t="s">
        <v>7165</v>
      </c>
      <c r="C4805" t="s">
        <v>8394</v>
      </c>
      <c r="D4805" t="s">
        <v>8401</v>
      </c>
      <c r="E4805" t="s">
        <v>8445</v>
      </c>
      <c r="F4805" t="s">
        <v>8448</v>
      </c>
      <c r="G4805" t="s">
        <v>9283</v>
      </c>
    </row>
    <row r="4806" spans="1:7">
      <c r="A4806" t="s">
        <v>7166</v>
      </c>
      <c r="B4806" t="s">
        <v>8273</v>
      </c>
      <c r="C4806" t="s">
        <v>8394</v>
      </c>
      <c r="D4806" t="s">
        <v>8401</v>
      </c>
      <c r="E4806" t="s">
        <v>8445</v>
      </c>
      <c r="F4806" t="s">
        <v>8448</v>
      </c>
      <c r="G4806" t="s">
        <v>8455</v>
      </c>
    </row>
    <row r="4807" spans="1:7">
      <c r="A4807" t="s">
        <v>7167</v>
      </c>
      <c r="C4807" t="s">
        <v>8394</v>
      </c>
      <c r="D4807" t="s">
        <v>8401</v>
      </c>
      <c r="E4807" t="s">
        <v>8445</v>
      </c>
      <c r="F4807" t="s">
        <v>8448</v>
      </c>
      <c r="G4807" t="s">
        <v>9284</v>
      </c>
    </row>
    <row r="4808" spans="1:7">
      <c r="A4808" t="s">
        <v>7168</v>
      </c>
      <c r="B4808" t="s">
        <v>8273</v>
      </c>
      <c r="C4808" t="s">
        <v>8394</v>
      </c>
      <c r="D4808" t="s">
        <v>8401</v>
      </c>
      <c r="E4808" t="s">
        <v>8445</v>
      </c>
      <c r="F4808" t="s">
        <v>8449</v>
      </c>
      <c r="G4808" t="s">
        <v>8455</v>
      </c>
    </row>
    <row r="4809" spans="1:7">
      <c r="A4809" t="s">
        <v>7169</v>
      </c>
      <c r="C4809" t="s">
        <v>8393</v>
      </c>
      <c r="D4809" t="s">
        <v>8393</v>
      </c>
      <c r="E4809" t="s">
        <v>919</v>
      </c>
      <c r="F4809" t="s">
        <v>8393</v>
      </c>
    </row>
    <row r="4810" spans="1:7">
      <c r="A4810" t="s">
        <v>7170</v>
      </c>
      <c r="C4810" t="s">
        <v>8394</v>
      </c>
      <c r="D4810" t="s">
        <v>8401</v>
      </c>
      <c r="E4810" t="s">
        <v>8445</v>
      </c>
      <c r="F4810" t="s">
        <v>8450</v>
      </c>
      <c r="G4810" t="s">
        <v>8905</v>
      </c>
    </row>
    <row r="4811" spans="1:7">
      <c r="A4811" t="s">
        <v>7171</v>
      </c>
      <c r="C4811" t="s">
        <v>8394</v>
      </c>
      <c r="D4811" t="s">
        <v>8401</v>
      </c>
      <c r="E4811" t="s">
        <v>8445</v>
      </c>
      <c r="F4811" t="s">
        <v>8450</v>
      </c>
      <c r="G4811" t="s">
        <v>8905</v>
      </c>
    </row>
    <row r="4812" spans="1:7">
      <c r="A4812" t="s">
        <v>7172</v>
      </c>
      <c r="C4812" t="s">
        <v>8394</v>
      </c>
      <c r="D4812" t="s">
        <v>8401</v>
      </c>
      <c r="E4812" t="s">
        <v>8445</v>
      </c>
      <c r="F4812" t="s">
        <v>8450</v>
      </c>
      <c r="G4812" t="s">
        <v>8905</v>
      </c>
    </row>
    <row r="4813" spans="1:7">
      <c r="A4813" t="s">
        <v>7173</v>
      </c>
      <c r="C4813" t="s">
        <v>8394</v>
      </c>
      <c r="D4813" t="s">
        <v>8401</v>
      </c>
      <c r="E4813" t="s">
        <v>8445</v>
      </c>
      <c r="F4813" t="s">
        <v>8450</v>
      </c>
      <c r="G4813" t="s">
        <v>8905</v>
      </c>
    </row>
    <row r="4814" spans="1:7">
      <c r="A4814" t="s">
        <v>7174</v>
      </c>
      <c r="C4814" t="s">
        <v>8394</v>
      </c>
      <c r="D4814" t="s">
        <v>8401</v>
      </c>
      <c r="E4814" t="s">
        <v>8445</v>
      </c>
      <c r="F4814" t="s">
        <v>8450</v>
      </c>
      <c r="G4814" t="s">
        <v>8905</v>
      </c>
    </row>
    <row r="4815" spans="1:7">
      <c r="A4815" t="s">
        <v>7175</v>
      </c>
      <c r="C4815" t="s">
        <v>8394</v>
      </c>
      <c r="D4815" t="s">
        <v>8401</v>
      </c>
      <c r="E4815" t="s">
        <v>8445</v>
      </c>
      <c r="F4815" t="s">
        <v>8450</v>
      </c>
      <c r="G4815" t="s">
        <v>8905</v>
      </c>
    </row>
    <row r="4816" spans="1:7">
      <c r="A4816" t="s">
        <v>7176</v>
      </c>
      <c r="C4816" t="s">
        <v>8394</v>
      </c>
      <c r="D4816" t="s">
        <v>8401</v>
      </c>
      <c r="E4816" t="s">
        <v>8445</v>
      </c>
      <c r="F4816" t="s">
        <v>8450</v>
      </c>
      <c r="G4816" t="s">
        <v>8905</v>
      </c>
    </row>
    <row r="4817" spans="1:7">
      <c r="A4817" t="s">
        <v>7177</v>
      </c>
      <c r="C4817" t="s">
        <v>8394</v>
      </c>
      <c r="D4817" t="s">
        <v>8401</v>
      </c>
      <c r="E4817" t="s">
        <v>8445</v>
      </c>
      <c r="F4817" t="s">
        <v>8450</v>
      </c>
      <c r="G4817" t="s">
        <v>8905</v>
      </c>
    </row>
    <row r="4818" spans="1:7">
      <c r="A4818" t="s">
        <v>7178</v>
      </c>
      <c r="C4818" t="s">
        <v>8394</v>
      </c>
      <c r="D4818" t="s">
        <v>8401</v>
      </c>
      <c r="E4818" t="s">
        <v>8445</v>
      </c>
      <c r="F4818" t="s">
        <v>8450</v>
      </c>
      <c r="G4818" t="s">
        <v>8905</v>
      </c>
    </row>
    <row r="4819" spans="1:7">
      <c r="A4819" t="s">
        <v>7179</v>
      </c>
      <c r="C4819" t="s">
        <v>8394</v>
      </c>
      <c r="D4819" t="s">
        <v>8401</v>
      </c>
      <c r="E4819" t="s">
        <v>8445</v>
      </c>
      <c r="F4819" t="s">
        <v>8450</v>
      </c>
      <c r="G4819" t="s">
        <v>8905</v>
      </c>
    </row>
    <row r="4820" spans="1:7">
      <c r="A4820" t="s">
        <v>7180</v>
      </c>
      <c r="C4820" t="s">
        <v>8394</v>
      </c>
      <c r="D4820" t="s">
        <v>8401</v>
      </c>
      <c r="E4820" t="s">
        <v>8445</v>
      </c>
      <c r="F4820" t="s">
        <v>8450</v>
      </c>
      <c r="G4820" t="s">
        <v>8905</v>
      </c>
    </row>
    <row r="4821" spans="1:7">
      <c r="A4821" t="s">
        <v>7181</v>
      </c>
      <c r="C4821" t="s">
        <v>8394</v>
      </c>
      <c r="D4821" t="s">
        <v>8401</v>
      </c>
      <c r="E4821" t="s">
        <v>8445</v>
      </c>
      <c r="F4821" t="s">
        <v>8450</v>
      </c>
      <c r="G4821" t="s">
        <v>8905</v>
      </c>
    </row>
    <row r="4822" spans="1:7">
      <c r="A4822" t="s">
        <v>7182</v>
      </c>
      <c r="C4822" t="s">
        <v>8394</v>
      </c>
      <c r="D4822" t="s">
        <v>8401</v>
      </c>
      <c r="E4822" t="s">
        <v>8445</v>
      </c>
      <c r="F4822" t="s">
        <v>8450</v>
      </c>
      <c r="G4822" t="s">
        <v>8905</v>
      </c>
    </row>
    <row r="4823" spans="1:7">
      <c r="A4823" t="s">
        <v>7183</v>
      </c>
      <c r="C4823" t="s">
        <v>8394</v>
      </c>
      <c r="D4823" t="s">
        <v>8401</v>
      </c>
      <c r="E4823" t="s">
        <v>8445</v>
      </c>
      <c r="F4823" t="s">
        <v>8450</v>
      </c>
      <c r="G4823" t="s">
        <v>8905</v>
      </c>
    </row>
    <row r="4824" spans="1:7">
      <c r="A4824" t="s">
        <v>7184</v>
      </c>
      <c r="C4824" t="s">
        <v>8394</v>
      </c>
      <c r="D4824" t="s">
        <v>8401</v>
      </c>
      <c r="E4824" t="s">
        <v>8445</v>
      </c>
      <c r="F4824" t="s">
        <v>8450</v>
      </c>
      <c r="G4824" t="s">
        <v>8905</v>
      </c>
    </row>
    <row r="4825" spans="1:7">
      <c r="A4825" t="s">
        <v>7185</v>
      </c>
      <c r="C4825" t="s">
        <v>8394</v>
      </c>
      <c r="D4825" t="s">
        <v>8401</v>
      </c>
      <c r="E4825" t="s">
        <v>8445</v>
      </c>
      <c r="F4825" t="s">
        <v>8450</v>
      </c>
      <c r="G4825" t="s">
        <v>8905</v>
      </c>
    </row>
    <row r="4826" spans="1:7">
      <c r="A4826" t="s">
        <v>7186</v>
      </c>
      <c r="C4826" t="s">
        <v>8394</v>
      </c>
      <c r="D4826" t="s">
        <v>8401</v>
      </c>
      <c r="E4826" t="s">
        <v>8445</v>
      </c>
      <c r="F4826" t="s">
        <v>8450</v>
      </c>
      <c r="G4826" t="s">
        <v>8905</v>
      </c>
    </row>
    <row r="4827" spans="1:7">
      <c r="A4827" t="s">
        <v>7187</v>
      </c>
      <c r="C4827" t="s">
        <v>8394</v>
      </c>
      <c r="D4827" t="s">
        <v>8401</v>
      </c>
      <c r="E4827" t="s">
        <v>8445</v>
      </c>
      <c r="F4827" t="s">
        <v>8450</v>
      </c>
      <c r="G4827" t="s">
        <v>8905</v>
      </c>
    </row>
    <row r="4828" spans="1:7">
      <c r="A4828" t="s">
        <v>7188</v>
      </c>
      <c r="C4828" t="s">
        <v>8393</v>
      </c>
      <c r="D4828" t="s">
        <v>8393</v>
      </c>
      <c r="E4828" t="s">
        <v>919</v>
      </c>
      <c r="F4828" t="s">
        <v>8393</v>
      </c>
    </row>
    <row r="4829" spans="1:7">
      <c r="A4829" t="s">
        <v>7189</v>
      </c>
      <c r="C4829" t="s">
        <v>8394</v>
      </c>
      <c r="D4829" t="s">
        <v>8401</v>
      </c>
      <c r="E4829" t="s">
        <v>8445</v>
      </c>
      <c r="F4829" t="s">
        <v>8450</v>
      </c>
      <c r="G4829" t="s">
        <v>8905</v>
      </c>
    </row>
    <row r="4830" spans="1:7">
      <c r="A4830" t="s">
        <v>7190</v>
      </c>
      <c r="C4830" t="s">
        <v>8394</v>
      </c>
      <c r="D4830" t="s">
        <v>8401</v>
      </c>
      <c r="E4830" t="s">
        <v>8445</v>
      </c>
      <c r="F4830" t="s">
        <v>8450</v>
      </c>
      <c r="G4830" t="s">
        <v>8905</v>
      </c>
    </row>
    <row r="4831" spans="1:7">
      <c r="A4831" t="s">
        <v>7191</v>
      </c>
      <c r="C4831" t="s">
        <v>8394</v>
      </c>
      <c r="D4831" t="s">
        <v>8401</v>
      </c>
      <c r="E4831" t="s">
        <v>8445</v>
      </c>
      <c r="F4831" t="s">
        <v>8450</v>
      </c>
      <c r="G4831" t="s">
        <v>8905</v>
      </c>
    </row>
    <row r="4832" spans="1:7">
      <c r="A4832" t="s">
        <v>7192</v>
      </c>
      <c r="C4832" t="s">
        <v>8394</v>
      </c>
      <c r="D4832" t="s">
        <v>8401</v>
      </c>
      <c r="E4832" t="s">
        <v>8445</v>
      </c>
      <c r="F4832" t="s">
        <v>8450</v>
      </c>
      <c r="G4832" t="s">
        <v>8905</v>
      </c>
    </row>
    <row r="4833" spans="1:7">
      <c r="A4833" t="s">
        <v>7193</v>
      </c>
      <c r="C4833" t="s">
        <v>8394</v>
      </c>
      <c r="D4833" t="s">
        <v>8401</v>
      </c>
      <c r="E4833" t="s">
        <v>8445</v>
      </c>
      <c r="F4833" t="s">
        <v>8450</v>
      </c>
      <c r="G4833" t="s">
        <v>8905</v>
      </c>
    </row>
    <row r="4834" spans="1:7">
      <c r="A4834" t="s">
        <v>7194</v>
      </c>
      <c r="C4834" t="s">
        <v>8394</v>
      </c>
      <c r="D4834" t="s">
        <v>8401</v>
      </c>
      <c r="E4834" t="s">
        <v>8445</v>
      </c>
      <c r="F4834" t="s">
        <v>8450</v>
      </c>
      <c r="G4834" t="s">
        <v>8905</v>
      </c>
    </row>
    <row r="4835" spans="1:7">
      <c r="A4835" t="s">
        <v>7195</v>
      </c>
      <c r="C4835" t="s">
        <v>8394</v>
      </c>
      <c r="D4835" t="s">
        <v>8401</v>
      </c>
      <c r="E4835" t="s">
        <v>8445</v>
      </c>
      <c r="F4835" t="s">
        <v>8450</v>
      </c>
      <c r="G4835" t="s">
        <v>8905</v>
      </c>
    </row>
    <row r="4836" spans="1:7">
      <c r="A4836" t="s">
        <v>7196</v>
      </c>
      <c r="C4836" t="s">
        <v>8394</v>
      </c>
      <c r="D4836" t="s">
        <v>8401</v>
      </c>
      <c r="E4836" t="s">
        <v>8445</v>
      </c>
      <c r="F4836" t="s">
        <v>8450</v>
      </c>
      <c r="G4836" t="s">
        <v>8905</v>
      </c>
    </row>
    <row r="4837" spans="1:7">
      <c r="A4837" t="s">
        <v>7197</v>
      </c>
      <c r="C4837" t="s">
        <v>8394</v>
      </c>
      <c r="D4837" t="s">
        <v>8401</v>
      </c>
      <c r="E4837" t="s">
        <v>8445</v>
      </c>
      <c r="F4837" t="s">
        <v>8450</v>
      </c>
      <c r="G4837" t="s">
        <v>8905</v>
      </c>
    </row>
    <row r="4838" spans="1:7">
      <c r="A4838" t="s">
        <v>7198</v>
      </c>
      <c r="C4838" t="s">
        <v>8394</v>
      </c>
      <c r="D4838" t="s">
        <v>8401</v>
      </c>
      <c r="E4838" t="s">
        <v>8445</v>
      </c>
      <c r="F4838" t="s">
        <v>8450</v>
      </c>
      <c r="G4838" t="s">
        <v>8905</v>
      </c>
    </row>
    <row r="4839" spans="1:7">
      <c r="A4839" t="s">
        <v>7199</v>
      </c>
      <c r="C4839" t="s">
        <v>8394</v>
      </c>
      <c r="D4839" t="s">
        <v>8401</v>
      </c>
      <c r="E4839" t="s">
        <v>8445</v>
      </c>
      <c r="F4839" t="s">
        <v>8450</v>
      </c>
      <c r="G4839" t="s">
        <v>8905</v>
      </c>
    </row>
    <row r="4840" spans="1:7">
      <c r="A4840" t="s">
        <v>7200</v>
      </c>
      <c r="C4840" t="s">
        <v>8394</v>
      </c>
      <c r="D4840" t="s">
        <v>8401</v>
      </c>
      <c r="E4840" t="s">
        <v>8445</v>
      </c>
      <c r="F4840" t="s">
        <v>8450</v>
      </c>
      <c r="G4840" t="s">
        <v>8905</v>
      </c>
    </row>
    <row r="4841" spans="1:7">
      <c r="A4841" t="s">
        <v>7201</v>
      </c>
      <c r="C4841" t="s">
        <v>8394</v>
      </c>
      <c r="D4841" t="s">
        <v>8401</v>
      </c>
      <c r="E4841" t="s">
        <v>8445</v>
      </c>
      <c r="F4841" t="s">
        <v>8450</v>
      </c>
      <c r="G4841" t="s">
        <v>8905</v>
      </c>
    </row>
    <row r="4842" spans="1:7">
      <c r="A4842" t="s">
        <v>7202</v>
      </c>
      <c r="C4842" t="s">
        <v>8394</v>
      </c>
      <c r="D4842" t="s">
        <v>8401</v>
      </c>
      <c r="E4842" t="s">
        <v>8445</v>
      </c>
      <c r="F4842" t="s">
        <v>8450</v>
      </c>
      <c r="G4842" t="s">
        <v>8905</v>
      </c>
    </row>
    <row r="4843" spans="1:7">
      <c r="A4843" t="s">
        <v>7203</v>
      </c>
      <c r="C4843" t="s">
        <v>8394</v>
      </c>
      <c r="D4843" t="s">
        <v>8401</v>
      </c>
      <c r="E4843" t="s">
        <v>8445</v>
      </c>
      <c r="F4843" t="s">
        <v>8450</v>
      </c>
      <c r="G4843" t="s">
        <v>8905</v>
      </c>
    </row>
    <row r="4844" spans="1:7">
      <c r="A4844" t="s">
        <v>7204</v>
      </c>
      <c r="C4844" t="s">
        <v>8394</v>
      </c>
      <c r="D4844" t="s">
        <v>8401</v>
      </c>
      <c r="E4844" t="s">
        <v>8445</v>
      </c>
      <c r="F4844" t="s">
        <v>8450</v>
      </c>
      <c r="G4844" t="s">
        <v>8905</v>
      </c>
    </row>
    <row r="4845" spans="1:7">
      <c r="A4845" t="s">
        <v>7205</v>
      </c>
      <c r="C4845" t="s">
        <v>8396</v>
      </c>
      <c r="D4845" t="s">
        <v>8411</v>
      </c>
      <c r="E4845" t="s">
        <v>8445</v>
      </c>
      <c r="F4845" t="s">
        <v>8447</v>
      </c>
      <c r="G4845" t="s">
        <v>8463</v>
      </c>
    </row>
    <row r="4846" spans="1:7">
      <c r="A4846" t="s">
        <v>7206</v>
      </c>
      <c r="C4846" t="s">
        <v>8393</v>
      </c>
      <c r="D4846" t="s">
        <v>8393</v>
      </c>
      <c r="E4846" t="s">
        <v>919</v>
      </c>
      <c r="F4846" t="s">
        <v>8393</v>
      </c>
    </row>
    <row r="4847" spans="1:7">
      <c r="A4847" t="s">
        <v>7207</v>
      </c>
      <c r="B4847" t="s">
        <v>8273</v>
      </c>
      <c r="C4847" t="s">
        <v>8396</v>
      </c>
      <c r="D4847" t="s">
        <v>8425</v>
      </c>
      <c r="E4847" t="s">
        <v>8446</v>
      </c>
      <c r="F4847" t="s">
        <v>8448</v>
      </c>
      <c r="G4847" t="s">
        <v>9285</v>
      </c>
    </row>
    <row r="4848" spans="1:7">
      <c r="A4848" t="s">
        <v>7208</v>
      </c>
      <c r="C4848" t="s">
        <v>8392</v>
      </c>
      <c r="D4848" t="s">
        <v>8400</v>
      </c>
      <c r="E4848" t="s">
        <v>8446</v>
      </c>
      <c r="F4848" t="s">
        <v>8448</v>
      </c>
      <c r="G4848" t="s">
        <v>796</v>
      </c>
    </row>
    <row r="4849" spans="1:7">
      <c r="A4849" t="s">
        <v>7209</v>
      </c>
      <c r="C4849" t="s">
        <v>8393</v>
      </c>
      <c r="D4849" t="s">
        <v>8393</v>
      </c>
      <c r="E4849" t="s">
        <v>919</v>
      </c>
      <c r="F4849" t="s">
        <v>8393</v>
      </c>
    </row>
    <row r="4850" spans="1:7">
      <c r="A4850" t="s">
        <v>7210</v>
      </c>
      <c r="B4850" t="s">
        <v>8273</v>
      </c>
      <c r="C4850" t="s">
        <v>8395</v>
      </c>
      <c r="D4850" t="s">
        <v>8400</v>
      </c>
      <c r="E4850" t="s">
        <v>8446</v>
      </c>
      <c r="F4850" t="s">
        <v>8448</v>
      </c>
      <c r="G4850" t="s">
        <v>9286</v>
      </c>
    </row>
    <row r="4851" spans="1:7">
      <c r="A4851" t="s">
        <v>7211</v>
      </c>
      <c r="B4851" t="s">
        <v>8277</v>
      </c>
      <c r="C4851" t="s">
        <v>8395</v>
      </c>
      <c r="D4851" t="s">
        <v>8400</v>
      </c>
      <c r="E4851" t="s">
        <v>8446</v>
      </c>
      <c r="F4851" t="s">
        <v>8448</v>
      </c>
      <c r="G4851" t="s">
        <v>9287</v>
      </c>
    </row>
    <row r="4852" spans="1:7">
      <c r="A4852" t="s">
        <v>7212</v>
      </c>
      <c r="B4852" t="s">
        <v>8273</v>
      </c>
      <c r="C4852" t="s">
        <v>8395</v>
      </c>
      <c r="D4852" t="s">
        <v>8422</v>
      </c>
      <c r="E4852" t="s">
        <v>8446</v>
      </c>
      <c r="F4852" t="s">
        <v>8449</v>
      </c>
      <c r="G4852" t="s">
        <v>8455</v>
      </c>
    </row>
    <row r="4853" spans="1:7">
      <c r="A4853" t="s">
        <v>7213</v>
      </c>
      <c r="B4853" t="s">
        <v>8273</v>
      </c>
      <c r="C4853" t="s">
        <v>8396</v>
      </c>
      <c r="D4853" t="s">
        <v>8411</v>
      </c>
      <c r="E4853" t="s">
        <v>1519</v>
      </c>
      <c r="F4853" t="s">
        <v>8448</v>
      </c>
      <c r="G4853" t="s">
        <v>9288</v>
      </c>
    </row>
    <row r="4854" spans="1:7">
      <c r="A4854" t="s">
        <v>7214</v>
      </c>
      <c r="C4854" t="s">
        <v>8397</v>
      </c>
      <c r="D4854" t="s">
        <v>8421</v>
      </c>
      <c r="E4854" t="s">
        <v>8445</v>
      </c>
      <c r="F4854" t="s">
        <v>8448</v>
      </c>
      <c r="G4854" t="s">
        <v>795</v>
      </c>
    </row>
    <row r="4855" spans="1:7">
      <c r="A4855" t="s">
        <v>7215</v>
      </c>
      <c r="C4855" t="s">
        <v>8394</v>
      </c>
      <c r="D4855" t="s">
        <v>8414</v>
      </c>
      <c r="E4855" t="s">
        <v>8445</v>
      </c>
      <c r="F4855" t="s">
        <v>8448</v>
      </c>
      <c r="G4855" t="s">
        <v>8453</v>
      </c>
    </row>
    <row r="4856" spans="1:7">
      <c r="A4856" t="s">
        <v>7216</v>
      </c>
      <c r="B4856" t="s">
        <v>8273</v>
      </c>
      <c r="C4856" t="s">
        <v>8392</v>
      </c>
      <c r="D4856" t="s">
        <v>8415</v>
      </c>
      <c r="E4856" t="s">
        <v>8444</v>
      </c>
      <c r="F4856" t="s">
        <v>8449</v>
      </c>
      <c r="G4856" t="s">
        <v>8455</v>
      </c>
    </row>
    <row r="4857" spans="1:7">
      <c r="A4857" t="s">
        <v>7217</v>
      </c>
      <c r="C4857" t="s">
        <v>8397</v>
      </c>
      <c r="D4857" t="s">
        <v>8418</v>
      </c>
      <c r="E4857" t="s">
        <v>8445</v>
      </c>
      <c r="F4857" t="s">
        <v>8450</v>
      </c>
      <c r="G4857" t="s">
        <v>9289</v>
      </c>
    </row>
    <row r="4858" spans="1:7">
      <c r="A4858" t="s">
        <v>7218</v>
      </c>
      <c r="C4858" t="s">
        <v>8393</v>
      </c>
      <c r="D4858" t="s">
        <v>8393</v>
      </c>
      <c r="E4858" t="s">
        <v>919</v>
      </c>
      <c r="F4858" t="s">
        <v>8393</v>
      </c>
    </row>
    <row r="4859" spans="1:7">
      <c r="A4859" t="s">
        <v>7219</v>
      </c>
      <c r="C4859" t="s">
        <v>8394</v>
      </c>
      <c r="D4859" t="s">
        <v>8401</v>
      </c>
      <c r="E4859" t="s">
        <v>8445</v>
      </c>
      <c r="F4859" t="s">
        <v>8448</v>
      </c>
      <c r="G4859" t="s">
        <v>9290</v>
      </c>
    </row>
    <row r="4860" spans="1:7">
      <c r="A4860" t="s">
        <v>7220</v>
      </c>
      <c r="C4860" t="s">
        <v>8394</v>
      </c>
      <c r="D4860" t="s">
        <v>8401</v>
      </c>
      <c r="E4860" t="s">
        <v>8445</v>
      </c>
      <c r="F4860" t="s">
        <v>8448</v>
      </c>
      <c r="G4860" t="s">
        <v>9290</v>
      </c>
    </row>
    <row r="4861" spans="1:7">
      <c r="A4861" t="s">
        <v>7221</v>
      </c>
      <c r="C4861" t="s">
        <v>8394</v>
      </c>
      <c r="D4861" t="s">
        <v>8401</v>
      </c>
      <c r="E4861" t="s">
        <v>8445</v>
      </c>
      <c r="F4861" t="s">
        <v>8448</v>
      </c>
      <c r="G4861" t="s">
        <v>9290</v>
      </c>
    </row>
    <row r="4862" spans="1:7">
      <c r="A4862" t="s">
        <v>7222</v>
      </c>
      <c r="B4862" t="s">
        <v>8273</v>
      </c>
      <c r="C4862" t="s">
        <v>8396</v>
      </c>
      <c r="D4862" t="s">
        <v>8425</v>
      </c>
      <c r="E4862" t="s">
        <v>8445</v>
      </c>
      <c r="F4862" t="s">
        <v>8448</v>
      </c>
      <c r="G4862" t="s">
        <v>8453</v>
      </c>
    </row>
    <row r="4863" spans="1:7">
      <c r="A4863" t="s">
        <v>7223</v>
      </c>
      <c r="B4863" t="s">
        <v>8273</v>
      </c>
      <c r="C4863" t="s">
        <v>8394</v>
      </c>
      <c r="D4863" t="s">
        <v>8402</v>
      </c>
      <c r="E4863" t="s">
        <v>8446</v>
      </c>
      <c r="F4863" t="s">
        <v>8448</v>
      </c>
      <c r="G4863" t="s">
        <v>9291</v>
      </c>
    </row>
    <row r="4864" spans="1:7">
      <c r="A4864" t="s">
        <v>7224</v>
      </c>
      <c r="B4864" t="s">
        <v>8273</v>
      </c>
      <c r="C4864" t="s">
        <v>8395</v>
      </c>
      <c r="D4864" t="s">
        <v>8415</v>
      </c>
      <c r="E4864" t="s">
        <v>8446</v>
      </c>
      <c r="F4864" t="s">
        <v>8448</v>
      </c>
      <c r="G4864" t="s">
        <v>8455</v>
      </c>
    </row>
    <row r="4865" spans="1:7">
      <c r="A4865" t="s">
        <v>7225</v>
      </c>
      <c r="C4865" t="s">
        <v>8393</v>
      </c>
      <c r="D4865" t="s">
        <v>8393</v>
      </c>
      <c r="E4865" t="s">
        <v>919</v>
      </c>
      <c r="F4865" t="s">
        <v>8393</v>
      </c>
    </row>
    <row r="4866" spans="1:7">
      <c r="A4866" t="s">
        <v>7226</v>
      </c>
      <c r="B4866" t="s">
        <v>8278</v>
      </c>
      <c r="C4866" t="s">
        <v>8394</v>
      </c>
      <c r="D4866" t="s">
        <v>8423</v>
      </c>
      <c r="E4866" t="s">
        <v>8446</v>
      </c>
      <c r="F4866" t="s">
        <v>8449</v>
      </c>
      <c r="G4866" t="s">
        <v>8455</v>
      </c>
    </row>
    <row r="4867" spans="1:7">
      <c r="A4867" t="s">
        <v>7227</v>
      </c>
      <c r="B4867" t="s">
        <v>8284</v>
      </c>
      <c r="C4867" t="s">
        <v>8394</v>
      </c>
      <c r="D4867" t="s">
        <v>8423</v>
      </c>
      <c r="E4867" t="s">
        <v>8446</v>
      </c>
      <c r="F4867" t="s">
        <v>8449</v>
      </c>
      <c r="G4867" t="s">
        <v>8455</v>
      </c>
    </row>
    <row r="4868" spans="1:7">
      <c r="A4868" t="s">
        <v>7228</v>
      </c>
      <c r="B4868" t="s">
        <v>8279</v>
      </c>
      <c r="C4868" t="s">
        <v>8394</v>
      </c>
      <c r="D4868" t="s">
        <v>8423</v>
      </c>
      <c r="E4868" t="s">
        <v>8446</v>
      </c>
      <c r="F4868" t="s">
        <v>8449</v>
      </c>
      <c r="G4868" t="s">
        <v>8455</v>
      </c>
    </row>
    <row r="4869" spans="1:7">
      <c r="A4869" t="s">
        <v>7229</v>
      </c>
      <c r="B4869" t="s">
        <v>8280</v>
      </c>
      <c r="C4869" t="s">
        <v>8394</v>
      </c>
      <c r="D4869" t="s">
        <v>8423</v>
      </c>
      <c r="E4869" t="s">
        <v>8446</v>
      </c>
      <c r="F4869" t="s">
        <v>8449</v>
      </c>
      <c r="G4869" t="s">
        <v>8455</v>
      </c>
    </row>
    <row r="4870" spans="1:7">
      <c r="A4870" t="s">
        <v>7230</v>
      </c>
      <c r="B4870" t="s">
        <v>8281</v>
      </c>
      <c r="C4870" t="s">
        <v>8394</v>
      </c>
      <c r="D4870" t="s">
        <v>8423</v>
      </c>
      <c r="E4870" t="s">
        <v>8446</v>
      </c>
      <c r="F4870" t="s">
        <v>8449</v>
      </c>
      <c r="G4870" t="s">
        <v>8455</v>
      </c>
    </row>
    <row r="4871" spans="1:7">
      <c r="A4871" t="s">
        <v>7231</v>
      </c>
      <c r="C4871" t="s">
        <v>8398</v>
      </c>
      <c r="D4871" t="s">
        <v>8410</v>
      </c>
      <c r="E4871" t="s">
        <v>8446</v>
      </c>
      <c r="F4871" t="s">
        <v>8447</v>
      </c>
      <c r="G4871" t="s">
        <v>8494</v>
      </c>
    </row>
    <row r="4872" spans="1:7">
      <c r="A4872" t="s">
        <v>7232</v>
      </c>
      <c r="C4872" t="s">
        <v>8396</v>
      </c>
      <c r="D4872" t="s">
        <v>8425</v>
      </c>
      <c r="E4872" t="s">
        <v>1519</v>
      </c>
      <c r="F4872" t="s">
        <v>8447</v>
      </c>
      <c r="G4872" t="s">
        <v>9292</v>
      </c>
    </row>
    <row r="4873" spans="1:7">
      <c r="A4873" t="s">
        <v>7233</v>
      </c>
      <c r="C4873" t="s">
        <v>8393</v>
      </c>
      <c r="D4873" t="s">
        <v>8393</v>
      </c>
      <c r="E4873" t="s">
        <v>919</v>
      </c>
      <c r="F4873" t="s">
        <v>8393</v>
      </c>
    </row>
    <row r="4874" spans="1:7">
      <c r="A4874" t="s">
        <v>7234</v>
      </c>
      <c r="B4874" t="s">
        <v>8273</v>
      </c>
      <c r="C4874" t="s">
        <v>8395</v>
      </c>
      <c r="D4874" t="s">
        <v>8411</v>
      </c>
      <c r="E4874" t="s">
        <v>1519</v>
      </c>
      <c r="F4874" t="s">
        <v>8448</v>
      </c>
      <c r="G4874" t="s">
        <v>8474</v>
      </c>
    </row>
    <row r="4875" spans="1:7">
      <c r="A4875" t="s">
        <v>7235</v>
      </c>
      <c r="B4875" t="s">
        <v>8273</v>
      </c>
      <c r="C4875" t="s">
        <v>8396</v>
      </c>
      <c r="D4875" t="s">
        <v>8425</v>
      </c>
      <c r="E4875" t="s">
        <v>1519</v>
      </c>
      <c r="F4875" t="s">
        <v>8448</v>
      </c>
      <c r="G4875" t="s">
        <v>9293</v>
      </c>
    </row>
    <row r="4876" spans="1:7">
      <c r="A4876" t="s">
        <v>7236</v>
      </c>
      <c r="B4876" t="s">
        <v>8273</v>
      </c>
      <c r="C4876" t="s">
        <v>8395</v>
      </c>
      <c r="D4876" t="s">
        <v>8400</v>
      </c>
      <c r="E4876" t="s">
        <v>1519</v>
      </c>
      <c r="F4876" t="s">
        <v>8448</v>
      </c>
      <c r="G4876" t="s">
        <v>8463</v>
      </c>
    </row>
    <row r="4877" spans="1:7">
      <c r="A4877" t="s">
        <v>7237</v>
      </c>
      <c r="B4877" t="s">
        <v>8273</v>
      </c>
      <c r="C4877" t="s">
        <v>8397</v>
      </c>
      <c r="D4877" t="s">
        <v>8421</v>
      </c>
      <c r="E4877" t="s">
        <v>1519</v>
      </c>
      <c r="F4877" t="s">
        <v>8448</v>
      </c>
      <c r="G4877" t="s">
        <v>9294</v>
      </c>
    </row>
    <row r="4878" spans="1:7">
      <c r="A4878" t="s">
        <v>7238</v>
      </c>
      <c r="B4878" t="s">
        <v>8273</v>
      </c>
      <c r="C4878" t="s">
        <v>8395</v>
      </c>
      <c r="D4878" t="s">
        <v>8400</v>
      </c>
      <c r="E4878" t="s">
        <v>1519</v>
      </c>
      <c r="F4878" t="s">
        <v>8448</v>
      </c>
      <c r="G4878" t="s">
        <v>8455</v>
      </c>
    </row>
    <row r="4879" spans="1:7">
      <c r="A4879" t="s">
        <v>7239</v>
      </c>
      <c r="B4879" t="s">
        <v>8273</v>
      </c>
      <c r="C4879" t="s">
        <v>8396</v>
      </c>
      <c r="D4879" t="s">
        <v>8425</v>
      </c>
      <c r="E4879" t="s">
        <v>8446</v>
      </c>
      <c r="F4879" t="s">
        <v>8449</v>
      </c>
      <c r="G4879" t="s">
        <v>8455</v>
      </c>
    </row>
    <row r="4880" spans="1:7">
      <c r="A4880" t="s">
        <v>7240</v>
      </c>
      <c r="C4880" t="s">
        <v>8393</v>
      </c>
      <c r="D4880" t="s">
        <v>8393</v>
      </c>
      <c r="E4880" t="s">
        <v>919</v>
      </c>
      <c r="F4880" t="s">
        <v>8393</v>
      </c>
    </row>
    <row r="4881" spans="1:7">
      <c r="A4881" t="s">
        <v>7241</v>
      </c>
      <c r="B4881" t="s">
        <v>8273</v>
      </c>
      <c r="C4881" t="s">
        <v>8396</v>
      </c>
      <c r="D4881" t="s">
        <v>8405</v>
      </c>
      <c r="E4881" t="s">
        <v>8446</v>
      </c>
      <c r="F4881" t="s">
        <v>8449</v>
      </c>
      <c r="G4881" t="s">
        <v>8455</v>
      </c>
    </row>
    <row r="4882" spans="1:7">
      <c r="A4882" t="s">
        <v>7242</v>
      </c>
      <c r="B4882" t="s">
        <v>8274</v>
      </c>
      <c r="C4882" t="s">
        <v>8396</v>
      </c>
      <c r="D4882" t="s">
        <v>8405</v>
      </c>
      <c r="E4882" t="s">
        <v>8446</v>
      </c>
      <c r="F4882" t="s">
        <v>8449</v>
      </c>
      <c r="G4882" t="s">
        <v>8455</v>
      </c>
    </row>
    <row r="4883" spans="1:7">
      <c r="A4883" t="s">
        <v>7243</v>
      </c>
      <c r="C4883" t="s">
        <v>8394</v>
      </c>
      <c r="D4883" t="s">
        <v>8401</v>
      </c>
      <c r="E4883" t="s">
        <v>8445</v>
      </c>
      <c r="F4883" t="s">
        <v>8450</v>
      </c>
      <c r="G4883" t="s">
        <v>8453</v>
      </c>
    </row>
    <row r="4884" spans="1:7">
      <c r="A4884" t="s">
        <v>7244</v>
      </c>
      <c r="B4884" t="s">
        <v>8275</v>
      </c>
      <c r="C4884" t="s">
        <v>8396</v>
      </c>
      <c r="D4884" t="s">
        <v>8411</v>
      </c>
      <c r="E4884" t="s">
        <v>1519</v>
      </c>
      <c r="F4884" t="s">
        <v>8447</v>
      </c>
      <c r="G4884" t="s">
        <v>9295</v>
      </c>
    </row>
    <row r="4885" spans="1:7">
      <c r="A4885" t="s">
        <v>7245</v>
      </c>
      <c r="B4885" t="s">
        <v>8301</v>
      </c>
      <c r="C4885" t="s">
        <v>8396</v>
      </c>
      <c r="D4885" t="s">
        <v>8411</v>
      </c>
      <c r="E4885" t="s">
        <v>8445</v>
      </c>
      <c r="F4885" t="s">
        <v>8447</v>
      </c>
      <c r="G4885" t="s">
        <v>8474</v>
      </c>
    </row>
    <row r="4886" spans="1:7">
      <c r="A4886" t="s">
        <v>7246</v>
      </c>
      <c r="B4886" t="s">
        <v>8273</v>
      </c>
      <c r="C4886" t="s">
        <v>8396</v>
      </c>
      <c r="D4886" t="s">
        <v>8425</v>
      </c>
      <c r="E4886" t="s">
        <v>8445</v>
      </c>
      <c r="F4886" t="s">
        <v>8447</v>
      </c>
      <c r="G4886" t="s">
        <v>8474</v>
      </c>
    </row>
    <row r="4887" spans="1:7">
      <c r="A4887" t="s">
        <v>7247</v>
      </c>
      <c r="B4887" t="s">
        <v>8301</v>
      </c>
      <c r="C4887" t="s">
        <v>8396</v>
      </c>
      <c r="D4887" t="s">
        <v>8411</v>
      </c>
      <c r="E4887" t="s">
        <v>8446</v>
      </c>
      <c r="F4887" t="s">
        <v>8447</v>
      </c>
      <c r="G4887" t="s">
        <v>9295</v>
      </c>
    </row>
    <row r="4888" spans="1:7">
      <c r="A4888" t="s">
        <v>7248</v>
      </c>
      <c r="B4888" t="s">
        <v>8301</v>
      </c>
      <c r="C4888" t="s">
        <v>8395</v>
      </c>
      <c r="D4888" t="s">
        <v>8411</v>
      </c>
      <c r="E4888" t="s">
        <v>8446</v>
      </c>
      <c r="F4888" t="s">
        <v>8447</v>
      </c>
      <c r="G4888" t="s">
        <v>9295</v>
      </c>
    </row>
    <row r="4889" spans="1:7">
      <c r="A4889" t="s">
        <v>7249</v>
      </c>
      <c r="C4889" t="s">
        <v>8394</v>
      </c>
      <c r="D4889" t="s">
        <v>8402</v>
      </c>
      <c r="E4889" t="s">
        <v>8445</v>
      </c>
      <c r="F4889" t="s">
        <v>8450</v>
      </c>
      <c r="G4889" t="s">
        <v>8663</v>
      </c>
    </row>
    <row r="4890" spans="1:7">
      <c r="A4890" t="s">
        <v>7250</v>
      </c>
      <c r="B4890" t="s">
        <v>8301</v>
      </c>
      <c r="C4890" t="s">
        <v>8396</v>
      </c>
      <c r="D4890" t="s">
        <v>8411</v>
      </c>
      <c r="E4890" t="s">
        <v>8446</v>
      </c>
      <c r="F4890" t="s">
        <v>8447</v>
      </c>
      <c r="G4890" t="s">
        <v>9296</v>
      </c>
    </row>
    <row r="4891" spans="1:7">
      <c r="A4891" t="s">
        <v>7251</v>
      </c>
      <c r="B4891" t="s">
        <v>8301</v>
      </c>
      <c r="C4891" t="s">
        <v>8396</v>
      </c>
      <c r="D4891" t="s">
        <v>8411</v>
      </c>
      <c r="E4891" t="s">
        <v>1519</v>
      </c>
      <c r="F4891" t="s">
        <v>8448</v>
      </c>
      <c r="G4891" t="s">
        <v>9295</v>
      </c>
    </row>
    <row r="4892" spans="1:7">
      <c r="A4892" t="s">
        <v>7252</v>
      </c>
      <c r="B4892" t="s">
        <v>8273</v>
      </c>
      <c r="C4892" t="s">
        <v>8394</v>
      </c>
      <c r="D4892" t="s">
        <v>8417</v>
      </c>
      <c r="E4892" t="s">
        <v>8446</v>
      </c>
      <c r="F4892" t="s">
        <v>8448</v>
      </c>
      <c r="G4892" t="s">
        <v>9297</v>
      </c>
    </row>
    <row r="4893" spans="1:7">
      <c r="A4893" t="s">
        <v>7253</v>
      </c>
      <c r="C4893" t="s">
        <v>8394</v>
      </c>
      <c r="D4893" t="s">
        <v>8401</v>
      </c>
      <c r="E4893" t="s">
        <v>8445</v>
      </c>
      <c r="F4893" t="s">
        <v>8448</v>
      </c>
      <c r="G4893" t="s">
        <v>9298</v>
      </c>
    </row>
    <row r="4894" spans="1:7">
      <c r="A4894" t="s">
        <v>7254</v>
      </c>
      <c r="C4894" t="s">
        <v>8397</v>
      </c>
      <c r="D4894" t="s">
        <v>8408</v>
      </c>
      <c r="E4894" t="s">
        <v>8445</v>
      </c>
      <c r="F4894" t="s">
        <v>8450</v>
      </c>
    </row>
    <row r="4895" spans="1:7">
      <c r="A4895" t="s">
        <v>7255</v>
      </c>
      <c r="B4895" t="s">
        <v>8273</v>
      </c>
      <c r="C4895" t="s">
        <v>8398</v>
      </c>
      <c r="D4895" t="s">
        <v>8419</v>
      </c>
      <c r="E4895" t="s">
        <v>1519</v>
      </c>
      <c r="F4895" t="s">
        <v>8448</v>
      </c>
      <c r="G4895" t="s">
        <v>8455</v>
      </c>
    </row>
    <row r="4896" spans="1:7">
      <c r="A4896" t="s">
        <v>7256</v>
      </c>
      <c r="C4896" t="s">
        <v>8393</v>
      </c>
      <c r="D4896" t="s">
        <v>8393</v>
      </c>
      <c r="E4896" t="s">
        <v>919</v>
      </c>
      <c r="F4896" t="s">
        <v>8393</v>
      </c>
    </row>
    <row r="4897" spans="1:7">
      <c r="A4897" t="s">
        <v>7257</v>
      </c>
      <c r="C4897" t="s">
        <v>8395</v>
      </c>
      <c r="D4897" t="s">
        <v>8400</v>
      </c>
      <c r="E4897" t="s">
        <v>1519</v>
      </c>
      <c r="F4897" t="s">
        <v>8449</v>
      </c>
      <c r="G4897" t="s">
        <v>8455</v>
      </c>
    </row>
    <row r="4898" spans="1:7">
      <c r="A4898" t="s">
        <v>7258</v>
      </c>
      <c r="C4898" t="s">
        <v>8395</v>
      </c>
      <c r="D4898" t="s">
        <v>8400</v>
      </c>
      <c r="E4898" t="s">
        <v>1519</v>
      </c>
      <c r="F4898" t="s">
        <v>8448</v>
      </c>
      <c r="G4898" t="s">
        <v>8455</v>
      </c>
    </row>
    <row r="4899" spans="1:7">
      <c r="A4899" t="s">
        <v>7259</v>
      </c>
      <c r="B4899" t="s">
        <v>8299</v>
      </c>
      <c r="C4899" t="s">
        <v>8397</v>
      </c>
      <c r="D4899" t="s">
        <v>8430</v>
      </c>
      <c r="E4899" t="s">
        <v>8444</v>
      </c>
      <c r="F4899" t="s">
        <v>8448</v>
      </c>
      <c r="G4899" t="s">
        <v>8455</v>
      </c>
    </row>
    <row r="4900" spans="1:7">
      <c r="A4900" t="s">
        <v>7260</v>
      </c>
      <c r="B4900" t="s">
        <v>8344</v>
      </c>
      <c r="C4900" t="s">
        <v>8395</v>
      </c>
      <c r="D4900" t="s">
        <v>8411</v>
      </c>
      <c r="E4900" t="s">
        <v>8446</v>
      </c>
      <c r="F4900" t="s">
        <v>8447</v>
      </c>
      <c r="G4900" t="s">
        <v>8463</v>
      </c>
    </row>
    <row r="4901" spans="1:7">
      <c r="A4901" t="s">
        <v>7261</v>
      </c>
      <c r="B4901" t="s">
        <v>8273</v>
      </c>
      <c r="C4901" t="s">
        <v>8396</v>
      </c>
      <c r="D4901" t="s">
        <v>8411</v>
      </c>
      <c r="E4901" t="s">
        <v>8444</v>
      </c>
      <c r="F4901" t="s">
        <v>8447</v>
      </c>
      <c r="G4901" t="s">
        <v>8474</v>
      </c>
    </row>
    <row r="4902" spans="1:7">
      <c r="A4902" t="s">
        <v>7262</v>
      </c>
      <c r="B4902" t="s">
        <v>8273</v>
      </c>
      <c r="C4902" t="s">
        <v>8395</v>
      </c>
      <c r="D4902" t="s">
        <v>8418</v>
      </c>
      <c r="E4902" t="s">
        <v>8444</v>
      </c>
      <c r="F4902" t="s">
        <v>8449</v>
      </c>
      <c r="G4902" t="s">
        <v>796</v>
      </c>
    </row>
    <row r="4903" spans="1:7">
      <c r="A4903" t="s">
        <v>7263</v>
      </c>
      <c r="C4903" t="s">
        <v>8393</v>
      </c>
      <c r="D4903" t="s">
        <v>8393</v>
      </c>
      <c r="E4903" t="s">
        <v>919</v>
      </c>
      <c r="F4903" t="s">
        <v>8393</v>
      </c>
    </row>
    <row r="4904" spans="1:7">
      <c r="A4904" t="s">
        <v>7264</v>
      </c>
      <c r="B4904" t="s">
        <v>8278</v>
      </c>
      <c r="C4904" t="s">
        <v>8394</v>
      </c>
      <c r="D4904" t="s">
        <v>8423</v>
      </c>
      <c r="E4904" t="s">
        <v>8446</v>
      </c>
      <c r="F4904" t="s">
        <v>8449</v>
      </c>
      <c r="G4904" t="s">
        <v>8455</v>
      </c>
    </row>
    <row r="4905" spans="1:7">
      <c r="A4905" t="s">
        <v>7265</v>
      </c>
      <c r="B4905" t="s">
        <v>8273</v>
      </c>
      <c r="C4905" t="s">
        <v>8396</v>
      </c>
      <c r="D4905" t="s">
        <v>8425</v>
      </c>
      <c r="E4905" t="s">
        <v>8446</v>
      </c>
      <c r="F4905" t="s">
        <v>8449</v>
      </c>
      <c r="G4905" t="s">
        <v>8455</v>
      </c>
    </row>
    <row r="4906" spans="1:7">
      <c r="A4906" t="s">
        <v>7266</v>
      </c>
      <c r="B4906" t="s">
        <v>8275</v>
      </c>
      <c r="C4906" t="s">
        <v>8395</v>
      </c>
      <c r="D4906" t="s">
        <v>8420</v>
      </c>
      <c r="E4906" t="s">
        <v>8444</v>
      </c>
      <c r="F4906" t="s">
        <v>8449</v>
      </c>
      <c r="G4906" t="s">
        <v>9299</v>
      </c>
    </row>
    <row r="4907" spans="1:7">
      <c r="A4907" t="s">
        <v>7267</v>
      </c>
      <c r="B4907" t="s">
        <v>8273</v>
      </c>
      <c r="C4907" t="s">
        <v>8396</v>
      </c>
      <c r="D4907" t="s">
        <v>8425</v>
      </c>
      <c r="E4907" t="s">
        <v>8445</v>
      </c>
      <c r="F4907" t="s">
        <v>8449</v>
      </c>
      <c r="G4907" t="s">
        <v>8455</v>
      </c>
    </row>
    <row r="4908" spans="1:7">
      <c r="A4908" t="s">
        <v>7268</v>
      </c>
      <c r="B4908" t="s">
        <v>8300</v>
      </c>
      <c r="C4908" t="s">
        <v>8396</v>
      </c>
      <c r="D4908" t="s">
        <v>8425</v>
      </c>
      <c r="E4908" t="s">
        <v>8445</v>
      </c>
      <c r="F4908" t="s">
        <v>8449</v>
      </c>
      <c r="G4908" t="s">
        <v>8455</v>
      </c>
    </row>
    <row r="4909" spans="1:7">
      <c r="A4909" t="s">
        <v>7269</v>
      </c>
      <c r="B4909" t="s">
        <v>8285</v>
      </c>
      <c r="C4909" t="s">
        <v>8395</v>
      </c>
      <c r="D4909" t="s">
        <v>8400</v>
      </c>
      <c r="E4909" t="s">
        <v>8444</v>
      </c>
      <c r="F4909" t="s">
        <v>8449</v>
      </c>
      <c r="G4909" t="s">
        <v>8455</v>
      </c>
    </row>
    <row r="4910" spans="1:7">
      <c r="A4910" t="s">
        <v>7270</v>
      </c>
      <c r="B4910" t="s">
        <v>8286</v>
      </c>
      <c r="C4910" t="s">
        <v>8395</v>
      </c>
      <c r="D4910" t="s">
        <v>8425</v>
      </c>
      <c r="E4910" t="s">
        <v>8444</v>
      </c>
      <c r="F4910" t="s">
        <v>8449</v>
      </c>
      <c r="G4910" t="s">
        <v>8455</v>
      </c>
    </row>
    <row r="4911" spans="1:7">
      <c r="A4911" t="s">
        <v>7271</v>
      </c>
      <c r="C4911" t="s">
        <v>8395</v>
      </c>
      <c r="D4911" t="s">
        <v>8400</v>
      </c>
      <c r="E4911" t="s">
        <v>1519</v>
      </c>
      <c r="F4911" t="s">
        <v>8449</v>
      </c>
      <c r="G4911" t="s">
        <v>796</v>
      </c>
    </row>
    <row r="4912" spans="1:7">
      <c r="A4912" t="s">
        <v>7272</v>
      </c>
      <c r="B4912" t="s">
        <v>8273</v>
      </c>
      <c r="C4912" t="s">
        <v>8396</v>
      </c>
      <c r="D4912" t="s">
        <v>8425</v>
      </c>
      <c r="E4912" t="s">
        <v>8445</v>
      </c>
      <c r="F4912" t="s">
        <v>8449</v>
      </c>
      <c r="G4912" t="s">
        <v>8455</v>
      </c>
    </row>
    <row r="4913" spans="1:7">
      <c r="A4913" t="s">
        <v>7273</v>
      </c>
      <c r="B4913" t="s">
        <v>8273</v>
      </c>
      <c r="C4913" t="s">
        <v>8396</v>
      </c>
      <c r="D4913" t="s">
        <v>8425</v>
      </c>
      <c r="E4913" t="s">
        <v>8445</v>
      </c>
      <c r="F4913" t="s">
        <v>8449</v>
      </c>
      <c r="G4913" t="s">
        <v>8455</v>
      </c>
    </row>
    <row r="4914" spans="1:7">
      <c r="A4914" t="s">
        <v>7274</v>
      </c>
      <c r="B4914" t="s">
        <v>8273</v>
      </c>
      <c r="C4914" t="s">
        <v>8396</v>
      </c>
      <c r="D4914" t="s">
        <v>8425</v>
      </c>
      <c r="E4914" t="s">
        <v>8445</v>
      </c>
      <c r="F4914" t="s">
        <v>8449</v>
      </c>
      <c r="G4914" t="s">
        <v>8455</v>
      </c>
    </row>
    <row r="4915" spans="1:7">
      <c r="A4915" t="s">
        <v>7275</v>
      </c>
      <c r="B4915" t="s">
        <v>8274</v>
      </c>
      <c r="C4915" t="s">
        <v>8396</v>
      </c>
      <c r="D4915" t="s">
        <v>8425</v>
      </c>
      <c r="E4915" t="s">
        <v>8445</v>
      </c>
      <c r="F4915" t="s">
        <v>8449</v>
      </c>
      <c r="G4915" t="s">
        <v>8455</v>
      </c>
    </row>
    <row r="4916" spans="1:7">
      <c r="A4916" t="s">
        <v>7276</v>
      </c>
      <c r="B4916" t="s">
        <v>8287</v>
      </c>
      <c r="C4916" t="s">
        <v>8395</v>
      </c>
      <c r="D4916" t="s">
        <v>8400</v>
      </c>
      <c r="E4916" t="s">
        <v>8444</v>
      </c>
      <c r="F4916" t="s">
        <v>8449</v>
      </c>
      <c r="G4916" t="s">
        <v>8455</v>
      </c>
    </row>
    <row r="4917" spans="1:7">
      <c r="A4917" t="s">
        <v>7277</v>
      </c>
      <c r="B4917" t="s">
        <v>8273</v>
      </c>
      <c r="C4917" t="s">
        <v>8396</v>
      </c>
      <c r="D4917" t="s">
        <v>8425</v>
      </c>
      <c r="E4917" t="s">
        <v>8445</v>
      </c>
      <c r="F4917" t="s">
        <v>8449</v>
      </c>
      <c r="G4917" t="s">
        <v>8455</v>
      </c>
    </row>
    <row r="4918" spans="1:7">
      <c r="A4918" t="s">
        <v>7278</v>
      </c>
      <c r="B4918" t="s">
        <v>8277</v>
      </c>
      <c r="C4918" t="s">
        <v>8395</v>
      </c>
      <c r="D4918" t="s">
        <v>8400</v>
      </c>
      <c r="E4918" t="s">
        <v>8444</v>
      </c>
      <c r="F4918" t="s">
        <v>8449</v>
      </c>
      <c r="G4918" t="s">
        <v>8455</v>
      </c>
    </row>
    <row r="4919" spans="1:7">
      <c r="A4919" t="s">
        <v>7279</v>
      </c>
      <c r="B4919" t="s">
        <v>8273</v>
      </c>
      <c r="C4919" t="s">
        <v>8398</v>
      </c>
      <c r="D4919" t="s">
        <v>8410</v>
      </c>
      <c r="E4919" t="s">
        <v>8444</v>
      </c>
      <c r="F4919" t="s">
        <v>8449</v>
      </c>
      <c r="G4919" t="s">
        <v>8455</v>
      </c>
    </row>
    <row r="4920" spans="1:7">
      <c r="A4920" t="s">
        <v>7280</v>
      </c>
      <c r="B4920" t="s">
        <v>8273</v>
      </c>
      <c r="C4920" t="s">
        <v>8395</v>
      </c>
      <c r="D4920" t="s">
        <v>8402</v>
      </c>
      <c r="E4920" t="s">
        <v>8446</v>
      </c>
      <c r="F4920" t="s">
        <v>8449</v>
      </c>
      <c r="G4920" t="s">
        <v>8455</v>
      </c>
    </row>
    <row r="4921" spans="1:7">
      <c r="A4921" t="s">
        <v>7281</v>
      </c>
      <c r="B4921" t="s">
        <v>8273</v>
      </c>
      <c r="C4921" t="s">
        <v>8394</v>
      </c>
      <c r="D4921" t="s">
        <v>8422</v>
      </c>
      <c r="E4921" t="s">
        <v>1519</v>
      </c>
      <c r="F4921" t="s">
        <v>8449</v>
      </c>
      <c r="G4921" t="s">
        <v>8455</v>
      </c>
    </row>
    <row r="4922" spans="1:7">
      <c r="A4922" t="s">
        <v>7282</v>
      </c>
      <c r="B4922" t="s">
        <v>8278</v>
      </c>
      <c r="C4922" t="s">
        <v>8394</v>
      </c>
      <c r="D4922" t="s">
        <v>8423</v>
      </c>
      <c r="E4922" t="s">
        <v>8444</v>
      </c>
      <c r="F4922" t="s">
        <v>8449</v>
      </c>
      <c r="G4922" t="s">
        <v>8455</v>
      </c>
    </row>
    <row r="4923" spans="1:7">
      <c r="A4923" t="s">
        <v>7283</v>
      </c>
      <c r="C4923" t="s">
        <v>8393</v>
      </c>
      <c r="D4923" t="s">
        <v>8393</v>
      </c>
      <c r="E4923" t="s">
        <v>919</v>
      </c>
      <c r="F4923" t="s">
        <v>8393</v>
      </c>
    </row>
    <row r="4924" spans="1:7">
      <c r="A4924" t="s">
        <v>7284</v>
      </c>
      <c r="B4924" t="s">
        <v>8273</v>
      </c>
      <c r="C4924" t="s">
        <v>8395</v>
      </c>
      <c r="D4924" t="s">
        <v>8400</v>
      </c>
      <c r="E4924" t="s">
        <v>8446</v>
      </c>
      <c r="F4924" t="s">
        <v>8449</v>
      </c>
      <c r="G4924" t="s">
        <v>8455</v>
      </c>
    </row>
    <row r="4925" spans="1:7">
      <c r="A4925" t="s">
        <v>7285</v>
      </c>
      <c r="B4925" t="s">
        <v>8277</v>
      </c>
      <c r="C4925" t="s">
        <v>8395</v>
      </c>
      <c r="D4925" t="s">
        <v>8400</v>
      </c>
      <c r="E4925" t="s">
        <v>8446</v>
      </c>
      <c r="F4925" t="s">
        <v>8449</v>
      </c>
      <c r="G4925" t="s">
        <v>8455</v>
      </c>
    </row>
    <row r="4926" spans="1:7">
      <c r="A4926" t="s">
        <v>7286</v>
      </c>
      <c r="B4926" t="s">
        <v>8295</v>
      </c>
      <c r="C4926" t="s">
        <v>8398</v>
      </c>
      <c r="D4926" t="s">
        <v>8419</v>
      </c>
      <c r="E4926" t="s">
        <v>8446</v>
      </c>
      <c r="F4926" t="s">
        <v>8448</v>
      </c>
      <c r="G4926" t="s">
        <v>9300</v>
      </c>
    </row>
    <row r="4927" spans="1:7">
      <c r="A4927" t="s">
        <v>7287</v>
      </c>
      <c r="C4927" t="s">
        <v>8397</v>
      </c>
      <c r="D4927" t="s">
        <v>8418</v>
      </c>
      <c r="E4927" t="s">
        <v>8445</v>
      </c>
      <c r="F4927" t="s">
        <v>8450</v>
      </c>
      <c r="G4927" t="s">
        <v>9301</v>
      </c>
    </row>
    <row r="4928" spans="1:7">
      <c r="A4928" t="s">
        <v>7288</v>
      </c>
      <c r="C4928" t="s">
        <v>8397</v>
      </c>
      <c r="D4928" t="s">
        <v>8408</v>
      </c>
      <c r="E4928" t="s">
        <v>8445</v>
      </c>
      <c r="F4928" t="s">
        <v>8450</v>
      </c>
    </row>
    <row r="4929" spans="1:7">
      <c r="A4929" t="s">
        <v>7289</v>
      </c>
      <c r="C4929" t="s">
        <v>8393</v>
      </c>
      <c r="D4929" t="s">
        <v>8393</v>
      </c>
      <c r="E4929" t="s">
        <v>919</v>
      </c>
      <c r="F4929" t="s">
        <v>8393</v>
      </c>
    </row>
    <row r="4930" spans="1:7">
      <c r="A4930" t="s">
        <v>7290</v>
      </c>
      <c r="B4930" t="s">
        <v>8273</v>
      </c>
      <c r="C4930" t="s">
        <v>8395</v>
      </c>
      <c r="D4930" t="s">
        <v>8400</v>
      </c>
      <c r="E4930" t="s">
        <v>8446</v>
      </c>
      <c r="F4930" t="s">
        <v>8449</v>
      </c>
      <c r="G4930" t="s">
        <v>8455</v>
      </c>
    </row>
    <row r="4931" spans="1:7">
      <c r="A4931" t="s">
        <v>7291</v>
      </c>
      <c r="B4931" t="s">
        <v>8277</v>
      </c>
      <c r="C4931" t="s">
        <v>8395</v>
      </c>
      <c r="D4931" t="s">
        <v>8400</v>
      </c>
      <c r="E4931" t="s">
        <v>8446</v>
      </c>
      <c r="F4931" t="s">
        <v>8449</v>
      </c>
      <c r="G4931" t="s">
        <v>8455</v>
      </c>
    </row>
    <row r="4932" spans="1:7">
      <c r="A4932" t="s">
        <v>7292</v>
      </c>
      <c r="B4932" t="s">
        <v>8273</v>
      </c>
      <c r="C4932" t="s">
        <v>8396</v>
      </c>
      <c r="D4932" t="s">
        <v>8420</v>
      </c>
      <c r="E4932" t="s">
        <v>8445</v>
      </c>
      <c r="F4932" t="s">
        <v>8448</v>
      </c>
      <c r="G4932" t="s">
        <v>9302</v>
      </c>
    </row>
    <row r="4933" spans="1:7">
      <c r="A4933" t="s">
        <v>7293</v>
      </c>
      <c r="C4933" t="s">
        <v>8393</v>
      </c>
      <c r="D4933" t="s">
        <v>8393</v>
      </c>
      <c r="E4933" t="s">
        <v>919</v>
      </c>
      <c r="F4933" t="s">
        <v>8393</v>
      </c>
    </row>
    <row r="4934" spans="1:7">
      <c r="A4934" t="s">
        <v>7294</v>
      </c>
      <c r="B4934" t="s">
        <v>8273</v>
      </c>
      <c r="C4934" t="s">
        <v>8395</v>
      </c>
      <c r="D4934" t="s">
        <v>8426</v>
      </c>
      <c r="E4934" t="s">
        <v>8444</v>
      </c>
      <c r="F4934" t="s">
        <v>8449</v>
      </c>
      <c r="G4934" t="s">
        <v>8455</v>
      </c>
    </row>
    <row r="4935" spans="1:7">
      <c r="A4935" t="s">
        <v>7295</v>
      </c>
      <c r="B4935" t="s">
        <v>8285</v>
      </c>
      <c r="C4935" t="s">
        <v>8395</v>
      </c>
      <c r="D4935" t="s">
        <v>8400</v>
      </c>
      <c r="E4935" t="s">
        <v>8444</v>
      </c>
      <c r="F4935" t="s">
        <v>8449</v>
      </c>
      <c r="G4935" t="s">
        <v>8455</v>
      </c>
    </row>
    <row r="4936" spans="1:7">
      <c r="A4936" t="s">
        <v>7296</v>
      </c>
      <c r="B4936" t="s">
        <v>8286</v>
      </c>
      <c r="C4936" t="s">
        <v>8395</v>
      </c>
      <c r="D4936" t="s">
        <v>8400</v>
      </c>
      <c r="E4936" t="s">
        <v>8444</v>
      </c>
      <c r="F4936" t="s">
        <v>8449</v>
      </c>
      <c r="G4936" t="s">
        <v>8455</v>
      </c>
    </row>
    <row r="4937" spans="1:7">
      <c r="A4937" t="s">
        <v>7297</v>
      </c>
      <c r="B4937" t="s">
        <v>8287</v>
      </c>
      <c r="C4937" t="s">
        <v>8395</v>
      </c>
      <c r="D4937" t="s">
        <v>8400</v>
      </c>
      <c r="E4937" t="s">
        <v>8444</v>
      </c>
      <c r="F4937" t="s">
        <v>8449</v>
      </c>
      <c r="G4937" t="s">
        <v>8455</v>
      </c>
    </row>
    <row r="4938" spans="1:7">
      <c r="A4938" t="s">
        <v>7298</v>
      </c>
      <c r="B4938" t="s">
        <v>8277</v>
      </c>
      <c r="C4938" t="s">
        <v>8395</v>
      </c>
      <c r="D4938" t="s">
        <v>8400</v>
      </c>
      <c r="E4938" t="s">
        <v>8444</v>
      </c>
      <c r="F4938" t="s">
        <v>8449</v>
      </c>
      <c r="G4938" t="s">
        <v>8455</v>
      </c>
    </row>
    <row r="4939" spans="1:7">
      <c r="A4939" t="s">
        <v>7299</v>
      </c>
      <c r="B4939" t="s">
        <v>8273</v>
      </c>
      <c r="C4939" t="s">
        <v>8395</v>
      </c>
      <c r="D4939" t="s">
        <v>8400</v>
      </c>
      <c r="E4939" t="s">
        <v>8446</v>
      </c>
      <c r="F4939" t="s">
        <v>8449</v>
      </c>
      <c r="G4939" t="s">
        <v>8455</v>
      </c>
    </row>
    <row r="4940" spans="1:7">
      <c r="A4940" t="s">
        <v>7300</v>
      </c>
      <c r="B4940" t="s">
        <v>8273</v>
      </c>
      <c r="C4940" t="s">
        <v>8398</v>
      </c>
      <c r="D4940" t="s">
        <v>8419</v>
      </c>
      <c r="E4940" t="s">
        <v>8446</v>
      </c>
      <c r="F4940" t="s">
        <v>8448</v>
      </c>
      <c r="G4940" t="s">
        <v>8455</v>
      </c>
    </row>
    <row r="4941" spans="1:7">
      <c r="A4941" t="s">
        <v>7301</v>
      </c>
      <c r="C4941" t="s">
        <v>8394</v>
      </c>
      <c r="D4941" t="s">
        <v>8413</v>
      </c>
      <c r="E4941" t="s">
        <v>8445</v>
      </c>
      <c r="F4941" t="s">
        <v>8448</v>
      </c>
      <c r="G4941" t="s">
        <v>9303</v>
      </c>
    </row>
    <row r="4942" spans="1:7">
      <c r="A4942" t="s">
        <v>7302</v>
      </c>
      <c r="C4942" t="s">
        <v>8397</v>
      </c>
      <c r="D4942" t="s">
        <v>8408</v>
      </c>
      <c r="E4942" t="s">
        <v>8445</v>
      </c>
      <c r="F4942" t="s">
        <v>8450</v>
      </c>
    </row>
    <row r="4943" spans="1:7">
      <c r="A4943" t="s">
        <v>7303</v>
      </c>
      <c r="C4943" t="s">
        <v>8392</v>
      </c>
      <c r="D4943" t="s">
        <v>8415</v>
      </c>
      <c r="E4943" t="s">
        <v>8445</v>
      </c>
      <c r="F4943" t="s">
        <v>8448</v>
      </c>
      <c r="G4943" t="s">
        <v>9304</v>
      </c>
    </row>
    <row r="4944" spans="1:7">
      <c r="A4944" t="s">
        <v>773</v>
      </c>
      <c r="C4944" t="s">
        <v>8393</v>
      </c>
      <c r="D4944" t="s">
        <v>8393</v>
      </c>
      <c r="E4944" t="s">
        <v>919</v>
      </c>
      <c r="F4944" t="s">
        <v>8393</v>
      </c>
    </row>
    <row r="4945" spans="1:7">
      <c r="A4945" t="s">
        <v>7304</v>
      </c>
      <c r="B4945" t="s">
        <v>8273</v>
      </c>
      <c r="C4945" t="s">
        <v>8396</v>
      </c>
      <c r="D4945" t="s">
        <v>8404</v>
      </c>
      <c r="E4945" t="s">
        <v>1587</v>
      </c>
      <c r="F4945" t="s">
        <v>8448</v>
      </c>
      <c r="G4945" t="s">
        <v>9305</v>
      </c>
    </row>
    <row r="4946" spans="1:7">
      <c r="A4946" t="s">
        <v>7305</v>
      </c>
      <c r="B4946" t="s">
        <v>8317</v>
      </c>
      <c r="C4946" t="s">
        <v>8396</v>
      </c>
      <c r="D4946" t="s">
        <v>8404</v>
      </c>
      <c r="E4946" t="s">
        <v>1587</v>
      </c>
      <c r="F4946" t="s">
        <v>8448</v>
      </c>
      <c r="G4946" t="s">
        <v>9305</v>
      </c>
    </row>
    <row r="4947" spans="1:7">
      <c r="A4947" t="s">
        <v>7306</v>
      </c>
      <c r="B4947" t="s">
        <v>8273</v>
      </c>
      <c r="C4947" t="s">
        <v>8396</v>
      </c>
      <c r="D4947" t="s">
        <v>8404</v>
      </c>
      <c r="E4947" t="s">
        <v>1519</v>
      </c>
      <c r="F4947" t="s">
        <v>8448</v>
      </c>
      <c r="G4947" t="s">
        <v>9305</v>
      </c>
    </row>
    <row r="4948" spans="1:7">
      <c r="A4948" t="s">
        <v>7307</v>
      </c>
      <c r="B4948" t="s">
        <v>8273</v>
      </c>
      <c r="C4948" t="s">
        <v>8398</v>
      </c>
      <c r="D4948" t="s">
        <v>8419</v>
      </c>
      <c r="E4948" t="s">
        <v>8446</v>
      </c>
      <c r="F4948" t="s">
        <v>8449</v>
      </c>
      <c r="G4948" t="s">
        <v>8455</v>
      </c>
    </row>
    <row r="4949" spans="1:7">
      <c r="A4949" t="s">
        <v>7308</v>
      </c>
      <c r="B4949" t="s">
        <v>8273</v>
      </c>
      <c r="C4949" t="s">
        <v>8396</v>
      </c>
      <c r="D4949" t="s">
        <v>8425</v>
      </c>
      <c r="E4949" t="s">
        <v>8446</v>
      </c>
      <c r="F4949" t="s">
        <v>8448</v>
      </c>
      <c r="G4949" t="s">
        <v>8455</v>
      </c>
    </row>
    <row r="4950" spans="1:7">
      <c r="A4950" t="s">
        <v>7309</v>
      </c>
      <c r="B4950" t="s">
        <v>8273</v>
      </c>
      <c r="C4950" t="s">
        <v>8398</v>
      </c>
      <c r="D4950" t="s">
        <v>8419</v>
      </c>
      <c r="E4950" t="s">
        <v>8446</v>
      </c>
      <c r="F4950" t="s">
        <v>8449</v>
      </c>
      <c r="G4950" t="s">
        <v>8455</v>
      </c>
    </row>
    <row r="4951" spans="1:7">
      <c r="A4951" t="s">
        <v>7310</v>
      </c>
      <c r="C4951" t="s">
        <v>8394</v>
      </c>
      <c r="D4951" t="s">
        <v>8416</v>
      </c>
      <c r="E4951" t="s">
        <v>8444</v>
      </c>
      <c r="F4951" t="s">
        <v>8448</v>
      </c>
      <c r="G4951" t="s">
        <v>9306</v>
      </c>
    </row>
    <row r="4952" spans="1:7">
      <c r="A4952" t="s">
        <v>7311</v>
      </c>
      <c r="B4952" t="s">
        <v>8276</v>
      </c>
      <c r="C4952" t="s">
        <v>8398</v>
      </c>
      <c r="D4952" t="s">
        <v>8419</v>
      </c>
      <c r="E4952" t="s">
        <v>8446</v>
      </c>
      <c r="F4952" t="s">
        <v>8449</v>
      </c>
      <c r="G4952" t="s">
        <v>8455</v>
      </c>
    </row>
    <row r="4953" spans="1:7">
      <c r="A4953" t="s">
        <v>7312</v>
      </c>
      <c r="B4953" t="s">
        <v>8273</v>
      </c>
      <c r="C4953" t="s">
        <v>8394</v>
      </c>
      <c r="D4953" t="s">
        <v>8402</v>
      </c>
      <c r="E4953" t="s">
        <v>8445</v>
      </c>
      <c r="F4953" t="s">
        <v>8448</v>
      </c>
      <c r="G4953" t="s">
        <v>8455</v>
      </c>
    </row>
    <row r="4954" spans="1:7">
      <c r="A4954" t="s">
        <v>788</v>
      </c>
      <c r="C4954" t="s">
        <v>8393</v>
      </c>
      <c r="D4954" t="s">
        <v>8393</v>
      </c>
      <c r="E4954" t="s">
        <v>919</v>
      </c>
      <c r="F4954" t="s">
        <v>8393</v>
      </c>
    </row>
    <row r="4955" spans="1:7">
      <c r="A4955" t="s">
        <v>7313</v>
      </c>
      <c r="C4955" t="s">
        <v>8397</v>
      </c>
      <c r="D4955" t="s">
        <v>8418</v>
      </c>
      <c r="E4955" t="s">
        <v>8444</v>
      </c>
      <c r="F4955" t="s">
        <v>8448</v>
      </c>
      <c r="G4955" t="s">
        <v>9307</v>
      </c>
    </row>
    <row r="4956" spans="1:7">
      <c r="A4956" t="s">
        <v>7314</v>
      </c>
      <c r="C4956" t="s">
        <v>8397</v>
      </c>
      <c r="D4956" t="s">
        <v>8418</v>
      </c>
      <c r="E4956" t="s">
        <v>8444</v>
      </c>
      <c r="F4956" t="s">
        <v>8448</v>
      </c>
      <c r="G4956" t="s">
        <v>9307</v>
      </c>
    </row>
    <row r="4957" spans="1:7">
      <c r="A4957" t="s">
        <v>7315</v>
      </c>
      <c r="C4957" t="s">
        <v>8397</v>
      </c>
      <c r="D4957" t="s">
        <v>8418</v>
      </c>
      <c r="E4957" t="s">
        <v>8444</v>
      </c>
      <c r="F4957" t="s">
        <v>8448</v>
      </c>
      <c r="G4957" t="s">
        <v>9307</v>
      </c>
    </row>
    <row r="4958" spans="1:7">
      <c r="A4958" t="s">
        <v>7316</v>
      </c>
      <c r="C4958" t="s">
        <v>8397</v>
      </c>
      <c r="D4958" t="s">
        <v>8418</v>
      </c>
      <c r="E4958" t="s">
        <v>8444</v>
      </c>
      <c r="F4958" t="s">
        <v>8448</v>
      </c>
      <c r="G4958" t="s">
        <v>9307</v>
      </c>
    </row>
    <row r="4959" spans="1:7">
      <c r="A4959" t="s">
        <v>7317</v>
      </c>
      <c r="C4959" t="s">
        <v>8397</v>
      </c>
      <c r="D4959" t="s">
        <v>8418</v>
      </c>
      <c r="E4959" t="s">
        <v>8444</v>
      </c>
      <c r="F4959" t="s">
        <v>8448</v>
      </c>
      <c r="G4959" t="s">
        <v>9307</v>
      </c>
    </row>
    <row r="4960" spans="1:7">
      <c r="A4960" t="s">
        <v>7318</v>
      </c>
      <c r="C4960" t="s">
        <v>8397</v>
      </c>
      <c r="D4960" t="s">
        <v>8418</v>
      </c>
      <c r="E4960" t="s">
        <v>8444</v>
      </c>
      <c r="F4960" t="s">
        <v>8448</v>
      </c>
      <c r="G4960" t="s">
        <v>9307</v>
      </c>
    </row>
    <row r="4961" spans="1:7">
      <c r="A4961" t="s">
        <v>7319</v>
      </c>
      <c r="C4961" t="s">
        <v>8397</v>
      </c>
      <c r="D4961" t="s">
        <v>8418</v>
      </c>
      <c r="E4961" t="s">
        <v>8444</v>
      </c>
      <c r="F4961" t="s">
        <v>8448</v>
      </c>
      <c r="G4961" t="s">
        <v>9307</v>
      </c>
    </row>
    <row r="4962" spans="1:7">
      <c r="A4962" t="s">
        <v>7320</v>
      </c>
      <c r="C4962" t="s">
        <v>8397</v>
      </c>
      <c r="D4962" t="s">
        <v>8418</v>
      </c>
      <c r="E4962" t="s">
        <v>8444</v>
      </c>
      <c r="F4962" t="s">
        <v>8448</v>
      </c>
      <c r="G4962" t="s">
        <v>9307</v>
      </c>
    </row>
    <row r="4963" spans="1:7">
      <c r="A4963" t="s">
        <v>7321</v>
      </c>
      <c r="C4963" t="s">
        <v>8397</v>
      </c>
      <c r="D4963" t="s">
        <v>8418</v>
      </c>
      <c r="E4963" t="s">
        <v>8444</v>
      </c>
      <c r="F4963" t="s">
        <v>8448</v>
      </c>
      <c r="G4963" t="s">
        <v>9307</v>
      </c>
    </row>
    <row r="4964" spans="1:7">
      <c r="A4964" t="s">
        <v>7322</v>
      </c>
      <c r="C4964" t="s">
        <v>8397</v>
      </c>
      <c r="D4964" t="s">
        <v>8418</v>
      </c>
      <c r="E4964" t="s">
        <v>8444</v>
      </c>
      <c r="F4964" t="s">
        <v>8448</v>
      </c>
      <c r="G4964" t="s">
        <v>9307</v>
      </c>
    </row>
    <row r="4965" spans="1:7">
      <c r="A4965" t="s">
        <v>7323</v>
      </c>
      <c r="C4965" t="s">
        <v>8397</v>
      </c>
      <c r="D4965" t="s">
        <v>8418</v>
      </c>
      <c r="E4965" t="s">
        <v>8445</v>
      </c>
      <c r="F4965" t="s">
        <v>8448</v>
      </c>
      <c r="G4965" t="s">
        <v>9307</v>
      </c>
    </row>
    <row r="4966" spans="1:7">
      <c r="A4966" t="s">
        <v>7324</v>
      </c>
      <c r="C4966" t="s">
        <v>8397</v>
      </c>
      <c r="D4966" t="s">
        <v>8418</v>
      </c>
      <c r="E4966" t="s">
        <v>8444</v>
      </c>
      <c r="F4966" t="s">
        <v>8448</v>
      </c>
      <c r="G4966" t="s">
        <v>9307</v>
      </c>
    </row>
    <row r="4967" spans="1:7">
      <c r="A4967" t="s">
        <v>7325</v>
      </c>
      <c r="C4967" t="s">
        <v>8397</v>
      </c>
      <c r="D4967" t="s">
        <v>8418</v>
      </c>
      <c r="E4967" t="s">
        <v>8444</v>
      </c>
      <c r="F4967" t="s">
        <v>8448</v>
      </c>
      <c r="G4967" t="s">
        <v>9307</v>
      </c>
    </row>
    <row r="4968" spans="1:7">
      <c r="A4968" t="s">
        <v>7326</v>
      </c>
      <c r="C4968" t="s">
        <v>8397</v>
      </c>
      <c r="D4968" t="s">
        <v>8418</v>
      </c>
      <c r="E4968" t="s">
        <v>8444</v>
      </c>
      <c r="F4968" t="s">
        <v>8448</v>
      </c>
      <c r="G4968" t="s">
        <v>9307</v>
      </c>
    </row>
    <row r="4969" spans="1:7">
      <c r="A4969" t="s">
        <v>7327</v>
      </c>
      <c r="C4969" t="s">
        <v>8397</v>
      </c>
      <c r="D4969" t="s">
        <v>8418</v>
      </c>
      <c r="E4969" t="s">
        <v>8444</v>
      </c>
      <c r="F4969" t="s">
        <v>8448</v>
      </c>
      <c r="G4969" t="s">
        <v>9307</v>
      </c>
    </row>
    <row r="4970" spans="1:7">
      <c r="A4970" t="s">
        <v>7328</v>
      </c>
      <c r="C4970" t="s">
        <v>8397</v>
      </c>
      <c r="D4970" t="s">
        <v>8418</v>
      </c>
      <c r="E4970" t="s">
        <v>8446</v>
      </c>
      <c r="F4970" t="s">
        <v>8448</v>
      </c>
      <c r="G4970" t="s">
        <v>9308</v>
      </c>
    </row>
    <row r="4971" spans="1:7">
      <c r="A4971" t="s">
        <v>7329</v>
      </c>
      <c r="C4971" t="s">
        <v>8397</v>
      </c>
      <c r="D4971" t="s">
        <v>8408</v>
      </c>
      <c r="E4971" t="s">
        <v>8445</v>
      </c>
      <c r="F4971" t="s">
        <v>8450</v>
      </c>
    </row>
    <row r="4972" spans="1:7">
      <c r="A4972" t="s">
        <v>7330</v>
      </c>
      <c r="C4972" t="s">
        <v>8392</v>
      </c>
      <c r="D4972" t="s">
        <v>8415</v>
      </c>
      <c r="E4972" t="s">
        <v>8445</v>
      </c>
      <c r="F4972" t="s">
        <v>8448</v>
      </c>
      <c r="G4972" t="s">
        <v>9309</v>
      </c>
    </row>
    <row r="4973" spans="1:7">
      <c r="A4973" t="s">
        <v>7331</v>
      </c>
      <c r="B4973" t="s">
        <v>8273</v>
      </c>
      <c r="C4973" t="s">
        <v>8394</v>
      </c>
      <c r="D4973" t="s">
        <v>8414</v>
      </c>
      <c r="E4973" t="s">
        <v>8444</v>
      </c>
      <c r="F4973" t="s">
        <v>8448</v>
      </c>
      <c r="G4973" t="s">
        <v>8455</v>
      </c>
    </row>
    <row r="4974" spans="1:7">
      <c r="A4974" t="s">
        <v>7332</v>
      </c>
      <c r="B4974" t="s">
        <v>8273</v>
      </c>
      <c r="C4974" t="s">
        <v>8395</v>
      </c>
      <c r="D4974" t="s">
        <v>8419</v>
      </c>
      <c r="E4974" t="s">
        <v>8444</v>
      </c>
      <c r="F4974" t="s">
        <v>8448</v>
      </c>
      <c r="G4974" t="s">
        <v>8455</v>
      </c>
    </row>
    <row r="4975" spans="1:7">
      <c r="A4975" t="s">
        <v>7333</v>
      </c>
      <c r="B4975" t="s">
        <v>8286</v>
      </c>
      <c r="C4975" t="s">
        <v>8396</v>
      </c>
      <c r="D4975" t="s">
        <v>8406</v>
      </c>
      <c r="E4975" t="s">
        <v>8446</v>
      </c>
      <c r="F4975" t="s">
        <v>8449</v>
      </c>
      <c r="G4975" t="s">
        <v>8455</v>
      </c>
    </row>
    <row r="4976" spans="1:7">
      <c r="A4976" t="s">
        <v>7334</v>
      </c>
      <c r="B4976" t="s">
        <v>8273</v>
      </c>
      <c r="C4976" t="s">
        <v>8398</v>
      </c>
      <c r="D4976" t="s">
        <v>8419</v>
      </c>
      <c r="E4976" t="s">
        <v>1519</v>
      </c>
      <c r="F4976" t="s">
        <v>8449</v>
      </c>
      <c r="G4976" t="s">
        <v>8463</v>
      </c>
    </row>
    <row r="4977" spans="1:7">
      <c r="A4977" t="s">
        <v>7335</v>
      </c>
      <c r="B4977" t="s">
        <v>8273</v>
      </c>
      <c r="C4977" t="s">
        <v>8397</v>
      </c>
      <c r="D4977" t="s">
        <v>8430</v>
      </c>
      <c r="E4977" t="s">
        <v>1587</v>
      </c>
      <c r="F4977" t="s">
        <v>8450</v>
      </c>
      <c r="G4977" t="s">
        <v>9310</v>
      </c>
    </row>
    <row r="4978" spans="1:7">
      <c r="A4978" t="s">
        <v>7336</v>
      </c>
      <c r="B4978" t="s">
        <v>8370</v>
      </c>
      <c r="C4978" t="s">
        <v>8397</v>
      </c>
      <c r="D4978" t="s">
        <v>8430</v>
      </c>
      <c r="E4978" t="s">
        <v>1587</v>
      </c>
      <c r="F4978" t="s">
        <v>8450</v>
      </c>
      <c r="G4978" t="s">
        <v>8455</v>
      </c>
    </row>
    <row r="4979" spans="1:7">
      <c r="A4979" t="s">
        <v>7337</v>
      </c>
      <c r="C4979" t="s">
        <v>8393</v>
      </c>
      <c r="D4979" t="s">
        <v>8393</v>
      </c>
      <c r="E4979" t="s">
        <v>919</v>
      </c>
      <c r="F4979" t="s">
        <v>8393</v>
      </c>
    </row>
    <row r="4980" spans="1:7">
      <c r="A4980" t="s">
        <v>7338</v>
      </c>
      <c r="B4980" t="s">
        <v>8278</v>
      </c>
      <c r="C4980" t="s">
        <v>8395</v>
      </c>
      <c r="D4980" t="s">
        <v>8423</v>
      </c>
      <c r="E4980" t="s">
        <v>8444</v>
      </c>
      <c r="F4980" t="s">
        <v>8448</v>
      </c>
      <c r="G4980" t="s">
        <v>8455</v>
      </c>
    </row>
    <row r="4981" spans="1:7">
      <c r="A4981" t="s">
        <v>7339</v>
      </c>
      <c r="B4981" t="s">
        <v>8281</v>
      </c>
      <c r="C4981" t="s">
        <v>8395</v>
      </c>
      <c r="D4981" t="s">
        <v>8423</v>
      </c>
      <c r="E4981" t="s">
        <v>8444</v>
      </c>
      <c r="F4981" t="s">
        <v>8448</v>
      </c>
      <c r="G4981" t="s">
        <v>8455</v>
      </c>
    </row>
    <row r="4982" spans="1:7">
      <c r="A4982" t="s">
        <v>7340</v>
      </c>
      <c r="C4982" t="s">
        <v>8393</v>
      </c>
      <c r="D4982" t="s">
        <v>8393</v>
      </c>
      <c r="E4982" t="s">
        <v>919</v>
      </c>
      <c r="F4982" t="s">
        <v>8393</v>
      </c>
    </row>
    <row r="4983" spans="1:7">
      <c r="A4983" t="s">
        <v>7341</v>
      </c>
      <c r="B4983" t="s">
        <v>8273</v>
      </c>
      <c r="C4983" t="s">
        <v>8395</v>
      </c>
      <c r="D4983" t="s">
        <v>8400</v>
      </c>
      <c r="E4983" t="s">
        <v>8446</v>
      </c>
      <c r="F4983" t="s">
        <v>8449</v>
      </c>
      <c r="G4983" t="s">
        <v>8455</v>
      </c>
    </row>
    <row r="4984" spans="1:7">
      <c r="A4984" t="s">
        <v>7342</v>
      </c>
      <c r="B4984" t="s">
        <v>8277</v>
      </c>
      <c r="C4984" t="s">
        <v>8395</v>
      </c>
      <c r="D4984" t="s">
        <v>8400</v>
      </c>
      <c r="E4984" t="s">
        <v>8446</v>
      </c>
      <c r="F4984" t="s">
        <v>8449</v>
      </c>
      <c r="G4984" t="s">
        <v>8455</v>
      </c>
    </row>
    <row r="4985" spans="1:7">
      <c r="A4985" t="s">
        <v>7343</v>
      </c>
      <c r="B4985" t="s">
        <v>8299</v>
      </c>
      <c r="C4985" t="s">
        <v>8397</v>
      </c>
      <c r="D4985" t="s">
        <v>8431</v>
      </c>
      <c r="E4985" t="s">
        <v>8444</v>
      </c>
      <c r="F4985" t="s">
        <v>8448</v>
      </c>
      <c r="G4985" t="s">
        <v>8455</v>
      </c>
    </row>
    <row r="4986" spans="1:7">
      <c r="A4986" t="s">
        <v>7344</v>
      </c>
      <c r="C4986" t="s">
        <v>8393</v>
      </c>
      <c r="D4986" t="s">
        <v>8393</v>
      </c>
      <c r="E4986" t="s">
        <v>919</v>
      </c>
      <c r="F4986" t="s">
        <v>8393</v>
      </c>
    </row>
    <row r="4987" spans="1:7">
      <c r="A4987" t="s">
        <v>7345</v>
      </c>
      <c r="B4987" t="s">
        <v>8273</v>
      </c>
      <c r="C4987" t="s">
        <v>8396</v>
      </c>
      <c r="D4987" t="s">
        <v>8425</v>
      </c>
      <c r="E4987" t="s">
        <v>8445</v>
      </c>
      <c r="F4987" t="s">
        <v>8447</v>
      </c>
      <c r="G4987" t="s">
        <v>9311</v>
      </c>
    </row>
    <row r="4988" spans="1:7">
      <c r="A4988" t="s">
        <v>7346</v>
      </c>
      <c r="C4988" t="s">
        <v>8392</v>
      </c>
      <c r="D4988" t="s">
        <v>8400</v>
      </c>
      <c r="E4988" t="s">
        <v>8445</v>
      </c>
      <c r="F4988" t="s">
        <v>8447</v>
      </c>
      <c r="G4988" t="s">
        <v>9312</v>
      </c>
    </row>
    <row r="4989" spans="1:7">
      <c r="A4989" t="s">
        <v>7347</v>
      </c>
      <c r="B4989" t="s">
        <v>8273</v>
      </c>
      <c r="C4989" t="s">
        <v>8398</v>
      </c>
      <c r="D4989" t="s">
        <v>8419</v>
      </c>
      <c r="E4989" t="s">
        <v>8446</v>
      </c>
      <c r="F4989" t="s">
        <v>8449</v>
      </c>
      <c r="G4989" t="s">
        <v>8519</v>
      </c>
    </row>
    <row r="4990" spans="1:7">
      <c r="A4990" t="s">
        <v>7348</v>
      </c>
      <c r="C4990" t="s">
        <v>8393</v>
      </c>
      <c r="D4990" t="s">
        <v>8393</v>
      </c>
      <c r="E4990" t="s">
        <v>919</v>
      </c>
      <c r="F4990" t="s">
        <v>8393</v>
      </c>
    </row>
    <row r="4991" spans="1:7">
      <c r="A4991" t="s">
        <v>7349</v>
      </c>
      <c r="B4991" t="s">
        <v>8273</v>
      </c>
      <c r="C4991" t="s">
        <v>8394</v>
      </c>
      <c r="D4991" t="s">
        <v>8402</v>
      </c>
      <c r="E4991" t="s">
        <v>8445</v>
      </c>
      <c r="F4991" t="s">
        <v>8449</v>
      </c>
      <c r="G4991" t="s">
        <v>9313</v>
      </c>
    </row>
    <row r="4992" spans="1:7">
      <c r="A4992" t="s">
        <v>7350</v>
      </c>
      <c r="B4992" t="s">
        <v>8273</v>
      </c>
      <c r="C4992" t="s">
        <v>8394</v>
      </c>
      <c r="D4992" t="s">
        <v>8402</v>
      </c>
      <c r="E4992" t="s">
        <v>8445</v>
      </c>
      <c r="F4992" t="s">
        <v>8449</v>
      </c>
      <c r="G4992" t="s">
        <v>9314</v>
      </c>
    </row>
    <row r="4993" spans="1:7">
      <c r="A4993" t="s">
        <v>7351</v>
      </c>
      <c r="B4993" t="s">
        <v>8273</v>
      </c>
      <c r="C4993" t="s">
        <v>8394</v>
      </c>
      <c r="D4993" t="s">
        <v>8402</v>
      </c>
      <c r="E4993" t="s">
        <v>8444</v>
      </c>
      <c r="F4993" t="s">
        <v>8449</v>
      </c>
      <c r="G4993" t="s">
        <v>8455</v>
      </c>
    </row>
    <row r="4994" spans="1:7">
      <c r="A4994" t="s">
        <v>7352</v>
      </c>
      <c r="B4994" t="s">
        <v>8273</v>
      </c>
      <c r="C4994" t="s">
        <v>8394</v>
      </c>
      <c r="D4994" t="s">
        <v>8402</v>
      </c>
      <c r="E4994" t="s">
        <v>8445</v>
      </c>
      <c r="F4994" t="s">
        <v>8449</v>
      </c>
      <c r="G4994" t="s">
        <v>9314</v>
      </c>
    </row>
    <row r="4995" spans="1:7">
      <c r="A4995" t="s">
        <v>7353</v>
      </c>
      <c r="B4995" t="s">
        <v>8273</v>
      </c>
      <c r="C4995" t="s">
        <v>8394</v>
      </c>
      <c r="D4995" t="s">
        <v>8402</v>
      </c>
      <c r="E4995" t="s">
        <v>8444</v>
      </c>
      <c r="F4995" t="s">
        <v>8449</v>
      </c>
      <c r="G4995" t="s">
        <v>8455</v>
      </c>
    </row>
    <row r="4996" spans="1:7">
      <c r="A4996" t="s">
        <v>7354</v>
      </c>
      <c r="B4996" t="s">
        <v>8273</v>
      </c>
      <c r="C4996" t="s">
        <v>8394</v>
      </c>
      <c r="D4996" t="s">
        <v>8402</v>
      </c>
      <c r="E4996" t="s">
        <v>8445</v>
      </c>
      <c r="F4996" t="s">
        <v>8449</v>
      </c>
      <c r="G4996" t="s">
        <v>9314</v>
      </c>
    </row>
    <row r="4997" spans="1:7">
      <c r="A4997" t="s">
        <v>7355</v>
      </c>
      <c r="C4997" t="s">
        <v>8393</v>
      </c>
      <c r="D4997" t="s">
        <v>8393</v>
      </c>
      <c r="E4997" t="s">
        <v>919</v>
      </c>
      <c r="F4997" t="s">
        <v>8393</v>
      </c>
    </row>
    <row r="4998" spans="1:7">
      <c r="A4998" t="s">
        <v>7356</v>
      </c>
      <c r="B4998" t="s">
        <v>8273</v>
      </c>
      <c r="C4998" t="s">
        <v>8394</v>
      </c>
      <c r="D4998" t="s">
        <v>8429</v>
      </c>
      <c r="E4998" t="s">
        <v>8444</v>
      </c>
      <c r="F4998" t="s">
        <v>8449</v>
      </c>
      <c r="G4998" t="s">
        <v>8455</v>
      </c>
    </row>
    <row r="4999" spans="1:7">
      <c r="A4999" t="s">
        <v>7357</v>
      </c>
      <c r="B4999" t="s">
        <v>8273</v>
      </c>
      <c r="C4999" t="s">
        <v>8394</v>
      </c>
      <c r="D4999" t="s">
        <v>8429</v>
      </c>
      <c r="E4999" t="s">
        <v>8444</v>
      </c>
      <c r="F4999" t="s">
        <v>8449</v>
      </c>
      <c r="G4999" t="s">
        <v>8455</v>
      </c>
    </row>
    <row r="5000" spans="1:7">
      <c r="A5000" t="s">
        <v>7358</v>
      </c>
      <c r="B5000" t="s">
        <v>8273</v>
      </c>
      <c r="C5000" t="s">
        <v>8392</v>
      </c>
      <c r="D5000" t="s">
        <v>8400</v>
      </c>
      <c r="E5000" t="s">
        <v>8446</v>
      </c>
      <c r="F5000" t="s">
        <v>8449</v>
      </c>
      <c r="G5000" t="s">
        <v>8455</v>
      </c>
    </row>
    <row r="5001" spans="1:7">
      <c r="A5001" t="s">
        <v>7359</v>
      </c>
      <c r="C5001" t="s">
        <v>8394</v>
      </c>
      <c r="D5001" t="s">
        <v>8414</v>
      </c>
      <c r="E5001" t="s">
        <v>8445</v>
      </c>
      <c r="F5001" t="s">
        <v>8448</v>
      </c>
      <c r="G5001" t="s">
        <v>9315</v>
      </c>
    </row>
    <row r="5002" spans="1:7">
      <c r="A5002" t="s">
        <v>7360</v>
      </c>
      <c r="B5002" t="s">
        <v>8273</v>
      </c>
      <c r="C5002" t="s">
        <v>8395</v>
      </c>
      <c r="D5002" t="s">
        <v>8427</v>
      </c>
      <c r="E5002" t="s">
        <v>8446</v>
      </c>
      <c r="F5002" t="s">
        <v>8448</v>
      </c>
      <c r="G5002" t="s">
        <v>9316</v>
      </c>
    </row>
    <row r="5003" spans="1:7">
      <c r="A5003" t="s">
        <v>7361</v>
      </c>
      <c r="B5003" t="s">
        <v>8273</v>
      </c>
      <c r="C5003" t="s">
        <v>8398</v>
      </c>
      <c r="D5003" t="s">
        <v>8419</v>
      </c>
      <c r="E5003" t="s">
        <v>1587</v>
      </c>
      <c r="F5003" t="s">
        <v>8447</v>
      </c>
      <c r="G5003" t="s">
        <v>8463</v>
      </c>
    </row>
    <row r="5004" spans="1:7">
      <c r="A5004" t="s">
        <v>7362</v>
      </c>
      <c r="C5004" t="s">
        <v>8394</v>
      </c>
      <c r="D5004" t="s">
        <v>8407</v>
      </c>
      <c r="E5004" t="s">
        <v>8444</v>
      </c>
      <c r="F5004" t="s">
        <v>8448</v>
      </c>
      <c r="G5004" t="s">
        <v>9317</v>
      </c>
    </row>
    <row r="5005" spans="1:7">
      <c r="A5005" t="s">
        <v>7363</v>
      </c>
      <c r="C5005" t="s">
        <v>8394</v>
      </c>
      <c r="D5005" t="s">
        <v>8402</v>
      </c>
      <c r="E5005" t="s">
        <v>8445</v>
      </c>
      <c r="F5005" t="s">
        <v>8448</v>
      </c>
      <c r="G5005" t="s">
        <v>9318</v>
      </c>
    </row>
    <row r="5006" spans="1:7">
      <c r="A5006" t="s">
        <v>7364</v>
      </c>
      <c r="B5006" t="s">
        <v>8273</v>
      </c>
      <c r="C5006" t="s">
        <v>8394</v>
      </c>
      <c r="D5006" t="s">
        <v>8407</v>
      </c>
      <c r="E5006" t="s">
        <v>8445</v>
      </c>
      <c r="F5006" t="s">
        <v>8448</v>
      </c>
      <c r="G5006" t="s">
        <v>9319</v>
      </c>
    </row>
    <row r="5007" spans="1:7">
      <c r="A5007" t="s">
        <v>7365</v>
      </c>
      <c r="B5007" t="s">
        <v>8273</v>
      </c>
      <c r="C5007" t="s">
        <v>8392</v>
      </c>
      <c r="D5007" t="s">
        <v>8400</v>
      </c>
      <c r="E5007" t="s">
        <v>1587</v>
      </c>
      <c r="F5007" t="s">
        <v>8447</v>
      </c>
      <c r="G5007" t="s">
        <v>795</v>
      </c>
    </row>
    <row r="5008" spans="1:7">
      <c r="A5008" t="s">
        <v>7366</v>
      </c>
      <c r="B5008" t="s">
        <v>8273</v>
      </c>
      <c r="C5008" t="s">
        <v>8395</v>
      </c>
      <c r="D5008" t="s">
        <v>8416</v>
      </c>
      <c r="E5008" t="s">
        <v>8446</v>
      </c>
      <c r="F5008" t="s">
        <v>8448</v>
      </c>
      <c r="G5008" t="s">
        <v>8455</v>
      </c>
    </row>
    <row r="5009" spans="1:7">
      <c r="A5009" t="s">
        <v>7367</v>
      </c>
      <c r="B5009" t="s">
        <v>8273</v>
      </c>
      <c r="C5009" t="s">
        <v>8394</v>
      </c>
      <c r="D5009" t="s">
        <v>8402</v>
      </c>
      <c r="E5009" t="s">
        <v>8446</v>
      </c>
      <c r="F5009" t="s">
        <v>8448</v>
      </c>
      <c r="G5009" t="s">
        <v>9320</v>
      </c>
    </row>
    <row r="5010" spans="1:7">
      <c r="A5010" t="s">
        <v>7368</v>
      </c>
      <c r="C5010" t="s">
        <v>8392</v>
      </c>
      <c r="D5010" t="s">
        <v>8400</v>
      </c>
      <c r="E5010" t="s">
        <v>1587</v>
      </c>
      <c r="F5010" t="s">
        <v>8447</v>
      </c>
      <c r="G5010" t="s">
        <v>9321</v>
      </c>
    </row>
    <row r="5011" spans="1:7">
      <c r="A5011" t="s">
        <v>7369</v>
      </c>
      <c r="C5011" t="s">
        <v>8393</v>
      </c>
      <c r="D5011" t="s">
        <v>8393</v>
      </c>
      <c r="E5011" t="s">
        <v>919</v>
      </c>
      <c r="F5011" t="s">
        <v>8393</v>
      </c>
    </row>
    <row r="5012" spans="1:7">
      <c r="A5012" t="s">
        <v>7370</v>
      </c>
      <c r="B5012" t="s">
        <v>8273</v>
      </c>
      <c r="C5012" t="s">
        <v>8398</v>
      </c>
      <c r="D5012" t="s">
        <v>8410</v>
      </c>
      <c r="E5012" t="s">
        <v>8445</v>
      </c>
      <c r="F5012" t="s">
        <v>8448</v>
      </c>
      <c r="G5012" t="s">
        <v>8455</v>
      </c>
    </row>
    <row r="5013" spans="1:7">
      <c r="A5013" t="s">
        <v>7371</v>
      </c>
      <c r="B5013" t="s">
        <v>8277</v>
      </c>
      <c r="C5013" t="s">
        <v>8398</v>
      </c>
      <c r="D5013" t="s">
        <v>8410</v>
      </c>
      <c r="E5013" t="s">
        <v>8445</v>
      </c>
      <c r="F5013" t="s">
        <v>8448</v>
      </c>
      <c r="G5013" t="s">
        <v>8455</v>
      </c>
    </row>
    <row r="5014" spans="1:7">
      <c r="A5014" t="s">
        <v>7372</v>
      </c>
      <c r="C5014" t="s">
        <v>8398</v>
      </c>
      <c r="D5014" t="s">
        <v>8409</v>
      </c>
      <c r="E5014" t="s">
        <v>1519</v>
      </c>
      <c r="F5014" t="s">
        <v>8448</v>
      </c>
      <c r="G5014" t="s">
        <v>8463</v>
      </c>
    </row>
    <row r="5015" spans="1:7">
      <c r="A5015" t="s">
        <v>7373</v>
      </c>
      <c r="C5015" t="s">
        <v>8394</v>
      </c>
      <c r="D5015" t="s">
        <v>8414</v>
      </c>
      <c r="E5015" t="s">
        <v>8445</v>
      </c>
      <c r="F5015" t="s">
        <v>8448</v>
      </c>
      <c r="G5015" t="s">
        <v>8453</v>
      </c>
    </row>
    <row r="5016" spans="1:7">
      <c r="A5016" t="s">
        <v>7374</v>
      </c>
      <c r="C5016" t="s">
        <v>8393</v>
      </c>
      <c r="D5016" t="s">
        <v>8393</v>
      </c>
      <c r="E5016" t="s">
        <v>919</v>
      </c>
      <c r="F5016" t="s">
        <v>8393</v>
      </c>
    </row>
    <row r="5017" spans="1:7">
      <c r="A5017" t="s">
        <v>7375</v>
      </c>
      <c r="B5017" t="s">
        <v>8273</v>
      </c>
      <c r="C5017" t="s">
        <v>8395</v>
      </c>
      <c r="D5017" t="s">
        <v>8400</v>
      </c>
      <c r="E5017" t="s">
        <v>8446</v>
      </c>
      <c r="F5017" t="s">
        <v>8448</v>
      </c>
      <c r="G5017" t="s">
        <v>9322</v>
      </c>
    </row>
    <row r="5018" spans="1:7">
      <c r="A5018" t="s">
        <v>7376</v>
      </c>
      <c r="B5018" t="s">
        <v>8285</v>
      </c>
      <c r="C5018" t="s">
        <v>8395</v>
      </c>
      <c r="D5018" t="s">
        <v>8400</v>
      </c>
      <c r="E5018" t="s">
        <v>8446</v>
      </c>
      <c r="F5018" t="s">
        <v>8449</v>
      </c>
      <c r="G5018" t="s">
        <v>8455</v>
      </c>
    </row>
    <row r="5019" spans="1:7">
      <c r="A5019" t="s">
        <v>7377</v>
      </c>
      <c r="B5019" t="s">
        <v>8273</v>
      </c>
      <c r="C5019" t="s">
        <v>8392</v>
      </c>
      <c r="D5019" t="s">
        <v>8400</v>
      </c>
      <c r="E5019" t="s">
        <v>8446</v>
      </c>
      <c r="F5019" t="s">
        <v>8448</v>
      </c>
      <c r="G5019" t="s">
        <v>8455</v>
      </c>
    </row>
    <row r="5020" spans="1:7">
      <c r="A5020" t="s">
        <v>7378</v>
      </c>
      <c r="B5020" t="s">
        <v>8277</v>
      </c>
      <c r="C5020" t="s">
        <v>8395</v>
      </c>
      <c r="D5020" t="s">
        <v>8400</v>
      </c>
      <c r="E5020" t="s">
        <v>8446</v>
      </c>
      <c r="F5020" t="s">
        <v>8449</v>
      </c>
      <c r="G5020" t="s">
        <v>8455</v>
      </c>
    </row>
    <row r="5021" spans="1:7">
      <c r="A5021" t="s">
        <v>7379</v>
      </c>
      <c r="C5021" t="s">
        <v>8393</v>
      </c>
      <c r="D5021" t="s">
        <v>8393</v>
      </c>
      <c r="E5021" t="s">
        <v>919</v>
      </c>
      <c r="F5021" t="s">
        <v>8393</v>
      </c>
    </row>
    <row r="5022" spans="1:7">
      <c r="A5022" t="s">
        <v>7380</v>
      </c>
      <c r="B5022" t="s">
        <v>8273</v>
      </c>
      <c r="C5022" t="s">
        <v>8395</v>
      </c>
      <c r="D5022" t="s">
        <v>8443</v>
      </c>
      <c r="E5022" t="s">
        <v>8446</v>
      </c>
      <c r="F5022" t="s">
        <v>8449</v>
      </c>
      <c r="G5022" t="s">
        <v>8455</v>
      </c>
    </row>
    <row r="5023" spans="1:7">
      <c r="A5023" t="s">
        <v>7381</v>
      </c>
      <c r="B5023" t="s">
        <v>8278</v>
      </c>
      <c r="C5023" t="s">
        <v>8395</v>
      </c>
      <c r="D5023" t="s">
        <v>8423</v>
      </c>
      <c r="E5023" t="s">
        <v>8446</v>
      </c>
      <c r="F5023" t="s">
        <v>8449</v>
      </c>
      <c r="G5023" t="s">
        <v>8455</v>
      </c>
    </row>
    <row r="5024" spans="1:7">
      <c r="A5024" t="s">
        <v>7382</v>
      </c>
      <c r="B5024" t="s">
        <v>8278</v>
      </c>
      <c r="C5024" t="s">
        <v>8394</v>
      </c>
      <c r="D5024" t="s">
        <v>8423</v>
      </c>
      <c r="E5024" t="s">
        <v>8446</v>
      </c>
      <c r="F5024" t="s">
        <v>8449</v>
      </c>
      <c r="G5024" t="s">
        <v>8455</v>
      </c>
    </row>
    <row r="5025" spans="1:7">
      <c r="A5025" t="s">
        <v>7383</v>
      </c>
      <c r="B5025" t="s">
        <v>8284</v>
      </c>
      <c r="C5025" t="s">
        <v>8394</v>
      </c>
      <c r="D5025" t="s">
        <v>8423</v>
      </c>
      <c r="E5025" t="s">
        <v>8446</v>
      </c>
      <c r="F5025" t="s">
        <v>8449</v>
      </c>
      <c r="G5025" t="s">
        <v>8455</v>
      </c>
    </row>
    <row r="5026" spans="1:7">
      <c r="A5026" t="s">
        <v>7384</v>
      </c>
      <c r="B5026" t="s">
        <v>8311</v>
      </c>
      <c r="C5026" t="s">
        <v>8394</v>
      </c>
      <c r="D5026" t="s">
        <v>8423</v>
      </c>
      <c r="E5026" t="s">
        <v>8446</v>
      </c>
      <c r="F5026" t="s">
        <v>8449</v>
      </c>
      <c r="G5026" t="s">
        <v>8455</v>
      </c>
    </row>
    <row r="5027" spans="1:7">
      <c r="A5027" t="s">
        <v>7385</v>
      </c>
      <c r="B5027" t="s">
        <v>8280</v>
      </c>
      <c r="C5027" t="s">
        <v>8394</v>
      </c>
      <c r="D5027" t="s">
        <v>8423</v>
      </c>
      <c r="E5027" t="s">
        <v>8446</v>
      </c>
      <c r="F5027" t="s">
        <v>8449</v>
      </c>
      <c r="G5027" t="s">
        <v>8455</v>
      </c>
    </row>
    <row r="5028" spans="1:7">
      <c r="A5028" t="s">
        <v>7386</v>
      </c>
      <c r="C5028" t="s">
        <v>8394</v>
      </c>
      <c r="D5028" t="s">
        <v>8413</v>
      </c>
      <c r="E5028" t="s">
        <v>8445</v>
      </c>
      <c r="F5028" t="s">
        <v>8448</v>
      </c>
      <c r="G5028" t="s">
        <v>9323</v>
      </c>
    </row>
    <row r="5029" spans="1:7">
      <c r="A5029" t="s">
        <v>7387</v>
      </c>
      <c r="B5029" t="s">
        <v>8273</v>
      </c>
      <c r="C5029" t="s">
        <v>8392</v>
      </c>
      <c r="D5029" t="s">
        <v>8415</v>
      </c>
      <c r="E5029" t="s">
        <v>8445</v>
      </c>
      <c r="F5029" t="s">
        <v>8448</v>
      </c>
      <c r="G5029" t="s">
        <v>9324</v>
      </c>
    </row>
    <row r="5030" spans="1:7">
      <c r="A5030" t="s">
        <v>7388</v>
      </c>
      <c r="B5030" t="s">
        <v>8273</v>
      </c>
      <c r="C5030" t="s">
        <v>8395</v>
      </c>
      <c r="D5030" t="s">
        <v>8416</v>
      </c>
      <c r="E5030" t="s">
        <v>8444</v>
      </c>
      <c r="F5030" t="s">
        <v>8449</v>
      </c>
      <c r="G5030" t="s">
        <v>796</v>
      </c>
    </row>
    <row r="5031" spans="1:7">
      <c r="A5031" t="s">
        <v>7389</v>
      </c>
      <c r="B5031" t="s">
        <v>8273</v>
      </c>
      <c r="C5031" t="s">
        <v>8396</v>
      </c>
      <c r="D5031" t="s">
        <v>8405</v>
      </c>
      <c r="E5031" t="s">
        <v>8446</v>
      </c>
      <c r="F5031" t="s">
        <v>8449</v>
      </c>
      <c r="G5031" t="s">
        <v>8455</v>
      </c>
    </row>
    <row r="5032" spans="1:7">
      <c r="A5032" t="s">
        <v>7390</v>
      </c>
      <c r="C5032" t="s">
        <v>8393</v>
      </c>
      <c r="D5032" t="s">
        <v>8393</v>
      </c>
      <c r="E5032" t="s">
        <v>919</v>
      </c>
      <c r="F5032" t="s">
        <v>8393</v>
      </c>
    </row>
    <row r="5033" spans="1:7">
      <c r="A5033" t="s">
        <v>7391</v>
      </c>
      <c r="B5033" t="s">
        <v>8273</v>
      </c>
      <c r="C5033" t="s">
        <v>8396</v>
      </c>
      <c r="D5033" t="s">
        <v>8425</v>
      </c>
      <c r="E5033" t="s">
        <v>8445</v>
      </c>
      <c r="F5033" t="s">
        <v>8448</v>
      </c>
      <c r="G5033" t="s">
        <v>9325</v>
      </c>
    </row>
    <row r="5034" spans="1:7">
      <c r="A5034" t="s">
        <v>7392</v>
      </c>
      <c r="B5034" t="s">
        <v>8273</v>
      </c>
      <c r="C5034" t="s">
        <v>8396</v>
      </c>
      <c r="D5034" t="s">
        <v>8425</v>
      </c>
      <c r="E5034" t="s">
        <v>8444</v>
      </c>
      <c r="F5034" t="s">
        <v>8447</v>
      </c>
      <c r="G5034" t="s">
        <v>9326</v>
      </c>
    </row>
    <row r="5035" spans="1:7">
      <c r="A5035" t="s">
        <v>7393</v>
      </c>
      <c r="B5035" t="s">
        <v>8273</v>
      </c>
      <c r="C5035" t="s">
        <v>8394</v>
      </c>
      <c r="D5035" t="s">
        <v>8414</v>
      </c>
      <c r="E5035" t="s">
        <v>8445</v>
      </c>
      <c r="F5035" t="s">
        <v>8448</v>
      </c>
      <c r="G5035" t="s">
        <v>8453</v>
      </c>
    </row>
    <row r="5036" spans="1:7">
      <c r="A5036" t="s">
        <v>7394</v>
      </c>
      <c r="B5036" t="s">
        <v>8295</v>
      </c>
      <c r="C5036" t="s">
        <v>8398</v>
      </c>
      <c r="D5036" t="s">
        <v>8419</v>
      </c>
      <c r="E5036" t="s">
        <v>8444</v>
      </c>
      <c r="F5036" t="s">
        <v>8449</v>
      </c>
      <c r="G5036" t="s">
        <v>8455</v>
      </c>
    </row>
    <row r="5037" spans="1:7">
      <c r="A5037" t="s">
        <v>7395</v>
      </c>
      <c r="B5037" t="s">
        <v>8273</v>
      </c>
      <c r="C5037" t="s">
        <v>8392</v>
      </c>
      <c r="D5037" t="s">
        <v>8415</v>
      </c>
      <c r="E5037" t="s">
        <v>8446</v>
      </c>
      <c r="F5037" t="s">
        <v>8449</v>
      </c>
      <c r="G5037" t="s">
        <v>9327</v>
      </c>
    </row>
    <row r="5038" spans="1:7">
      <c r="A5038" t="s">
        <v>7396</v>
      </c>
      <c r="B5038" t="s">
        <v>8299</v>
      </c>
      <c r="C5038" t="s">
        <v>8397</v>
      </c>
      <c r="D5038" t="s">
        <v>8431</v>
      </c>
      <c r="E5038" t="s">
        <v>8445</v>
      </c>
      <c r="F5038" t="s">
        <v>8448</v>
      </c>
      <c r="G5038" t="s">
        <v>8474</v>
      </c>
    </row>
    <row r="5039" spans="1:7">
      <c r="A5039" t="s">
        <v>7397</v>
      </c>
      <c r="B5039" t="s">
        <v>8273</v>
      </c>
      <c r="C5039" t="s">
        <v>8395</v>
      </c>
      <c r="D5039" t="s">
        <v>8416</v>
      </c>
      <c r="E5039" t="s">
        <v>8446</v>
      </c>
      <c r="F5039" t="s">
        <v>8448</v>
      </c>
      <c r="G5039" t="s">
        <v>8455</v>
      </c>
    </row>
    <row r="5040" spans="1:7">
      <c r="A5040" t="s">
        <v>7398</v>
      </c>
      <c r="B5040" t="s">
        <v>8273</v>
      </c>
      <c r="C5040" t="s">
        <v>8396</v>
      </c>
      <c r="D5040" t="s">
        <v>8425</v>
      </c>
      <c r="E5040" t="s">
        <v>8444</v>
      </c>
      <c r="F5040" t="s">
        <v>8448</v>
      </c>
      <c r="G5040" t="s">
        <v>8455</v>
      </c>
    </row>
    <row r="5041" spans="1:7">
      <c r="A5041" t="s">
        <v>7399</v>
      </c>
      <c r="B5041" t="s">
        <v>8273</v>
      </c>
      <c r="C5041" t="s">
        <v>8394</v>
      </c>
      <c r="D5041" t="s">
        <v>8402</v>
      </c>
      <c r="E5041" t="s">
        <v>8445</v>
      </c>
      <c r="F5041" t="s">
        <v>8448</v>
      </c>
      <c r="G5041" t="s">
        <v>8453</v>
      </c>
    </row>
    <row r="5042" spans="1:7">
      <c r="A5042" t="s">
        <v>7400</v>
      </c>
      <c r="B5042" t="s">
        <v>8273</v>
      </c>
      <c r="C5042" t="s">
        <v>8397</v>
      </c>
      <c r="D5042" t="s">
        <v>8421</v>
      </c>
      <c r="E5042" t="s">
        <v>8446</v>
      </c>
      <c r="F5042" t="s">
        <v>8448</v>
      </c>
      <c r="G5042" t="s">
        <v>9328</v>
      </c>
    </row>
    <row r="5043" spans="1:7">
      <c r="A5043" t="s">
        <v>7401</v>
      </c>
      <c r="B5043" t="s">
        <v>8273</v>
      </c>
      <c r="C5043" t="s">
        <v>8394</v>
      </c>
      <c r="D5043" t="s">
        <v>8402</v>
      </c>
      <c r="E5043" t="s">
        <v>8444</v>
      </c>
      <c r="F5043" t="s">
        <v>8448</v>
      </c>
      <c r="G5043" t="s">
        <v>9329</v>
      </c>
    </row>
    <row r="5044" spans="1:7">
      <c r="A5044" t="s">
        <v>7402</v>
      </c>
      <c r="B5044" t="s">
        <v>8299</v>
      </c>
      <c r="C5044" t="s">
        <v>8397</v>
      </c>
      <c r="D5044" t="s">
        <v>8431</v>
      </c>
      <c r="E5044" t="s">
        <v>8446</v>
      </c>
      <c r="F5044" t="s">
        <v>8448</v>
      </c>
      <c r="G5044" t="s">
        <v>8832</v>
      </c>
    </row>
    <row r="5045" spans="1:7">
      <c r="A5045" t="s">
        <v>7403</v>
      </c>
      <c r="B5045" t="s">
        <v>8273</v>
      </c>
      <c r="C5045" t="s">
        <v>8398</v>
      </c>
      <c r="D5045" t="s">
        <v>8410</v>
      </c>
      <c r="E5045" t="s">
        <v>8444</v>
      </c>
      <c r="F5045" t="s">
        <v>8448</v>
      </c>
      <c r="G5045" t="s">
        <v>9330</v>
      </c>
    </row>
    <row r="5046" spans="1:7">
      <c r="A5046" t="s">
        <v>7404</v>
      </c>
      <c r="C5046" t="s">
        <v>8392</v>
      </c>
      <c r="D5046" t="s">
        <v>8415</v>
      </c>
      <c r="E5046" t="s">
        <v>1519</v>
      </c>
      <c r="F5046" t="s">
        <v>8448</v>
      </c>
      <c r="G5046" t="s">
        <v>9109</v>
      </c>
    </row>
    <row r="5047" spans="1:7">
      <c r="A5047" t="s">
        <v>7405</v>
      </c>
      <c r="B5047" t="s">
        <v>8273</v>
      </c>
      <c r="C5047" t="s">
        <v>8395</v>
      </c>
      <c r="D5047" t="s">
        <v>8426</v>
      </c>
      <c r="E5047" t="s">
        <v>8444</v>
      </c>
      <c r="F5047" t="s">
        <v>8449</v>
      </c>
      <c r="G5047" t="s">
        <v>8455</v>
      </c>
    </row>
    <row r="5048" spans="1:7">
      <c r="A5048" t="s">
        <v>7406</v>
      </c>
      <c r="C5048" t="s">
        <v>8397</v>
      </c>
      <c r="D5048" t="s">
        <v>8408</v>
      </c>
      <c r="E5048" t="s">
        <v>8445</v>
      </c>
      <c r="F5048" t="s">
        <v>8450</v>
      </c>
    </row>
    <row r="5049" spans="1:7">
      <c r="A5049" t="s">
        <v>7407</v>
      </c>
      <c r="B5049" t="s">
        <v>8273</v>
      </c>
      <c r="C5049" t="s">
        <v>8395</v>
      </c>
      <c r="D5049" t="s">
        <v>8405</v>
      </c>
      <c r="E5049" t="s">
        <v>8446</v>
      </c>
      <c r="F5049" t="s">
        <v>8449</v>
      </c>
      <c r="G5049" t="s">
        <v>8455</v>
      </c>
    </row>
    <row r="5050" spans="1:7">
      <c r="A5050" t="s">
        <v>7408</v>
      </c>
      <c r="C5050" t="s">
        <v>8397</v>
      </c>
      <c r="D5050" t="s">
        <v>8408</v>
      </c>
      <c r="E5050" t="s">
        <v>8445</v>
      </c>
      <c r="F5050" t="s">
        <v>8450</v>
      </c>
    </row>
    <row r="5051" spans="1:7">
      <c r="A5051" t="s">
        <v>7409</v>
      </c>
      <c r="B5051" t="s">
        <v>8273</v>
      </c>
      <c r="C5051" t="s">
        <v>8394</v>
      </c>
      <c r="D5051" t="s">
        <v>8414</v>
      </c>
      <c r="E5051" t="s">
        <v>8446</v>
      </c>
      <c r="F5051" t="s">
        <v>8448</v>
      </c>
      <c r="G5051" t="s">
        <v>796</v>
      </c>
    </row>
    <row r="5052" spans="1:7">
      <c r="A5052" t="s">
        <v>7410</v>
      </c>
      <c r="C5052" t="s">
        <v>8394</v>
      </c>
      <c r="D5052" t="s">
        <v>8401</v>
      </c>
      <c r="E5052" t="s">
        <v>8445</v>
      </c>
      <c r="F5052" t="s">
        <v>8448</v>
      </c>
      <c r="G5052" t="s">
        <v>9331</v>
      </c>
    </row>
    <row r="5053" spans="1:7">
      <c r="A5053" t="s">
        <v>7411</v>
      </c>
      <c r="B5053" t="s">
        <v>8273</v>
      </c>
      <c r="C5053" t="s">
        <v>8396</v>
      </c>
      <c r="D5053" t="s">
        <v>8404</v>
      </c>
      <c r="E5053" t="s">
        <v>1519</v>
      </c>
      <c r="F5053" t="s">
        <v>8449</v>
      </c>
      <c r="G5053" t="s">
        <v>8455</v>
      </c>
    </row>
    <row r="5054" spans="1:7">
      <c r="A5054" t="s">
        <v>7412</v>
      </c>
      <c r="C5054" t="s">
        <v>8397</v>
      </c>
      <c r="D5054" t="s">
        <v>8408</v>
      </c>
      <c r="E5054" t="s">
        <v>8445</v>
      </c>
      <c r="F5054" t="s">
        <v>8450</v>
      </c>
    </row>
    <row r="5055" spans="1:7">
      <c r="A5055" t="s">
        <v>7413</v>
      </c>
      <c r="B5055" t="s">
        <v>8273</v>
      </c>
      <c r="C5055" t="s">
        <v>8392</v>
      </c>
      <c r="D5055" t="s">
        <v>8415</v>
      </c>
      <c r="E5055" t="s">
        <v>8444</v>
      </c>
      <c r="F5055" t="s">
        <v>8448</v>
      </c>
      <c r="G5055" t="s">
        <v>796</v>
      </c>
    </row>
    <row r="5056" spans="1:7">
      <c r="A5056" t="s">
        <v>7414</v>
      </c>
      <c r="C5056" t="s">
        <v>8397</v>
      </c>
      <c r="D5056" t="s">
        <v>8408</v>
      </c>
      <c r="E5056" t="s">
        <v>8445</v>
      </c>
      <c r="F5056" t="s">
        <v>8450</v>
      </c>
    </row>
    <row r="5057" spans="1:7">
      <c r="A5057" t="s">
        <v>7415</v>
      </c>
      <c r="C5057" t="s">
        <v>8397</v>
      </c>
      <c r="D5057" t="s">
        <v>8408</v>
      </c>
      <c r="E5057" t="s">
        <v>8445</v>
      </c>
      <c r="F5057" t="s">
        <v>8450</v>
      </c>
    </row>
    <row r="5058" spans="1:7">
      <c r="A5058" t="s">
        <v>7416</v>
      </c>
      <c r="C5058" t="s">
        <v>8393</v>
      </c>
      <c r="D5058" t="s">
        <v>8393</v>
      </c>
      <c r="E5058" t="s">
        <v>919</v>
      </c>
      <c r="F5058" t="s">
        <v>8393</v>
      </c>
    </row>
    <row r="5059" spans="1:7">
      <c r="A5059" t="s">
        <v>7417</v>
      </c>
      <c r="C5059" t="s">
        <v>8397</v>
      </c>
      <c r="D5059" t="s">
        <v>8408</v>
      </c>
      <c r="E5059" t="s">
        <v>8445</v>
      </c>
      <c r="F5059" t="s">
        <v>8450</v>
      </c>
    </row>
    <row r="5060" spans="1:7">
      <c r="A5060" t="s">
        <v>7418</v>
      </c>
      <c r="C5060" t="s">
        <v>8397</v>
      </c>
      <c r="D5060" t="s">
        <v>8408</v>
      </c>
      <c r="E5060" t="s">
        <v>8445</v>
      </c>
      <c r="F5060" t="s">
        <v>8450</v>
      </c>
    </row>
    <row r="5061" spans="1:7">
      <c r="A5061" t="s">
        <v>7419</v>
      </c>
      <c r="C5061" t="s">
        <v>8397</v>
      </c>
      <c r="D5061" t="s">
        <v>8408</v>
      </c>
      <c r="E5061" t="s">
        <v>8445</v>
      </c>
      <c r="F5061" t="s">
        <v>8450</v>
      </c>
    </row>
    <row r="5062" spans="1:7">
      <c r="A5062" t="s">
        <v>7420</v>
      </c>
      <c r="C5062" t="s">
        <v>8397</v>
      </c>
      <c r="D5062" t="s">
        <v>8408</v>
      </c>
      <c r="E5062" t="s">
        <v>8445</v>
      </c>
      <c r="F5062" t="s">
        <v>8450</v>
      </c>
    </row>
    <row r="5063" spans="1:7">
      <c r="A5063" t="s">
        <v>7421</v>
      </c>
      <c r="C5063" t="s">
        <v>8397</v>
      </c>
      <c r="D5063" t="s">
        <v>8408</v>
      </c>
      <c r="E5063" t="s">
        <v>8445</v>
      </c>
      <c r="F5063" t="s">
        <v>8450</v>
      </c>
    </row>
    <row r="5064" spans="1:7">
      <c r="A5064" t="s">
        <v>7422</v>
      </c>
      <c r="C5064" t="s">
        <v>8397</v>
      </c>
      <c r="D5064" t="s">
        <v>8408</v>
      </c>
      <c r="E5064" t="s">
        <v>8445</v>
      </c>
      <c r="F5064" t="s">
        <v>8450</v>
      </c>
    </row>
    <row r="5065" spans="1:7">
      <c r="A5065" t="s">
        <v>7423</v>
      </c>
      <c r="C5065" t="s">
        <v>8397</v>
      </c>
      <c r="D5065" t="s">
        <v>8408</v>
      </c>
      <c r="E5065" t="s">
        <v>8445</v>
      </c>
      <c r="F5065" t="s">
        <v>8450</v>
      </c>
    </row>
    <row r="5066" spans="1:7">
      <c r="A5066" t="s">
        <v>7424</v>
      </c>
      <c r="C5066" t="s">
        <v>8397</v>
      </c>
      <c r="D5066" t="s">
        <v>8408</v>
      </c>
      <c r="E5066" t="s">
        <v>8445</v>
      </c>
      <c r="F5066" t="s">
        <v>8450</v>
      </c>
    </row>
    <row r="5067" spans="1:7">
      <c r="A5067" t="s">
        <v>7425</v>
      </c>
      <c r="C5067" t="s">
        <v>8397</v>
      </c>
      <c r="D5067" t="s">
        <v>8408</v>
      </c>
      <c r="E5067" t="s">
        <v>8445</v>
      </c>
      <c r="F5067" t="s">
        <v>8450</v>
      </c>
    </row>
    <row r="5068" spans="1:7">
      <c r="A5068" t="s">
        <v>7426</v>
      </c>
      <c r="C5068" t="s">
        <v>8397</v>
      </c>
      <c r="D5068" t="s">
        <v>8408</v>
      </c>
      <c r="E5068" t="s">
        <v>8445</v>
      </c>
      <c r="F5068" t="s">
        <v>8450</v>
      </c>
    </row>
    <row r="5069" spans="1:7">
      <c r="A5069" t="s">
        <v>7427</v>
      </c>
      <c r="C5069" t="s">
        <v>8397</v>
      </c>
      <c r="D5069" t="s">
        <v>8408</v>
      </c>
      <c r="E5069" t="s">
        <v>8445</v>
      </c>
      <c r="F5069" t="s">
        <v>8450</v>
      </c>
    </row>
    <row r="5070" spans="1:7">
      <c r="A5070" t="s">
        <v>7428</v>
      </c>
      <c r="C5070" t="s">
        <v>8397</v>
      </c>
      <c r="D5070" t="s">
        <v>8408</v>
      </c>
      <c r="E5070" t="s">
        <v>8445</v>
      </c>
      <c r="F5070" t="s">
        <v>8450</v>
      </c>
    </row>
    <row r="5071" spans="1:7">
      <c r="A5071" t="s">
        <v>7429</v>
      </c>
      <c r="C5071" t="s">
        <v>8397</v>
      </c>
      <c r="D5071" t="s">
        <v>8418</v>
      </c>
      <c r="E5071" t="s">
        <v>8445</v>
      </c>
      <c r="F5071" t="s">
        <v>8447</v>
      </c>
      <c r="G5071" t="s">
        <v>9332</v>
      </c>
    </row>
    <row r="5072" spans="1:7">
      <c r="A5072" t="s">
        <v>772</v>
      </c>
      <c r="C5072" t="s">
        <v>8397</v>
      </c>
      <c r="D5072" t="s">
        <v>8431</v>
      </c>
      <c r="E5072" t="s">
        <v>1519</v>
      </c>
      <c r="F5072" t="s">
        <v>8448</v>
      </c>
      <c r="G5072" t="s">
        <v>794</v>
      </c>
    </row>
    <row r="5073" spans="1:7">
      <c r="A5073" t="s">
        <v>7430</v>
      </c>
      <c r="B5073" t="s">
        <v>8299</v>
      </c>
      <c r="C5073" t="s">
        <v>8397</v>
      </c>
      <c r="D5073" t="s">
        <v>8431</v>
      </c>
      <c r="E5073" t="s">
        <v>1587</v>
      </c>
      <c r="F5073" t="s">
        <v>8448</v>
      </c>
      <c r="G5073" t="s">
        <v>794</v>
      </c>
    </row>
    <row r="5074" spans="1:7">
      <c r="A5074" t="s">
        <v>775</v>
      </c>
      <c r="B5074" t="s">
        <v>8273</v>
      </c>
      <c r="C5074" t="s">
        <v>8397</v>
      </c>
      <c r="D5074" t="s">
        <v>8431</v>
      </c>
      <c r="E5074" t="s">
        <v>1519</v>
      </c>
      <c r="F5074" t="s">
        <v>8449</v>
      </c>
      <c r="G5074" t="s">
        <v>796</v>
      </c>
    </row>
    <row r="5075" spans="1:7">
      <c r="A5075" t="s">
        <v>7431</v>
      </c>
      <c r="C5075" t="s">
        <v>8397</v>
      </c>
      <c r="D5075" t="s">
        <v>8408</v>
      </c>
      <c r="E5075" t="s">
        <v>8445</v>
      </c>
      <c r="F5075" t="s">
        <v>8450</v>
      </c>
    </row>
    <row r="5076" spans="1:7">
      <c r="A5076" t="s">
        <v>7432</v>
      </c>
      <c r="C5076" t="s">
        <v>8393</v>
      </c>
      <c r="D5076" t="s">
        <v>8393</v>
      </c>
      <c r="E5076" t="s">
        <v>919</v>
      </c>
      <c r="F5076" t="s">
        <v>8393</v>
      </c>
    </row>
    <row r="5077" spans="1:7">
      <c r="A5077" t="s">
        <v>7433</v>
      </c>
      <c r="B5077" t="s">
        <v>8273</v>
      </c>
      <c r="C5077" t="s">
        <v>8396</v>
      </c>
      <c r="D5077" t="s">
        <v>8405</v>
      </c>
      <c r="E5077" t="s">
        <v>8444</v>
      </c>
      <c r="F5077" t="s">
        <v>8449</v>
      </c>
      <c r="G5077" t="s">
        <v>8455</v>
      </c>
    </row>
    <row r="5078" spans="1:7">
      <c r="A5078" t="s">
        <v>7434</v>
      </c>
      <c r="B5078" t="s">
        <v>8273</v>
      </c>
      <c r="C5078" t="s">
        <v>8396</v>
      </c>
      <c r="D5078" t="s">
        <v>8405</v>
      </c>
      <c r="E5078" t="s">
        <v>8446</v>
      </c>
      <c r="F5078" t="s">
        <v>8449</v>
      </c>
      <c r="G5078" t="s">
        <v>8455</v>
      </c>
    </row>
    <row r="5079" spans="1:7">
      <c r="A5079" t="s">
        <v>7435</v>
      </c>
      <c r="B5079" t="s">
        <v>8273</v>
      </c>
      <c r="C5079" t="s">
        <v>8398</v>
      </c>
      <c r="D5079" t="s">
        <v>8419</v>
      </c>
      <c r="E5079" t="s">
        <v>8446</v>
      </c>
      <c r="F5079" t="s">
        <v>8449</v>
      </c>
      <c r="G5079" t="s">
        <v>8455</v>
      </c>
    </row>
    <row r="5080" spans="1:7">
      <c r="A5080" t="s">
        <v>7436</v>
      </c>
      <c r="C5080" t="s">
        <v>8397</v>
      </c>
      <c r="D5080" t="s">
        <v>8418</v>
      </c>
      <c r="E5080" t="s">
        <v>8445</v>
      </c>
      <c r="F5080" t="s">
        <v>8450</v>
      </c>
      <c r="G5080" t="s">
        <v>8905</v>
      </c>
    </row>
    <row r="5081" spans="1:7">
      <c r="A5081" t="s">
        <v>7437</v>
      </c>
      <c r="C5081" t="s">
        <v>8397</v>
      </c>
      <c r="D5081" t="s">
        <v>8418</v>
      </c>
      <c r="E5081" t="s">
        <v>8445</v>
      </c>
      <c r="F5081" t="s">
        <v>8450</v>
      </c>
      <c r="G5081" t="s">
        <v>9333</v>
      </c>
    </row>
    <row r="5082" spans="1:7">
      <c r="A5082" t="s">
        <v>7438</v>
      </c>
      <c r="C5082" t="s">
        <v>8398</v>
      </c>
      <c r="D5082" t="s">
        <v>8409</v>
      </c>
      <c r="E5082" t="s">
        <v>8445</v>
      </c>
      <c r="F5082" t="s">
        <v>8448</v>
      </c>
      <c r="G5082" t="s">
        <v>9334</v>
      </c>
    </row>
    <row r="5083" spans="1:7">
      <c r="A5083" t="s">
        <v>7439</v>
      </c>
      <c r="B5083" t="s">
        <v>8273</v>
      </c>
      <c r="C5083" t="s">
        <v>8396</v>
      </c>
      <c r="D5083" t="s">
        <v>8420</v>
      </c>
      <c r="E5083" t="s">
        <v>8445</v>
      </c>
      <c r="F5083" t="s">
        <v>8448</v>
      </c>
      <c r="G5083" t="s">
        <v>9335</v>
      </c>
    </row>
    <row r="5084" spans="1:7">
      <c r="A5084" t="s">
        <v>7440</v>
      </c>
      <c r="B5084" t="s">
        <v>8273</v>
      </c>
      <c r="C5084" t="s">
        <v>8395</v>
      </c>
      <c r="D5084" t="s">
        <v>8404</v>
      </c>
      <c r="E5084" t="s">
        <v>8446</v>
      </c>
      <c r="F5084" t="s">
        <v>8449</v>
      </c>
      <c r="G5084" t="s">
        <v>796</v>
      </c>
    </row>
    <row r="5085" spans="1:7">
      <c r="A5085" t="s">
        <v>7441</v>
      </c>
      <c r="B5085" t="s">
        <v>8295</v>
      </c>
      <c r="C5085" t="s">
        <v>8398</v>
      </c>
      <c r="D5085" t="s">
        <v>8419</v>
      </c>
      <c r="E5085" t="s">
        <v>8446</v>
      </c>
      <c r="F5085" t="s">
        <v>8449</v>
      </c>
      <c r="G5085" t="s">
        <v>8455</v>
      </c>
    </row>
    <row r="5086" spans="1:7">
      <c r="A5086" t="s">
        <v>7442</v>
      </c>
      <c r="C5086" t="s">
        <v>8392</v>
      </c>
      <c r="D5086" t="s">
        <v>8415</v>
      </c>
      <c r="E5086" t="s">
        <v>8445</v>
      </c>
      <c r="F5086" t="s">
        <v>8448</v>
      </c>
      <c r="G5086" t="s">
        <v>9336</v>
      </c>
    </row>
    <row r="5087" spans="1:7">
      <c r="A5087" t="s">
        <v>7443</v>
      </c>
      <c r="B5087" t="s">
        <v>8273</v>
      </c>
      <c r="C5087" t="s">
        <v>8392</v>
      </c>
      <c r="D5087" t="s">
        <v>8400</v>
      </c>
      <c r="E5087" t="s">
        <v>1519</v>
      </c>
      <c r="F5087" t="s">
        <v>8447</v>
      </c>
      <c r="G5087" t="s">
        <v>9337</v>
      </c>
    </row>
    <row r="5088" spans="1:7">
      <c r="A5088" t="s">
        <v>7444</v>
      </c>
      <c r="B5088" t="s">
        <v>8273</v>
      </c>
      <c r="C5088" t="s">
        <v>8398</v>
      </c>
      <c r="D5088" t="s">
        <v>8409</v>
      </c>
      <c r="E5088" t="s">
        <v>8446</v>
      </c>
      <c r="F5088" t="s">
        <v>8448</v>
      </c>
      <c r="G5088" t="s">
        <v>9338</v>
      </c>
    </row>
    <row r="5089" spans="1:7">
      <c r="A5089" t="s">
        <v>7445</v>
      </c>
      <c r="C5089" t="s">
        <v>8392</v>
      </c>
      <c r="D5089" t="s">
        <v>8400</v>
      </c>
      <c r="E5089" t="s">
        <v>8446</v>
      </c>
      <c r="F5089" t="s">
        <v>8449</v>
      </c>
    </row>
    <row r="5090" spans="1:7">
      <c r="A5090" t="s">
        <v>7446</v>
      </c>
      <c r="B5090" t="s">
        <v>8299</v>
      </c>
      <c r="C5090" t="s">
        <v>8397</v>
      </c>
      <c r="D5090" t="s">
        <v>8431</v>
      </c>
      <c r="E5090" t="s">
        <v>1519</v>
      </c>
      <c r="F5090" t="s">
        <v>8448</v>
      </c>
      <c r="G5090" t="s">
        <v>9339</v>
      </c>
    </row>
    <row r="5091" spans="1:7">
      <c r="A5091" t="s">
        <v>7447</v>
      </c>
      <c r="C5091" t="s">
        <v>8396</v>
      </c>
      <c r="D5091" t="s">
        <v>8411</v>
      </c>
      <c r="E5091" t="s">
        <v>1587</v>
      </c>
      <c r="F5091" t="s">
        <v>8449</v>
      </c>
      <c r="G5091" t="s">
        <v>9035</v>
      </c>
    </row>
    <row r="5092" spans="1:7">
      <c r="A5092" t="s">
        <v>7448</v>
      </c>
      <c r="B5092" t="s">
        <v>8273</v>
      </c>
      <c r="C5092" t="s">
        <v>8394</v>
      </c>
      <c r="D5092" t="s">
        <v>8414</v>
      </c>
      <c r="E5092" t="s">
        <v>8445</v>
      </c>
      <c r="F5092" t="s">
        <v>8448</v>
      </c>
      <c r="G5092" t="s">
        <v>9340</v>
      </c>
    </row>
    <row r="5093" spans="1:7">
      <c r="A5093" t="s">
        <v>7449</v>
      </c>
      <c r="C5093" t="s">
        <v>8393</v>
      </c>
      <c r="D5093" t="s">
        <v>8393</v>
      </c>
      <c r="E5093" t="s">
        <v>919</v>
      </c>
      <c r="F5093" t="s">
        <v>8393</v>
      </c>
    </row>
    <row r="5094" spans="1:7">
      <c r="A5094" t="s">
        <v>7450</v>
      </c>
      <c r="B5094" t="s">
        <v>8273</v>
      </c>
      <c r="C5094" t="s">
        <v>8396</v>
      </c>
      <c r="D5094" t="s">
        <v>8405</v>
      </c>
      <c r="E5094" t="s">
        <v>8446</v>
      </c>
      <c r="F5094" t="s">
        <v>8449</v>
      </c>
      <c r="G5094" t="s">
        <v>8455</v>
      </c>
    </row>
    <row r="5095" spans="1:7">
      <c r="A5095" t="s">
        <v>7451</v>
      </c>
      <c r="B5095" t="s">
        <v>8274</v>
      </c>
      <c r="C5095" t="s">
        <v>8396</v>
      </c>
      <c r="D5095" t="s">
        <v>8405</v>
      </c>
      <c r="E5095" t="s">
        <v>8446</v>
      </c>
      <c r="F5095" t="s">
        <v>8449</v>
      </c>
      <c r="G5095" t="s">
        <v>8455</v>
      </c>
    </row>
    <row r="5096" spans="1:7">
      <c r="A5096" t="s">
        <v>7452</v>
      </c>
      <c r="C5096" t="s">
        <v>8394</v>
      </c>
      <c r="D5096" t="s">
        <v>8414</v>
      </c>
      <c r="E5096" t="s">
        <v>8445</v>
      </c>
      <c r="F5096" t="s">
        <v>8448</v>
      </c>
      <c r="G5096" t="s">
        <v>8453</v>
      </c>
    </row>
    <row r="5097" spans="1:7">
      <c r="A5097" t="s">
        <v>7453</v>
      </c>
      <c r="C5097" t="s">
        <v>8392</v>
      </c>
      <c r="D5097" t="s">
        <v>8400</v>
      </c>
      <c r="E5097" t="s">
        <v>1587</v>
      </c>
      <c r="F5097" t="s">
        <v>8449</v>
      </c>
      <c r="G5097" t="s">
        <v>795</v>
      </c>
    </row>
    <row r="5098" spans="1:7">
      <c r="A5098" t="s">
        <v>7454</v>
      </c>
      <c r="C5098" t="s">
        <v>8393</v>
      </c>
      <c r="D5098" t="s">
        <v>8393</v>
      </c>
      <c r="E5098" t="s">
        <v>919</v>
      </c>
      <c r="F5098" t="s">
        <v>8393</v>
      </c>
    </row>
    <row r="5099" spans="1:7">
      <c r="A5099" t="s">
        <v>7455</v>
      </c>
      <c r="B5099" t="s">
        <v>8273</v>
      </c>
      <c r="C5099" t="s">
        <v>8396</v>
      </c>
      <c r="D5099" t="s">
        <v>8405</v>
      </c>
      <c r="E5099" t="s">
        <v>8446</v>
      </c>
      <c r="F5099" t="s">
        <v>8449</v>
      </c>
      <c r="G5099" t="s">
        <v>8455</v>
      </c>
    </row>
    <row r="5100" spans="1:7">
      <c r="A5100" t="s">
        <v>7456</v>
      </c>
      <c r="B5100" t="s">
        <v>8274</v>
      </c>
      <c r="C5100" t="s">
        <v>8396</v>
      </c>
      <c r="D5100" t="s">
        <v>8405</v>
      </c>
      <c r="E5100" t="s">
        <v>8445</v>
      </c>
      <c r="F5100" t="s">
        <v>8449</v>
      </c>
      <c r="G5100" t="s">
        <v>8455</v>
      </c>
    </row>
    <row r="5101" spans="1:7">
      <c r="A5101" t="s">
        <v>7457</v>
      </c>
      <c r="B5101" t="s">
        <v>8273</v>
      </c>
      <c r="C5101" t="s">
        <v>8394</v>
      </c>
      <c r="D5101" t="s">
        <v>8416</v>
      </c>
      <c r="E5101" t="s">
        <v>8446</v>
      </c>
      <c r="F5101" t="s">
        <v>8448</v>
      </c>
      <c r="G5101" t="s">
        <v>9341</v>
      </c>
    </row>
    <row r="5102" spans="1:7">
      <c r="A5102" t="s">
        <v>7458</v>
      </c>
      <c r="B5102" t="s">
        <v>8299</v>
      </c>
      <c r="C5102" t="s">
        <v>8397</v>
      </c>
      <c r="D5102" t="s">
        <v>8430</v>
      </c>
      <c r="E5102" t="s">
        <v>1519</v>
      </c>
      <c r="F5102" t="s">
        <v>8448</v>
      </c>
      <c r="G5102" t="s">
        <v>8453</v>
      </c>
    </row>
    <row r="5103" spans="1:7">
      <c r="A5103" t="s">
        <v>7459</v>
      </c>
      <c r="C5103" t="s">
        <v>8397</v>
      </c>
      <c r="D5103" t="s">
        <v>8408</v>
      </c>
      <c r="E5103" t="s">
        <v>8445</v>
      </c>
      <c r="F5103" t="s">
        <v>8450</v>
      </c>
    </row>
    <row r="5104" spans="1:7">
      <c r="A5104" t="s">
        <v>7460</v>
      </c>
      <c r="C5104" t="s">
        <v>8394</v>
      </c>
      <c r="D5104" t="s">
        <v>8414</v>
      </c>
      <c r="E5104" t="s">
        <v>8445</v>
      </c>
      <c r="F5104" t="s">
        <v>8450</v>
      </c>
      <c r="G5104" t="s">
        <v>9342</v>
      </c>
    </row>
    <row r="5105" spans="1:7">
      <c r="A5105" t="s">
        <v>7461</v>
      </c>
      <c r="C5105" t="s">
        <v>8392</v>
      </c>
      <c r="D5105" t="s">
        <v>8415</v>
      </c>
      <c r="E5105" t="s">
        <v>8444</v>
      </c>
      <c r="F5105" t="s">
        <v>8450</v>
      </c>
      <c r="G5105" t="s">
        <v>8453</v>
      </c>
    </row>
    <row r="5106" spans="1:7">
      <c r="A5106" t="s">
        <v>7462</v>
      </c>
      <c r="B5106" t="s">
        <v>8273</v>
      </c>
      <c r="C5106" t="s">
        <v>8395</v>
      </c>
      <c r="D5106" t="s">
        <v>8402</v>
      </c>
      <c r="E5106" t="s">
        <v>8446</v>
      </c>
      <c r="F5106" t="s">
        <v>8449</v>
      </c>
      <c r="G5106" t="s">
        <v>8455</v>
      </c>
    </row>
    <row r="5107" spans="1:7">
      <c r="A5107" t="s">
        <v>7463</v>
      </c>
      <c r="B5107" t="s">
        <v>8273</v>
      </c>
      <c r="C5107" t="s">
        <v>8398</v>
      </c>
      <c r="D5107" t="s">
        <v>8410</v>
      </c>
      <c r="E5107" t="s">
        <v>8446</v>
      </c>
      <c r="F5107" t="s">
        <v>8449</v>
      </c>
      <c r="G5107" t="s">
        <v>8453</v>
      </c>
    </row>
    <row r="5108" spans="1:7">
      <c r="A5108" t="s">
        <v>7464</v>
      </c>
      <c r="B5108" t="s">
        <v>8273</v>
      </c>
      <c r="C5108" t="s">
        <v>8398</v>
      </c>
      <c r="D5108" t="s">
        <v>8419</v>
      </c>
      <c r="E5108" t="s">
        <v>8444</v>
      </c>
      <c r="F5108" t="s">
        <v>8448</v>
      </c>
      <c r="G5108" t="s">
        <v>9343</v>
      </c>
    </row>
    <row r="5109" spans="1:7">
      <c r="A5109" t="s">
        <v>7465</v>
      </c>
      <c r="B5109" t="s">
        <v>8295</v>
      </c>
      <c r="C5109" t="s">
        <v>8398</v>
      </c>
      <c r="D5109" t="s">
        <v>8419</v>
      </c>
      <c r="E5109" t="s">
        <v>8445</v>
      </c>
      <c r="F5109" t="s">
        <v>8448</v>
      </c>
      <c r="G5109" t="s">
        <v>8455</v>
      </c>
    </row>
    <row r="5110" spans="1:7">
      <c r="A5110" t="s">
        <v>7466</v>
      </c>
      <c r="B5110" t="s">
        <v>8273</v>
      </c>
      <c r="C5110" t="s">
        <v>8395</v>
      </c>
      <c r="D5110" t="s">
        <v>8402</v>
      </c>
      <c r="E5110" t="s">
        <v>8446</v>
      </c>
      <c r="F5110" t="s">
        <v>8449</v>
      </c>
      <c r="G5110" t="s">
        <v>8455</v>
      </c>
    </row>
    <row r="5111" spans="1:7">
      <c r="A5111" t="s">
        <v>7467</v>
      </c>
      <c r="B5111" t="s">
        <v>8273</v>
      </c>
      <c r="C5111" t="s">
        <v>8392</v>
      </c>
      <c r="D5111" t="s">
        <v>8415</v>
      </c>
      <c r="E5111" t="s">
        <v>8446</v>
      </c>
      <c r="F5111" t="s">
        <v>8449</v>
      </c>
      <c r="G5111" t="s">
        <v>8455</v>
      </c>
    </row>
    <row r="5112" spans="1:7">
      <c r="A5112" t="s">
        <v>7468</v>
      </c>
      <c r="B5112" t="s">
        <v>8273</v>
      </c>
      <c r="C5112" t="s">
        <v>8396</v>
      </c>
      <c r="D5112" t="s">
        <v>8405</v>
      </c>
      <c r="E5112" t="s">
        <v>8444</v>
      </c>
      <c r="F5112" t="s">
        <v>8448</v>
      </c>
      <c r="G5112" t="s">
        <v>8455</v>
      </c>
    </row>
    <row r="5113" spans="1:7">
      <c r="A5113" t="s">
        <v>7469</v>
      </c>
      <c r="C5113" t="s">
        <v>8392</v>
      </c>
      <c r="D5113" t="s">
        <v>8415</v>
      </c>
      <c r="E5113" t="s">
        <v>8445</v>
      </c>
      <c r="F5113" t="s">
        <v>8448</v>
      </c>
      <c r="G5113" t="s">
        <v>8463</v>
      </c>
    </row>
    <row r="5114" spans="1:7">
      <c r="A5114" t="s">
        <v>7470</v>
      </c>
      <c r="B5114" t="s">
        <v>8299</v>
      </c>
      <c r="C5114" t="s">
        <v>8397</v>
      </c>
      <c r="D5114" t="s">
        <v>8431</v>
      </c>
      <c r="E5114" t="s">
        <v>1519</v>
      </c>
      <c r="F5114" t="s">
        <v>8448</v>
      </c>
      <c r="G5114" t="s">
        <v>9344</v>
      </c>
    </row>
    <row r="5115" spans="1:7">
      <c r="A5115" t="s">
        <v>7471</v>
      </c>
      <c r="B5115" t="s">
        <v>8273</v>
      </c>
      <c r="C5115" t="s">
        <v>8394</v>
      </c>
      <c r="D5115" t="s">
        <v>8413</v>
      </c>
      <c r="E5115" t="s">
        <v>8445</v>
      </c>
      <c r="F5115" t="s">
        <v>8448</v>
      </c>
      <c r="G5115" t="s">
        <v>8455</v>
      </c>
    </row>
    <row r="5116" spans="1:7">
      <c r="A5116" t="s">
        <v>7472</v>
      </c>
      <c r="B5116" t="s">
        <v>8273</v>
      </c>
      <c r="C5116" t="s">
        <v>8394</v>
      </c>
      <c r="D5116" t="s">
        <v>8413</v>
      </c>
      <c r="E5116" t="s">
        <v>8445</v>
      </c>
      <c r="F5116" t="s">
        <v>8448</v>
      </c>
      <c r="G5116" t="s">
        <v>8453</v>
      </c>
    </row>
    <row r="5117" spans="1:7">
      <c r="A5117" t="s">
        <v>7473</v>
      </c>
      <c r="B5117" t="s">
        <v>8273</v>
      </c>
      <c r="C5117" t="s">
        <v>8394</v>
      </c>
      <c r="D5117" t="s">
        <v>8413</v>
      </c>
      <c r="E5117" t="s">
        <v>8445</v>
      </c>
      <c r="F5117" t="s">
        <v>8448</v>
      </c>
      <c r="G5117" t="s">
        <v>9345</v>
      </c>
    </row>
    <row r="5118" spans="1:7">
      <c r="A5118" t="s">
        <v>7474</v>
      </c>
      <c r="B5118" t="s">
        <v>8273</v>
      </c>
      <c r="C5118" t="s">
        <v>8396</v>
      </c>
      <c r="D5118" t="s">
        <v>8405</v>
      </c>
      <c r="E5118" t="s">
        <v>8444</v>
      </c>
      <c r="F5118" t="s">
        <v>8449</v>
      </c>
      <c r="G5118" t="s">
        <v>8455</v>
      </c>
    </row>
    <row r="5119" spans="1:7">
      <c r="A5119" t="s">
        <v>7475</v>
      </c>
      <c r="B5119" t="s">
        <v>8273</v>
      </c>
      <c r="C5119" t="s">
        <v>8396</v>
      </c>
      <c r="D5119" t="s">
        <v>8405</v>
      </c>
      <c r="E5119" t="s">
        <v>1587</v>
      </c>
      <c r="F5119" t="s">
        <v>8449</v>
      </c>
      <c r="G5119" t="s">
        <v>8455</v>
      </c>
    </row>
    <row r="5120" spans="1:7">
      <c r="A5120" t="s">
        <v>7476</v>
      </c>
      <c r="B5120" t="s">
        <v>8275</v>
      </c>
      <c r="C5120" t="s">
        <v>8397</v>
      </c>
      <c r="D5120" t="s">
        <v>8418</v>
      </c>
      <c r="E5120" t="s">
        <v>8444</v>
      </c>
      <c r="F5120" t="s">
        <v>8450</v>
      </c>
      <c r="G5120" t="s">
        <v>9346</v>
      </c>
    </row>
    <row r="5121" spans="1:7">
      <c r="A5121" t="s">
        <v>7477</v>
      </c>
      <c r="C5121" t="s">
        <v>8397</v>
      </c>
      <c r="D5121" t="s">
        <v>8408</v>
      </c>
      <c r="E5121" t="s">
        <v>8445</v>
      </c>
      <c r="F5121" t="s">
        <v>8450</v>
      </c>
    </row>
    <row r="5122" spans="1:7">
      <c r="A5122" t="s">
        <v>7478</v>
      </c>
      <c r="C5122" t="s">
        <v>8398</v>
      </c>
      <c r="D5122" t="s">
        <v>8409</v>
      </c>
      <c r="E5122" t="s">
        <v>8446</v>
      </c>
      <c r="F5122" t="s">
        <v>8448</v>
      </c>
      <c r="G5122" t="s">
        <v>8474</v>
      </c>
    </row>
    <row r="5123" spans="1:7">
      <c r="A5123" t="s">
        <v>7479</v>
      </c>
      <c r="C5123" t="s">
        <v>8393</v>
      </c>
      <c r="D5123" t="s">
        <v>8393</v>
      </c>
      <c r="E5123" t="s">
        <v>919</v>
      </c>
      <c r="F5123" t="s">
        <v>8393</v>
      </c>
    </row>
    <row r="5124" spans="1:7">
      <c r="A5124" t="s">
        <v>7480</v>
      </c>
      <c r="B5124" t="s">
        <v>8273</v>
      </c>
      <c r="C5124" t="s">
        <v>8394</v>
      </c>
      <c r="D5124" t="s">
        <v>8414</v>
      </c>
      <c r="E5124" t="s">
        <v>8446</v>
      </c>
      <c r="F5124" t="s">
        <v>8448</v>
      </c>
      <c r="G5124" t="s">
        <v>9347</v>
      </c>
    </row>
    <row r="5125" spans="1:7">
      <c r="A5125" t="s">
        <v>7481</v>
      </c>
      <c r="B5125" t="s">
        <v>8277</v>
      </c>
      <c r="C5125" t="s">
        <v>8394</v>
      </c>
      <c r="D5125" t="s">
        <v>8414</v>
      </c>
      <c r="E5125" t="s">
        <v>8446</v>
      </c>
      <c r="F5125" t="s">
        <v>8448</v>
      </c>
      <c r="G5125" t="s">
        <v>9348</v>
      </c>
    </row>
    <row r="5126" spans="1:7">
      <c r="A5126" t="s">
        <v>7482</v>
      </c>
      <c r="B5126" t="s">
        <v>8273</v>
      </c>
      <c r="C5126" t="s">
        <v>8395</v>
      </c>
      <c r="D5126" t="s">
        <v>8414</v>
      </c>
      <c r="E5126" t="s">
        <v>8445</v>
      </c>
      <c r="F5126" t="s">
        <v>8449</v>
      </c>
      <c r="G5126" t="s">
        <v>8455</v>
      </c>
    </row>
    <row r="5127" spans="1:7">
      <c r="A5127" t="s">
        <v>7483</v>
      </c>
      <c r="B5127" t="s">
        <v>8273</v>
      </c>
      <c r="C5127" t="s">
        <v>8395</v>
      </c>
      <c r="D5127" t="s">
        <v>8403</v>
      </c>
      <c r="E5127" t="s">
        <v>8446</v>
      </c>
      <c r="F5127" t="s">
        <v>8449</v>
      </c>
      <c r="G5127" t="s">
        <v>8455</v>
      </c>
    </row>
    <row r="5128" spans="1:7">
      <c r="A5128" t="s">
        <v>7484</v>
      </c>
      <c r="B5128" t="s">
        <v>8273</v>
      </c>
      <c r="C5128" t="s">
        <v>8395</v>
      </c>
      <c r="D5128" t="s">
        <v>8400</v>
      </c>
      <c r="E5128" t="s">
        <v>8446</v>
      </c>
      <c r="F5128" t="s">
        <v>8448</v>
      </c>
      <c r="G5128" t="s">
        <v>8455</v>
      </c>
    </row>
    <row r="5129" spans="1:7">
      <c r="A5129" t="s">
        <v>7485</v>
      </c>
      <c r="B5129" t="s">
        <v>8273</v>
      </c>
      <c r="C5129" t="s">
        <v>8396</v>
      </c>
      <c r="D5129" t="s">
        <v>8420</v>
      </c>
      <c r="E5129" t="s">
        <v>8446</v>
      </c>
      <c r="F5129" t="s">
        <v>8448</v>
      </c>
      <c r="G5129" t="s">
        <v>8455</v>
      </c>
    </row>
    <row r="5130" spans="1:7">
      <c r="A5130" t="s">
        <v>7486</v>
      </c>
      <c r="C5130" t="s">
        <v>8394</v>
      </c>
      <c r="D5130" t="s">
        <v>8401</v>
      </c>
      <c r="E5130" t="s">
        <v>8445</v>
      </c>
      <c r="F5130" t="s">
        <v>8448</v>
      </c>
      <c r="G5130" t="s">
        <v>9349</v>
      </c>
    </row>
    <row r="5131" spans="1:7">
      <c r="A5131" t="s">
        <v>7487</v>
      </c>
      <c r="B5131" t="s">
        <v>8273</v>
      </c>
      <c r="C5131" t="s">
        <v>8395</v>
      </c>
      <c r="D5131" t="s">
        <v>8402</v>
      </c>
      <c r="E5131" t="s">
        <v>8444</v>
      </c>
      <c r="F5131" t="s">
        <v>8449</v>
      </c>
      <c r="G5131" t="s">
        <v>796</v>
      </c>
    </row>
    <row r="5132" spans="1:7">
      <c r="A5132" t="s">
        <v>7488</v>
      </c>
      <c r="C5132" t="s">
        <v>8397</v>
      </c>
      <c r="D5132" t="s">
        <v>8408</v>
      </c>
      <c r="E5132" t="s">
        <v>8445</v>
      </c>
      <c r="F5132" t="s">
        <v>8450</v>
      </c>
    </row>
    <row r="5133" spans="1:7">
      <c r="A5133" t="s">
        <v>7489</v>
      </c>
      <c r="B5133" t="s">
        <v>8273</v>
      </c>
      <c r="C5133" t="s">
        <v>8397</v>
      </c>
      <c r="D5133" t="s">
        <v>8421</v>
      </c>
      <c r="E5133" t="s">
        <v>8445</v>
      </c>
      <c r="F5133" t="s">
        <v>8448</v>
      </c>
      <c r="G5133" t="s">
        <v>8519</v>
      </c>
    </row>
    <row r="5134" spans="1:7">
      <c r="A5134" t="s">
        <v>7490</v>
      </c>
      <c r="B5134" t="s">
        <v>8278</v>
      </c>
      <c r="C5134" t="s">
        <v>8395</v>
      </c>
      <c r="D5134" t="s">
        <v>8423</v>
      </c>
      <c r="E5134" t="s">
        <v>8446</v>
      </c>
      <c r="F5134" t="s">
        <v>8449</v>
      </c>
      <c r="G5134" t="s">
        <v>8455</v>
      </c>
    </row>
    <row r="5135" spans="1:7">
      <c r="A5135" t="s">
        <v>7491</v>
      </c>
      <c r="B5135" t="s">
        <v>8273</v>
      </c>
      <c r="C5135" t="s">
        <v>8397</v>
      </c>
      <c r="D5135" t="s">
        <v>8421</v>
      </c>
      <c r="E5135" t="s">
        <v>8446</v>
      </c>
      <c r="F5135" t="s">
        <v>8448</v>
      </c>
      <c r="G5135" t="s">
        <v>796</v>
      </c>
    </row>
    <row r="5136" spans="1:7">
      <c r="A5136" t="s">
        <v>7492</v>
      </c>
      <c r="B5136" t="s">
        <v>8299</v>
      </c>
      <c r="C5136" t="s">
        <v>8397</v>
      </c>
      <c r="D5136" t="s">
        <v>8430</v>
      </c>
      <c r="E5136" t="s">
        <v>1587</v>
      </c>
      <c r="F5136" t="s">
        <v>8449</v>
      </c>
      <c r="G5136" t="s">
        <v>8455</v>
      </c>
    </row>
    <row r="5137" spans="1:7">
      <c r="A5137" t="s">
        <v>7493</v>
      </c>
      <c r="B5137" t="s">
        <v>8299</v>
      </c>
      <c r="C5137" t="s">
        <v>8397</v>
      </c>
      <c r="D5137" t="s">
        <v>8430</v>
      </c>
      <c r="E5137" t="s">
        <v>1519</v>
      </c>
      <c r="F5137" t="s">
        <v>8449</v>
      </c>
      <c r="G5137" t="s">
        <v>795</v>
      </c>
    </row>
    <row r="5138" spans="1:7">
      <c r="A5138" t="s">
        <v>7494</v>
      </c>
      <c r="C5138" t="s">
        <v>8393</v>
      </c>
      <c r="D5138" t="s">
        <v>8393</v>
      </c>
      <c r="E5138" t="s">
        <v>919</v>
      </c>
      <c r="F5138" t="s">
        <v>8393</v>
      </c>
    </row>
    <row r="5139" spans="1:7">
      <c r="A5139" t="s">
        <v>7495</v>
      </c>
      <c r="B5139" t="s">
        <v>8273</v>
      </c>
      <c r="C5139" t="s">
        <v>8394</v>
      </c>
      <c r="D5139" t="s">
        <v>8414</v>
      </c>
      <c r="E5139" t="s">
        <v>8446</v>
      </c>
      <c r="F5139" t="s">
        <v>8449</v>
      </c>
      <c r="G5139" t="s">
        <v>8455</v>
      </c>
    </row>
    <row r="5140" spans="1:7">
      <c r="A5140" t="s">
        <v>7496</v>
      </c>
      <c r="B5140" t="s">
        <v>8277</v>
      </c>
      <c r="C5140" t="s">
        <v>8394</v>
      </c>
      <c r="D5140" t="s">
        <v>8414</v>
      </c>
      <c r="E5140" t="s">
        <v>8446</v>
      </c>
      <c r="F5140" t="s">
        <v>8449</v>
      </c>
      <c r="G5140" t="s">
        <v>8455</v>
      </c>
    </row>
    <row r="5141" spans="1:7">
      <c r="A5141" t="s">
        <v>7497</v>
      </c>
      <c r="C5141" t="s">
        <v>8393</v>
      </c>
      <c r="D5141" t="s">
        <v>8393</v>
      </c>
      <c r="E5141" t="s">
        <v>919</v>
      </c>
      <c r="F5141" t="s">
        <v>8393</v>
      </c>
    </row>
    <row r="5142" spans="1:7">
      <c r="A5142" t="s">
        <v>7498</v>
      </c>
      <c r="B5142" t="s">
        <v>8273</v>
      </c>
      <c r="C5142" t="s">
        <v>8395</v>
      </c>
      <c r="D5142" t="s">
        <v>8438</v>
      </c>
      <c r="E5142" t="s">
        <v>8446</v>
      </c>
      <c r="F5142" t="s">
        <v>8449</v>
      </c>
      <c r="G5142" t="s">
        <v>8455</v>
      </c>
    </row>
    <row r="5143" spans="1:7">
      <c r="A5143" t="s">
        <v>7499</v>
      </c>
      <c r="B5143" t="s">
        <v>8285</v>
      </c>
      <c r="C5143" t="s">
        <v>8395</v>
      </c>
      <c r="D5143" t="s">
        <v>8438</v>
      </c>
      <c r="E5143" t="s">
        <v>8446</v>
      </c>
      <c r="F5143" t="s">
        <v>8449</v>
      </c>
      <c r="G5143" t="s">
        <v>8455</v>
      </c>
    </row>
    <row r="5144" spans="1:7">
      <c r="A5144" t="s">
        <v>7500</v>
      </c>
      <c r="B5144" t="s">
        <v>8286</v>
      </c>
      <c r="C5144" t="s">
        <v>8395</v>
      </c>
      <c r="D5144" t="s">
        <v>8438</v>
      </c>
      <c r="E5144" t="s">
        <v>8446</v>
      </c>
      <c r="F5144" t="s">
        <v>8449</v>
      </c>
      <c r="G5144" t="s">
        <v>8455</v>
      </c>
    </row>
    <row r="5145" spans="1:7">
      <c r="A5145" t="s">
        <v>7501</v>
      </c>
      <c r="B5145" t="s">
        <v>8287</v>
      </c>
      <c r="C5145" t="s">
        <v>8395</v>
      </c>
      <c r="D5145" t="s">
        <v>8438</v>
      </c>
      <c r="E5145" t="s">
        <v>8446</v>
      </c>
      <c r="F5145" t="s">
        <v>8449</v>
      </c>
      <c r="G5145" t="s">
        <v>8455</v>
      </c>
    </row>
    <row r="5146" spans="1:7">
      <c r="A5146" t="s">
        <v>7502</v>
      </c>
      <c r="B5146" t="s">
        <v>8277</v>
      </c>
      <c r="C5146" t="s">
        <v>8395</v>
      </c>
      <c r="D5146" t="s">
        <v>8438</v>
      </c>
      <c r="E5146" t="s">
        <v>8446</v>
      </c>
      <c r="F5146" t="s">
        <v>8449</v>
      </c>
      <c r="G5146" t="s">
        <v>8455</v>
      </c>
    </row>
    <row r="5147" spans="1:7">
      <c r="A5147" t="s">
        <v>7503</v>
      </c>
      <c r="C5147" t="s">
        <v>8393</v>
      </c>
      <c r="D5147" t="s">
        <v>8393</v>
      </c>
      <c r="E5147" t="s">
        <v>919</v>
      </c>
      <c r="F5147" t="s">
        <v>8393</v>
      </c>
    </row>
    <row r="5148" spans="1:7">
      <c r="A5148" t="s">
        <v>7504</v>
      </c>
      <c r="B5148" t="s">
        <v>8273</v>
      </c>
      <c r="C5148" t="s">
        <v>8392</v>
      </c>
      <c r="D5148" t="s">
        <v>8415</v>
      </c>
      <c r="E5148" t="s">
        <v>8446</v>
      </c>
      <c r="F5148" t="s">
        <v>8449</v>
      </c>
      <c r="G5148" t="s">
        <v>8455</v>
      </c>
    </row>
    <row r="5149" spans="1:7">
      <c r="A5149" t="s">
        <v>7505</v>
      </c>
      <c r="B5149" t="s">
        <v>8277</v>
      </c>
      <c r="C5149" t="s">
        <v>8392</v>
      </c>
      <c r="D5149" t="s">
        <v>8415</v>
      </c>
      <c r="E5149" t="s">
        <v>8446</v>
      </c>
      <c r="F5149" t="s">
        <v>8449</v>
      </c>
      <c r="G5149" t="s">
        <v>8455</v>
      </c>
    </row>
    <row r="5150" spans="1:7">
      <c r="A5150" t="s">
        <v>7506</v>
      </c>
      <c r="C5150" t="s">
        <v>8393</v>
      </c>
      <c r="D5150" t="s">
        <v>8393</v>
      </c>
      <c r="E5150" t="s">
        <v>919</v>
      </c>
      <c r="F5150" t="s">
        <v>8393</v>
      </c>
    </row>
    <row r="5151" spans="1:7">
      <c r="A5151" t="s">
        <v>7507</v>
      </c>
      <c r="B5151" t="s">
        <v>8273</v>
      </c>
      <c r="C5151" t="s">
        <v>8392</v>
      </c>
      <c r="D5151" t="s">
        <v>8415</v>
      </c>
      <c r="E5151" t="s">
        <v>1519</v>
      </c>
      <c r="F5151" t="s">
        <v>8449</v>
      </c>
      <c r="G5151" t="s">
        <v>8455</v>
      </c>
    </row>
    <row r="5152" spans="1:7">
      <c r="A5152" t="s">
        <v>7508</v>
      </c>
      <c r="B5152" t="s">
        <v>8277</v>
      </c>
      <c r="C5152" t="s">
        <v>8392</v>
      </c>
      <c r="D5152" t="s">
        <v>8415</v>
      </c>
      <c r="E5152" t="s">
        <v>1519</v>
      </c>
      <c r="F5152" t="s">
        <v>8449</v>
      </c>
      <c r="G5152" t="s">
        <v>8455</v>
      </c>
    </row>
    <row r="5153" spans="1:7">
      <c r="A5153" t="s">
        <v>7509</v>
      </c>
      <c r="B5153" t="s">
        <v>8273</v>
      </c>
      <c r="C5153" t="s">
        <v>8398</v>
      </c>
      <c r="D5153" t="s">
        <v>8419</v>
      </c>
      <c r="E5153" t="s">
        <v>8444</v>
      </c>
      <c r="F5153" t="s">
        <v>8449</v>
      </c>
      <c r="G5153" t="s">
        <v>8455</v>
      </c>
    </row>
    <row r="5154" spans="1:7">
      <c r="A5154" t="s">
        <v>7510</v>
      </c>
      <c r="B5154" t="s">
        <v>8273</v>
      </c>
      <c r="C5154" t="s">
        <v>8396</v>
      </c>
      <c r="D5154" t="s">
        <v>8425</v>
      </c>
      <c r="E5154" t="s">
        <v>1587</v>
      </c>
      <c r="F5154" t="s">
        <v>8449</v>
      </c>
      <c r="G5154" t="s">
        <v>8455</v>
      </c>
    </row>
    <row r="5155" spans="1:7">
      <c r="A5155" t="s">
        <v>7511</v>
      </c>
      <c r="B5155" t="s">
        <v>8273</v>
      </c>
      <c r="C5155" t="s">
        <v>8394</v>
      </c>
      <c r="D5155" t="s">
        <v>8422</v>
      </c>
      <c r="E5155" t="s">
        <v>8445</v>
      </c>
      <c r="F5155" t="s">
        <v>8449</v>
      </c>
      <c r="G5155" t="s">
        <v>8455</v>
      </c>
    </row>
    <row r="5156" spans="1:7">
      <c r="A5156" t="s">
        <v>7512</v>
      </c>
      <c r="C5156" t="s">
        <v>8394</v>
      </c>
      <c r="D5156" t="s">
        <v>8414</v>
      </c>
      <c r="E5156" t="s">
        <v>8445</v>
      </c>
      <c r="F5156" t="s">
        <v>8448</v>
      </c>
      <c r="G5156" t="s">
        <v>9350</v>
      </c>
    </row>
    <row r="5157" spans="1:7">
      <c r="A5157" t="s">
        <v>7513</v>
      </c>
      <c r="B5157" t="s">
        <v>8278</v>
      </c>
      <c r="C5157" t="s">
        <v>8394</v>
      </c>
      <c r="D5157" t="s">
        <v>8423</v>
      </c>
      <c r="E5157" t="s">
        <v>8445</v>
      </c>
      <c r="F5157" t="s">
        <v>8449</v>
      </c>
      <c r="G5157" t="s">
        <v>8455</v>
      </c>
    </row>
    <row r="5158" spans="1:7">
      <c r="A5158" t="s">
        <v>7514</v>
      </c>
      <c r="C5158" t="s">
        <v>8397</v>
      </c>
      <c r="D5158" t="s">
        <v>8431</v>
      </c>
      <c r="E5158" t="s">
        <v>8444</v>
      </c>
      <c r="F5158" t="s">
        <v>8448</v>
      </c>
    </row>
    <row r="5159" spans="1:7">
      <c r="A5159" t="s">
        <v>7515</v>
      </c>
      <c r="C5159" t="s">
        <v>8394</v>
      </c>
      <c r="D5159" t="s">
        <v>8413</v>
      </c>
      <c r="E5159" t="s">
        <v>8445</v>
      </c>
      <c r="F5159" t="s">
        <v>8448</v>
      </c>
      <c r="G5159" t="s">
        <v>9351</v>
      </c>
    </row>
    <row r="5160" spans="1:7">
      <c r="A5160" t="s">
        <v>7516</v>
      </c>
      <c r="B5160" t="s">
        <v>8273</v>
      </c>
      <c r="C5160" t="s">
        <v>8392</v>
      </c>
      <c r="D5160" t="s">
        <v>8400</v>
      </c>
      <c r="E5160" t="s">
        <v>1519</v>
      </c>
      <c r="F5160" t="s">
        <v>8449</v>
      </c>
      <c r="G5160" t="s">
        <v>8455</v>
      </c>
    </row>
    <row r="5161" spans="1:7">
      <c r="A5161" t="s">
        <v>7517</v>
      </c>
      <c r="C5161" t="s">
        <v>8394</v>
      </c>
      <c r="D5161" t="s">
        <v>8402</v>
      </c>
      <c r="E5161" t="s">
        <v>8445</v>
      </c>
      <c r="F5161" t="s">
        <v>8448</v>
      </c>
      <c r="G5161" t="s">
        <v>9352</v>
      </c>
    </row>
    <row r="5162" spans="1:7">
      <c r="A5162" t="s">
        <v>7518</v>
      </c>
      <c r="C5162" t="s">
        <v>8394</v>
      </c>
      <c r="D5162" t="s">
        <v>8424</v>
      </c>
      <c r="E5162" t="s">
        <v>8446</v>
      </c>
      <c r="F5162" t="s">
        <v>8448</v>
      </c>
      <c r="G5162" t="s">
        <v>9353</v>
      </c>
    </row>
    <row r="5163" spans="1:7">
      <c r="A5163" t="s">
        <v>7519</v>
      </c>
      <c r="B5163" t="s">
        <v>8273</v>
      </c>
      <c r="C5163" t="s">
        <v>8394</v>
      </c>
      <c r="D5163" t="s">
        <v>8407</v>
      </c>
      <c r="E5163" t="s">
        <v>8446</v>
      </c>
      <c r="F5163" t="s">
        <v>8448</v>
      </c>
      <c r="G5163" t="s">
        <v>9354</v>
      </c>
    </row>
    <row r="5164" spans="1:7">
      <c r="A5164" t="s">
        <v>7520</v>
      </c>
      <c r="B5164" t="s">
        <v>8273</v>
      </c>
      <c r="C5164" t="s">
        <v>8394</v>
      </c>
      <c r="D5164" t="s">
        <v>8402</v>
      </c>
      <c r="E5164" t="s">
        <v>8444</v>
      </c>
      <c r="F5164" t="s">
        <v>8448</v>
      </c>
      <c r="G5164" t="s">
        <v>9355</v>
      </c>
    </row>
    <row r="5165" spans="1:7">
      <c r="A5165" t="s">
        <v>7521</v>
      </c>
      <c r="C5165" t="s">
        <v>8394</v>
      </c>
      <c r="D5165" t="s">
        <v>8402</v>
      </c>
      <c r="E5165" t="s">
        <v>8445</v>
      </c>
      <c r="F5165" t="s">
        <v>8448</v>
      </c>
      <c r="G5165" t="s">
        <v>9356</v>
      </c>
    </row>
    <row r="5166" spans="1:7">
      <c r="A5166" t="s">
        <v>7522</v>
      </c>
      <c r="B5166" t="s">
        <v>8273</v>
      </c>
      <c r="C5166" t="s">
        <v>8394</v>
      </c>
      <c r="D5166" t="s">
        <v>8414</v>
      </c>
      <c r="E5166" t="s">
        <v>8445</v>
      </c>
      <c r="F5166" t="s">
        <v>8449</v>
      </c>
      <c r="G5166" t="s">
        <v>8455</v>
      </c>
    </row>
    <row r="5167" spans="1:7">
      <c r="A5167" t="s">
        <v>7523</v>
      </c>
      <c r="B5167" t="s">
        <v>8273</v>
      </c>
      <c r="C5167" t="s">
        <v>8395</v>
      </c>
      <c r="D5167" t="s">
        <v>8426</v>
      </c>
      <c r="E5167" t="s">
        <v>8446</v>
      </c>
      <c r="F5167" t="s">
        <v>8449</v>
      </c>
      <c r="G5167" t="s">
        <v>8455</v>
      </c>
    </row>
    <row r="5168" spans="1:7">
      <c r="A5168" t="s">
        <v>7524</v>
      </c>
      <c r="C5168" t="s">
        <v>8392</v>
      </c>
      <c r="D5168" t="s">
        <v>8400</v>
      </c>
      <c r="E5168" t="s">
        <v>8446</v>
      </c>
      <c r="F5168" t="s">
        <v>8449</v>
      </c>
      <c r="G5168" t="s">
        <v>8455</v>
      </c>
    </row>
    <row r="5169" spans="1:7">
      <c r="A5169" t="s">
        <v>7525</v>
      </c>
      <c r="C5169" t="s">
        <v>8393</v>
      </c>
      <c r="D5169" t="s">
        <v>8393</v>
      </c>
      <c r="E5169" t="s">
        <v>919</v>
      </c>
      <c r="F5169" t="s">
        <v>8393</v>
      </c>
    </row>
    <row r="5170" spans="1:7">
      <c r="A5170" t="s">
        <v>7526</v>
      </c>
      <c r="B5170" t="s">
        <v>8273</v>
      </c>
      <c r="C5170" t="s">
        <v>8395</v>
      </c>
      <c r="D5170" t="s">
        <v>8400</v>
      </c>
      <c r="E5170" t="s">
        <v>8446</v>
      </c>
      <c r="F5170" t="s">
        <v>8448</v>
      </c>
      <c r="G5170" t="s">
        <v>8455</v>
      </c>
    </row>
    <row r="5171" spans="1:7">
      <c r="A5171" t="s">
        <v>7527</v>
      </c>
      <c r="B5171" t="s">
        <v>8285</v>
      </c>
      <c r="C5171" t="s">
        <v>8395</v>
      </c>
      <c r="D5171" t="s">
        <v>8400</v>
      </c>
      <c r="E5171" t="s">
        <v>8446</v>
      </c>
      <c r="F5171" t="s">
        <v>8448</v>
      </c>
      <c r="G5171" t="s">
        <v>8455</v>
      </c>
    </row>
    <row r="5172" spans="1:7">
      <c r="A5172" t="s">
        <v>7528</v>
      </c>
      <c r="B5172" t="s">
        <v>8287</v>
      </c>
      <c r="C5172" t="s">
        <v>8395</v>
      </c>
      <c r="D5172" t="s">
        <v>8400</v>
      </c>
      <c r="E5172" t="s">
        <v>8446</v>
      </c>
      <c r="F5172" t="s">
        <v>8448</v>
      </c>
      <c r="G5172" t="s">
        <v>8455</v>
      </c>
    </row>
    <row r="5173" spans="1:7">
      <c r="A5173" t="s">
        <v>7529</v>
      </c>
      <c r="B5173" t="s">
        <v>8277</v>
      </c>
      <c r="C5173" t="s">
        <v>8395</v>
      </c>
      <c r="D5173" t="s">
        <v>8400</v>
      </c>
      <c r="E5173" t="s">
        <v>8446</v>
      </c>
      <c r="F5173" t="s">
        <v>8448</v>
      </c>
      <c r="G5173" t="s">
        <v>8455</v>
      </c>
    </row>
    <row r="5174" spans="1:7">
      <c r="A5174" t="s">
        <v>7530</v>
      </c>
      <c r="C5174" t="s">
        <v>8397</v>
      </c>
      <c r="D5174" t="s">
        <v>8421</v>
      </c>
      <c r="E5174" t="s">
        <v>8446</v>
      </c>
      <c r="F5174" t="s">
        <v>8448</v>
      </c>
      <c r="G5174" t="s">
        <v>9357</v>
      </c>
    </row>
    <row r="5175" spans="1:7">
      <c r="A5175" t="s">
        <v>7531</v>
      </c>
      <c r="B5175" t="s">
        <v>8273</v>
      </c>
      <c r="C5175" t="s">
        <v>8394</v>
      </c>
      <c r="D5175" t="s">
        <v>8413</v>
      </c>
      <c r="E5175" t="s">
        <v>8445</v>
      </c>
      <c r="F5175" t="s">
        <v>8448</v>
      </c>
      <c r="G5175" t="s">
        <v>8455</v>
      </c>
    </row>
    <row r="5176" spans="1:7">
      <c r="A5176" t="s">
        <v>7532</v>
      </c>
      <c r="B5176" t="s">
        <v>8273</v>
      </c>
      <c r="C5176" t="s">
        <v>8394</v>
      </c>
      <c r="D5176" t="s">
        <v>8416</v>
      </c>
      <c r="E5176" t="s">
        <v>1519</v>
      </c>
      <c r="F5176" t="s">
        <v>8448</v>
      </c>
      <c r="G5176" t="s">
        <v>8463</v>
      </c>
    </row>
    <row r="5177" spans="1:7">
      <c r="A5177" t="s">
        <v>7533</v>
      </c>
      <c r="B5177" t="s">
        <v>8273</v>
      </c>
      <c r="C5177" t="s">
        <v>8394</v>
      </c>
      <c r="D5177" t="s">
        <v>8402</v>
      </c>
      <c r="E5177" t="s">
        <v>1519</v>
      </c>
      <c r="F5177" t="s">
        <v>8449</v>
      </c>
      <c r="G5177" t="s">
        <v>9264</v>
      </c>
    </row>
    <row r="5178" spans="1:7">
      <c r="A5178" t="s">
        <v>7534</v>
      </c>
      <c r="C5178" t="s">
        <v>8393</v>
      </c>
      <c r="D5178" t="s">
        <v>8393</v>
      </c>
      <c r="E5178" t="s">
        <v>919</v>
      </c>
      <c r="F5178" t="s">
        <v>8393</v>
      </c>
    </row>
    <row r="5179" spans="1:7">
      <c r="A5179" t="s">
        <v>7535</v>
      </c>
      <c r="B5179" t="s">
        <v>8278</v>
      </c>
      <c r="C5179" t="s">
        <v>8394</v>
      </c>
      <c r="D5179" t="s">
        <v>8423</v>
      </c>
      <c r="E5179" t="s">
        <v>8444</v>
      </c>
      <c r="F5179" t="s">
        <v>8449</v>
      </c>
      <c r="G5179" t="s">
        <v>8455</v>
      </c>
    </row>
    <row r="5180" spans="1:7">
      <c r="A5180" t="s">
        <v>7536</v>
      </c>
      <c r="B5180" t="s">
        <v>8278</v>
      </c>
      <c r="C5180" t="s">
        <v>8394</v>
      </c>
      <c r="D5180" t="s">
        <v>8423</v>
      </c>
      <c r="E5180" t="s">
        <v>8444</v>
      </c>
      <c r="F5180" t="s">
        <v>8449</v>
      </c>
      <c r="G5180" t="s">
        <v>8455</v>
      </c>
    </row>
    <row r="5181" spans="1:7">
      <c r="A5181" t="s">
        <v>7537</v>
      </c>
      <c r="B5181" t="s">
        <v>8284</v>
      </c>
      <c r="C5181" t="s">
        <v>8394</v>
      </c>
      <c r="D5181" t="s">
        <v>8423</v>
      </c>
      <c r="E5181" t="s">
        <v>8444</v>
      </c>
      <c r="F5181" t="s">
        <v>8449</v>
      </c>
      <c r="G5181" t="s">
        <v>8455</v>
      </c>
    </row>
    <row r="5182" spans="1:7">
      <c r="A5182" t="s">
        <v>7538</v>
      </c>
      <c r="B5182" t="s">
        <v>8279</v>
      </c>
      <c r="C5182" t="s">
        <v>8394</v>
      </c>
      <c r="D5182" t="s">
        <v>8423</v>
      </c>
      <c r="E5182" t="s">
        <v>8444</v>
      </c>
      <c r="F5182" t="s">
        <v>8449</v>
      </c>
      <c r="G5182" t="s">
        <v>8455</v>
      </c>
    </row>
    <row r="5183" spans="1:7">
      <c r="A5183" t="s">
        <v>7539</v>
      </c>
      <c r="B5183" t="s">
        <v>8311</v>
      </c>
      <c r="C5183" t="s">
        <v>8394</v>
      </c>
      <c r="D5183" t="s">
        <v>8423</v>
      </c>
      <c r="E5183" t="s">
        <v>8444</v>
      </c>
      <c r="F5183" t="s">
        <v>8449</v>
      </c>
      <c r="G5183" t="s">
        <v>8455</v>
      </c>
    </row>
    <row r="5184" spans="1:7">
      <c r="A5184" t="s">
        <v>7540</v>
      </c>
      <c r="B5184" t="s">
        <v>8278</v>
      </c>
      <c r="C5184" t="s">
        <v>8394</v>
      </c>
      <c r="D5184" t="s">
        <v>8423</v>
      </c>
      <c r="E5184" t="s">
        <v>8444</v>
      </c>
      <c r="F5184" t="s">
        <v>8449</v>
      </c>
      <c r="G5184" t="s">
        <v>8455</v>
      </c>
    </row>
    <row r="5185" spans="1:7">
      <c r="A5185" t="s">
        <v>7541</v>
      </c>
      <c r="B5185" t="s">
        <v>8278</v>
      </c>
      <c r="C5185" t="s">
        <v>8394</v>
      </c>
      <c r="D5185" t="s">
        <v>8423</v>
      </c>
      <c r="E5185" t="s">
        <v>8444</v>
      </c>
      <c r="F5185" t="s">
        <v>8449</v>
      </c>
      <c r="G5185" t="s">
        <v>8455</v>
      </c>
    </row>
    <row r="5186" spans="1:7">
      <c r="A5186" t="s">
        <v>7542</v>
      </c>
      <c r="B5186" t="s">
        <v>8281</v>
      </c>
      <c r="C5186" t="s">
        <v>8394</v>
      </c>
      <c r="D5186" t="s">
        <v>8423</v>
      </c>
      <c r="E5186" t="s">
        <v>8444</v>
      </c>
      <c r="F5186" t="s">
        <v>8449</v>
      </c>
      <c r="G5186" t="s">
        <v>8455</v>
      </c>
    </row>
    <row r="5187" spans="1:7">
      <c r="A5187" t="s">
        <v>7543</v>
      </c>
      <c r="C5187" t="s">
        <v>8394</v>
      </c>
      <c r="D5187" t="s">
        <v>8402</v>
      </c>
      <c r="E5187" t="s">
        <v>8444</v>
      </c>
      <c r="F5187" t="s">
        <v>8448</v>
      </c>
      <c r="G5187" t="s">
        <v>9358</v>
      </c>
    </row>
    <row r="5188" spans="1:7">
      <c r="A5188" t="s">
        <v>7544</v>
      </c>
      <c r="B5188" t="s">
        <v>8273</v>
      </c>
      <c r="C5188" t="s">
        <v>8396</v>
      </c>
      <c r="D5188" t="s">
        <v>8404</v>
      </c>
      <c r="E5188" t="s">
        <v>8446</v>
      </c>
      <c r="F5188" t="s">
        <v>8449</v>
      </c>
      <c r="G5188" t="s">
        <v>8455</v>
      </c>
    </row>
    <row r="5189" spans="1:7">
      <c r="A5189" t="s">
        <v>7545</v>
      </c>
      <c r="C5189" t="s">
        <v>8397</v>
      </c>
      <c r="D5189" t="s">
        <v>8418</v>
      </c>
      <c r="E5189" t="s">
        <v>8446</v>
      </c>
      <c r="F5189" t="s">
        <v>8450</v>
      </c>
      <c r="G5189" t="s">
        <v>9359</v>
      </c>
    </row>
    <row r="5190" spans="1:7">
      <c r="A5190" t="s">
        <v>7546</v>
      </c>
      <c r="C5190" t="s">
        <v>8397</v>
      </c>
      <c r="D5190" t="s">
        <v>8418</v>
      </c>
      <c r="E5190" t="s">
        <v>8445</v>
      </c>
      <c r="F5190" t="s">
        <v>8450</v>
      </c>
      <c r="G5190" t="s">
        <v>9360</v>
      </c>
    </row>
    <row r="5191" spans="1:7">
      <c r="A5191" t="s">
        <v>7547</v>
      </c>
      <c r="C5191" t="s">
        <v>8394</v>
      </c>
      <c r="D5191" t="s">
        <v>8414</v>
      </c>
      <c r="E5191" t="s">
        <v>8445</v>
      </c>
      <c r="F5191" t="s">
        <v>8448</v>
      </c>
      <c r="G5191" t="s">
        <v>9361</v>
      </c>
    </row>
    <row r="5192" spans="1:7">
      <c r="A5192" t="s">
        <v>7548</v>
      </c>
      <c r="C5192" t="s">
        <v>8393</v>
      </c>
      <c r="D5192" t="s">
        <v>8393</v>
      </c>
      <c r="E5192" t="s">
        <v>919</v>
      </c>
      <c r="F5192" t="s">
        <v>8393</v>
      </c>
    </row>
    <row r="5193" spans="1:7">
      <c r="A5193" t="s">
        <v>7549</v>
      </c>
      <c r="B5193" t="s">
        <v>8278</v>
      </c>
      <c r="C5193" t="s">
        <v>8392</v>
      </c>
      <c r="D5193" t="s">
        <v>8415</v>
      </c>
      <c r="E5193" t="s">
        <v>8444</v>
      </c>
      <c r="F5193" t="s">
        <v>8448</v>
      </c>
      <c r="G5193" t="s">
        <v>8455</v>
      </c>
    </row>
    <row r="5194" spans="1:7">
      <c r="A5194" t="s">
        <v>7550</v>
      </c>
      <c r="B5194" t="s">
        <v>8273</v>
      </c>
      <c r="C5194" t="s">
        <v>8392</v>
      </c>
      <c r="D5194" t="s">
        <v>8415</v>
      </c>
      <c r="E5194" t="s">
        <v>8444</v>
      </c>
      <c r="F5194" t="s">
        <v>8448</v>
      </c>
      <c r="G5194" t="s">
        <v>9362</v>
      </c>
    </row>
    <row r="5195" spans="1:7">
      <c r="A5195" t="s">
        <v>7551</v>
      </c>
      <c r="B5195" t="s">
        <v>8285</v>
      </c>
      <c r="C5195" t="s">
        <v>8395</v>
      </c>
      <c r="D5195" t="s">
        <v>8415</v>
      </c>
      <c r="E5195" t="s">
        <v>8444</v>
      </c>
      <c r="F5195" t="s">
        <v>8449</v>
      </c>
      <c r="G5195" t="s">
        <v>8455</v>
      </c>
    </row>
    <row r="5196" spans="1:7">
      <c r="A5196" t="s">
        <v>7552</v>
      </c>
      <c r="B5196" t="s">
        <v>8286</v>
      </c>
      <c r="C5196" t="s">
        <v>8395</v>
      </c>
      <c r="D5196" t="s">
        <v>8415</v>
      </c>
      <c r="E5196" t="s">
        <v>8444</v>
      </c>
      <c r="F5196" t="s">
        <v>8449</v>
      </c>
      <c r="G5196" t="s">
        <v>8455</v>
      </c>
    </row>
    <row r="5197" spans="1:7">
      <c r="A5197" t="s">
        <v>7553</v>
      </c>
      <c r="B5197" t="s">
        <v>8277</v>
      </c>
      <c r="C5197" t="s">
        <v>8395</v>
      </c>
      <c r="D5197" t="s">
        <v>8415</v>
      </c>
      <c r="E5197" t="s">
        <v>8444</v>
      </c>
      <c r="F5197" t="s">
        <v>8448</v>
      </c>
      <c r="G5197" t="s">
        <v>8455</v>
      </c>
    </row>
    <row r="5198" spans="1:7">
      <c r="A5198" t="s">
        <v>7554</v>
      </c>
      <c r="B5198" t="s">
        <v>8273</v>
      </c>
      <c r="C5198" t="s">
        <v>8392</v>
      </c>
      <c r="D5198" t="s">
        <v>8415</v>
      </c>
      <c r="E5198" t="s">
        <v>8444</v>
      </c>
      <c r="F5198" t="s">
        <v>8448</v>
      </c>
      <c r="G5198" t="s">
        <v>8455</v>
      </c>
    </row>
    <row r="5199" spans="1:7">
      <c r="A5199" t="s">
        <v>7555</v>
      </c>
      <c r="B5199" t="s">
        <v>8278</v>
      </c>
      <c r="C5199" t="s">
        <v>8395</v>
      </c>
      <c r="D5199" t="s">
        <v>8423</v>
      </c>
      <c r="E5199" t="s">
        <v>8444</v>
      </c>
      <c r="F5199" t="s">
        <v>8449</v>
      </c>
      <c r="G5199" t="s">
        <v>8455</v>
      </c>
    </row>
    <row r="5200" spans="1:7">
      <c r="A5200" t="s">
        <v>7556</v>
      </c>
      <c r="C5200" t="s">
        <v>8394</v>
      </c>
      <c r="D5200" t="s">
        <v>8417</v>
      </c>
      <c r="E5200" t="s">
        <v>8445</v>
      </c>
      <c r="F5200" t="s">
        <v>8448</v>
      </c>
      <c r="G5200" t="s">
        <v>9363</v>
      </c>
    </row>
    <row r="5201" spans="1:7">
      <c r="A5201" t="s">
        <v>7557</v>
      </c>
      <c r="C5201" t="s">
        <v>8394</v>
      </c>
      <c r="D5201" t="s">
        <v>8417</v>
      </c>
      <c r="E5201" t="s">
        <v>8445</v>
      </c>
      <c r="F5201" t="s">
        <v>8448</v>
      </c>
      <c r="G5201" t="s">
        <v>9363</v>
      </c>
    </row>
    <row r="5202" spans="1:7">
      <c r="A5202" t="s">
        <v>7558</v>
      </c>
      <c r="B5202" t="s">
        <v>8273</v>
      </c>
      <c r="C5202" t="s">
        <v>8396</v>
      </c>
      <c r="D5202" t="s">
        <v>8425</v>
      </c>
      <c r="E5202" t="s">
        <v>8444</v>
      </c>
      <c r="F5202" t="s">
        <v>8448</v>
      </c>
      <c r="G5202" t="s">
        <v>9364</v>
      </c>
    </row>
    <row r="5203" spans="1:7">
      <c r="A5203" t="s">
        <v>7559</v>
      </c>
      <c r="B5203" t="s">
        <v>8273</v>
      </c>
      <c r="C5203" t="s">
        <v>8398</v>
      </c>
      <c r="D5203" t="s">
        <v>8410</v>
      </c>
      <c r="E5203" t="s">
        <v>1519</v>
      </c>
      <c r="F5203" t="s">
        <v>8449</v>
      </c>
      <c r="G5203" t="s">
        <v>8453</v>
      </c>
    </row>
    <row r="5204" spans="1:7">
      <c r="A5204" t="s">
        <v>7560</v>
      </c>
      <c r="B5204" t="s">
        <v>8370</v>
      </c>
      <c r="C5204" t="s">
        <v>8397</v>
      </c>
      <c r="D5204" t="s">
        <v>8431</v>
      </c>
      <c r="E5204" t="s">
        <v>8446</v>
      </c>
      <c r="F5204" t="s">
        <v>8448</v>
      </c>
      <c r="G5204" t="s">
        <v>8455</v>
      </c>
    </row>
    <row r="5205" spans="1:7">
      <c r="A5205" t="s">
        <v>7561</v>
      </c>
      <c r="B5205" t="s">
        <v>8273</v>
      </c>
      <c r="C5205" t="s">
        <v>8392</v>
      </c>
      <c r="D5205" t="s">
        <v>8400</v>
      </c>
      <c r="E5205" t="s">
        <v>8446</v>
      </c>
      <c r="F5205" t="s">
        <v>8449</v>
      </c>
      <c r="G5205" t="s">
        <v>8455</v>
      </c>
    </row>
    <row r="5206" spans="1:7">
      <c r="A5206" t="s">
        <v>7562</v>
      </c>
      <c r="B5206" t="s">
        <v>8273</v>
      </c>
      <c r="C5206" t="s">
        <v>8398</v>
      </c>
      <c r="D5206" t="s">
        <v>8409</v>
      </c>
      <c r="E5206" t="s">
        <v>8444</v>
      </c>
      <c r="F5206" t="s">
        <v>8448</v>
      </c>
      <c r="G5206" t="s">
        <v>9365</v>
      </c>
    </row>
    <row r="5207" spans="1:7">
      <c r="A5207" t="s">
        <v>7563</v>
      </c>
      <c r="B5207" t="s">
        <v>8273</v>
      </c>
      <c r="C5207" t="s">
        <v>8395</v>
      </c>
      <c r="D5207" t="s">
        <v>8425</v>
      </c>
      <c r="E5207" t="s">
        <v>1519</v>
      </c>
      <c r="F5207" t="s">
        <v>8448</v>
      </c>
      <c r="G5207" t="s">
        <v>8453</v>
      </c>
    </row>
    <row r="5208" spans="1:7">
      <c r="A5208" t="s">
        <v>7564</v>
      </c>
      <c r="B5208" t="s">
        <v>8273</v>
      </c>
      <c r="C5208" t="s">
        <v>8396</v>
      </c>
      <c r="D5208" t="s">
        <v>8411</v>
      </c>
      <c r="E5208" t="s">
        <v>8446</v>
      </c>
      <c r="F5208" t="s">
        <v>8448</v>
      </c>
      <c r="G5208" t="s">
        <v>9366</v>
      </c>
    </row>
    <row r="5209" spans="1:7">
      <c r="A5209" t="s">
        <v>7565</v>
      </c>
      <c r="B5209" t="s">
        <v>8273</v>
      </c>
      <c r="C5209" t="s">
        <v>8394</v>
      </c>
      <c r="D5209" t="s">
        <v>8402</v>
      </c>
      <c r="E5209" t="s">
        <v>8445</v>
      </c>
      <c r="F5209" t="s">
        <v>8448</v>
      </c>
      <c r="G5209" t="s">
        <v>9367</v>
      </c>
    </row>
    <row r="5210" spans="1:7">
      <c r="A5210" t="s">
        <v>7566</v>
      </c>
      <c r="B5210" t="s">
        <v>8273</v>
      </c>
      <c r="C5210" t="s">
        <v>8394</v>
      </c>
      <c r="D5210" t="s">
        <v>8414</v>
      </c>
      <c r="E5210" t="s">
        <v>8446</v>
      </c>
      <c r="F5210" t="s">
        <v>8449</v>
      </c>
      <c r="G5210" t="s">
        <v>8455</v>
      </c>
    </row>
    <row r="5211" spans="1:7">
      <c r="A5211" t="s">
        <v>7567</v>
      </c>
      <c r="C5211" t="s">
        <v>8394</v>
      </c>
      <c r="D5211" t="s">
        <v>8401</v>
      </c>
      <c r="E5211" t="s">
        <v>8445</v>
      </c>
      <c r="F5211" t="s">
        <v>8450</v>
      </c>
      <c r="G5211" t="s">
        <v>9368</v>
      </c>
    </row>
    <row r="5212" spans="1:7">
      <c r="A5212" t="s">
        <v>7568</v>
      </c>
      <c r="B5212" t="s">
        <v>8278</v>
      </c>
      <c r="C5212" t="s">
        <v>8394</v>
      </c>
      <c r="D5212" t="s">
        <v>8423</v>
      </c>
      <c r="E5212" t="s">
        <v>8446</v>
      </c>
      <c r="F5212" t="s">
        <v>8449</v>
      </c>
      <c r="G5212" t="s">
        <v>8455</v>
      </c>
    </row>
    <row r="5213" spans="1:7">
      <c r="A5213" t="s">
        <v>7569</v>
      </c>
      <c r="C5213" t="s">
        <v>8397</v>
      </c>
      <c r="D5213" t="s">
        <v>8408</v>
      </c>
      <c r="E5213" t="s">
        <v>8445</v>
      </c>
      <c r="F5213" t="s">
        <v>8450</v>
      </c>
    </row>
    <row r="5214" spans="1:7">
      <c r="A5214" t="s">
        <v>7570</v>
      </c>
      <c r="B5214" t="s">
        <v>8299</v>
      </c>
      <c r="C5214" t="s">
        <v>8397</v>
      </c>
      <c r="D5214" t="s">
        <v>8431</v>
      </c>
      <c r="E5214" t="s">
        <v>1519</v>
      </c>
      <c r="F5214" t="s">
        <v>8448</v>
      </c>
      <c r="G5214" t="s">
        <v>9369</v>
      </c>
    </row>
    <row r="5215" spans="1:7">
      <c r="A5215" t="s">
        <v>7571</v>
      </c>
      <c r="B5215" t="s">
        <v>8276</v>
      </c>
      <c r="C5215" t="s">
        <v>8398</v>
      </c>
      <c r="D5215" t="s">
        <v>8419</v>
      </c>
      <c r="E5215" t="s">
        <v>8446</v>
      </c>
      <c r="F5215" t="s">
        <v>8449</v>
      </c>
      <c r="G5215" t="s">
        <v>8455</v>
      </c>
    </row>
    <row r="5216" spans="1:7">
      <c r="A5216" t="s">
        <v>7572</v>
      </c>
      <c r="C5216" t="s">
        <v>8394</v>
      </c>
      <c r="D5216" t="s">
        <v>8414</v>
      </c>
      <c r="E5216" t="s">
        <v>8445</v>
      </c>
      <c r="F5216" t="s">
        <v>8448</v>
      </c>
      <c r="G5216" t="s">
        <v>9370</v>
      </c>
    </row>
    <row r="5217" spans="1:7">
      <c r="A5217" t="s">
        <v>7573</v>
      </c>
      <c r="B5217" t="s">
        <v>8273</v>
      </c>
      <c r="C5217" t="s">
        <v>8394</v>
      </c>
      <c r="D5217" t="s">
        <v>8402</v>
      </c>
      <c r="E5217" t="s">
        <v>8444</v>
      </c>
      <c r="F5217" t="s">
        <v>8448</v>
      </c>
      <c r="G5217" t="s">
        <v>8453</v>
      </c>
    </row>
    <row r="5218" spans="1:7">
      <c r="A5218" t="s">
        <v>7574</v>
      </c>
      <c r="C5218" t="s">
        <v>8393</v>
      </c>
      <c r="D5218" t="s">
        <v>8393</v>
      </c>
      <c r="E5218" t="s">
        <v>919</v>
      </c>
      <c r="F5218" t="s">
        <v>8393</v>
      </c>
    </row>
    <row r="5219" spans="1:7">
      <c r="A5219" t="s">
        <v>7575</v>
      </c>
      <c r="B5219" t="s">
        <v>8273</v>
      </c>
      <c r="C5219" t="s">
        <v>8392</v>
      </c>
      <c r="D5219" t="s">
        <v>8400</v>
      </c>
      <c r="E5219" t="s">
        <v>8446</v>
      </c>
      <c r="F5219" t="s">
        <v>8448</v>
      </c>
      <c r="G5219" t="s">
        <v>9371</v>
      </c>
    </row>
    <row r="5220" spans="1:7">
      <c r="A5220" t="s">
        <v>7576</v>
      </c>
      <c r="B5220" t="s">
        <v>8277</v>
      </c>
      <c r="C5220" t="s">
        <v>8392</v>
      </c>
      <c r="D5220" t="s">
        <v>8400</v>
      </c>
      <c r="E5220" t="s">
        <v>8446</v>
      </c>
      <c r="F5220" t="s">
        <v>8448</v>
      </c>
      <c r="G5220" t="s">
        <v>9371</v>
      </c>
    </row>
    <row r="5221" spans="1:7">
      <c r="A5221" t="s">
        <v>7577</v>
      </c>
      <c r="B5221" t="s">
        <v>8273</v>
      </c>
      <c r="C5221" t="s">
        <v>8396</v>
      </c>
      <c r="D5221" t="s">
        <v>8411</v>
      </c>
      <c r="E5221" t="s">
        <v>8445</v>
      </c>
      <c r="F5221" t="s">
        <v>8447</v>
      </c>
      <c r="G5221" t="s">
        <v>9372</v>
      </c>
    </row>
    <row r="5222" spans="1:7">
      <c r="A5222" t="s">
        <v>7578</v>
      </c>
      <c r="B5222" t="s">
        <v>8273</v>
      </c>
      <c r="C5222" t="s">
        <v>8396</v>
      </c>
      <c r="D5222" t="s">
        <v>8411</v>
      </c>
      <c r="E5222" t="s">
        <v>8446</v>
      </c>
      <c r="F5222" t="s">
        <v>8447</v>
      </c>
      <c r="G5222" t="s">
        <v>9373</v>
      </c>
    </row>
    <row r="5223" spans="1:7">
      <c r="A5223" t="s">
        <v>7579</v>
      </c>
      <c r="C5223" t="s">
        <v>8393</v>
      </c>
      <c r="D5223" t="s">
        <v>8393</v>
      </c>
      <c r="E5223" t="s">
        <v>919</v>
      </c>
      <c r="F5223" t="s">
        <v>8393</v>
      </c>
    </row>
    <row r="5224" spans="1:7">
      <c r="A5224" t="s">
        <v>7580</v>
      </c>
      <c r="B5224" t="s">
        <v>8273</v>
      </c>
      <c r="C5224" t="s">
        <v>8395</v>
      </c>
      <c r="D5224" t="s">
        <v>8414</v>
      </c>
      <c r="E5224" t="s">
        <v>8446</v>
      </c>
      <c r="F5224" t="s">
        <v>8449</v>
      </c>
      <c r="G5224" t="s">
        <v>8455</v>
      </c>
    </row>
    <row r="5225" spans="1:7">
      <c r="A5225" t="s">
        <v>7581</v>
      </c>
      <c r="B5225" t="s">
        <v>8277</v>
      </c>
      <c r="C5225" t="s">
        <v>8395</v>
      </c>
      <c r="D5225" t="s">
        <v>8414</v>
      </c>
      <c r="E5225" t="s">
        <v>8446</v>
      </c>
      <c r="F5225" t="s">
        <v>8449</v>
      </c>
      <c r="G5225" t="s">
        <v>796</v>
      </c>
    </row>
    <row r="5226" spans="1:7">
      <c r="A5226" t="s">
        <v>7582</v>
      </c>
      <c r="C5226" t="s">
        <v>8393</v>
      </c>
      <c r="D5226" t="s">
        <v>8393</v>
      </c>
      <c r="E5226" t="s">
        <v>919</v>
      </c>
      <c r="F5226" t="s">
        <v>8393</v>
      </c>
    </row>
    <row r="5227" spans="1:7">
      <c r="A5227" t="s">
        <v>7583</v>
      </c>
      <c r="B5227" t="s">
        <v>8273</v>
      </c>
      <c r="C5227" t="s">
        <v>8395</v>
      </c>
      <c r="D5227" t="s">
        <v>8421</v>
      </c>
      <c r="E5227" t="s">
        <v>8444</v>
      </c>
      <c r="F5227" t="s">
        <v>8448</v>
      </c>
      <c r="G5227" t="s">
        <v>9374</v>
      </c>
    </row>
    <row r="5228" spans="1:7">
      <c r="A5228" t="s">
        <v>7584</v>
      </c>
      <c r="B5228" t="s">
        <v>8273</v>
      </c>
      <c r="C5228" t="s">
        <v>8395</v>
      </c>
      <c r="D5228" t="s">
        <v>8421</v>
      </c>
      <c r="E5228" t="s">
        <v>8444</v>
      </c>
      <c r="F5228" t="s">
        <v>8448</v>
      </c>
      <c r="G5228" t="s">
        <v>9374</v>
      </c>
    </row>
    <row r="5229" spans="1:7">
      <c r="A5229" t="s">
        <v>7585</v>
      </c>
      <c r="B5229" t="s">
        <v>8287</v>
      </c>
      <c r="C5229" t="s">
        <v>8395</v>
      </c>
      <c r="D5229" t="s">
        <v>8421</v>
      </c>
      <c r="E5229" t="s">
        <v>8444</v>
      </c>
      <c r="F5229" t="s">
        <v>8448</v>
      </c>
      <c r="G5229" t="s">
        <v>9374</v>
      </c>
    </row>
    <row r="5230" spans="1:7">
      <c r="A5230" t="s">
        <v>7586</v>
      </c>
      <c r="B5230" t="s">
        <v>8273</v>
      </c>
      <c r="C5230" t="s">
        <v>8397</v>
      </c>
      <c r="D5230" t="s">
        <v>8421</v>
      </c>
      <c r="E5230" t="s">
        <v>8444</v>
      </c>
      <c r="F5230" t="s">
        <v>8449</v>
      </c>
      <c r="G5230" t="s">
        <v>8455</v>
      </c>
    </row>
    <row r="5231" spans="1:7">
      <c r="A5231" t="s">
        <v>7587</v>
      </c>
      <c r="B5231" t="s">
        <v>8273</v>
      </c>
      <c r="C5231" t="s">
        <v>8395</v>
      </c>
      <c r="D5231" t="s">
        <v>8421</v>
      </c>
      <c r="E5231" t="s">
        <v>8446</v>
      </c>
      <c r="F5231" t="s">
        <v>8449</v>
      </c>
      <c r="G5231" t="s">
        <v>8455</v>
      </c>
    </row>
    <row r="5232" spans="1:7">
      <c r="A5232" t="s">
        <v>7588</v>
      </c>
      <c r="C5232" t="s">
        <v>8393</v>
      </c>
      <c r="D5232" t="s">
        <v>8393</v>
      </c>
      <c r="E5232" t="s">
        <v>919</v>
      </c>
      <c r="F5232" t="s">
        <v>8393</v>
      </c>
    </row>
    <row r="5233" spans="1:7">
      <c r="A5233" t="s">
        <v>7589</v>
      </c>
      <c r="C5233" t="s">
        <v>8396</v>
      </c>
      <c r="D5233" t="s">
        <v>8411</v>
      </c>
      <c r="E5233" t="s">
        <v>8445</v>
      </c>
      <c r="F5233" t="s">
        <v>8448</v>
      </c>
      <c r="G5233" t="s">
        <v>9375</v>
      </c>
    </row>
    <row r="5234" spans="1:7">
      <c r="A5234" t="s">
        <v>7590</v>
      </c>
      <c r="B5234" t="s">
        <v>8273</v>
      </c>
      <c r="C5234" t="s">
        <v>8396</v>
      </c>
      <c r="D5234" t="s">
        <v>8425</v>
      </c>
      <c r="E5234" t="s">
        <v>8444</v>
      </c>
      <c r="F5234" t="s">
        <v>8448</v>
      </c>
      <c r="G5234" t="s">
        <v>9376</v>
      </c>
    </row>
    <row r="5235" spans="1:7">
      <c r="A5235" t="s">
        <v>7591</v>
      </c>
      <c r="B5235" t="s">
        <v>8273</v>
      </c>
      <c r="C5235" t="s">
        <v>8395</v>
      </c>
      <c r="D5235" t="s">
        <v>8404</v>
      </c>
      <c r="E5235" t="s">
        <v>8446</v>
      </c>
      <c r="F5235" t="s">
        <v>8449</v>
      </c>
      <c r="G5235" t="s">
        <v>8455</v>
      </c>
    </row>
    <row r="5236" spans="1:7">
      <c r="A5236" t="s">
        <v>7592</v>
      </c>
      <c r="B5236" t="s">
        <v>8299</v>
      </c>
      <c r="C5236" t="s">
        <v>8397</v>
      </c>
      <c r="D5236" t="s">
        <v>8430</v>
      </c>
      <c r="E5236" t="s">
        <v>8444</v>
      </c>
      <c r="F5236" t="s">
        <v>8448</v>
      </c>
      <c r="G5236" t="s">
        <v>796</v>
      </c>
    </row>
    <row r="5237" spans="1:7">
      <c r="A5237" t="s">
        <v>7593</v>
      </c>
      <c r="C5237" t="s">
        <v>8397</v>
      </c>
      <c r="D5237" t="s">
        <v>8421</v>
      </c>
      <c r="E5237" t="s">
        <v>8444</v>
      </c>
      <c r="F5237" t="s">
        <v>8448</v>
      </c>
      <c r="G5237" t="s">
        <v>9377</v>
      </c>
    </row>
    <row r="5238" spans="1:7">
      <c r="A5238" t="s">
        <v>7594</v>
      </c>
      <c r="C5238" t="s">
        <v>8394</v>
      </c>
      <c r="D5238" t="s">
        <v>8414</v>
      </c>
      <c r="E5238" t="s">
        <v>8445</v>
      </c>
      <c r="F5238" t="s">
        <v>8448</v>
      </c>
      <c r="G5238" t="s">
        <v>9377</v>
      </c>
    </row>
    <row r="5239" spans="1:7">
      <c r="A5239" t="s">
        <v>7595</v>
      </c>
      <c r="C5239" t="s">
        <v>8394</v>
      </c>
      <c r="D5239" t="s">
        <v>8414</v>
      </c>
      <c r="E5239" t="s">
        <v>8445</v>
      </c>
      <c r="F5239" t="s">
        <v>8450</v>
      </c>
      <c r="G5239" t="s">
        <v>9378</v>
      </c>
    </row>
    <row r="5240" spans="1:7">
      <c r="A5240" t="s">
        <v>7596</v>
      </c>
      <c r="B5240" t="s">
        <v>8273</v>
      </c>
      <c r="C5240" t="s">
        <v>8392</v>
      </c>
      <c r="D5240" t="s">
        <v>8415</v>
      </c>
      <c r="E5240" t="s">
        <v>8444</v>
      </c>
      <c r="F5240" t="s">
        <v>8448</v>
      </c>
      <c r="G5240" t="s">
        <v>9379</v>
      </c>
    </row>
    <row r="5241" spans="1:7">
      <c r="A5241" t="s">
        <v>7597</v>
      </c>
      <c r="B5241" t="s">
        <v>8273</v>
      </c>
      <c r="C5241" t="s">
        <v>8392</v>
      </c>
      <c r="D5241" t="s">
        <v>8415</v>
      </c>
      <c r="E5241" t="s">
        <v>8445</v>
      </c>
      <c r="F5241" t="s">
        <v>8448</v>
      </c>
      <c r="G5241" t="s">
        <v>796</v>
      </c>
    </row>
    <row r="5242" spans="1:7">
      <c r="A5242" t="s">
        <v>7598</v>
      </c>
      <c r="B5242" t="s">
        <v>8273</v>
      </c>
      <c r="C5242" t="s">
        <v>8395</v>
      </c>
      <c r="D5242" t="s">
        <v>8429</v>
      </c>
      <c r="E5242" t="s">
        <v>8444</v>
      </c>
      <c r="F5242" t="s">
        <v>8449</v>
      </c>
      <c r="G5242" t="s">
        <v>8455</v>
      </c>
    </row>
    <row r="5243" spans="1:7">
      <c r="A5243" t="s">
        <v>7599</v>
      </c>
      <c r="B5243" t="s">
        <v>8275</v>
      </c>
      <c r="C5243" t="s">
        <v>8396</v>
      </c>
      <c r="D5243" t="s">
        <v>8420</v>
      </c>
      <c r="E5243" t="s">
        <v>8444</v>
      </c>
      <c r="F5243" t="s">
        <v>8449</v>
      </c>
      <c r="G5243" t="s">
        <v>9380</v>
      </c>
    </row>
    <row r="5244" spans="1:7">
      <c r="A5244" t="s">
        <v>7600</v>
      </c>
      <c r="B5244" t="s">
        <v>8273</v>
      </c>
      <c r="C5244" t="s">
        <v>8398</v>
      </c>
      <c r="D5244" t="s">
        <v>8419</v>
      </c>
      <c r="E5244" t="s">
        <v>8444</v>
      </c>
      <c r="F5244" t="s">
        <v>8448</v>
      </c>
      <c r="G5244" t="s">
        <v>8455</v>
      </c>
    </row>
    <row r="5245" spans="1:7">
      <c r="A5245" t="s">
        <v>7601</v>
      </c>
      <c r="C5245" t="s">
        <v>8394</v>
      </c>
      <c r="D5245" t="s">
        <v>8424</v>
      </c>
      <c r="E5245" t="s">
        <v>8444</v>
      </c>
      <c r="F5245" t="s">
        <v>8448</v>
      </c>
      <c r="G5245" t="s">
        <v>9381</v>
      </c>
    </row>
    <row r="5246" spans="1:7">
      <c r="A5246" t="s">
        <v>7602</v>
      </c>
      <c r="C5246" t="s">
        <v>8394</v>
      </c>
      <c r="D5246" t="s">
        <v>8413</v>
      </c>
      <c r="E5246" t="s">
        <v>8445</v>
      </c>
      <c r="F5246" t="s">
        <v>8448</v>
      </c>
      <c r="G5246" t="s">
        <v>9382</v>
      </c>
    </row>
    <row r="5247" spans="1:7">
      <c r="A5247" t="s">
        <v>7603</v>
      </c>
      <c r="C5247" t="s">
        <v>8397</v>
      </c>
      <c r="D5247" t="s">
        <v>8412</v>
      </c>
      <c r="E5247" t="s">
        <v>8445</v>
      </c>
      <c r="F5247" t="s">
        <v>8450</v>
      </c>
      <c r="G5247" t="s">
        <v>9383</v>
      </c>
    </row>
    <row r="5248" spans="1:7">
      <c r="A5248" t="s">
        <v>7604</v>
      </c>
      <c r="C5248" t="s">
        <v>8398</v>
      </c>
      <c r="D5248" t="s">
        <v>8409</v>
      </c>
      <c r="E5248" t="s">
        <v>8445</v>
      </c>
      <c r="F5248" t="s">
        <v>8448</v>
      </c>
      <c r="G5248" t="s">
        <v>8793</v>
      </c>
    </row>
    <row r="5249" spans="1:7">
      <c r="A5249" t="s">
        <v>7605</v>
      </c>
      <c r="C5249" t="s">
        <v>8392</v>
      </c>
      <c r="D5249" t="s">
        <v>8400</v>
      </c>
      <c r="E5249" t="s">
        <v>1587</v>
      </c>
      <c r="F5249" t="s">
        <v>8447</v>
      </c>
      <c r="G5249" t="s">
        <v>9384</v>
      </c>
    </row>
    <row r="5250" spans="1:7">
      <c r="A5250" t="s">
        <v>7606</v>
      </c>
      <c r="B5250" t="s">
        <v>8273</v>
      </c>
      <c r="C5250" t="s">
        <v>8394</v>
      </c>
      <c r="D5250" t="s">
        <v>8402</v>
      </c>
      <c r="E5250" t="s">
        <v>8445</v>
      </c>
      <c r="F5250" t="s">
        <v>8448</v>
      </c>
      <c r="G5250" t="s">
        <v>9385</v>
      </c>
    </row>
    <row r="5251" spans="1:7">
      <c r="A5251" t="s">
        <v>7607</v>
      </c>
      <c r="C5251" t="s">
        <v>8393</v>
      </c>
      <c r="D5251" t="s">
        <v>8393</v>
      </c>
      <c r="E5251" t="s">
        <v>919</v>
      </c>
      <c r="F5251" t="s">
        <v>8393</v>
      </c>
    </row>
    <row r="5252" spans="1:7">
      <c r="A5252" t="s">
        <v>7608</v>
      </c>
      <c r="B5252" t="s">
        <v>8278</v>
      </c>
      <c r="C5252" t="s">
        <v>8394</v>
      </c>
      <c r="D5252" t="s">
        <v>8423</v>
      </c>
      <c r="E5252" t="s">
        <v>8446</v>
      </c>
      <c r="F5252" t="s">
        <v>8449</v>
      </c>
      <c r="G5252" t="s">
        <v>8455</v>
      </c>
    </row>
    <row r="5253" spans="1:7">
      <c r="A5253" t="s">
        <v>7609</v>
      </c>
      <c r="B5253" t="s">
        <v>8279</v>
      </c>
      <c r="C5253" t="s">
        <v>8394</v>
      </c>
      <c r="D5253" t="s">
        <v>8423</v>
      </c>
      <c r="E5253" t="s">
        <v>8446</v>
      </c>
      <c r="F5253" t="s">
        <v>8449</v>
      </c>
      <c r="G5253" t="s">
        <v>8455</v>
      </c>
    </row>
    <row r="5254" spans="1:7">
      <c r="A5254" t="s">
        <v>7610</v>
      </c>
      <c r="B5254" t="s">
        <v>8281</v>
      </c>
      <c r="C5254" t="s">
        <v>8394</v>
      </c>
      <c r="D5254" t="s">
        <v>8423</v>
      </c>
      <c r="E5254" t="s">
        <v>8446</v>
      </c>
      <c r="F5254" t="s">
        <v>8449</v>
      </c>
      <c r="G5254" t="s">
        <v>8455</v>
      </c>
    </row>
    <row r="5255" spans="1:7">
      <c r="A5255" t="s">
        <v>7611</v>
      </c>
      <c r="B5255" t="s">
        <v>8273</v>
      </c>
      <c r="C5255" t="s">
        <v>8395</v>
      </c>
      <c r="D5255" t="s">
        <v>8425</v>
      </c>
      <c r="E5255" t="s">
        <v>8446</v>
      </c>
      <c r="F5255" t="s">
        <v>8448</v>
      </c>
      <c r="G5255" t="s">
        <v>9386</v>
      </c>
    </row>
    <row r="5256" spans="1:7">
      <c r="A5256" t="s">
        <v>7612</v>
      </c>
      <c r="C5256" t="s">
        <v>8392</v>
      </c>
      <c r="D5256" t="s">
        <v>8400</v>
      </c>
      <c r="E5256" t="s">
        <v>1519</v>
      </c>
      <c r="F5256" t="s">
        <v>8448</v>
      </c>
      <c r="G5256" t="s">
        <v>9387</v>
      </c>
    </row>
    <row r="5257" spans="1:7">
      <c r="A5257" t="s">
        <v>7613</v>
      </c>
      <c r="C5257" t="s">
        <v>8396</v>
      </c>
      <c r="D5257" t="s">
        <v>8426</v>
      </c>
      <c r="E5257" t="s">
        <v>8445</v>
      </c>
      <c r="F5257" t="s">
        <v>8448</v>
      </c>
      <c r="G5257" t="s">
        <v>9388</v>
      </c>
    </row>
    <row r="5258" spans="1:7">
      <c r="A5258" t="s">
        <v>7614</v>
      </c>
      <c r="C5258" t="s">
        <v>8392</v>
      </c>
      <c r="D5258" t="s">
        <v>8400</v>
      </c>
      <c r="E5258" t="s">
        <v>1587</v>
      </c>
      <c r="F5258" t="s">
        <v>8447</v>
      </c>
      <c r="G5258" t="s">
        <v>9114</v>
      </c>
    </row>
    <row r="5259" spans="1:7">
      <c r="A5259" t="s">
        <v>7615</v>
      </c>
      <c r="B5259" t="s">
        <v>8273</v>
      </c>
      <c r="C5259" t="s">
        <v>8395</v>
      </c>
      <c r="D5259" t="s">
        <v>8422</v>
      </c>
      <c r="E5259" t="s">
        <v>1519</v>
      </c>
      <c r="F5259" t="s">
        <v>8449</v>
      </c>
      <c r="G5259" t="s">
        <v>8455</v>
      </c>
    </row>
    <row r="5260" spans="1:7">
      <c r="A5260" t="s">
        <v>7616</v>
      </c>
      <c r="C5260" t="s">
        <v>8394</v>
      </c>
      <c r="D5260" t="s">
        <v>8401</v>
      </c>
      <c r="E5260" t="s">
        <v>8445</v>
      </c>
      <c r="F5260" t="s">
        <v>8448</v>
      </c>
      <c r="G5260" t="s">
        <v>9389</v>
      </c>
    </row>
    <row r="5261" spans="1:7">
      <c r="A5261" t="s">
        <v>7617</v>
      </c>
      <c r="C5261" t="s">
        <v>8393</v>
      </c>
      <c r="D5261" t="s">
        <v>8393</v>
      </c>
      <c r="E5261" t="s">
        <v>919</v>
      </c>
      <c r="F5261" t="s">
        <v>8393</v>
      </c>
    </row>
    <row r="5262" spans="1:7">
      <c r="A5262" t="s">
        <v>7618</v>
      </c>
      <c r="B5262" t="s">
        <v>8278</v>
      </c>
      <c r="C5262" t="s">
        <v>8394</v>
      </c>
      <c r="D5262" t="s">
        <v>8423</v>
      </c>
      <c r="E5262" t="s">
        <v>8444</v>
      </c>
      <c r="F5262" t="s">
        <v>8449</v>
      </c>
      <c r="G5262" t="s">
        <v>8455</v>
      </c>
    </row>
    <row r="5263" spans="1:7">
      <c r="A5263" t="s">
        <v>7619</v>
      </c>
      <c r="B5263" t="s">
        <v>8284</v>
      </c>
      <c r="C5263" t="s">
        <v>8394</v>
      </c>
      <c r="D5263" t="s">
        <v>8423</v>
      </c>
      <c r="E5263" t="s">
        <v>8444</v>
      </c>
      <c r="F5263" t="s">
        <v>8449</v>
      </c>
      <c r="G5263" t="s">
        <v>8455</v>
      </c>
    </row>
    <row r="5264" spans="1:7">
      <c r="A5264" t="s">
        <v>7620</v>
      </c>
      <c r="B5264" t="s">
        <v>8279</v>
      </c>
      <c r="C5264" t="s">
        <v>8394</v>
      </c>
      <c r="D5264" t="s">
        <v>8423</v>
      </c>
      <c r="E5264" t="s">
        <v>8444</v>
      </c>
      <c r="F5264" t="s">
        <v>8449</v>
      </c>
      <c r="G5264" t="s">
        <v>8455</v>
      </c>
    </row>
    <row r="5265" spans="1:7">
      <c r="A5265" t="s">
        <v>7621</v>
      </c>
      <c r="B5265" t="s">
        <v>8281</v>
      </c>
      <c r="C5265" t="s">
        <v>8394</v>
      </c>
      <c r="D5265" t="s">
        <v>8423</v>
      </c>
      <c r="E5265" t="s">
        <v>8444</v>
      </c>
      <c r="F5265" t="s">
        <v>8449</v>
      </c>
      <c r="G5265" t="s">
        <v>8455</v>
      </c>
    </row>
    <row r="5266" spans="1:7">
      <c r="A5266" t="s">
        <v>7622</v>
      </c>
      <c r="B5266" t="s">
        <v>8273</v>
      </c>
      <c r="C5266" t="s">
        <v>8395</v>
      </c>
      <c r="D5266" t="s">
        <v>8402</v>
      </c>
      <c r="E5266" t="s">
        <v>8446</v>
      </c>
      <c r="F5266" t="s">
        <v>8449</v>
      </c>
      <c r="G5266" t="s">
        <v>9390</v>
      </c>
    </row>
    <row r="5267" spans="1:7">
      <c r="A5267" t="s">
        <v>7623</v>
      </c>
      <c r="B5267" t="s">
        <v>8273</v>
      </c>
      <c r="C5267" t="s">
        <v>8396</v>
      </c>
      <c r="D5267" t="s">
        <v>8425</v>
      </c>
      <c r="E5267" t="s">
        <v>8446</v>
      </c>
      <c r="F5267" t="s">
        <v>8448</v>
      </c>
      <c r="G5267" t="s">
        <v>8662</v>
      </c>
    </row>
    <row r="5268" spans="1:7">
      <c r="A5268" t="s">
        <v>7624</v>
      </c>
      <c r="B5268" t="s">
        <v>8299</v>
      </c>
      <c r="C5268" t="s">
        <v>8397</v>
      </c>
      <c r="D5268" t="s">
        <v>8431</v>
      </c>
      <c r="E5268" t="s">
        <v>8446</v>
      </c>
      <c r="F5268" t="s">
        <v>8448</v>
      </c>
      <c r="G5268" t="s">
        <v>9391</v>
      </c>
    </row>
    <row r="5269" spans="1:7">
      <c r="A5269" t="s">
        <v>7625</v>
      </c>
      <c r="B5269" t="s">
        <v>8273</v>
      </c>
      <c r="C5269" t="s">
        <v>8395</v>
      </c>
      <c r="D5269" t="s">
        <v>8414</v>
      </c>
      <c r="E5269" t="s">
        <v>8446</v>
      </c>
      <c r="F5269" t="s">
        <v>8449</v>
      </c>
      <c r="G5269" t="s">
        <v>8455</v>
      </c>
    </row>
    <row r="5270" spans="1:7">
      <c r="A5270" t="s">
        <v>7626</v>
      </c>
      <c r="C5270" t="s">
        <v>8393</v>
      </c>
      <c r="D5270" t="s">
        <v>8393</v>
      </c>
      <c r="E5270" t="s">
        <v>919</v>
      </c>
      <c r="F5270" t="s">
        <v>8393</v>
      </c>
    </row>
    <row r="5271" spans="1:7">
      <c r="A5271" t="s">
        <v>7627</v>
      </c>
      <c r="C5271" t="s">
        <v>8398</v>
      </c>
      <c r="D5271" t="s">
        <v>8419</v>
      </c>
      <c r="E5271" t="s">
        <v>8444</v>
      </c>
      <c r="F5271" t="s">
        <v>8448</v>
      </c>
      <c r="G5271" t="s">
        <v>9392</v>
      </c>
    </row>
    <row r="5272" spans="1:7">
      <c r="A5272" t="s">
        <v>7628</v>
      </c>
      <c r="C5272" t="s">
        <v>8398</v>
      </c>
      <c r="D5272" t="s">
        <v>8419</v>
      </c>
      <c r="E5272" t="s">
        <v>8445</v>
      </c>
      <c r="F5272" t="s">
        <v>8448</v>
      </c>
      <c r="G5272" t="s">
        <v>795</v>
      </c>
    </row>
    <row r="5273" spans="1:7">
      <c r="A5273" t="s">
        <v>7629</v>
      </c>
      <c r="C5273" t="s">
        <v>8398</v>
      </c>
      <c r="D5273" t="s">
        <v>8419</v>
      </c>
      <c r="E5273" t="s">
        <v>1519</v>
      </c>
      <c r="F5273" t="s">
        <v>8448</v>
      </c>
      <c r="G5273" t="s">
        <v>795</v>
      </c>
    </row>
    <row r="5274" spans="1:7">
      <c r="A5274" t="s">
        <v>7630</v>
      </c>
      <c r="B5274" t="s">
        <v>8273</v>
      </c>
      <c r="C5274" t="s">
        <v>8395</v>
      </c>
      <c r="D5274" t="s">
        <v>8426</v>
      </c>
      <c r="E5274" t="s">
        <v>8446</v>
      </c>
      <c r="F5274" t="s">
        <v>8449</v>
      </c>
      <c r="G5274" t="s">
        <v>796</v>
      </c>
    </row>
    <row r="5275" spans="1:7">
      <c r="A5275" t="s">
        <v>7631</v>
      </c>
      <c r="C5275" t="s">
        <v>8394</v>
      </c>
      <c r="D5275" t="s">
        <v>8424</v>
      </c>
      <c r="E5275" t="s">
        <v>8445</v>
      </c>
      <c r="F5275" t="s">
        <v>8448</v>
      </c>
      <c r="G5275" t="s">
        <v>9393</v>
      </c>
    </row>
    <row r="5276" spans="1:7">
      <c r="A5276" t="s">
        <v>7632</v>
      </c>
      <c r="B5276" t="s">
        <v>8273</v>
      </c>
      <c r="C5276" t="s">
        <v>8398</v>
      </c>
      <c r="D5276" t="s">
        <v>8410</v>
      </c>
      <c r="E5276" t="s">
        <v>8446</v>
      </c>
      <c r="F5276" t="s">
        <v>8449</v>
      </c>
      <c r="G5276" t="s">
        <v>8455</v>
      </c>
    </row>
    <row r="5277" spans="1:7">
      <c r="A5277" t="s">
        <v>7633</v>
      </c>
      <c r="C5277" t="s">
        <v>8398</v>
      </c>
      <c r="D5277" t="s">
        <v>8419</v>
      </c>
      <c r="E5277" t="s">
        <v>8446</v>
      </c>
      <c r="F5277" t="s">
        <v>8449</v>
      </c>
      <c r="G5277" t="s">
        <v>9035</v>
      </c>
    </row>
    <row r="5278" spans="1:7">
      <c r="A5278" t="s">
        <v>7634</v>
      </c>
      <c r="B5278" t="s">
        <v>8273</v>
      </c>
      <c r="C5278" t="s">
        <v>8395</v>
      </c>
      <c r="D5278" t="s">
        <v>8424</v>
      </c>
      <c r="E5278" t="s">
        <v>8445</v>
      </c>
      <c r="F5278" t="s">
        <v>8449</v>
      </c>
      <c r="G5278" t="s">
        <v>8455</v>
      </c>
    </row>
    <row r="5279" spans="1:7">
      <c r="A5279" t="s">
        <v>7635</v>
      </c>
      <c r="B5279" t="s">
        <v>8273</v>
      </c>
      <c r="C5279" t="s">
        <v>8395</v>
      </c>
      <c r="D5279" t="s">
        <v>8426</v>
      </c>
      <c r="E5279" t="s">
        <v>8446</v>
      </c>
      <c r="F5279" t="s">
        <v>8448</v>
      </c>
      <c r="G5279" t="s">
        <v>8662</v>
      </c>
    </row>
    <row r="5280" spans="1:7">
      <c r="A5280" t="s">
        <v>7636</v>
      </c>
      <c r="B5280" t="s">
        <v>8286</v>
      </c>
      <c r="C5280" t="s">
        <v>8396</v>
      </c>
      <c r="D5280" t="s">
        <v>8406</v>
      </c>
      <c r="E5280" t="s">
        <v>8444</v>
      </c>
      <c r="F5280" t="s">
        <v>8449</v>
      </c>
      <c r="G5280" t="s">
        <v>8455</v>
      </c>
    </row>
    <row r="5281" spans="1:7">
      <c r="A5281" t="s">
        <v>7637</v>
      </c>
      <c r="C5281" t="s">
        <v>8393</v>
      </c>
      <c r="D5281" t="s">
        <v>8393</v>
      </c>
      <c r="E5281" t="s">
        <v>919</v>
      </c>
      <c r="F5281" t="s">
        <v>8393</v>
      </c>
    </row>
    <row r="5282" spans="1:7">
      <c r="A5282" t="s">
        <v>7638</v>
      </c>
      <c r="B5282" t="s">
        <v>8273</v>
      </c>
      <c r="C5282" t="s">
        <v>8398</v>
      </c>
      <c r="D5282" t="s">
        <v>8419</v>
      </c>
      <c r="E5282" t="s">
        <v>8446</v>
      </c>
      <c r="F5282" t="s">
        <v>8448</v>
      </c>
      <c r="G5282" t="s">
        <v>8475</v>
      </c>
    </row>
    <row r="5283" spans="1:7">
      <c r="A5283" t="s">
        <v>7639</v>
      </c>
      <c r="B5283" t="s">
        <v>8274</v>
      </c>
      <c r="C5283" t="s">
        <v>8398</v>
      </c>
      <c r="D5283" t="s">
        <v>8419</v>
      </c>
      <c r="E5283" t="s">
        <v>8446</v>
      </c>
      <c r="F5283" t="s">
        <v>8448</v>
      </c>
      <c r="G5283" t="s">
        <v>8455</v>
      </c>
    </row>
    <row r="5284" spans="1:7">
      <c r="A5284" t="s">
        <v>7640</v>
      </c>
      <c r="B5284" t="s">
        <v>8277</v>
      </c>
      <c r="C5284" t="s">
        <v>8398</v>
      </c>
      <c r="D5284" t="s">
        <v>8419</v>
      </c>
      <c r="E5284" t="s">
        <v>8446</v>
      </c>
      <c r="F5284" t="s">
        <v>8448</v>
      </c>
      <c r="G5284" t="s">
        <v>8455</v>
      </c>
    </row>
    <row r="5285" spans="1:7">
      <c r="A5285" t="s">
        <v>7637</v>
      </c>
      <c r="C5285" t="s">
        <v>8393</v>
      </c>
      <c r="D5285" t="s">
        <v>8393</v>
      </c>
      <c r="E5285" t="s">
        <v>919</v>
      </c>
      <c r="F5285" t="s">
        <v>8393</v>
      </c>
    </row>
    <row r="5286" spans="1:7">
      <c r="A5286" t="s">
        <v>7638</v>
      </c>
      <c r="B5286" t="s">
        <v>8273</v>
      </c>
      <c r="C5286" t="s">
        <v>8398</v>
      </c>
      <c r="D5286" t="s">
        <v>8419</v>
      </c>
      <c r="E5286" t="s">
        <v>8446</v>
      </c>
      <c r="F5286" t="s">
        <v>8448</v>
      </c>
      <c r="G5286" t="s">
        <v>8475</v>
      </c>
    </row>
    <row r="5287" spans="1:7">
      <c r="A5287" t="s">
        <v>7639</v>
      </c>
      <c r="B5287" t="s">
        <v>8274</v>
      </c>
      <c r="C5287" t="s">
        <v>8398</v>
      </c>
      <c r="D5287" t="s">
        <v>8419</v>
      </c>
      <c r="E5287" t="s">
        <v>8446</v>
      </c>
      <c r="F5287" t="s">
        <v>8448</v>
      </c>
      <c r="G5287" t="s">
        <v>8455</v>
      </c>
    </row>
    <row r="5288" spans="1:7">
      <c r="A5288" t="s">
        <v>7640</v>
      </c>
      <c r="B5288" t="s">
        <v>8277</v>
      </c>
      <c r="C5288" t="s">
        <v>8398</v>
      </c>
      <c r="D5288" t="s">
        <v>8419</v>
      </c>
      <c r="E5288" t="s">
        <v>8446</v>
      </c>
      <c r="F5288" t="s">
        <v>8448</v>
      </c>
      <c r="G5288" t="s">
        <v>8455</v>
      </c>
    </row>
    <row r="5289" spans="1:7">
      <c r="A5289" t="s">
        <v>7641</v>
      </c>
      <c r="B5289" t="s">
        <v>8273</v>
      </c>
      <c r="C5289" t="s">
        <v>8396</v>
      </c>
      <c r="D5289" t="s">
        <v>8420</v>
      </c>
      <c r="E5289" t="s">
        <v>1519</v>
      </c>
      <c r="F5289" t="s">
        <v>8448</v>
      </c>
      <c r="G5289" t="s">
        <v>9394</v>
      </c>
    </row>
    <row r="5290" spans="1:7">
      <c r="A5290" t="s">
        <v>7642</v>
      </c>
      <c r="C5290" t="s">
        <v>8394</v>
      </c>
      <c r="D5290" t="s">
        <v>8402</v>
      </c>
      <c r="E5290" t="s">
        <v>8445</v>
      </c>
      <c r="F5290" t="s">
        <v>8448</v>
      </c>
      <c r="G5290" t="s">
        <v>9395</v>
      </c>
    </row>
    <row r="5291" spans="1:7">
      <c r="A5291" t="s">
        <v>7643</v>
      </c>
      <c r="B5291" t="s">
        <v>8273</v>
      </c>
      <c r="C5291" t="s">
        <v>8396</v>
      </c>
      <c r="D5291" t="s">
        <v>8405</v>
      </c>
      <c r="E5291" t="s">
        <v>8446</v>
      </c>
      <c r="F5291" t="s">
        <v>8448</v>
      </c>
      <c r="G5291" t="s">
        <v>9396</v>
      </c>
    </row>
    <row r="5292" spans="1:7">
      <c r="A5292" t="s">
        <v>7644</v>
      </c>
      <c r="B5292" t="s">
        <v>8299</v>
      </c>
      <c r="C5292" t="s">
        <v>8397</v>
      </c>
      <c r="D5292" t="s">
        <v>8431</v>
      </c>
      <c r="E5292" t="s">
        <v>8446</v>
      </c>
      <c r="F5292" t="s">
        <v>8448</v>
      </c>
      <c r="G5292" t="s">
        <v>8453</v>
      </c>
    </row>
    <row r="5293" spans="1:7">
      <c r="A5293" t="s">
        <v>7645</v>
      </c>
      <c r="B5293" t="s">
        <v>8273</v>
      </c>
      <c r="C5293" t="s">
        <v>8395</v>
      </c>
      <c r="D5293" t="s">
        <v>8404</v>
      </c>
      <c r="E5293" t="s">
        <v>8446</v>
      </c>
      <c r="F5293" t="s">
        <v>8449</v>
      </c>
      <c r="G5293" t="s">
        <v>8455</v>
      </c>
    </row>
    <row r="5294" spans="1:7">
      <c r="A5294" t="s">
        <v>7646</v>
      </c>
      <c r="B5294" t="s">
        <v>8274</v>
      </c>
      <c r="C5294" t="s">
        <v>8396</v>
      </c>
      <c r="D5294" t="s">
        <v>8406</v>
      </c>
      <c r="E5294" t="s">
        <v>8444</v>
      </c>
      <c r="F5294" t="s">
        <v>8449</v>
      </c>
      <c r="G5294" t="s">
        <v>8455</v>
      </c>
    </row>
    <row r="5295" spans="1:7">
      <c r="A5295" t="s">
        <v>7647</v>
      </c>
      <c r="C5295" t="s">
        <v>8392</v>
      </c>
      <c r="D5295" t="s">
        <v>8400</v>
      </c>
      <c r="E5295" t="s">
        <v>8446</v>
      </c>
      <c r="F5295" t="s">
        <v>8449</v>
      </c>
      <c r="G5295" t="s">
        <v>795</v>
      </c>
    </row>
    <row r="5296" spans="1:7">
      <c r="A5296" t="s">
        <v>7648</v>
      </c>
      <c r="C5296" t="s">
        <v>8394</v>
      </c>
      <c r="D5296" t="s">
        <v>8402</v>
      </c>
      <c r="E5296" t="s">
        <v>8445</v>
      </c>
      <c r="F5296" t="s">
        <v>8448</v>
      </c>
      <c r="G5296" t="s">
        <v>9397</v>
      </c>
    </row>
    <row r="5297" spans="1:7">
      <c r="A5297" t="s">
        <v>7649</v>
      </c>
      <c r="B5297" t="s">
        <v>8273</v>
      </c>
      <c r="C5297" t="s">
        <v>8394</v>
      </c>
      <c r="D5297" t="s">
        <v>8416</v>
      </c>
      <c r="E5297" t="s">
        <v>8446</v>
      </c>
      <c r="F5297" t="s">
        <v>8448</v>
      </c>
      <c r="G5297" t="s">
        <v>9398</v>
      </c>
    </row>
    <row r="5298" spans="1:7">
      <c r="A5298" t="s">
        <v>7650</v>
      </c>
      <c r="C5298" t="s">
        <v>8397</v>
      </c>
      <c r="D5298" t="s">
        <v>8408</v>
      </c>
      <c r="E5298" t="s">
        <v>8445</v>
      </c>
      <c r="F5298" t="s">
        <v>8450</v>
      </c>
    </row>
    <row r="5299" spans="1:7">
      <c r="A5299" t="s">
        <v>7651</v>
      </c>
      <c r="C5299" t="s">
        <v>8394</v>
      </c>
      <c r="D5299" t="s">
        <v>8401</v>
      </c>
      <c r="E5299" t="s">
        <v>8445</v>
      </c>
      <c r="F5299" t="s">
        <v>8448</v>
      </c>
      <c r="G5299" t="s">
        <v>9399</v>
      </c>
    </row>
    <row r="5300" spans="1:7">
      <c r="A5300" t="s">
        <v>7652</v>
      </c>
      <c r="C5300" t="s">
        <v>8394</v>
      </c>
      <c r="D5300" t="s">
        <v>8401</v>
      </c>
      <c r="E5300" t="s">
        <v>8445</v>
      </c>
      <c r="F5300" t="s">
        <v>8448</v>
      </c>
      <c r="G5300" t="s">
        <v>9382</v>
      </c>
    </row>
    <row r="5301" spans="1:7">
      <c r="A5301" t="s">
        <v>7653</v>
      </c>
      <c r="B5301" t="s">
        <v>8273</v>
      </c>
      <c r="C5301" t="s">
        <v>8395</v>
      </c>
      <c r="D5301" t="s">
        <v>8411</v>
      </c>
      <c r="E5301" t="s">
        <v>8446</v>
      </c>
      <c r="F5301" t="s">
        <v>8449</v>
      </c>
      <c r="G5301" t="s">
        <v>8498</v>
      </c>
    </row>
    <row r="5302" spans="1:7">
      <c r="A5302" t="s">
        <v>7654</v>
      </c>
      <c r="B5302" t="s">
        <v>8273</v>
      </c>
      <c r="C5302" t="s">
        <v>8394</v>
      </c>
      <c r="D5302" t="s">
        <v>8414</v>
      </c>
      <c r="E5302" t="s">
        <v>8445</v>
      </c>
      <c r="F5302" t="s">
        <v>8448</v>
      </c>
      <c r="G5302" t="s">
        <v>9400</v>
      </c>
    </row>
    <row r="5303" spans="1:7">
      <c r="A5303" t="s">
        <v>7655</v>
      </c>
      <c r="C5303" t="s">
        <v>8394</v>
      </c>
      <c r="D5303" t="s">
        <v>8401</v>
      </c>
      <c r="E5303" t="s">
        <v>8445</v>
      </c>
      <c r="F5303" t="s">
        <v>8448</v>
      </c>
      <c r="G5303" t="s">
        <v>9401</v>
      </c>
    </row>
    <row r="5304" spans="1:7">
      <c r="A5304" t="s">
        <v>7656</v>
      </c>
      <c r="C5304" t="s">
        <v>8394</v>
      </c>
      <c r="D5304" t="s">
        <v>8401</v>
      </c>
      <c r="E5304" t="s">
        <v>8445</v>
      </c>
      <c r="F5304" t="s">
        <v>8448</v>
      </c>
      <c r="G5304" t="s">
        <v>8788</v>
      </c>
    </row>
    <row r="5305" spans="1:7">
      <c r="A5305" t="s">
        <v>7657</v>
      </c>
      <c r="B5305" t="s">
        <v>8299</v>
      </c>
      <c r="C5305" t="s">
        <v>8397</v>
      </c>
      <c r="D5305" t="s">
        <v>8431</v>
      </c>
      <c r="E5305" t="s">
        <v>1587</v>
      </c>
      <c r="F5305" t="s">
        <v>8448</v>
      </c>
      <c r="G5305" t="s">
        <v>8453</v>
      </c>
    </row>
    <row r="5306" spans="1:7">
      <c r="A5306" t="s">
        <v>7658</v>
      </c>
      <c r="B5306" t="s">
        <v>8299</v>
      </c>
      <c r="C5306" t="s">
        <v>8397</v>
      </c>
      <c r="D5306" t="s">
        <v>8430</v>
      </c>
      <c r="E5306" t="s">
        <v>1519</v>
      </c>
      <c r="F5306" t="s">
        <v>8449</v>
      </c>
      <c r="G5306" t="s">
        <v>796</v>
      </c>
    </row>
    <row r="5307" spans="1:7">
      <c r="A5307" t="s">
        <v>7659</v>
      </c>
      <c r="C5307" t="s">
        <v>8393</v>
      </c>
      <c r="D5307" t="s">
        <v>8393</v>
      </c>
      <c r="E5307" t="s">
        <v>919</v>
      </c>
      <c r="F5307" t="s">
        <v>8393</v>
      </c>
    </row>
    <row r="5308" spans="1:7">
      <c r="A5308" t="s">
        <v>7660</v>
      </c>
      <c r="B5308" t="s">
        <v>8273</v>
      </c>
      <c r="C5308" t="s">
        <v>8392</v>
      </c>
      <c r="D5308" t="s">
        <v>8415</v>
      </c>
      <c r="E5308" t="s">
        <v>8446</v>
      </c>
      <c r="F5308" t="s">
        <v>8449</v>
      </c>
      <c r="G5308" t="s">
        <v>8455</v>
      </c>
    </row>
    <row r="5309" spans="1:7">
      <c r="A5309" t="s">
        <v>7661</v>
      </c>
      <c r="B5309" t="s">
        <v>8273</v>
      </c>
      <c r="C5309" t="s">
        <v>8398</v>
      </c>
      <c r="D5309" t="s">
        <v>8409</v>
      </c>
      <c r="E5309" t="s">
        <v>8444</v>
      </c>
      <c r="F5309" t="s">
        <v>8449</v>
      </c>
      <c r="G5309" t="s">
        <v>795</v>
      </c>
    </row>
    <row r="5310" spans="1:7">
      <c r="A5310" t="s">
        <v>7662</v>
      </c>
      <c r="B5310" t="s">
        <v>8273</v>
      </c>
      <c r="C5310" t="s">
        <v>8398</v>
      </c>
      <c r="D5310" t="s">
        <v>8410</v>
      </c>
      <c r="E5310" t="s">
        <v>8444</v>
      </c>
      <c r="F5310" t="s">
        <v>8449</v>
      </c>
      <c r="G5310" t="s">
        <v>8455</v>
      </c>
    </row>
    <row r="5311" spans="1:7">
      <c r="A5311" t="s">
        <v>7663</v>
      </c>
      <c r="C5311" t="s">
        <v>8394</v>
      </c>
      <c r="D5311" t="s">
        <v>8402</v>
      </c>
      <c r="E5311" t="s">
        <v>8444</v>
      </c>
      <c r="F5311" t="s">
        <v>8448</v>
      </c>
      <c r="G5311" t="s">
        <v>8888</v>
      </c>
    </row>
    <row r="5312" spans="1:7">
      <c r="A5312" t="s">
        <v>7664</v>
      </c>
      <c r="C5312" t="s">
        <v>8392</v>
      </c>
      <c r="D5312" t="s">
        <v>8400</v>
      </c>
      <c r="E5312" t="s">
        <v>1587</v>
      </c>
      <c r="F5312" t="s">
        <v>8447</v>
      </c>
      <c r="G5312" t="s">
        <v>8453</v>
      </c>
    </row>
    <row r="5313" spans="1:7">
      <c r="A5313" t="s">
        <v>7665</v>
      </c>
      <c r="B5313" t="s">
        <v>8273</v>
      </c>
      <c r="C5313" t="s">
        <v>8392</v>
      </c>
      <c r="D5313" t="s">
        <v>8400</v>
      </c>
      <c r="E5313" t="s">
        <v>1519</v>
      </c>
      <c r="F5313" t="s">
        <v>8449</v>
      </c>
      <c r="G5313" t="s">
        <v>796</v>
      </c>
    </row>
    <row r="5314" spans="1:7">
      <c r="A5314" t="s">
        <v>7666</v>
      </c>
      <c r="B5314" t="s">
        <v>8273</v>
      </c>
      <c r="C5314" t="s">
        <v>8396</v>
      </c>
      <c r="D5314" t="s">
        <v>8404</v>
      </c>
      <c r="E5314" t="s">
        <v>8444</v>
      </c>
      <c r="F5314" t="s">
        <v>8448</v>
      </c>
      <c r="G5314" t="s">
        <v>796</v>
      </c>
    </row>
    <row r="5315" spans="1:7">
      <c r="A5315" t="s">
        <v>7667</v>
      </c>
      <c r="C5315" t="s">
        <v>8397</v>
      </c>
      <c r="D5315" t="s">
        <v>8408</v>
      </c>
      <c r="E5315" t="s">
        <v>8445</v>
      </c>
      <c r="F5315" t="s">
        <v>8450</v>
      </c>
    </row>
    <row r="5316" spans="1:7">
      <c r="A5316" t="s">
        <v>7668</v>
      </c>
      <c r="C5316" t="s">
        <v>8392</v>
      </c>
      <c r="D5316" t="s">
        <v>8415</v>
      </c>
      <c r="E5316" t="s">
        <v>8444</v>
      </c>
      <c r="F5316" t="s">
        <v>8450</v>
      </c>
      <c r="G5316" t="s">
        <v>9402</v>
      </c>
    </row>
    <row r="5317" spans="1:7">
      <c r="A5317" t="s">
        <v>7669</v>
      </c>
      <c r="C5317" t="s">
        <v>8392</v>
      </c>
      <c r="D5317" t="s">
        <v>8415</v>
      </c>
      <c r="E5317" t="s">
        <v>8444</v>
      </c>
      <c r="F5317" t="s">
        <v>8450</v>
      </c>
      <c r="G5317" t="s">
        <v>9403</v>
      </c>
    </row>
    <row r="5318" spans="1:7">
      <c r="A5318" t="s">
        <v>7670</v>
      </c>
      <c r="B5318" t="s">
        <v>8273</v>
      </c>
      <c r="C5318" t="s">
        <v>8394</v>
      </c>
      <c r="D5318" t="s">
        <v>8402</v>
      </c>
      <c r="E5318" t="s">
        <v>8446</v>
      </c>
      <c r="F5318" t="s">
        <v>8448</v>
      </c>
      <c r="G5318" t="s">
        <v>9404</v>
      </c>
    </row>
    <row r="5319" spans="1:7">
      <c r="A5319" t="s">
        <v>7671</v>
      </c>
      <c r="B5319" t="s">
        <v>8273</v>
      </c>
      <c r="C5319" t="s">
        <v>8394</v>
      </c>
      <c r="D5319" t="s">
        <v>8414</v>
      </c>
      <c r="E5319" t="s">
        <v>8444</v>
      </c>
      <c r="F5319" t="s">
        <v>8448</v>
      </c>
      <c r="G5319" t="s">
        <v>9405</v>
      </c>
    </row>
    <row r="5320" spans="1:7">
      <c r="A5320" t="s">
        <v>7672</v>
      </c>
      <c r="B5320" t="s">
        <v>8273</v>
      </c>
      <c r="C5320" t="s">
        <v>8395</v>
      </c>
      <c r="D5320" t="s">
        <v>8414</v>
      </c>
      <c r="E5320" t="s">
        <v>8446</v>
      </c>
      <c r="F5320" t="s">
        <v>8449</v>
      </c>
      <c r="G5320" t="s">
        <v>8455</v>
      </c>
    </row>
    <row r="5321" spans="1:7">
      <c r="A5321" t="s">
        <v>7673</v>
      </c>
      <c r="B5321" t="s">
        <v>8273</v>
      </c>
      <c r="C5321" t="s">
        <v>8395</v>
      </c>
      <c r="D5321" t="s">
        <v>8402</v>
      </c>
      <c r="E5321" t="s">
        <v>8446</v>
      </c>
      <c r="F5321" t="s">
        <v>8449</v>
      </c>
      <c r="G5321" t="s">
        <v>8455</v>
      </c>
    </row>
    <row r="5322" spans="1:7">
      <c r="A5322" t="s">
        <v>7674</v>
      </c>
      <c r="B5322" t="s">
        <v>8273</v>
      </c>
      <c r="C5322" t="s">
        <v>8395</v>
      </c>
      <c r="D5322" t="s">
        <v>8400</v>
      </c>
      <c r="E5322" t="s">
        <v>8446</v>
      </c>
      <c r="F5322" t="s">
        <v>8449</v>
      </c>
      <c r="G5322" t="s">
        <v>8455</v>
      </c>
    </row>
    <row r="5323" spans="1:7">
      <c r="A5323" t="s">
        <v>7675</v>
      </c>
      <c r="C5323" t="s">
        <v>8393</v>
      </c>
      <c r="D5323" t="s">
        <v>8393</v>
      </c>
      <c r="E5323" t="s">
        <v>919</v>
      </c>
      <c r="F5323" t="s">
        <v>8393</v>
      </c>
    </row>
    <row r="5324" spans="1:7">
      <c r="A5324" t="s">
        <v>7676</v>
      </c>
      <c r="B5324" t="s">
        <v>8273</v>
      </c>
      <c r="C5324" t="s">
        <v>8392</v>
      </c>
      <c r="D5324" t="s">
        <v>8400</v>
      </c>
      <c r="E5324" t="s">
        <v>8446</v>
      </c>
      <c r="F5324" t="s">
        <v>8449</v>
      </c>
      <c r="G5324" t="s">
        <v>8455</v>
      </c>
    </row>
    <row r="5325" spans="1:7">
      <c r="A5325" t="s">
        <v>7677</v>
      </c>
      <c r="B5325" t="s">
        <v>8300</v>
      </c>
      <c r="C5325" t="s">
        <v>8392</v>
      </c>
      <c r="D5325" t="s">
        <v>8400</v>
      </c>
      <c r="E5325" t="s">
        <v>8446</v>
      </c>
      <c r="F5325" t="s">
        <v>8449</v>
      </c>
      <c r="G5325" t="s">
        <v>8455</v>
      </c>
    </row>
    <row r="5326" spans="1:7">
      <c r="A5326" t="s">
        <v>7678</v>
      </c>
      <c r="B5326" t="s">
        <v>8285</v>
      </c>
      <c r="C5326" t="s">
        <v>8392</v>
      </c>
      <c r="D5326" t="s">
        <v>8400</v>
      </c>
      <c r="E5326" t="s">
        <v>8446</v>
      </c>
      <c r="F5326" t="s">
        <v>8449</v>
      </c>
      <c r="G5326" t="s">
        <v>8455</v>
      </c>
    </row>
    <row r="5327" spans="1:7">
      <c r="A5327" t="s">
        <v>7679</v>
      </c>
      <c r="B5327" t="s">
        <v>8277</v>
      </c>
      <c r="C5327" t="s">
        <v>8392</v>
      </c>
      <c r="D5327" t="s">
        <v>8400</v>
      </c>
      <c r="E5327" t="s">
        <v>8446</v>
      </c>
      <c r="F5327" t="s">
        <v>8449</v>
      </c>
      <c r="G5327" t="s">
        <v>8455</v>
      </c>
    </row>
    <row r="5328" spans="1:7">
      <c r="A5328" t="s">
        <v>7680</v>
      </c>
      <c r="B5328" t="s">
        <v>8315</v>
      </c>
      <c r="C5328" t="s">
        <v>8394</v>
      </c>
      <c r="D5328" t="s">
        <v>8402</v>
      </c>
      <c r="E5328" t="s">
        <v>8445</v>
      </c>
      <c r="F5328" t="s">
        <v>8448</v>
      </c>
      <c r="G5328" t="s">
        <v>796</v>
      </c>
    </row>
    <row r="5329" spans="1:7">
      <c r="A5329" t="s">
        <v>7681</v>
      </c>
      <c r="C5329" t="s">
        <v>8393</v>
      </c>
      <c r="D5329" t="s">
        <v>8393</v>
      </c>
      <c r="E5329" t="s">
        <v>919</v>
      </c>
      <c r="F5329" t="s">
        <v>8393</v>
      </c>
    </row>
    <row r="5330" spans="1:7">
      <c r="A5330" t="s">
        <v>7682</v>
      </c>
      <c r="B5330" t="s">
        <v>8278</v>
      </c>
      <c r="C5330" t="s">
        <v>8395</v>
      </c>
      <c r="D5330" t="s">
        <v>8402</v>
      </c>
      <c r="E5330" t="s">
        <v>8446</v>
      </c>
      <c r="F5330" t="s">
        <v>8449</v>
      </c>
      <c r="G5330" t="s">
        <v>8455</v>
      </c>
    </row>
    <row r="5331" spans="1:7">
      <c r="A5331" t="s">
        <v>7683</v>
      </c>
      <c r="B5331" t="s">
        <v>8273</v>
      </c>
      <c r="C5331" t="s">
        <v>8395</v>
      </c>
      <c r="D5331" t="s">
        <v>8402</v>
      </c>
      <c r="E5331" t="s">
        <v>8444</v>
      </c>
      <c r="F5331" t="s">
        <v>8449</v>
      </c>
      <c r="G5331" t="s">
        <v>8455</v>
      </c>
    </row>
    <row r="5332" spans="1:7">
      <c r="A5332" t="s">
        <v>7684</v>
      </c>
      <c r="B5332" t="s">
        <v>8285</v>
      </c>
      <c r="C5332" t="s">
        <v>8395</v>
      </c>
      <c r="D5332" t="s">
        <v>8402</v>
      </c>
      <c r="E5332" t="s">
        <v>8444</v>
      </c>
      <c r="F5332" t="s">
        <v>8449</v>
      </c>
      <c r="G5332" t="s">
        <v>8455</v>
      </c>
    </row>
    <row r="5333" spans="1:7">
      <c r="A5333" t="s">
        <v>7685</v>
      </c>
      <c r="B5333" t="s">
        <v>8286</v>
      </c>
      <c r="C5333" t="s">
        <v>8395</v>
      </c>
      <c r="D5333" t="s">
        <v>8402</v>
      </c>
      <c r="E5333" t="s">
        <v>8444</v>
      </c>
      <c r="F5333" t="s">
        <v>8449</v>
      </c>
      <c r="G5333" t="s">
        <v>8455</v>
      </c>
    </row>
    <row r="5334" spans="1:7">
      <c r="A5334" t="s">
        <v>7686</v>
      </c>
      <c r="B5334" t="s">
        <v>8277</v>
      </c>
      <c r="C5334" t="s">
        <v>8395</v>
      </c>
      <c r="D5334" t="s">
        <v>8402</v>
      </c>
      <c r="E5334" t="s">
        <v>8444</v>
      </c>
      <c r="F5334" t="s">
        <v>8449</v>
      </c>
      <c r="G5334" t="s">
        <v>8455</v>
      </c>
    </row>
    <row r="5335" spans="1:7">
      <c r="A5335" t="s">
        <v>7687</v>
      </c>
      <c r="B5335" t="s">
        <v>8273</v>
      </c>
      <c r="C5335" t="s">
        <v>8394</v>
      </c>
      <c r="D5335" t="s">
        <v>8407</v>
      </c>
      <c r="E5335" t="s">
        <v>8445</v>
      </c>
      <c r="F5335" t="s">
        <v>8448</v>
      </c>
      <c r="G5335" t="s">
        <v>8455</v>
      </c>
    </row>
    <row r="5336" spans="1:7">
      <c r="A5336" t="s">
        <v>7688</v>
      </c>
      <c r="C5336" t="s">
        <v>8394</v>
      </c>
      <c r="D5336" t="s">
        <v>8407</v>
      </c>
      <c r="E5336" t="s">
        <v>8445</v>
      </c>
      <c r="F5336" t="s">
        <v>8448</v>
      </c>
      <c r="G5336" t="s">
        <v>9406</v>
      </c>
    </row>
    <row r="5337" spans="1:7">
      <c r="A5337" t="s">
        <v>7689</v>
      </c>
      <c r="B5337" t="s">
        <v>8273</v>
      </c>
      <c r="C5337" t="s">
        <v>8394</v>
      </c>
      <c r="D5337" t="s">
        <v>8402</v>
      </c>
      <c r="E5337" t="s">
        <v>8444</v>
      </c>
      <c r="F5337" t="s">
        <v>8448</v>
      </c>
      <c r="G5337" t="s">
        <v>9407</v>
      </c>
    </row>
    <row r="5338" spans="1:7">
      <c r="A5338" t="s">
        <v>7690</v>
      </c>
      <c r="B5338" t="s">
        <v>8273</v>
      </c>
      <c r="C5338" t="s">
        <v>8394</v>
      </c>
      <c r="D5338" t="s">
        <v>8416</v>
      </c>
      <c r="E5338" t="s">
        <v>8446</v>
      </c>
      <c r="F5338" t="s">
        <v>8448</v>
      </c>
      <c r="G5338" t="s">
        <v>796</v>
      </c>
    </row>
    <row r="5339" spans="1:7">
      <c r="A5339" t="s">
        <v>7691</v>
      </c>
      <c r="C5339" t="s">
        <v>8393</v>
      </c>
      <c r="D5339" t="s">
        <v>8393</v>
      </c>
      <c r="E5339" t="s">
        <v>919</v>
      </c>
      <c r="F5339" t="s">
        <v>8393</v>
      </c>
    </row>
    <row r="5340" spans="1:7">
      <c r="A5340" t="s">
        <v>7692</v>
      </c>
      <c r="B5340" t="s">
        <v>8273</v>
      </c>
      <c r="C5340" t="s">
        <v>8395</v>
      </c>
      <c r="D5340" t="s">
        <v>8416</v>
      </c>
      <c r="E5340" t="s">
        <v>8446</v>
      </c>
      <c r="F5340" t="s">
        <v>8448</v>
      </c>
      <c r="G5340" t="s">
        <v>8455</v>
      </c>
    </row>
    <row r="5341" spans="1:7">
      <c r="A5341" t="s">
        <v>7693</v>
      </c>
      <c r="B5341" t="s">
        <v>8285</v>
      </c>
      <c r="C5341" t="s">
        <v>8395</v>
      </c>
      <c r="D5341" t="s">
        <v>8416</v>
      </c>
      <c r="E5341" t="s">
        <v>8446</v>
      </c>
      <c r="F5341" t="s">
        <v>8448</v>
      </c>
      <c r="G5341" t="s">
        <v>8455</v>
      </c>
    </row>
    <row r="5342" spans="1:7">
      <c r="A5342" t="s">
        <v>7694</v>
      </c>
      <c r="B5342" t="s">
        <v>8277</v>
      </c>
      <c r="C5342" t="s">
        <v>8395</v>
      </c>
      <c r="D5342" t="s">
        <v>8416</v>
      </c>
      <c r="E5342" t="s">
        <v>8446</v>
      </c>
      <c r="F5342" t="s">
        <v>8448</v>
      </c>
      <c r="G5342" t="s">
        <v>8455</v>
      </c>
    </row>
    <row r="5343" spans="1:7">
      <c r="A5343" t="s">
        <v>7695</v>
      </c>
      <c r="B5343" t="s">
        <v>8273</v>
      </c>
      <c r="C5343" t="s">
        <v>8395</v>
      </c>
      <c r="D5343" t="s">
        <v>8425</v>
      </c>
      <c r="E5343" t="s">
        <v>8446</v>
      </c>
      <c r="F5343" t="s">
        <v>8448</v>
      </c>
      <c r="G5343" t="s">
        <v>9408</v>
      </c>
    </row>
    <row r="5344" spans="1:7">
      <c r="A5344" t="s">
        <v>7696</v>
      </c>
      <c r="C5344" t="s">
        <v>8392</v>
      </c>
      <c r="D5344" t="s">
        <v>8415</v>
      </c>
      <c r="E5344" t="s">
        <v>1587</v>
      </c>
      <c r="F5344" t="s">
        <v>8447</v>
      </c>
      <c r="G5344" t="s">
        <v>9409</v>
      </c>
    </row>
    <row r="5345" spans="1:7">
      <c r="A5345" t="s">
        <v>7697</v>
      </c>
      <c r="B5345" t="s">
        <v>8273</v>
      </c>
      <c r="C5345" t="s">
        <v>8396</v>
      </c>
      <c r="D5345" t="s">
        <v>8405</v>
      </c>
      <c r="E5345" t="s">
        <v>8446</v>
      </c>
      <c r="F5345" t="s">
        <v>8449</v>
      </c>
      <c r="G5345" t="s">
        <v>8455</v>
      </c>
    </row>
    <row r="5346" spans="1:7">
      <c r="A5346" t="s">
        <v>7698</v>
      </c>
      <c r="C5346" t="s">
        <v>8393</v>
      </c>
      <c r="D5346" t="s">
        <v>8393</v>
      </c>
      <c r="E5346" t="s">
        <v>919</v>
      </c>
      <c r="F5346" t="s">
        <v>8393</v>
      </c>
    </row>
    <row r="5347" spans="1:7">
      <c r="A5347" t="s">
        <v>7699</v>
      </c>
      <c r="C5347" t="s">
        <v>8394</v>
      </c>
      <c r="D5347" t="s">
        <v>8401</v>
      </c>
      <c r="E5347" t="s">
        <v>8445</v>
      </c>
      <c r="F5347" t="s">
        <v>8450</v>
      </c>
      <c r="G5347" t="s">
        <v>9410</v>
      </c>
    </row>
    <row r="5348" spans="1:7">
      <c r="A5348" t="s">
        <v>7700</v>
      </c>
      <c r="C5348" t="s">
        <v>8394</v>
      </c>
      <c r="D5348" t="s">
        <v>8401</v>
      </c>
      <c r="E5348" t="s">
        <v>8445</v>
      </c>
      <c r="F5348" t="s">
        <v>8450</v>
      </c>
      <c r="G5348" t="s">
        <v>9410</v>
      </c>
    </row>
    <row r="5349" spans="1:7">
      <c r="A5349" t="s">
        <v>7701</v>
      </c>
      <c r="C5349" t="s">
        <v>8394</v>
      </c>
      <c r="D5349" t="s">
        <v>8401</v>
      </c>
      <c r="E5349" t="s">
        <v>8445</v>
      </c>
      <c r="F5349" t="s">
        <v>8450</v>
      </c>
      <c r="G5349" t="s">
        <v>9410</v>
      </c>
    </row>
    <row r="5350" spans="1:7">
      <c r="A5350" t="s">
        <v>7702</v>
      </c>
      <c r="C5350" t="s">
        <v>8394</v>
      </c>
      <c r="D5350" t="s">
        <v>8401</v>
      </c>
      <c r="E5350" t="s">
        <v>8445</v>
      </c>
      <c r="F5350" t="s">
        <v>8450</v>
      </c>
      <c r="G5350" t="s">
        <v>9410</v>
      </c>
    </row>
    <row r="5351" spans="1:7">
      <c r="A5351" t="s">
        <v>7703</v>
      </c>
      <c r="C5351" t="s">
        <v>8394</v>
      </c>
      <c r="D5351" t="s">
        <v>8401</v>
      </c>
      <c r="E5351" t="s">
        <v>8445</v>
      </c>
      <c r="F5351" t="s">
        <v>8450</v>
      </c>
      <c r="G5351" t="s">
        <v>9410</v>
      </c>
    </row>
    <row r="5352" spans="1:7">
      <c r="A5352" t="s">
        <v>7704</v>
      </c>
      <c r="C5352" t="s">
        <v>8394</v>
      </c>
      <c r="D5352" t="s">
        <v>8401</v>
      </c>
      <c r="E5352" t="s">
        <v>8445</v>
      </c>
      <c r="F5352" t="s">
        <v>8450</v>
      </c>
      <c r="G5352" t="s">
        <v>9410</v>
      </c>
    </row>
    <row r="5353" spans="1:7">
      <c r="A5353" t="s">
        <v>7705</v>
      </c>
      <c r="C5353" t="s">
        <v>8394</v>
      </c>
      <c r="D5353" t="s">
        <v>8401</v>
      </c>
      <c r="E5353" t="s">
        <v>8445</v>
      </c>
      <c r="F5353" t="s">
        <v>8450</v>
      </c>
      <c r="G5353" t="s">
        <v>9410</v>
      </c>
    </row>
    <row r="5354" spans="1:7">
      <c r="A5354" t="s">
        <v>7706</v>
      </c>
      <c r="B5354" t="s">
        <v>8273</v>
      </c>
      <c r="C5354" t="s">
        <v>8395</v>
      </c>
      <c r="D5354" t="s">
        <v>8400</v>
      </c>
      <c r="E5354" t="s">
        <v>8445</v>
      </c>
      <c r="F5354" t="s">
        <v>8448</v>
      </c>
      <c r="G5354" t="s">
        <v>796</v>
      </c>
    </row>
    <row r="5355" spans="1:7">
      <c r="A5355" t="s">
        <v>7707</v>
      </c>
      <c r="C5355" t="s">
        <v>8397</v>
      </c>
      <c r="D5355" t="s">
        <v>8408</v>
      </c>
      <c r="E5355" t="s">
        <v>8445</v>
      </c>
      <c r="F5355" t="s">
        <v>8450</v>
      </c>
    </row>
    <row r="5356" spans="1:7">
      <c r="A5356" t="s">
        <v>7708</v>
      </c>
      <c r="C5356" t="s">
        <v>8397</v>
      </c>
      <c r="D5356" t="s">
        <v>8408</v>
      </c>
      <c r="E5356" t="s">
        <v>8445</v>
      </c>
      <c r="F5356" t="s">
        <v>8450</v>
      </c>
    </row>
    <row r="5357" spans="1:7">
      <c r="A5357" t="s">
        <v>7709</v>
      </c>
      <c r="C5357" t="s">
        <v>8394</v>
      </c>
      <c r="D5357" t="s">
        <v>8401</v>
      </c>
      <c r="E5357" t="s">
        <v>8445</v>
      </c>
      <c r="F5357" t="s">
        <v>8448</v>
      </c>
      <c r="G5357" t="s">
        <v>9411</v>
      </c>
    </row>
    <row r="5358" spans="1:7">
      <c r="A5358" t="s">
        <v>7710</v>
      </c>
      <c r="C5358" t="s">
        <v>8397</v>
      </c>
      <c r="D5358" t="s">
        <v>8418</v>
      </c>
      <c r="E5358" t="s">
        <v>8445</v>
      </c>
      <c r="F5358" t="s">
        <v>8450</v>
      </c>
      <c r="G5358" t="s">
        <v>9412</v>
      </c>
    </row>
    <row r="5359" spans="1:7">
      <c r="A5359" t="s">
        <v>7711</v>
      </c>
      <c r="C5359" t="s">
        <v>8392</v>
      </c>
      <c r="D5359" t="s">
        <v>8400</v>
      </c>
      <c r="E5359" t="s">
        <v>8444</v>
      </c>
      <c r="F5359" t="s">
        <v>8448</v>
      </c>
      <c r="G5359" t="s">
        <v>9413</v>
      </c>
    </row>
    <row r="5360" spans="1:7">
      <c r="A5360" t="s">
        <v>7712</v>
      </c>
      <c r="C5360" t="s">
        <v>8397</v>
      </c>
      <c r="D5360" t="s">
        <v>8408</v>
      </c>
      <c r="E5360" t="s">
        <v>8445</v>
      </c>
      <c r="F5360" t="s">
        <v>8450</v>
      </c>
    </row>
    <row r="5361" spans="1:7">
      <c r="A5361" t="s">
        <v>7713</v>
      </c>
      <c r="C5361" t="s">
        <v>8392</v>
      </c>
      <c r="D5361" t="s">
        <v>8400</v>
      </c>
      <c r="E5361" t="s">
        <v>1519</v>
      </c>
      <c r="F5361" t="s">
        <v>8447</v>
      </c>
      <c r="G5361" t="s">
        <v>8455</v>
      </c>
    </row>
    <row r="5362" spans="1:7">
      <c r="A5362" t="s">
        <v>7714</v>
      </c>
      <c r="B5362" t="s">
        <v>8273</v>
      </c>
      <c r="C5362" t="s">
        <v>8395</v>
      </c>
      <c r="D5362" t="s">
        <v>8419</v>
      </c>
      <c r="E5362" t="s">
        <v>8446</v>
      </c>
      <c r="F5362" t="s">
        <v>8449</v>
      </c>
      <c r="G5362" t="s">
        <v>8455</v>
      </c>
    </row>
    <row r="5363" spans="1:7">
      <c r="A5363" t="s">
        <v>7715</v>
      </c>
      <c r="B5363" t="s">
        <v>8273</v>
      </c>
      <c r="C5363" t="s">
        <v>8398</v>
      </c>
      <c r="D5363" t="s">
        <v>8419</v>
      </c>
      <c r="E5363" t="s">
        <v>1519</v>
      </c>
      <c r="F5363" t="s">
        <v>8449</v>
      </c>
      <c r="G5363" t="s">
        <v>8455</v>
      </c>
    </row>
    <row r="5364" spans="1:7">
      <c r="A5364" t="s">
        <v>7716</v>
      </c>
      <c r="B5364" t="s">
        <v>8273</v>
      </c>
      <c r="C5364" t="s">
        <v>8398</v>
      </c>
      <c r="D5364" t="s">
        <v>8419</v>
      </c>
      <c r="E5364" t="s">
        <v>1519</v>
      </c>
      <c r="F5364" t="s">
        <v>8447</v>
      </c>
      <c r="G5364" t="s">
        <v>9414</v>
      </c>
    </row>
    <row r="5365" spans="1:7">
      <c r="A5365" t="s">
        <v>7717</v>
      </c>
      <c r="B5365" t="s">
        <v>8273</v>
      </c>
      <c r="C5365" t="s">
        <v>8396</v>
      </c>
      <c r="D5365" t="s">
        <v>8405</v>
      </c>
      <c r="E5365" t="s">
        <v>8446</v>
      </c>
      <c r="F5365" t="s">
        <v>8449</v>
      </c>
      <c r="G5365" t="s">
        <v>8455</v>
      </c>
    </row>
    <row r="5366" spans="1:7">
      <c r="A5366" t="s">
        <v>7718</v>
      </c>
      <c r="C5366" t="s">
        <v>8393</v>
      </c>
      <c r="D5366" t="s">
        <v>8393</v>
      </c>
      <c r="E5366" t="s">
        <v>919</v>
      </c>
      <c r="F5366" t="s">
        <v>8393</v>
      </c>
    </row>
    <row r="5367" spans="1:7">
      <c r="A5367" t="s">
        <v>7719</v>
      </c>
      <c r="B5367" t="s">
        <v>8273</v>
      </c>
      <c r="C5367" t="s">
        <v>8396</v>
      </c>
      <c r="D5367" t="s">
        <v>8405</v>
      </c>
      <c r="E5367" t="s">
        <v>8446</v>
      </c>
      <c r="F5367" t="s">
        <v>8449</v>
      </c>
      <c r="G5367" t="s">
        <v>8455</v>
      </c>
    </row>
    <row r="5368" spans="1:7">
      <c r="A5368" t="s">
        <v>7720</v>
      </c>
      <c r="B5368" t="s">
        <v>8274</v>
      </c>
      <c r="C5368" t="s">
        <v>8396</v>
      </c>
      <c r="D5368" t="s">
        <v>8406</v>
      </c>
      <c r="E5368" t="s">
        <v>8446</v>
      </c>
      <c r="F5368" t="s">
        <v>8449</v>
      </c>
      <c r="G5368" t="s">
        <v>8455</v>
      </c>
    </row>
    <row r="5369" spans="1:7">
      <c r="A5369" t="s">
        <v>7721</v>
      </c>
      <c r="B5369" t="s">
        <v>8273</v>
      </c>
      <c r="C5369" t="s">
        <v>8398</v>
      </c>
      <c r="D5369" t="s">
        <v>8410</v>
      </c>
      <c r="E5369" t="s">
        <v>8446</v>
      </c>
      <c r="F5369" t="s">
        <v>8448</v>
      </c>
      <c r="G5369" t="s">
        <v>8455</v>
      </c>
    </row>
    <row r="5370" spans="1:7">
      <c r="A5370" t="s">
        <v>7722</v>
      </c>
      <c r="B5370" t="s">
        <v>8299</v>
      </c>
      <c r="C5370" t="s">
        <v>8397</v>
      </c>
      <c r="D5370" t="s">
        <v>8431</v>
      </c>
      <c r="E5370" t="s">
        <v>1519</v>
      </c>
      <c r="F5370" t="s">
        <v>8448</v>
      </c>
      <c r="G5370" t="s">
        <v>8455</v>
      </c>
    </row>
    <row r="5371" spans="1:7">
      <c r="A5371" t="s">
        <v>7723</v>
      </c>
      <c r="C5371" t="s">
        <v>8392</v>
      </c>
      <c r="D5371" t="s">
        <v>8400</v>
      </c>
      <c r="E5371" t="s">
        <v>1519</v>
      </c>
      <c r="F5371" t="s">
        <v>8449</v>
      </c>
      <c r="G5371" t="s">
        <v>8455</v>
      </c>
    </row>
    <row r="5372" spans="1:7">
      <c r="A5372" t="s">
        <v>7724</v>
      </c>
      <c r="B5372" t="s">
        <v>8273</v>
      </c>
      <c r="C5372" t="s">
        <v>8392</v>
      </c>
      <c r="D5372" t="s">
        <v>8400</v>
      </c>
      <c r="E5372" t="s">
        <v>1519</v>
      </c>
      <c r="F5372" t="s">
        <v>8449</v>
      </c>
      <c r="G5372" t="s">
        <v>8455</v>
      </c>
    </row>
    <row r="5373" spans="1:7">
      <c r="A5373" t="s">
        <v>7725</v>
      </c>
      <c r="B5373" t="s">
        <v>8273</v>
      </c>
      <c r="C5373" t="s">
        <v>8396</v>
      </c>
      <c r="D5373" t="s">
        <v>8425</v>
      </c>
      <c r="E5373" t="s">
        <v>8444</v>
      </c>
      <c r="F5373" t="s">
        <v>8448</v>
      </c>
      <c r="G5373" t="s">
        <v>8455</v>
      </c>
    </row>
    <row r="5374" spans="1:7">
      <c r="A5374" t="s">
        <v>7726</v>
      </c>
      <c r="B5374" t="s">
        <v>8278</v>
      </c>
      <c r="C5374" t="s">
        <v>8396</v>
      </c>
      <c r="D5374" t="s">
        <v>8406</v>
      </c>
      <c r="E5374" t="s">
        <v>8446</v>
      </c>
      <c r="F5374" t="s">
        <v>8449</v>
      </c>
      <c r="G5374" t="s">
        <v>8455</v>
      </c>
    </row>
    <row r="5375" spans="1:7">
      <c r="A5375" t="s">
        <v>7727</v>
      </c>
      <c r="B5375" t="s">
        <v>8273</v>
      </c>
      <c r="C5375" t="s">
        <v>8398</v>
      </c>
      <c r="D5375" t="s">
        <v>8419</v>
      </c>
      <c r="E5375" t="s">
        <v>8444</v>
      </c>
      <c r="F5375" t="s">
        <v>8449</v>
      </c>
      <c r="G5375" t="s">
        <v>8475</v>
      </c>
    </row>
    <row r="5376" spans="1:7">
      <c r="A5376" t="s">
        <v>7728</v>
      </c>
      <c r="B5376" t="s">
        <v>8273</v>
      </c>
      <c r="C5376" t="s">
        <v>8398</v>
      </c>
      <c r="D5376" t="s">
        <v>8419</v>
      </c>
      <c r="E5376" t="s">
        <v>1519</v>
      </c>
      <c r="F5376" t="s">
        <v>8447</v>
      </c>
      <c r="G5376" t="s">
        <v>8463</v>
      </c>
    </row>
    <row r="5377" spans="1:7">
      <c r="A5377" t="s">
        <v>7729</v>
      </c>
      <c r="B5377" t="s">
        <v>8273</v>
      </c>
      <c r="C5377" t="s">
        <v>8398</v>
      </c>
      <c r="D5377" t="s">
        <v>8419</v>
      </c>
      <c r="E5377" t="s">
        <v>8444</v>
      </c>
      <c r="F5377" t="s">
        <v>8449</v>
      </c>
      <c r="G5377" t="s">
        <v>8475</v>
      </c>
    </row>
    <row r="5378" spans="1:7">
      <c r="A5378" t="s">
        <v>7730</v>
      </c>
      <c r="B5378" t="s">
        <v>8273</v>
      </c>
      <c r="C5378" t="s">
        <v>8398</v>
      </c>
      <c r="D5378" t="s">
        <v>8410</v>
      </c>
      <c r="E5378" t="s">
        <v>8446</v>
      </c>
      <c r="F5378" t="s">
        <v>8448</v>
      </c>
      <c r="G5378" t="s">
        <v>8455</v>
      </c>
    </row>
    <row r="5379" spans="1:7">
      <c r="A5379" t="s">
        <v>7731</v>
      </c>
      <c r="B5379" t="s">
        <v>8273</v>
      </c>
      <c r="C5379" t="s">
        <v>8398</v>
      </c>
      <c r="D5379" t="s">
        <v>8419</v>
      </c>
      <c r="E5379" t="s">
        <v>8446</v>
      </c>
      <c r="F5379" t="s">
        <v>8448</v>
      </c>
      <c r="G5379" t="s">
        <v>8453</v>
      </c>
    </row>
    <row r="5380" spans="1:7">
      <c r="A5380" t="s">
        <v>7732</v>
      </c>
      <c r="B5380" t="s">
        <v>8273</v>
      </c>
      <c r="C5380" t="s">
        <v>8396</v>
      </c>
      <c r="D5380" t="s">
        <v>8404</v>
      </c>
      <c r="E5380" t="s">
        <v>1519</v>
      </c>
      <c r="F5380" t="s">
        <v>8448</v>
      </c>
      <c r="G5380" t="s">
        <v>8455</v>
      </c>
    </row>
    <row r="5381" spans="1:7">
      <c r="A5381" t="s">
        <v>7733</v>
      </c>
      <c r="B5381" t="s">
        <v>8273</v>
      </c>
      <c r="C5381" t="s">
        <v>8395</v>
      </c>
      <c r="D5381" t="s">
        <v>8411</v>
      </c>
      <c r="E5381" t="s">
        <v>8444</v>
      </c>
      <c r="F5381" t="s">
        <v>8448</v>
      </c>
      <c r="G5381" t="s">
        <v>9415</v>
      </c>
    </row>
    <row r="5382" spans="1:7">
      <c r="A5382" t="s">
        <v>7734</v>
      </c>
      <c r="C5382" t="s">
        <v>8393</v>
      </c>
      <c r="D5382" t="s">
        <v>8393</v>
      </c>
      <c r="E5382" t="s">
        <v>919</v>
      </c>
      <c r="F5382" t="s">
        <v>8393</v>
      </c>
    </row>
    <row r="5383" spans="1:7">
      <c r="A5383" t="s">
        <v>7735</v>
      </c>
      <c r="C5383" t="s">
        <v>8394</v>
      </c>
      <c r="D5383" t="s">
        <v>8401</v>
      </c>
      <c r="E5383" t="s">
        <v>8445</v>
      </c>
      <c r="F5383" t="s">
        <v>8448</v>
      </c>
      <c r="G5383" t="s">
        <v>9416</v>
      </c>
    </row>
    <row r="5384" spans="1:7">
      <c r="A5384" t="s">
        <v>7736</v>
      </c>
      <c r="C5384" t="s">
        <v>8394</v>
      </c>
      <c r="D5384" t="s">
        <v>8401</v>
      </c>
      <c r="E5384" t="s">
        <v>8445</v>
      </c>
      <c r="F5384" t="s">
        <v>8448</v>
      </c>
      <c r="G5384" t="s">
        <v>9416</v>
      </c>
    </row>
    <row r="5385" spans="1:7">
      <c r="A5385" t="s">
        <v>7737</v>
      </c>
      <c r="C5385" t="s">
        <v>8394</v>
      </c>
      <c r="D5385" t="s">
        <v>8401</v>
      </c>
      <c r="E5385" t="s">
        <v>8445</v>
      </c>
      <c r="F5385" t="s">
        <v>8448</v>
      </c>
      <c r="G5385" t="s">
        <v>9416</v>
      </c>
    </row>
    <row r="5386" spans="1:7">
      <c r="A5386" t="s">
        <v>7738</v>
      </c>
      <c r="C5386" t="s">
        <v>8394</v>
      </c>
      <c r="D5386" t="s">
        <v>8401</v>
      </c>
      <c r="E5386" t="s">
        <v>8445</v>
      </c>
      <c r="F5386" t="s">
        <v>8448</v>
      </c>
      <c r="G5386" t="s">
        <v>9416</v>
      </c>
    </row>
    <row r="5387" spans="1:7">
      <c r="A5387" t="s">
        <v>7739</v>
      </c>
      <c r="C5387" t="s">
        <v>8394</v>
      </c>
      <c r="D5387" t="s">
        <v>8401</v>
      </c>
      <c r="E5387" t="s">
        <v>8445</v>
      </c>
      <c r="F5387" t="s">
        <v>8448</v>
      </c>
      <c r="G5387" t="s">
        <v>9416</v>
      </c>
    </row>
    <row r="5388" spans="1:7">
      <c r="A5388" t="s">
        <v>7740</v>
      </c>
      <c r="C5388" t="s">
        <v>8394</v>
      </c>
      <c r="D5388" t="s">
        <v>8401</v>
      </c>
      <c r="E5388" t="s">
        <v>8445</v>
      </c>
      <c r="F5388" t="s">
        <v>8448</v>
      </c>
      <c r="G5388" t="s">
        <v>9416</v>
      </c>
    </row>
    <row r="5389" spans="1:7">
      <c r="A5389" t="s">
        <v>7741</v>
      </c>
      <c r="C5389" t="s">
        <v>8394</v>
      </c>
      <c r="D5389" t="s">
        <v>8401</v>
      </c>
      <c r="E5389" t="s">
        <v>8445</v>
      </c>
      <c r="F5389" t="s">
        <v>8448</v>
      </c>
      <c r="G5389" t="s">
        <v>9416</v>
      </c>
    </row>
    <row r="5390" spans="1:7">
      <c r="A5390" t="s">
        <v>7742</v>
      </c>
      <c r="C5390" t="s">
        <v>8394</v>
      </c>
      <c r="D5390" t="s">
        <v>8401</v>
      </c>
      <c r="E5390" t="s">
        <v>8445</v>
      </c>
      <c r="F5390" t="s">
        <v>8448</v>
      </c>
      <c r="G5390" t="s">
        <v>9416</v>
      </c>
    </row>
    <row r="5391" spans="1:7">
      <c r="A5391" t="s">
        <v>7743</v>
      </c>
      <c r="C5391" t="s">
        <v>8394</v>
      </c>
      <c r="D5391" t="s">
        <v>8401</v>
      </c>
      <c r="E5391" t="s">
        <v>8445</v>
      </c>
      <c r="F5391" t="s">
        <v>8448</v>
      </c>
      <c r="G5391" t="s">
        <v>9416</v>
      </c>
    </row>
    <row r="5392" spans="1:7">
      <c r="A5392" t="s">
        <v>7744</v>
      </c>
      <c r="C5392" t="s">
        <v>8394</v>
      </c>
      <c r="D5392" t="s">
        <v>8401</v>
      </c>
      <c r="E5392" t="s">
        <v>8445</v>
      </c>
      <c r="F5392" t="s">
        <v>8448</v>
      </c>
      <c r="G5392" t="s">
        <v>9416</v>
      </c>
    </row>
    <row r="5393" spans="1:7">
      <c r="A5393" t="s">
        <v>7745</v>
      </c>
      <c r="B5393" t="s">
        <v>8370</v>
      </c>
      <c r="C5393" t="s">
        <v>8397</v>
      </c>
      <c r="D5393" t="s">
        <v>8431</v>
      </c>
      <c r="E5393" t="s">
        <v>8444</v>
      </c>
      <c r="F5393" t="s">
        <v>8449</v>
      </c>
      <c r="G5393" t="s">
        <v>8455</v>
      </c>
    </row>
    <row r="5394" spans="1:7">
      <c r="A5394" t="s">
        <v>7746</v>
      </c>
      <c r="B5394" t="s">
        <v>8323</v>
      </c>
      <c r="C5394" t="s">
        <v>8398</v>
      </c>
      <c r="D5394" t="s">
        <v>8419</v>
      </c>
      <c r="E5394" t="s">
        <v>8446</v>
      </c>
      <c r="F5394" t="s">
        <v>8449</v>
      </c>
      <c r="G5394" t="s">
        <v>8475</v>
      </c>
    </row>
    <row r="5395" spans="1:7">
      <c r="A5395" t="s">
        <v>7747</v>
      </c>
      <c r="B5395" t="s">
        <v>8273</v>
      </c>
      <c r="C5395" t="s">
        <v>8396</v>
      </c>
      <c r="D5395" t="s">
        <v>8425</v>
      </c>
      <c r="E5395" t="s">
        <v>8446</v>
      </c>
      <c r="F5395" t="s">
        <v>8449</v>
      </c>
      <c r="G5395" t="s">
        <v>8455</v>
      </c>
    </row>
    <row r="5396" spans="1:7">
      <c r="A5396" t="s">
        <v>7748</v>
      </c>
      <c r="C5396" t="s">
        <v>8393</v>
      </c>
      <c r="D5396" t="s">
        <v>8393</v>
      </c>
      <c r="E5396" t="s">
        <v>919</v>
      </c>
      <c r="F5396" t="s">
        <v>8393</v>
      </c>
    </row>
    <row r="5397" spans="1:7">
      <c r="A5397" t="s">
        <v>7749</v>
      </c>
      <c r="B5397" t="s">
        <v>8273</v>
      </c>
      <c r="C5397" t="s">
        <v>8396</v>
      </c>
      <c r="D5397" t="s">
        <v>8405</v>
      </c>
      <c r="E5397" t="s">
        <v>8445</v>
      </c>
      <c r="F5397" t="s">
        <v>8449</v>
      </c>
      <c r="G5397" t="s">
        <v>8455</v>
      </c>
    </row>
    <row r="5398" spans="1:7">
      <c r="A5398" t="s">
        <v>7750</v>
      </c>
      <c r="B5398" t="s">
        <v>8300</v>
      </c>
      <c r="C5398" t="s">
        <v>8396</v>
      </c>
      <c r="D5398" t="s">
        <v>8405</v>
      </c>
      <c r="E5398" t="s">
        <v>8445</v>
      </c>
      <c r="F5398" t="s">
        <v>8449</v>
      </c>
      <c r="G5398" t="s">
        <v>8455</v>
      </c>
    </row>
    <row r="5399" spans="1:7">
      <c r="A5399" t="s">
        <v>7751</v>
      </c>
      <c r="B5399" t="s">
        <v>8286</v>
      </c>
      <c r="C5399" t="s">
        <v>8396</v>
      </c>
      <c r="D5399" t="s">
        <v>8405</v>
      </c>
      <c r="E5399" t="s">
        <v>8445</v>
      </c>
      <c r="F5399" t="s">
        <v>8449</v>
      </c>
      <c r="G5399" t="s">
        <v>8455</v>
      </c>
    </row>
    <row r="5400" spans="1:7">
      <c r="A5400" t="s">
        <v>7752</v>
      </c>
      <c r="B5400" t="s">
        <v>8273</v>
      </c>
      <c r="C5400" t="s">
        <v>8396</v>
      </c>
      <c r="D5400" t="s">
        <v>8405</v>
      </c>
      <c r="E5400" t="s">
        <v>8445</v>
      </c>
      <c r="F5400" t="s">
        <v>8449</v>
      </c>
      <c r="G5400" t="s">
        <v>8455</v>
      </c>
    </row>
    <row r="5401" spans="1:7">
      <c r="A5401" t="s">
        <v>7753</v>
      </c>
      <c r="B5401" t="s">
        <v>8274</v>
      </c>
      <c r="C5401" t="s">
        <v>8396</v>
      </c>
      <c r="D5401" t="s">
        <v>8405</v>
      </c>
      <c r="E5401" t="s">
        <v>8445</v>
      </c>
      <c r="F5401" t="s">
        <v>8449</v>
      </c>
      <c r="G5401" t="s">
        <v>8455</v>
      </c>
    </row>
    <row r="5402" spans="1:7">
      <c r="A5402" t="s">
        <v>7754</v>
      </c>
      <c r="B5402" t="s">
        <v>8273</v>
      </c>
      <c r="C5402" t="s">
        <v>8396</v>
      </c>
      <c r="D5402" t="s">
        <v>8405</v>
      </c>
      <c r="E5402" t="s">
        <v>8445</v>
      </c>
      <c r="F5402" t="s">
        <v>8449</v>
      </c>
      <c r="G5402" t="s">
        <v>8455</v>
      </c>
    </row>
    <row r="5403" spans="1:7">
      <c r="A5403" t="s">
        <v>7755</v>
      </c>
      <c r="B5403" t="s">
        <v>8277</v>
      </c>
      <c r="C5403" t="s">
        <v>8396</v>
      </c>
      <c r="D5403" t="s">
        <v>8405</v>
      </c>
      <c r="E5403" t="s">
        <v>8445</v>
      </c>
      <c r="F5403" t="s">
        <v>8449</v>
      </c>
      <c r="G5403" t="s">
        <v>8455</v>
      </c>
    </row>
    <row r="5404" spans="1:7">
      <c r="A5404" t="s">
        <v>7756</v>
      </c>
      <c r="B5404" t="s">
        <v>8278</v>
      </c>
      <c r="C5404" t="s">
        <v>8394</v>
      </c>
      <c r="D5404" t="s">
        <v>8423</v>
      </c>
      <c r="E5404" t="s">
        <v>1519</v>
      </c>
      <c r="F5404" t="s">
        <v>8449</v>
      </c>
      <c r="G5404" t="s">
        <v>8455</v>
      </c>
    </row>
    <row r="5405" spans="1:7">
      <c r="A5405" t="s">
        <v>7757</v>
      </c>
      <c r="B5405" t="s">
        <v>8279</v>
      </c>
      <c r="C5405" t="s">
        <v>8394</v>
      </c>
      <c r="D5405" t="s">
        <v>8423</v>
      </c>
      <c r="E5405" t="s">
        <v>1519</v>
      </c>
      <c r="F5405" t="s">
        <v>8449</v>
      </c>
      <c r="G5405" t="s">
        <v>8455</v>
      </c>
    </row>
    <row r="5406" spans="1:7">
      <c r="A5406" t="s">
        <v>7758</v>
      </c>
      <c r="B5406" t="s">
        <v>8280</v>
      </c>
      <c r="C5406" t="s">
        <v>8394</v>
      </c>
      <c r="D5406" t="s">
        <v>8423</v>
      </c>
      <c r="E5406" t="s">
        <v>1519</v>
      </c>
      <c r="F5406" t="s">
        <v>8449</v>
      </c>
      <c r="G5406" t="s">
        <v>8455</v>
      </c>
    </row>
    <row r="5407" spans="1:7">
      <c r="A5407" t="s">
        <v>7759</v>
      </c>
      <c r="B5407" t="s">
        <v>8278</v>
      </c>
      <c r="C5407" t="s">
        <v>8394</v>
      </c>
      <c r="D5407" t="s">
        <v>8423</v>
      </c>
      <c r="E5407" t="s">
        <v>1519</v>
      </c>
      <c r="F5407" t="s">
        <v>8449</v>
      </c>
      <c r="G5407" t="s">
        <v>8455</v>
      </c>
    </row>
    <row r="5408" spans="1:7">
      <c r="A5408" t="s">
        <v>7760</v>
      </c>
      <c r="C5408" t="s">
        <v>8396</v>
      </c>
      <c r="D5408" t="s">
        <v>8405</v>
      </c>
      <c r="E5408" t="s">
        <v>8446</v>
      </c>
      <c r="F5408" t="s">
        <v>8449</v>
      </c>
      <c r="G5408" t="s">
        <v>795</v>
      </c>
    </row>
    <row r="5409" spans="1:7">
      <c r="A5409" t="s">
        <v>7761</v>
      </c>
      <c r="C5409" t="s">
        <v>8397</v>
      </c>
      <c r="D5409" t="s">
        <v>8421</v>
      </c>
      <c r="E5409" t="s">
        <v>1519</v>
      </c>
      <c r="F5409" t="s">
        <v>8450</v>
      </c>
      <c r="G5409" t="s">
        <v>8987</v>
      </c>
    </row>
    <row r="5410" spans="1:7">
      <c r="A5410" t="s">
        <v>7762</v>
      </c>
      <c r="C5410" t="s">
        <v>8394</v>
      </c>
      <c r="D5410" t="s">
        <v>8401</v>
      </c>
      <c r="E5410" t="s">
        <v>8445</v>
      </c>
      <c r="F5410" t="s">
        <v>8448</v>
      </c>
      <c r="G5410" t="s">
        <v>9417</v>
      </c>
    </row>
    <row r="5411" spans="1:7">
      <c r="A5411" t="s">
        <v>7763</v>
      </c>
      <c r="B5411" t="s">
        <v>8273</v>
      </c>
      <c r="C5411" t="s">
        <v>8396</v>
      </c>
      <c r="D5411" t="s">
        <v>8420</v>
      </c>
      <c r="E5411" t="s">
        <v>8444</v>
      </c>
      <c r="F5411" t="s">
        <v>8448</v>
      </c>
      <c r="G5411" t="s">
        <v>8455</v>
      </c>
    </row>
    <row r="5412" spans="1:7">
      <c r="A5412" t="s">
        <v>7764</v>
      </c>
      <c r="C5412" t="s">
        <v>8397</v>
      </c>
      <c r="D5412" t="s">
        <v>8408</v>
      </c>
      <c r="E5412" t="s">
        <v>8445</v>
      </c>
      <c r="F5412" t="s">
        <v>8450</v>
      </c>
      <c r="G5412" t="s">
        <v>9418</v>
      </c>
    </row>
    <row r="5413" spans="1:7">
      <c r="A5413" t="s">
        <v>7765</v>
      </c>
      <c r="B5413" t="s">
        <v>8275</v>
      </c>
      <c r="C5413" t="s">
        <v>8395</v>
      </c>
      <c r="D5413" t="s">
        <v>8420</v>
      </c>
      <c r="E5413" t="s">
        <v>8446</v>
      </c>
      <c r="F5413" t="s">
        <v>8449</v>
      </c>
      <c r="G5413" t="s">
        <v>8455</v>
      </c>
    </row>
    <row r="5414" spans="1:7">
      <c r="A5414" t="s">
        <v>7766</v>
      </c>
      <c r="B5414" t="s">
        <v>8273</v>
      </c>
      <c r="C5414" t="s">
        <v>8398</v>
      </c>
      <c r="D5414" t="s">
        <v>8409</v>
      </c>
      <c r="E5414" t="s">
        <v>8446</v>
      </c>
      <c r="F5414" t="s">
        <v>8448</v>
      </c>
      <c r="G5414" t="s">
        <v>8455</v>
      </c>
    </row>
    <row r="5415" spans="1:7">
      <c r="A5415" t="s">
        <v>7767</v>
      </c>
      <c r="C5415" t="s">
        <v>8392</v>
      </c>
      <c r="D5415" t="s">
        <v>8400</v>
      </c>
      <c r="E5415" t="s">
        <v>8446</v>
      </c>
      <c r="F5415" t="s">
        <v>8448</v>
      </c>
      <c r="G5415" t="s">
        <v>8455</v>
      </c>
    </row>
    <row r="5416" spans="1:7">
      <c r="A5416" t="s">
        <v>7768</v>
      </c>
      <c r="C5416" t="s">
        <v>8393</v>
      </c>
      <c r="D5416" t="s">
        <v>8393</v>
      </c>
      <c r="E5416" t="s">
        <v>919</v>
      </c>
      <c r="F5416" t="s">
        <v>8393</v>
      </c>
    </row>
    <row r="5417" spans="1:7">
      <c r="A5417" t="s">
        <v>7769</v>
      </c>
      <c r="B5417" t="s">
        <v>8273</v>
      </c>
      <c r="C5417" t="s">
        <v>8395</v>
      </c>
      <c r="D5417" t="s">
        <v>8400</v>
      </c>
      <c r="E5417" t="s">
        <v>1519</v>
      </c>
      <c r="F5417" t="s">
        <v>8449</v>
      </c>
      <c r="G5417" t="s">
        <v>8455</v>
      </c>
    </row>
    <row r="5418" spans="1:7">
      <c r="A5418" t="s">
        <v>7770</v>
      </c>
      <c r="B5418" t="s">
        <v>8285</v>
      </c>
      <c r="C5418" t="s">
        <v>8395</v>
      </c>
      <c r="D5418" t="s">
        <v>8400</v>
      </c>
      <c r="E5418" t="s">
        <v>8446</v>
      </c>
      <c r="F5418" t="s">
        <v>8449</v>
      </c>
      <c r="G5418" t="s">
        <v>8455</v>
      </c>
    </row>
    <row r="5419" spans="1:7">
      <c r="A5419" t="s">
        <v>7771</v>
      </c>
      <c r="B5419" t="s">
        <v>8277</v>
      </c>
      <c r="C5419" t="s">
        <v>8395</v>
      </c>
      <c r="D5419" t="s">
        <v>8400</v>
      </c>
      <c r="E5419" t="s">
        <v>8446</v>
      </c>
      <c r="F5419" t="s">
        <v>8449</v>
      </c>
      <c r="G5419" t="s">
        <v>8455</v>
      </c>
    </row>
    <row r="5420" spans="1:7">
      <c r="A5420" t="s">
        <v>7772</v>
      </c>
      <c r="C5420" t="s">
        <v>8393</v>
      </c>
      <c r="D5420" t="s">
        <v>8393</v>
      </c>
      <c r="E5420" t="s">
        <v>919</v>
      </c>
      <c r="F5420" t="s">
        <v>8393</v>
      </c>
    </row>
    <row r="5421" spans="1:7">
      <c r="A5421" t="s">
        <v>7773</v>
      </c>
      <c r="B5421" t="s">
        <v>8276</v>
      </c>
      <c r="C5421" t="s">
        <v>8395</v>
      </c>
      <c r="D5421" t="s">
        <v>8414</v>
      </c>
      <c r="E5421" t="s">
        <v>8446</v>
      </c>
      <c r="F5421" t="s">
        <v>8449</v>
      </c>
      <c r="G5421" t="s">
        <v>8455</v>
      </c>
    </row>
    <row r="5422" spans="1:7">
      <c r="A5422" t="s">
        <v>7774</v>
      </c>
      <c r="B5422" t="s">
        <v>8273</v>
      </c>
      <c r="C5422" t="s">
        <v>8395</v>
      </c>
      <c r="D5422" t="s">
        <v>8414</v>
      </c>
      <c r="E5422" t="s">
        <v>8446</v>
      </c>
      <c r="F5422" t="s">
        <v>8449</v>
      </c>
      <c r="G5422" t="s">
        <v>8455</v>
      </c>
    </row>
    <row r="5423" spans="1:7">
      <c r="A5423" t="s">
        <v>7775</v>
      </c>
      <c r="C5423" t="s">
        <v>8397</v>
      </c>
      <c r="D5423" t="s">
        <v>8408</v>
      </c>
      <c r="E5423" t="s">
        <v>8445</v>
      </c>
      <c r="F5423" t="s">
        <v>8450</v>
      </c>
    </row>
    <row r="5424" spans="1:7">
      <c r="A5424" t="s">
        <v>7776</v>
      </c>
      <c r="B5424" t="s">
        <v>8273</v>
      </c>
      <c r="C5424" t="s">
        <v>8392</v>
      </c>
      <c r="D5424" t="s">
        <v>8400</v>
      </c>
      <c r="E5424" t="s">
        <v>8446</v>
      </c>
      <c r="F5424" t="s">
        <v>8449</v>
      </c>
      <c r="G5424" t="s">
        <v>8455</v>
      </c>
    </row>
    <row r="5425" spans="1:7">
      <c r="A5425" t="s">
        <v>7777</v>
      </c>
      <c r="B5425" t="s">
        <v>8273</v>
      </c>
      <c r="C5425" t="s">
        <v>8392</v>
      </c>
      <c r="D5425" t="s">
        <v>8415</v>
      </c>
      <c r="E5425" t="s">
        <v>8446</v>
      </c>
      <c r="F5425" t="s">
        <v>8448</v>
      </c>
      <c r="G5425" t="s">
        <v>8455</v>
      </c>
    </row>
    <row r="5426" spans="1:7">
      <c r="A5426" t="s">
        <v>7778</v>
      </c>
      <c r="B5426" t="s">
        <v>8299</v>
      </c>
      <c r="C5426" t="s">
        <v>8397</v>
      </c>
      <c r="D5426" t="s">
        <v>8430</v>
      </c>
      <c r="E5426" t="s">
        <v>1519</v>
      </c>
      <c r="F5426" t="s">
        <v>8448</v>
      </c>
      <c r="G5426" t="s">
        <v>8463</v>
      </c>
    </row>
    <row r="5427" spans="1:7">
      <c r="A5427" t="s">
        <v>7779</v>
      </c>
      <c r="C5427" t="s">
        <v>8395</v>
      </c>
      <c r="D5427" t="s">
        <v>8421</v>
      </c>
      <c r="E5427" t="s">
        <v>8446</v>
      </c>
      <c r="F5427" t="s">
        <v>8448</v>
      </c>
      <c r="G5427" t="s">
        <v>8455</v>
      </c>
    </row>
    <row r="5428" spans="1:7">
      <c r="A5428" t="s">
        <v>7780</v>
      </c>
      <c r="C5428" t="s">
        <v>8393</v>
      </c>
      <c r="D5428" t="s">
        <v>8393</v>
      </c>
      <c r="E5428" t="s">
        <v>919</v>
      </c>
      <c r="F5428" t="s">
        <v>8393</v>
      </c>
    </row>
    <row r="5429" spans="1:7">
      <c r="A5429" t="s">
        <v>7781</v>
      </c>
      <c r="C5429" t="s">
        <v>8394</v>
      </c>
      <c r="D5429" t="s">
        <v>8401</v>
      </c>
      <c r="E5429" t="s">
        <v>8445</v>
      </c>
      <c r="F5429" t="s">
        <v>8450</v>
      </c>
      <c r="G5429" t="s">
        <v>9034</v>
      </c>
    </row>
    <row r="5430" spans="1:7">
      <c r="A5430" t="s">
        <v>7782</v>
      </c>
      <c r="C5430" t="s">
        <v>8394</v>
      </c>
      <c r="D5430" t="s">
        <v>8401</v>
      </c>
      <c r="E5430" t="s">
        <v>8445</v>
      </c>
      <c r="F5430" t="s">
        <v>8450</v>
      </c>
      <c r="G5430" t="s">
        <v>9034</v>
      </c>
    </row>
    <row r="5431" spans="1:7">
      <c r="A5431" t="s">
        <v>7783</v>
      </c>
      <c r="C5431" t="s">
        <v>8394</v>
      </c>
      <c r="D5431" t="s">
        <v>8401</v>
      </c>
      <c r="E5431" t="s">
        <v>8445</v>
      </c>
      <c r="F5431" t="s">
        <v>8450</v>
      </c>
      <c r="G5431" t="s">
        <v>9034</v>
      </c>
    </row>
    <row r="5432" spans="1:7">
      <c r="A5432" t="s">
        <v>7784</v>
      </c>
      <c r="C5432" t="s">
        <v>8394</v>
      </c>
      <c r="D5432" t="s">
        <v>8401</v>
      </c>
      <c r="E5432" t="s">
        <v>8445</v>
      </c>
      <c r="F5432" t="s">
        <v>8450</v>
      </c>
      <c r="G5432" t="s">
        <v>9034</v>
      </c>
    </row>
    <row r="5433" spans="1:7">
      <c r="A5433" t="s">
        <v>7785</v>
      </c>
      <c r="C5433" t="s">
        <v>8394</v>
      </c>
      <c r="D5433" t="s">
        <v>8401</v>
      </c>
      <c r="E5433" t="s">
        <v>8445</v>
      </c>
      <c r="F5433" t="s">
        <v>8450</v>
      </c>
      <c r="G5433" t="s">
        <v>9034</v>
      </c>
    </row>
    <row r="5434" spans="1:7">
      <c r="A5434" t="s">
        <v>7786</v>
      </c>
      <c r="C5434" t="s">
        <v>8394</v>
      </c>
      <c r="D5434" t="s">
        <v>8401</v>
      </c>
      <c r="E5434" t="s">
        <v>8445</v>
      </c>
      <c r="F5434" t="s">
        <v>8450</v>
      </c>
      <c r="G5434" t="s">
        <v>9034</v>
      </c>
    </row>
    <row r="5435" spans="1:7">
      <c r="A5435" t="s">
        <v>7787</v>
      </c>
      <c r="C5435" t="s">
        <v>8394</v>
      </c>
      <c r="D5435" t="s">
        <v>8401</v>
      </c>
      <c r="E5435" t="s">
        <v>8445</v>
      </c>
      <c r="F5435" t="s">
        <v>8450</v>
      </c>
      <c r="G5435" t="s">
        <v>9034</v>
      </c>
    </row>
    <row r="5436" spans="1:7">
      <c r="A5436" t="s">
        <v>7788</v>
      </c>
      <c r="C5436" t="s">
        <v>8394</v>
      </c>
      <c r="D5436" t="s">
        <v>8401</v>
      </c>
      <c r="E5436" t="s">
        <v>8445</v>
      </c>
      <c r="F5436" t="s">
        <v>8450</v>
      </c>
      <c r="G5436" t="s">
        <v>9034</v>
      </c>
    </row>
    <row r="5437" spans="1:7">
      <c r="A5437" t="s">
        <v>7789</v>
      </c>
      <c r="C5437" t="s">
        <v>8394</v>
      </c>
      <c r="D5437" t="s">
        <v>8401</v>
      </c>
      <c r="E5437" t="s">
        <v>8445</v>
      </c>
      <c r="F5437" t="s">
        <v>8450</v>
      </c>
      <c r="G5437" t="s">
        <v>9034</v>
      </c>
    </row>
    <row r="5438" spans="1:7">
      <c r="A5438" t="s">
        <v>7790</v>
      </c>
      <c r="C5438" t="s">
        <v>8394</v>
      </c>
      <c r="D5438" t="s">
        <v>8401</v>
      </c>
      <c r="E5438" t="s">
        <v>8445</v>
      </c>
      <c r="F5438" t="s">
        <v>8450</v>
      </c>
      <c r="G5438" t="s">
        <v>9034</v>
      </c>
    </row>
    <row r="5439" spans="1:7">
      <c r="A5439" t="s">
        <v>7791</v>
      </c>
      <c r="C5439" t="s">
        <v>8394</v>
      </c>
      <c r="D5439" t="s">
        <v>8401</v>
      </c>
      <c r="E5439" t="s">
        <v>8445</v>
      </c>
      <c r="F5439" t="s">
        <v>8450</v>
      </c>
      <c r="G5439" t="s">
        <v>9034</v>
      </c>
    </row>
    <row r="5440" spans="1:7">
      <c r="A5440" t="s">
        <v>7792</v>
      </c>
      <c r="C5440" t="s">
        <v>8394</v>
      </c>
      <c r="D5440" t="s">
        <v>8401</v>
      </c>
      <c r="E5440" t="s">
        <v>8445</v>
      </c>
      <c r="F5440" t="s">
        <v>8450</v>
      </c>
      <c r="G5440" t="s">
        <v>9034</v>
      </c>
    </row>
    <row r="5441" spans="1:7">
      <c r="A5441" t="s">
        <v>7793</v>
      </c>
      <c r="C5441" t="s">
        <v>8394</v>
      </c>
      <c r="D5441" t="s">
        <v>8401</v>
      </c>
      <c r="E5441" t="s">
        <v>8445</v>
      </c>
      <c r="F5441" t="s">
        <v>8450</v>
      </c>
      <c r="G5441" t="s">
        <v>9034</v>
      </c>
    </row>
    <row r="5442" spans="1:7">
      <c r="A5442" t="s">
        <v>7794</v>
      </c>
      <c r="C5442" t="s">
        <v>8394</v>
      </c>
      <c r="D5442" t="s">
        <v>8401</v>
      </c>
      <c r="E5442" t="s">
        <v>8445</v>
      </c>
      <c r="F5442" t="s">
        <v>8450</v>
      </c>
      <c r="G5442" t="s">
        <v>9034</v>
      </c>
    </row>
    <row r="5443" spans="1:7">
      <c r="A5443" t="s">
        <v>7795</v>
      </c>
      <c r="C5443" t="s">
        <v>8394</v>
      </c>
      <c r="D5443" t="s">
        <v>8401</v>
      </c>
      <c r="E5443" t="s">
        <v>8445</v>
      </c>
      <c r="F5443" t="s">
        <v>8450</v>
      </c>
      <c r="G5443" t="s">
        <v>9034</v>
      </c>
    </row>
    <row r="5444" spans="1:7">
      <c r="A5444" t="s">
        <v>7796</v>
      </c>
      <c r="C5444" t="s">
        <v>8394</v>
      </c>
      <c r="D5444" t="s">
        <v>8401</v>
      </c>
      <c r="E5444" t="s">
        <v>8445</v>
      </c>
      <c r="F5444" t="s">
        <v>8450</v>
      </c>
      <c r="G5444" t="s">
        <v>9034</v>
      </c>
    </row>
    <row r="5445" spans="1:7">
      <c r="A5445" t="s">
        <v>7797</v>
      </c>
      <c r="C5445" t="s">
        <v>8394</v>
      </c>
      <c r="D5445" t="s">
        <v>8401</v>
      </c>
      <c r="E5445" t="s">
        <v>8445</v>
      </c>
      <c r="F5445" t="s">
        <v>8450</v>
      </c>
      <c r="G5445" t="s">
        <v>9034</v>
      </c>
    </row>
    <row r="5446" spans="1:7">
      <c r="A5446" t="s">
        <v>7798</v>
      </c>
      <c r="C5446" t="s">
        <v>8394</v>
      </c>
      <c r="D5446" t="s">
        <v>8401</v>
      </c>
      <c r="E5446" t="s">
        <v>8445</v>
      </c>
      <c r="F5446" t="s">
        <v>8450</v>
      </c>
      <c r="G5446" t="s">
        <v>9034</v>
      </c>
    </row>
    <row r="5447" spans="1:7">
      <c r="A5447" t="s">
        <v>7799</v>
      </c>
      <c r="C5447" t="s">
        <v>8394</v>
      </c>
      <c r="D5447" t="s">
        <v>8401</v>
      </c>
      <c r="E5447" t="s">
        <v>8445</v>
      </c>
      <c r="F5447" t="s">
        <v>8450</v>
      </c>
      <c r="G5447" t="s">
        <v>9034</v>
      </c>
    </row>
    <row r="5448" spans="1:7">
      <c r="A5448" t="s">
        <v>7800</v>
      </c>
      <c r="C5448" t="s">
        <v>8394</v>
      </c>
      <c r="D5448" t="s">
        <v>8401</v>
      </c>
      <c r="E5448" t="s">
        <v>8445</v>
      </c>
      <c r="F5448" t="s">
        <v>8450</v>
      </c>
      <c r="G5448" t="s">
        <v>9034</v>
      </c>
    </row>
    <row r="5449" spans="1:7">
      <c r="A5449" t="s">
        <v>7801</v>
      </c>
      <c r="C5449" t="s">
        <v>8394</v>
      </c>
      <c r="D5449" t="s">
        <v>8401</v>
      </c>
      <c r="E5449" t="s">
        <v>8445</v>
      </c>
      <c r="F5449" t="s">
        <v>8450</v>
      </c>
      <c r="G5449" t="s">
        <v>9034</v>
      </c>
    </row>
    <row r="5450" spans="1:7">
      <c r="A5450" t="s">
        <v>7802</v>
      </c>
      <c r="C5450" t="s">
        <v>8394</v>
      </c>
      <c r="D5450" t="s">
        <v>8401</v>
      </c>
      <c r="E5450" t="s">
        <v>8445</v>
      </c>
      <c r="F5450" t="s">
        <v>8450</v>
      </c>
      <c r="G5450" t="s">
        <v>9034</v>
      </c>
    </row>
    <row r="5451" spans="1:7">
      <c r="A5451" t="s">
        <v>7803</v>
      </c>
      <c r="C5451" t="s">
        <v>8394</v>
      </c>
      <c r="D5451" t="s">
        <v>8401</v>
      </c>
      <c r="E5451" t="s">
        <v>8445</v>
      </c>
      <c r="F5451" t="s">
        <v>8450</v>
      </c>
      <c r="G5451" t="s">
        <v>9034</v>
      </c>
    </row>
    <row r="5452" spans="1:7">
      <c r="A5452" t="s">
        <v>7804</v>
      </c>
      <c r="C5452" t="s">
        <v>8394</v>
      </c>
      <c r="D5452" t="s">
        <v>8401</v>
      </c>
      <c r="E5452" t="s">
        <v>8445</v>
      </c>
      <c r="F5452" t="s">
        <v>8450</v>
      </c>
      <c r="G5452" t="s">
        <v>9034</v>
      </c>
    </row>
    <row r="5453" spans="1:7">
      <c r="A5453" t="s">
        <v>7805</v>
      </c>
      <c r="C5453" t="s">
        <v>8394</v>
      </c>
      <c r="D5453" t="s">
        <v>8401</v>
      </c>
      <c r="E5453" t="s">
        <v>8445</v>
      </c>
      <c r="F5453" t="s">
        <v>8450</v>
      </c>
      <c r="G5453" t="s">
        <v>9034</v>
      </c>
    </row>
    <row r="5454" spans="1:7">
      <c r="A5454" t="s">
        <v>7806</v>
      </c>
      <c r="C5454" t="s">
        <v>8394</v>
      </c>
      <c r="D5454" t="s">
        <v>8401</v>
      </c>
      <c r="E5454" t="s">
        <v>8445</v>
      </c>
      <c r="F5454" t="s">
        <v>8450</v>
      </c>
      <c r="G5454" t="s">
        <v>9034</v>
      </c>
    </row>
    <row r="5455" spans="1:7">
      <c r="A5455" t="s">
        <v>7807</v>
      </c>
      <c r="C5455" t="s">
        <v>8394</v>
      </c>
      <c r="D5455" t="s">
        <v>8401</v>
      </c>
      <c r="E5455" t="s">
        <v>8445</v>
      </c>
      <c r="F5455" t="s">
        <v>8450</v>
      </c>
      <c r="G5455" t="s">
        <v>9034</v>
      </c>
    </row>
    <row r="5456" spans="1:7">
      <c r="A5456" t="s">
        <v>7808</v>
      </c>
      <c r="C5456" t="s">
        <v>8397</v>
      </c>
      <c r="D5456" t="s">
        <v>8408</v>
      </c>
      <c r="E5456" t="s">
        <v>8445</v>
      </c>
      <c r="F5456" t="s">
        <v>8450</v>
      </c>
    </row>
    <row r="5457" spans="1:7">
      <c r="A5457" t="s">
        <v>7809</v>
      </c>
      <c r="C5457" t="s">
        <v>8392</v>
      </c>
      <c r="D5457" t="s">
        <v>8415</v>
      </c>
      <c r="E5457" t="s">
        <v>8446</v>
      </c>
      <c r="F5457" t="s">
        <v>8448</v>
      </c>
      <c r="G5457" t="s">
        <v>9419</v>
      </c>
    </row>
    <row r="5458" spans="1:7">
      <c r="A5458" t="s">
        <v>7810</v>
      </c>
      <c r="B5458" t="s">
        <v>8273</v>
      </c>
      <c r="C5458" t="s">
        <v>8392</v>
      </c>
      <c r="D5458" t="s">
        <v>8415</v>
      </c>
      <c r="E5458" t="s">
        <v>8444</v>
      </c>
      <c r="F5458" t="s">
        <v>8448</v>
      </c>
      <c r="G5458" t="s">
        <v>8455</v>
      </c>
    </row>
    <row r="5459" spans="1:7">
      <c r="A5459" t="s">
        <v>7811</v>
      </c>
      <c r="B5459" t="s">
        <v>8275</v>
      </c>
      <c r="C5459" t="s">
        <v>8396</v>
      </c>
      <c r="D5459" t="s">
        <v>8411</v>
      </c>
      <c r="E5459" t="s">
        <v>8444</v>
      </c>
      <c r="F5459" t="s">
        <v>8448</v>
      </c>
      <c r="G5459" t="s">
        <v>9420</v>
      </c>
    </row>
    <row r="5460" spans="1:7">
      <c r="A5460" t="s">
        <v>7812</v>
      </c>
      <c r="C5460" t="s">
        <v>8392</v>
      </c>
      <c r="D5460" t="s">
        <v>8415</v>
      </c>
      <c r="E5460" t="s">
        <v>8445</v>
      </c>
      <c r="F5460" t="s">
        <v>8448</v>
      </c>
      <c r="G5460" t="s">
        <v>9421</v>
      </c>
    </row>
    <row r="5461" spans="1:7">
      <c r="A5461" t="s">
        <v>7813</v>
      </c>
      <c r="C5461" t="s">
        <v>8394</v>
      </c>
      <c r="D5461" t="s">
        <v>8416</v>
      </c>
      <c r="E5461" t="s">
        <v>8444</v>
      </c>
      <c r="F5461" t="s">
        <v>8448</v>
      </c>
      <c r="G5461" t="s">
        <v>9422</v>
      </c>
    </row>
    <row r="5462" spans="1:7">
      <c r="A5462" t="s">
        <v>7814</v>
      </c>
      <c r="C5462" t="s">
        <v>8393</v>
      </c>
      <c r="D5462" t="s">
        <v>8393</v>
      </c>
      <c r="E5462" t="s">
        <v>919</v>
      </c>
      <c r="F5462" t="s">
        <v>8393</v>
      </c>
    </row>
    <row r="5463" spans="1:7">
      <c r="A5463" t="s">
        <v>7815</v>
      </c>
      <c r="C5463" t="s">
        <v>8394</v>
      </c>
      <c r="D5463" t="s">
        <v>8401</v>
      </c>
      <c r="E5463" t="s">
        <v>8445</v>
      </c>
      <c r="F5463" t="s">
        <v>8448</v>
      </c>
      <c r="G5463" t="s">
        <v>9423</v>
      </c>
    </row>
    <row r="5464" spans="1:7">
      <c r="A5464" t="s">
        <v>7816</v>
      </c>
      <c r="C5464" t="s">
        <v>8394</v>
      </c>
      <c r="D5464" t="s">
        <v>8401</v>
      </c>
      <c r="E5464" t="s">
        <v>8445</v>
      </c>
      <c r="F5464" t="s">
        <v>8448</v>
      </c>
      <c r="G5464" t="s">
        <v>9423</v>
      </c>
    </row>
    <row r="5465" spans="1:7">
      <c r="A5465" t="s">
        <v>7817</v>
      </c>
      <c r="C5465" t="s">
        <v>8394</v>
      </c>
      <c r="D5465" t="s">
        <v>8401</v>
      </c>
      <c r="E5465" t="s">
        <v>8445</v>
      </c>
      <c r="F5465" t="s">
        <v>8448</v>
      </c>
      <c r="G5465" t="s">
        <v>9423</v>
      </c>
    </row>
    <row r="5466" spans="1:7">
      <c r="A5466" t="s">
        <v>7818</v>
      </c>
      <c r="C5466" t="s">
        <v>8394</v>
      </c>
      <c r="D5466" t="s">
        <v>8401</v>
      </c>
      <c r="E5466" t="s">
        <v>8445</v>
      </c>
      <c r="F5466" t="s">
        <v>8448</v>
      </c>
      <c r="G5466" t="s">
        <v>9423</v>
      </c>
    </row>
    <row r="5467" spans="1:7">
      <c r="A5467" t="s">
        <v>7819</v>
      </c>
      <c r="C5467" t="s">
        <v>8394</v>
      </c>
      <c r="D5467" t="s">
        <v>8401</v>
      </c>
      <c r="E5467" t="s">
        <v>8445</v>
      </c>
      <c r="F5467" t="s">
        <v>8448</v>
      </c>
      <c r="G5467" t="s">
        <v>9423</v>
      </c>
    </row>
    <row r="5468" spans="1:7">
      <c r="A5468" t="s">
        <v>7820</v>
      </c>
      <c r="C5468" t="s">
        <v>8394</v>
      </c>
      <c r="D5468" t="s">
        <v>8401</v>
      </c>
      <c r="E5468" t="s">
        <v>8445</v>
      </c>
      <c r="F5468" t="s">
        <v>8448</v>
      </c>
      <c r="G5468" t="s">
        <v>9423</v>
      </c>
    </row>
    <row r="5469" spans="1:7">
      <c r="A5469" t="s">
        <v>7821</v>
      </c>
      <c r="C5469" t="s">
        <v>8394</v>
      </c>
      <c r="D5469" t="s">
        <v>8401</v>
      </c>
      <c r="E5469" t="s">
        <v>8445</v>
      </c>
      <c r="F5469" t="s">
        <v>8448</v>
      </c>
      <c r="G5469" t="s">
        <v>9423</v>
      </c>
    </row>
    <row r="5470" spans="1:7">
      <c r="A5470" t="s">
        <v>7822</v>
      </c>
      <c r="C5470" t="s">
        <v>8394</v>
      </c>
      <c r="D5470" t="s">
        <v>8401</v>
      </c>
      <c r="E5470" t="s">
        <v>8445</v>
      </c>
      <c r="F5470" t="s">
        <v>8448</v>
      </c>
      <c r="G5470" t="s">
        <v>9423</v>
      </c>
    </row>
    <row r="5471" spans="1:7">
      <c r="A5471" t="s">
        <v>7823</v>
      </c>
      <c r="C5471" t="s">
        <v>8394</v>
      </c>
      <c r="D5471" t="s">
        <v>8401</v>
      </c>
      <c r="E5471" t="s">
        <v>8445</v>
      </c>
      <c r="F5471" t="s">
        <v>8448</v>
      </c>
      <c r="G5471" t="s">
        <v>9423</v>
      </c>
    </row>
    <row r="5472" spans="1:7">
      <c r="A5472" t="s">
        <v>7824</v>
      </c>
      <c r="C5472" t="s">
        <v>8394</v>
      </c>
      <c r="D5472" t="s">
        <v>8401</v>
      </c>
      <c r="E5472" t="s">
        <v>8445</v>
      </c>
      <c r="F5472" t="s">
        <v>8448</v>
      </c>
      <c r="G5472" t="s">
        <v>9423</v>
      </c>
    </row>
    <row r="5473" spans="1:7">
      <c r="A5473" t="s">
        <v>7825</v>
      </c>
      <c r="C5473" t="s">
        <v>8394</v>
      </c>
      <c r="D5473" t="s">
        <v>8401</v>
      </c>
      <c r="E5473" t="s">
        <v>8445</v>
      </c>
      <c r="F5473" t="s">
        <v>8448</v>
      </c>
      <c r="G5473" t="s">
        <v>9423</v>
      </c>
    </row>
    <row r="5474" spans="1:7">
      <c r="A5474" t="s">
        <v>7826</v>
      </c>
      <c r="C5474" t="s">
        <v>8394</v>
      </c>
      <c r="D5474" t="s">
        <v>8401</v>
      </c>
      <c r="E5474" t="s">
        <v>8445</v>
      </c>
      <c r="F5474" t="s">
        <v>8448</v>
      </c>
      <c r="G5474" t="s">
        <v>9423</v>
      </c>
    </row>
    <row r="5475" spans="1:7">
      <c r="A5475" t="s">
        <v>7827</v>
      </c>
      <c r="C5475" t="s">
        <v>8394</v>
      </c>
      <c r="D5475" t="s">
        <v>8401</v>
      </c>
      <c r="E5475" t="s">
        <v>8445</v>
      </c>
      <c r="F5475" t="s">
        <v>8448</v>
      </c>
      <c r="G5475" t="s">
        <v>9423</v>
      </c>
    </row>
    <row r="5476" spans="1:7">
      <c r="A5476" t="s">
        <v>7828</v>
      </c>
      <c r="C5476" t="s">
        <v>8394</v>
      </c>
      <c r="D5476" t="s">
        <v>8401</v>
      </c>
      <c r="E5476" t="s">
        <v>8445</v>
      </c>
      <c r="F5476" t="s">
        <v>8448</v>
      </c>
      <c r="G5476" t="s">
        <v>9423</v>
      </c>
    </row>
    <row r="5477" spans="1:7">
      <c r="A5477" t="s">
        <v>7829</v>
      </c>
      <c r="C5477" t="s">
        <v>8394</v>
      </c>
      <c r="D5477" t="s">
        <v>8401</v>
      </c>
      <c r="E5477" t="s">
        <v>8445</v>
      </c>
      <c r="F5477" t="s">
        <v>8448</v>
      </c>
      <c r="G5477" t="s">
        <v>9423</v>
      </c>
    </row>
    <row r="5478" spans="1:7">
      <c r="A5478" t="s">
        <v>7830</v>
      </c>
      <c r="C5478" t="s">
        <v>8394</v>
      </c>
      <c r="D5478" t="s">
        <v>8401</v>
      </c>
      <c r="E5478" t="s">
        <v>8445</v>
      </c>
      <c r="F5478" t="s">
        <v>8448</v>
      </c>
      <c r="G5478" t="s">
        <v>9423</v>
      </c>
    </row>
    <row r="5479" spans="1:7">
      <c r="A5479" t="s">
        <v>7831</v>
      </c>
      <c r="C5479" t="s">
        <v>8394</v>
      </c>
      <c r="D5479" t="s">
        <v>8401</v>
      </c>
      <c r="E5479" t="s">
        <v>8445</v>
      </c>
      <c r="F5479" t="s">
        <v>8448</v>
      </c>
      <c r="G5479" t="s">
        <v>9423</v>
      </c>
    </row>
    <row r="5480" spans="1:7">
      <c r="A5480" t="s">
        <v>7832</v>
      </c>
      <c r="C5480" t="s">
        <v>8394</v>
      </c>
      <c r="D5480" t="s">
        <v>8401</v>
      </c>
      <c r="E5480" t="s">
        <v>8445</v>
      </c>
      <c r="F5480" t="s">
        <v>8448</v>
      </c>
      <c r="G5480" t="s">
        <v>9423</v>
      </c>
    </row>
    <row r="5481" spans="1:7">
      <c r="A5481" t="s">
        <v>7833</v>
      </c>
      <c r="C5481" t="s">
        <v>8394</v>
      </c>
      <c r="D5481" t="s">
        <v>8401</v>
      </c>
      <c r="E5481" t="s">
        <v>8445</v>
      </c>
      <c r="F5481" t="s">
        <v>8448</v>
      </c>
      <c r="G5481" t="s">
        <v>9423</v>
      </c>
    </row>
    <row r="5482" spans="1:7">
      <c r="A5482" t="s">
        <v>7834</v>
      </c>
      <c r="C5482" t="s">
        <v>8394</v>
      </c>
      <c r="D5482" t="s">
        <v>8401</v>
      </c>
      <c r="E5482" t="s">
        <v>8445</v>
      </c>
      <c r="F5482" t="s">
        <v>8448</v>
      </c>
      <c r="G5482" t="s">
        <v>9423</v>
      </c>
    </row>
    <row r="5483" spans="1:7">
      <c r="A5483" t="s">
        <v>7835</v>
      </c>
      <c r="C5483" t="s">
        <v>8394</v>
      </c>
      <c r="D5483" t="s">
        <v>8401</v>
      </c>
      <c r="E5483" t="s">
        <v>8445</v>
      </c>
      <c r="F5483" t="s">
        <v>8448</v>
      </c>
      <c r="G5483" t="s">
        <v>9423</v>
      </c>
    </row>
    <row r="5484" spans="1:7">
      <c r="A5484" t="s">
        <v>7836</v>
      </c>
      <c r="C5484" t="s">
        <v>8394</v>
      </c>
      <c r="D5484" t="s">
        <v>8402</v>
      </c>
      <c r="E5484" t="s">
        <v>8445</v>
      </c>
      <c r="F5484" t="s">
        <v>8448</v>
      </c>
      <c r="G5484" t="s">
        <v>9424</v>
      </c>
    </row>
    <row r="5485" spans="1:7">
      <c r="A5485" t="s">
        <v>7837</v>
      </c>
      <c r="C5485" t="s">
        <v>8392</v>
      </c>
      <c r="D5485" t="s">
        <v>8400</v>
      </c>
      <c r="E5485" t="s">
        <v>1587</v>
      </c>
      <c r="F5485" t="s">
        <v>8447</v>
      </c>
      <c r="G5485" t="s">
        <v>8474</v>
      </c>
    </row>
    <row r="5486" spans="1:7">
      <c r="A5486" t="s">
        <v>789</v>
      </c>
      <c r="C5486" t="s">
        <v>8399</v>
      </c>
      <c r="E5486" t="s">
        <v>8445</v>
      </c>
    </row>
    <row r="5487" spans="1:7">
      <c r="A5487" t="s">
        <v>7838</v>
      </c>
      <c r="C5487" t="s">
        <v>8399</v>
      </c>
      <c r="E5487" t="s">
        <v>8445</v>
      </c>
    </row>
    <row r="5488" spans="1:7">
      <c r="A5488" t="s">
        <v>7839</v>
      </c>
      <c r="B5488" t="s">
        <v>8273</v>
      </c>
      <c r="C5488" t="s">
        <v>8398</v>
      </c>
      <c r="D5488" t="s">
        <v>8409</v>
      </c>
      <c r="E5488" t="s">
        <v>8445</v>
      </c>
      <c r="F5488" t="s">
        <v>8448</v>
      </c>
      <c r="G5488" t="s">
        <v>8493</v>
      </c>
    </row>
    <row r="5489" spans="1:7">
      <c r="A5489" t="s">
        <v>7840</v>
      </c>
      <c r="B5489" t="s">
        <v>8273</v>
      </c>
      <c r="C5489" t="s">
        <v>8397</v>
      </c>
      <c r="D5489" t="s">
        <v>8421</v>
      </c>
      <c r="E5489" t="s">
        <v>8446</v>
      </c>
      <c r="F5489" t="s">
        <v>8448</v>
      </c>
      <c r="G5489" t="s">
        <v>796</v>
      </c>
    </row>
    <row r="5490" spans="1:7">
      <c r="A5490" t="s">
        <v>7841</v>
      </c>
      <c r="C5490" t="s">
        <v>8392</v>
      </c>
      <c r="D5490" t="s">
        <v>8400</v>
      </c>
      <c r="E5490" t="s">
        <v>1519</v>
      </c>
      <c r="F5490" t="s">
        <v>8449</v>
      </c>
      <c r="G5490" t="s">
        <v>795</v>
      </c>
    </row>
    <row r="5491" spans="1:7">
      <c r="A5491" t="s">
        <v>7842</v>
      </c>
      <c r="C5491" t="s">
        <v>8392</v>
      </c>
      <c r="D5491" t="s">
        <v>8400</v>
      </c>
      <c r="E5491" t="s">
        <v>8445</v>
      </c>
      <c r="F5491" t="s">
        <v>8449</v>
      </c>
    </row>
    <row r="5492" spans="1:7">
      <c r="A5492" t="s">
        <v>7843</v>
      </c>
      <c r="B5492" t="s">
        <v>8273</v>
      </c>
      <c r="C5492" t="s">
        <v>8395</v>
      </c>
      <c r="D5492" t="s">
        <v>8400</v>
      </c>
      <c r="E5492" t="s">
        <v>1519</v>
      </c>
      <c r="F5492" t="s">
        <v>8449</v>
      </c>
      <c r="G5492" t="s">
        <v>8455</v>
      </c>
    </row>
    <row r="5493" spans="1:7">
      <c r="A5493" t="s">
        <v>7844</v>
      </c>
      <c r="B5493" t="s">
        <v>8273</v>
      </c>
      <c r="C5493" t="s">
        <v>8397</v>
      </c>
      <c r="D5493" t="s">
        <v>8418</v>
      </c>
      <c r="E5493" t="s">
        <v>8444</v>
      </c>
      <c r="F5493" t="s">
        <v>8447</v>
      </c>
      <c r="G5493" t="s">
        <v>9425</v>
      </c>
    </row>
    <row r="5494" spans="1:7">
      <c r="A5494" t="s">
        <v>7845</v>
      </c>
      <c r="B5494" t="s">
        <v>8273</v>
      </c>
      <c r="C5494" t="s">
        <v>8392</v>
      </c>
      <c r="D5494" t="s">
        <v>8415</v>
      </c>
      <c r="E5494" t="s">
        <v>1519</v>
      </c>
      <c r="F5494" t="s">
        <v>8449</v>
      </c>
      <c r="G5494" t="s">
        <v>8455</v>
      </c>
    </row>
    <row r="5495" spans="1:7">
      <c r="A5495" t="s">
        <v>7846</v>
      </c>
      <c r="B5495" t="s">
        <v>8273</v>
      </c>
      <c r="C5495" t="s">
        <v>8394</v>
      </c>
      <c r="D5495" t="s">
        <v>8402</v>
      </c>
      <c r="E5495" t="s">
        <v>1519</v>
      </c>
      <c r="F5495" t="s">
        <v>8449</v>
      </c>
      <c r="G5495" t="s">
        <v>8455</v>
      </c>
    </row>
    <row r="5496" spans="1:7">
      <c r="A5496" t="s">
        <v>7847</v>
      </c>
      <c r="B5496" t="s">
        <v>8273</v>
      </c>
      <c r="C5496" t="s">
        <v>8396</v>
      </c>
      <c r="D5496" t="s">
        <v>8425</v>
      </c>
      <c r="E5496" t="s">
        <v>8446</v>
      </c>
      <c r="F5496" t="s">
        <v>8449</v>
      </c>
      <c r="G5496" t="s">
        <v>8455</v>
      </c>
    </row>
    <row r="5497" spans="1:7">
      <c r="A5497" t="s">
        <v>7848</v>
      </c>
      <c r="B5497" t="s">
        <v>8273</v>
      </c>
      <c r="C5497" t="s">
        <v>8398</v>
      </c>
      <c r="D5497" t="s">
        <v>8419</v>
      </c>
      <c r="E5497" t="s">
        <v>8446</v>
      </c>
      <c r="F5497" t="s">
        <v>8449</v>
      </c>
      <c r="G5497" t="s">
        <v>8475</v>
      </c>
    </row>
    <row r="5498" spans="1:7">
      <c r="A5498" t="s">
        <v>7849</v>
      </c>
      <c r="C5498" t="s">
        <v>8397</v>
      </c>
      <c r="D5498" t="s">
        <v>8408</v>
      </c>
      <c r="E5498" t="s">
        <v>8445</v>
      </c>
      <c r="F5498" t="s">
        <v>8450</v>
      </c>
    </row>
    <row r="5499" spans="1:7">
      <c r="A5499" t="s">
        <v>7850</v>
      </c>
      <c r="C5499" t="s">
        <v>8394</v>
      </c>
      <c r="D5499" t="s">
        <v>8416</v>
      </c>
      <c r="E5499" t="s">
        <v>8444</v>
      </c>
      <c r="F5499" t="s">
        <v>8448</v>
      </c>
      <c r="G5499" t="s">
        <v>9426</v>
      </c>
    </row>
    <row r="5500" spans="1:7">
      <c r="A5500" t="s">
        <v>7851</v>
      </c>
      <c r="B5500" t="s">
        <v>8273</v>
      </c>
      <c r="C5500" t="s">
        <v>8398</v>
      </c>
      <c r="D5500" t="s">
        <v>8419</v>
      </c>
      <c r="E5500" t="s">
        <v>1519</v>
      </c>
      <c r="F5500" t="s">
        <v>8447</v>
      </c>
      <c r="G5500" t="s">
        <v>8463</v>
      </c>
    </row>
    <row r="5501" spans="1:7">
      <c r="A5501" t="s">
        <v>7852</v>
      </c>
      <c r="B5501" t="s">
        <v>8273</v>
      </c>
      <c r="C5501" t="s">
        <v>8392</v>
      </c>
      <c r="D5501" t="s">
        <v>8400</v>
      </c>
      <c r="E5501" t="s">
        <v>1519</v>
      </c>
      <c r="F5501" t="s">
        <v>8447</v>
      </c>
      <c r="G5501" t="s">
        <v>9427</v>
      </c>
    </row>
    <row r="5502" spans="1:7">
      <c r="A5502" t="s">
        <v>7853</v>
      </c>
      <c r="B5502" t="s">
        <v>8273</v>
      </c>
      <c r="C5502" t="s">
        <v>8395</v>
      </c>
      <c r="D5502" t="s">
        <v>8427</v>
      </c>
      <c r="E5502" t="s">
        <v>8446</v>
      </c>
      <c r="F5502" t="s">
        <v>8448</v>
      </c>
      <c r="G5502" t="s">
        <v>8455</v>
      </c>
    </row>
    <row r="5503" spans="1:7">
      <c r="A5503" t="s">
        <v>7854</v>
      </c>
      <c r="B5503" t="s">
        <v>8273</v>
      </c>
      <c r="C5503" t="s">
        <v>8398</v>
      </c>
      <c r="D5503" t="s">
        <v>8419</v>
      </c>
      <c r="E5503" t="s">
        <v>8446</v>
      </c>
      <c r="F5503" t="s">
        <v>8447</v>
      </c>
      <c r="G5503" t="s">
        <v>8455</v>
      </c>
    </row>
    <row r="5504" spans="1:7">
      <c r="A5504" t="s">
        <v>7855</v>
      </c>
      <c r="B5504" t="s">
        <v>8274</v>
      </c>
      <c r="C5504" t="s">
        <v>8396</v>
      </c>
      <c r="D5504" t="s">
        <v>8406</v>
      </c>
      <c r="E5504" t="s">
        <v>8446</v>
      </c>
      <c r="F5504" t="s">
        <v>8449</v>
      </c>
      <c r="G5504" t="s">
        <v>8455</v>
      </c>
    </row>
    <row r="5505" spans="1:7">
      <c r="A5505" t="s">
        <v>7856</v>
      </c>
      <c r="C5505" t="s">
        <v>8394</v>
      </c>
      <c r="D5505" t="s">
        <v>8402</v>
      </c>
      <c r="E5505" t="s">
        <v>8445</v>
      </c>
      <c r="F5505" t="s">
        <v>8448</v>
      </c>
      <c r="G5505" t="s">
        <v>9428</v>
      </c>
    </row>
    <row r="5506" spans="1:7">
      <c r="A5506" t="s">
        <v>7857</v>
      </c>
      <c r="C5506" t="s">
        <v>8394</v>
      </c>
      <c r="D5506" t="s">
        <v>8402</v>
      </c>
      <c r="E5506" t="s">
        <v>8445</v>
      </c>
      <c r="F5506" t="s">
        <v>8448</v>
      </c>
      <c r="G5506" t="s">
        <v>9429</v>
      </c>
    </row>
    <row r="5507" spans="1:7">
      <c r="A5507" t="s">
        <v>7858</v>
      </c>
      <c r="C5507" t="s">
        <v>8394</v>
      </c>
      <c r="D5507" t="s">
        <v>8402</v>
      </c>
      <c r="E5507" t="s">
        <v>8445</v>
      </c>
      <c r="F5507" t="s">
        <v>8448</v>
      </c>
      <c r="G5507" t="s">
        <v>9430</v>
      </c>
    </row>
    <row r="5508" spans="1:7">
      <c r="A5508" t="s">
        <v>7859</v>
      </c>
      <c r="C5508" t="s">
        <v>8394</v>
      </c>
      <c r="D5508" t="s">
        <v>8402</v>
      </c>
      <c r="E5508" t="s">
        <v>8445</v>
      </c>
      <c r="F5508" t="s">
        <v>8448</v>
      </c>
      <c r="G5508" t="s">
        <v>9431</v>
      </c>
    </row>
    <row r="5509" spans="1:7">
      <c r="A5509" t="s">
        <v>7860</v>
      </c>
      <c r="B5509" t="s">
        <v>8273</v>
      </c>
      <c r="C5509" t="s">
        <v>8398</v>
      </c>
      <c r="D5509" t="s">
        <v>8419</v>
      </c>
      <c r="E5509" t="s">
        <v>1519</v>
      </c>
      <c r="F5509" t="s">
        <v>8449</v>
      </c>
      <c r="G5509" t="s">
        <v>9432</v>
      </c>
    </row>
    <row r="5510" spans="1:7">
      <c r="A5510" t="s">
        <v>7861</v>
      </c>
      <c r="B5510" t="s">
        <v>8276</v>
      </c>
      <c r="C5510" t="s">
        <v>8395</v>
      </c>
      <c r="D5510" t="s">
        <v>8419</v>
      </c>
      <c r="E5510" t="s">
        <v>8446</v>
      </c>
      <c r="F5510" t="s">
        <v>8449</v>
      </c>
      <c r="G5510" t="s">
        <v>8455</v>
      </c>
    </row>
    <row r="5511" spans="1:7">
      <c r="A5511" t="s">
        <v>7862</v>
      </c>
      <c r="B5511" t="s">
        <v>8273</v>
      </c>
      <c r="C5511" t="s">
        <v>8396</v>
      </c>
      <c r="D5511" t="s">
        <v>8411</v>
      </c>
      <c r="E5511" t="s">
        <v>8445</v>
      </c>
      <c r="F5511" t="s">
        <v>8447</v>
      </c>
      <c r="G5511" t="s">
        <v>9433</v>
      </c>
    </row>
    <row r="5512" spans="1:7">
      <c r="A5512" t="s">
        <v>7863</v>
      </c>
      <c r="B5512" t="s">
        <v>8273</v>
      </c>
      <c r="C5512" t="s">
        <v>8398</v>
      </c>
      <c r="D5512" t="s">
        <v>8419</v>
      </c>
      <c r="E5512" t="s">
        <v>8446</v>
      </c>
      <c r="F5512" t="s">
        <v>8449</v>
      </c>
      <c r="G5512" t="s">
        <v>8455</v>
      </c>
    </row>
    <row r="5513" spans="1:7">
      <c r="A5513" t="s">
        <v>7864</v>
      </c>
      <c r="B5513" t="s">
        <v>8273</v>
      </c>
      <c r="C5513" t="s">
        <v>8394</v>
      </c>
      <c r="D5513" t="s">
        <v>8436</v>
      </c>
      <c r="E5513" t="s">
        <v>8446</v>
      </c>
      <c r="F5513" t="s">
        <v>8448</v>
      </c>
      <c r="G5513" t="s">
        <v>8455</v>
      </c>
    </row>
    <row r="5514" spans="1:7">
      <c r="A5514" t="s">
        <v>7865</v>
      </c>
      <c r="C5514" t="s">
        <v>8397</v>
      </c>
      <c r="D5514" t="s">
        <v>8418</v>
      </c>
      <c r="E5514" t="s">
        <v>8445</v>
      </c>
      <c r="F5514" t="s">
        <v>8448</v>
      </c>
      <c r="G5514" t="s">
        <v>9434</v>
      </c>
    </row>
    <row r="5515" spans="1:7">
      <c r="A5515" t="s">
        <v>7866</v>
      </c>
      <c r="B5515" t="s">
        <v>8273</v>
      </c>
      <c r="C5515" t="s">
        <v>8396</v>
      </c>
      <c r="D5515" t="s">
        <v>8404</v>
      </c>
      <c r="E5515" t="s">
        <v>1587</v>
      </c>
      <c r="F5515" t="s">
        <v>8448</v>
      </c>
      <c r="G5515" t="s">
        <v>9435</v>
      </c>
    </row>
    <row r="5516" spans="1:7">
      <c r="A5516" t="s">
        <v>7867</v>
      </c>
      <c r="C5516" t="s">
        <v>8395</v>
      </c>
      <c r="D5516" t="s">
        <v>8424</v>
      </c>
      <c r="E5516" t="s">
        <v>8446</v>
      </c>
      <c r="F5516" t="s">
        <v>8448</v>
      </c>
      <c r="G5516" t="s">
        <v>9436</v>
      </c>
    </row>
    <row r="5517" spans="1:7">
      <c r="A5517" t="s">
        <v>7868</v>
      </c>
      <c r="B5517" t="s">
        <v>8295</v>
      </c>
      <c r="C5517" t="s">
        <v>8398</v>
      </c>
      <c r="D5517" t="s">
        <v>8419</v>
      </c>
      <c r="E5517" t="s">
        <v>8446</v>
      </c>
      <c r="F5517" t="s">
        <v>8449</v>
      </c>
      <c r="G5517" t="s">
        <v>8455</v>
      </c>
    </row>
    <row r="5518" spans="1:7">
      <c r="A5518" t="s">
        <v>7869</v>
      </c>
      <c r="B5518" t="s">
        <v>8273</v>
      </c>
      <c r="C5518" t="s">
        <v>8395</v>
      </c>
      <c r="D5518" t="s">
        <v>8420</v>
      </c>
      <c r="E5518" t="s">
        <v>8446</v>
      </c>
      <c r="F5518" t="s">
        <v>8448</v>
      </c>
      <c r="G5518" t="s">
        <v>9437</v>
      </c>
    </row>
    <row r="5519" spans="1:7">
      <c r="A5519" t="s">
        <v>7870</v>
      </c>
      <c r="B5519" t="s">
        <v>8273</v>
      </c>
      <c r="C5519" t="s">
        <v>8396</v>
      </c>
      <c r="D5519" t="s">
        <v>8405</v>
      </c>
      <c r="E5519" t="s">
        <v>8446</v>
      </c>
      <c r="F5519" t="s">
        <v>8449</v>
      </c>
      <c r="G5519" t="s">
        <v>8455</v>
      </c>
    </row>
    <row r="5520" spans="1:7">
      <c r="A5520" t="s">
        <v>7871</v>
      </c>
      <c r="C5520" t="s">
        <v>8393</v>
      </c>
      <c r="D5520" t="s">
        <v>8393</v>
      </c>
      <c r="E5520" t="s">
        <v>919</v>
      </c>
      <c r="F5520" t="s">
        <v>8393</v>
      </c>
    </row>
    <row r="5521" spans="1:7">
      <c r="A5521" t="s">
        <v>7872</v>
      </c>
      <c r="B5521" t="s">
        <v>8273</v>
      </c>
      <c r="C5521" t="s">
        <v>8395</v>
      </c>
      <c r="D5521" t="s">
        <v>8411</v>
      </c>
      <c r="E5521" t="s">
        <v>8446</v>
      </c>
      <c r="F5521" t="s">
        <v>8448</v>
      </c>
      <c r="G5521" t="s">
        <v>8463</v>
      </c>
    </row>
    <row r="5522" spans="1:7">
      <c r="A5522" t="s">
        <v>7873</v>
      </c>
      <c r="B5522" t="s">
        <v>8285</v>
      </c>
      <c r="C5522" t="s">
        <v>8395</v>
      </c>
      <c r="D5522" t="s">
        <v>8411</v>
      </c>
      <c r="E5522" t="s">
        <v>8446</v>
      </c>
      <c r="F5522" t="s">
        <v>8448</v>
      </c>
      <c r="G5522" t="s">
        <v>8455</v>
      </c>
    </row>
    <row r="5523" spans="1:7">
      <c r="A5523" t="s">
        <v>7874</v>
      </c>
      <c r="B5523" t="s">
        <v>8277</v>
      </c>
      <c r="C5523" t="s">
        <v>8395</v>
      </c>
      <c r="D5523" t="s">
        <v>8411</v>
      </c>
      <c r="E5523" t="s">
        <v>8446</v>
      </c>
      <c r="F5523" t="s">
        <v>8448</v>
      </c>
      <c r="G5523" t="s">
        <v>8455</v>
      </c>
    </row>
    <row r="5524" spans="1:7">
      <c r="A5524" t="s">
        <v>7875</v>
      </c>
      <c r="B5524" t="s">
        <v>8273</v>
      </c>
      <c r="C5524" t="s">
        <v>8395</v>
      </c>
      <c r="D5524" t="s">
        <v>8411</v>
      </c>
      <c r="E5524" t="s">
        <v>8446</v>
      </c>
      <c r="F5524" t="s">
        <v>8448</v>
      </c>
      <c r="G5524" t="s">
        <v>8494</v>
      </c>
    </row>
    <row r="5525" spans="1:7">
      <c r="A5525" t="s">
        <v>7876</v>
      </c>
      <c r="C5525" t="s">
        <v>8398</v>
      </c>
      <c r="D5525" t="s">
        <v>8419</v>
      </c>
      <c r="E5525" t="s">
        <v>8446</v>
      </c>
      <c r="F5525" t="s">
        <v>8448</v>
      </c>
      <c r="G5525" t="s">
        <v>8455</v>
      </c>
    </row>
    <row r="5526" spans="1:7">
      <c r="A5526" t="s">
        <v>7877</v>
      </c>
      <c r="C5526" t="s">
        <v>8396</v>
      </c>
      <c r="D5526" t="s">
        <v>8411</v>
      </c>
      <c r="E5526" t="s">
        <v>8444</v>
      </c>
      <c r="F5526" t="s">
        <v>8448</v>
      </c>
      <c r="G5526" t="s">
        <v>9438</v>
      </c>
    </row>
    <row r="5527" spans="1:7">
      <c r="A5527" t="s">
        <v>7878</v>
      </c>
      <c r="B5527" t="s">
        <v>8275</v>
      </c>
      <c r="C5527" t="s">
        <v>8395</v>
      </c>
      <c r="D5527" t="s">
        <v>8420</v>
      </c>
      <c r="E5527" t="s">
        <v>8446</v>
      </c>
      <c r="F5527" t="s">
        <v>8448</v>
      </c>
      <c r="G5527" t="s">
        <v>8463</v>
      </c>
    </row>
    <row r="5528" spans="1:7">
      <c r="A5528" t="s">
        <v>7879</v>
      </c>
      <c r="C5528" t="s">
        <v>8393</v>
      </c>
      <c r="D5528" t="s">
        <v>8393</v>
      </c>
      <c r="E5528" t="s">
        <v>919</v>
      </c>
      <c r="F5528" t="s">
        <v>8393</v>
      </c>
    </row>
    <row r="5529" spans="1:7">
      <c r="A5529" t="s">
        <v>7880</v>
      </c>
      <c r="B5529" t="s">
        <v>8323</v>
      </c>
      <c r="C5529" t="s">
        <v>8398</v>
      </c>
      <c r="D5529" t="s">
        <v>8419</v>
      </c>
      <c r="E5529" t="s">
        <v>8446</v>
      </c>
      <c r="F5529" t="s">
        <v>8449</v>
      </c>
      <c r="G5529" t="s">
        <v>8509</v>
      </c>
    </row>
    <row r="5530" spans="1:7">
      <c r="A5530" t="s">
        <v>7881</v>
      </c>
      <c r="B5530" t="s">
        <v>8323</v>
      </c>
      <c r="C5530" t="s">
        <v>8398</v>
      </c>
      <c r="D5530" t="s">
        <v>8419</v>
      </c>
      <c r="E5530" t="s">
        <v>8446</v>
      </c>
      <c r="F5530" t="s">
        <v>8449</v>
      </c>
      <c r="G5530" t="s">
        <v>8509</v>
      </c>
    </row>
    <row r="5531" spans="1:7">
      <c r="A5531" t="s">
        <v>7882</v>
      </c>
      <c r="B5531" t="s">
        <v>8387</v>
      </c>
      <c r="C5531" t="s">
        <v>8398</v>
      </c>
      <c r="D5531" t="s">
        <v>8419</v>
      </c>
      <c r="E5531" t="s">
        <v>8446</v>
      </c>
      <c r="F5531" t="s">
        <v>8449</v>
      </c>
      <c r="G5531" t="s">
        <v>8509</v>
      </c>
    </row>
    <row r="5532" spans="1:7">
      <c r="A5532" t="s">
        <v>7883</v>
      </c>
      <c r="B5532" t="s">
        <v>8388</v>
      </c>
      <c r="C5532" t="s">
        <v>8398</v>
      </c>
      <c r="D5532" t="s">
        <v>8419</v>
      </c>
      <c r="E5532" t="s">
        <v>8446</v>
      </c>
      <c r="F5532" t="s">
        <v>8449</v>
      </c>
      <c r="G5532" t="s">
        <v>8509</v>
      </c>
    </row>
    <row r="5533" spans="1:7">
      <c r="A5533" t="s">
        <v>7884</v>
      </c>
      <c r="B5533" t="s">
        <v>8277</v>
      </c>
      <c r="C5533" t="s">
        <v>8398</v>
      </c>
      <c r="D5533" t="s">
        <v>8419</v>
      </c>
      <c r="E5533" t="s">
        <v>8446</v>
      </c>
      <c r="F5533" t="s">
        <v>8449</v>
      </c>
      <c r="G5533" t="s">
        <v>8509</v>
      </c>
    </row>
    <row r="5534" spans="1:7">
      <c r="A5534" t="s">
        <v>7885</v>
      </c>
      <c r="C5534" t="s">
        <v>8393</v>
      </c>
      <c r="D5534" t="s">
        <v>8393</v>
      </c>
      <c r="E5534" t="s">
        <v>919</v>
      </c>
      <c r="F5534" t="s">
        <v>8393</v>
      </c>
    </row>
    <row r="5535" spans="1:7">
      <c r="A5535" t="s">
        <v>7886</v>
      </c>
      <c r="B5535" t="s">
        <v>8273</v>
      </c>
      <c r="C5535" t="s">
        <v>8396</v>
      </c>
      <c r="D5535" t="s">
        <v>8405</v>
      </c>
      <c r="E5535" t="s">
        <v>8445</v>
      </c>
      <c r="F5535" t="s">
        <v>8448</v>
      </c>
      <c r="G5535" t="s">
        <v>8455</v>
      </c>
    </row>
    <row r="5536" spans="1:7">
      <c r="A5536" t="s">
        <v>7887</v>
      </c>
      <c r="B5536" t="s">
        <v>8274</v>
      </c>
      <c r="C5536" t="s">
        <v>8396</v>
      </c>
      <c r="D5536" t="s">
        <v>8405</v>
      </c>
      <c r="E5536" t="s">
        <v>8444</v>
      </c>
      <c r="F5536" t="s">
        <v>8448</v>
      </c>
      <c r="G5536" t="s">
        <v>796</v>
      </c>
    </row>
    <row r="5537" spans="1:7">
      <c r="A5537" t="s">
        <v>7888</v>
      </c>
      <c r="C5537" t="s">
        <v>8397</v>
      </c>
      <c r="D5537" t="s">
        <v>8408</v>
      </c>
      <c r="E5537" t="s">
        <v>8445</v>
      </c>
      <c r="F5537" t="s">
        <v>8450</v>
      </c>
    </row>
    <row r="5538" spans="1:7">
      <c r="A5538" t="s">
        <v>7889</v>
      </c>
      <c r="C5538" t="s">
        <v>8397</v>
      </c>
      <c r="D5538" t="s">
        <v>8431</v>
      </c>
      <c r="E5538" t="s">
        <v>8444</v>
      </c>
      <c r="F5538" t="s">
        <v>8448</v>
      </c>
      <c r="G5538" t="s">
        <v>9439</v>
      </c>
    </row>
    <row r="5539" spans="1:7">
      <c r="A5539" t="s">
        <v>7890</v>
      </c>
      <c r="C5539" t="s">
        <v>8393</v>
      </c>
      <c r="D5539" t="s">
        <v>8393</v>
      </c>
      <c r="E5539" t="s">
        <v>919</v>
      </c>
      <c r="F5539" t="s">
        <v>8393</v>
      </c>
    </row>
    <row r="5540" spans="1:7">
      <c r="A5540" t="s">
        <v>7891</v>
      </c>
      <c r="B5540" t="s">
        <v>8277</v>
      </c>
      <c r="C5540" t="s">
        <v>8392</v>
      </c>
      <c r="D5540" t="s">
        <v>8415</v>
      </c>
      <c r="E5540" t="s">
        <v>8446</v>
      </c>
      <c r="F5540" t="s">
        <v>8448</v>
      </c>
      <c r="G5540" t="s">
        <v>8455</v>
      </c>
    </row>
    <row r="5541" spans="1:7">
      <c r="A5541" t="s">
        <v>7892</v>
      </c>
      <c r="B5541" t="s">
        <v>8273</v>
      </c>
      <c r="C5541" t="s">
        <v>8392</v>
      </c>
      <c r="D5541" t="s">
        <v>8415</v>
      </c>
      <c r="E5541" t="s">
        <v>8446</v>
      </c>
      <c r="F5541" t="s">
        <v>8449</v>
      </c>
      <c r="G5541" t="s">
        <v>8455</v>
      </c>
    </row>
    <row r="5542" spans="1:7">
      <c r="A5542" t="s">
        <v>7893</v>
      </c>
      <c r="B5542" t="s">
        <v>8277</v>
      </c>
      <c r="C5542" t="s">
        <v>8392</v>
      </c>
      <c r="D5542" t="s">
        <v>8415</v>
      </c>
      <c r="E5542" t="s">
        <v>8446</v>
      </c>
      <c r="F5542" t="s">
        <v>8449</v>
      </c>
      <c r="G5542" t="s">
        <v>8455</v>
      </c>
    </row>
    <row r="5543" spans="1:7">
      <c r="A5543" t="s">
        <v>7894</v>
      </c>
      <c r="C5543" t="s">
        <v>8397</v>
      </c>
      <c r="D5543" t="s">
        <v>8408</v>
      </c>
      <c r="E5543" t="s">
        <v>8445</v>
      </c>
      <c r="F5543" t="s">
        <v>8450</v>
      </c>
    </row>
    <row r="5544" spans="1:7">
      <c r="A5544" t="s">
        <v>7895</v>
      </c>
      <c r="C5544" t="s">
        <v>8393</v>
      </c>
      <c r="D5544" t="s">
        <v>8393</v>
      </c>
      <c r="E5544" t="s">
        <v>919</v>
      </c>
      <c r="F5544" t="s">
        <v>8393</v>
      </c>
    </row>
    <row r="5545" spans="1:7">
      <c r="A5545" t="s">
        <v>7896</v>
      </c>
      <c r="B5545" t="s">
        <v>8273</v>
      </c>
      <c r="C5545" t="s">
        <v>8395</v>
      </c>
      <c r="D5545" t="s">
        <v>8432</v>
      </c>
      <c r="E5545" t="s">
        <v>8446</v>
      </c>
      <c r="F5545" t="s">
        <v>8449</v>
      </c>
      <c r="G5545" t="s">
        <v>8455</v>
      </c>
    </row>
    <row r="5546" spans="1:7">
      <c r="A5546" t="s">
        <v>7897</v>
      </c>
      <c r="B5546" t="s">
        <v>8277</v>
      </c>
      <c r="C5546" t="s">
        <v>8395</v>
      </c>
      <c r="D5546" t="s">
        <v>8432</v>
      </c>
      <c r="E5546" t="s">
        <v>8446</v>
      </c>
      <c r="F5546" t="s">
        <v>8449</v>
      </c>
      <c r="G5546" t="s">
        <v>8455</v>
      </c>
    </row>
    <row r="5547" spans="1:7">
      <c r="A5547" t="s">
        <v>7898</v>
      </c>
      <c r="C5547" t="s">
        <v>8393</v>
      </c>
      <c r="D5547" t="s">
        <v>8393</v>
      </c>
      <c r="E5547" t="s">
        <v>919</v>
      </c>
      <c r="F5547" t="s">
        <v>8393</v>
      </c>
    </row>
    <row r="5548" spans="1:7">
      <c r="A5548" t="s">
        <v>7899</v>
      </c>
      <c r="B5548" t="s">
        <v>8273</v>
      </c>
      <c r="C5548" t="s">
        <v>8396</v>
      </c>
      <c r="D5548" t="s">
        <v>8405</v>
      </c>
      <c r="E5548" t="s">
        <v>8446</v>
      </c>
      <c r="F5548" t="s">
        <v>8449</v>
      </c>
      <c r="G5548" t="s">
        <v>8455</v>
      </c>
    </row>
    <row r="5549" spans="1:7">
      <c r="A5549" t="s">
        <v>7900</v>
      </c>
      <c r="B5549" t="s">
        <v>8273</v>
      </c>
      <c r="C5549" t="s">
        <v>8396</v>
      </c>
      <c r="D5549" t="s">
        <v>8425</v>
      </c>
      <c r="E5549" t="s">
        <v>8446</v>
      </c>
      <c r="F5549" t="s">
        <v>8449</v>
      </c>
      <c r="G5549" t="s">
        <v>8455</v>
      </c>
    </row>
    <row r="5550" spans="1:7">
      <c r="A5550" t="s">
        <v>7901</v>
      </c>
      <c r="B5550" t="s">
        <v>8273</v>
      </c>
      <c r="C5550" t="s">
        <v>8395</v>
      </c>
      <c r="D5550" t="s">
        <v>8404</v>
      </c>
      <c r="E5550" t="s">
        <v>8446</v>
      </c>
      <c r="F5550" t="s">
        <v>8449</v>
      </c>
      <c r="G5550" t="s">
        <v>8455</v>
      </c>
    </row>
    <row r="5551" spans="1:7">
      <c r="A5551" t="s">
        <v>7902</v>
      </c>
      <c r="C5551" t="s">
        <v>8397</v>
      </c>
      <c r="D5551" t="s">
        <v>8408</v>
      </c>
      <c r="E5551" t="s">
        <v>8445</v>
      </c>
      <c r="F5551" t="s">
        <v>8450</v>
      </c>
    </row>
    <row r="5552" spans="1:7">
      <c r="A5552" t="s">
        <v>7903</v>
      </c>
      <c r="B5552" t="s">
        <v>8273</v>
      </c>
      <c r="C5552" t="s">
        <v>8394</v>
      </c>
      <c r="D5552" t="s">
        <v>8402</v>
      </c>
      <c r="E5552" t="s">
        <v>8444</v>
      </c>
      <c r="F5552" t="s">
        <v>8448</v>
      </c>
      <c r="G5552" t="s">
        <v>9440</v>
      </c>
    </row>
    <row r="5553" spans="1:7">
      <c r="A5553" t="s">
        <v>7904</v>
      </c>
      <c r="B5553" t="s">
        <v>8273</v>
      </c>
      <c r="C5553" t="s">
        <v>8397</v>
      </c>
      <c r="D5553" t="s">
        <v>8421</v>
      </c>
      <c r="E5553" t="s">
        <v>8445</v>
      </c>
      <c r="F5553" t="s">
        <v>8450</v>
      </c>
      <c r="G5553" t="s">
        <v>9441</v>
      </c>
    </row>
    <row r="5554" spans="1:7">
      <c r="A5554" t="s">
        <v>7905</v>
      </c>
      <c r="B5554" t="s">
        <v>8273</v>
      </c>
      <c r="C5554" t="s">
        <v>8394</v>
      </c>
      <c r="D5554" t="s">
        <v>8402</v>
      </c>
      <c r="E5554" t="s">
        <v>8445</v>
      </c>
      <c r="F5554" t="s">
        <v>8448</v>
      </c>
      <c r="G5554" t="s">
        <v>9442</v>
      </c>
    </row>
    <row r="5555" spans="1:7">
      <c r="A5555" t="s">
        <v>7906</v>
      </c>
      <c r="B5555" t="s">
        <v>8273</v>
      </c>
      <c r="C5555" t="s">
        <v>8394</v>
      </c>
      <c r="D5555" t="s">
        <v>8407</v>
      </c>
      <c r="E5555" t="s">
        <v>8446</v>
      </c>
      <c r="F5555" t="s">
        <v>8448</v>
      </c>
      <c r="G5555" t="s">
        <v>9443</v>
      </c>
    </row>
    <row r="5556" spans="1:7">
      <c r="A5556" t="s">
        <v>7907</v>
      </c>
      <c r="B5556" t="s">
        <v>8273</v>
      </c>
      <c r="C5556" t="s">
        <v>8397</v>
      </c>
      <c r="D5556" t="s">
        <v>8421</v>
      </c>
      <c r="E5556" t="s">
        <v>8444</v>
      </c>
      <c r="F5556" t="s">
        <v>8448</v>
      </c>
      <c r="G5556" t="s">
        <v>9444</v>
      </c>
    </row>
    <row r="5557" spans="1:7">
      <c r="A5557" t="s">
        <v>7908</v>
      </c>
      <c r="C5557" t="s">
        <v>8397</v>
      </c>
      <c r="D5557" t="s">
        <v>8418</v>
      </c>
      <c r="E5557" t="s">
        <v>8445</v>
      </c>
      <c r="F5557" t="s">
        <v>8448</v>
      </c>
      <c r="G5557" t="s">
        <v>8867</v>
      </c>
    </row>
    <row r="5558" spans="1:7">
      <c r="A5558" t="s">
        <v>7909</v>
      </c>
      <c r="B5558" t="s">
        <v>8273</v>
      </c>
      <c r="C5558" t="s">
        <v>8394</v>
      </c>
      <c r="D5558" t="s">
        <v>8402</v>
      </c>
      <c r="E5558" t="s">
        <v>8445</v>
      </c>
      <c r="F5558" t="s">
        <v>8449</v>
      </c>
      <c r="G5558" t="s">
        <v>9445</v>
      </c>
    </row>
    <row r="5559" spans="1:7">
      <c r="A5559" t="s">
        <v>780</v>
      </c>
      <c r="C5559" t="s">
        <v>8393</v>
      </c>
      <c r="D5559" t="s">
        <v>8393</v>
      </c>
      <c r="E5559" t="s">
        <v>919</v>
      </c>
      <c r="F5559" t="s">
        <v>8393</v>
      </c>
    </row>
    <row r="5560" spans="1:7">
      <c r="A5560" t="s">
        <v>7910</v>
      </c>
      <c r="B5560" t="s">
        <v>8273</v>
      </c>
      <c r="C5560" t="s">
        <v>8397</v>
      </c>
      <c r="D5560" t="s">
        <v>8421</v>
      </c>
      <c r="E5560" t="s">
        <v>1587</v>
      </c>
      <c r="F5560" t="s">
        <v>8448</v>
      </c>
      <c r="G5560" t="s">
        <v>9446</v>
      </c>
    </row>
    <row r="5561" spans="1:7">
      <c r="A5561" t="s">
        <v>7911</v>
      </c>
      <c r="B5561" t="s">
        <v>8273</v>
      </c>
      <c r="C5561" t="s">
        <v>8396</v>
      </c>
      <c r="D5561" t="s">
        <v>8425</v>
      </c>
      <c r="E5561" t="s">
        <v>8445</v>
      </c>
      <c r="F5561" t="s">
        <v>8448</v>
      </c>
      <c r="G5561" t="s">
        <v>9447</v>
      </c>
    </row>
    <row r="5562" spans="1:7">
      <c r="A5562" t="s">
        <v>7912</v>
      </c>
      <c r="C5562" t="s">
        <v>8397</v>
      </c>
      <c r="D5562" t="s">
        <v>8421</v>
      </c>
      <c r="E5562" t="s">
        <v>8444</v>
      </c>
      <c r="F5562" t="s">
        <v>8448</v>
      </c>
      <c r="G5562" t="s">
        <v>9448</v>
      </c>
    </row>
    <row r="5563" spans="1:7">
      <c r="A5563" t="s">
        <v>7913</v>
      </c>
      <c r="C5563" t="s">
        <v>8397</v>
      </c>
      <c r="D5563" t="s">
        <v>8421</v>
      </c>
      <c r="E5563" t="s">
        <v>8444</v>
      </c>
      <c r="F5563" t="s">
        <v>8448</v>
      </c>
      <c r="G5563" t="s">
        <v>9448</v>
      </c>
    </row>
    <row r="5564" spans="1:7">
      <c r="A5564" t="s">
        <v>7914</v>
      </c>
      <c r="C5564" t="s">
        <v>8397</v>
      </c>
      <c r="D5564" t="s">
        <v>8421</v>
      </c>
      <c r="E5564" t="s">
        <v>8446</v>
      </c>
      <c r="F5564" t="s">
        <v>8448</v>
      </c>
      <c r="G5564" t="s">
        <v>9448</v>
      </c>
    </row>
    <row r="5565" spans="1:7">
      <c r="A5565" t="s">
        <v>7915</v>
      </c>
      <c r="C5565" t="s">
        <v>8397</v>
      </c>
      <c r="D5565" t="s">
        <v>8421</v>
      </c>
      <c r="E5565" t="s">
        <v>8444</v>
      </c>
      <c r="F5565" t="s">
        <v>8448</v>
      </c>
      <c r="G5565" t="s">
        <v>9448</v>
      </c>
    </row>
    <row r="5566" spans="1:7">
      <c r="A5566" t="s">
        <v>7916</v>
      </c>
      <c r="B5566" t="s">
        <v>8273</v>
      </c>
      <c r="C5566" t="s">
        <v>8397</v>
      </c>
      <c r="D5566" t="s">
        <v>8421</v>
      </c>
      <c r="E5566" t="s">
        <v>1587</v>
      </c>
      <c r="F5566" t="s">
        <v>8449</v>
      </c>
      <c r="G5566" t="s">
        <v>9194</v>
      </c>
    </row>
    <row r="5567" spans="1:7">
      <c r="A5567" t="s">
        <v>7917</v>
      </c>
      <c r="B5567" t="s">
        <v>8299</v>
      </c>
      <c r="C5567" t="s">
        <v>8397</v>
      </c>
      <c r="D5567" t="s">
        <v>8431</v>
      </c>
      <c r="E5567" t="s">
        <v>1519</v>
      </c>
      <c r="F5567" t="s">
        <v>8447</v>
      </c>
      <c r="G5567" t="s">
        <v>8463</v>
      </c>
    </row>
    <row r="5568" spans="1:7">
      <c r="A5568" t="s">
        <v>7918</v>
      </c>
      <c r="C5568" t="s">
        <v>8394</v>
      </c>
      <c r="D5568" t="s">
        <v>8413</v>
      </c>
      <c r="E5568" t="s">
        <v>8445</v>
      </c>
      <c r="F5568" t="s">
        <v>8448</v>
      </c>
      <c r="G5568" t="s">
        <v>9449</v>
      </c>
    </row>
    <row r="5569" spans="1:7">
      <c r="A5569" t="s">
        <v>7919</v>
      </c>
      <c r="B5569" t="s">
        <v>8273</v>
      </c>
      <c r="C5569" t="s">
        <v>8398</v>
      </c>
      <c r="D5569" t="s">
        <v>8419</v>
      </c>
      <c r="E5569" t="s">
        <v>8446</v>
      </c>
      <c r="F5569" t="s">
        <v>8447</v>
      </c>
      <c r="G5569" t="s">
        <v>8453</v>
      </c>
    </row>
    <row r="5570" spans="1:7">
      <c r="A5570" t="s">
        <v>7920</v>
      </c>
      <c r="C5570" t="s">
        <v>8393</v>
      </c>
      <c r="D5570" t="s">
        <v>8393</v>
      </c>
      <c r="E5570" t="s">
        <v>919</v>
      </c>
      <c r="F5570" t="s">
        <v>8393</v>
      </c>
    </row>
    <row r="5571" spans="1:7">
      <c r="A5571" t="s">
        <v>7921</v>
      </c>
      <c r="B5571" t="s">
        <v>8278</v>
      </c>
      <c r="C5571" t="s">
        <v>8394</v>
      </c>
      <c r="D5571" t="s">
        <v>8423</v>
      </c>
      <c r="E5571" t="s">
        <v>8446</v>
      </c>
      <c r="F5571" t="s">
        <v>8449</v>
      </c>
      <c r="G5571" t="s">
        <v>8455</v>
      </c>
    </row>
    <row r="5572" spans="1:7">
      <c r="A5572" t="s">
        <v>7922</v>
      </c>
      <c r="B5572" t="s">
        <v>8279</v>
      </c>
      <c r="C5572" t="s">
        <v>8394</v>
      </c>
      <c r="D5572" t="s">
        <v>8423</v>
      </c>
      <c r="E5572" t="s">
        <v>8446</v>
      </c>
      <c r="F5572" t="s">
        <v>8449</v>
      </c>
      <c r="G5572" t="s">
        <v>8455</v>
      </c>
    </row>
    <row r="5573" spans="1:7">
      <c r="A5573" t="s">
        <v>7923</v>
      </c>
      <c r="B5573" t="s">
        <v>8281</v>
      </c>
      <c r="C5573" t="s">
        <v>8394</v>
      </c>
      <c r="D5573" t="s">
        <v>8423</v>
      </c>
      <c r="E5573" t="s">
        <v>8446</v>
      </c>
      <c r="F5573" t="s">
        <v>8449</v>
      </c>
      <c r="G5573" t="s">
        <v>8455</v>
      </c>
    </row>
    <row r="5574" spans="1:7">
      <c r="A5574" t="s">
        <v>7924</v>
      </c>
      <c r="B5574" t="s">
        <v>8299</v>
      </c>
      <c r="C5574" t="s">
        <v>8397</v>
      </c>
      <c r="D5574" t="s">
        <v>8431</v>
      </c>
      <c r="E5574" t="s">
        <v>8445</v>
      </c>
      <c r="F5574" t="s">
        <v>8448</v>
      </c>
      <c r="G5574" t="s">
        <v>9450</v>
      </c>
    </row>
    <row r="5575" spans="1:7">
      <c r="A5575" t="s">
        <v>7925</v>
      </c>
      <c r="C5575" t="s">
        <v>8397</v>
      </c>
      <c r="D5575" t="s">
        <v>8408</v>
      </c>
      <c r="E5575" t="s">
        <v>8445</v>
      </c>
      <c r="F5575" t="s">
        <v>8448</v>
      </c>
      <c r="G5575" t="s">
        <v>9451</v>
      </c>
    </row>
    <row r="5576" spans="1:7">
      <c r="A5576" t="s">
        <v>7926</v>
      </c>
      <c r="C5576" t="s">
        <v>8397</v>
      </c>
      <c r="D5576" t="s">
        <v>8408</v>
      </c>
      <c r="E5576" t="s">
        <v>8445</v>
      </c>
      <c r="F5576" t="s">
        <v>8450</v>
      </c>
    </row>
    <row r="5577" spans="1:7">
      <c r="A5577" t="s">
        <v>7927</v>
      </c>
      <c r="B5577" t="s">
        <v>8273</v>
      </c>
      <c r="C5577" t="s">
        <v>8395</v>
      </c>
      <c r="D5577" t="s">
        <v>8414</v>
      </c>
      <c r="E5577" t="s">
        <v>8446</v>
      </c>
      <c r="F5577" t="s">
        <v>8449</v>
      </c>
      <c r="G5577" t="s">
        <v>8455</v>
      </c>
    </row>
    <row r="5578" spans="1:7">
      <c r="A5578" t="s">
        <v>7928</v>
      </c>
      <c r="B5578" t="s">
        <v>8273</v>
      </c>
      <c r="C5578" t="s">
        <v>8396</v>
      </c>
      <c r="D5578" t="s">
        <v>8411</v>
      </c>
      <c r="E5578" t="s">
        <v>8446</v>
      </c>
      <c r="F5578" t="s">
        <v>8450</v>
      </c>
      <c r="G5578" t="s">
        <v>8519</v>
      </c>
    </row>
    <row r="5579" spans="1:7">
      <c r="A5579" t="s">
        <v>7929</v>
      </c>
      <c r="B5579" t="s">
        <v>8299</v>
      </c>
      <c r="C5579" t="s">
        <v>8397</v>
      </c>
      <c r="D5579" t="s">
        <v>8431</v>
      </c>
      <c r="E5579" t="s">
        <v>1519</v>
      </c>
      <c r="F5579" t="s">
        <v>8448</v>
      </c>
      <c r="G5579" t="s">
        <v>9452</v>
      </c>
    </row>
    <row r="5580" spans="1:7">
      <c r="A5580" t="s">
        <v>7930</v>
      </c>
      <c r="B5580" t="s">
        <v>8299</v>
      </c>
      <c r="C5580" t="s">
        <v>8397</v>
      </c>
      <c r="D5580" t="s">
        <v>8430</v>
      </c>
      <c r="E5580" t="s">
        <v>1519</v>
      </c>
      <c r="F5580" t="s">
        <v>8449</v>
      </c>
      <c r="G5580" t="s">
        <v>8455</v>
      </c>
    </row>
    <row r="5581" spans="1:7">
      <c r="A5581" t="s">
        <v>7931</v>
      </c>
      <c r="B5581" t="s">
        <v>8295</v>
      </c>
      <c r="C5581" t="s">
        <v>8398</v>
      </c>
      <c r="D5581" t="s">
        <v>8419</v>
      </c>
      <c r="E5581" t="s">
        <v>8446</v>
      </c>
      <c r="F5581" t="s">
        <v>8448</v>
      </c>
      <c r="G5581" t="s">
        <v>9453</v>
      </c>
    </row>
    <row r="5582" spans="1:7">
      <c r="A5582" t="s">
        <v>7932</v>
      </c>
      <c r="C5582" t="s">
        <v>8397</v>
      </c>
      <c r="D5582" t="s">
        <v>8418</v>
      </c>
      <c r="E5582" t="s">
        <v>8445</v>
      </c>
      <c r="F5582" t="s">
        <v>8450</v>
      </c>
      <c r="G5582" t="s">
        <v>9454</v>
      </c>
    </row>
    <row r="5583" spans="1:7">
      <c r="A5583" t="s">
        <v>7933</v>
      </c>
      <c r="B5583" t="s">
        <v>8273</v>
      </c>
      <c r="C5583" t="s">
        <v>8395</v>
      </c>
      <c r="D5583" t="s">
        <v>8420</v>
      </c>
      <c r="E5583" t="s">
        <v>1587</v>
      </c>
      <c r="F5583" t="s">
        <v>8449</v>
      </c>
      <c r="G5583" t="s">
        <v>8455</v>
      </c>
    </row>
    <row r="5584" spans="1:7">
      <c r="A5584" t="s">
        <v>7934</v>
      </c>
      <c r="B5584" t="s">
        <v>8299</v>
      </c>
      <c r="C5584" t="s">
        <v>8397</v>
      </c>
      <c r="D5584" t="s">
        <v>8431</v>
      </c>
      <c r="E5584" t="s">
        <v>8446</v>
      </c>
      <c r="F5584" t="s">
        <v>8448</v>
      </c>
      <c r="G5584" t="s">
        <v>9455</v>
      </c>
    </row>
    <row r="5585" spans="1:7">
      <c r="A5585" t="s">
        <v>7935</v>
      </c>
      <c r="B5585" t="s">
        <v>8273</v>
      </c>
      <c r="C5585" t="s">
        <v>8396</v>
      </c>
      <c r="D5585" t="s">
        <v>8420</v>
      </c>
      <c r="E5585" t="s">
        <v>8445</v>
      </c>
      <c r="F5585" t="s">
        <v>8448</v>
      </c>
      <c r="G5585" t="s">
        <v>8463</v>
      </c>
    </row>
    <row r="5586" spans="1:7">
      <c r="A5586" t="s">
        <v>7936</v>
      </c>
      <c r="B5586" t="s">
        <v>8299</v>
      </c>
      <c r="C5586" t="s">
        <v>8397</v>
      </c>
      <c r="D5586" t="s">
        <v>8431</v>
      </c>
      <c r="E5586" t="s">
        <v>8446</v>
      </c>
      <c r="F5586" t="s">
        <v>8448</v>
      </c>
      <c r="G5586" t="s">
        <v>796</v>
      </c>
    </row>
    <row r="5587" spans="1:7">
      <c r="A5587" t="s">
        <v>7937</v>
      </c>
      <c r="C5587" t="s">
        <v>8398</v>
      </c>
      <c r="D5587" t="s">
        <v>8409</v>
      </c>
      <c r="E5587" t="s">
        <v>8446</v>
      </c>
      <c r="F5587" t="s">
        <v>8448</v>
      </c>
      <c r="G5587" t="s">
        <v>9456</v>
      </c>
    </row>
    <row r="5588" spans="1:7">
      <c r="A5588" t="s">
        <v>7938</v>
      </c>
      <c r="B5588" t="s">
        <v>8273</v>
      </c>
      <c r="C5588" t="s">
        <v>8398</v>
      </c>
      <c r="D5588" t="s">
        <v>8409</v>
      </c>
      <c r="E5588" t="s">
        <v>8445</v>
      </c>
      <c r="F5588" t="s">
        <v>8449</v>
      </c>
      <c r="G5588" t="s">
        <v>9457</v>
      </c>
    </row>
    <row r="5589" spans="1:7">
      <c r="A5589" t="s">
        <v>7939</v>
      </c>
      <c r="C5589" t="s">
        <v>8398</v>
      </c>
      <c r="D5589" t="s">
        <v>8409</v>
      </c>
      <c r="E5589" t="s">
        <v>8444</v>
      </c>
      <c r="F5589" t="s">
        <v>8448</v>
      </c>
      <c r="G5589" t="s">
        <v>8453</v>
      </c>
    </row>
    <row r="5590" spans="1:7">
      <c r="A5590" t="s">
        <v>7940</v>
      </c>
      <c r="B5590" t="s">
        <v>8273</v>
      </c>
      <c r="C5590" t="s">
        <v>8392</v>
      </c>
      <c r="D5590" t="s">
        <v>8400</v>
      </c>
      <c r="E5590" t="s">
        <v>1587</v>
      </c>
      <c r="F5590" t="s">
        <v>8447</v>
      </c>
      <c r="G5590" t="s">
        <v>9458</v>
      </c>
    </row>
    <row r="5591" spans="1:7">
      <c r="A5591" t="s">
        <v>7941</v>
      </c>
      <c r="B5591" t="s">
        <v>8273</v>
      </c>
      <c r="C5591" t="s">
        <v>8398</v>
      </c>
      <c r="D5591" t="s">
        <v>8409</v>
      </c>
      <c r="E5591" t="s">
        <v>8445</v>
      </c>
      <c r="F5591" t="s">
        <v>8448</v>
      </c>
      <c r="G5591" t="s">
        <v>9459</v>
      </c>
    </row>
    <row r="5592" spans="1:7">
      <c r="A5592" t="s">
        <v>7942</v>
      </c>
      <c r="B5592" t="s">
        <v>8273</v>
      </c>
      <c r="C5592" t="s">
        <v>8395</v>
      </c>
      <c r="D5592" t="s">
        <v>8400</v>
      </c>
      <c r="E5592" t="s">
        <v>8444</v>
      </c>
      <c r="F5592" t="s">
        <v>8449</v>
      </c>
      <c r="G5592" t="s">
        <v>8455</v>
      </c>
    </row>
    <row r="5593" spans="1:7">
      <c r="A5593" t="s">
        <v>7943</v>
      </c>
      <c r="B5593" t="s">
        <v>8273</v>
      </c>
      <c r="C5593" t="s">
        <v>8398</v>
      </c>
      <c r="D5593" t="s">
        <v>8419</v>
      </c>
      <c r="E5593" t="s">
        <v>8446</v>
      </c>
      <c r="F5593" t="s">
        <v>8449</v>
      </c>
      <c r="G5593" t="s">
        <v>8455</v>
      </c>
    </row>
    <row r="5594" spans="1:7">
      <c r="A5594" t="s">
        <v>7944</v>
      </c>
      <c r="C5594" t="s">
        <v>8393</v>
      </c>
      <c r="D5594" t="s">
        <v>8393</v>
      </c>
      <c r="E5594" t="s">
        <v>919</v>
      </c>
      <c r="F5594" t="s">
        <v>8393</v>
      </c>
    </row>
    <row r="5595" spans="1:7">
      <c r="A5595" t="s">
        <v>7945</v>
      </c>
      <c r="B5595" t="s">
        <v>8273</v>
      </c>
      <c r="C5595" t="s">
        <v>8395</v>
      </c>
      <c r="D5595" t="s">
        <v>8400</v>
      </c>
      <c r="E5595" t="s">
        <v>8446</v>
      </c>
      <c r="F5595" t="s">
        <v>8449</v>
      </c>
      <c r="G5595" t="s">
        <v>8455</v>
      </c>
    </row>
    <row r="5596" spans="1:7">
      <c r="A5596" t="s">
        <v>7946</v>
      </c>
      <c r="B5596" t="s">
        <v>8285</v>
      </c>
      <c r="C5596" t="s">
        <v>8395</v>
      </c>
      <c r="D5596" t="s">
        <v>8400</v>
      </c>
      <c r="E5596" t="s">
        <v>8446</v>
      </c>
      <c r="F5596" t="s">
        <v>8449</v>
      </c>
      <c r="G5596" t="s">
        <v>8455</v>
      </c>
    </row>
    <row r="5597" spans="1:7">
      <c r="A5597" t="s">
        <v>7947</v>
      </c>
      <c r="B5597" t="s">
        <v>8286</v>
      </c>
      <c r="C5597" t="s">
        <v>8395</v>
      </c>
      <c r="D5597" t="s">
        <v>8400</v>
      </c>
      <c r="E5597" t="s">
        <v>8446</v>
      </c>
      <c r="F5597" t="s">
        <v>8449</v>
      </c>
      <c r="G5597" t="s">
        <v>8455</v>
      </c>
    </row>
    <row r="5598" spans="1:7">
      <c r="A5598" t="s">
        <v>7948</v>
      </c>
      <c r="B5598" t="s">
        <v>8287</v>
      </c>
      <c r="C5598" t="s">
        <v>8395</v>
      </c>
      <c r="D5598" t="s">
        <v>8400</v>
      </c>
      <c r="E5598" t="s">
        <v>8446</v>
      </c>
      <c r="F5598" t="s">
        <v>8449</v>
      </c>
      <c r="G5598" t="s">
        <v>8455</v>
      </c>
    </row>
    <row r="5599" spans="1:7">
      <c r="A5599" t="s">
        <v>7949</v>
      </c>
      <c r="B5599" t="s">
        <v>8277</v>
      </c>
      <c r="C5599" t="s">
        <v>8395</v>
      </c>
      <c r="D5599" t="s">
        <v>8400</v>
      </c>
      <c r="E5599" t="s">
        <v>8446</v>
      </c>
      <c r="F5599" t="s">
        <v>8449</v>
      </c>
      <c r="G5599" t="s">
        <v>8455</v>
      </c>
    </row>
    <row r="5600" spans="1:7">
      <c r="A5600" t="s">
        <v>7950</v>
      </c>
      <c r="B5600" t="s">
        <v>8273</v>
      </c>
      <c r="C5600" t="s">
        <v>8392</v>
      </c>
      <c r="D5600" t="s">
        <v>8415</v>
      </c>
      <c r="E5600" t="s">
        <v>8444</v>
      </c>
      <c r="F5600" t="s">
        <v>8448</v>
      </c>
      <c r="G5600" t="s">
        <v>8455</v>
      </c>
    </row>
    <row r="5601" spans="1:7">
      <c r="A5601" t="s">
        <v>7951</v>
      </c>
      <c r="C5601" t="s">
        <v>8394</v>
      </c>
      <c r="D5601" t="s">
        <v>8414</v>
      </c>
      <c r="E5601" t="s">
        <v>8445</v>
      </c>
      <c r="F5601" t="s">
        <v>8448</v>
      </c>
      <c r="G5601" t="s">
        <v>9460</v>
      </c>
    </row>
    <row r="5602" spans="1:7">
      <c r="A5602" t="s">
        <v>7952</v>
      </c>
      <c r="C5602" t="s">
        <v>8397</v>
      </c>
      <c r="D5602" t="s">
        <v>8408</v>
      </c>
      <c r="E5602" t="s">
        <v>8445</v>
      </c>
      <c r="F5602" t="s">
        <v>8450</v>
      </c>
    </row>
    <row r="5603" spans="1:7">
      <c r="A5603" t="s">
        <v>7953</v>
      </c>
      <c r="C5603" t="s">
        <v>8397</v>
      </c>
      <c r="D5603" t="s">
        <v>8408</v>
      </c>
      <c r="E5603" t="s">
        <v>8445</v>
      </c>
      <c r="F5603" t="s">
        <v>8450</v>
      </c>
    </row>
    <row r="5604" spans="1:7">
      <c r="A5604" t="s">
        <v>7954</v>
      </c>
      <c r="C5604" t="s">
        <v>8397</v>
      </c>
      <c r="D5604" t="s">
        <v>8408</v>
      </c>
      <c r="E5604" t="s">
        <v>8446</v>
      </c>
      <c r="F5604" t="s">
        <v>8450</v>
      </c>
      <c r="G5604" t="s">
        <v>9461</v>
      </c>
    </row>
    <row r="5605" spans="1:7">
      <c r="A5605" t="s">
        <v>7955</v>
      </c>
      <c r="C5605" t="s">
        <v>8398</v>
      </c>
      <c r="D5605" t="s">
        <v>8409</v>
      </c>
      <c r="E5605" t="s">
        <v>8445</v>
      </c>
      <c r="F5605" t="s">
        <v>8448</v>
      </c>
      <c r="G5605" t="s">
        <v>9462</v>
      </c>
    </row>
    <row r="5606" spans="1:7">
      <c r="A5606" t="s">
        <v>7956</v>
      </c>
      <c r="B5606" t="s">
        <v>8273</v>
      </c>
      <c r="C5606" t="s">
        <v>8392</v>
      </c>
      <c r="D5606" t="s">
        <v>8415</v>
      </c>
      <c r="E5606" t="s">
        <v>8444</v>
      </c>
      <c r="F5606" t="s">
        <v>8449</v>
      </c>
      <c r="G5606" t="s">
        <v>8455</v>
      </c>
    </row>
    <row r="5607" spans="1:7">
      <c r="A5607" t="s">
        <v>774</v>
      </c>
      <c r="B5607" t="s">
        <v>8273</v>
      </c>
      <c r="C5607" t="s">
        <v>8392</v>
      </c>
      <c r="D5607" t="s">
        <v>8415</v>
      </c>
      <c r="E5607" t="s">
        <v>1519</v>
      </c>
      <c r="F5607" t="s">
        <v>8449</v>
      </c>
      <c r="G5607" t="s">
        <v>795</v>
      </c>
    </row>
    <row r="5608" spans="1:7">
      <c r="A5608" t="s">
        <v>7957</v>
      </c>
      <c r="B5608" t="s">
        <v>8273</v>
      </c>
      <c r="C5608" t="s">
        <v>8392</v>
      </c>
      <c r="D5608" t="s">
        <v>8415</v>
      </c>
      <c r="E5608" t="s">
        <v>1519</v>
      </c>
      <c r="F5608" t="s">
        <v>8449</v>
      </c>
      <c r="G5608" t="s">
        <v>8509</v>
      </c>
    </row>
    <row r="5609" spans="1:7">
      <c r="A5609" t="s">
        <v>7958</v>
      </c>
      <c r="B5609" t="s">
        <v>8273</v>
      </c>
      <c r="C5609" t="s">
        <v>8395</v>
      </c>
      <c r="D5609" t="s">
        <v>8404</v>
      </c>
      <c r="E5609" t="s">
        <v>8446</v>
      </c>
      <c r="F5609" t="s">
        <v>8449</v>
      </c>
      <c r="G5609" t="s">
        <v>8455</v>
      </c>
    </row>
    <row r="5610" spans="1:7">
      <c r="A5610" t="s">
        <v>7959</v>
      </c>
      <c r="C5610" t="s">
        <v>8396</v>
      </c>
      <c r="D5610" t="s">
        <v>8425</v>
      </c>
      <c r="E5610" t="s">
        <v>1519</v>
      </c>
      <c r="F5610" t="s">
        <v>8449</v>
      </c>
      <c r="G5610" t="s">
        <v>795</v>
      </c>
    </row>
    <row r="5611" spans="1:7">
      <c r="A5611" t="s">
        <v>7960</v>
      </c>
      <c r="B5611" t="s">
        <v>8273</v>
      </c>
      <c r="C5611" t="s">
        <v>8395</v>
      </c>
      <c r="D5611" t="s">
        <v>8427</v>
      </c>
      <c r="E5611" t="s">
        <v>8446</v>
      </c>
      <c r="F5611" t="s">
        <v>8449</v>
      </c>
      <c r="G5611" t="s">
        <v>9463</v>
      </c>
    </row>
    <row r="5612" spans="1:7">
      <c r="A5612" t="s">
        <v>7961</v>
      </c>
      <c r="B5612" t="s">
        <v>8273</v>
      </c>
      <c r="C5612" t="s">
        <v>8394</v>
      </c>
      <c r="D5612" t="s">
        <v>8414</v>
      </c>
      <c r="E5612" t="s">
        <v>8445</v>
      </c>
      <c r="F5612" t="s">
        <v>8448</v>
      </c>
      <c r="G5612" t="s">
        <v>8455</v>
      </c>
    </row>
    <row r="5613" spans="1:7">
      <c r="A5613" t="s">
        <v>7962</v>
      </c>
      <c r="B5613" t="s">
        <v>8273</v>
      </c>
      <c r="C5613" t="s">
        <v>8394</v>
      </c>
      <c r="D5613" t="s">
        <v>8414</v>
      </c>
      <c r="E5613" t="s">
        <v>8446</v>
      </c>
      <c r="F5613" t="s">
        <v>8448</v>
      </c>
      <c r="G5613" t="s">
        <v>8455</v>
      </c>
    </row>
    <row r="5614" spans="1:7">
      <c r="A5614" t="s">
        <v>7963</v>
      </c>
      <c r="B5614" t="s">
        <v>8273</v>
      </c>
      <c r="C5614" t="s">
        <v>8392</v>
      </c>
      <c r="D5614" t="s">
        <v>8400</v>
      </c>
      <c r="E5614" t="s">
        <v>1587</v>
      </c>
      <c r="F5614" t="s">
        <v>8449</v>
      </c>
      <c r="G5614" t="s">
        <v>8455</v>
      </c>
    </row>
    <row r="5615" spans="1:7">
      <c r="A5615" t="s">
        <v>7964</v>
      </c>
      <c r="C5615" t="s">
        <v>8393</v>
      </c>
      <c r="D5615" t="s">
        <v>8393</v>
      </c>
      <c r="E5615" t="s">
        <v>919</v>
      </c>
      <c r="F5615" t="s">
        <v>8393</v>
      </c>
    </row>
    <row r="5616" spans="1:7">
      <c r="A5616" t="s">
        <v>7965</v>
      </c>
      <c r="B5616" t="s">
        <v>8275</v>
      </c>
      <c r="C5616" t="s">
        <v>8396</v>
      </c>
      <c r="D5616" t="s">
        <v>8420</v>
      </c>
      <c r="E5616" t="s">
        <v>8446</v>
      </c>
      <c r="F5616" t="s">
        <v>8448</v>
      </c>
      <c r="G5616" t="s">
        <v>9464</v>
      </c>
    </row>
    <row r="5617" spans="1:7">
      <c r="A5617" t="s">
        <v>7966</v>
      </c>
      <c r="B5617" t="s">
        <v>8275</v>
      </c>
      <c r="C5617" t="s">
        <v>8396</v>
      </c>
      <c r="D5617" t="s">
        <v>8425</v>
      </c>
      <c r="E5617" t="s">
        <v>8446</v>
      </c>
      <c r="F5617" t="s">
        <v>8448</v>
      </c>
      <c r="G5617" t="s">
        <v>796</v>
      </c>
    </row>
    <row r="5618" spans="1:7">
      <c r="A5618" t="s">
        <v>7967</v>
      </c>
      <c r="B5618" t="s">
        <v>8282</v>
      </c>
      <c r="C5618" t="s">
        <v>8395</v>
      </c>
      <c r="D5618" t="s">
        <v>8420</v>
      </c>
      <c r="E5618" t="s">
        <v>8446</v>
      </c>
      <c r="F5618" t="s">
        <v>8448</v>
      </c>
      <c r="G5618" t="s">
        <v>796</v>
      </c>
    </row>
    <row r="5619" spans="1:7">
      <c r="A5619" t="s">
        <v>7968</v>
      </c>
      <c r="B5619" t="s">
        <v>8310</v>
      </c>
      <c r="C5619" t="s">
        <v>8395</v>
      </c>
      <c r="D5619" t="s">
        <v>8400</v>
      </c>
      <c r="E5619" t="s">
        <v>8446</v>
      </c>
      <c r="F5619" t="s">
        <v>8449</v>
      </c>
      <c r="G5619" t="s">
        <v>796</v>
      </c>
    </row>
    <row r="5620" spans="1:7">
      <c r="A5620" t="s">
        <v>7969</v>
      </c>
      <c r="B5620" t="s">
        <v>8282</v>
      </c>
      <c r="C5620" t="s">
        <v>8395</v>
      </c>
      <c r="D5620" t="s">
        <v>8400</v>
      </c>
      <c r="E5620" t="s">
        <v>8446</v>
      </c>
      <c r="F5620" t="s">
        <v>8448</v>
      </c>
      <c r="G5620" t="s">
        <v>796</v>
      </c>
    </row>
    <row r="5621" spans="1:7">
      <c r="A5621" t="s">
        <v>7970</v>
      </c>
      <c r="B5621" t="s">
        <v>8275</v>
      </c>
      <c r="C5621" t="s">
        <v>8396</v>
      </c>
      <c r="D5621" t="s">
        <v>8420</v>
      </c>
      <c r="E5621" t="s">
        <v>8446</v>
      </c>
      <c r="F5621" t="s">
        <v>8448</v>
      </c>
      <c r="G5621" t="s">
        <v>8455</v>
      </c>
    </row>
    <row r="5622" spans="1:7">
      <c r="A5622" t="s">
        <v>7971</v>
      </c>
      <c r="B5622" t="s">
        <v>8283</v>
      </c>
      <c r="C5622" t="s">
        <v>8395</v>
      </c>
      <c r="D5622" t="s">
        <v>8400</v>
      </c>
      <c r="E5622" t="s">
        <v>8446</v>
      </c>
      <c r="F5622" t="s">
        <v>8449</v>
      </c>
      <c r="G5622" t="s">
        <v>796</v>
      </c>
    </row>
    <row r="5623" spans="1:7">
      <c r="A5623" t="s">
        <v>7972</v>
      </c>
      <c r="B5623" t="s">
        <v>8275</v>
      </c>
      <c r="C5623" t="s">
        <v>8396</v>
      </c>
      <c r="D5623" t="s">
        <v>8420</v>
      </c>
      <c r="E5623" t="s">
        <v>8446</v>
      </c>
      <c r="F5623" t="s">
        <v>8448</v>
      </c>
      <c r="G5623" t="s">
        <v>796</v>
      </c>
    </row>
    <row r="5624" spans="1:7">
      <c r="A5624" t="s">
        <v>7973</v>
      </c>
      <c r="B5624" t="s">
        <v>8275</v>
      </c>
      <c r="C5624" t="s">
        <v>8395</v>
      </c>
      <c r="D5624" t="s">
        <v>8425</v>
      </c>
      <c r="E5624" t="s">
        <v>8446</v>
      </c>
      <c r="F5624" t="s">
        <v>8448</v>
      </c>
      <c r="G5624" t="s">
        <v>8455</v>
      </c>
    </row>
    <row r="5625" spans="1:7">
      <c r="A5625" t="s">
        <v>7974</v>
      </c>
      <c r="C5625" t="s">
        <v>8394</v>
      </c>
      <c r="D5625" t="s">
        <v>8422</v>
      </c>
      <c r="E5625" t="s">
        <v>8446</v>
      </c>
      <c r="F5625" t="s">
        <v>8449</v>
      </c>
      <c r="G5625" t="s">
        <v>8455</v>
      </c>
    </row>
    <row r="5626" spans="1:7">
      <c r="A5626" t="s">
        <v>7975</v>
      </c>
      <c r="B5626" t="s">
        <v>8273</v>
      </c>
      <c r="C5626" t="s">
        <v>8395</v>
      </c>
      <c r="D5626" t="s">
        <v>8400</v>
      </c>
      <c r="E5626" t="s">
        <v>1587</v>
      </c>
      <c r="F5626" t="s">
        <v>8449</v>
      </c>
      <c r="G5626" t="s">
        <v>8455</v>
      </c>
    </row>
    <row r="5627" spans="1:7">
      <c r="A5627" t="s">
        <v>7976</v>
      </c>
      <c r="B5627" t="s">
        <v>8273</v>
      </c>
      <c r="C5627" t="s">
        <v>8395</v>
      </c>
      <c r="D5627" t="s">
        <v>8402</v>
      </c>
      <c r="E5627" t="s">
        <v>8446</v>
      </c>
      <c r="F5627" t="s">
        <v>8449</v>
      </c>
      <c r="G5627" t="s">
        <v>8455</v>
      </c>
    </row>
    <row r="5628" spans="1:7">
      <c r="A5628" t="s">
        <v>7977</v>
      </c>
      <c r="C5628" t="s">
        <v>8392</v>
      </c>
      <c r="D5628" t="s">
        <v>8415</v>
      </c>
      <c r="E5628" t="s">
        <v>1587</v>
      </c>
      <c r="F5628" t="s">
        <v>8449</v>
      </c>
      <c r="G5628" t="s">
        <v>796</v>
      </c>
    </row>
    <row r="5629" spans="1:7">
      <c r="A5629" t="s">
        <v>7978</v>
      </c>
      <c r="B5629" t="s">
        <v>8273</v>
      </c>
      <c r="C5629" t="s">
        <v>8397</v>
      </c>
      <c r="D5629" t="s">
        <v>8421</v>
      </c>
      <c r="E5629" t="s">
        <v>1519</v>
      </c>
      <c r="F5629" t="s">
        <v>8448</v>
      </c>
      <c r="G5629" t="s">
        <v>8453</v>
      </c>
    </row>
    <row r="5630" spans="1:7">
      <c r="A5630" t="s">
        <v>7979</v>
      </c>
      <c r="C5630" t="s">
        <v>8396</v>
      </c>
      <c r="D5630" t="s">
        <v>8425</v>
      </c>
      <c r="E5630" t="s">
        <v>1519</v>
      </c>
      <c r="F5630" t="s">
        <v>8449</v>
      </c>
      <c r="G5630" t="s">
        <v>8455</v>
      </c>
    </row>
    <row r="5631" spans="1:7">
      <c r="A5631" t="s">
        <v>7980</v>
      </c>
      <c r="C5631" t="s">
        <v>8397</v>
      </c>
      <c r="D5631" t="s">
        <v>8421</v>
      </c>
      <c r="E5631" t="s">
        <v>8446</v>
      </c>
      <c r="F5631" t="s">
        <v>8448</v>
      </c>
      <c r="G5631" t="s">
        <v>9032</v>
      </c>
    </row>
    <row r="5632" spans="1:7">
      <c r="A5632" t="s">
        <v>7981</v>
      </c>
      <c r="B5632" t="s">
        <v>8273</v>
      </c>
      <c r="C5632" t="s">
        <v>8394</v>
      </c>
      <c r="D5632" t="s">
        <v>8402</v>
      </c>
      <c r="E5632" t="s">
        <v>8444</v>
      </c>
      <c r="F5632" t="s">
        <v>8448</v>
      </c>
      <c r="G5632" t="s">
        <v>796</v>
      </c>
    </row>
    <row r="5633" spans="1:7">
      <c r="A5633" t="s">
        <v>7982</v>
      </c>
      <c r="B5633" t="s">
        <v>8273</v>
      </c>
      <c r="C5633" t="s">
        <v>8394</v>
      </c>
      <c r="D5633" t="s">
        <v>8407</v>
      </c>
      <c r="E5633" t="s">
        <v>8445</v>
      </c>
      <c r="F5633" t="s">
        <v>8448</v>
      </c>
      <c r="G5633" t="s">
        <v>9465</v>
      </c>
    </row>
    <row r="5634" spans="1:7">
      <c r="A5634" t="s">
        <v>7983</v>
      </c>
      <c r="B5634" t="s">
        <v>8273</v>
      </c>
      <c r="C5634" t="s">
        <v>8396</v>
      </c>
      <c r="D5634" t="s">
        <v>8405</v>
      </c>
      <c r="E5634" t="s">
        <v>8446</v>
      </c>
      <c r="F5634" t="s">
        <v>8449</v>
      </c>
      <c r="G5634" t="s">
        <v>8455</v>
      </c>
    </row>
    <row r="5635" spans="1:7">
      <c r="A5635" t="s">
        <v>7984</v>
      </c>
      <c r="B5635" t="s">
        <v>8273</v>
      </c>
      <c r="C5635" t="s">
        <v>8392</v>
      </c>
      <c r="D5635" t="s">
        <v>8415</v>
      </c>
      <c r="E5635" t="s">
        <v>8446</v>
      </c>
      <c r="F5635" t="s">
        <v>8449</v>
      </c>
      <c r="G5635" t="s">
        <v>8509</v>
      </c>
    </row>
    <row r="5636" spans="1:7">
      <c r="A5636" t="s">
        <v>7985</v>
      </c>
      <c r="C5636" t="s">
        <v>8393</v>
      </c>
      <c r="D5636" t="s">
        <v>8393</v>
      </c>
      <c r="E5636" t="s">
        <v>919</v>
      </c>
      <c r="F5636" t="s">
        <v>8393</v>
      </c>
    </row>
    <row r="5637" spans="1:7">
      <c r="A5637" t="s">
        <v>7986</v>
      </c>
      <c r="B5637" t="s">
        <v>8273</v>
      </c>
      <c r="C5637" t="s">
        <v>8396</v>
      </c>
      <c r="D5637" t="s">
        <v>8411</v>
      </c>
      <c r="E5637" t="s">
        <v>8446</v>
      </c>
      <c r="F5637" t="s">
        <v>8448</v>
      </c>
      <c r="G5637" t="s">
        <v>9466</v>
      </c>
    </row>
    <row r="5638" spans="1:7">
      <c r="A5638" t="s">
        <v>7987</v>
      </c>
      <c r="B5638" t="s">
        <v>8273</v>
      </c>
      <c r="C5638" t="s">
        <v>8396</v>
      </c>
      <c r="D5638" t="s">
        <v>8425</v>
      </c>
      <c r="E5638" t="s">
        <v>8446</v>
      </c>
      <c r="F5638" t="s">
        <v>8448</v>
      </c>
      <c r="G5638" t="s">
        <v>9467</v>
      </c>
    </row>
    <row r="5639" spans="1:7">
      <c r="A5639" t="s">
        <v>7988</v>
      </c>
      <c r="B5639" t="s">
        <v>8273</v>
      </c>
      <c r="C5639" t="s">
        <v>8392</v>
      </c>
      <c r="D5639" t="s">
        <v>8400</v>
      </c>
      <c r="E5639" t="s">
        <v>8446</v>
      </c>
      <c r="F5639" t="s">
        <v>8448</v>
      </c>
      <c r="G5639" t="s">
        <v>8509</v>
      </c>
    </row>
    <row r="5640" spans="1:7">
      <c r="A5640" t="s">
        <v>7989</v>
      </c>
      <c r="C5640" t="s">
        <v>8396</v>
      </c>
      <c r="D5640" t="s">
        <v>8411</v>
      </c>
      <c r="E5640" t="s">
        <v>8445</v>
      </c>
      <c r="F5640" t="s">
        <v>8447</v>
      </c>
      <c r="G5640" t="s">
        <v>8474</v>
      </c>
    </row>
    <row r="5641" spans="1:7">
      <c r="A5641" t="s">
        <v>7990</v>
      </c>
      <c r="B5641" t="s">
        <v>8273</v>
      </c>
      <c r="C5641" t="s">
        <v>8395</v>
      </c>
      <c r="D5641" t="s">
        <v>8402</v>
      </c>
      <c r="E5641" t="s">
        <v>8446</v>
      </c>
      <c r="F5641" t="s">
        <v>8449</v>
      </c>
      <c r="G5641" t="s">
        <v>8455</v>
      </c>
    </row>
    <row r="5642" spans="1:7">
      <c r="A5642" t="s">
        <v>7991</v>
      </c>
      <c r="C5642" t="s">
        <v>8393</v>
      </c>
      <c r="D5642" t="s">
        <v>8393</v>
      </c>
      <c r="E5642" t="s">
        <v>919</v>
      </c>
      <c r="F5642" t="s">
        <v>8393</v>
      </c>
    </row>
    <row r="5643" spans="1:7">
      <c r="A5643" t="s">
        <v>7992</v>
      </c>
      <c r="B5643" t="s">
        <v>8278</v>
      </c>
      <c r="C5643" t="s">
        <v>8395</v>
      </c>
      <c r="D5643" t="s">
        <v>8423</v>
      </c>
      <c r="E5643" t="s">
        <v>8446</v>
      </c>
      <c r="F5643" t="s">
        <v>8448</v>
      </c>
      <c r="G5643" t="s">
        <v>8455</v>
      </c>
    </row>
    <row r="5644" spans="1:7">
      <c r="A5644" t="s">
        <v>7993</v>
      </c>
      <c r="B5644" t="s">
        <v>8279</v>
      </c>
      <c r="C5644" t="s">
        <v>8395</v>
      </c>
      <c r="D5644" t="s">
        <v>8423</v>
      </c>
      <c r="E5644" t="s">
        <v>8446</v>
      </c>
      <c r="F5644" t="s">
        <v>8448</v>
      </c>
      <c r="G5644" t="s">
        <v>8455</v>
      </c>
    </row>
    <row r="5645" spans="1:7">
      <c r="A5645" t="s">
        <v>7994</v>
      </c>
      <c r="B5645" t="s">
        <v>8281</v>
      </c>
      <c r="C5645" t="s">
        <v>8395</v>
      </c>
      <c r="D5645" t="s">
        <v>8423</v>
      </c>
      <c r="E5645" t="s">
        <v>8446</v>
      </c>
      <c r="F5645" t="s">
        <v>8448</v>
      </c>
      <c r="G5645" t="s">
        <v>8455</v>
      </c>
    </row>
    <row r="5646" spans="1:7">
      <c r="A5646" t="s">
        <v>7995</v>
      </c>
      <c r="C5646" t="s">
        <v>8393</v>
      </c>
      <c r="D5646" t="s">
        <v>8393</v>
      </c>
      <c r="E5646" t="s">
        <v>919</v>
      </c>
      <c r="F5646" t="s">
        <v>8393</v>
      </c>
    </row>
    <row r="5647" spans="1:7">
      <c r="A5647" t="s">
        <v>7996</v>
      </c>
      <c r="B5647" t="s">
        <v>8273</v>
      </c>
      <c r="C5647" t="s">
        <v>8395</v>
      </c>
      <c r="D5647" t="s">
        <v>8400</v>
      </c>
      <c r="E5647" t="s">
        <v>8444</v>
      </c>
      <c r="F5647" t="s">
        <v>8448</v>
      </c>
      <c r="G5647" t="s">
        <v>8453</v>
      </c>
    </row>
    <row r="5648" spans="1:7">
      <c r="A5648" t="s">
        <v>7997</v>
      </c>
      <c r="B5648" t="s">
        <v>8285</v>
      </c>
      <c r="C5648" t="s">
        <v>8392</v>
      </c>
      <c r="D5648" t="s">
        <v>8400</v>
      </c>
      <c r="E5648" t="s">
        <v>8444</v>
      </c>
      <c r="F5648" t="s">
        <v>8448</v>
      </c>
      <c r="G5648" t="s">
        <v>8455</v>
      </c>
    </row>
    <row r="5649" spans="1:7">
      <c r="A5649" t="s">
        <v>7998</v>
      </c>
      <c r="B5649" t="s">
        <v>8277</v>
      </c>
      <c r="C5649" t="s">
        <v>8392</v>
      </c>
      <c r="D5649" t="s">
        <v>8400</v>
      </c>
      <c r="E5649" t="s">
        <v>8444</v>
      </c>
      <c r="F5649" t="s">
        <v>8448</v>
      </c>
      <c r="G5649" t="s">
        <v>8455</v>
      </c>
    </row>
    <row r="5650" spans="1:7">
      <c r="A5650" t="s">
        <v>7999</v>
      </c>
      <c r="C5650" t="s">
        <v>8395</v>
      </c>
      <c r="D5650" t="s">
        <v>8400</v>
      </c>
      <c r="E5650" t="s">
        <v>8445</v>
      </c>
      <c r="F5650" t="s">
        <v>8448</v>
      </c>
      <c r="G5650" t="s">
        <v>8841</v>
      </c>
    </row>
    <row r="5651" spans="1:7">
      <c r="A5651" t="s">
        <v>8000</v>
      </c>
      <c r="C5651" t="s">
        <v>8394</v>
      </c>
      <c r="D5651" t="s">
        <v>8413</v>
      </c>
      <c r="E5651" t="s">
        <v>8445</v>
      </c>
      <c r="F5651" t="s">
        <v>8448</v>
      </c>
      <c r="G5651" t="s">
        <v>9468</v>
      </c>
    </row>
    <row r="5652" spans="1:7">
      <c r="A5652" t="s">
        <v>8001</v>
      </c>
      <c r="C5652" t="s">
        <v>8394</v>
      </c>
      <c r="D5652" t="s">
        <v>8413</v>
      </c>
      <c r="E5652" t="s">
        <v>8445</v>
      </c>
      <c r="F5652" t="s">
        <v>8448</v>
      </c>
      <c r="G5652" t="s">
        <v>9469</v>
      </c>
    </row>
    <row r="5653" spans="1:7">
      <c r="A5653" t="s">
        <v>8002</v>
      </c>
      <c r="C5653" t="s">
        <v>8397</v>
      </c>
      <c r="D5653" t="s">
        <v>8408</v>
      </c>
      <c r="E5653" t="s">
        <v>8445</v>
      </c>
      <c r="F5653" t="s">
        <v>8450</v>
      </c>
    </row>
    <row r="5654" spans="1:7">
      <c r="A5654" t="s">
        <v>8003</v>
      </c>
      <c r="C5654" t="s">
        <v>8394</v>
      </c>
      <c r="D5654" t="s">
        <v>8413</v>
      </c>
      <c r="E5654" t="s">
        <v>8445</v>
      </c>
      <c r="F5654" t="s">
        <v>8450</v>
      </c>
      <c r="G5654" t="s">
        <v>9470</v>
      </c>
    </row>
    <row r="5655" spans="1:7">
      <c r="A5655" t="s">
        <v>8004</v>
      </c>
      <c r="B5655" t="s">
        <v>8286</v>
      </c>
      <c r="C5655" t="s">
        <v>8396</v>
      </c>
      <c r="D5655" t="s">
        <v>8406</v>
      </c>
      <c r="E5655" t="s">
        <v>8446</v>
      </c>
      <c r="F5655" t="s">
        <v>8449</v>
      </c>
      <c r="G5655" t="s">
        <v>8455</v>
      </c>
    </row>
    <row r="5656" spans="1:7">
      <c r="A5656" t="s">
        <v>8005</v>
      </c>
      <c r="C5656" t="s">
        <v>8393</v>
      </c>
      <c r="D5656" t="s">
        <v>8393</v>
      </c>
      <c r="E5656" t="s">
        <v>919</v>
      </c>
      <c r="F5656" t="s">
        <v>8393</v>
      </c>
    </row>
    <row r="5657" spans="1:7">
      <c r="A5657" t="s">
        <v>8006</v>
      </c>
      <c r="B5657" t="s">
        <v>8273</v>
      </c>
      <c r="C5657" t="s">
        <v>8395</v>
      </c>
      <c r="D5657" t="s">
        <v>8400</v>
      </c>
      <c r="E5657" t="s">
        <v>8446</v>
      </c>
      <c r="F5657" t="s">
        <v>8449</v>
      </c>
      <c r="G5657" t="s">
        <v>8455</v>
      </c>
    </row>
    <row r="5658" spans="1:7">
      <c r="A5658" t="s">
        <v>8007</v>
      </c>
      <c r="B5658" t="s">
        <v>8285</v>
      </c>
      <c r="C5658" t="s">
        <v>8392</v>
      </c>
      <c r="D5658" t="s">
        <v>8400</v>
      </c>
      <c r="E5658" t="s">
        <v>8446</v>
      </c>
      <c r="F5658" t="s">
        <v>8449</v>
      </c>
      <c r="G5658" t="s">
        <v>796</v>
      </c>
    </row>
    <row r="5659" spans="1:7">
      <c r="A5659" t="s">
        <v>8008</v>
      </c>
      <c r="B5659" t="s">
        <v>8277</v>
      </c>
      <c r="C5659" t="s">
        <v>8392</v>
      </c>
      <c r="D5659" t="s">
        <v>8400</v>
      </c>
      <c r="E5659" t="s">
        <v>8446</v>
      </c>
      <c r="F5659" t="s">
        <v>8449</v>
      </c>
      <c r="G5659" t="s">
        <v>8455</v>
      </c>
    </row>
    <row r="5660" spans="1:7">
      <c r="A5660" t="s">
        <v>8009</v>
      </c>
      <c r="C5660" t="s">
        <v>8393</v>
      </c>
      <c r="D5660" t="s">
        <v>8393</v>
      </c>
      <c r="E5660" t="s">
        <v>919</v>
      </c>
      <c r="F5660" t="s">
        <v>8393</v>
      </c>
    </row>
    <row r="5661" spans="1:7">
      <c r="A5661" t="s">
        <v>8010</v>
      </c>
      <c r="B5661" t="s">
        <v>8273</v>
      </c>
      <c r="C5661" t="s">
        <v>8396</v>
      </c>
      <c r="D5661" t="s">
        <v>8425</v>
      </c>
      <c r="E5661" t="s">
        <v>8446</v>
      </c>
      <c r="F5661" t="s">
        <v>8448</v>
      </c>
      <c r="G5661" t="s">
        <v>8961</v>
      </c>
    </row>
    <row r="5662" spans="1:7">
      <c r="A5662" t="s">
        <v>8011</v>
      </c>
      <c r="B5662" t="s">
        <v>8273</v>
      </c>
      <c r="C5662" t="s">
        <v>8392</v>
      </c>
      <c r="D5662" t="s">
        <v>8400</v>
      </c>
      <c r="E5662" t="s">
        <v>8446</v>
      </c>
      <c r="F5662" t="s">
        <v>8448</v>
      </c>
      <c r="G5662" t="s">
        <v>796</v>
      </c>
    </row>
    <row r="5663" spans="1:7">
      <c r="A5663" t="s">
        <v>8012</v>
      </c>
      <c r="B5663" t="s">
        <v>8273</v>
      </c>
      <c r="C5663" t="s">
        <v>8396</v>
      </c>
      <c r="D5663" t="s">
        <v>8411</v>
      </c>
      <c r="E5663" t="s">
        <v>8446</v>
      </c>
      <c r="F5663" t="s">
        <v>8448</v>
      </c>
      <c r="G5663" t="s">
        <v>8474</v>
      </c>
    </row>
    <row r="5664" spans="1:7">
      <c r="A5664" t="s">
        <v>8013</v>
      </c>
      <c r="B5664" t="s">
        <v>8273</v>
      </c>
      <c r="C5664" t="s">
        <v>8396</v>
      </c>
      <c r="D5664" t="s">
        <v>8425</v>
      </c>
      <c r="E5664" t="s">
        <v>8446</v>
      </c>
      <c r="F5664" t="s">
        <v>8449</v>
      </c>
      <c r="G5664" t="s">
        <v>8455</v>
      </c>
    </row>
    <row r="5665" spans="1:7">
      <c r="A5665" t="s">
        <v>8014</v>
      </c>
      <c r="B5665" t="s">
        <v>8273</v>
      </c>
      <c r="C5665" t="s">
        <v>8395</v>
      </c>
      <c r="D5665" t="s">
        <v>8402</v>
      </c>
      <c r="E5665" t="s">
        <v>8446</v>
      </c>
      <c r="F5665" t="s">
        <v>8449</v>
      </c>
      <c r="G5665" t="s">
        <v>8455</v>
      </c>
    </row>
    <row r="5666" spans="1:7">
      <c r="A5666" t="s">
        <v>8015</v>
      </c>
      <c r="B5666" t="s">
        <v>8275</v>
      </c>
      <c r="C5666" t="s">
        <v>8396</v>
      </c>
      <c r="D5666" t="s">
        <v>8420</v>
      </c>
      <c r="E5666" t="s">
        <v>8446</v>
      </c>
      <c r="F5666" t="s">
        <v>8449</v>
      </c>
      <c r="G5666" t="s">
        <v>8455</v>
      </c>
    </row>
    <row r="5667" spans="1:7">
      <c r="A5667" t="s">
        <v>8016</v>
      </c>
      <c r="B5667" t="s">
        <v>8273</v>
      </c>
      <c r="C5667" t="s">
        <v>8396</v>
      </c>
      <c r="D5667" t="s">
        <v>8405</v>
      </c>
      <c r="E5667" t="s">
        <v>8445</v>
      </c>
      <c r="F5667" t="s">
        <v>8449</v>
      </c>
      <c r="G5667" t="s">
        <v>8455</v>
      </c>
    </row>
    <row r="5668" spans="1:7">
      <c r="A5668" t="s">
        <v>8017</v>
      </c>
      <c r="C5668" t="s">
        <v>8392</v>
      </c>
      <c r="D5668" t="s">
        <v>8415</v>
      </c>
      <c r="E5668" t="s">
        <v>8446</v>
      </c>
      <c r="F5668" t="s">
        <v>8448</v>
      </c>
      <c r="G5668" t="s">
        <v>9471</v>
      </c>
    </row>
    <row r="5669" spans="1:7">
      <c r="A5669" t="s">
        <v>8018</v>
      </c>
      <c r="C5669" t="s">
        <v>8394</v>
      </c>
      <c r="D5669" t="s">
        <v>8401</v>
      </c>
      <c r="E5669" t="s">
        <v>8445</v>
      </c>
      <c r="F5669" t="s">
        <v>8448</v>
      </c>
      <c r="G5669" t="s">
        <v>9472</v>
      </c>
    </row>
    <row r="5670" spans="1:7">
      <c r="A5670" t="s">
        <v>8019</v>
      </c>
      <c r="B5670" t="s">
        <v>8273</v>
      </c>
      <c r="C5670" t="s">
        <v>8396</v>
      </c>
      <c r="D5670" t="s">
        <v>8405</v>
      </c>
      <c r="E5670" t="s">
        <v>1587</v>
      </c>
      <c r="F5670" t="s">
        <v>8448</v>
      </c>
      <c r="G5670" t="s">
        <v>796</v>
      </c>
    </row>
    <row r="5671" spans="1:7">
      <c r="A5671" t="s">
        <v>8020</v>
      </c>
      <c r="C5671" t="s">
        <v>8398</v>
      </c>
      <c r="D5671" t="s">
        <v>8409</v>
      </c>
      <c r="E5671" t="s">
        <v>8444</v>
      </c>
      <c r="F5671" t="s">
        <v>8448</v>
      </c>
      <c r="G5671" t="s">
        <v>795</v>
      </c>
    </row>
    <row r="5672" spans="1:7">
      <c r="A5672" t="s">
        <v>8021</v>
      </c>
      <c r="B5672" t="s">
        <v>8286</v>
      </c>
      <c r="C5672" t="s">
        <v>8396</v>
      </c>
      <c r="D5672" t="s">
        <v>8406</v>
      </c>
      <c r="E5672" t="s">
        <v>8446</v>
      </c>
      <c r="F5672" t="s">
        <v>8449</v>
      </c>
      <c r="G5672" t="s">
        <v>8455</v>
      </c>
    </row>
    <row r="5673" spans="1:7">
      <c r="A5673" t="s">
        <v>8022</v>
      </c>
      <c r="B5673" t="s">
        <v>8286</v>
      </c>
      <c r="C5673" t="s">
        <v>8396</v>
      </c>
      <c r="D5673" t="s">
        <v>8406</v>
      </c>
      <c r="E5673" t="s">
        <v>8446</v>
      </c>
      <c r="F5673" t="s">
        <v>8449</v>
      </c>
      <c r="G5673" t="s">
        <v>8455</v>
      </c>
    </row>
    <row r="5674" spans="1:7">
      <c r="A5674" t="s">
        <v>8023</v>
      </c>
      <c r="C5674" t="s">
        <v>8394</v>
      </c>
      <c r="D5674" t="s">
        <v>8402</v>
      </c>
      <c r="E5674" t="s">
        <v>8445</v>
      </c>
      <c r="F5674" t="s">
        <v>8448</v>
      </c>
      <c r="G5674" t="s">
        <v>9473</v>
      </c>
    </row>
    <row r="5675" spans="1:7">
      <c r="A5675" t="s">
        <v>8024</v>
      </c>
      <c r="B5675" t="s">
        <v>8273</v>
      </c>
      <c r="C5675" t="s">
        <v>8398</v>
      </c>
      <c r="D5675" t="s">
        <v>8409</v>
      </c>
      <c r="E5675" t="s">
        <v>8446</v>
      </c>
      <c r="F5675" t="s">
        <v>8448</v>
      </c>
      <c r="G5675" t="s">
        <v>8455</v>
      </c>
    </row>
    <row r="5676" spans="1:7">
      <c r="A5676" t="s">
        <v>8025</v>
      </c>
      <c r="B5676" t="s">
        <v>8273</v>
      </c>
      <c r="C5676" t="s">
        <v>8398</v>
      </c>
      <c r="D5676" t="s">
        <v>8410</v>
      </c>
      <c r="E5676" t="s">
        <v>8445</v>
      </c>
      <c r="F5676" t="s">
        <v>8449</v>
      </c>
      <c r="G5676" t="s">
        <v>9137</v>
      </c>
    </row>
    <row r="5677" spans="1:7">
      <c r="A5677" t="s">
        <v>8026</v>
      </c>
      <c r="C5677" t="s">
        <v>8392</v>
      </c>
      <c r="D5677" t="s">
        <v>8415</v>
      </c>
      <c r="E5677" t="s">
        <v>8445</v>
      </c>
      <c r="F5677" t="s">
        <v>8448</v>
      </c>
      <c r="G5677" t="s">
        <v>8453</v>
      </c>
    </row>
    <row r="5678" spans="1:7">
      <c r="A5678" t="s">
        <v>8027</v>
      </c>
      <c r="C5678" t="s">
        <v>8393</v>
      </c>
      <c r="D5678" t="s">
        <v>8393</v>
      </c>
      <c r="E5678" t="s">
        <v>919</v>
      </c>
      <c r="F5678" t="s">
        <v>8393</v>
      </c>
    </row>
    <row r="5679" spans="1:7">
      <c r="A5679" t="s">
        <v>8028</v>
      </c>
      <c r="B5679" t="s">
        <v>8344</v>
      </c>
      <c r="C5679" t="s">
        <v>8394</v>
      </c>
      <c r="D5679" t="s">
        <v>8402</v>
      </c>
      <c r="E5679" t="s">
        <v>8445</v>
      </c>
      <c r="F5679" t="s">
        <v>8448</v>
      </c>
      <c r="G5679" t="s">
        <v>8455</v>
      </c>
    </row>
    <row r="5680" spans="1:7">
      <c r="A5680" t="s">
        <v>8029</v>
      </c>
      <c r="B5680" t="s">
        <v>8344</v>
      </c>
      <c r="C5680" t="s">
        <v>8394</v>
      </c>
      <c r="D5680" t="s">
        <v>8402</v>
      </c>
      <c r="E5680" t="s">
        <v>8445</v>
      </c>
      <c r="F5680" t="s">
        <v>8448</v>
      </c>
      <c r="G5680" t="s">
        <v>8455</v>
      </c>
    </row>
    <row r="5681" spans="1:7">
      <c r="A5681" t="s">
        <v>8030</v>
      </c>
      <c r="B5681" t="s">
        <v>8344</v>
      </c>
      <c r="C5681" t="s">
        <v>8394</v>
      </c>
      <c r="D5681" t="s">
        <v>8402</v>
      </c>
      <c r="E5681" t="s">
        <v>8444</v>
      </c>
      <c r="F5681" t="s">
        <v>8449</v>
      </c>
      <c r="G5681" t="s">
        <v>8455</v>
      </c>
    </row>
    <row r="5682" spans="1:7">
      <c r="A5682" t="s">
        <v>8031</v>
      </c>
      <c r="B5682" t="s">
        <v>8273</v>
      </c>
      <c r="C5682" t="s">
        <v>8392</v>
      </c>
      <c r="D5682" t="s">
        <v>8415</v>
      </c>
      <c r="E5682" t="s">
        <v>8445</v>
      </c>
      <c r="F5682" t="s">
        <v>8448</v>
      </c>
      <c r="G5682" t="s">
        <v>796</v>
      </c>
    </row>
    <row r="5683" spans="1:7">
      <c r="A5683" t="s">
        <v>8032</v>
      </c>
      <c r="B5683" t="s">
        <v>8273</v>
      </c>
      <c r="C5683" t="s">
        <v>8397</v>
      </c>
      <c r="D5683" t="s">
        <v>8421</v>
      </c>
      <c r="E5683" t="s">
        <v>8445</v>
      </c>
      <c r="F5683" t="s">
        <v>8448</v>
      </c>
      <c r="G5683" t="s">
        <v>9474</v>
      </c>
    </row>
    <row r="5684" spans="1:7">
      <c r="A5684" t="s">
        <v>8033</v>
      </c>
      <c r="B5684" t="s">
        <v>8273</v>
      </c>
      <c r="C5684" t="s">
        <v>8396</v>
      </c>
      <c r="D5684" t="s">
        <v>8405</v>
      </c>
      <c r="E5684" t="s">
        <v>8446</v>
      </c>
      <c r="F5684" t="s">
        <v>8449</v>
      </c>
      <c r="G5684" t="s">
        <v>8455</v>
      </c>
    </row>
    <row r="5685" spans="1:7">
      <c r="A5685" t="s">
        <v>8034</v>
      </c>
      <c r="C5685" t="s">
        <v>8392</v>
      </c>
      <c r="D5685" t="s">
        <v>8400</v>
      </c>
      <c r="E5685" t="s">
        <v>1587</v>
      </c>
      <c r="F5685" t="s">
        <v>8447</v>
      </c>
      <c r="G5685" t="s">
        <v>9084</v>
      </c>
    </row>
    <row r="5686" spans="1:7">
      <c r="A5686" t="s">
        <v>8035</v>
      </c>
      <c r="C5686" t="s">
        <v>8392</v>
      </c>
      <c r="D5686" t="s">
        <v>8400</v>
      </c>
      <c r="E5686" t="s">
        <v>1587</v>
      </c>
      <c r="F5686" t="s">
        <v>8447</v>
      </c>
      <c r="G5686" t="s">
        <v>8453</v>
      </c>
    </row>
    <row r="5687" spans="1:7">
      <c r="A5687" t="s">
        <v>8036</v>
      </c>
      <c r="C5687" t="s">
        <v>8397</v>
      </c>
      <c r="D5687" t="s">
        <v>8418</v>
      </c>
      <c r="E5687" t="s">
        <v>8444</v>
      </c>
      <c r="F5687" t="s">
        <v>8448</v>
      </c>
      <c r="G5687" t="s">
        <v>9475</v>
      </c>
    </row>
    <row r="5688" spans="1:7">
      <c r="A5688" t="s">
        <v>8037</v>
      </c>
      <c r="B5688" t="s">
        <v>8273</v>
      </c>
      <c r="C5688" t="s">
        <v>8396</v>
      </c>
      <c r="D5688" t="s">
        <v>8425</v>
      </c>
      <c r="E5688" t="s">
        <v>8446</v>
      </c>
      <c r="F5688" t="s">
        <v>8449</v>
      </c>
      <c r="G5688" t="s">
        <v>796</v>
      </c>
    </row>
    <row r="5689" spans="1:7">
      <c r="A5689" t="s">
        <v>8038</v>
      </c>
      <c r="C5689" t="s">
        <v>8393</v>
      </c>
      <c r="D5689" t="s">
        <v>8393</v>
      </c>
      <c r="E5689" t="s">
        <v>919</v>
      </c>
      <c r="F5689" t="s">
        <v>8393</v>
      </c>
    </row>
    <row r="5690" spans="1:7">
      <c r="A5690" t="s">
        <v>8039</v>
      </c>
      <c r="B5690" t="s">
        <v>8273</v>
      </c>
      <c r="C5690" t="s">
        <v>8395</v>
      </c>
      <c r="D5690" t="s">
        <v>8400</v>
      </c>
      <c r="E5690" t="s">
        <v>8446</v>
      </c>
      <c r="F5690" t="s">
        <v>8449</v>
      </c>
      <c r="G5690" t="s">
        <v>796</v>
      </c>
    </row>
    <row r="5691" spans="1:7">
      <c r="A5691" t="s">
        <v>8040</v>
      </c>
      <c r="B5691" t="s">
        <v>8277</v>
      </c>
      <c r="C5691" t="s">
        <v>8395</v>
      </c>
      <c r="D5691" t="s">
        <v>8400</v>
      </c>
      <c r="E5691" t="s">
        <v>8446</v>
      </c>
      <c r="F5691" t="s">
        <v>8449</v>
      </c>
      <c r="G5691" t="s">
        <v>8455</v>
      </c>
    </row>
    <row r="5692" spans="1:7">
      <c r="A5692" t="s">
        <v>8041</v>
      </c>
      <c r="B5692" t="s">
        <v>8299</v>
      </c>
      <c r="C5692" t="s">
        <v>8397</v>
      </c>
      <c r="D5692" t="s">
        <v>8431</v>
      </c>
      <c r="E5692" t="s">
        <v>8445</v>
      </c>
      <c r="F5692" t="s">
        <v>8448</v>
      </c>
      <c r="G5692" t="s">
        <v>8474</v>
      </c>
    </row>
    <row r="5693" spans="1:7">
      <c r="A5693" t="s">
        <v>8042</v>
      </c>
      <c r="B5693" t="s">
        <v>8273</v>
      </c>
      <c r="C5693" t="s">
        <v>8395</v>
      </c>
      <c r="D5693" t="s">
        <v>8414</v>
      </c>
      <c r="E5693" t="s">
        <v>8446</v>
      </c>
      <c r="F5693" t="s">
        <v>8449</v>
      </c>
      <c r="G5693" t="s">
        <v>8455</v>
      </c>
    </row>
    <row r="5694" spans="1:7">
      <c r="A5694" t="s">
        <v>8043</v>
      </c>
      <c r="C5694" t="s">
        <v>8392</v>
      </c>
      <c r="D5694" t="s">
        <v>8400</v>
      </c>
      <c r="E5694" t="s">
        <v>8446</v>
      </c>
      <c r="F5694" t="s">
        <v>8449</v>
      </c>
      <c r="G5694" t="s">
        <v>795</v>
      </c>
    </row>
    <row r="5695" spans="1:7">
      <c r="A5695" t="s">
        <v>8044</v>
      </c>
      <c r="C5695" t="s">
        <v>8394</v>
      </c>
      <c r="D5695" t="s">
        <v>8402</v>
      </c>
      <c r="E5695" t="s">
        <v>8445</v>
      </c>
      <c r="F5695" t="s">
        <v>8448</v>
      </c>
      <c r="G5695" t="s">
        <v>9476</v>
      </c>
    </row>
    <row r="5696" spans="1:7">
      <c r="A5696" t="s">
        <v>8045</v>
      </c>
      <c r="B5696" t="s">
        <v>8273</v>
      </c>
      <c r="C5696" t="s">
        <v>8398</v>
      </c>
      <c r="D5696" t="s">
        <v>8409</v>
      </c>
      <c r="E5696" t="s">
        <v>8446</v>
      </c>
      <c r="F5696" t="s">
        <v>8448</v>
      </c>
      <c r="G5696" t="s">
        <v>9477</v>
      </c>
    </row>
    <row r="5697" spans="1:7">
      <c r="A5697" t="s">
        <v>8046</v>
      </c>
      <c r="C5697" t="s">
        <v>8393</v>
      </c>
      <c r="D5697" t="s">
        <v>8393</v>
      </c>
      <c r="E5697" t="s">
        <v>919</v>
      </c>
      <c r="F5697" t="s">
        <v>8393</v>
      </c>
    </row>
    <row r="5698" spans="1:7">
      <c r="A5698" t="s">
        <v>8047</v>
      </c>
      <c r="B5698" t="s">
        <v>8278</v>
      </c>
      <c r="C5698" t="s">
        <v>8394</v>
      </c>
      <c r="D5698" t="s">
        <v>8423</v>
      </c>
      <c r="E5698" t="s">
        <v>8446</v>
      </c>
      <c r="F5698" t="s">
        <v>8449</v>
      </c>
      <c r="G5698" t="s">
        <v>8455</v>
      </c>
    </row>
    <row r="5699" spans="1:7">
      <c r="A5699" t="s">
        <v>8048</v>
      </c>
      <c r="B5699" t="s">
        <v>8278</v>
      </c>
      <c r="C5699" t="s">
        <v>8394</v>
      </c>
      <c r="D5699" t="s">
        <v>8423</v>
      </c>
      <c r="E5699" t="s">
        <v>8446</v>
      </c>
      <c r="F5699" t="s">
        <v>8449</v>
      </c>
      <c r="G5699" t="s">
        <v>8455</v>
      </c>
    </row>
    <row r="5700" spans="1:7">
      <c r="A5700" t="s">
        <v>8049</v>
      </c>
      <c r="B5700" t="s">
        <v>8284</v>
      </c>
      <c r="C5700" t="s">
        <v>8394</v>
      </c>
      <c r="D5700" t="s">
        <v>8423</v>
      </c>
      <c r="E5700" t="s">
        <v>8446</v>
      </c>
      <c r="F5700" t="s">
        <v>8449</v>
      </c>
      <c r="G5700" t="s">
        <v>8455</v>
      </c>
    </row>
    <row r="5701" spans="1:7">
      <c r="A5701" t="s">
        <v>8050</v>
      </c>
      <c r="B5701" t="s">
        <v>8279</v>
      </c>
      <c r="C5701" t="s">
        <v>8394</v>
      </c>
      <c r="D5701" t="s">
        <v>8423</v>
      </c>
      <c r="E5701" t="s">
        <v>8446</v>
      </c>
      <c r="F5701" t="s">
        <v>8449</v>
      </c>
      <c r="G5701" t="s">
        <v>8455</v>
      </c>
    </row>
    <row r="5702" spans="1:7">
      <c r="A5702" t="s">
        <v>8051</v>
      </c>
      <c r="B5702" t="s">
        <v>8281</v>
      </c>
      <c r="C5702" t="s">
        <v>8394</v>
      </c>
      <c r="D5702" t="s">
        <v>8423</v>
      </c>
      <c r="E5702" t="s">
        <v>8446</v>
      </c>
      <c r="F5702" t="s">
        <v>8449</v>
      </c>
      <c r="G5702" t="s">
        <v>8455</v>
      </c>
    </row>
    <row r="5703" spans="1:7">
      <c r="A5703" t="s">
        <v>8052</v>
      </c>
      <c r="C5703" t="s">
        <v>8392</v>
      </c>
      <c r="D5703" t="s">
        <v>8400</v>
      </c>
      <c r="E5703" t="s">
        <v>1587</v>
      </c>
      <c r="F5703" t="s">
        <v>8449</v>
      </c>
      <c r="G5703" t="s">
        <v>795</v>
      </c>
    </row>
    <row r="5704" spans="1:7">
      <c r="A5704" t="s">
        <v>8053</v>
      </c>
      <c r="B5704" t="s">
        <v>8273</v>
      </c>
      <c r="C5704" t="s">
        <v>8396</v>
      </c>
      <c r="D5704" t="s">
        <v>8405</v>
      </c>
      <c r="E5704" t="s">
        <v>8446</v>
      </c>
      <c r="F5704" t="s">
        <v>8449</v>
      </c>
      <c r="G5704" t="s">
        <v>8475</v>
      </c>
    </row>
    <row r="5705" spans="1:7">
      <c r="A5705" t="s">
        <v>8054</v>
      </c>
      <c r="C5705" t="s">
        <v>8394</v>
      </c>
      <c r="D5705" t="s">
        <v>8422</v>
      </c>
      <c r="E5705" t="s">
        <v>8445</v>
      </c>
      <c r="F5705" t="s">
        <v>8448</v>
      </c>
      <c r="G5705" t="s">
        <v>8453</v>
      </c>
    </row>
    <row r="5706" spans="1:7">
      <c r="A5706" t="s">
        <v>8055</v>
      </c>
      <c r="B5706" t="s">
        <v>8273</v>
      </c>
      <c r="C5706" t="s">
        <v>8395</v>
      </c>
      <c r="D5706" t="s">
        <v>8402</v>
      </c>
      <c r="E5706" t="s">
        <v>8446</v>
      </c>
      <c r="F5706" t="s">
        <v>8449</v>
      </c>
      <c r="G5706" t="s">
        <v>8455</v>
      </c>
    </row>
    <row r="5707" spans="1:7">
      <c r="A5707" t="s">
        <v>8056</v>
      </c>
      <c r="C5707" t="s">
        <v>8393</v>
      </c>
      <c r="D5707" t="s">
        <v>8393</v>
      </c>
      <c r="E5707" t="s">
        <v>919</v>
      </c>
      <c r="F5707" t="s">
        <v>8393</v>
      </c>
    </row>
    <row r="5708" spans="1:7">
      <c r="A5708" t="s">
        <v>8057</v>
      </c>
      <c r="B5708" t="s">
        <v>8273</v>
      </c>
      <c r="C5708" t="s">
        <v>8395</v>
      </c>
      <c r="D5708" t="s">
        <v>8414</v>
      </c>
      <c r="E5708" t="s">
        <v>8444</v>
      </c>
      <c r="F5708" t="s">
        <v>8449</v>
      </c>
      <c r="G5708" t="s">
        <v>8455</v>
      </c>
    </row>
    <row r="5709" spans="1:7">
      <c r="A5709" t="s">
        <v>8058</v>
      </c>
      <c r="B5709" t="s">
        <v>8285</v>
      </c>
      <c r="C5709" t="s">
        <v>8395</v>
      </c>
      <c r="D5709" t="s">
        <v>8414</v>
      </c>
      <c r="E5709" t="s">
        <v>8444</v>
      </c>
      <c r="F5709" t="s">
        <v>8449</v>
      </c>
      <c r="G5709" t="s">
        <v>8455</v>
      </c>
    </row>
    <row r="5710" spans="1:7">
      <c r="A5710" t="s">
        <v>8059</v>
      </c>
      <c r="B5710" t="s">
        <v>8286</v>
      </c>
      <c r="C5710" t="s">
        <v>8395</v>
      </c>
      <c r="D5710" t="s">
        <v>8414</v>
      </c>
      <c r="E5710" t="s">
        <v>8444</v>
      </c>
      <c r="F5710" t="s">
        <v>8449</v>
      </c>
      <c r="G5710" t="s">
        <v>8455</v>
      </c>
    </row>
    <row r="5711" spans="1:7">
      <c r="A5711" t="s">
        <v>8060</v>
      </c>
      <c r="B5711" t="s">
        <v>8277</v>
      </c>
      <c r="C5711" t="s">
        <v>8395</v>
      </c>
      <c r="D5711" t="s">
        <v>8414</v>
      </c>
      <c r="E5711" t="s">
        <v>8444</v>
      </c>
      <c r="F5711" t="s">
        <v>8449</v>
      </c>
      <c r="G5711" t="s">
        <v>8455</v>
      </c>
    </row>
    <row r="5712" spans="1:7">
      <c r="A5712" t="s">
        <v>8061</v>
      </c>
      <c r="C5712" t="s">
        <v>8393</v>
      </c>
      <c r="D5712" t="s">
        <v>8393</v>
      </c>
      <c r="E5712" t="s">
        <v>919</v>
      </c>
      <c r="F5712" t="s">
        <v>8393</v>
      </c>
    </row>
    <row r="5713" spans="1:7">
      <c r="A5713" t="s">
        <v>8062</v>
      </c>
      <c r="B5713" t="s">
        <v>8273</v>
      </c>
      <c r="C5713" t="s">
        <v>8396</v>
      </c>
      <c r="D5713" t="s">
        <v>8426</v>
      </c>
      <c r="E5713" t="s">
        <v>8446</v>
      </c>
      <c r="F5713" t="s">
        <v>8449</v>
      </c>
      <c r="G5713" t="s">
        <v>8455</v>
      </c>
    </row>
    <row r="5714" spans="1:7">
      <c r="A5714" t="s">
        <v>8063</v>
      </c>
      <c r="B5714" t="s">
        <v>8285</v>
      </c>
      <c r="C5714" t="s">
        <v>8396</v>
      </c>
      <c r="D5714" t="s">
        <v>8426</v>
      </c>
      <c r="E5714" t="s">
        <v>8446</v>
      </c>
      <c r="F5714" t="s">
        <v>8449</v>
      </c>
      <c r="G5714" t="s">
        <v>8455</v>
      </c>
    </row>
    <row r="5715" spans="1:7">
      <c r="A5715" t="s">
        <v>8064</v>
      </c>
      <c r="B5715" t="s">
        <v>8277</v>
      </c>
      <c r="C5715" t="s">
        <v>8396</v>
      </c>
      <c r="D5715" t="s">
        <v>8426</v>
      </c>
      <c r="E5715" t="s">
        <v>8446</v>
      </c>
      <c r="F5715" t="s">
        <v>8449</v>
      </c>
      <c r="G5715" t="s">
        <v>8455</v>
      </c>
    </row>
    <row r="5716" spans="1:7">
      <c r="A5716" t="s">
        <v>8065</v>
      </c>
      <c r="B5716" t="s">
        <v>8273</v>
      </c>
      <c r="C5716" t="s">
        <v>8398</v>
      </c>
      <c r="D5716" t="s">
        <v>8409</v>
      </c>
      <c r="E5716" t="s">
        <v>8446</v>
      </c>
      <c r="F5716" t="s">
        <v>8448</v>
      </c>
      <c r="G5716" t="s">
        <v>9478</v>
      </c>
    </row>
    <row r="5717" spans="1:7">
      <c r="A5717" t="s">
        <v>8066</v>
      </c>
      <c r="B5717" t="s">
        <v>8273</v>
      </c>
      <c r="C5717" t="s">
        <v>8395</v>
      </c>
      <c r="D5717" t="s">
        <v>8402</v>
      </c>
      <c r="E5717" t="s">
        <v>8444</v>
      </c>
      <c r="F5717" t="s">
        <v>8449</v>
      </c>
      <c r="G5717" t="s">
        <v>8455</v>
      </c>
    </row>
    <row r="5718" spans="1:7">
      <c r="A5718" t="s">
        <v>8067</v>
      </c>
      <c r="C5718" t="s">
        <v>8394</v>
      </c>
      <c r="D5718" t="s">
        <v>8422</v>
      </c>
      <c r="E5718" t="s">
        <v>8446</v>
      </c>
      <c r="F5718" t="s">
        <v>8449</v>
      </c>
      <c r="G5718" t="s">
        <v>795</v>
      </c>
    </row>
    <row r="5719" spans="1:7">
      <c r="A5719" t="s">
        <v>8068</v>
      </c>
      <c r="B5719" t="s">
        <v>8278</v>
      </c>
      <c r="C5719" t="s">
        <v>8394</v>
      </c>
      <c r="D5719" t="s">
        <v>8423</v>
      </c>
      <c r="E5719" t="s">
        <v>8446</v>
      </c>
      <c r="F5719" t="s">
        <v>8449</v>
      </c>
      <c r="G5719" t="s">
        <v>8455</v>
      </c>
    </row>
    <row r="5720" spans="1:7">
      <c r="A5720" t="s">
        <v>8069</v>
      </c>
      <c r="C5720" t="s">
        <v>8393</v>
      </c>
      <c r="D5720" t="s">
        <v>8393</v>
      </c>
      <c r="E5720" t="s">
        <v>919</v>
      </c>
      <c r="F5720" t="s">
        <v>8393</v>
      </c>
    </row>
    <row r="5721" spans="1:7">
      <c r="A5721" t="s">
        <v>8070</v>
      </c>
      <c r="B5721" t="s">
        <v>8278</v>
      </c>
      <c r="C5721" t="s">
        <v>8394</v>
      </c>
      <c r="D5721" t="s">
        <v>8423</v>
      </c>
      <c r="E5721" t="s">
        <v>8446</v>
      </c>
      <c r="F5721" t="s">
        <v>8449</v>
      </c>
      <c r="G5721" t="s">
        <v>8455</v>
      </c>
    </row>
    <row r="5722" spans="1:7">
      <c r="A5722" t="s">
        <v>8071</v>
      </c>
      <c r="B5722" t="s">
        <v>8278</v>
      </c>
      <c r="C5722" t="s">
        <v>8394</v>
      </c>
      <c r="D5722" t="s">
        <v>8423</v>
      </c>
      <c r="E5722" t="s">
        <v>8446</v>
      </c>
      <c r="F5722" t="s">
        <v>8449</v>
      </c>
      <c r="G5722" t="s">
        <v>8455</v>
      </c>
    </row>
    <row r="5723" spans="1:7">
      <c r="A5723" t="s">
        <v>8072</v>
      </c>
      <c r="B5723" t="s">
        <v>8284</v>
      </c>
      <c r="C5723" t="s">
        <v>8394</v>
      </c>
      <c r="D5723" t="s">
        <v>8423</v>
      </c>
      <c r="E5723" t="s">
        <v>8446</v>
      </c>
      <c r="F5723" t="s">
        <v>8449</v>
      </c>
      <c r="G5723" t="s">
        <v>8455</v>
      </c>
    </row>
    <row r="5724" spans="1:7">
      <c r="A5724" t="s">
        <v>8073</v>
      </c>
      <c r="B5724" t="s">
        <v>8311</v>
      </c>
      <c r="C5724" t="s">
        <v>8394</v>
      </c>
      <c r="D5724" t="s">
        <v>8423</v>
      </c>
      <c r="E5724" t="s">
        <v>8446</v>
      </c>
      <c r="F5724" t="s">
        <v>8449</v>
      </c>
      <c r="G5724" t="s">
        <v>8455</v>
      </c>
    </row>
    <row r="5725" spans="1:7">
      <c r="A5725" t="s">
        <v>8074</v>
      </c>
      <c r="C5725" t="s">
        <v>8393</v>
      </c>
      <c r="D5725" t="s">
        <v>8393</v>
      </c>
      <c r="E5725" t="s">
        <v>919</v>
      </c>
      <c r="F5725" t="s">
        <v>8393</v>
      </c>
    </row>
    <row r="5726" spans="1:7">
      <c r="A5726" t="s">
        <v>8075</v>
      </c>
      <c r="B5726" t="s">
        <v>8278</v>
      </c>
      <c r="C5726" t="s">
        <v>8394</v>
      </c>
      <c r="D5726" t="s">
        <v>8423</v>
      </c>
      <c r="E5726" t="s">
        <v>1519</v>
      </c>
      <c r="F5726" t="s">
        <v>8449</v>
      </c>
      <c r="G5726" t="s">
        <v>8455</v>
      </c>
    </row>
    <row r="5727" spans="1:7">
      <c r="A5727" t="s">
        <v>8076</v>
      </c>
      <c r="B5727" t="s">
        <v>8278</v>
      </c>
      <c r="C5727" t="s">
        <v>8394</v>
      </c>
      <c r="D5727" t="s">
        <v>8423</v>
      </c>
      <c r="E5727" t="s">
        <v>1519</v>
      </c>
      <c r="F5727" t="s">
        <v>8449</v>
      </c>
      <c r="G5727" t="s">
        <v>8455</v>
      </c>
    </row>
    <row r="5728" spans="1:7">
      <c r="A5728" t="s">
        <v>8077</v>
      </c>
      <c r="B5728" t="s">
        <v>8281</v>
      </c>
      <c r="C5728" t="s">
        <v>8394</v>
      </c>
      <c r="D5728" t="s">
        <v>8423</v>
      </c>
      <c r="E5728" t="s">
        <v>1519</v>
      </c>
      <c r="F5728" t="s">
        <v>8449</v>
      </c>
      <c r="G5728" t="s">
        <v>8455</v>
      </c>
    </row>
    <row r="5729" spans="1:7">
      <c r="A5729" t="s">
        <v>8078</v>
      </c>
      <c r="C5729" t="s">
        <v>8394</v>
      </c>
      <c r="D5729" t="s">
        <v>8402</v>
      </c>
      <c r="E5729" t="s">
        <v>8445</v>
      </c>
      <c r="F5729" t="s">
        <v>8450</v>
      </c>
      <c r="G5729" t="s">
        <v>9479</v>
      </c>
    </row>
    <row r="5730" spans="1:7">
      <c r="A5730" t="s">
        <v>8079</v>
      </c>
      <c r="C5730" t="s">
        <v>8397</v>
      </c>
      <c r="D5730" t="s">
        <v>8408</v>
      </c>
      <c r="E5730" t="s">
        <v>8445</v>
      </c>
      <c r="F5730" t="s">
        <v>8450</v>
      </c>
    </row>
    <row r="5731" spans="1:7">
      <c r="A5731" t="s">
        <v>8080</v>
      </c>
      <c r="B5731" t="s">
        <v>8273</v>
      </c>
      <c r="C5731" t="s">
        <v>8392</v>
      </c>
      <c r="D5731" t="s">
        <v>8400</v>
      </c>
      <c r="E5731" t="s">
        <v>8444</v>
      </c>
      <c r="F5731" t="s">
        <v>8448</v>
      </c>
      <c r="G5731" t="s">
        <v>8463</v>
      </c>
    </row>
    <row r="5732" spans="1:7">
      <c r="A5732" t="s">
        <v>8081</v>
      </c>
      <c r="B5732" t="s">
        <v>8273</v>
      </c>
      <c r="C5732" t="s">
        <v>8395</v>
      </c>
      <c r="D5732" t="s">
        <v>8438</v>
      </c>
      <c r="E5732" t="s">
        <v>8446</v>
      </c>
      <c r="F5732" t="s">
        <v>8449</v>
      </c>
      <c r="G5732" t="s">
        <v>8455</v>
      </c>
    </row>
    <row r="5733" spans="1:7">
      <c r="A5733" t="s">
        <v>8082</v>
      </c>
      <c r="B5733" t="s">
        <v>8273</v>
      </c>
      <c r="C5733" t="s">
        <v>8398</v>
      </c>
      <c r="D5733" t="s">
        <v>8419</v>
      </c>
      <c r="E5733" t="s">
        <v>8444</v>
      </c>
      <c r="F5733" t="s">
        <v>8449</v>
      </c>
      <c r="G5733" t="s">
        <v>8455</v>
      </c>
    </row>
    <row r="5734" spans="1:7">
      <c r="A5734" t="s">
        <v>8083</v>
      </c>
      <c r="C5734" t="s">
        <v>8392</v>
      </c>
      <c r="D5734" t="s">
        <v>8415</v>
      </c>
      <c r="E5734" t="s">
        <v>8446</v>
      </c>
      <c r="F5734" t="s">
        <v>8448</v>
      </c>
      <c r="G5734" t="s">
        <v>9480</v>
      </c>
    </row>
    <row r="5735" spans="1:7">
      <c r="A5735" t="s">
        <v>8084</v>
      </c>
      <c r="C5735" t="s">
        <v>8397</v>
      </c>
      <c r="D5735" t="s">
        <v>8421</v>
      </c>
      <c r="E5735" t="s">
        <v>8445</v>
      </c>
      <c r="F5735" t="s">
        <v>8450</v>
      </c>
      <c r="G5735" t="s">
        <v>9481</v>
      </c>
    </row>
    <row r="5736" spans="1:7">
      <c r="A5736" t="s">
        <v>8085</v>
      </c>
      <c r="C5736" t="s">
        <v>8396</v>
      </c>
      <c r="D5736" t="s">
        <v>8404</v>
      </c>
      <c r="E5736" t="s">
        <v>8446</v>
      </c>
      <c r="F5736" t="s">
        <v>8448</v>
      </c>
      <c r="G5736" t="s">
        <v>8905</v>
      </c>
    </row>
    <row r="5737" spans="1:7">
      <c r="A5737" t="s">
        <v>8086</v>
      </c>
      <c r="B5737" t="s">
        <v>8273</v>
      </c>
      <c r="C5737" t="s">
        <v>8394</v>
      </c>
      <c r="D5737" t="s">
        <v>8422</v>
      </c>
      <c r="E5737" t="s">
        <v>8446</v>
      </c>
      <c r="F5737" t="s">
        <v>8448</v>
      </c>
      <c r="G5737" t="s">
        <v>8455</v>
      </c>
    </row>
    <row r="5738" spans="1:7">
      <c r="A5738" t="s">
        <v>8087</v>
      </c>
      <c r="C5738" t="s">
        <v>8397</v>
      </c>
      <c r="D5738" t="s">
        <v>8421</v>
      </c>
      <c r="E5738" t="s">
        <v>1587</v>
      </c>
      <c r="F5738" t="s">
        <v>8448</v>
      </c>
      <c r="G5738" t="s">
        <v>9482</v>
      </c>
    </row>
    <row r="5739" spans="1:7">
      <c r="A5739" t="s">
        <v>8088</v>
      </c>
      <c r="B5739" t="s">
        <v>8273</v>
      </c>
      <c r="C5739" t="s">
        <v>8398</v>
      </c>
      <c r="D5739" t="s">
        <v>8409</v>
      </c>
      <c r="E5739" t="s">
        <v>8446</v>
      </c>
      <c r="F5739" t="s">
        <v>8448</v>
      </c>
      <c r="G5739" t="s">
        <v>9483</v>
      </c>
    </row>
    <row r="5740" spans="1:7">
      <c r="A5740" t="s">
        <v>8089</v>
      </c>
      <c r="C5740" t="s">
        <v>8397</v>
      </c>
      <c r="D5740" t="s">
        <v>8421</v>
      </c>
      <c r="E5740" t="s">
        <v>8446</v>
      </c>
      <c r="F5740" t="s">
        <v>8448</v>
      </c>
      <c r="G5740" t="s">
        <v>9484</v>
      </c>
    </row>
    <row r="5741" spans="1:7">
      <c r="A5741" t="s">
        <v>8090</v>
      </c>
      <c r="C5741" t="s">
        <v>8392</v>
      </c>
      <c r="D5741" t="s">
        <v>8400</v>
      </c>
      <c r="E5741" t="s">
        <v>1519</v>
      </c>
      <c r="F5741" t="s">
        <v>8449</v>
      </c>
      <c r="G5741" t="s">
        <v>8455</v>
      </c>
    </row>
    <row r="5742" spans="1:7">
      <c r="A5742" t="s">
        <v>8091</v>
      </c>
      <c r="B5742" t="s">
        <v>8273</v>
      </c>
      <c r="C5742" t="s">
        <v>8395</v>
      </c>
      <c r="D5742" t="s">
        <v>8414</v>
      </c>
      <c r="E5742" t="s">
        <v>8446</v>
      </c>
      <c r="F5742" t="s">
        <v>8449</v>
      </c>
      <c r="G5742" t="s">
        <v>796</v>
      </c>
    </row>
    <row r="5743" spans="1:7">
      <c r="A5743" t="s">
        <v>8092</v>
      </c>
      <c r="B5743" t="s">
        <v>8295</v>
      </c>
      <c r="C5743" t="s">
        <v>8398</v>
      </c>
      <c r="D5743" t="s">
        <v>8419</v>
      </c>
      <c r="E5743" t="s">
        <v>8444</v>
      </c>
      <c r="F5743" t="s">
        <v>8449</v>
      </c>
      <c r="G5743" t="s">
        <v>8455</v>
      </c>
    </row>
    <row r="5744" spans="1:7">
      <c r="A5744" t="s">
        <v>8093</v>
      </c>
      <c r="B5744" t="s">
        <v>8273</v>
      </c>
      <c r="C5744" t="s">
        <v>8396</v>
      </c>
      <c r="D5744" t="s">
        <v>8425</v>
      </c>
      <c r="E5744" t="s">
        <v>8445</v>
      </c>
      <c r="F5744" t="s">
        <v>8448</v>
      </c>
      <c r="G5744" t="s">
        <v>9485</v>
      </c>
    </row>
    <row r="5745" spans="1:7">
      <c r="A5745" t="s">
        <v>8094</v>
      </c>
      <c r="B5745" t="s">
        <v>8273</v>
      </c>
      <c r="C5745" t="s">
        <v>8396</v>
      </c>
      <c r="D5745" t="s">
        <v>8405</v>
      </c>
      <c r="E5745" t="s">
        <v>8445</v>
      </c>
      <c r="F5745" t="s">
        <v>8449</v>
      </c>
      <c r="G5745" t="s">
        <v>8455</v>
      </c>
    </row>
    <row r="5746" spans="1:7">
      <c r="A5746" t="s">
        <v>8095</v>
      </c>
      <c r="B5746" t="s">
        <v>8273</v>
      </c>
      <c r="C5746" t="s">
        <v>8398</v>
      </c>
      <c r="D5746" t="s">
        <v>8410</v>
      </c>
      <c r="E5746" t="s">
        <v>8444</v>
      </c>
      <c r="F5746" t="s">
        <v>8449</v>
      </c>
      <c r="G5746" t="s">
        <v>8453</v>
      </c>
    </row>
    <row r="5747" spans="1:7">
      <c r="A5747" t="s">
        <v>8096</v>
      </c>
      <c r="C5747" t="s">
        <v>8397</v>
      </c>
      <c r="D5747" t="s">
        <v>8408</v>
      </c>
      <c r="E5747" t="s">
        <v>8445</v>
      </c>
      <c r="F5747" t="s">
        <v>8450</v>
      </c>
    </row>
    <row r="5748" spans="1:7">
      <c r="A5748" t="s">
        <v>8097</v>
      </c>
      <c r="C5748" t="s">
        <v>8397</v>
      </c>
      <c r="D5748" t="s">
        <v>8408</v>
      </c>
      <c r="E5748" t="s">
        <v>8445</v>
      </c>
      <c r="F5748" t="s">
        <v>8450</v>
      </c>
    </row>
    <row r="5749" spans="1:7">
      <c r="A5749" t="s">
        <v>8098</v>
      </c>
      <c r="C5749" t="s">
        <v>8396</v>
      </c>
      <c r="D5749" t="s">
        <v>8405</v>
      </c>
      <c r="E5749" t="s">
        <v>8444</v>
      </c>
      <c r="F5749" t="s">
        <v>8448</v>
      </c>
      <c r="G5749" t="s">
        <v>795</v>
      </c>
    </row>
    <row r="5750" spans="1:7">
      <c r="A5750" t="s">
        <v>8099</v>
      </c>
      <c r="C5750" t="s">
        <v>8397</v>
      </c>
      <c r="D5750" t="s">
        <v>8408</v>
      </c>
      <c r="E5750" t="s">
        <v>8445</v>
      </c>
      <c r="F5750" t="s">
        <v>8450</v>
      </c>
    </row>
    <row r="5751" spans="1:7">
      <c r="A5751" t="s">
        <v>8100</v>
      </c>
      <c r="B5751" t="s">
        <v>8273</v>
      </c>
      <c r="C5751" t="s">
        <v>8392</v>
      </c>
      <c r="D5751" t="s">
        <v>8400</v>
      </c>
      <c r="E5751" t="s">
        <v>8446</v>
      </c>
      <c r="F5751" t="s">
        <v>8447</v>
      </c>
      <c r="G5751" t="s">
        <v>8463</v>
      </c>
    </row>
    <row r="5752" spans="1:7">
      <c r="A5752" t="s">
        <v>8101</v>
      </c>
      <c r="B5752" t="s">
        <v>8273</v>
      </c>
      <c r="C5752" t="s">
        <v>8398</v>
      </c>
      <c r="D5752" t="s">
        <v>8419</v>
      </c>
      <c r="E5752" t="s">
        <v>8444</v>
      </c>
      <c r="F5752" t="s">
        <v>8447</v>
      </c>
      <c r="G5752" t="s">
        <v>9466</v>
      </c>
    </row>
    <row r="5753" spans="1:7">
      <c r="A5753" t="s">
        <v>8102</v>
      </c>
      <c r="C5753" t="s">
        <v>8394</v>
      </c>
      <c r="D5753" t="s">
        <v>8414</v>
      </c>
      <c r="E5753" t="s">
        <v>8445</v>
      </c>
      <c r="F5753" t="s">
        <v>8448</v>
      </c>
      <c r="G5753" t="s">
        <v>9486</v>
      </c>
    </row>
    <row r="5754" spans="1:7">
      <c r="A5754" t="s">
        <v>8103</v>
      </c>
      <c r="B5754" t="s">
        <v>8273</v>
      </c>
      <c r="C5754" t="s">
        <v>8396</v>
      </c>
      <c r="D5754" t="s">
        <v>8406</v>
      </c>
      <c r="E5754" t="s">
        <v>8446</v>
      </c>
      <c r="F5754" t="s">
        <v>8449</v>
      </c>
      <c r="G5754" t="s">
        <v>8455</v>
      </c>
    </row>
    <row r="5755" spans="1:7">
      <c r="A5755" t="s">
        <v>8104</v>
      </c>
      <c r="B5755" t="s">
        <v>8273</v>
      </c>
      <c r="C5755" t="s">
        <v>8395</v>
      </c>
      <c r="D5755" t="s">
        <v>8400</v>
      </c>
      <c r="E5755" t="s">
        <v>8444</v>
      </c>
      <c r="F5755" t="s">
        <v>8448</v>
      </c>
      <c r="G5755" t="s">
        <v>8455</v>
      </c>
    </row>
    <row r="5756" spans="1:7">
      <c r="A5756" t="s">
        <v>8105</v>
      </c>
      <c r="B5756" t="s">
        <v>8273</v>
      </c>
      <c r="C5756" t="s">
        <v>8395</v>
      </c>
      <c r="D5756" t="s">
        <v>8422</v>
      </c>
      <c r="E5756" t="s">
        <v>8445</v>
      </c>
      <c r="F5756" t="s">
        <v>8449</v>
      </c>
      <c r="G5756" t="s">
        <v>8455</v>
      </c>
    </row>
    <row r="5757" spans="1:7">
      <c r="A5757" t="s">
        <v>8106</v>
      </c>
      <c r="B5757" t="s">
        <v>8273</v>
      </c>
      <c r="C5757" t="s">
        <v>8398</v>
      </c>
      <c r="D5757" t="s">
        <v>8419</v>
      </c>
      <c r="E5757" t="s">
        <v>1519</v>
      </c>
      <c r="F5757" t="s">
        <v>8449</v>
      </c>
      <c r="G5757" t="s">
        <v>9487</v>
      </c>
    </row>
    <row r="5758" spans="1:7">
      <c r="A5758" t="s">
        <v>8107</v>
      </c>
      <c r="C5758" t="s">
        <v>8393</v>
      </c>
      <c r="D5758" t="s">
        <v>8393</v>
      </c>
      <c r="E5758" t="s">
        <v>919</v>
      </c>
      <c r="F5758" t="s">
        <v>8393</v>
      </c>
    </row>
    <row r="5759" spans="1:7">
      <c r="A5759" t="s">
        <v>8108</v>
      </c>
      <c r="B5759" t="s">
        <v>8273</v>
      </c>
      <c r="C5759" t="s">
        <v>8392</v>
      </c>
      <c r="D5759" t="s">
        <v>8400</v>
      </c>
      <c r="E5759" t="s">
        <v>1519</v>
      </c>
      <c r="F5759" t="s">
        <v>8447</v>
      </c>
      <c r="G5759" t="s">
        <v>8455</v>
      </c>
    </row>
    <row r="5760" spans="1:7">
      <c r="A5760" t="s">
        <v>8109</v>
      </c>
      <c r="B5760" t="s">
        <v>8273</v>
      </c>
      <c r="C5760" t="s">
        <v>8396</v>
      </c>
      <c r="D5760" t="s">
        <v>8425</v>
      </c>
      <c r="E5760" t="s">
        <v>1519</v>
      </c>
      <c r="F5760" t="s">
        <v>8448</v>
      </c>
      <c r="G5760" t="s">
        <v>9488</v>
      </c>
    </row>
    <row r="5761" spans="1:7">
      <c r="A5761" t="s">
        <v>8110</v>
      </c>
      <c r="B5761" t="s">
        <v>8273</v>
      </c>
      <c r="C5761" t="s">
        <v>8396</v>
      </c>
      <c r="D5761" t="s">
        <v>8411</v>
      </c>
      <c r="E5761" t="s">
        <v>1519</v>
      </c>
      <c r="F5761" t="s">
        <v>8447</v>
      </c>
      <c r="G5761" t="s">
        <v>9489</v>
      </c>
    </row>
    <row r="5762" spans="1:7">
      <c r="A5762" t="s">
        <v>8111</v>
      </c>
      <c r="B5762" t="s">
        <v>8273</v>
      </c>
      <c r="C5762" t="s">
        <v>8396</v>
      </c>
      <c r="D5762" t="s">
        <v>8411</v>
      </c>
      <c r="E5762" t="s">
        <v>8444</v>
      </c>
      <c r="F5762" t="s">
        <v>8447</v>
      </c>
      <c r="G5762" t="s">
        <v>9490</v>
      </c>
    </row>
    <row r="5763" spans="1:7">
      <c r="A5763" t="s">
        <v>8112</v>
      </c>
      <c r="B5763" t="s">
        <v>8274</v>
      </c>
      <c r="C5763" t="s">
        <v>8396</v>
      </c>
      <c r="D5763" t="s">
        <v>8406</v>
      </c>
      <c r="E5763" t="s">
        <v>8445</v>
      </c>
      <c r="F5763" t="s">
        <v>8449</v>
      </c>
      <c r="G5763" t="s">
        <v>8455</v>
      </c>
    </row>
    <row r="5764" spans="1:7">
      <c r="A5764" t="s">
        <v>8113</v>
      </c>
      <c r="C5764" t="s">
        <v>8393</v>
      </c>
      <c r="D5764" t="s">
        <v>8393</v>
      </c>
      <c r="E5764" t="s">
        <v>919</v>
      </c>
      <c r="F5764" t="s">
        <v>8393</v>
      </c>
    </row>
    <row r="5765" spans="1:7">
      <c r="A5765" t="s">
        <v>8114</v>
      </c>
      <c r="B5765" t="s">
        <v>8273</v>
      </c>
      <c r="C5765" t="s">
        <v>8396</v>
      </c>
      <c r="D5765" t="s">
        <v>8404</v>
      </c>
      <c r="E5765" t="s">
        <v>8446</v>
      </c>
      <c r="F5765" t="s">
        <v>8449</v>
      </c>
      <c r="G5765" t="s">
        <v>9491</v>
      </c>
    </row>
    <row r="5766" spans="1:7">
      <c r="A5766" t="s">
        <v>8115</v>
      </c>
      <c r="B5766" t="s">
        <v>8273</v>
      </c>
      <c r="C5766" t="s">
        <v>8396</v>
      </c>
      <c r="D5766" t="s">
        <v>8404</v>
      </c>
      <c r="E5766" t="s">
        <v>8446</v>
      </c>
      <c r="F5766" t="s">
        <v>8449</v>
      </c>
      <c r="G5766" t="s">
        <v>9491</v>
      </c>
    </row>
    <row r="5767" spans="1:7">
      <c r="A5767" t="s">
        <v>8116</v>
      </c>
      <c r="B5767" t="s">
        <v>8300</v>
      </c>
      <c r="C5767" t="s">
        <v>8396</v>
      </c>
      <c r="D5767" t="s">
        <v>8404</v>
      </c>
      <c r="E5767" t="s">
        <v>8446</v>
      </c>
      <c r="F5767" t="s">
        <v>8449</v>
      </c>
      <c r="G5767" t="s">
        <v>9491</v>
      </c>
    </row>
    <row r="5768" spans="1:7">
      <c r="A5768" t="s">
        <v>8117</v>
      </c>
      <c r="B5768" t="s">
        <v>8285</v>
      </c>
      <c r="C5768" t="s">
        <v>8396</v>
      </c>
      <c r="D5768" t="s">
        <v>8404</v>
      </c>
      <c r="E5768" t="s">
        <v>8446</v>
      </c>
      <c r="F5768" t="s">
        <v>8449</v>
      </c>
      <c r="G5768" t="s">
        <v>8455</v>
      </c>
    </row>
    <row r="5769" spans="1:7">
      <c r="A5769" t="s">
        <v>8118</v>
      </c>
      <c r="B5769" t="s">
        <v>8274</v>
      </c>
      <c r="C5769" t="s">
        <v>8396</v>
      </c>
      <c r="D5769" t="s">
        <v>8404</v>
      </c>
      <c r="E5769" t="s">
        <v>8446</v>
      </c>
      <c r="F5769" t="s">
        <v>8449</v>
      </c>
      <c r="G5769" t="s">
        <v>8455</v>
      </c>
    </row>
    <row r="5770" spans="1:7">
      <c r="A5770" t="s">
        <v>8119</v>
      </c>
      <c r="B5770" t="s">
        <v>8273</v>
      </c>
      <c r="C5770" t="s">
        <v>8396</v>
      </c>
      <c r="D5770" t="s">
        <v>8404</v>
      </c>
      <c r="E5770" t="s">
        <v>8446</v>
      </c>
      <c r="F5770" t="s">
        <v>8449</v>
      </c>
      <c r="G5770" t="s">
        <v>9491</v>
      </c>
    </row>
    <row r="5771" spans="1:7">
      <c r="A5771" t="s">
        <v>8120</v>
      </c>
      <c r="B5771" t="s">
        <v>8273</v>
      </c>
      <c r="C5771" t="s">
        <v>8396</v>
      </c>
      <c r="D5771" t="s">
        <v>8404</v>
      </c>
      <c r="E5771" t="s">
        <v>8446</v>
      </c>
      <c r="F5771" t="s">
        <v>8449</v>
      </c>
      <c r="G5771" t="s">
        <v>9491</v>
      </c>
    </row>
    <row r="5772" spans="1:7">
      <c r="A5772" t="s">
        <v>8121</v>
      </c>
      <c r="B5772" t="s">
        <v>8277</v>
      </c>
      <c r="C5772" t="s">
        <v>8396</v>
      </c>
      <c r="D5772" t="s">
        <v>8404</v>
      </c>
      <c r="E5772" t="s">
        <v>8446</v>
      </c>
      <c r="F5772" t="s">
        <v>8449</v>
      </c>
      <c r="G5772" t="s">
        <v>8455</v>
      </c>
    </row>
    <row r="5773" spans="1:7">
      <c r="A5773" t="s">
        <v>8122</v>
      </c>
      <c r="B5773" t="s">
        <v>8273</v>
      </c>
      <c r="C5773" t="s">
        <v>8395</v>
      </c>
      <c r="D5773" t="s">
        <v>8415</v>
      </c>
      <c r="E5773" t="s">
        <v>8445</v>
      </c>
      <c r="F5773" t="s">
        <v>8449</v>
      </c>
      <c r="G5773" t="s">
        <v>8455</v>
      </c>
    </row>
    <row r="5774" spans="1:7">
      <c r="A5774" t="s">
        <v>8123</v>
      </c>
      <c r="B5774" t="s">
        <v>8273</v>
      </c>
      <c r="C5774" t="s">
        <v>8392</v>
      </c>
      <c r="D5774" t="s">
        <v>8415</v>
      </c>
      <c r="E5774" t="s">
        <v>8444</v>
      </c>
      <c r="F5774" t="s">
        <v>8448</v>
      </c>
      <c r="G5774" t="s">
        <v>8455</v>
      </c>
    </row>
    <row r="5775" spans="1:7">
      <c r="A5775" t="s">
        <v>8124</v>
      </c>
      <c r="B5775" t="s">
        <v>8273</v>
      </c>
      <c r="C5775" t="s">
        <v>8392</v>
      </c>
      <c r="D5775" t="s">
        <v>8415</v>
      </c>
      <c r="E5775" t="s">
        <v>8445</v>
      </c>
      <c r="F5775" t="s">
        <v>8449</v>
      </c>
      <c r="G5775" t="s">
        <v>8455</v>
      </c>
    </row>
    <row r="5776" spans="1:7">
      <c r="A5776" t="s">
        <v>8125</v>
      </c>
      <c r="C5776" t="s">
        <v>8396</v>
      </c>
      <c r="D5776" t="s">
        <v>8425</v>
      </c>
      <c r="E5776" t="s">
        <v>8446</v>
      </c>
      <c r="F5776" t="s">
        <v>8449</v>
      </c>
      <c r="G5776" t="s">
        <v>795</v>
      </c>
    </row>
    <row r="5777" spans="1:7">
      <c r="A5777" t="s">
        <v>8126</v>
      </c>
      <c r="C5777" t="s">
        <v>8393</v>
      </c>
      <c r="D5777" t="s">
        <v>8393</v>
      </c>
      <c r="E5777" t="s">
        <v>919</v>
      </c>
      <c r="F5777" t="s">
        <v>8393</v>
      </c>
    </row>
    <row r="5778" spans="1:7">
      <c r="A5778" t="s">
        <v>8127</v>
      </c>
      <c r="B5778" t="s">
        <v>8344</v>
      </c>
      <c r="C5778" t="s">
        <v>8395</v>
      </c>
      <c r="D5778" t="s">
        <v>8405</v>
      </c>
      <c r="E5778" t="s">
        <v>8445</v>
      </c>
      <c r="F5778" t="s">
        <v>8448</v>
      </c>
      <c r="G5778" t="s">
        <v>8455</v>
      </c>
    </row>
    <row r="5779" spans="1:7">
      <c r="A5779" t="s">
        <v>8128</v>
      </c>
      <c r="B5779" t="s">
        <v>8344</v>
      </c>
      <c r="C5779" t="s">
        <v>8396</v>
      </c>
      <c r="D5779" t="s">
        <v>8405</v>
      </c>
      <c r="E5779" t="s">
        <v>8445</v>
      </c>
      <c r="F5779" t="s">
        <v>8448</v>
      </c>
      <c r="G5779" t="s">
        <v>8455</v>
      </c>
    </row>
    <row r="5780" spans="1:7">
      <c r="A5780" t="s">
        <v>8129</v>
      </c>
      <c r="B5780" t="s">
        <v>8354</v>
      </c>
      <c r="C5780" t="s">
        <v>8396</v>
      </c>
      <c r="D5780" t="s">
        <v>8405</v>
      </c>
      <c r="E5780" t="s">
        <v>8445</v>
      </c>
      <c r="F5780" t="s">
        <v>8448</v>
      </c>
      <c r="G5780" t="s">
        <v>8455</v>
      </c>
    </row>
    <row r="5781" spans="1:7">
      <c r="A5781" t="s">
        <v>8130</v>
      </c>
      <c r="B5781" t="s">
        <v>8355</v>
      </c>
      <c r="C5781" t="s">
        <v>8395</v>
      </c>
      <c r="D5781" t="s">
        <v>8405</v>
      </c>
      <c r="E5781" t="s">
        <v>8445</v>
      </c>
      <c r="F5781" t="s">
        <v>8449</v>
      </c>
      <c r="G5781" t="s">
        <v>8455</v>
      </c>
    </row>
    <row r="5782" spans="1:7">
      <c r="A5782" t="s">
        <v>8131</v>
      </c>
      <c r="B5782" t="s">
        <v>8357</v>
      </c>
      <c r="C5782" t="s">
        <v>8395</v>
      </c>
      <c r="D5782" t="s">
        <v>8405</v>
      </c>
      <c r="E5782" t="s">
        <v>8445</v>
      </c>
      <c r="F5782" t="s">
        <v>8449</v>
      </c>
      <c r="G5782" t="s">
        <v>8455</v>
      </c>
    </row>
    <row r="5783" spans="1:7">
      <c r="A5783" t="s">
        <v>8132</v>
      </c>
      <c r="B5783" t="s">
        <v>8344</v>
      </c>
      <c r="C5783" t="s">
        <v>8396</v>
      </c>
      <c r="D5783" t="s">
        <v>8405</v>
      </c>
      <c r="E5783" t="s">
        <v>8445</v>
      </c>
      <c r="F5783" t="s">
        <v>8448</v>
      </c>
      <c r="G5783" t="s">
        <v>8455</v>
      </c>
    </row>
    <row r="5784" spans="1:7">
      <c r="A5784" t="s">
        <v>8133</v>
      </c>
      <c r="B5784" t="s">
        <v>8344</v>
      </c>
      <c r="C5784" t="s">
        <v>8396</v>
      </c>
      <c r="D5784" t="s">
        <v>8405</v>
      </c>
      <c r="E5784" t="s">
        <v>8445</v>
      </c>
      <c r="F5784" t="s">
        <v>8448</v>
      </c>
      <c r="G5784" t="s">
        <v>8455</v>
      </c>
    </row>
    <row r="5785" spans="1:7">
      <c r="A5785" t="s">
        <v>8134</v>
      </c>
      <c r="B5785" t="s">
        <v>8358</v>
      </c>
      <c r="C5785" t="s">
        <v>8396</v>
      </c>
      <c r="D5785" t="s">
        <v>8405</v>
      </c>
      <c r="E5785" t="s">
        <v>8445</v>
      </c>
      <c r="F5785" t="s">
        <v>8448</v>
      </c>
      <c r="G5785" t="s">
        <v>8455</v>
      </c>
    </row>
    <row r="5786" spans="1:7">
      <c r="A5786" t="s">
        <v>8135</v>
      </c>
      <c r="B5786" t="s">
        <v>8349</v>
      </c>
      <c r="C5786" t="s">
        <v>8395</v>
      </c>
      <c r="D5786" t="s">
        <v>8405</v>
      </c>
      <c r="E5786" t="s">
        <v>8445</v>
      </c>
      <c r="F5786" t="s">
        <v>8449</v>
      </c>
      <c r="G5786" t="s">
        <v>8455</v>
      </c>
    </row>
    <row r="5787" spans="1:7">
      <c r="A5787" t="s">
        <v>8136</v>
      </c>
      <c r="B5787" t="s">
        <v>8356</v>
      </c>
      <c r="C5787" t="s">
        <v>8395</v>
      </c>
      <c r="D5787" t="s">
        <v>8405</v>
      </c>
      <c r="E5787" t="s">
        <v>8445</v>
      </c>
      <c r="F5787" t="s">
        <v>8449</v>
      </c>
      <c r="G5787" t="s">
        <v>8455</v>
      </c>
    </row>
    <row r="5788" spans="1:7">
      <c r="A5788" t="s">
        <v>8126</v>
      </c>
      <c r="C5788" t="s">
        <v>8393</v>
      </c>
      <c r="D5788" t="s">
        <v>8393</v>
      </c>
      <c r="E5788" t="s">
        <v>919</v>
      </c>
      <c r="F5788" t="s">
        <v>8393</v>
      </c>
    </row>
    <row r="5789" spans="1:7">
      <c r="A5789" t="s">
        <v>8127</v>
      </c>
      <c r="B5789" t="s">
        <v>8344</v>
      </c>
      <c r="C5789" t="s">
        <v>8395</v>
      </c>
      <c r="D5789" t="s">
        <v>8405</v>
      </c>
      <c r="E5789" t="s">
        <v>8445</v>
      </c>
      <c r="F5789" t="s">
        <v>8448</v>
      </c>
      <c r="G5789" t="s">
        <v>8455</v>
      </c>
    </row>
    <row r="5790" spans="1:7">
      <c r="A5790" t="s">
        <v>8128</v>
      </c>
      <c r="B5790" t="s">
        <v>8344</v>
      </c>
      <c r="C5790" t="s">
        <v>8396</v>
      </c>
      <c r="D5790" t="s">
        <v>8405</v>
      </c>
      <c r="E5790" t="s">
        <v>8445</v>
      </c>
      <c r="F5790" t="s">
        <v>8448</v>
      </c>
      <c r="G5790" t="s">
        <v>8455</v>
      </c>
    </row>
    <row r="5791" spans="1:7">
      <c r="A5791" t="s">
        <v>8129</v>
      </c>
      <c r="B5791" t="s">
        <v>8354</v>
      </c>
      <c r="C5791" t="s">
        <v>8396</v>
      </c>
      <c r="D5791" t="s">
        <v>8405</v>
      </c>
      <c r="E5791" t="s">
        <v>8445</v>
      </c>
      <c r="F5791" t="s">
        <v>8448</v>
      </c>
      <c r="G5791" t="s">
        <v>8455</v>
      </c>
    </row>
    <row r="5792" spans="1:7">
      <c r="A5792" t="s">
        <v>8130</v>
      </c>
      <c r="B5792" t="s">
        <v>8355</v>
      </c>
      <c r="C5792" t="s">
        <v>8395</v>
      </c>
      <c r="D5792" t="s">
        <v>8405</v>
      </c>
      <c r="E5792" t="s">
        <v>8445</v>
      </c>
      <c r="F5792" t="s">
        <v>8449</v>
      </c>
      <c r="G5792" t="s">
        <v>8455</v>
      </c>
    </row>
    <row r="5793" spans="1:7">
      <c r="A5793" t="s">
        <v>8131</v>
      </c>
      <c r="B5793" t="s">
        <v>8357</v>
      </c>
      <c r="C5793" t="s">
        <v>8395</v>
      </c>
      <c r="D5793" t="s">
        <v>8405</v>
      </c>
      <c r="E5793" t="s">
        <v>8445</v>
      </c>
      <c r="F5793" t="s">
        <v>8449</v>
      </c>
      <c r="G5793" t="s">
        <v>8455</v>
      </c>
    </row>
    <row r="5794" spans="1:7">
      <c r="A5794" t="s">
        <v>8132</v>
      </c>
      <c r="B5794" t="s">
        <v>8344</v>
      </c>
      <c r="C5794" t="s">
        <v>8396</v>
      </c>
      <c r="D5794" t="s">
        <v>8405</v>
      </c>
      <c r="E5794" t="s">
        <v>8445</v>
      </c>
      <c r="F5794" t="s">
        <v>8448</v>
      </c>
      <c r="G5794" t="s">
        <v>8455</v>
      </c>
    </row>
    <row r="5795" spans="1:7">
      <c r="A5795" t="s">
        <v>8133</v>
      </c>
      <c r="B5795" t="s">
        <v>8344</v>
      </c>
      <c r="C5795" t="s">
        <v>8396</v>
      </c>
      <c r="D5795" t="s">
        <v>8405</v>
      </c>
      <c r="E5795" t="s">
        <v>8445</v>
      </c>
      <c r="F5795" t="s">
        <v>8448</v>
      </c>
      <c r="G5795" t="s">
        <v>8455</v>
      </c>
    </row>
    <row r="5796" spans="1:7">
      <c r="A5796" t="s">
        <v>8134</v>
      </c>
      <c r="B5796" t="s">
        <v>8358</v>
      </c>
      <c r="C5796" t="s">
        <v>8396</v>
      </c>
      <c r="D5796" t="s">
        <v>8405</v>
      </c>
      <c r="E5796" t="s">
        <v>8445</v>
      </c>
      <c r="F5796" t="s">
        <v>8448</v>
      </c>
      <c r="G5796" t="s">
        <v>8455</v>
      </c>
    </row>
    <row r="5797" spans="1:7">
      <c r="A5797" t="s">
        <v>8135</v>
      </c>
      <c r="B5797" t="s">
        <v>8349</v>
      </c>
      <c r="C5797" t="s">
        <v>8395</v>
      </c>
      <c r="D5797" t="s">
        <v>8405</v>
      </c>
      <c r="E5797" t="s">
        <v>8445</v>
      </c>
      <c r="F5797" t="s">
        <v>8449</v>
      </c>
      <c r="G5797" t="s">
        <v>8455</v>
      </c>
    </row>
    <row r="5798" spans="1:7">
      <c r="A5798" t="s">
        <v>8136</v>
      </c>
      <c r="B5798" t="s">
        <v>8356</v>
      </c>
      <c r="C5798" t="s">
        <v>8395</v>
      </c>
      <c r="D5798" t="s">
        <v>8405</v>
      </c>
      <c r="E5798" t="s">
        <v>8445</v>
      </c>
      <c r="F5798" t="s">
        <v>8449</v>
      </c>
      <c r="G5798" t="s">
        <v>8455</v>
      </c>
    </row>
    <row r="5799" spans="1:7">
      <c r="A5799" t="s">
        <v>8137</v>
      </c>
      <c r="B5799" t="s">
        <v>8273</v>
      </c>
      <c r="C5799" t="s">
        <v>8395</v>
      </c>
      <c r="D5799" t="s">
        <v>8400</v>
      </c>
      <c r="E5799" t="s">
        <v>8446</v>
      </c>
      <c r="F5799" t="s">
        <v>8448</v>
      </c>
      <c r="G5799" t="s">
        <v>8455</v>
      </c>
    </row>
    <row r="5800" spans="1:7">
      <c r="A5800" t="s">
        <v>8138</v>
      </c>
      <c r="B5800" t="s">
        <v>8273</v>
      </c>
      <c r="C5800" t="s">
        <v>8395</v>
      </c>
      <c r="D5800" t="s">
        <v>8404</v>
      </c>
      <c r="E5800" t="s">
        <v>1519</v>
      </c>
      <c r="F5800" t="s">
        <v>8449</v>
      </c>
      <c r="G5800" t="s">
        <v>8455</v>
      </c>
    </row>
    <row r="5801" spans="1:7">
      <c r="A5801" t="s">
        <v>8139</v>
      </c>
      <c r="B5801" t="s">
        <v>8273</v>
      </c>
      <c r="C5801" t="s">
        <v>8392</v>
      </c>
      <c r="D5801" t="s">
        <v>8415</v>
      </c>
      <c r="E5801" t="s">
        <v>8446</v>
      </c>
      <c r="F5801" t="s">
        <v>8449</v>
      </c>
      <c r="G5801" t="s">
        <v>8455</v>
      </c>
    </row>
    <row r="5802" spans="1:7">
      <c r="A5802" t="s">
        <v>8140</v>
      </c>
      <c r="B5802" t="s">
        <v>8278</v>
      </c>
      <c r="C5802" t="s">
        <v>8394</v>
      </c>
      <c r="D5802" t="s">
        <v>8423</v>
      </c>
      <c r="E5802" t="s">
        <v>8446</v>
      </c>
      <c r="F5802" t="s">
        <v>8449</v>
      </c>
      <c r="G5802" t="s">
        <v>8455</v>
      </c>
    </row>
    <row r="5803" spans="1:7">
      <c r="A5803" t="s">
        <v>8141</v>
      </c>
      <c r="C5803" t="s">
        <v>8394</v>
      </c>
      <c r="D5803" t="s">
        <v>8414</v>
      </c>
      <c r="E5803" t="s">
        <v>8445</v>
      </c>
      <c r="F5803" t="s">
        <v>8448</v>
      </c>
      <c r="G5803" t="s">
        <v>8453</v>
      </c>
    </row>
    <row r="5804" spans="1:7">
      <c r="A5804" t="s">
        <v>8142</v>
      </c>
      <c r="B5804" t="s">
        <v>8273</v>
      </c>
      <c r="C5804" t="s">
        <v>8398</v>
      </c>
      <c r="D5804" t="s">
        <v>8419</v>
      </c>
      <c r="E5804" t="s">
        <v>1519</v>
      </c>
      <c r="F5804" t="s">
        <v>8448</v>
      </c>
      <c r="G5804" t="s">
        <v>8455</v>
      </c>
    </row>
    <row r="5805" spans="1:7">
      <c r="A5805" t="s">
        <v>8143</v>
      </c>
      <c r="C5805" t="s">
        <v>8394</v>
      </c>
      <c r="D5805" t="s">
        <v>8401</v>
      </c>
      <c r="E5805" t="s">
        <v>8445</v>
      </c>
      <c r="F5805" t="s">
        <v>8448</v>
      </c>
      <c r="G5805" t="s">
        <v>9492</v>
      </c>
    </row>
    <row r="5806" spans="1:7">
      <c r="A5806" t="s">
        <v>8144</v>
      </c>
      <c r="C5806" t="s">
        <v>8393</v>
      </c>
      <c r="D5806" t="s">
        <v>8393</v>
      </c>
      <c r="E5806" t="s">
        <v>919</v>
      </c>
      <c r="F5806" t="s">
        <v>8393</v>
      </c>
    </row>
    <row r="5807" spans="1:7">
      <c r="A5807" t="s">
        <v>8145</v>
      </c>
      <c r="B5807" t="s">
        <v>8273</v>
      </c>
      <c r="C5807" t="s">
        <v>8394</v>
      </c>
      <c r="D5807" t="s">
        <v>8414</v>
      </c>
      <c r="E5807" t="s">
        <v>8446</v>
      </c>
      <c r="F5807" t="s">
        <v>8449</v>
      </c>
      <c r="G5807" t="s">
        <v>8455</v>
      </c>
    </row>
    <row r="5808" spans="1:7">
      <c r="A5808" t="s">
        <v>8146</v>
      </c>
      <c r="B5808" t="s">
        <v>8286</v>
      </c>
      <c r="C5808" t="s">
        <v>8394</v>
      </c>
      <c r="D5808" t="s">
        <v>8414</v>
      </c>
      <c r="E5808" t="s">
        <v>8446</v>
      </c>
      <c r="F5808" t="s">
        <v>8449</v>
      </c>
      <c r="G5808" t="s">
        <v>8455</v>
      </c>
    </row>
    <row r="5809" spans="1:7">
      <c r="A5809" t="s">
        <v>8147</v>
      </c>
      <c r="B5809" t="s">
        <v>8274</v>
      </c>
      <c r="C5809" t="s">
        <v>8394</v>
      </c>
      <c r="D5809" t="s">
        <v>8414</v>
      </c>
      <c r="E5809" t="s">
        <v>8446</v>
      </c>
      <c r="F5809" t="s">
        <v>8449</v>
      </c>
      <c r="G5809" t="s">
        <v>8455</v>
      </c>
    </row>
    <row r="5810" spans="1:7">
      <c r="A5810" t="s">
        <v>8148</v>
      </c>
      <c r="B5810" t="s">
        <v>8287</v>
      </c>
      <c r="C5810" t="s">
        <v>8394</v>
      </c>
      <c r="D5810" t="s">
        <v>8414</v>
      </c>
      <c r="E5810" t="s">
        <v>8446</v>
      </c>
      <c r="F5810" t="s">
        <v>8449</v>
      </c>
      <c r="G5810" t="s">
        <v>8455</v>
      </c>
    </row>
    <row r="5811" spans="1:7">
      <c r="A5811" t="s">
        <v>8149</v>
      </c>
      <c r="B5811" t="s">
        <v>8277</v>
      </c>
      <c r="C5811" t="s">
        <v>8394</v>
      </c>
      <c r="D5811" t="s">
        <v>8414</v>
      </c>
      <c r="E5811" t="s">
        <v>8446</v>
      </c>
      <c r="F5811" t="s">
        <v>8449</v>
      </c>
      <c r="G5811" t="s">
        <v>8455</v>
      </c>
    </row>
    <row r="5812" spans="1:7">
      <c r="A5812" t="s">
        <v>8150</v>
      </c>
      <c r="B5812" t="s">
        <v>8273</v>
      </c>
      <c r="C5812" t="s">
        <v>8396</v>
      </c>
      <c r="D5812" t="s">
        <v>8405</v>
      </c>
      <c r="E5812" t="s">
        <v>8445</v>
      </c>
      <c r="F5812" t="s">
        <v>8448</v>
      </c>
      <c r="G5812" t="s">
        <v>8455</v>
      </c>
    </row>
    <row r="5813" spans="1:7">
      <c r="A5813" t="s">
        <v>8151</v>
      </c>
      <c r="B5813" t="s">
        <v>8273</v>
      </c>
      <c r="C5813" t="s">
        <v>8395</v>
      </c>
      <c r="D5813" t="s">
        <v>8414</v>
      </c>
      <c r="E5813" t="s">
        <v>8446</v>
      </c>
      <c r="F5813" t="s">
        <v>8449</v>
      </c>
      <c r="G5813" t="s">
        <v>8455</v>
      </c>
    </row>
    <row r="5814" spans="1:7">
      <c r="A5814" t="s">
        <v>8152</v>
      </c>
      <c r="B5814" t="s">
        <v>8273</v>
      </c>
      <c r="C5814" t="s">
        <v>8397</v>
      </c>
      <c r="D5814" t="s">
        <v>8421</v>
      </c>
      <c r="E5814" t="s">
        <v>1519</v>
      </c>
      <c r="F5814" t="s">
        <v>8448</v>
      </c>
      <c r="G5814" t="s">
        <v>8519</v>
      </c>
    </row>
    <row r="5815" spans="1:7">
      <c r="A5815" t="s">
        <v>8153</v>
      </c>
      <c r="C5815" t="s">
        <v>8394</v>
      </c>
      <c r="D5815" t="s">
        <v>8401</v>
      </c>
      <c r="E5815" t="s">
        <v>8445</v>
      </c>
      <c r="F5815" t="s">
        <v>8448</v>
      </c>
      <c r="G5815" t="s">
        <v>9493</v>
      </c>
    </row>
    <row r="5816" spans="1:7">
      <c r="A5816" t="s">
        <v>8154</v>
      </c>
      <c r="C5816" t="s">
        <v>8394</v>
      </c>
      <c r="D5816" t="s">
        <v>8401</v>
      </c>
      <c r="E5816" t="s">
        <v>8445</v>
      </c>
      <c r="F5816" t="s">
        <v>8448</v>
      </c>
      <c r="G5816" t="s">
        <v>9494</v>
      </c>
    </row>
    <row r="5817" spans="1:7">
      <c r="A5817" t="s">
        <v>8155</v>
      </c>
      <c r="C5817" t="s">
        <v>8396</v>
      </c>
      <c r="D5817" t="s">
        <v>8411</v>
      </c>
      <c r="E5817" t="s">
        <v>1519</v>
      </c>
      <c r="F5817" t="s">
        <v>8447</v>
      </c>
      <c r="G5817" t="s">
        <v>8519</v>
      </c>
    </row>
    <row r="5818" spans="1:7">
      <c r="A5818" t="s">
        <v>8156</v>
      </c>
      <c r="B5818" t="s">
        <v>8273</v>
      </c>
      <c r="C5818" t="s">
        <v>8396</v>
      </c>
      <c r="D5818" t="s">
        <v>8425</v>
      </c>
      <c r="E5818" t="s">
        <v>8446</v>
      </c>
      <c r="F5818" t="s">
        <v>8448</v>
      </c>
      <c r="G5818" t="s">
        <v>8455</v>
      </c>
    </row>
    <row r="5819" spans="1:7">
      <c r="A5819" t="s">
        <v>8157</v>
      </c>
      <c r="C5819" t="s">
        <v>8394</v>
      </c>
      <c r="D5819" t="s">
        <v>8416</v>
      </c>
      <c r="E5819" t="s">
        <v>8446</v>
      </c>
      <c r="F5819" t="s">
        <v>8448</v>
      </c>
      <c r="G5819" t="s">
        <v>9495</v>
      </c>
    </row>
    <row r="5820" spans="1:7">
      <c r="A5820" t="s">
        <v>8158</v>
      </c>
      <c r="C5820" t="s">
        <v>8393</v>
      </c>
      <c r="D5820" t="s">
        <v>8393</v>
      </c>
      <c r="E5820" t="s">
        <v>919</v>
      </c>
      <c r="F5820" t="s">
        <v>8393</v>
      </c>
    </row>
    <row r="5821" spans="1:7">
      <c r="A5821" t="s">
        <v>8159</v>
      </c>
      <c r="B5821" t="s">
        <v>8273</v>
      </c>
      <c r="C5821" t="s">
        <v>8398</v>
      </c>
      <c r="D5821" t="s">
        <v>8419</v>
      </c>
      <c r="E5821" t="s">
        <v>8446</v>
      </c>
      <c r="F5821" t="s">
        <v>8449</v>
      </c>
      <c r="G5821" t="s">
        <v>8455</v>
      </c>
    </row>
    <row r="5822" spans="1:7">
      <c r="A5822" t="s">
        <v>8160</v>
      </c>
      <c r="B5822" t="s">
        <v>8277</v>
      </c>
      <c r="C5822" t="s">
        <v>8398</v>
      </c>
      <c r="D5822" t="s">
        <v>8419</v>
      </c>
      <c r="E5822" t="s">
        <v>8446</v>
      </c>
      <c r="F5822" t="s">
        <v>8449</v>
      </c>
      <c r="G5822" t="s">
        <v>8455</v>
      </c>
    </row>
    <row r="5823" spans="1:7">
      <c r="A5823" t="s">
        <v>8161</v>
      </c>
      <c r="B5823" t="s">
        <v>8299</v>
      </c>
      <c r="C5823" t="s">
        <v>8397</v>
      </c>
      <c r="D5823" t="s">
        <v>8430</v>
      </c>
      <c r="E5823" t="s">
        <v>1519</v>
      </c>
      <c r="F5823" t="s">
        <v>8448</v>
      </c>
      <c r="G5823" t="s">
        <v>9496</v>
      </c>
    </row>
    <row r="5824" spans="1:7">
      <c r="A5824" t="s">
        <v>8162</v>
      </c>
      <c r="C5824" t="s">
        <v>8392</v>
      </c>
      <c r="D5824" t="s">
        <v>8400</v>
      </c>
      <c r="E5824" t="s">
        <v>1519</v>
      </c>
      <c r="F5824" t="s">
        <v>8449</v>
      </c>
      <c r="G5824" t="s">
        <v>795</v>
      </c>
    </row>
    <row r="5825" spans="1:7">
      <c r="A5825" t="s">
        <v>8163</v>
      </c>
      <c r="B5825" t="s">
        <v>8273</v>
      </c>
      <c r="C5825" t="s">
        <v>8392</v>
      </c>
      <c r="D5825" t="s">
        <v>8415</v>
      </c>
      <c r="E5825" t="s">
        <v>8446</v>
      </c>
      <c r="F5825" t="s">
        <v>8449</v>
      </c>
      <c r="G5825" t="s">
        <v>8455</v>
      </c>
    </row>
    <row r="5826" spans="1:7">
      <c r="A5826" t="s">
        <v>8164</v>
      </c>
      <c r="B5826" t="s">
        <v>8273</v>
      </c>
      <c r="C5826" t="s">
        <v>8394</v>
      </c>
      <c r="D5826" t="s">
        <v>8414</v>
      </c>
      <c r="E5826" t="s">
        <v>8445</v>
      </c>
      <c r="F5826" t="s">
        <v>8449</v>
      </c>
      <c r="G5826" t="s">
        <v>8455</v>
      </c>
    </row>
    <row r="5827" spans="1:7">
      <c r="A5827" t="s">
        <v>8165</v>
      </c>
      <c r="C5827" t="s">
        <v>8393</v>
      </c>
      <c r="D5827" t="s">
        <v>8393</v>
      </c>
      <c r="E5827" t="s">
        <v>919</v>
      </c>
      <c r="F5827" t="s">
        <v>8393</v>
      </c>
    </row>
    <row r="5828" spans="1:7">
      <c r="A5828" t="s">
        <v>8166</v>
      </c>
      <c r="C5828" t="s">
        <v>8392</v>
      </c>
      <c r="D5828" t="s">
        <v>8400</v>
      </c>
      <c r="E5828" t="s">
        <v>1519</v>
      </c>
      <c r="F5828" t="s">
        <v>8449</v>
      </c>
      <c r="G5828" t="s">
        <v>8455</v>
      </c>
    </row>
    <row r="5829" spans="1:7">
      <c r="A5829" t="s">
        <v>8167</v>
      </c>
      <c r="B5829" t="s">
        <v>8313</v>
      </c>
      <c r="C5829" t="s">
        <v>8392</v>
      </c>
      <c r="D5829" t="s">
        <v>8400</v>
      </c>
      <c r="E5829" t="s">
        <v>1519</v>
      </c>
      <c r="F5829" t="s">
        <v>8449</v>
      </c>
      <c r="G5829" t="s">
        <v>8455</v>
      </c>
    </row>
    <row r="5830" spans="1:7">
      <c r="A5830" t="s">
        <v>8168</v>
      </c>
      <c r="C5830" t="s">
        <v>8393</v>
      </c>
      <c r="D5830" t="s">
        <v>8393</v>
      </c>
      <c r="E5830" t="s">
        <v>919</v>
      </c>
      <c r="F5830" t="s">
        <v>8393</v>
      </c>
    </row>
    <row r="5831" spans="1:7">
      <c r="A5831" t="s">
        <v>8169</v>
      </c>
      <c r="B5831" t="s">
        <v>8389</v>
      </c>
      <c r="C5831" t="s">
        <v>8398</v>
      </c>
      <c r="D5831" t="s">
        <v>8419</v>
      </c>
      <c r="E5831" t="s">
        <v>8445</v>
      </c>
      <c r="F5831" t="s">
        <v>8449</v>
      </c>
      <c r="G5831" t="s">
        <v>8455</v>
      </c>
    </row>
    <row r="5832" spans="1:7">
      <c r="A5832" t="s">
        <v>8170</v>
      </c>
      <c r="B5832" t="s">
        <v>8274</v>
      </c>
      <c r="C5832" t="s">
        <v>8398</v>
      </c>
      <c r="D5832" t="s">
        <v>8419</v>
      </c>
      <c r="E5832" t="s">
        <v>8445</v>
      </c>
      <c r="F5832" t="s">
        <v>8449</v>
      </c>
      <c r="G5832" t="s">
        <v>8455</v>
      </c>
    </row>
    <row r="5833" spans="1:7">
      <c r="A5833" t="s">
        <v>8171</v>
      </c>
      <c r="B5833" t="s">
        <v>8273</v>
      </c>
      <c r="C5833" t="s">
        <v>8398</v>
      </c>
      <c r="D5833" t="s">
        <v>8419</v>
      </c>
      <c r="E5833" t="s">
        <v>8445</v>
      </c>
      <c r="F5833" t="s">
        <v>8449</v>
      </c>
      <c r="G5833" t="s">
        <v>8455</v>
      </c>
    </row>
    <row r="5834" spans="1:7">
      <c r="A5834" t="s">
        <v>8172</v>
      </c>
      <c r="B5834" t="s">
        <v>8274</v>
      </c>
      <c r="C5834" t="s">
        <v>8396</v>
      </c>
      <c r="D5834" t="s">
        <v>8406</v>
      </c>
      <c r="E5834" t="s">
        <v>8445</v>
      </c>
      <c r="F5834" t="s">
        <v>8449</v>
      </c>
      <c r="G5834" t="s">
        <v>8455</v>
      </c>
    </row>
    <row r="5835" spans="1:7">
      <c r="A5835" t="s">
        <v>8173</v>
      </c>
      <c r="B5835" t="s">
        <v>8273</v>
      </c>
      <c r="C5835" t="s">
        <v>8398</v>
      </c>
      <c r="D5835" t="s">
        <v>8419</v>
      </c>
      <c r="E5835" t="s">
        <v>8445</v>
      </c>
      <c r="F5835" t="s">
        <v>8449</v>
      </c>
      <c r="G5835" t="s">
        <v>8455</v>
      </c>
    </row>
    <row r="5836" spans="1:7">
      <c r="A5836" t="s">
        <v>8174</v>
      </c>
      <c r="B5836" t="s">
        <v>8295</v>
      </c>
      <c r="C5836" t="s">
        <v>8398</v>
      </c>
      <c r="D5836" t="s">
        <v>8419</v>
      </c>
      <c r="E5836" t="s">
        <v>8445</v>
      </c>
      <c r="F5836" t="s">
        <v>8449</v>
      </c>
      <c r="G5836" t="s">
        <v>8455</v>
      </c>
    </row>
    <row r="5837" spans="1:7">
      <c r="A5837" t="s">
        <v>8175</v>
      </c>
      <c r="B5837" t="s">
        <v>8389</v>
      </c>
      <c r="C5837" t="s">
        <v>8398</v>
      </c>
      <c r="D5837" t="s">
        <v>8419</v>
      </c>
      <c r="E5837" t="s">
        <v>8445</v>
      </c>
      <c r="F5837" t="s">
        <v>8449</v>
      </c>
      <c r="G5837" t="s">
        <v>796</v>
      </c>
    </row>
    <row r="5838" spans="1:7">
      <c r="A5838" t="s">
        <v>8176</v>
      </c>
      <c r="B5838" t="s">
        <v>8295</v>
      </c>
      <c r="C5838" t="s">
        <v>8398</v>
      </c>
      <c r="D5838" t="s">
        <v>8419</v>
      </c>
      <c r="E5838" t="s">
        <v>8445</v>
      </c>
      <c r="F5838" t="s">
        <v>8449</v>
      </c>
      <c r="G5838" t="s">
        <v>796</v>
      </c>
    </row>
    <row r="5839" spans="1:7">
      <c r="A5839" t="s">
        <v>8177</v>
      </c>
      <c r="B5839" t="s">
        <v>8277</v>
      </c>
      <c r="C5839" t="s">
        <v>8398</v>
      </c>
      <c r="D5839" t="s">
        <v>8419</v>
      </c>
      <c r="E5839" t="s">
        <v>8445</v>
      </c>
      <c r="F5839" t="s">
        <v>8449</v>
      </c>
      <c r="G5839" t="s">
        <v>8455</v>
      </c>
    </row>
    <row r="5840" spans="1:7">
      <c r="A5840" t="s">
        <v>8178</v>
      </c>
      <c r="C5840" t="s">
        <v>8397</v>
      </c>
      <c r="D5840" t="s">
        <v>8418</v>
      </c>
      <c r="E5840" t="s">
        <v>8445</v>
      </c>
      <c r="F5840" t="s">
        <v>8448</v>
      </c>
      <c r="G5840" t="s">
        <v>8463</v>
      </c>
    </row>
    <row r="5841" spans="1:7">
      <c r="A5841" t="s">
        <v>8179</v>
      </c>
      <c r="B5841" t="s">
        <v>8273</v>
      </c>
      <c r="C5841" t="s">
        <v>8395</v>
      </c>
      <c r="D5841" t="s">
        <v>8420</v>
      </c>
      <c r="E5841" t="s">
        <v>1519</v>
      </c>
      <c r="F5841" t="s">
        <v>8449</v>
      </c>
      <c r="G5841" t="s">
        <v>8455</v>
      </c>
    </row>
    <row r="5842" spans="1:7">
      <c r="A5842" t="s">
        <v>8180</v>
      </c>
      <c r="B5842" t="s">
        <v>8273</v>
      </c>
      <c r="C5842" t="s">
        <v>8394</v>
      </c>
      <c r="D5842" t="s">
        <v>8402</v>
      </c>
      <c r="E5842" t="s">
        <v>8445</v>
      </c>
      <c r="F5842" t="s">
        <v>8448</v>
      </c>
      <c r="G5842" t="s">
        <v>8682</v>
      </c>
    </row>
    <row r="5843" spans="1:7">
      <c r="A5843" t="s">
        <v>8181</v>
      </c>
      <c r="C5843" t="s">
        <v>8393</v>
      </c>
      <c r="D5843" t="s">
        <v>8393</v>
      </c>
      <c r="E5843" t="s">
        <v>919</v>
      </c>
      <c r="F5843" t="s">
        <v>8393</v>
      </c>
    </row>
    <row r="5844" spans="1:7">
      <c r="A5844" t="s">
        <v>8182</v>
      </c>
      <c r="B5844" t="s">
        <v>8273</v>
      </c>
      <c r="C5844" t="s">
        <v>8395</v>
      </c>
      <c r="D5844" t="s">
        <v>8415</v>
      </c>
      <c r="E5844" t="s">
        <v>8444</v>
      </c>
      <c r="F5844" t="s">
        <v>8448</v>
      </c>
      <c r="G5844" t="s">
        <v>9497</v>
      </c>
    </row>
    <row r="5845" spans="1:7">
      <c r="A5845" t="s">
        <v>8183</v>
      </c>
      <c r="B5845" t="s">
        <v>8285</v>
      </c>
      <c r="C5845" t="s">
        <v>8392</v>
      </c>
      <c r="D5845" t="s">
        <v>8400</v>
      </c>
      <c r="E5845" t="s">
        <v>8444</v>
      </c>
      <c r="F5845" t="s">
        <v>8448</v>
      </c>
      <c r="G5845" t="s">
        <v>8455</v>
      </c>
    </row>
    <row r="5846" spans="1:7">
      <c r="A5846" t="s">
        <v>8184</v>
      </c>
      <c r="B5846" t="s">
        <v>8277</v>
      </c>
      <c r="C5846" t="s">
        <v>8392</v>
      </c>
      <c r="D5846" t="s">
        <v>8400</v>
      </c>
      <c r="E5846" t="s">
        <v>8444</v>
      </c>
      <c r="F5846" t="s">
        <v>8448</v>
      </c>
      <c r="G5846" t="s">
        <v>8455</v>
      </c>
    </row>
    <row r="5847" spans="1:7">
      <c r="A5847" t="s">
        <v>8185</v>
      </c>
      <c r="C5847" t="s">
        <v>8393</v>
      </c>
      <c r="D5847" t="s">
        <v>8393</v>
      </c>
      <c r="E5847" t="s">
        <v>919</v>
      </c>
      <c r="F5847" t="s">
        <v>8393</v>
      </c>
    </row>
    <row r="5848" spans="1:7">
      <c r="A5848" t="s">
        <v>8186</v>
      </c>
      <c r="B5848" t="s">
        <v>8273</v>
      </c>
      <c r="C5848" t="s">
        <v>8395</v>
      </c>
      <c r="D5848" t="s">
        <v>8415</v>
      </c>
      <c r="E5848" t="s">
        <v>8446</v>
      </c>
      <c r="F5848" t="s">
        <v>8448</v>
      </c>
      <c r="G5848" t="s">
        <v>8455</v>
      </c>
    </row>
    <row r="5849" spans="1:7">
      <c r="A5849" t="s">
        <v>8187</v>
      </c>
      <c r="B5849" t="s">
        <v>8273</v>
      </c>
      <c r="C5849" t="s">
        <v>8395</v>
      </c>
      <c r="D5849" t="s">
        <v>8400</v>
      </c>
      <c r="E5849" t="s">
        <v>8446</v>
      </c>
      <c r="F5849" t="s">
        <v>8448</v>
      </c>
      <c r="G5849" t="s">
        <v>8455</v>
      </c>
    </row>
    <row r="5850" spans="1:7">
      <c r="A5850" t="s">
        <v>8188</v>
      </c>
      <c r="B5850" t="s">
        <v>8273</v>
      </c>
      <c r="C5850" t="s">
        <v>8395</v>
      </c>
      <c r="D5850" t="s">
        <v>8420</v>
      </c>
      <c r="E5850" t="s">
        <v>1519</v>
      </c>
      <c r="F5850" t="s">
        <v>8448</v>
      </c>
      <c r="G5850" t="s">
        <v>796</v>
      </c>
    </row>
    <row r="5851" spans="1:7">
      <c r="A5851" t="s">
        <v>8189</v>
      </c>
      <c r="C5851" t="s">
        <v>8393</v>
      </c>
      <c r="D5851" t="s">
        <v>8393</v>
      </c>
      <c r="E5851" t="s">
        <v>919</v>
      </c>
      <c r="F5851" t="s">
        <v>8393</v>
      </c>
    </row>
    <row r="5852" spans="1:7">
      <c r="A5852" t="s">
        <v>8190</v>
      </c>
      <c r="B5852" t="s">
        <v>8273</v>
      </c>
      <c r="C5852" t="s">
        <v>8396</v>
      </c>
      <c r="D5852" t="s">
        <v>8425</v>
      </c>
      <c r="E5852" t="s">
        <v>1519</v>
      </c>
      <c r="F5852" t="s">
        <v>8448</v>
      </c>
      <c r="G5852" t="s">
        <v>8463</v>
      </c>
    </row>
    <row r="5853" spans="1:7">
      <c r="A5853" t="s">
        <v>8191</v>
      </c>
      <c r="B5853" t="s">
        <v>8273</v>
      </c>
      <c r="C5853" t="s">
        <v>8395</v>
      </c>
      <c r="D5853" t="s">
        <v>8400</v>
      </c>
      <c r="E5853" t="s">
        <v>1519</v>
      </c>
      <c r="F5853" t="s">
        <v>8448</v>
      </c>
      <c r="G5853" t="s">
        <v>8463</v>
      </c>
    </row>
    <row r="5854" spans="1:7">
      <c r="A5854" t="s">
        <v>8192</v>
      </c>
      <c r="B5854" t="s">
        <v>8273</v>
      </c>
      <c r="C5854" t="s">
        <v>8398</v>
      </c>
      <c r="D5854" t="s">
        <v>8409</v>
      </c>
      <c r="E5854" t="s">
        <v>1519</v>
      </c>
      <c r="F5854" t="s">
        <v>8448</v>
      </c>
      <c r="G5854" t="s">
        <v>8453</v>
      </c>
    </row>
    <row r="5855" spans="1:7">
      <c r="A5855" t="s">
        <v>8193</v>
      </c>
      <c r="B5855" t="s">
        <v>8273</v>
      </c>
      <c r="C5855" t="s">
        <v>8394</v>
      </c>
      <c r="D5855" t="s">
        <v>8402</v>
      </c>
      <c r="E5855" t="s">
        <v>8446</v>
      </c>
      <c r="F5855" t="s">
        <v>8448</v>
      </c>
      <c r="G5855" t="s">
        <v>9498</v>
      </c>
    </row>
    <row r="5856" spans="1:7">
      <c r="A5856" t="s">
        <v>8194</v>
      </c>
      <c r="C5856" t="s">
        <v>8393</v>
      </c>
      <c r="D5856" t="s">
        <v>8393</v>
      </c>
      <c r="E5856" t="s">
        <v>919</v>
      </c>
      <c r="F5856" t="s">
        <v>8393</v>
      </c>
    </row>
    <row r="5857" spans="1:7">
      <c r="A5857" t="s">
        <v>8195</v>
      </c>
      <c r="B5857" t="s">
        <v>8273</v>
      </c>
      <c r="C5857" t="s">
        <v>8396</v>
      </c>
      <c r="D5857" t="s">
        <v>8411</v>
      </c>
      <c r="E5857" t="s">
        <v>8446</v>
      </c>
      <c r="F5857" t="s">
        <v>8448</v>
      </c>
      <c r="G5857" t="s">
        <v>8474</v>
      </c>
    </row>
    <row r="5858" spans="1:7">
      <c r="A5858" t="s">
        <v>8196</v>
      </c>
      <c r="B5858" t="s">
        <v>8273</v>
      </c>
      <c r="C5858" t="s">
        <v>8396</v>
      </c>
      <c r="D5858" t="s">
        <v>8425</v>
      </c>
      <c r="E5858" t="s">
        <v>8446</v>
      </c>
      <c r="F5858" t="s">
        <v>8448</v>
      </c>
      <c r="G5858" t="s">
        <v>8453</v>
      </c>
    </row>
    <row r="5859" spans="1:7">
      <c r="A5859" t="s">
        <v>8197</v>
      </c>
      <c r="B5859" t="s">
        <v>8273</v>
      </c>
      <c r="C5859" t="s">
        <v>8395</v>
      </c>
      <c r="D5859" t="s">
        <v>8415</v>
      </c>
      <c r="E5859" t="s">
        <v>8446</v>
      </c>
      <c r="F5859" t="s">
        <v>8449</v>
      </c>
      <c r="G5859" t="s">
        <v>8455</v>
      </c>
    </row>
    <row r="5860" spans="1:7">
      <c r="A5860" t="s">
        <v>8198</v>
      </c>
      <c r="B5860" t="s">
        <v>8273</v>
      </c>
      <c r="C5860" t="s">
        <v>8398</v>
      </c>
      <c r="D5860" t="s">
        <v>8409</v>
      </c>
      <c r="E5860" t="s">
        <v>1519</v>
      </c>
      <c r="F5860" t="s">
        <v>8449</v>
      </c>
      <c r="G5860" t="s">
        <v>8453</v>
      </c>
    </row>
    <row r="5861" spans="1:7">
      <c r="A5861" t="s">
        <v>8199</v>
      </c>
      <c r="B5861" t="s">
        <v>8273</v>
      </c>
      <c r="C5861" t="s">
        <v>8396</v>
      </c>
      <c r="D5861" t="s">
        <v>8425</v>
      </c>
      <c r="E5861" t="s">
        <v>8444</v>
      </c>
      <c r="F5861" t="s">
        <v>8447</v>
      </c>
      <c r="G5861" t="s">
        <v>9499</v>
      </c>
    </row>
    <row r="5862" spans="1:7">
      <c r="A5862" t="s">
        <v>8200</v>
      </c>
      <c r="B5862" t="s">
        <v>8273</v>
      </c>
      <c r="C5862" t="s">
        <v>8392</v>
      </c>
      <c r="D5862" t="s">
        <v>8400</v>
      </c>
      <c r="E5862" t="s">
        <v>1587</v>
      </c>
      <c r="F5862" t="s">
        <v>8449</v>
      </c>
      <c r="G5862" t="s">
        <v>8455</v>
      </c>
    </row>
    <row r="5863" spans="1:7">
      <c r="A5863" t="s">
        <v>8201</v>
      </c>
      <c r="B5863" t="s">
        <v>8273</v>
      </c>
      <c r="C5863" t="s">
        <v>8396</v>
      </c>
      <c r="D5863" t="s">
        <v>8405</v>
      </c>
      <c r="E5863" t="s">
        <v>8446</v>
      </c>
      <c r="F5863" t="s">
        <v>8447</v>
      </c>
      <c r="G5863" t="s">
        <v>9500</v>
      </c>
    </row>
    <row r="5864" spans="1:7">
      <c r="A5864" t="s">
        <v>8202</v>
      </c>
      <c r="B5864" t="s">
        <v>8299</v>
      </c>
      <c r="C5864" t="s">
        <v>8397</v>
      </c>
      <c r="D5864" t="s">
        <v>8430</v>
      </c>
      <c r="E5864" t="s">
        <v>1587</v>
      </c>
      <c r="F5864" t="s">
        <v>8449</v>
      </c>
      <c r="G5864" t="s">
        <v>795</v>
      </c>
    </row>
    <row r="5865" spans="1:7">
      <c r="A5865" t="s">
        <v>8203</v>
      </c>
      <c r="C5865" t="s">
        <v>8396</v>
      </c>
      <c r="D5865" t="s">
        <v>8404</v>
      </c>
      <c r="E5865" t="s">
        <v>1519</v>
      </c>
      <c r="F5865" t="s">
        <v>8449</v>
      </c>
      <c r="G5865" t="s">
        <v>8455</v>
      </c>
    </row>
    <row r="5866" spans="1:7">
      <c r="A5866" t="s">
        <v>8204</v>
      </c>
      <c r="C5866" t="s">
        <v>8393</v>
      </c>
      <c r="D5866" t="s">
        <v>8393</v>
      </c>
      <c r="E5866" t="s">
        <v>919</v>
      </c>
      <c r="F5866" t="s">
        <v>8393</v>
      </c>
    </row>
    <row r="5867" spans="1:7">
      <c r="A5867" t="s">
        <v>8205</v>
      </c>
      <c r="B5867" t="s">
        <v>8278</v>
      </c>
      <c r="C5867" t="s">
        <v>8394</v>
      </c>
      <c r="D5867" t="s">
        <v>8423</v>
      </c>
      <c r="E5867" t="s">
        <v>1519</v>
      </c>
      <c r="F5867" t="s">
        <v>8449</v>
      </c>
      <c r="G5867" t="s">
        <v>8455</v>
      </c>
    </row>
    <row r="5868" spans="1:7">
      <c r="A5868" t="s">
        <v>8206</v>
      </c>
      <c r="B5868" t="s">
        <v>8280</v>
      </c>
      <c r="C5868" t="s">
        <v>8394</v>
      </c>
      <c r="D5868" t="s">
        <v>8423</v>
      </c>
      <c r="E5868" t="s">
        <v>1519</v>
      </c>
      <c r="F5868" t="s">
        <v>8449</v>
      </c>
      <c r="G5868" t="s">
        <v>8455</v>
      </c>
    </row>
    <row r="5869" spans="1:7">
      <c r="A5869" t="s">
        <v>8207</v>
      </c>
      <c r="B5869" t="s">
        <v>8281</v>
      </c>
      <c r="C5869" t="s">
        <v>8394</v>
      </c>
      <c r="D5869" t="s">
        <v>8423</v>
      </c>
      <c r="E5869" t="s">
        <v>1519</v>
      </c>
      <c r="F5869" t="s">
        <v>8449</v>
      </c>
      <c r="G5869" t="s">
        <v>8455</v>
      </c>
    </row>
    <row r="5870" spans="1:7">
      <c r="A5870" t="s">
        <v>8208</v>
      </c>
      <c r="B5870" t="s">
        <v>8273</v>
      </c>
      <c r="C5870" t="s">
        <v>8395</v>
      </c>
      <c r="D5870" t="s">
        <v>8414</v>
      </c>
      <c r="E5870" t="s">
        <v>8446</v>
      </c>
      <c r="F5870" t="s">
        <v>8449</v>
      </c>
      <c r="G5870" t="s">
        <v>8455</v>
      </c>
    </row>
    <row r="5871" spans="1:7">
      <c r="A5871" t="s">
        <v>8209</v>
      </c>
      <c r="B5871" t="s">
        <v>8285</v>
      </c>
      <c r="C5871" t="s">
        <v>8395</v>
      </c>
      <c r="D5871" t="s">
        <v>8414</v>
      </c>
      <c r="E5871" t="s">
        <v>8446</v>
      </c>
      <c r="F5871" t="s">
        <v>8449</v>
      </c>
      <c r="G5871" t="s">
        <v>8455</v>
      </c>
    </row>
    <row r="5872" spans="1:7">
      <c r="A5872" t="s">
        <v>8210</v>
      </c>
      <c r="B5872" t="s">
        <v>8286</v>
      </c>
      <c r="C5872" t="s">
        <v>8395</v>
      </c>
      <c r="D5872" t="s">
        <v>8414</v>
      </c>
      <c r="E5872" t="s">
        <v>8446</v>
      </c>
      <c r="F5872" t="s">
        <v>8449</v>
      </c>
      <c r="G5872" t="s">
        <v>8455</v>
      </c>
    </row>
    <row r="5873" spans="1:7">
      <c r="A5873" t="s">
        <v>8211</v>
      </c>
      <c r="B5873" t="s">
        <v>8277</v>
      </c>
      <c r="C5873" t="s">
        <v>8395</v>
      </c>
      <c r="D5873" t="s">
        <v>8414</v>
      </c>
      <c r="E5873" t="s">
        <v>8446</v>
      </c>
      <c r="F5873" t="s">
        <v>8449</v>
      </c>
      <c r="G5873" t="s">
        <v>8455</v>
      </c>
    </row>
    <row r="5874" spans="1:7">
      <c r="A5874" t="s">
        <v>8212</v>
      </c>
      <c r="C5874" t="s">
        <v>8393</v>
      </c>
      <c r="D5874" t="s">
        <v>8393</v>
      </c>
      <c r="E5874" t="s">
        <v>919</v>
      </c>
      <c r="F5874" t="s">
        <v>8393</v>
      </c>
    </row>
    <row r="5875" spans="1:7">
      <c r="A5875" t="s">
        <v>8213</v>
      </c>
      <c r="B5875" t="s">
        <v>8273</v>
      </c>
      <c r="C5875" t="s">
        <v>8395</v>
      </c>
      <c r="D5875" t="s">
        <v>8414</v>
      </c>
      <c r="E5875" t="s">
        <v>8446</v>
      </c>
      <c r="F5875" t="s">
        <v>8449</v>
      </c>
      <c r="G5875" t="s">
        <v>8455</v>
      </c>
    </row>
    <row r="5876" spans="1:7">
      <c r="A5876" t="s">
        <v>8214</v>
      </c>
      <c r="B5876" t="s">
        <v>8285</v>
      </c>
      <c r="C5876" t="s">
        <v>8395</v>
      </c>
      <c r="D5876" t="s">
        <v>8414</v>
      </c>
      <c r="E5876" t="s">
        <v>8446</v>
      </c>
      <c r="F5876" t="s">
        <v>8449</v>
      </c>
      <c r="G5876" t="s">
        <v>8455</v>
      </c>
    </row>
    <row r="5877" spans="1:7">
      <c r="A5877" t="s">
        <v>8215</v>
      </c>
      <c r="B5877" t="s">
        <v>8286</v>
      </c>
      <c r="C5877" t="s">
        <v>8395</v>
      </c>
      <c r="D5877" t="s">
        <v>8414</v>
      </c>
      <c r="E5877" t="s">
        <v>8446</v>
      </c>
      <c r="F5877" t="s">
        <v>8449</v>
      </c>
      <c r="G5877" t="s">
        <v>8455</v>
      </c>
    </row>
    <row r="5878" spans="1:7">
      <c r="A5878" t="s">
        <v>8216</v>
      </c>
      <c r="B5878" t="s">
        <v>8277</v>
      </c>
      <c r="C5878" t="s">
        <v>8395</v>
      </c>
      <c r="D5878" t="s">
        <v>8414</v>
      </c>
      <c r="E5878" t="s">
        <v>8446</v>
      </c>
      <c r="F5878" t="s">
        <v>8449</v>
      </c>
      <c r="G5878" t="s">
        <v>8455</v>
      </c>
    </row>
    <row r="5879" spans="1:7">
      <c r="A5879" t="s">
        <v>8217</v>
      </c>
      <c r="B5879" t="s">
        <v>8299</v>
      </c>
      <c r="C5879" t="s">
        <v>8397</v>
      </c>
      <c r="D5879" t="s">
        <v>8430</v>
      </c>
      <c r="E5879" t="s">
        <v>8446</v>
      </c>
      <c r="F5879" t="s">
        <v>8449</v>
      </c>
      <c r="G5879" t="s">
        <v>8453</v>
      </c>
    </row>
    <row r="5880" spans="1:7">
      <c r="A5880" t="s">
        <v>8218</v>
      </c>
      <c r="C5880" t="s">
        <v>8397</v>
      </c>
      <c r="D5880" t="s">
        <v>8431</v>
      </c>
      <c r="E5880" t="s">
        <v>8446</v>
      </c>
      <c r="F5880" t="s">
        <v>8448</v>
      </c>
      <c r="G5880" t="s">
        <v>8474</v>
      </c>
    </row>
    <row r="5881" spans="1:7">
      <c r="A5881" t="s">
        <v>8219</v>
      </c>
      <c r="B5881" t="s">
        <v>8273</v>
      </c>
      <c r="C5881" t="s">
        <v>8397</v>
      </c>
      <c r="D5881" t="s">
        <v>8418</v>
      </c>
      <c r="E5881" t="s">
        <v>8445</v>
      </c>
      <c r="F5881" t="s">
        <v>8449</v>
      </c>
      <c r="G5881" t="s">
        <v>9501</v>
      </c>
    </row>
    <row r="5882" spans="1:7">
      <c r="A5882" t="s">
        <v>8220</v>
      </c>
      <c r="C5882" t="s">
        <v>8393</v>
      </c>
      <c r="D5882" t="s">
        <v>8393</v>
      </c>
      <c r="E5882" t="s">
        <v>919</v>
      </c>
      <c r="F5882" t="s">
        <v>8393</v>
      </c>
    </row>
    <row r="5883" spans="1:7">
      <c r="A5883" t="s">
        <v>8221</v>
      </c>
      <c r="B5883" t="s">
        <v>8273</v>
      </c>
      <c r="C5883" t="s">
        <v>8392</v>
      </c>
      <c r="D5883" t="s">
        <v>8400</v>
      </c>
      <c r="E5883" t="s">
        <v>8446</v>
      </c>
      <c r="F5883" t="s">
        <v>8448</v>
      </c>
      <c r="G5883" t="s">
        <v>9502</v>
      </c>
    </row>
    <row r="5884" spans="1:7">
      <c r="A5884" t="s">
        <v>8222</v>
      </c>
      <c r="B5884" t="s">
        <v>8277</v>
      </c>
      <c r="C5884" t="s">
        <v>8392</v>
      </c>
      <c r="D5884" t="s">
        <v>8400</v>
      </c>
      <c r="E5884" t="s">
        <v>8446</v>
      </c>
      <c r="F5884" t="s">
        <v>8449</v>
      </c>
      <c r="G5884" t="s">
        <v>8455</v>
      </c>
    </row>
    <row r="5885" spans="1:7">
      <c r="A5885" t="s">
        <v>8223</v>
      </c>
      <c r="B5885" t="s">
        <v>8273</v>
      </c>
      <c r="C5885" t="s">
        <v>8395</v>
      </c>
      <c r="D5885" t="s">
        <v>8404</v>
      </c>
      <c r="E5885" t="s">
        <v>8446</v>
      </c>
      <c r="F5885" t="s">
        <v>8449</v>
      </c>
      <c r="G5885" t="s">
        <v>8455</v>
      </c>
    </row>
    <row r="5886" spans="1:7">
      <c r="A5886" t="s">
        <v>8224</v>
      </c>
      <c r="B5886" t="s">
        <v>8273</v>
      </c>
      <c r="C5886" t="s">
        <v>8395</v>
      </c>
      <c r="D5886" t="s">
        <v>8400</v>
      </c>
      <c r="E5886" t="s">
        <v>1519</v>
      </c>
      <c r="F5886" t="s">
        <v>8449</v>
      </c>
      <c r="G5886" t="s">
        <v>8455</v>
      </c>
    </row>
    <row r="5887" spans="1:7">
      <c r="A5887" t="s">
        <v>8225</v>
      </c>
      <c r="B5887" t="s">
        <v>8273</v>
      </c>
      <c r="C5887" t="s">
        <v>8392</v>
      </c>
      <c r="D5887" t="s">
        <v>8400</v>
      </c>
      <c r="E5887" t="s">
        <v>8446</v>
      </c>
      <c r="F5887" t="s">
        <v>8449</v>
      </c>
      <c r="G5887" t="s">
        <v>8455</v>
      </c>
    </row>
    <row r="5888" spans="1:7">
      <c r="A5888" t="s">
        <v>8226</v>
      </c>
      <c r="C5888" t="s">
        <v>8397</v>
      </c>
      <c r="D5888" t="s">
        <v>8418</v>
      </c>
      <c r="E5888" t="s">
        <v>8445</v>
      </c>
      <c r="F5888" t="s">
        <v>8450</v>
      </c>
      <c r="G5888" t="s">
        <v>8474</v>
      </c>
    </row>
    <row r="5889" spans="1:7">
      <c r="A5889" t="s">
        <v>8227</v>
      </c>
      <c r="C5889" t="s">
        <v>8393</v>
      </c>
      <c r="D5889" t="s">
        <v>8393</v>
      </c>
      <c r="E5889" t="s">
        <v>919</v>
      </c>
      <c r="F5889" t="s">
        <v>8393</v>
      </c>
    </row>
    <row r="5890" spans="1:7">
      <c r="A5890" t="s">
        <v>8228</v>
      </c>
      <c r="B5890" t="s">
        <v>8273</v>
      </c>
      <c r="C5890" t="s">
        <v>8394</v>
      </c>
      <c r="D5890" t="s">
        <v>8417</v>
      </c>
      <c r="E5890" t="s">
        <v>1519</v>
      </c>
      <c r="F5890" t="s">
        <v>8449</v>
      </c>
      <c r="G5890" t="s">
        <v>8455</v>
      </c>
    </row>
    <row r="5891" spans="1:7">
      <c r="A5891" t="s">
        <v>8229</v>
      </c>
      <c r="B5891" t="s">
        <v>8273</v>
      </c>
      <c r="C5891" t="s">
        <v>8394</v>
      </c>
      <c r="D5891" t="s">
        <v>8417</v>
      </c>
      <c r="E5891" t="s">
        <v>1519</v>
      </c>
      <c r="F5891" t="s">
        <v>8449</v>
      </c>
      <c r="G5891" t="s">
        <v>8455</v>
      </c>
    </row>
    <row r="5892" spans="1:7">
      <c r="A5892" t="s">
        <v>8230</v>
      </c>
      <c r="B5892" t="s">
        <v>8300</v>
      </c>
      <c r="C5892" t="s">
        <v>8394</v>
      </c>
      <c r="D5892" t="s">
        <v>8417</v>
      </c>
      <c r="E5892" t="s">
        <v>1519</v>
      </c>
      <c r="F5892" t="s">
        <v>8449</v>
      </c>
      <c r="G5892" t="s">
        <v>8455</v>
      </c>
    </row>
    <row r="5893" spans="1:7">
      <c r="A5893" t="s">
        <v>8231</v>
      </c>
      <c r="B5893" t="s">
        <v>8286</v>
      </c>
      <c r="C5893" t="s">
        <v>8394</v>
      </c>
      <c r="D5893" t="s">
        <v>8417</v>
      </c>
      <c r="E5893" t="s">
        <v>1519</v>
      </c>
      <c r="F5893" t="s">
        <v>8449</v>
      </c>
      <c r="G5893" t="s">
        <v>8455</v>
      </c>
    </row>
    <row r="5894" spans="1:7">
      <c r="A5894" t="s">
        <v>8232</v>
      </c>
      <c r="C5894" t="s">
        <v>8393</v>
      </c>
      <c r="D5894" t="s">
        <v>8393</v>
      </c>
      <c r="E5894" t="s">
        <v>919</v>
      </c>
      <c r="F5894" t="s">
        <v>8393</v>
      </c>
    </row>
    <row r="5895" spans="1:7">
      <c r="A5895" t="s">
        <v>8233</v>
      </c>
      <c r="B5895" t="s">
        <v>8273</v>
      </c>
      <c r="C5895" t="s">
        <v>8395</v>
      </c>
      <c r="D5895" t="s">
        <v>8415</v>
      </c>
      <c r="E5895" t="s">
        <v>8444</v>
      </c>
      <c r="F5895" t="s">
        <v>8449</v>
      </c>
      <c r="G5895" t="s">
        <v>8455</v>
      </c>
    </row>
    <row r="5896" spans="1:7">
      <c r="A5896" t="s">
        <v>8234</v>
      </c>
      <c r="B5896" t="s">
        <v>8300</v>
      </c>
      <c r="C5896" t="s">
        <v>8395</v>
      </c>
      <c r="D5896" t="s">
        <v>8415</v>
      </c>
      <c r="E5896" t="s">
        <v>8444</v>
      </c>
      <c r="F5896" t="s">
        <v>8449</v>
      </c>
      <c r="G5896" t="s">
        <v>8455</v>
      </c>
    </row>
    <row r="5897" spans="1:7">
      <c r="A5897" t="s">
        <v>8235</v>
      </c>
      <c r="B5897" t="s">
        <v>8273</v>
      </c>
      <c r="C5897" t="s">
        <v>8395</v>
      </c>
      <c r="D5897" t="s">
        <v>8403</v>
      </c>
      <c r="E5897" t="s">
        <v>8444</v>
      </c>
      <c r="F5897" t="s">
        <v>8449</v>
      </c>
      <c r="G5897" t="s">
        <v>8457</v>
      </c>
    </row>
    <row r="5898" spans="1:7">
      <c r="A5898" t="s">
        <v>8236</v>
      </c>
      <c r="B5898" t="s">
        <v>8273</v>
      </c>
      <c r="C5898" t="s">
        <v>8395</v>
      </c>
      <c r="D5898" t="s">
        <v>8424</v>
      </c>
      <c r="E5898" t="s">
        <v>8444</v>
      </c>
      <c r="F5898" t="s">
        <v>8450</v>
      </c>
      <c r="G5898" t="s">
        <v>795</v>
      </c>
    </row>
    <row r="5899" spans="1:7">
      <c r="A5899" t="s">
        <v>8237</v>
      </c>
      <c r="B5899" t="s">
        <v>8273</v>
      </c>
      <c r="C5899" t="s">
        <v>8395</v>
      </c>
      <c r="D5899" t="s">
        <v>8425</v>
      </c>
      <c r="E5899" t="s">
        <v>8444</v>
      </c>
      <c r="F5899" t="s">
        <v>8449</v>
      </c>
      <c r="G5899" t="s">
        <v>8455</v>
      </c>
    </row>
    <row r="5900" spans="1:7">
      <c r="A5900" t="s">
        <v>8238</v>
      </c>
      <c r="B5900" t="s">
        <v>8273</v>
      </c>
      <c r="C5900" t="s">
        <v>8395</v>
      </c>
      <c r="D5900" t="s">
        <v>8404</v>
      </c>
      <c r="E5900" t="s">
        <v>8444</v>
      </c>
      <c r="F5900" t="s">
        <v>8449</v>
      </c>
      <c r="G5900" t="s">
        <v>8455</v>
      </c>
    </row>
    <row r="5901" spans="1:7">
      <c r="A5901" t="s">
        <v>8239</v>
      </c>
      <c r="B5901" t="s">
        <v>8273</v>
      </c>
      <c r="C5901" t="s">
        <v>8395</v>
      </c>
      <c r="D5901" t="s">
        <v>8420</v>
      </c>
      <c r="E5901" t="s">
        <v>8444</v>
      </c>
      <c r="F5901" t="s">
        <v>8449</v>
      </c>
      <c r="G5901" t="s">
        <v>8455</v>
      </c>
    </row>
    <row r="5902" spans="1:7">
      <c r="A5902" t="s">
        <v>8240</v>
      </c>
      <c r="B5902" t="s">
        <v>8273</v>
      </c>
      <c r="C5902" t="s">
        <v>8394</v>
      </c>
      <c r="D5902" t="s">
        <v>8422</v>
      </c>
      <c r="E5902" t="s">
        <v>8444</v>
      </c>
      <c r="F5902" t="s">
        <v>8449</v>
      </c>
      <c r="G5902" t="s">
        <v>8455</v>
      </c>
    </row>
    <row r="5903" spans="1:7">
      <c r="A5903" t="s">
        <v>8241</v>
      </c>
      <c r="B5903" t="s">
        <v>8273</v>
      </c>
      <c r="C5903" t="s">
        <v>8395</v>
      </c>
      <c r="D5903" t="s">
        <v>8403</v>
      </c>
      <c r="E5903" t="s">
        <v>8444</v>
      </c>
      <c r="F5903" t="s">
        <v>8449</v>
      </c>
      <c r="G5903" t="s">
        <v>8455</v>
      </c>
    </row>
    <row r="5904" spans="1:7">
      <c r="A5904" t="s">
        <v>8242</v>
      </c>
      <c r="B5904" t="s">
        <v>8273</v>
      </c>
      <c r="C5904" t="s">
        <v>8395</v>
      </c>
      <c r="D5904" t="s">
        <v>8422</v>
      </c>
      <c r="E5904" t="s">
        <v>8444</v>
      </c>
      <c r="F5904" t="s">
        <v>8449</v>
      </c>
      <c r="G5904" t="s">
        <v>8455</v>
      </c>
    </row>
    <row r="5905" spans="1:7">
      <c r="A5905" t="s">
        <v>8243</v>
      </c>
      <c r="B5905" t="s">
        <v>8273</v>
      </c>
      <c r="C5905" t="s">
        <v>8395</v>
      </c>
      <c r="D5905" t="s">
        <v>8422</v>
      </c>
      <c r="E5905" t="s">
        <v>8446</v>
      </c>
      <c r="F5905" t="s">
        <v>8449</v>
      </c>
      <c r="G5905" t="s">
        <v>8455</v>
      </c>
    </row>
    <row r="5906" spans="1:7">
      <c r="A5906" t="s">
        <v>8244</v>
      </c>
      <c r="B5906" t="s">
        <v>8273</v>
      </c>
      <c r="C5906" t="s">
        <v>8395</v>
      </c>
      <c r="D5906" t="s">
        <v>8422</v>
      </c>
      <c r="E5906" t="s">
        <v>8444</v>
      </c>
      <c r="F5906" t="s">
        <v>8449</v>
      </c>
      <c r="G5906" t="s">
        <v>8455</v>
      </c>
    </row>
    <row r="5907" spans="1:7">
      <c r="A5907" t="s">
        <v>8245</v>
      </c>
      <c r="C5907" t="s">
        <v>8393</v>
      </c>
      <c r="D5907" t="s">
        <v>8393</v>
      </c>
      <c r="E5907" t="s">
        <v>919</v>
      </c>
      <c r="F5907" t="s">
        <v>8393</v>
      </c>
    </row>
    <row r="5908" spans="1:7">
      <c r="A5908" t="s">
        <v>8246</v>
      </c>
      <c r="B5908" t="s">
        <v>8273</v>
      </c>
      <c r="C5908" t="s">
        <v>8395</v>
      </c>
      <c r="D5908" t="s">
        <v>8422</v>
      </c>
      <c r="E5908" t="s">
        <v>8444</v>
      </c>
      <c r="F5908" t="s">
        <v>8449</v>
      </c>
      <c r="G5908" t="s">
        <v>8455</v>
      </c>
    </row>
    <row r="5909" spans="1:7">
      <c r="A5909" t="s">
        <v>8247</v>
      </c>
      <c r="B5909" t="s">
        <v>8277</v>
      </c>
      <c r="C5909" t="s">
        <v>8395</v>
      </c>
      <c r="D5909" t="s">
        <v>8422</v>
      </c>
      <c r="E5909" t="s">
        <v>8444</v>
      </c>
      <c r="F5909" t="s">
        <v>8449</v>
      </c>
      <c r="G5909" t="s">
        <v>8455</v>
      </c>
    </row>
    <row r="5910" spans="1:7">
      <c r="A5910" t="s">
        <v>8248</v>
      </c>
      <c r="C5910" t="s">
        <v>8393</v>
      </c>
      <c r="D5910" t="s">
        <v>8393</v>
      </c>
      <c r="E5910" t="s">
        <v>919</v>
      </c>
      <c r="F5910" t="s">
        <v>8393</v>
      </c>
    </row>
    <row r="5911" spans="1:7">
      <c r="A5911" t="s">
        <v>8249</v>
      </c>
      <c r="B5911" t="s">
        <v>8273</v>
      </c>
      <c r="C5911" t="s">
        <v>8392</v>
      </c>
      <c r="D5911" t="s">
        <v>8415</v>
      </c>
      <c r="E5911" t="s">
        <v>8444</v>
      </c>
      <c r="F5911" t="s">
        <v>8449</v>
      </c>
      <c r="G5911" t="s">
        <v>8455</v>
      </c>
    </row>
    <row r="5912" spans="1:7">
      <c r="A5912" t="s">
        <v>8250</v>
      </c>
      <c r="B5912" t="s">
        <v>8277</v>
      </c>
      <c r="C5912" t="s">
        <v>8392</v>
      </c>
      <c r="D5912" t="s">
        <v>8415</v>
      </c>
      <c r="E5912" t="s">
        <v>8444</v>
      </c>
      <c r="F5912" t="s">
        <v>8449</v>
      </c>
      <c r="G5912" t="s">
        <v>8455</v>
      </c>
    </row>
    <row r="5913" spans="1:7">
      <c r="A5913" t="s">
        <v>8251</v>
      </c>
      <c r="B5913" t="s">
        <v>8273</v>
      </c>
      <c r="C5913" t="s">
        <v>8395</v>
      </c>
      <c r="D5913" t="s">
        <v>8406</v>
      </c>
      <c r="E5913" t="s">
        <v>8444</v>
      </c>
      <c r="F5913" t="s">
        <v>8449</v>
      </c>
      <c r="G5913" t="s">
        <v>8455</v>
      </c>
    </row>
    <row r="5914" spans="1:7">
      <c r="A5914" t="s">
        <v>8252</v>
      </c>
      <c r="C5914" t="s">
        <v>8393</v>
      </c>
      <c r="D5914" t="s">
        <v>8393</v>
      </c>
      <c r="E5914" t="s">
        <v>919</v>
      </c>
      <c r="F5914" t="s">
        <v>8393</v>
      </c>
    </row>
    <row r="5915" spans="1:7">
      <c r="A5915" t="s">
        <v>8253</v>
      </c>
      <c r="B5915" t="s">
        <v>8273</v>
      </c>
      <c r="C5915" t="s">
        <v>8395</v>
      </c>
      <c r="D5915" t="s">
        <v>8422</v>
      </c>
      <c r="E5915" t="s">
        <v>8444</v>
      </c>
      <c r="F5915" t="s">
        <v>8449</v>
      </c>
      <c r="G5915" t="s">
        <v>8455</v>
      </c>
    </row>
    <row r="5916" spans="1:7">
      <c r="A5916" t="s">
        <v>8254</v>
      </c>
      <c r="B5916" t="s">
        <v>8277</v>
      </c>
      <c r="C5916" t="s">
        <v>8395</v>
      </c>
      <c r="D5916" t="s">
        <v>8422</v>
      </c>
      <c r="E5916" t="s">
        <v>8444</v>
      </c>
      <c r="F5916" t="s">
        <v>8449</v>
      </c>
      <c r="G5916" t="s">
        <v>8455</v>
      </c>
    </row>
    <row r="5917" spans="1:7">
      <c r="A5917" t="s">
        <v>8255</v>
      </c>
      <c r="B5917" t="s">
        <v>8273</v>
      </c>
      <c r="C5917" t="s">
        <v>8394</v>
      </c>
      <c r="D5917" t="s">
        <v>8413</v>
      </c>
      <c r="E5917" t="s">
        <v>8446</v>
      </c>
      <c r="F5917" t="s">
        <v>8448</v>
      </c>
      <c r="G5917" t="s">
        <v>8455</v>
      </c>
    </row>
    <row r="5918" spans="1:7">
      <c r="A5918" t="s">
        <v>8256</v>
      </c>
      <c r="C5918" t="s">
        <v>8393</v>
      </c>
      <c r="D5918" t="s">
        <v>8393</v>
      </c>
      <c r="E5918" t="s">
        <v>919</v>
      </c>
      <c r="F5918" t="s">
        <v>8393</v>
      </c>
    </row>
    <row r="5919" spans="1:7">
      <c r="A5919" t="s">
        <v>8257</v>
      </c>
      <c r="B5919" t="s">
        <v>8390</v>
      </c>
      <c r="C5919" t="s">
        <v>8395</v>
      </c>
      <c r="D5919" t="s">
        <v>8420</v>
      </c>
      <c r="E5919" t="s">
        <v>8444</v>
      </c>
      <c r="F5919" t="s">
        <v>8448</v>
      </c>
      <c r="G5919" t="s">
        <v>9503</v>
      </c>
    </row>
    <row r="5920" spans="1:7">
      <c r="A5920" t="s">
        <v>8258</v>
      </c>
      <c r="B5920" t="s">
        <v>8391</v>
      </c>
      <c r="C5920" t="s">
        <v>8396</v>
      </c>
      <c r="D5920" t="s">
        <v>8420</v>
      </c>
      <c r="E5920" t="s">
        <v>8444</v>
      </c>
      <c r="F5920" t="s">
        <v>8448</v>
      </c>
      <c r="G5920" t="s">
        <v>9503</v>
      </c>
    </row>
    <row r="5921" spans="1:7">
      <c r="A5921" t="s">
        <v>8259</v>
      </c>
      <c r="B5921" t="s">
        <v>8310</v>
      </c>
      <c r="C5921" t="s">
        <v>8395</v>
      </c>
      <c r="D5921" t="s">
        <v>8400</v>
      </c>
      <c r="E5921" t="s">
        <v>8444</v>
      </c>
      <c r="F5921" t="s">
        <v>8448</v>
      </c>
      <c r="G5921" t="s">
        <v>8455</v>
      </c>
    </row>
    <row r="5922" spans="1:7">
      <c r="A5922" t="s">
        <v>8260</v>
      </c>
      <c r="B5922" t="s">
        <v>8275</v>
      </c>
      <c r="C5922" t="s">
        <v>8395</v>
      </c>
      <c r="D5922" t="s">
        <v>8420</v>
      </c>
      <c r="E5922" t="s">
        <v>8444</v>
      </c>
      <c r="F5922" t="s">
        <v>8448</v>
      </c>
      <c r="G5922" t="s">
        <v>9504</v>
      </c>
    </row>
    <row r="5923" spans="1:7">
      <c r="A5923" t="s">
        <v>8261</v>
      </c>
      <c r="B5923" t="s">
        <v>8275</v>
      </c>
      <c r="C5923" t="s">
        <v>8395</v>
      </c>
      <c r="D5923" t="s">
        <v>8420</v>
      </c>
      <c r="E5923" t="s">
        <v>8444</v>
      </c>
      <c r="F5923" t="s">
        <v>8448</v>
      </c>
      <c r="G5923" t="s">
        <v>9505</v>
      </c>
    </row>
    <row r="5924" spans="1:7">
      <c r="A5924" t="s">
        <v>8262</v>
      </c>
      <c r="B5924" t="s">
        <v>8390</v>
      </c>
      <c r="C5924" t="s">
        <v>8396</v>
      </c>
      <c r="D5924" t="s">
        <v>8420</v>
      </c>
      <c r="E5924" t="s">
        <v>8444</v>
      </c>
      <c r="F5924" t="s">
        <v>8448</v>
      </c>
      <c r="G5924" t="s">
        <v>9503</v>
      </c>
    </row>
    <row r="5925" spans="1:7">
      <c r="A5925" t="s">
        <v>8263</v>
      </c>
      <c r="B5925" t="s">
        <v>8282</v>
      </c>
      <c r="C5925" t="s">
        <v>8395</v>
      </c>
      <c r="D5925" t="s">
        <v>8420</v>
      </c>
      <c r="E5925" t="s">
        <v>8444</v>
      </c>
      <c r="F5925" t="s">
        <v>8448</v>
      </c>
      <c r="G5925" t="s">
        <v>8455</v>
      </c>
    </row>
    <row r="5926" spans="1:7">
      <c r="A5926" t="s">
        <v>8264</v>
      </c>
      <c r="B5926" t="s">
        <v>8283</v>
      </c>
      <c r="C5926" t="s">
        <v>8395</v>
      </c>
      <c r="D5926" t="s">
        <v>8400</v>
      </c>
      <c r="E5926" t="s">
        <v>8444</v>
      </c>
      <c r="F5926" t="s">
        <v>8448</v>
      </c>
      <c r="G5926" t="s">
        <v>8455</v>
      </c>
    </row>
    <row r="5927" spans="1:7">
      <c r="A5927" t="s">
        <v>8265</v>
      </c>
      <c r="B5927" t="s">
        <v>8273</v>
      </c>
      <c r="C5927" t="s">
        <v>8395</v>
      </c>
      <c r="D5927" t="s">
        <v>8414</v>
      </c>
      <c r="E5927" t="s">
        <v>8445</v>
      </c>
      <c r="F5927" t="s">
        <v>8449</v>
      </c>
      <c r="G5927" t="s">
        <v>8455</v>
      </c>
    </row>
    <row r="5928" spans="1:7">
      <c r="A5928" t="s">
        <v>8266</v>
      </c>
      <c r="C5928" t="s">
        <v>8394</v>
      </c>
      <c r="D5928" t="s">
        <v>8402</v>
      </c>
      <c r="E5928" t="s">
        <v>8444</v>
      </c>
      <c r="F5928" t="s">
        <v>8448</v>
      </c>
      <c r="G5928" t="s">
        <v>8888</v>
      </c>
    </row>
    <row r="5929" spans="1:7">
      <c r="A5929" t="s">
        <v>8267</v>
      </c>
      <c r="B5929" t="s">
        <v>8273</v>
      </c>
      <c r="C5929" t="s">
        <v>8397</v>
      </c>
      <c r="D5929" t="s">
        <v>8430</v>
      </c>
      <c r="E5929" t="s">
        <v>8445</v>
      </c>
      <c r="F5929" t="s">
        <v>8449</v>
      </c>
      <c r="G5929" t="s">
        <v>8455</v>
      </c>
    </row>
    <row r="5930" spans="1:7">
      <c r="A5930" t="s">
        <v>8268</v>
      </c>
      <c r="B5930" t="s">
        <v>8273</v>
      </c>
      <c r="C5930" t="s">
        <v>8394</v>
      </c>
      <c r="D5930" t="s">
        <v>8417</v>
      </c>
      <c r="E5930" t="s">
        <v>8444</v>
      </c>
      <c r="F5930" t="s">
        <v>8448</v>
      </c>
      <c r="G5930" t="s">
        <v>8455</v>
      </c>
    </row>
    <row r="5931" spans="1:7">
      <c r="A5931" t="s">
        <v>8269</v>
      </c>
      <c r="C5931" t="s">
        <v>8392</v>
      </c>
      <c r="D5931" t="s">
        <v>8400</v>
      </c>
      <c r="E5931" t="s">
        <v>8445</v>
      </c>
      <c r="F5931" t="s">
        <v>8449</v>
      </c>
    </row>
    <row r="5932" spans="1:7">
      <c r="A5932" t="s">
        <v>8270</v>
      </c>
      <c r="B5932" t="s">
        <v>8273</v>
      </c>
      <c r="C5932" t="s">
        <v>8392</v>
      </c>
      <c r="D5932" t="s">
        <v>8400</v>
      </c>
      <c r="E5932" t="s">
        <v>8446</v>
      </c>
      <c r="F5932" t="s">
        <v>8448</v>
      </c>
      <c r="G5932" t="s">
        <v>8455</v>
      </c>
    </row>
    <row r="5933" spans="1:7">
      <c r="A5933" t="s">
        <v>8271</v>
      </c>
      <c r="B5933" t="s">
        <v>8286</v>
      </c>
      <c r="C5933" t="s">
        <v>8396</v>
      </c>
      <c r="D5933" t="s">
        <v>8406</v>
      </c>
      <c r="E5933" t="s">
        <v>8444</v>
      </c>
      <c r="F5933" t="s">
        <v>8449</v>
      </c>
      <c r="G5933" t="s">
        <v>8455</v>
      </c>
    </row>
    <row r="5934" spans="1:7">
      <c r="A5934" t="s">
        <v>8272</v>
      </c>
      <c r="B5934" t="s">
        <v>8273</v>
      </c>
      <c r="C5934" t="s">
        <v>8398</v>
      </c>
      <c r="D5934" t="s">
        <v>8409</v>
      </c>
      <c r="E5934" t="s">
        <v>8444</v>
      </c>
      <c r="F5934" t="s">
        <v>8449</v>
      </c>
      <c r="G5934" t="s">
        <v>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Inputs</vt:lpstr>
      <vt:lpstr>Scoring_Config</vt:lpstr>
      <vt:lpstr>Application 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2025-11-29T05:16:13Z</dcterms:created>
  <dcterms:modified xsi:type="dcterms:W3CDTF">2025-11-29T05:16:13Z</dcterms:modified>
</cp:coreProperties>
</file>